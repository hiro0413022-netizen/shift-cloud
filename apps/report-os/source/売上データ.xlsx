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384\Desktop\日々入力\"/>
    </mc:Choice>
  </mc:AlternateContent>
  <xr:revisionPtr revIDLastSave="0" documentId="13_ncr:1_{5062998B-405E-40A9-927D-34BD9FCF5BD8}" xr6:coauthVersionLast="47" xr6:coauthVersionMax="47" xr10:uidLastSave="{00000000-0000-0000-0000-000000000000}"/>
  <bookViews>
    <workbookView xWindow="-120" yWindow="-120" windowWidth="24240" windowHeight="13020" firstSheet="2" activeTab="3" xr2:uid="{00000000-000D-0000-FFFF-FFFF00000000}"/>
  </bookViews>
  <sheets>
    <sheet name="28期売上一覧" sheetId="1" r:id="rId1"/>
    <sheet name="29期売上一覧" sheetId="3" r:id="rId2"/>
    <sheet name="30期売上一覧" sheetId="4" r:id="rId3"/>
    <sheet name="31期売上一覧" sheetId="7" r:id="rId4"/>
    <sheet name="売上内訳 (2)" sheetId="9" r:id="rId5"/>
    <sheet name="現金✓" sheetId="10" r:id="rId6"/>
  </sheets>
  <definedNames>
    <definedName name="_xlnm._FilterDatabase" localSheetId="0" hidden="1">'28期売上一覧'!$A$1:$M$1404</definedName>
    <definedName name="_xlnm._FilterDatabase" localSheetId="1" hidden="1">'29期売上一覧'!$A$1:$Z$1543</definedName>
    <definedName name="_xlnm._FilterDatabase" localSheetId="2" hidden="1">'30期売上一覧'!$A$1:$AC$1355</definedName>
    <definedName name="_xlnm._FilterDatabase" localSheetId="3" hidden="1">'31期売上一覧'!$A$1:$AC$1771</definedName>
    <definedName name="_xlnm.Print_Area" localSheetId="3">'31期売上一覧'!$A$739:$O$838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53" i="7" l="1"/>
  <c r="Z1451" i="7"/>
  <c r="Z1449" i="7"/>
  <c r="Z1448" i="7"/>
  <c r="Z1444" i="7"/>
  <c r="Z1439" i="7"/>
  <c r="Z1437" i="7"/>
  <c r="W1453" i="7"/>
  <c r="W1451" i="7"/>
  <c r="W1449" i="7"/>
  <c r="W1448" i="7"/>
  <c r="W1444" i="7"/>
  <c r="W1439" i="7"/>
  <c r="W1437" i="7"/>
  <c r="J1442" i="7"/>
  <c r="L1442" i="7" s="1"/>
  <c r="M1442" i="7" s="1"/>
  <c r="J1441" i="7"/>
  <c r="L1441" i="7" s="1"/>
  <c r="M1441" i="7" s="1"/>
  <c r="J1458" i="7"/>
  <c r="L1458" i="7" s="1"/>
  <c r="M1458" i="7" s="1"/>
  <c r="Z1435" i="7"/>
  <c r="Z1434" i="7"/>
  <c r="Z1433" i="7"/>
  <c r="Z1431" i="7"/>
  <c r="Z1430" i="7"/>
  <c r="Z1429" i="7"/>
  <c r="Z1428" i="7"/>
  <c r="Z1427" i="7"/>
  <c r="Z1426" i="7"/>
  <c r="Z1424" i="7"/>
  <c r="Z1422" i="7"/>
  <c r="Z1417" i="7"/>
  <c r="Z1415" i="7"/>
  <c r="Z1411" i="7"/>
  <c r="Z1408" i="7"/>
  <c r="Z1406" i="7"/>
  <c r="Z1405" i="7"/>
  <c r="Z1404" i="7"/>
  <c r="Z1403" i="7"/>
  <c r="Z1402" i="7"/>
  <c r="Z1399" i="7"/>
  <c r="Z1397" i="7"/>
  <c r="Z1396" i="7"/>
  <c r="Z1395" i="7"/>
  <c r="Z1394" i="7"/>
  <c r="Z1388" i="7"/>
  <c r="Z1386" i="7"/>
  <c r="Z1385" i="7"/>
  <c r="Z1384" i="7"/>
  <c r="Z1382" i="7"/>
  <c r="W1435" i="7"/>
  <c r="W1434" i="7"/>
  <c r="W1433" i="7"/>
  <c r="W1431" i="7"/>
  <c r="W1430" i="7"/>
  <c r="W1429" i="7"/>
  <c r="W1428" i="7"/>
  <c r="W1427" i="7"/>
  <c r="W1426" i="7"/>
  <c r="W1424" i="7"/>
  <c r="W1422" i="7"/>
  <c r="W1417" i="7"/>
  <c r="W1415" i="7"/>
  <c r="W1411" i="7"/>
  <c r="W1408" i="7"/>
  <c r="W1406" i="7"/>
  <c r="W1405" i="7"/>
  <c r="W1404" i="7"/>
  <c r="W1403" i="7"/>
  <c r="W1402" i="7"/>
  <c r="W1399" i="7"/>
  <c r="W1397" i="7"/>
  <c r="W1396" i="7"/>
  <c r="W1395" i="7"/>
  <c r="W1394" i="7"/>
  <c r="W1388" i="7"/>
  <c r="W1386" i="7"/>
  <c r="W1385" i="7"/>
  <c r="W1384" i="7"/>
  <c r="W1382" i="7"/>
  <c r="J1421" i="7"/>
  <c r="J1420" i="7"/>
  <c r="J1413" i="7"/>
  <c r="J1771" i="7"/>
  <c r="J1770" i="7"/>
  <c r="J1769" i="7"/>
  <c r="J1768" i="7"/>
  <c r="J1767" i="7"/>
  <c r="J1766" i="7"/>
  <c r="J1765" i="7"/>
  <c r="J1764" i="7"/>
  <c r="J1763" i="7"/>
  <c r="J1762" i="7"/>
  <c r="J1761" i="7"/>
  <c r="J1760" i="7"/>
  <c r="J1759" i="7"/>
  <c r="J1758" i="7"/>
  <c r="J1757" i="7"/>
  <c r="J1756" i="7"/>
  <c r="J1755" i="7"/>
  <c r="J1754" i="7"/>
  <c r="J1753" i="7"/>
  <c r="J1752" i="7"/>
  <c r="J1751" i="7"/>
  <c r="J1750" i="7"/>
  <c r="J1749" i="7"/>
  <c r="J1748" i="7"/>
  <c r="J1747" i="7"/>
  <c r="J1746" i="7"/>
  <c r="J1745" i="7"/>
  <c r="J1744" i="7"/>
  <c r="J1743" i="7"/>
  <c r="J1742" i="7"/>
  <c r="J1741" i="7"/>
  <c r="J1740" i="7"/>
  <c r="J1739" i="7"/>
  <c r="J1738" i="7"/>
  <c r="J1737" i="7"/>
  <c r="J1736" i="7"/>
  <c r="J1735" i="7"/>
  <c r="J1734" i="7"/>
  <c r="J1733" i="7"/>
  <c r="J1732" i="7"/>
  <c r="J1731" i="7"/>
  <c r="J1730" i="7"/>
  <c r="J1729" i="7"/>
  <c r="J1728" i="7"/>
  <c r="J1727" i="7"/>
  <c r="J1726" i="7"/>
  <c r="J1725" i="7"/>
  <c r="J1724" i="7"/>
  <c r="J1723" i="7"/>
  <c r="J1722" i="7"/>
  <c r="J1721" i="7"/>
  <c r="J1720" i="7"/>
  <c r="J1719" i="7"/>
  <c r="J1718" i="7"/>
  <c r="J1717" i="7"/>
  <c r="J1716" i="7"/>
  <c r="J1715" i="7"/>
  <c r="J1714" i="7"/>
  <c r="J1713" i="7"/>
  <c r="J1712" i="7"/>
  <c r="J1711" i="7"/>
  <c r="J1710" i="7"/>
  <c r="J1709" i="7"/>
  <c r="J1708" i="7"/>
  <c r="J1707" i="7"/>
  <c r="J1706" i="7"/>
  <c r="J1705" i="7"/>
  <c r="J1704" i="7"/>
  <c r="J1703" i="7"/>
  <c r="J1702" i="7"/>
  <c r="J1701" i="7"/>
  <c r="J1700" i="7"/>
  <c r="J1699" i="7"/>
  <c r="J1698" i="7"/>
  <c r="J1697" i="7"/>
  <c r="J1696" i="7"/>
  <c r="J1695" i="7"/>
  <c r="J1694" i="7"/>
  <c r="J1693" i="7"/>
  <c r="J1692" i="7"/>
  <c r="J1691" i="7"/>
  <c r="J1690" i="7"/>
  <c r="J1689" i="7"/>
  <c r="J1688" i="7"/>
  <c r="J1687" i="7"/>
  <c r="J1686" i="7"/>
  <c r="J1685" i="7"/>
  <c r="J1684" i="7"/>
  <c r="J1683" i="7"/>
  <c r="J1682" i="7"/>
  <c r="J1681" i="7"/>
  <c r="J1680" i="7"/>
  <c r="J1679" i="7"/>
  <c r="J1678" i="7"/>
  <c r="J1677" i="7"/>
  <c r="J1676" i="7"/>
  <c r="J1675" i="7"/>
  <c r="J1674" i="7"/>
  <c r="J1673" i="7"/>
  <c r="J1672" i="7"/>
  <c r="J1671" i="7"/>
  <c r="J1670" i="7"/>
  <c r="J1669" i="7"/>
  <c r="J1668" i="7"/>
  <c r="J1667" i="7"/>
  <c r="J1666" i="7"/>
  <c r="J1665" i="7"/>
  <c r="J1664" i="7"/>
  <c r="J1663" i="7"/>
  <c r="J1662" i="7"/>
  <c r="J1661" i="7"/>
  <c r="J1660" i="7"/>
  <c r="J1659" i="7"/>
  <c r="J1658" i="7"/>
  <c r="J1657" i="7"/>
  <c r="J1656" i="7"/>
  <c r="J1655" i="7"/>
  <c r="J1654" i="7"/>
  <c r="J1653" i="7"/>
  <c r="J1652" i="7"/>
  <c r="J1651" i="7"/>
  <c r="J1650" i="7"/>
  <c r="J1649" i="7"/>
  <c r="J1648" i="7"/>
  <c r="J1647" i="7"/>
  <c r="J1646" i="7"/>
  <c r="J1645" i="7"/>
  <c r="J1644" i="7"/>
  <c r="J1643" i="7"/>
  <c r="J1642" i="7"/>
  <c r="J1641" i="7"/>
  <c r="J1640" i="7"/>
  <c r="J1639" i="7"/>
  <c r="J1638" i="7"/>
  <c r="J1637" i="7"/>
  <c r="J1636" i="7"/>
  <c r="J1635" i="7"/>
  <c r="J1634" i="7"/>
  <c r="J1633" i="7"/>
  <c r="J1632" i="7"/>
  <c r="J1631" i="7"/>
  <c r="J1630" i="7"/>
  <c r="J1629" i="7"/>
  <c r="J1628" i="7"/>
  <c r="J1627" i="7"/>
  <c r="J1626" i="7"/>
  <c r="J1625" i="7"/>
  <c r="J1624" i="7"/>
  <c r="J1623" i="7"/>
  <c r="J1622" i="7"/>
  <c r="J1621" i="7"/>
  <c r="J1620" i="7"/>
  <c r="J1619" i="7"/>
  <c r="J1618" i="7"/>
  <c r="J1617" i="7"/>
  <c r="J1616" i="7"/>
  <c r="J1615" i="7"/>
  <c r="J1614" i="7"/>
  <c r="J1613" i="7"/>
  <c r="J1612" i="7"/>
  <c r="J1611" i="7"/>
  <c r="J1610" i="7"/>
  <c r="J1609" i="7"/>
  <c r="J1608" i="7"/>
  <c r="J1607" i="7"/>
  <c r="J1606" i="7"/>
  <c r="J1605" i="7"/>
  <c r="J1604" i="7"/>
  <c r="J1603" i="7"/>
  <c r="J1602" i="7"/>
  <c r="J1601" i="7"/>
  <c r="J1600" i="7"/>
  <c r="J1599" i="7"/>
  <c r="J1598" i="7"/>
  <c r="J1597" i="7"/>
  <c r="J1596" i="7"/>
  <c r="J1595" i="7"/>
  <c r="J1594" i="7"/>
  <c r="J1593" i="7"/>
  <c r="J1592" i="7"/>
  <c r="J1591" i="7"/>
  <c r="J1590" i="7"/>
  <c r="J1589" i="7"/>
  <c r="J1588" i="7"/>
  <c r="J1587" i="7"/>
  <c r="J1586" i="7"/>
  <c r="J1585" i="7"/>
  <c r="J1584" i="7"/>
  <c r="J1583" i="7"/>
  <c r="J1582" i="7"/>
  <c r="J1581" i="7"/>
  <c r="J1580" i="7"/>
  <c r="J1579" i="7"/>
  <c r="J1578" i="7"/>
  <c r="J1577" i="7"/>
  <c r="J1576" i="7"/>
  <c r="J1575" i="7"/>
  <c r="J1574" i="7"/>
  <c r="J1573" i="7"/>
  <c r="J1572" i="7"/>
  <c r="J1571" i="7"/>
  <c r="J1570" i="7"/>
  <c r="J1569" i="7"/>
  <c r="J1568" i="7"/>
  <c r="J1567" i="7"/>
  <c r="J1566" i="7"/>
  <c r="J1565" i="7"/>
  <c r="J1564" i="7"/>
  <c r="J1563" i="7"/>
  <c r="J1562" i="7"/>
  <c r="J1561" i="7"/>
  <c r="J1560" i="7"/>
  <c r="J1559" i="7"/>
  <c r="J1558" i="7"/>
  <c r="J1557" i="7"/>
  <c r="J1556" i="7"/>
  <c r="J1555" i="7"/>
  <c r="J1554" i="7"/>
  <c r="J1553" i="7"/>
  <c r="J1552" i="7"/>
  <c r="J1551" i="7"/>
  <c r="J1550" i="7"/>
  <c r="J1549" i="7"/>
  <c r="J1548" i="7"/>
  <c r="J1547" i="7"/>
  <c r="J1546" i="7"/>
  <c r="J1545" i="7"/>
  <c r="J1544" i="7"/>
  <c r="J1543" i="7"/>
  <c r="J1542" i="7"/>
  <c r="J1541" i="7"/>
  <c r="J1540" i="7"/>
  <c r="J1539" i="7"/>
  <c r="J1538" i="7"/>
  <c r="J1537" i="7"/>
  <c r="J1536" i="7"/>
  <c r="J1535" i="7"/>
  <c r="J1534" i="7"/>
  <c r="J1533" i="7"/>
  <c r="J1532" i="7"/>
  <c r="J1531" i="7"/>
  <c r="J1530" i="7"/>
  <c r="J1529" i="7"/>
  <c r="J1528" i="7"/>
  <c r="J1527" i="7"/>
  <c r="J1526" i="7"/>
  <c r="J1525" i="7"/>
  <c r="J1524" i="7"/>
  <c r="J1523" i="7"/>
  <c r="J1522" i="7"/>
  <c r="J1521" i="7"/>
  <c r="J1520" i="7"/>
  <c r="J1519" i="7"/>
  <c r="J1518" i="7"/>
  <c r="J1517" i="7"/>
  <c r="J1516" i="7"/>
  <c r="J1515" i="7"/>
  <c r="J1514" i="7"/>
  <c r="J1513" i="7"/>
  <c r="J1512" i="7"/>
  <c r="J1511" i="7"/>
  <c r="J1510" i="7"/>
  <c r="J1509" i="7"/>
  <c r="J1508" i="7"/>
  <c r="J1507" i="7"/>
  <c r="J1506" i="7"/>
  <c r="J1505" i="7"/>
  <c r="J1504" i="7"/>
  <c r="J1503" i="7"/>
  <c r="J1502" i="7"/>
  <c r="J1501" i="7"/>
  <c r="J1500" i="7"/>
  <c r="J1499" i="7"/>
  <c r="J1498" i="7"/>
  <c r="J1497" i="7"/>
  <c r="J1496" i="7"/>
  <c r="J1495" i="7"/>
  <c r="J1494" i="7"/>
  <c r="J1493" i="7"/>
  <c r="J1492" i="7"/>
  <c r="J1491" i="7"/>
  <c r="J1490" i="7"/>
  <c r="J1489" i="7"/>
  <c r="J1488" i="7"/>
  <c r="J1487" i="7"/>
  <c r="J1486" i="7"/>
  <c r="J1485" i="7"/>
  <c r="J1484" i="7"/>
  <c r="J1483" i="7"/>
  <c r="J1482" i="7"/>
  <c r="J1481" i="7"/>
  <c r="J1480" i="7"/>
  <c r="J1479" i="7"/>
  <c r="J1478" i="7"/>
  <c r="J1477" i="7"/>
  <c r="J1476" i="7"/>
  <c r="J1475" i="7"/>
  <c r="J1474" i="7"/>
  <c r="J1473" i="7"/>
  <c r="J1472" i="7"/>
  <c r="J1471" i="7"/>
  <c r="J1470" i="7"/>
  <c r="J1469" i="7"/>
  <c r="J1468" i="7"/>
  <c r="J1467" i="7"/>
  <c r="J1466" i="7"/>
  <c r="J1465" i="7"/>
  <c r="J1464" i="7"/>
  <c r="J1463" i="7"/>
  <c r="J1462" i="7"/>
  <c r="J1461" i="7"/>
  <c r="J1460" i="7"/>
  <c r="J1459" i="7"/>
  <c r="J1457" i="7"/>
  <c r="J1456" i="7"/>
  <c r="J1455" i="7"/>
  <c r="J1454" i="7"/>
  <c r="J1453" i="7"/>
  <c r="J1452" i="7"/>
  <c r="J1451" i="7"/>
  <c r="J1450" i="7"/>
  <c r="J1449" i="7"/>
  <c r="J1448" i="7"/>
  <c r="J1447" i="7"/>
  <c r="J1446" i="7"/>
  <c r="J1415" i="7"/>
  <c r="J1428" i="7"/>
  <c r="J1427" i="7"/>
  <c r="J1432" i="7"/>
  <c r="J1419" i="7"/>
  <c r="J1425" i="7"/>
  <c r="J1424" i="7"/>
  <c r="J1423" i="7"/>
  <c r="J1412" i="7"/>
  <c r="J1411" i="7"/>
  <c r="J1398" i="7"/>
  <c r="J1408" i="7"/>
  <c r="J1409" i="7"/>
  <c r="J1397" i="7"/>
  <c r="J1396" i="7"/>
  <c r="J1395" i="7"/>
  <c r="J1394" i="7"/>
  <c r="J1393" i="7"/>
  <c r="J1392" i="7"/>
  <c r="J1390" i="7"/>
  <c r="J1382" i="7"/>
  <c r="Z1379" i="7"/>
  <c r="W1379" i="7"/>
  <c r="Z1378" i="7"/>
  <c r="W1378" i="7"/>
  <c r="Z1377" i="7"/>
  <c r="W1377" i="7"/>
  <c r="Z1374" i="7"/>
  <c r="W1374" i="7"/>
  <c r="Z1373" i="7"/>
  <c r="W1373" i="7"/>
  <c r="Z1372" i="7"/>
  <c r="W1372" i="7"/>
  <c r="Z1371" i="7"/>
  <c r="W1371" i="7"/>
  <c r="Z1370" i="7"/>
  <c r="W1370" i="7"/>
  <c r="Z1369" i="7"/>
  <c r="W1369" i="7"/>
  <c r="Z1367" i="7"/>
  <c r="W1367" i="7"/>
  <c r="Z1365" i="7"/>
  <c r="W1365" i="7"/>
  <c r="Z1361" i="7"/>
  <c r="W1361" i="7"/>
  <c r="Z1360" i="7"/>
  <c r="W1360" i="7"/>
  <c r="Z1359" i="7"/>
  <c r="W1359" i="7"/>
  <c r="Z1357" i="7"/>
  <c r="W1357" i="7"/>
  <c r="Z1354" i="7"/>
  <c r="W1354" i="7"/>
  <c r="Z1353" i="7"/>
  <c r="W1353" i="7"/>
  <c r="Z1352" i="7"/>
  <c r="W1352" i="7"/>
  <c r="Z1350" i="7"/>
  <c r="W1350" i="7"/>
  <c r="Z1348" i="7"/>
  <c r="W1348" i="7"/>
  <c r="Z1347" i="7"/>
  <c r="W1347" i="7"/>
  <c r="Z1345" i="7"/>
  <c r="W1345" i="7"/>
  <c r="Z1339" i="7"/>
  <c r="W1339" i="7"/>
  <c r="Z1337" i="7"/>
  <c r="W1337" i="7"/>
  <c r="J1368" i="7"/>
  <c r="J1363" i="7"/>
  <c r="J1362" i="7"/>
  <c r="J1364" i="7"/>
  <c r="J1341" i="7"/>
  <c r="J1356" i="7"/>
  <c r="J1352" i="7"/>
  <c r="J1351" i="7"/>
  <c r="J1346" i="7"/>
  <c r="J1345" i="7"/>
  <c r="J1344" i="7"/>
  <c r="J1343" i="7"/>
  <c r="J1348" i="7"/>
  <c r="J1337" i="7"/>
  <c r="J1342" i="7"/>
  <c r="J1340" i="7"/>
  <c r="J1339" i="7"/>
  <c r="Z1331" i="7"/>
  <c r="Z1328" i="7"/>
  <c r="Z1327" i="7"/>
  <c r="Z1326" i="7"/>
  <c r="Z1325" i="7"/>
  <c r="Z1324" i="7"/>
  <c r="Z1323" i="7"/>
  <c r="Z1322" i="7"/>
  <c r="Z1321" i="7"/>
  <c r="Z1318" i="7"/>
  <c r="Z1317" i="7"/>
  <c r="Z1316" i="7"/>
  <c r="Z1311" i="7"/>
  <c r="Z1310" i="7"/>
  <c r="Z1308" i="7"/>
  <c r="Z1303" i="7"/>
  <c r="Z1298" i="7"/>
  <c r="Z1294" i="7"/>
  <c r="W1331" i="7"/>
  <c r="W1328" i="7"/>
  <c r="W1327" i="7"/>
  <c r="W1326" i="7"/>
  <c r="W1325" i="7"/>
  <c r="W1324" i="7"/>
  <c r="W1323" i="7"/>
  <c r="W1322" i="7"/>
  <c r="W1321" i="7"/>
  <c r="W1318" i="7"/>
  <c r="W1317" i="7"/>
  <c r="W1316" i="7"/>
  <c r="W1311" i="7"/>
  <c r="W1310" i="7"/>
  <c r="W1308" i="7"/>
  <c r="W1303" i="7"/>
  <c r="W1298" i="7"/>
  <c r="W1294" i="7"/>
  <c r="J1327" i="7"/>
  <c r="J1335" i="7"/>
  <c r="J1334" i="7"/>
  <c r="J1333" i="7"/>
  <c r="J1324" i="7"/>
  <c r="J1323" i="7"/>
  <c r="J1322" i="7"/>
  <c r="J1321" i="7"/>
  <c r="J1330" i="7"/>
  <c r="J1329" i="7"/>
  <c r="J1320" i="7"/>
  <c r="J1309" i="7"/>
  <c r="J1314" i="7"/>
  <c r="J1300" i="7"/>
  <c r="L1300" i="7" s="1"/>
  <c r="M1300" i="7" s="1"/>
  <c r="J1296" i="7"/>
  <c r="L1296" i="7" s="1"/>
  <c r="M1296" i="7" s="1"/>
  <c r="J1301" i="7"/>
  <c r="L1301" i="7" s="1"/>
  <c r="M1301" i="7" s="1"/>
  <c r="J1302" i="7"/>
  <c r="J1303" i="7"/>
  <c r="J1304" i="7"/>
  <c r="L1304" i="7" s="1"/>
  <c r="M1304" i="7" s="1"/>
  <c r="J1305" i="7"/>
  <c r="L1305" i="7" s="1"/>
  <c r="M1305" i="7" s="1"/>
  <c r="J1306" i="7"/>
  <c r="J1307" i="7"/>
  <c r="J1308" i="7"/>
  <c r="L1308" i="7" s="1"/>
  <c r="M1308" i="7" s="1"/>
  <c r="J1299" i="7"/>
  <c r="L1299" i="7" s="1"/>
  <c r="M1299" i="7" s="1"/>
  <c r="J1298" i="7"/>
  <c r="J1297" i="7"/>
  <c r="L1297" i="7" s="1"/>
  <c r="M1297" i="7" s="1"/>
  <c r="Z1292" i="7"/>
  <c r="Z1290" i="7"/>
  <c r="Z1289" i="7"/>
  <c r="Z1286" i="7"/>
  <c r="Z1284" i="7"/>
  <c r="Z1283" i="7"/>
  <c r="Z1282" i="7"/>
  <c r="Z1277" i="7"/>
  <c r="Z1276" i="7"/>
  <c r="Z1273" i="7"/>
  <c r="Z1271" i="7"/>
  <c r="Z1270" i="7"/>
  <c r="Z1266" i="7"/>
  <c r="Z1265" i="7"/>
  <c r="Z1264" i="7"/>
  <c r="Z1263" i="7"/>
  <c r="Z1260" i="7"/>
  <c r="W1292" i="7"/>
  <c r="W1290" i="7"/>
  <c r="W1289" i="7"/>
  <c r="W1286" i="7"/>
  <c r="W1284" i="7"/>
  <c r="W1283" i="7"/>
  <c r="W1282" i="7"/>
  <c r="W1277" i="7"/>
  <c r="W1276" i="7"/>
  <c r="W1273" i="7"/>
  <c r="W1271" i="7"/>
  <c r="W1270" i="7"/>
  <c r="W1266" i="7"/>
  <c r="W1265" i="7"/>
  <c r="W1264" i="7"/>
  <c r="W1263" i="7"/>
  <c r="W1260" i="7"/>
  <c r="J1293" i="7"/>
  <c r="L1293" i="7" s="1"/>
  <c r="M1293" i="7" s="1"/>
  <c r="J1292" i="7"/>
  <c r="L1292" i="7" s="1"/>
  <c r="M1292" i="7" s="1"/>
  <c r="J1291" i="7"/>
  <c r="L1291" i="7" s="1"/>
  <c r="M1291" i="7" s="1"/>
  <c r="J1288" i="7"/>
  <c r="L1288" i="7" s="1"/>
  <c r="M1288" i="7" s="1"/>
  <c r="J1276" i="7"/>
  <c r="L1276" i="7" s="1"/>
  <c r="M1276" i="7" s="1"/>
  <c r="J1269" i="7"/>
  <c r="L1269" i="7" s="1"/>
  <c r="M1269" i="7" s="1"/>
  <c r="J1268" i="7"/>
  <c r="L1268" i="7" s="1"/>
  <c r="M1268" i="7" s="1"/>
  <c r="J1261" i="7"/>
  <c r="L1261" i="7" s="1"/>
  <c r="M1261" i="7" s="1"/>
  <c r="J1257" i="7"/>
  <c r="L1257" i="7" s="1"/>
  <c r="M1257" i="7" s="1"/>
  <c r="J1258" i="7"/>
  <c r="L1258" i="7" s="1"/>
  <c r="M1258" i="7" s="1"/>
  <c r="Z1252" i="7"/>
  <c r="Z1242" i="7"/>
  <c r="Z1239" i="7"/>
  <c r="Z1236" i="7"/>
  <c r="Z1230" i="7"/>
  <c r="Z1229" i="7"/>
  <c r="Z1228" i="7"/>
  <c r="Z1224" i="7"/>
  <c r="Z1222" i="7"/>
  <c r="Z1219" i="7"/>
  <c r="Z1218" i="7"/>
  <c r="Z1216" i="7"/>
  <c r="Z1213" i="7"/>
  <c r="Z1212" i="7"/>
  <c r="Z1211" i="7"/>
  <c r="Z1206" i="7"/>
  <c r="Z1205" i="7"/>
  <c r="Z1202" i="7"/>
  <c r="W1252" i="7"/>
  <c r="W1242" i="7"/>
  <c r="W1239" i="7"/>
  <c r="W1236" i="7"/>
  <c r="W1230" i="7"/>
  <c r="W1229" i="7"/>
  <c r="W1228" i="7"/>
  <c r="W1224" i="7"/>
  <c r="W1222" i="7"/>
  <c r="W1219" i="7"/>
  <c r="W1218" i="7"/>
  <c r="W1216" i="7"/>
  <c r="W1213" i="7"/>
  <c r="W1212" i="7"/>
  <c r="W1211" i="7"/>
  <c r="W1206" i="7"/>
  <c r="W1205" i="7"/>
  <c r="W1202" i="7"/>
  <c r="J1203" i="7"/>
  <c r="L1203" i="7" s="1"/>
  <c r="M1203" i="7" s="1"/>
  <c r="J1245" i="7"/>
  <c r="L1245" i="7" s="1"/>
  <c r="M1245" i="7" s="1"/>
  <c r="J1246" i="7"/>
  <c r="L1246" i="7" s="1"/>
  <c r="M1246" i="7" s="1"/>
  <c r="J1445" i="7"/>
  <c r="L1445" i="7" s="1"/>
  <c r="M1445" i="7" s="1"/>
  <c r="J1444" i="7"/>
  <c r="L1444" i="7" s="1"/>
  <c r="M1444" i="7" s="1"/>
  <c r="J1443" i="7"/>
  <c r="L1443" i="7" s="1"/>
  <c r="M1443" i="7" s="1"/>
  <c r="J1440" i="7"/>
  <c r="L1440" i="7" s="1"/>
  <c r="M1440" i="7" s="1"/>
  <c r="J1439" i="7"/>
  <c r="L1439" i="7" s="1"/>
  <c r="M1439" i="7" s="1"/>
  <c r="J1438" i="7"/>
  <c r="L1438" i="7" s="1"/>
  <c r="M1438" i="7" s="1"/>
  <c r="J1437" i="7"/>
  <c r="L1437" i="7" s="1"/>
  <c r="M1437" i="7" s="1"/>
  <c r="J1436" i="7"/>
  <c r="L1436" i="7" s="1"/>
  <c r="M1436" i="7" s="1"/>
  <c r="J1435" i="7"/>
  <c r="L1435" i="7" s="1"/>
  <c r="M1435" i="7" s="1"/>
  <c r="J1434" i="7"/>
  <c r="L1434" i="7" s="1"/>
  <c r="M1434" i="7" s="1"/>
  <c r="J1433" i="7"/>
  <c r="L1433" i="7" s="1"/>
  <c r="M1433" i="7" s="1"/>
  <c r="J1431" i="7"/>
  <c r="L1431" i="7" s="1"/>
  <c r="M1431" i="7" s="1"/>
  <c r="J1430" i="7"/>
  <c r="L1430" i="7" s="1"/>
  <c r="M1430" i="7" s="1"/>
  <c r="J1429" i="7"/>
  <c r="L1429" i="7" s="1"/>
  <c r="M1429" i="7" s="1"/>
  <c r="J1426" i="7"/>
  <c r="L1426" i="7" s="1"/>
  <c r="M1426" i="7" s="1"/>
  <c r="J1422" i="7"/>
  <c r="L1422" i="7" s="1"/>
  <c r="M1422" i="7" s="1"/>
  <c r="J1418" i="7"/>
  <c r="L1418" i="7" s="1"/>
  <c r="M1418" i="7" s="1"/>
  <c r="J1417" i="7"/>
  <c r="L1417" i="7" s="1"/>
  <c r="M1417" i="7" s="1"/>
  <c r="J1416" i="7"/>
  <c r="L1416" i="7" s="1"/>
  <c r="M1416" i="7" s="1"/>
  <c r="J1414" i="7"/>
  <c r="L1414" i="7" s="1"/>
  <c r="M1414" i="7" s="1"/>
  <c r="J1410" i="7"/>
  <c r="L1410" i="7" s="1"/>
  <c r="M1410" i="7" s="1"/>
  <c r="J1407" i="7"/>
  <c r="L1407" i="7" s="1"/>
  <c r="M1407" i="7" s="1"/>
  <c r="J1406" i="7"/>
  <c r="L1406" i="7" s="1"/>
  <c r="M1406" i="7" s="1"/>
  <c r="J1405" i="7"/>
  <c r="L1405" i="7" s="1"/>
  <c r="M1405" i="7" s="1"/>
  <c r="J1404" i="7"/>
  <c r="L1404" i="7" s="1"/>
  <c r="M1404" i="7" s="1"/>
  <c r="J1403" i="7"/>
  <c r="L1403" i="7" s="1"/>
  <c r="M1403" i="7" s="1"/>
  <c r="J1402" i="7"/>
  <c r="L1402" i="7" s="1"/>
  <c r="M1402" i="7" s="1"/>
  <c r="J1401" i="7"/>
  <c r="L1401" i="7" s="1"/>
  <c r="M1401" i="7" s="1"/>
  <c r="J1400" i="7"/>
  <c r="L1400" i="7" s="1"/>
  <c r="M1400" i="7" s="1"/>
  <c r="J1399" i="7"/>
  <c r="L1399" i="7" s="1"/>
  <c r="M1399" i="7" s="1"/>
  <c r="J1391" i="7"/>
  <c r="L1391" i="7" s="1"/>
  <c r="M1391" i="7" s="1"/>
  <c r="J1389" i="7"/>
  <c r="L1389" i="7" s="1"/>
  <c r="M1389" i="7" s="1"/>
  <c r="J1388" i="7"/>
  <c r="L1388" i="7" s="1"/>
  <c r="M1388" i="7" s="1"/>
  <c r="J1386" i="7"/>
  <c r="L1386" i="7" s="1"/>
  <c r="M1386" i="7" s="1"/>
  <c r="J1385" i="7"/>
  <c r="L1385" i="7" s="1"/>
  <c r="M1385" i="7" s="1"/>
  <c r="J1384" i="7"/>
  <c r="L1384" i="7" s="1"/>
  <c r="M1384" i="7" s="1"/>
  <c r="J1383" i="7"/>
  <c r="L1383" i="7" s="1"/>
  <c r="M1383" i="7" s="1"/>
  <c r="J1381" i="7"/>
  <c r="L1381" i="7" s="1"/>
  <c r="M1381" i="7" s="1"/>
  <c r="J1380" i="7"/>
  <c r="L1380" i="7" s="1"/>
  <c r="M1380" i="7" s="1"/>
  <c r="J1379" i="7"/>
  <c r="L1379" i="7" s="1"/>
  <c r="M1379" i="7" s="1"/>
  <c r="J1212" i="7"/>
  <c r="L1212" i="7" s="1"/>
  <c r="M1212" i="7" s="1"/>
  <c r="J1211" i="7"/>
  <c r="L1211" i="7" s="1"/>
  <c r="M1211" i="7" s="1"/>
  <c r="J1202" i="7"/>
  <c r="L1202" i="7" s="1"/>
  <c r="J1234" i="7"/>
  <c r="L1234" i="7" s="1"/>
  <c r="M1234" i="7" s="1"/>
  <c r="J1233" i="7"/>
  <c r="L1233" i="7" s="1"/>
  <c r="M1233" i="7" s="1"/>
  <c r="AA1444" i="7" l="1"/>
  <c r="AA1439" i="7"/>
  <c r="AA1437" i="7"/>
  <c r="AA1431" i="7"/>
  <c r="AA1435" i="7"/>
  <c r="AA1434" i="7"/>
  <c r="AA1433" i="7"/>
  <c r="AA1430" i="7"/>
  <c r="AA1429" i="7"/>
  <c r="AA1426" i="7"/>
  <c r="AA1422" i="7"/>
  <c r="AA1417" i="7"/>
  <c r="AA1406" i="7"/>
  <c r="AA1405" i="7"/>
  <c r="AA1403" i="7"/>
  <c r="AA1404" i="7"/>
  <c r="AA1388" i="7"/>
  <c r="AA1386" i="7"/>
  <c r="AA1385" i="7"/>
  <c r="AA1384" i="7"/>
  <c r="AA1402" i="7"/>
  <c r="AA1399" i="7"/>
  <c r="L1421" i="7"/>
  <c r="M1421" i="7" s="1"/>
  <c r="L1420" i="7"/>
  <c r="M1420" i="7" s="1"/>
  <c r="L1413" i="7"/>
  <c r="M1413" i="7" s="1"/>
  <c r="L1728" i="7"/>
  <c r="L1684" i="7"/>
  <c r="L1640" i="7"/>
  <c r="L1560" i="7"/>
  <c r="L1727" i="7"/>
  <c r="M1727" i="7" s="1"/>
  <c r="L1726" i="7"/>
  <c r="M1726" i="7" s="1"/>
  <c r="L1689" i="7"/>
  <c r="M1689" i="7" s="1"/>
  <c r="L1685" i="7"/>
  <c r="M1685" i="7" s="1"/>
  <c r="L1672" i="7"/>
  <c r="M1672" i="7" s="1"/>
  <c r="L1671" i="7"/>
  <c r="M1671" i="7" s="1"/>
  <c r="L1661" i="7"/>
  <c r="M1661" i="7" s="1"/>
  <c r="L1658" i="7"/>
  <c r="M1658" i="7" s="1"/>
  <c r="L1652" i="7"/>
  <c r="M1652" i="7" s="1"/>
  <c r="L1648" i="7"/>
  <c r="M1648" i="7" s="1"/>
  <c r="L1646" i="7"/>
  <c r="M1646" i="7" s="1"/>
  <c r="L1645" i="7"/>
  <c r="M1645" i="7" s="1"/>
  <c r="L1630" i="7"/>
  <c r="M1630" i="7" s="1"/>
  <c r="L1629" i="7"/>
  <c r="M1629" i="7" s="1"/>
  <c r="L1627" i="7"/>
  <c r="M1627" i="7" s="1"/>
  <c r="L1626" i="7"/>
  <c r="M1626" i="7" s="1"/>
  <c r="L1625" i="7"/>
  <c r="M1625" i="7" s="1"/>
  <c r="L1623" i="7"/>
  <c r="M1623" i="7" s="1"/>
  <c r="L1620" i="7"/>
  <c r="M1620" i="7" s="1"/>
  <c r="L1618" i="7"/>
  <c r="M1618" i="7" s="1"/>
  <c r="L1610" i="7"/>
  <c r="M1610" i="7" s="1"/>
  <c r="L1607" i="7"/>
  <c r="M1607" i="7" s="1"/>
  <c r="L1601" i="7"/>
  <c r="M1601" i="7" s="1"/>
  <c r="L1557" i="7"/>
  <c r="M1557" i="7" s="1"/>
  <c r="L1553" i="7"/>
  <c r="M1553" i="7" s="1"/>
  <c r="L1683" i="7"/>
  <c r="M1683" i="7" s="1"/>
  <c r="L1682" i="7"/>
  <c r="M1682" i="7" s="1"/>
  <c r="L1681" i="7"/>
  <c r="M1681" i="7" s="1"/>
  <c r="L1680" i="7"/>
  <c r="M1680" i="7" s="1"/>
  <c r="L1679" i="7"/>
  <c r="M1679" i="7" s="1"/>
  <c r="L1678" i="7"/>
  <c r="M1678" i="7" s="1"/>
  <c r="L1677" i="7"/>
  <c r="M1677" i="7" s="1"/>
  <c r="L1676" i="7"/>
  <c r="M1676" i="7" s="1"/>
  <c r="L1665" i="7"/>
  <c r="M1665" i="7" s="1"/>
  <c r="L1662" i="7"/>
  <c r="M1662" i="7" s="1"/>
  <c r="L1660" i="7"/>
  <c r="M1660" i="7" s="1"/>
  <c r="L1656" i="7"/>
  <c r="M1656" i="7" s="1"/>
  <c r="L1654" i="7"/>
  <c r="M1654" i="7" s="1"/>
  <c r="L1653" i="7"/>
  <c r="M1653" i="7" s="1"/>
  <c r="L1647" i="7"/>
  <c r="M1647" i="7" s="1"/>
  <c r="L1641" i="7"/>
  <c r="M1641" i="7" s="1"/>
  <c r="L1639" i="7"/>
  <c r="M1639" i="7" s="1"/>
  <c r="L1636" i="7"/>
  <c r="M1636" i="7" s="1"/>
  <c r="L1622" i="7"/>
  <c r="M1622" i="7" s="1"/>
  <c r="L1604" i="7"/>
  <c r="M1604" i="7" s="1"/>
  <c r="L1559" i="7"/>
  <c r="M1559" i="7" s="1"/>
  <c r="L1558" i="7"/>
  <c r="M1558" i="7" s="1"/>
  <c r="L1556" i="7"/>
  <c r="M1556" i="7" s="1"/>
  <c r="L1596" i="7"/>
  <c r="M1596" i="7" s="1"/>
  <c r="L1595" i="7"/>
  <c r="M1595" i="7" s="1"/>
  <c r="L1594" i="7"/>
  <c r="M1594" i="7" s="1"/>
  <c r="L1593" i="7"/>
  <c r="M1593" i="7" s="1"/>
  <c r="L1592" i="7"/>
  <c r="M1592" i="7" s="1"/>
  <c r="L1591" i="7"/>
  <c r="M1591" i="7" s="1"/>
  <c r="L1590" i="7"/>
  <c r="M1590" i="7" s="1"/>
  <c r="L1589" i="7"/>
  <c r="M1589" i="7" s="1"/>
  <c r="L1588" i="7"/>
  <c r="M1588" i="7" s="1"/>
  <c r="L1587" i="7"/>
  <c r="M1587" i="7" s="1"/>
  <c r="L1586" i="7"/>
  <c r="M1586" i="7" s="1"/>
  <c r="L1585" i="7"/>
  <c r="M1585" i="7" s="1"/>
  <c r="L1584" i="7"/>
  <c r="M1584" i="7" s="1"/>
  <c r="L1583" i="7"/>
  <c r="M1583" i="7" s="1"/>
  <c r="L1582" i="7"/>
  <c r="M1582" i="7" s="1"/>
  <c r="L1581" i="7"/>
  <c r="M1581" i="7" s="1"/>
  <c r="L1580" i="7"/>
  <c r="M1580" i="7" s="1"/>
  <c r="L1579" i="7"/>
  <c r="M1579" i="7" s="1"/>
  <c r="L1578" i="7"/>
  <c r="M1578" i="7" s="1"/>
  <c r="L1577" i="7"/>
  <c r="M1577" i="7" s="1"/>
  <c r="L1576" i="7"/>
  <c r="M1576" i="7" s="1"/>
  <c r="L1575" i="7"/>
  <c r="M1575" i="7" s="1"/>
  <c r="L1574" i="7"/>
  <c r="M1574" i="7" s="1"/>
  <c r="L1573" i="7"/>
  <c r="M1573" i="7" s="1"/>
  <c r="L1572" i="7"/>
  <c r="M1572" i="7" s="1"/>
  <c r="L1571" i="7"/>
  <c r="M1571" i="7" s="1"/>
  <c r="L1570" i="7"/>
  <c r="M1570" i="7" s="1"/>
  <c r="L1569" i="7"/>
  <c r="M1569" i="7" s="1"/>
  <c r="L1568" i="7"/>
  <c r="M1568" i="7" s="1"/>
  <c r="L1567" i="7"/>
  <c r="M1567" i="7" s="1"/>
  <c r="L1566" i="7"/>
  <c r="M1566" i="7" s="1"/>
  <c r="L1552" i="7"/>
  <c r="M1552" i="7" s="1"/>
  <c r="L1551" i="7"/>
  <c r="M1551" i="7" s="1"/>
  <c r="L1550" i="7"/>
  <c r="M1550" i="7" s="1"/>
  <c r="L1549" i="7"/>
  <c r="M1549" i="7" s="1"/>
  <c r="L1548" i="7"/>
  <c r="M1548" i="7" s="1"/>
  <c r="L1547" i="7"/>
  <c r="M1547" i="7" s="1"/>
  <c r="L1546" i="7"/>
  <c r="M1546" i="7" s="1"/>
  <c r="L1545" i="7"/>
  <c r="M1545" i="7" s="1"/>
  <c r="L1544" i="7"/>
  <c r="M1544" i="7" s="1"/>
  <c r="L1543" i="7"/>
  <c r="M1543" i="7" s="1"/>
  <c r="L1542" i="7"/>
  <c r="M1542" i="7" s="1"/>
  <c r="L1541" i="7"/>
  <c r="M1541" i="7" s="1"/>
  <c r="L1540" i="7"/>
  <c r="M1540" i="7" s="1"/>
  <c r="L1539" i="7"/>
  <c r="M1539" i="7" s="1"/>
  <c r="L1538" i="7"/>
  <c r="M1538" i="7" s="1"/>
  <c r="L1537" i="7"/>
  <c r="M1537" i="7" s="1"/>
  <c r="L1536" i="7"/>
  <c r="M1536" i="7" s="1"/>
  <c r="L1535" i="7"/>
  <c r="M1535" i="7" s="1"/>
  <c r="L1534" i="7"/>
  <c r="M1534" i="7" s="1"/>
  <c r="L1533" i="7"/>
  <c r="M1533" i="7" s="1"/>
  <c r="L1532" i="7"/>
  <c r="M1532" i="7" s="1"/>
  <c r="L1531" i="7"/>
  <c r="M1531" i="7" s="1"/>
  <c r="L1530" i="7"/>
  <c r="M1530" i="7" s="1"/>
  <c r="L1529" i="7"/>
  <c r="M1529" i="7" s="1"/>
  <c r="L1528" i="7"/>
  <c r="M1528" i="7" s="1"/>
  <c r="L1527" i="7"/>
  <c r="M1527" i="7" s="1"/>
  <c r="L1526" i="7"/>
  <c r="M1526" i="7" s="1"/>
  <c r="L1525" i="7"/>
  <c r="M1525" i="7" s="1"/>
  <c r="L1524" i="7"/>
  <c r="M1524" i="7" s="1"/>
  <c r="L1523" i="7"/>
  <c r="M1523" i="7" s="1"/>
  <c r="L1522" i="7"/>
  <c r="M1522" i="7" s="1"/>
  <c r="L1521" i="7"/>
  <c r="M1521" i="7" s="1"/>
  <c r="L1520" i="7"/>
  <c r="M1520" i="7" s="1"/>
  <c r="L1519" i="7"/>
  <c r="M1519" i="7" s="1"/>
  <c r="L1518" i="7"/>
  <c r="M1518" i="7" s="1"/>
  <c r="L1517" i="7"/>
  <c r="M1517" i="7" s="1"/>
  <c r="L1516" i="7"/>
  <c r="M1516" i="7" s="1"/>
  <c r="L1515" i="7"/>
  <c r="M1515" i="7" s="1"/>
  <c r="L1514" i="7"/>
  <c r="M1514" i="7" s="1"/>
  <c r="L1513" i="7"/>
  <c r="M1513" i="7" s="1"/>
  <c r="L1512" i="7"/>
  <c r="M1512" i="7" s="1"/>
  <c r="L1511" i="7"/>
  <c r="M1511" i="7" s="1"/>
  <c r="L1510" i="7"/>
  <c r="M1510" i="7" s="1"/>
  <c r="L1509" i="7"/>
  <c r="M1509" i="7" s="1"/>
  <c r="L1508" i="7"/>
  <c r="M1508" i="7" s="1"/>
  <c r="L1507" i="7"/>
  <c r="M1507" i="7" s="1"/>
  <c r="L1506" i="7"/>
  <c r="M1506" i="7" s="1"/>
  <c r="L1505" i="7"/>
  <c r="M1505" i="7" s="1"/>
  <c r="L1504" i="7"/>
  <c r="M1504" i="7" s="1"/>
  <c r="L1503" i="7"/>
  <c r="M1503" i="7" s="1"/>
  <c r="L1502" i="7"/>
  <c r="M1502" i="7" s="1"/>
  <c r="L1501" i="7"/>
  <c r="M1501" i="7" s="1"/>
  <c r="L1500" i="7"/>
  <c r="M1500" i="7" s="1"/>
  <c r="L1499" i="7"/>
  <c r="M1499" i="7" s="1"/>
  <c r="L1498" i="7"/>
  <c r="M1498" i="7" s="1"/>
  <c r="L1497" i="7"/>
  <c r="M1497" i="7" s="1"/>
  <c r="L1496" i="7"/>
  <c r="M1496" i="7" s="1"/>
  <c r="L1495" i="7"/>
  <c r="M1495" i="7" s="1"/>
  <c r="L1494" i="7"/>
  <c r="M1494" i="7" s="1"/>
  <c r="L1493" i="7"/>
  <c r="M1493" i="7" s="1"/>
  <c r="L1492" i="7"/>
  <c r="M1492" i="7" s="1"/>
  <c r="L1491" i="7"/>
  <c r="M1491" i="7" s="1"/>
  <c r="L1490" i="7"/>
  <c r="M1490" i="7" s="1"/>
  <c r="L1489" i="7"/>
  <c r="M1489" i="7" s="1"/>
  <c r="L1488" i="7"/>
  <c r="M1488" i="7" s="1"/>
  <c r="L1487" i="7"/>
  <c r="M1487" i="7" s="1"/>
  <c r="L1486" i="7"/>
  <c r="M1486" i="7" s="1"/>
  <c r="L1485" i="7"/>
  <c r="M1485" i="7" s="1"/>
  <c r="L1484" i="7"/>
  <c r="M1484" i="7" s="1"/>
  <c r="L1483" i="7"/>
  <c r="M1483" i="7" s="1"/>
  <c r="L1482" i="7"/>
  <c r="M1482" i="7" s="1"/>
  <c r="L1481" i="7"/>
  <c r="M1481" i="7" s="1"/>
  <c r="L1480" i="7"/>
  <c r="M1480" i="7" s="1"/>
  <c r="L1479" i="7"/>
  <c r="M1479" i="7" s="1"/>
  <c r="L1478" i="7"/>
  <c r="M1478" i="7" s="1"/>
  <c r="L1477" i="7"/>
  <c r="M1477" i="7" s="1"/>
  <c r="L1476" i="7"/>
  <c r="M1476" i="7" s="1"/>
  <c r="L1475" i="7"/>
  <c r="M1475" i="7" s="1"/>
  <c r="L1474" i="7"/>
  <c r="M1474" i="7" s="1"/>
  <c r="L1473" i="7"/>
  <c r="M1473" i="7" s="1"/>
  <c r="L1472" i="7"/>
  <c r="M1472" i="7" s="1"/>
  <c r="L1471" i="7"/>
  <c r="M1471" i="7" s="1"/>
  <c r="L1470" i="7"/>
  <c r="M1470" i="7" s="1"/>
  <c r="L1469" i="7"/>
  <c r="M1469" i="7" s="1"/>
  <c r="L1468" i="7"/>
  <c r="M1468" i="7" s="1"/>
  <c r="L1467" i="7"/>
  <c r="M1467" i="7" s="1"/>
  <c r="L1466" i="7"/>
  <c r="M1466" i="7" s="1"/>
  <c r="L1465" i="7"/>
  <c r="M1465" i="7" s="1"/>
  <c r="L1464" i="7"/>
  <c r="M1464" i="7" s="1"/>
  <c r="L1463" i="7"/>
  <c r="M1463" i="7" s="1"/>
  <c r="L1462" i="7"/>
  <c r="M1462" i="7" s="1"/>
  <c r="L1461" i="7"/>
  <c r="M1461" i="7" s="1"/>
  <c r="L1460" i="7"/>
  <c r="M1460" i="7" s="1"/>
  <c r="L1459" i="7"/>
  <c r="M1459" i="7" s="1"/>
  <c r="L1457" i="7"/>
  <c r="M1457" i="7" s="1"/>
  <c r="L1456" i="7"/>
  <c r="M1456" i="7" s="1"/>
  <c r="L1455" i="7"/>
  <c r="M1455" i="7" s="1"/>
  <c r="L1454" i="7"/>
  <c r="M1454" i="7" s="1"/>
  <c r="L1453" i="7"/>
  <c r="L1452" i="7"/>
  <c r="M1452" i="7" s="1"/>
  <c r="L1451" i="7"/>
  <c r="L1450" i="7"/>
  <c r="M1450" i="7" s="1"/>
  <c r="L1449" i="7"/>
  <c r="L1448" i="7"/>
  <c r="L1447" i="7"/>
  <c r="M1447" i="7" s="1"/>
  <c r="L1446" i="7"/>
  <c r="M1446" i="7" s="1"/>
  <c r="L1611" i="7"/>
  <c r="M1611" i="7" s="1"/>
  <c r="L1609" i="7"/>
  <c r="M1609" i="7" s="1"/>
  <c r="L1608" i="7"/>
  <c r="M1608" i="7" s="1"/>
  <c r="L1602" i="7"/>
  <c r="M1602" i="7" s="1"/>
  <c r="L1598" i="7"/>
  <c r="M1598" i="7" s="1"/>
  <c r="L1564" i="7"/>
  <c r="M1564" i="7" s="1"/>
  <c r="L1705" i="7"/>
  <c r="M1705" i="7" s="1"/>
  <c r="L1704" i="7"/>
  <c r="M1704" i="7" s="1"/>
  <c r="L1700" i="7"/>
  <c r="M1700" i="7" s="1"/>
  <c r="L1699" i="7"/>
  <c r="M1699" i="7" s="1"/>
  <c r="L1695" i="7"/>
  <c r="M1695" i="7" s="1"/>
  <c r="L1688" i="7"/>
  <c r="M1688" i="7" s="1"/>
  <c r="L1687" i="7"/>
  <c r="M1687" i="7" s="1"/>
  <c r="L1686" i="7"/>
  <c r="M1686" i="7" s="1"/>
  <c r="L1668" i="7"/>
  <c r="M1668" i="7" s="1"/>
  <c r="L1667" i="7"/>
  <c r="M1667" i="7" s="1"/>
  <c r="L1666" i="7"/>
  <c r="M1666" i="7" s="1"/>
  <c r="L1664" i="7"/>
  <c r="M1664" i="7" s="1"/>
  <c r="L1663" i="7"/>
  <c r="M1663" i="7" s="1"/>
  <c r="L1655" i="7"/>
  <c r="M1655" i="7" s="1"/>
  <c r="L1651" i="7"/>
  <c r="M1651" i="7" s="1"/>
  <c r="L1650" i="7"/>
  <c r="M1650" i="7" s="1"/>
  <c r="L1649" i="7"/>
  <c r="M1649" i="7" s="1"/>
  <c r="L1642" i="7"/>
  <c r="M1642" i="7" s="1"/>
  <c r="L1638" i="7"/>
  <c r="M1638" i="7" s="1"/>
  <c r="L1628" i="7"/>
  <c r="M1628" i="7" s="1"/>
  <c r="L1615" i="7"/>
  <c r="M1615" i="7" s="1"/>
  <c r="L1613" i="7"/>
  <c r="M1613" i="7" s="1"/>
  <c r="L1612" i="7"/>
  <c r="M1612" i="7" s="1"/>
  <c r="L1603" i="7"/>
  <c r="M1603" i="7" s="1"/>
  <c r="L1599" i="7"/>
  <c r="M1599" i="7" s="1"/>
  <c r="L1562" i="7"/>
  <c r="M1562" i="7" s="1"/>
  <c r="L1708" i="7"/>
  <c r="M1708" i="7" s="1"/>
  <c r="L1697" i="7"/>
  <c r="M1697" i="7" s="1"/>
  <c r="L1694" i="7"/>
  <c r="M1694" i="7" s="1"/>
  <c r="L1693" i="7"/>
  <c r="M1693" i="7" s="1"/>
  <c r="L1691" i="7"/>
  <c r="M1691" i="7" s="1"/>
  <c r="L1675" i="7"/>
  <c r="M1675" i="7" s="1"/>
  <c r="L1674" i="7"/>
  <c r="M1674" i="7" s="1"/>
  <c r="L1673" i="7"/>
  <c r="M1673" i="7" s="1"/>
  <c r="L1670" i="7"/>
  <c r="M1670" i="7" s="1"/>
  <c r="L1669" i="7"/>
  <c r="M1669" i="7" s="1"/>
  <c r="L1659" i="7"/>
  <c r="M1659" i="7" s="1"/>
  <c r="L1644" i="7"/>
  <c r="M1644" i="7" s="1"/>
  <c r="L1643" i="7"/>
  <c r="M1643" i="7" s="1"/>
  <c r="L1637" i="7"/>
  <c r="M1637" i="7" s="1"/>
  <c r="L1633" i="7"/>
  <c r="M1633" i="7" s="1"/>
  <c r="L1632" i="7"/>
  <c r="M1632" i="7" s="1"/>
  <c r="L1624" i="7"/>
  <c r="M1624" i="7" s="1"/>
  <c r="L1621" i="7"/>
  <c r="M1621" i="7" s="1"/>
  <c r="L1614" i="7"/>
  <c r="M1614" i="7" s="1"/>
  <c r="L1605" i="7"/>
  <c r="M1605" i="7" s="1"/>
  <c r="L1563" i="7"/>
  <c r="M1563" i="7" s="1"/>
  <c r="L1555" i="7"/>
  <c r="M1555" i="7" s="1"/>
  <c r="L1554" i="7"/>
  <c r="M1554" i="7" s="1"/>
  <c r="L1771" i="7"/>
  <c r="M1771" i="7" s="1"/>
  <c r="L1770" i="7"/>
  <c r="M1770" i="7" s="1"/>
  <c r="L1769" i="7"/>
  <c r="M1769" i="7" s="1"/>
  <c r="L1768" i="7"/>
  <c r="M1768" i="7" s="1"/>
  <c r="L1767" i="7"/>
  <c r="M1767" i="7" s="1"/>
  <c r="L1766" i="7"/>
  <c r="M1766" i="7" s="1"/>
  <c r="L1765" i="7"/>
  <c r="M1765" i="7" s="1"/>
  <c r="L1764" i="7"/>
  <c r="M1764" i="7" s="1"/>
  <c r="L1763" i="7"/>
  <c r="M1763" i="7" s="1"/>
  <c r="L1762" i="7"/>
  <c r="M1762" i="7" s="1"/>
  <c r="L1761" i="7"/>
  <c r="M1761" i="7" s="1"/>
  <c r="L1760" i="7"/>
  <c r="M1760" i="7" s="1"/>
  <c r="L1759" i="7"/>
  <c r="M1759" i="7" s="1"/>
  <c r="L1758" i="7"/>
  <c r="M1758" i="7" s="1"/>
  <c r="L1757" i="7"/>
  <c r="M1757" i="7" s="1"/>
  <c r="L1756" i="7"/>
  <c r="M1756" i="7" s="1"/>
  <c r="L1755" i="7"/>
  <c r="M1755" i="7" s="1"/>
  <c r="L1754" i="7"/>
  <c r="M1754" i="7" s="1"/>
  <c r="L1753" i="7"/>
  <c r="M1753" i="7" s="1"/>
  <c r="L1752" i="7"/>
  <c r="M1752" i="7" s="1"/>
  <c r="L1751" i="7"/>
  <c r="M1751" i="7" s="1"/>
  <c r="L1750" i="7"/>
  <c r="M1750" i="7" s="1"/>
  <c r="L1749" i="7"/>
  <c r="M1749" i="7" s="1"/>
  <c r="L1748" i="7"/>
  <c r="M1748" i="7" s="1"/>
  <c r="L1747" i="7"/>
  <c r="M1747" i="7" s="1"/>
  <c r="L1746" i="7"/>
  <c r="M1746" i="7" s="1"/>
  <c r="L1745" i="7"/>
  <c r="M1745" i="7" s="1"/>
  <c r="L1744" i="7"/>
  <c r="M1744" i="7" s="1"/>
  <c r="L1743" i="7"/>
  <c r="M1743" i="7" s="1"/>
  <c r="L1742" i="7"/>
  <c r="M1742" i="7" s="1"/>
  <c r="L1741" i="7"/>
  <c r="M1741" i="7" s="1"/>
  <c r="L1740" i="7"/>
  <c r="M1740" i="7" s="1"/>
  <c r="L1739" i="7"/>
  <c r="M1739" i="7" s="1"/>
  <c r="L1738" i="7"/>
  <c r="M1738" i="7" s="1"/>
  <c r="L1737" i="7"/>
  <c r="M1737" i="7" s="1"/>
  <c r="L1736" i="7"/>
  <c r="M1736" i="7" s="1"/>
  <c r="L1735" i="7"/>
  <c r="M1735" i="7" s="1"/>
  <c r="L1734" i="7"/>
  <c r="M1734" i="7" s="1"/>
  <c r="L1733" i="7"/>
  <c r="M1733" i="7" s="1"/>
  <c r="L1732" i="7"/>
  <c r="M1732" i="7" s="1"/>
  <c r="L1731" i="7"/>
  <c r="M1731" i="7" s="1"/>
  <c r="L1730" i="7"/>
  <c r="M1730" i="7" s="1"/>
  <c r="L1729" i="7"/>
  <c r="M1729" i="7" s="1"/>
  <c r="L1725" i="7"/>
  <c r="M1725" i="7" s="1"/>
  <c r="L1724" i="7"/>
  <c r="M1724" i="7" s="1"/>
  <c r="L1723" i="7"/>
  <c r="M1723" i="7" s="1"/>
  <c r="L1722" i="7"/>
  <c r="M1722" i="7" s="1"/>
  <c r="L1721" i="7"/>
  <c r="M1721" i="7" s="1"/>
  <c r="L1720" i="7"/>
  <c r="M1720" i="7" s="1"/>
  <c r="L1719" i="7"/>
  <c r="M1719" i="7" s="1"/>
  <c r="L1718" i="7"/>
  <c r="M1718" i="7" s="1"/>
  <c r="L1717" i="7"/>
  <c r="M1717" i="7" s="1"/>
  <c r="L1716" i="7"/>
  <c r="M1716" i="7" s="1"/>
  <c r="L1715" i="7"/>
  <c r="M1715" i="7" s="1"/>
  <c r="L1714" i="7"/>
  <c r="M1714" i="7" s="1"/>
  <c r="L1713" i="7"/>
  <c r="M1713" i="7" s="1"/>
  <c r="L1712" i="7"/>
  <c r="M1712" i="7" s="1"/>
  <c r="L1711" i="7"/>
  <c r="M1711" i="7" s="1"/>
  <c r="L1710" i="7"/>
  <c r="M1710" i="7" s="1"/>
  <c r="L1709" i="7"/>
  <c r="M1709" i="7" s="1"/>
  <c r="L1707" i="7"/>
  <c r="M1707" i="7" s="1"/>
  <c r="L1706" i="7"/>
  <c r="M1706" i="7" s="1"/>
  <c r="L1703" i="7"/>
  <c r="M1703" i="7" s="1"/>
  <c r="L1702" i="7"/>
  <c r="M1702" i="7" s="1"/>
  <c r="L1701" i="7"/>
  <c r="M1701" i="7" s="1"/>
  <c r="L1698" i="7"/>
  <c r="M1698" i="7" s="1"/>
  <c r="L1696" i="7"/>
  <c r="M1696" i="7" s="1"/>
  <c r="L1692" i="7"/>
  <c r="M1692" i="7" s="1"/>
  <c r="L1690" i="7"/>
  <c r="M1690" i="7" s="1"/>
  <c r="L1657" i="7"/>
  <c r="M1657" i="7" s="1"/>
  <c r="L1635" i="7"/>
  <c r="M1635" i="7" s="1"/>
  <c r="L1634" i="7"/>
  <c r="M1634" i="7" s="1"/>
  <c r="L1631" i="7"/>
  <c r="M1631" i="7" s="1"/>
  <c r="L1619" i="7"/>
  <c r="M1619" i="7" s="1"/>
  <c r="L1617" i="7"/>
  <c r="M1617" i="7" s="1"/>
  <c r="L1616" i="7"/>
  <c r="M1616" i="7" s="1"/>
  <c r="L1606" i="7"/>
  <c r="M1606" i="7" s="1"/>
  <c r="L1600" i="7"/>
  <c r="M1600" i="7" s="1"/>
  <c r="L1597" i="7"/>
  <c r="M1597" i="7" s="1"/>
  <c r="L1565" i="7"/>
  <c r="M1565" i="7" s="1"/>
  <c r="L1561" i="7"/>
  <c r="M1561" i="7" s="1"/>
  <c r="L1415" i="7"/>
  <c r="M1415" i="7" s="1"/>
  <c r="L1427" i="7"/>
  <c r="M1427" i="7" s="1"/>
  <c r="L1428" i="7"/>
  <c r="M1428" i="7" s="1"/>
  <c r="L1432" i="7"/>
  <c r="M1432" i="7" s="1"/>
  <c r="L1419" i="7"/>
  <c r="M1419" i="7" s="1"/>
  <c r="L1425" i="7"/>
  <c r="M1425" i="7" s="1"/>
  <c r="L1424" i="7"/>
  <c r="M1424" i="7" s="1"/>
  <c r="L1423" i="7"/>
  <c r="M1423" i="7" s="1"/>
  <c r="L1412" i="7"/>
  <c r="M1412" i="7" s="1"/>
  <c r="L1411" i="7"/>
  <c r="M1411" i="7" s="1"/>
  <c r="L1398" i="7"/>
  <c r="M1398" i="7" s="1"/>
  <c r="L1408" i="7"/>
  <c r="L1409" i="7"/>
  <c r="M1409" i="7" s="1"/>
  <c r="L1397" i="7"/>
  <c r="L1396" i="7"/>
  <c r="L1394" i="7"/>
  <c r="L1395" i="7"/>
  <c r="L1393" i="7"/>
  <c r="M1393" i="7" s="1"/>
  <c r="L1392" i="7"/>
  <c r="M1392" i="7" s="1"/>
  <c r="L1390" i="7"/>
  <c r="M1390" i="7" s="1"/>
  <c r="L1382" i="7"/>
  <c r="M1382" i="7" s="1"/>
  <c r="AA1379" i="7"/>
  <c r="L1368" i="7"/>
  <c r="M1368" i="7" s="1"/>
  <c r="L1363" i="7"/>
  <c r="M1363" i="7" s="1"/>
  <c r="L1362" i="7"/>
  <c r="M1362" i="7" s="1"/>
  <c r="L1364" i="7"/>
  <c r="M1364" i="7" s="1"/>
  <c r="L1341" i="7"/>
  <c r="M1341" i="7" s="1"/>
  <c r="L1356" i="7"/>
  <c r="M1356" i="7" s="1"/>
  <c r="L1352" i="7"/>
  <c r="M1352" i="7" s="1"/>
  <c r="L1351" i="7"/>
  <c r="M1351" i="7" s="1"/>
  <c r="L1346" i="7"/>
  <c r="M1346" i="7" s="1"/>
  <c r="L1344" i="7"/>
  <c r="M1344" i="7" s="1"/>
  <c r="L1345" i="7"/>
  <c r="M1345" i="7" s="1"/>
  <c r="L1343" i="7"/>
  <c r="M1343" i="7" s="1"/>
  <c r="L1348" i="7"/>
  <c r="M1348" i="7" s="1"/>
  <c r="L1337" i="7"/>
  <c r="M1337" i="7" s="1"/>
  <c r="L1340" i="7"/>
  <c r="M1340" i="7" s="1"/>
  <c r="L1339" i="7"/>
  <c r="M1339" i="7" s="1"/>
  <c r="L1342" i="7"/>
  <c r="M1342" i="7" s="1"/>
  <c r="AA1308" i="7"/>
  <c r="L1327" i="7"/>
  <c r="M1327" i="7" s="1"/>
  <c r="L1335" i="7"/>
  <c r="M1335" i="7" s="1"/>
  <c r="L1334" i="7"/>
  <c r="M1334" i="7" s="1"/>
  <c r="L1333" i="7"/>
  <c r="M1333" i="7" s="1"/>
  <c r="L1324" i="7"/>
  <c r="L1323" i="7"/>
  <c r="L1322" i="7"/>
  <c r="L1320" i="7"/>
  <c r="L1321" i="7"/>
  <c r="M1321" i="7" s="1"/>
  <c r="L1329" i="7"/>
  <c r="M1329" i="7" s="1"/>
  <c r="L1330" i="7"/>
  <c r="M1330" i="7" s="1"/>
  <c r="L1309" i="7"/>
  <c r="M1309" i="7" s="1"/>
  <c r="L1314" i="7"/>
  <c r="M1314" i="7" s="1"/>
  <c r="L1303" i="7"/>
  <c r="L1306" i="7"/>
  <c r="M1306" i="7" s="1"/>
  <c r="L1302" i="7"/>
  <c r="M1302" i="7" s="1"/>
  <c r="L1298" i="7"/>
  <c r="L1307" i="7"/>
  <c r="M1307" i="7" s="1"/>
  <c r="AA1292" i="7"/>
  <c r="AA1276" i="7"/>
  <c r="AA1212" i="7"/>
  <c r="AA1211" i="7"/>
  <c r="M1202" i="7"/>
  <c r="AA1202" i="7"/>
  <c r="J1378" i="7"/>
  <c r="L1378" i="7" s="1"/>
  <c r="M1378" i="7" s="1"/>
  <c r="J1377" i="7"/>
  <c r="L1377" i="7" s="1"/>
  <c r="M1377" i="7" s="1"/>
  <c r="J1376" i="7"/>
  <c r="L1376" i="7" s="1"/>
  <c r="M1376" i="7" s="1"/>
  <c r="J1375" i="7"/>
  <c r="L1375" i="7" s="1"/>
  <c r="M1375" i="7" s="1"/>
  <c r="J1374" i="7"/>
  <c r="L1374" i="7" s="1"/>
  <c r="M1374" i="7" s="1"/>
  <c r="J1373" i="7"/>
  <c r="L1373" i="7" s="1"/>
  <c r="M1373" i="7" s="1"/>
  <c r="J1372" i="7"/>
  <c r="L1372" i="7" s="1"/>
  <c r="M1372" i="7" s="1"/>
  <c r="J1371" i="7"/>
  <c r="L1371" i="7" s="1"/>
  <c r="M1371" i="7" s="1"/>
  <c r="J1370" i="7"/>
  <c r="L1370" i="7" s="1"/>
  <c r="M1370" i="7" s="1"/>
  <c r="J1369" i="7"/>
  <c r="L1369" i="7" s="1"/>
  <c r="M1369" i="7" s="1"/>
  <c r="J1367" i="7"/>
  <c r="L1367" i="7" s="1"/>
  <c r="M1367" i="7" s="1"/>
  <c r="J1366" i="7"/>
  <c r="L1366" i="7" s="1"/>
  <c r="M1366" i="7" s="1"/>
  <c r="J1365" i="7"/>
  <c r="L1365" i="7" s="1"/>
  <c r="M1365" i="7" s="1"/>
  <c r="J1361" i="7"/>
  <c r="L1361" i="7" s="1"/>
  <c r="M1361" i="7" s="1"/>
  <c r="J1360" i="7"/>
  <c r="L1360" i="7" s="1"/>
  <c r="M1360" i="7" s="1"/>
  <c r="J1359" i="7"/>
  <c r="L1359" i="7" s="1"/>
  <c r="M1359" i="7" s="1"/>
  <c r="J1358" i="7"/>
  <c r="L1358" i="7" s="1"/>
  <c r="M1358" i="7" s="1"/>
  <c r="J1357" i="7"/>
  <c r="L1357" i="7" s="1"/>
  <c r="M1357" i="7" s="1"/>
  <c r="J1355" i="7"/>
  <c r="L1355" i="7" s="1"/>
  <c r="M1355" i="7" s="1"/>
  <c r="J1354" i="7"/>
  <c r="L1354" i="7" s="1"/>
  <c r="M1354" i="7" s="1"/>
  <c r="J1353" i="7"/>
  <c r="L1353" i="7" s="1"/>
  <c r="M1353" i="7" s="1"/>
  <c r="J1350" i="7"/>
  <c r="L1350" i="7" s="1"/>
  <c r="M1350" i="7" s="1"/>
  <c r="J1349" i="7"/>
  <c r="L1349" i="7" s="1"/>
  <c r="M1349" i="7" s="1"/>
  <c r="J1347" i="7"/>
  <c r="L1347" i="7" s="1"/>
  <c r="M1347" i="7" s="1"/>
  <c r="J1332" i="7"/>
  <c r="L1332" i="7" s="1"/>
  <c r="M1332" i="7" s="1"/>
  <c r="J1331" i="7"/>
  <c r="L1331" i="7" s="1"/>
  <c r="M1331" i="7" s="1"/>
  <c r="J1328" i="7"/>
  <c r="L1328" i="7" s="1"/>
  <c r="M1328" i="7" s="1"/>
  <c r="J1326" i="7"/>
  <c r="L1326" i="7" s="1"/>
  <c r="M1326" i="7" s="1"/>
  <c r="J1325" i="7"/>
  <c r="L1325" i="7" s="1"/>
  <c r="M1325" i="7" s="1"/>
  <c r="J1319" i="7"/>
  <c r="L1319" i="7" s="1"/>
  <c r="M1319" i="7" s="1"/>
  <c r="J1318" i="7"/>
  <c r="L1318" i="7" s="1"/>
  <c r="M1318" i="7" s="1"/>
  <c r="J1317" i="7"/>
  <c r="L1317" i="7" s="1"/>
  <c r="M1317" i="7" s="1"/>
  <c r="J1316" i="7"/>
  <c r="L1316" i="7" s="1"/>
  <c r="M1316" i="7" s="1"/>
  <c r="J1315" i="7"/>
  <c r="L1315" i="7" s="1"/>
  <c r="M1315" i="7" s="1"/>
  <c r="J1313" i="7"/>
  <c r="L1313" i="7" s="1"/>
  <c r="M1313" i="7" s="1"/>
  <c r="J1312" i="7"/>
  <c r="L1312" i="7" s="1"/>
  <c r="M1312" i="7" s="1"/>
  <c r="J1311" i="7"/>
  <c r="L1311" i="7" s="1"/>
  <c r="M1311" i="7" s="1"/>
  <c r="J1310" i="7"/>
  <c r="L1310" i="7" s="1"/>
  <c r="M1310" i="7" s="1"/>
  <c r="J1295" i="7"/>
  <c r="L1295" i="7" s="1"/>
  <c r="M1295" i="7" s="1"/>
  <c r="J1294" i="7"/>
  <c r="L1294" i="7" s="1"/>
  <c r="M1294" i="7" s="1"/>
  <c r="J1290" i="7"/>
  <c r="L1290" i="7" s="1"/>
  <c r="J1289" i="7"/>
  <c r="L1289" i="7" s="1"/>
  <c r="J1287" i="7"/>
  <c r="L1287" i="7" s="1"/>
  <c r="M1287" i="7" s="1"/>
  <c r="J1286" i="7"/>
  <c r="L1286" i="7" s="1"/>
  <c r="J1285" i="7"/>
  <c r="L1285" i="7" s="1"/>
  <c r="M1285" i="7" s="1"/>
  <c r="J1284" i="7"/>
  <c r="L1284" i="7" s="1"/>
  <c r="J1283" i="7"/>
  <c r="L1283" i="7" s="1"/>
  <c r="J1282" i="7"/>
  <c r="L1282" i="7" s="1"/>
  <c r="J1281" i="7"/>
  <c r="L1281" i="7" s="1"/>
  <c r="M1281" i="7" s="1"/>
  <c r="J1280" i="7"/>
  <c r="L1280" i="7" s="1"/>
  <c r="M1280" i="7" s="1"/>
  <c r="J1279" i="7"/>
  <c r="L1279" i="7" s="1"/>
  <c r="M1279" i="7" s="1"/>
  <c r="J1278" i="7"/>
  <c r="L1278" i="7" s="1"/>
  <c r="M1278" i="7" s="1"/>
  <c r="J1277" i="7"/>
  <c r="L1277" i="7" s="1"/>
  <c r="J1275" i="7"/>
  <c r="L1275" i="7" s="1"/>
  <c r="M1275" i="7" s="1"/>
  <c r="J1274" i="7"/>
  <c r="L1274" i="7" s="1"/>
  <c r="M1274" i="7" s="1"/>
  <c r="J1273" i="7"/>
  <c r="L1273" i="7" s="1"/>
  <c r="J1272" i="7"/>
  <c r="L1272" i="7" s="1"/>
  <c r="M1272" i="7" s="1"/>
  <c r="J1271" i="7"/>
  <c r="L1271" i="7" s="1"/>
  <c r="J1270" i="7"/>
  <c r="L1270" i="7" s="1"/>
  <c r="J1267" i="7"/>
  <c r="M1267" i="7" s="1"/>
  <c r="J1266" i="7"/>
  <c r="L1266" i="7" s="1"/>
  <c r="J1265" i="7"/>
  <c r="L1265" i="7" s="1"/>
  <c r="J1264" i="7"/>
  <c r="L1264" i="7" s="1"/>
  <c r="J1263" i="7"/>
  <c r="L1263" i="7" s="1"/>
  <c r="J1262" i="7"/>
  <c r="L1262" i="7" s="1"/>
  <c r="M1262" i="7" s="1"/>
  <c r="J1260" i="7"/>
  <c r="L1260" i="7" s="1"/>
  <c r="J1259" i="7"/>
  <c r="L1259" i="7" s="1"/>
  <c r="M1259" i="7" s="1"/>
  <c r="J1256" i="7"/>
  <c r="L1256" i="7" s="1"/>
  <c r="M1256" i="7" s="1"/>
  <c r="J1255" i="7"/>
  <c r="L1255" i="7" s="1"/>
  <c r="M1255" i="7" s="1"/>
  <c r="J1254" i="7"/>
  <c r="L1254" i="7" s="1"/>
  <c r="M1254" i="7" s="1"/>
  <c r="J1253" i="7"/>
  <c r="L1253" i="7" s="1"/>
  <c r="M1253" i="7" s="1"/>
  <c r="J1252" i="7"/>
  <c r="L1252" i="7" s="1"/>
  <c r="J1251" i="7"/>
  <c r="L1251" i="7" s="1"/>
  <c r="M1251" i="7" s="1"/>
  <c r="J1250" i="7"/>
  <c r="L1250" i="7" s="1"/>
  <c r="M1250" i="7" s="1"/>
  <c r="J1249" i="7"/>
  <c r="L1249" i="7" s="1"/>
  <c r="M1249" i="7" s="1"/>
  <c r="J1248" i="7"/>
  <c r="L1248" i="7" s="1"/>
  <c r="M1248" i="7" s="1"/>
  <c r="J1247" i="7"/>
  <c r="L1247" i="7" s="1"/>
  <c r="M1247" i="7" s="1"/>
  <c r="J1244" i="7"/>
  <c r="L1244" i="7" s="1"/>
  <c r="M1244" i="7" s="1"/>
  <c r="J1243" i="7"/>
  <c r="L1243" i="7" s="1"/>
  <c r="M1243" i="7" s="1"/>
  <c r="J1242" i="7"/>
  <c r="L1242" i="7" s="1"/>
  <c r="J1241" i="7"/>
  <c r="L1241" i="7" s="1"/>
  <c r="M1241" i="7" s="1"/>
  <c r="J1223" i="7"/>
  <c r="J1222" i="7"/>
  <c r="J1220" i="7"/>
  <c r="L1220" i="7" s="1"/>
  <c r="M1220" i="7" s="1"/>
  <c r="J1216" i="7"/>
  <c r="L1216" i="7" s="1"/>
  <c r="J1217" i="7"/>
  <c r="L1217" i="7" s="1"/>
  <c r="M1217" i="7" s="1"/>
  <c r="J1215" i="7"/>
  <c r="L1215" i="7" s="1"/>
  <c r="M1215" i="7" s="1"/>
  <c r="J1210" i="7"/>
  <c r="L1210" i="7" s="1"/>
  <c r="M1210" i="7" s="1"/>
  <c r="J1200" i="7"/>
  <c r="L1200" i="7" s="1"/>
  <c r="M1200" i="7" s="1"/>
  <c r="Y1199" i="7"/>
  <c r="Z1199" i="7" s="1"/>
  <c r="W1199" i="7"/>
  <c r="Z1168" i="7"/>
  <c r="Z1161" i="7"/>
  <c r="Z1146" i="7"/>
  <c r="Z1145" i="7"/>
  <c r="Z1128" i="7"/>
  <c r="Z1127" i="7"/>
  <c r="Z1126" i="7"/>
  <c r="Z1125" i="7"/>
  <c r="M1453" i="7" l="1"/>
  <c r="AA1453" i="7"/>
  <c r="M1451" i="7"/>
  <c r="AA1451" i="7"/>
  <c r="M1449" i="7"/>
  <c r="AA1449" i="7"/>
  <c r="M1448" i="7"/>
  <c r="AA1448" i="7"/>
  <c r="M1408" i="7"/>
  <c r="AA1411" i="7"/>
  <c r="AA1424" i="7"/>
  <c r="AA1415" i="7"/>
  <c r="AA1428" i="7"/>
  <c r="AA1427" i="7"/>
  <c r="AA1408" i="7"/>
  <c r="AA1396" i="7"/>
  <c r="AA1395" i="7"/>
  <c r="AA1394" i="7"/>
  <c r="AA1382" i="7"/>
  <c r="AA1397" i="7"/>
  <c r="M1560" i="7"/>
  <c r="M1728" i="7"/>
  <c r="M1640" i="7"/>
  <c r="M1396" i="7"/>
  <c r="M1684" i="7"/>
  <c r="M1395" i="7"/>
  <c r="M1394" i="7"/>
  <c r="M1397" i="7"/>
  <c r="M1320" i="7"/>
  <c r="AA1360" i="7"/>
  <c r="AA1371" i="7"/>
  <c r="AA1370" i="7"/>
  <c r="AA1369" i="7"/>
  <c r="AA1365" i="7"/>
  <c r="AA1361" i="7"/>
  <c r="AA1367" i="7"/>
  <c r="AA1359" i="7"/>
  <c r="AA1357" i="7"/>
  <c r="AA1353" i="7"/>
  <c r="AA1347" i="7"/>
  <c r="AA1354" i="7"/>
  <c r="AA1350" i="7"/>
  <c r="AA1337" i="7"/>
  <c r="AA1373" i="7"/>
  <c r="AA1378" i="7"/>
  <c r="AA1377" i="7"/>
  <c r="AA1374" i="7"/>
  <c r="AA1372" i="7"/>
  <c r="AA1352" i="7"/>
  <c r="AA1348" i="7"/>
  <c r="AA1345" i="7"/>
  <c r="AA1339" i="7"/>
  <c r="M1303" i="7"/>
  <c r="M1324" i="7"/>
  <c r="M1322" i="7"/>
  <c r="M1323" i="7"/>
  <c r="AA1331" i="7"/>
  <c r="AA1328" i="7"/>
  <c r="AA1327" i="7"/>
  <c r="AA1326" i="7"/>
  <c r="AA1325" i="7"/>
  <c r="AA1323" i="7"/>
  <c r="AA1322" i="7"/>
  <c r="AA1321" i="7"/>
  <c r="AA1318" i="7"/>
  <c r="AA1317" i="7"/>
  <c r="AA1316" i="7"/>
  <c r="AA1311" i="7"/>
  <c r="AA1310" i="7"/>
  <c r="AA1303" i="7"/>
  <c r="AA1294" i="7"/>
  <c r="AA1324" i="7"/>
  <c r="M1298" i="7"/>
  <c r="AA1298" i="7"/>
  <c r="M1290" i="7"/>
  <c r="AA1290" i="7"/>
  <c r="M1289" i="7"/>
  <c r="AA1289" i="7"/>
  <c r="M1286" i="7"/>
  <c r="AA1286" i="7"/>
  <c r="M1284" i="7"/>
  <c r="AA1284" i="7"/>
  <c r="M1283" i="7"/>
  <c r="AA1283" i="7"/>
  <c r="M1282" i="7"/>
  <c r="AA1282" i="7"/>
  <c r="M1277" i="7"/>
  <c r="AA1277" i="7"/>
  <c r="M1273" i="7"/>
  <c r="AA1273" i="7"/>
  <c r="M1271" i="7"/>
  <c r="AA1271" i="7"/>
  <c r="M1270" i="7"/>
  <c r="AA1270" i="7"/>
  <c r="M1266" i="7"/>
  <c r="AA1266" i="7"/>
  <c r="M1265" i="7"/>
  <c r="AA1265" i="7"/>
  <c r="M1264" i="7"/>
  <c r="AA1264" i="7"/>
  <c r="M1263" i="7"/>
  <c r="AA1263" i="7"/>
  <c r="M1260" i="7"/>
  <c r="AA1260" i="7"/>
  <c r="M1252" i="7"/>
  <c r="AA1252" i="7"/>
  <c r="M1242" i="7"/>
  <c r="AA1242" i="7"/>
  <c r="M1216" i="7"/>
  <c r="AA1216" i="7"/>
  <c r="Z1152" i="7"/>
  <c r="Z1197" i="7"/>
  <c r="W1197" i="7"/>
  <c r="Z1194" i="7"/>
  <c r="Z1193" i="7"/>
  <c r="Z1192" i="7"/>
  <c r="Z1191" i="7"/>
  <c r="Z1190" i="7"/>
  <c r="W1194" i="7"/>
  <c r="W1193" i="7"/>
  <c r="W1192" i="7"/>
  <c r="W1191" i="7"/>
  <c r="W1190" i="7"/>
  <c r="J1198" i="7" l="1"/>
  <c r="L1198" i="7" s="1"/>
  <c r="M1198" i="7" s="1"/>
  <c r="J1195" i="7"/>
  <c r="L1195" i="7" s="1"/>
  <c r="M1195" i="7" s="1"/>
  <c r="J1194" i="7"/>
  <c r="L1194" i="7" s="1"/>
  <c r="Z1159" i="7"/>
  <c r="Z1129" i="7"/>
  <c r="Z1177" i="7"/>
  <c r="Z1169" i="7"/>
  <c r="Z1162" i="7"/>
  <c r="Z1147" i="7"/>
  <c r="Z1141" i="7"/>
  <c r="Z1135" i="7"/>
  <c r="Z1131" i="7"/>
  <c r="M1194" i="7" l="1"/>
  <c r="AA1194" i="7"/>
  <c r="W1177" i="7"/>
  <c r="W1169" i="7"/>
  <c r="W1168" i="7"/>
  <c r="W1162" i="7"/>
  <c r="W1161" i="7"/>
  <c r="W1159" i="7"/>
  <c r="W1154" i="7"/>
  <c r="W1152" i="7"/>
  <c r="W1149" i="7"/>
  <c r="W1147" i="7"/>
  <c r="W1146" i="7"/>
  <c r="W1145" i="7"/>
  <c r="W1141" i="7"/>
  <c r="W1135" i="7"/>
  <c r="W1131" i="7"/>
  <c r="W1129" i="7"/>
  <c r="W1128" i="7"/>
  <c r="W1127" i="7"/>
  <c r="W1126" i="7"/>
  <c r="W1125" i="7"/>
  <c r="J1174" i="7" l="1"/>
  <c r="L1174" i="7" s="1"/>
  <c r="M1174" i="7" s="1"/>
  <c r="J1188" i="7"/>
  <c r="L1188" i="7" s="1"/>
  <c r="M1188" i="7" s="1"/>
  <c r="J1187" i="7"/>
  <c r="L1187" i="7" s="1"/>
  <c r="M1187" i="7" s="1"/>
  <c r="J1173" i="7"/>
  <c r="L1173" i="7" s="1"/>
  <c r="M1173" i="7" s="1"/>
  <c r="J1175" i="7"/>
  <c r="L1175" i="7" s="1"/>
  <c r="M1175" i="7" s="1"/>
  <c r="J1172" i="7"/>
  <c r="L1172" i="7" s="1"/>
  <c r="M1172" i="7" s="1"/>
  <c r="J1171" i="7"/>
  <c r="L1171" i="7" s="1"/>
  <c r="M1171" i="7" s="1"/>
  <c r="J1165" i="7" l="1"/>
  <c r="L1165" i="7" s="1"/>
  <c r="M1165" i="7" s="1"/>
  <c r="J1163" i="7"/>
  <c r="L1163" i="7" s="1"/>
  <c r="M1163" i="7" s="1"/>
  <c r="J1162" i="7"/>
  <c r="L1162" i="7" s="1"/>
  <c r="J1161" i="7"/>
  <c r="L1161" i="7" s="1"/>
  <c r="J1160" i="7"/>
  <c r="L1160" i="7" s="1"/>
  <c r="M1160" i="7" s="1"/>
  <c r="J1167" i="7"/>
  <c r="L1167" i="7" s="1"/>
  <c r="M1167" i="7" s="1"/>
  <c r="J1156" i="7"/>
  <c r="L1156" i="7" s="1"/>
  <c r="M1156" i="7" s="1"/>
  <c r="J1155" i="7"/>
  <c r="L1155" i="7" s="1"/>
  <c r="M1155" i="7" s="1"/>
  <c r="J1154" i="7"/>
  <c r="L1154" i="7" s="1"/>
  <c r="M1161" i="7" l="1"/>
  <c r="AA1161" i="7"/>
  <c r="M1162" i="7"/>
  <c r="AA1162" i="7"/>
  <c r="M1154" i="7"/>
  <c r="AA1154" i="7"/>
  <c r="J1134" i="7"/>
  <c r="L1134" i="7" s="1"/>
  <c r="M1134" i="7" s="1"/>
  <c r="J1151" i="7"/>
  <c r="L1151" i="7" s="1"/>
  <c r="M1151" i="7" s="1"/>
  <c r="J1153" i="7"/>
  <c r="L1153" i="7" s="1"/>
  <c r="M1153" i="7" s="1"/>
  <c r="J1152" i="7"/>
  <c r="L1152" i="7" s="1"/>
  <c r="M1152" i="7" l="1"/>
  <c r="AA1152" i="7"/>
  <c r="J1147" i="7"/>
  <c r="L1147" i="7" s="1"/>
  <c r="J1146" i="7"/>
  <c r="L1146" i="7" s="1"/>
  <c r="J1145" i="7"/>
  <c r="L1145" i="7" s="1"/>
  <c r="J1144" i="7"/>
  <c r="L1144" i="7" s="1"/>
  <c r="M1144" i="7" s="1"/>
  <c r="J1143" i="7"/>
  <c r="L1143" i="7" s="1"/>
  <c r="M1143" i="7" s="1"/>
  <c r="M1146" i="7" l="1"/>
  <c r="AA1146" i="7"/>
  <c r="M1145" i="7"/>
  <c r="AA1145" i="7"/>
  <c r="M1147" i="7"/>
  <c r="AA1147" i="7"/>
  <c r="J1142" i="7"/>
  <c r="L1142" i="7" s="1"/>
  <c r="M1142" i="7" s="1"/>
  <c r="J1141" i="7"/>
  <c r="L1141" i="7" s="1"/>
  <c r="J1140" i="7"/>
  <c r="L1140" i="7" s="1"/>
  <c r="M1140" i="7" s="1"/>
  <c r="M1141" i="7" l="1"/>
  <c r="AA1141" i="7"/>
  <c r="J1133" i="7"/>
  <c r="L1133" i="7" s="1"/>
  <c r="M1133" i="7" s="1"/>
  <c r="J1135" i="7"/>
  <c r="L1135" i="7" s="1"/>
  <c r="J1128" i="7"/>
  <c r="L1128" i="7" s="1"/>
  <c r="J1139" i="7"/>
  <c r="L1139" i="7" s="1"/>
  <c r="M1139" i="7" s="1"/>
  <c r="Y1122" i="7"/>
  <c r="Z1122" i="7" s="1"/>
  <c r="Y1115" i="7"/>
  <c r="Y1114" i="7"/>
  <c r="Y1112" i="7"/>
  <c r="Y1111" i="7"/>
  <c r="Y1110" i="7"/>
  <c r="Z1110" i="7" s="1"/>
  <c r="Y1108" i="7"/>
  <c r="Z1108" i="7" s="1"/>
  <c r="Y1107" i="7"/>
  <c r="Z1107" i="7" s="1"/>
  <c r="Y1106" i="7"/>
  <c r="Z1106" i="7" s="1"/>
  <c r="Y1105" i="7"/>
  <c r="Z1105" i="7" s="1"/>
  <c r="Y1102" i="7"/>
  <c r="Z1102" i="7" s="1"/>
  <c r="Y1101" i="7"/>
  <c r="Z1101" i="7" s="1"/>
  <c r="Y1099" i="7"/>
  <c r="Z1099" i="7" s="1"/>
  <c r="Y1098" i="7"/>
  <c r="Z1098" i="7" s="1"/>
  <c r="Y1097" i="7"/>
  <c r="Z1097" i="7" s="1"/>
  <c r="Y1096" i="7"/>
  <c r="Z1096" i="7" s="1"/>
  <c r="Y1095" i="7"/>
  <c r="Z1095" i="7" s="1"/>
  <c r="Y1094" i="7"/>
  <c r="Z1094" i="7" s="1"/>
  <c r="Y1093" i="7"/>
  <c r="Z1093" i="7" s="1"/>
  <c r="Y1091" i="7"/>
  <c r="Z1091" i="7" s="1"/>
  <c r="Y1090" i="7"/>
  <c r="Z1090" i="7" s="1"/>
  <c r="Y1089" i="7"/>
  <c r="Z1089" i="7" s="1"/>
  <c r="Y1088" i="7"/>
  <c r="Z1088" i="7" s="1"/>
  <c r="Y1087" i="7"/>
  <c r="Z1087" i="7" s="1"/>
  <c r="Y1086" i="7"/>
  <c r="Z1086" i="7" s="1"/>
  <c r="Y1081" i="7"/>
  <c r="Z1081" i="7" s="1"/>
  <c r="Y1080" i="7"/>
  <c r="Z1080" i="7" s="1"/>
  <c r="Y1079" i="7"/>
  <c r="Z1079" i="7" s="1"/>
  <c r="Y1076" i="7"/>
  <c r="Z1076" i="7" s="1"/>
  <c r="AA1076" i="7" s="1"/>
  <c r="Y1075" i="7"/>
  <c r="Z1075" i="7" s="1"/>
  <c r="Y1074" i="7"/>
  <c r="Z1074" i="7" s="1"/>
  <c r="Y1073" i="7"/>
  <c r="Z1073" i="7" s="1"/>
  <c r="Y1069" i="7"/>
  <c r="Z1069" i="7" s="1"/>
  <c r="Y1067" i="7"/>
  <c r="Z1067" i="7" s="1"/>
  <c r="Y1065" i="7"/>
  <c r="Z1065" i="7" s="1"/>
  <c r="Y1063" i="7"/>
  <c r="Z1063" i="7" s="1"/>
  <c r="Y1062" i="7"/>
  <c r="Z1062" i="7" s="1"/>
  <c r="Y1061" i="7"/>
  <c r="Z1061" i="7" s="1"/>
  <c r="Y1060" i="7"/>
  <c r="Z1060" i="7" s="1"/>
  <c r="Y1058" i="7"/>
  <c r="Z1058" i="7" s="1"/>
  <c r="Y1057" i="7"/>
  <c r="Z1057" i="7" s="1"/>
  <c r="Y1056" i="7"/>
  <c r="Z1056" i="7" s="1"/>
  <c r="Y1054" i="7"/>
  <c r="Z1054" i="7" s="1"/>
  <c r="Y1053" i="7"/>
  <c r="Z1053" i="7" s="1"/>
  <c r="Y1052" i="7"/>
  <c r="Z1052" i="7" s="1"/>
  <c r="Y1051" i="7"/>
  <c r="Z1051" i="7" s="1"/>
  <c r="Y1050" i="7"/>
  <c r="Z1050" i="7" s="1"/>
  <c r="Y1047" i="7"/>
  <c r="Z1047" i="7" s="1"/>
  <c r="Y1046" i="7"/>
  <c r="Z1046" i="7" s="1"/>
  <c r="Y1045" i="7"/>
  <c r="Z1045" i="7" s="1"/>
  <c r="Y1042" i="7"/>
  <c r="Z1042" i="7" s="1"/>
  <c r="Y1041" i="7"/>
  <c r="Z1041" i="7" s="1"/>
  <c r="Y1040" i="7"/>
  <c r="Z1040" i="7" s="1"/>
  <c r="Y1038" i="7"/>
  <c r="Z1038" i="7" s="1"/>
  <c r="Y1033" i="7"/>
  <c r="Z1033" i="7" s="1"/>
  <c r="Y1032" i="7"/>
  <c r="Z1032" i="7" s="1"/>
  <c r="Y1030" i="7"/>
  <c r="Z1030" i="7" s="1"/>
  <c r="Y1027" i="7"/>
  <c r="Z1027" i="7" s="1"/>
  <c r="Y1026" i="7"/>
  <c r="Z1026" i="7" s="1"/>
  <c r="Y1025" i="7"/>
  <c r="Z1025" i="7" s="1"/>
  <c r="Y1023" i="7"/>
  <c r="Z1023" i="7" s="1"/>
  <c r="Y1022" i="7"/>
  <c r="Z1022" i="7" s="1"/>
  <c r="Y1021" i="7"/>
  <c r="Z1021" i="7" s="1"/>
  <c r="Y1020" i="7"/>
  <c r="Z1020" i="7" s="1"/>
  <c r="Y1019" i="7"/>
  <c r="Z1019" i="7" s="1"/>
  <c r="Y1018" i="7"/>
  <c r="Z1018" i="7" s="1"/>
  <c r="Y1015" i="7"/>
  <c r="Z1015" i="7" s="1"/>
  <c r="Y1014" i="7"/>
  <c r="Z1014" i="7" s="1"/>
  <c r="Y1013" i="7"/>
  <c r="Z1013" i="7" s="1"/>
  <c r="Y1012" i="7"/>
  <c r="Z1012" i="7" s="1"/>
  <c r="Y1009" i="7"/>
  <c r="Z1009" i="7" s="1"/>
  <c r="Y1008" i="7"/>
  <c r="Z1008" i="7" s="1"/>
  <c r="Y1007" i="7"/>
  <c r="Z1007" i="7" s="1"/>
  <c r="Y1005" i="7"/>
  <c r="Z1005" i="7" s="1"/>
  <c r="Y1004" i="7"/>
  <c r="Z1004" i="7" s="1"/>
  <c r="Y1003" i="7"/>
  <c r="Z1003" i="7" s="1"/>
  <c r="Y1000" i="7"/>
  <c r="W1122" i="7"/>
  <c r="W1110" i="7"/>
  <c r="W1108" i="7"/>
  <c r="W1107" i="7"/>
  <c r="W1105" i="7"/>
  <c r="M1135" i="7" l="1"/>
  <c r="AA1135" i="7"/>
  <c r="M1128" i="7"/>
  <c r="AA1128" i="7"/>
  <c r="J1123" i="7"/>
  <c r="L1123" i="7" s="1"/>
  <c r="M1123" i="7" s="1"/>
  <c r="J1117" i="7"/>
  <c r="L1117" i="7" s="1"/>
  <c r="M1117" i="7" s="1"/>
  <c r="J1116" i="7"/>
  <c r="L1116" i="7" s="1"/>
  <c r="M1116" i="7" s="1"/>
  <c r="J1111" i="7"/>
  <c r="L1111" i="7" s="1"/>
  <c r="L1110" i="7"/>
  <c r="AA1110" i="7" s="1"/>
  <c r="J1109" i="7"/>
  <c r="L1109" i="7" s="1"/>
  <c r="M1109" i="7" s="1"/>
  <c r="J1104" i="7"/>
  <c r="L1104" i="7" s="1"/>
  <c r="M1104" i="7" s="1"/>
  <c r="J1103" i="7"/>
  <c r="L1103" i="7" s="1"/>
  <c r="M1103" i="7" s="1"/>
  <c r="J1102" i="7"/>
  <c r="L1102" i="7" s="1"/>
  <c r="W1101" i="7"/>
  <c r="J1101" i="7"/>
  <c r="L1101" i="7" s="1"/>
  <c r="AA1101" i="7" s="1"/>
  <c r="J1100" i="7"/>
  <c r="L1100" i="7" s="1"/>
  <c r="M1100" i="7" s="1"/>
  <c r="J1084" i="7"/>
  <c r="L1084" i="7" s="1"/>
  <c r="M1084" i="7" s="1"/>
  <c r="M1102" i="7" l="1"/>
  <c r="AA1102" i="7"/>
  <c r="M1111" i="7"/>
  <c r="AA1111" i="7"/>
  <c r="M1110" i="7"/>
  <c r="M1101" i="7"/>
  <c r="W1099" i="7"/>
  <c r="W1095" i="7"/>
  <c r="W1094" i="7"/>
  <c r="W1093" i="7"/>
  <c r="W1089" i="7"/>
  <c r="W1088" i="7"/>
  <c r="W1086" i="7"/>
  <c r="W1097" i="7"/>
  <c r="W1096" i="7"/>
  <c r="W1090" i="7"/>
  <c r="J1095" i="7" l="1"/>
  <c r="L1095" i="7" s="1"/>
  <c r="AA1095" i="7" s="1"/>
  <c r="J1096" i="7"/>
  <c r="L1096" i="7" s="1"/>
  <c r="J1097" i="7"/>
  <c r="L1097" i="7" s="1"/>
  <c r="W1098" i="7"/>
  <c r="J1098" i="7"/>
  <c r="L1098" i="7" s="1"/>
  <c r="AA1098" i="7" s="1"/>
  <c r="J1085" i="7"/>
  <c r="L1085" i="7" s="1"/>
  <c r="M1085" i="7" s="1"/>
  <c r="Z1000" i="7"/>
  <c r="Z997" i="7"/>
  <c r="Z987" i="7"/>
  <c r="Z977" i="7"/>
  <c r="Z964" i="7"/>
  <c r="M1097" i="7" l="1"/>
  <c r="AA1097" i="7"/>
  <c r="M1096" i="7"/>
  <c r="AA1096" i="7"/>
  <c r="M1095" i="7"/>
  <c r="M1098" i="7"/>
  <c r="W1081" i="7"/>
  <c r="W1079" i="7"/>
  <c r="W1075" i="7"/>
  <c r="W1073" i="7"/>
  <c r="W1069" i="7"/>
  <c r="W1067" i="7"/>
  <c r="W1065" i="7"/>
  <c r="W1062" i="7"/>
  <c r="W1061" i="7"/>
  <c r="W1060" i="7"/>
  <c r="W1058" i="7"/>
  <c r="W1057" i="7"/>
  <c r="W1056" i="7"/>
  <c r="W1054" i="7"/>
  <c r="W1051" i="7"/>
  <c r="W1050" i="7"/>
  <c r="W1047" i="7"/>
  <c r="W1046" i="7"/>
  <c r="W1045" i="7"/>
  <c r="W1041" i="7"/>
  <c r="W1040" i="7"/>
  <c r="W1038" i="7"/>
  <c r="W1033" i="7"/>
  <c r="W1030" i="7"/>
  <c r="W1027" i="7"/>
  <c r="W1026" i="7"/>
  <c r="W1025" i="7"/>
  <c r="W1022" i="7"/>
  <c r="W1021" i="7"/>
  <c r="W1020" i="7"/>
  <c r="W1019" i="7"/>
  <c r="W1018" i="7"/>
  <c r="W1014" i="7"/>
  <c r="W1000" i="7"/>
  <c r="W997" i="7"/>
  <c r="W995" i="7"/>
  <c r="W1012" i="7"/>
  <c r="W1008" i="7"/>
  <c r="W1007" i="7"/>
  <c r="J1079" i="7"/>
  <c r="AA888" i="7" l="1"/>
  <c r="J1069" i="7" l="1"/>
  <c r="L1069" i="7" s="1"/>
  <c r="AA1069" i="7" s="1"/>
  <c r="J1068" i="7"/>
  <c r="L1068" i="7" s="1"/>
  <c r="M1068" i="7" s="1"/>
  <c r="J1064" i="7"/>
  <c r="L1064" i="7" s="1"/>
  <c r="M1064" i="7" s="1"/>
  <c r="J1065" i="7"/>
  <c r="L1065" i="7" s="1"/>
  <c r="AA1065" i="7" s="1"/>
  <c r="J1060" i="7"/>
  <c r="L1060" i="7" s="1"/>
  <c r="AA1060" i="7" s="1"/>
  <c r="J1054" i="7"/>
  <c r="L1054" i="7" s="1"/>
  <c r="AA1054" i="7" s="1"/>
  <c r="J1043" i="7"/>
  <c r="L1043" i="7" s="1"/>
  <c r="M1043" i="7" s="1"/>
  <c r="J1044" i="7"/>
  <c r="L1044" i="7" s="1"/>
  <c r="M1044" i="7" s="1"/>
  <c r="J1011" i="7"/>
  <c r="L1011" i="7" s="1"/>
  <c r="M1011" i="7" s="1"/>
  <c r="M1060" i="7" l="1"/>
  <c r="M1054" i="7"/>
  <c r="M1065" i="7"/>
  <c r="M1069" i="7"/>
  <c r="J1042" i="7"/>
  <c r="L1042" i="7" s="1"/>
  <c r="J1045" i="7"/>
  <c r="J1039" i="7"/>
  <c r="L1039" i="7" s="1"/>
  <c r="M1039" i="7" s="1"/>
  <c r="J1036" i="7"/>
  <c r="L1036" i="7" s="1"/>
  <c r="M1036" i="7" s="1"/>
  <c r="J1031" i="7"/>
  <c r="L1031" i="7" s="1"/>
  <c r="M1031" i="7" s="1"/>
  <c r="J1034" i="7"/>
  <c r="L1034" i="7" s="1"/>
  <c r="M1034" i="7" s="1"/>
  <c r="J1030" i="7"/>
  <c r="L1030" i="7" s="1"/>
  <c r="AA1030" i="7" s="1"/>
  <c r="J1021" i="7"/>
  <c r="L1021" i="7" s="1"/>
  <c r="AA1021" i="7" s="1"/>
  <c r="J1020" i="7"/>
  <c r="L1020" i="7" s="1"/>
  <c r="AA1020" i="7" s="1"/>
  <c r="J1017" i="7"/>
  <c r="L1017" i="7" s="1"/>
  <c r="M1017" i="7" s="1"/>
  <c r="L1009" i="7"/>
  <c r="J1008" i="7"/>
  <c r="L1008" i="7" s="1"/>
  <c r="AA1008" i="7" s="1"/>
  <c r="J1010" i="7"/>
  <c r="L1010" i="7" s="1"/>
  <c r="M1010" i="7" s="1"/>
  <c r="J1006" i="7"/>
  <c r="L1006" i="7" s="1"/>
  <c r="M1006" i="7" s="1"/>
  <c r="J1001" i="7"/>
  <c r="L1001" i="7" s="1"/>
  <c r="M1001" i="7" s="1"/>
  <c r="M1009" i="7" l="1"/>
  <c r="AA1009" i="7"/>
  <c r="M1042" i="7"/>
  <c r="AA1042" i="7"/>
  <c r="M1020" i="7"/>
  <c r="M1030" i="7"/>
  <c r="M1008" i="7"/>
  <c r="M1021" i="7"/>
  <c r="J1000" i="7"/>
  <c r="L1000" i="7" s="1"/>
  <c r="J1023" i="7"/>
  <c r="L1023" i="7" s="1"/>
  <c r="J1024" i="7"/>
  <c r="L1024" i="7" s="1"/>
  <c r="M1024" i="7" s="1"/>
  <c r="M1023" i="7" l="1"/>
  <c r="AA1023" i="7"/>
  <c r="M1000" i="7"/>
  <c r="AA1000" i="7"/>
  <c r="J1014" i="7"/>
  <c r="W1005" i="7" l="1"/>
  <c r="J1005" i="7"/>
  <c r="L1005" i="7" s="1"/>
  <c r="AA1005" i="7" s="1"/>
  <c r="W1004" i="7"/>
  <c r="J1004" i="7"/>
  <c r="L1004" i="7" s="1"/>
  <c r="AA1004" i="7" s="1"/>
  <c r="W1003" i="7"/>
  <c r="J1003" i="7"/>
  <c r="L1003" i="7" s="1"/>
  <c r="AA1003" i="7" s="1"/>
  <c r="J1002" i="7"/>
  <c r="L1002" i="7" s="1"/>
  <c r="M1002" i="7" s="1"/>
  <c r="J1240" i="7"/>
  <c r="L1240" i="7" s="1"/>
  <c r="M1240" i="7" s="1"/>
  <c r="M1003" i="7" l="1"/>
  <c r="M1004" i="7"/>
  <c r="M1005" i="7"/>
  <c r="J999" i="7"/>
  <c r="L999" i="7" s="1"/>
  <c r="M999" i="7" s="1"/>
  <c r="J996" i="7"/>
  <c r="L996" i="7" s="1"/>
  <c r="M996" i="7" s="1"/>
  <c r="W978" i="7" l="1"/>
  <c r="W979" i="7"/>
  <c r="W993" i="7"/>
  <c r="W994" i="7"/>
  <c r="W991" i="7"/>
  <c r="W987" i="7" l="1"/>
  <c r="W992" i="7"/>
  <c r="J990" i="7"/>
  <c r="L990" i="7" s="1"/>
  <c r="M990" i="7" s="1"/>
  <c r="J988" i="7"/>
  <c r="L988" i="7" s="1"/>
  <c r="M988" i="7" s="1"/>
  <c r="J987" i="7"/>
  <c r="L987" i="7" s="1"/>
  <c r="J986" i="7"/>
  <c r="L986" i="7" s="1"/>
  <c r="M986" i="7" s="1"/>
  <c r="J992" i="7"/>
  <c r="L992" i="7" s="1"/>
  <c r="J978" i="7"/>
  <c r="L978" i="7" s="1"/>
  <c r="J979" i="7"/>
  <c r="L979" i="7" s="1"/>
  <c r="J985" i="7"/>
  <c r="L985" i="7" s="1"/>
  <c r="M985" i="7" s="1"/>
  <c r="W983" i="7"/>
  <c r="W982" i="7"/>
  <c r="M979" i="7" l="1"/>
  <c r="AA979" i="7"/>
  <c r="M978" i="7"/>
  <c r="AA978" i="7"/>
  <c r="M992" i="7"/>
  <c r="AA992" i="7"/>
  <c r="M987" i="7"/>
  <c r="AA987" i="7"/>
  <c r="Y984" i="7"/>
  <c r="Z984" i="7" s="1"/>
  <c r="W984" i="7"/>
  <c r="W975" i="7" l="1"/>
  <c r="W976" i="7"/>
  <c r="W977" i="7"/>
  <c r="J980" i="7"/>
  <c r="L980" i="7" s="1"/>
  <c r="M980" i="7" s="1"/>
  <c r="J975" i="7" l="1"/>
  <c r="L975" i="7" s="1"/>
  <c r="J965" i="7"/>
  <c r="L965" i="7" s="1"/>
  <c r="M965" i="7" s="1"/>
  <c r="J955" i="7"/>
  <c r="L955" i="7" s="1"/>
  <c r="M955" i="7" s="1"/>
  <c r="J966" i="7"/>
  <c r="L966" i="7" s="1"/>
  <c r="M966" i="7" s="1"/>
  <c r="M975" i="7" l="1"/>
  <c r="AA975" i="7"/>
  <c r="Y974" i="7"/>
  <c r="Z974" i="7" s="1"/>
  <c r="W974" i="7"/>
  <c r="W973" i="7"/>
  <c r="W972" i="7"/>
  <c r="W970" i="7"/>
  <c r="W967" i="7"/>
  <c r="W964" i="7"/>
  <c r="W962" i="7"/>
  <c r="W958" i="7"/>
  <c r="W957" i="7"/>
  <c r="J973" i="7"/>
  <c r="L973" i="7" s="1"/>
  <c r="J968" i="7"/>
  <c r="L968" i="7" s="1"/>
  <c r="M968" i="7" s="1"/>
  <c r="J967" i="7"/>
  <c r="L967" i="7" s="1"/>
  <c r="J964" i="7"/>
  <c r="L964" i="7" s="1"/>
  <c r="J963" i="7"/>
  <c r="L963" i="7" s="1"/>
  <c r="M963" i="7" s="1"/>
  <c r="J958" i="7"/>
  <c r="M964" i="7" l="1"/>
  <c r="AA964" i="7"/>
  <c r="M967" i="7"/>
  <c r="AA967" i="7"/>
  <c r="M973" i="7"/>
  <c r="AA973" i="7"/>
  <c r="J956" i="7"/>
  <c r="L956" i="7" s="1"/>
  <c r="M956" i="7" s="1"/>
  <c r="W953" i="7"/>
  <c r="W954" i="7"/>
  <c r="W952" i="7"/>
  <c r="W951" i="7"/>
  <c r="J1227" i="7"/>
  <c r="L1227" i="7" s="1"/>
  <c r="M1227" i="7" s="1"/>
  <c r="J1228" i="7"/>
  <c r="L1228" i="7" s="1"/>
  <c r="J1229" i="7"/>
  <c r="L1229" i="7" s="1"/>
  <c r="J952" i="7"/>
  <c r="L952" i="7" s="1"/>
  <c r="J951" i="7"/>
  <c r="L951" i="7" s="1"/>
  <c r="J950" i="7"/>
  <c r="L950" i="7" s="1"/>
  <c r="M950" i="7" s="1"/>
  <c r="J949" i="7"/>
  <c r="L949" i="7" s="1"/>
  <c r="M949" i="7" s="1"/>
  <c r="W947" i="7"/>
  <c r="W946" i="7"/>
  <c r="J948" i="7"/>
  <c r="L948" i="7" s="1"/>
  <c r="M948" i="7" s="1"/>
  <c r="J945" i="7"/>
  <c r="L945" i="7" s="1"/>
  <c r="M945" i="7" s="1"/>
  <c r="J947" i="7"/>
  <c r="L947" i="7" s="1"/>
  <c r="L946" i="7"/>
  <c r="AA946" i="7" s="1"/>
  <c r="M1228" i="7" l="1"/>
  <c r="AA1228" i="7"/>
  <c r="M1229" i="7"/>
  <c r="AA1229" i="7"/>
  <c r="M951" i="7"/>
  <c r="AA951" i="7"/>
  <c r="M952" i="7"/>
  <c r="AA952" i="7"/>
  <c r="M947" i="7"/>
  <c r="AA947" i="7"/>
  <c r="W940" i="7"/>
  <c r="W939" i="7"/>
  <c r="W938" i="7"/>
  <c r="W936" i="7"/>
  <c r="W935" i="7"/>
  <c r="W934" i="7"/>
  <c r="J941" i="7" l="1"/>
  <c r="L941" i="7" s="1"/>
  <c r="M941" i="7" s="1"/>
  <c r="J936" i="7" l="1"/>
  <c r="J931" i="7" l="1"/>
  <c r="L931" i="7" s="1"/>
  <c r="M931" i="7" s="1"/>
  <c r="J930" i="7"/>
  <c r="L930" i="7" s="1"/>
  <c r="M930" i="7" s="1"/>
  <c r="W928" i="7"/>
  <c r="W926" i="7" l="1"/>
  <c r="Y927" i="7"/>
  <c r="Z927" i="7" s="1"/>
  <c r="W927" i="7"/>
  <c r="W925" i="7"/>
  <c r="W924" i="7"/>
  <c r="W923" i="7"/>
  <c r="W921" i="7"/>
  <c r="Y859" i="7"/>
  <c r="X859" i="7"/>
  <c r="J859" i="7"/>
  <c r="L859" i="7" s="1"/>
  <c r="M859" i="7" l="1"/>
  <c r="Z859" i="7"/>
  <c r="AA859" i="7" s="1"/>
  <c r="J920" i="7" l="1"/>
  <c r="L920" i="7" s="1"/>
  <c r="M920" i="7" s="1"/>
  <c r="W918" i="7"/>
  <c r="J919" i="7"/>
  <c r="L919" i="7" s="1"/>
  <c r="M919" i="7" s="1"/>
  <c r="Y909" i="7"/>
  <c r="Z909" i="7" s="1"/>
  <c r="W909" i="7"/>
  <c r="W914" i="7"/>
  <c r="J1136" i="7"/>
  <c r="L1136" i="7" s="1"/>
  <c r="M1136" i="7" s="1"/>
  <c r="J1132" i="7"/>
  <c r="L1132" i="7" s="1"/>
  <c r="M1132" i="7" s="1"/>
  <c r="J1131" i="7"/>
  <c r="L1131" i="7" s="1"/>
  <c r="J1130" i="7"/>
  <c r="L1130" i="7" s="1"/>
  <c r="M1130" i="7" s="1"/>
  <c r="J1129" i="7"/>
  <c r="L1129" i="7" s="1"/>
  <c r="J1127" i="7"/>
  <c r="L1127" i="7" s="1"/>
  <c r="J1126" i="7"/>
  <c r="L1126" i="7" s="1"/>
  <c r="J1230" i="7"/>
  <c r="L1230" i="7" s="1"/>
  <c r="J1231" i="7"/>
  <c r="L1231" i="7" s="1"/>
  <c r="M1231" i="7" s="1"/>
  <c r="J1232" i="7"/>
  <c r="L1232" i="7" s="1"/>
  <c r="M1232" i="7" s="1"/>
  <c r="J1235" i="7"/>
  <c r="L1235" i="7" s="1"/>
  <c r="M1235" i="7" s="1"/>
  <c r="J1236" i="7"/>
  <c r="L1236" i="7" s="1"/>
  <c r="J1237" i="7"/>
  <c r="L1237" i="7" s="1"/>
  <c r="M1237" i="7" s="1"/>
  <c r="J1238" i="7"/>
  <c r="L1238" i="7" s="1"/>
  <c r="M1238" i="7" s="1"/>
  <c r="J1239" i="7"/>
  <c r="L1239" i="7" s="1"/>
  <c r="Y915" i="7"/>
  <c r="Z915" i="7" s="1"/>
  <c r="W915" i="7"/>
  <c r="J911" i="7"/>
  <c r="L911" i="7" s="1"/>
  <c r="M911" i="7" s="1"/>
  <c r="J917" i="7"/>
  <c r="L917" i="7" s="1"/>
  <c r="M917" i="7" s="1"/>
  <c r="J916" i="7"/>
  <c r="L916" i="7" s="1"/>
  <c r="M916" i="7" s="1"/>
  <c r="J915" i="7"/>
  <c r="L915" i="7" s="1"/>
  <c r="J914" i="7"/>
  <c r="L914" i="7" s="1"/>
  <c r="J913" i="7"/>
  <c r="L913" i="7" s="1"/>
  <c r="M913" i="7" s="1"/>
  <c r="J912" i="7"/>
  <c r="L912" i="7" s="1"/>
  <c r="M912" i="7" s="1"/>
  <c r="J910" i="7"/>
  <c r="L910" i="7" s="1"/>
  <c r="M910" i="7" s="1"/>
  <c r="J909" i="7"/>
  <c r="L909" i="7" s="1"/>
  <c r="J1137" i="7"/>
  <c r="L1137" i="7" s="1"/>
  <c r="M1137" i="7" s="1"/>
  <c r="J1138" i="7"/>
  <c r="L1138" i="7" s="1"/>
  <c r="M1138" i="7" s="1"/>
  <c r="J1148" i="7"/>
  <c r="L1148" i="7" s="1"/>
  <c r="M1148" i="7" s="1"/>
  <c r="J1149" i="7"/>
  <c r="L1149" i="7" s="1"/>
  <c r="J1150" i="7"/>
  <c r="L1150" i="7" s="1"/>
  <c r="M1150" i="7" s="1"/>
  <c r="J1157" i="7"/>
  <c r="L1157" i="7" s="1"/>
  <c r="M1157" i="7" s="1"/>
  <c r="J1158" i="7"/>
  <c r="L1158" i="7" s="1"/>
  <c r="M1158" i="7" s="1"/>
  <c r="J1159" i="7"/>
  <c r="L1159" i="7" s="1"/>
  <c r="J1164" i="7"/>
  <c r="L1164" i="7" s="1"/>
  <c r="M1164" i="7" s="1"/>
  <c r="J1166" i="7"/>
  <c r="L1166" i="7" s="1"/>
  <c r="M1166" i="7" s="1"/>
  <c r="J1168" i="7"/>
  <c r="L1168" i="7" s="1"/>
  <c r="J1169" i="7"/>
  <c r="L1169" i="7" s="1"/>
  <c r="J1170" i="7"/>
  <c r="L1170" i="7" s="1"/>
  <c r="M1170" i="7" s="1"/>
  <c r="J1176" i="7"/>
  <c r="L1176" i="7" s="1"/>
  <c r="M1176" i="7" s="1"/>
  <c r="J1177" i="7"/>
  <c r="L1177" i="7" s="1"/>
  <c r="J1178" i="7"/>
  <c r="L1178" i="7" s="1"/>
  <c r="M1178" i="7" s="1"/>
  <c r="J1179" i="7"/>
  <c r="L1179" i="7" s="1"/>
  <c r="M1179" i="7" s="1"/>
  <c r="J1180" i="7"/>
  <c r="L1180" i="7" s="1"/>
  <c r="M1180" i="7" s="1"/>
  <c r="J1181" i="7"/>
  <c r="L1181" i="7" s="1"/>
  <c r="M1181" i="7" s="1"/>
  <c r="J1182" i="7"/>
  <c r="L1182" i="7" s="1"/>
  <c r="M1182" i="7" s="1"/>
  <c r="J1183" i="7"/>
  <c r="L1183" i="7" s="1"/>
  <c r="M1183" i="7" s="1"/>
  <c r="J1184" i="7"/>
  <c r="L1184" i="7" s="1"/>
  <c r="M1184" i="7" s="1"/>
  <c r="J1185" i="7"/>
  <c r="L1185" i="7" s="1"/>
  <c r="M1185" i="7" s="1"/>
  <c r="J1186" i="7"/>
  <c r="L1186" i="7" s="1"/>
  <c r="M1186" i="7" s="1"/>
  <c r="J1189" i="7"/>
  <c r="L1189" i="7" s="1"/>
  <c r="M1189" i="7" s="1"/>
  <c r="J1190" i="7"/>
  <c r="L1190" i="7" s="1"/>
  <c r="J1191" i="7"/>
  <c r="L1191" i="7" s="1"/>
  <c r="J1192" i="7"/>
  <c r="L1192" i="7" s="1"/>
  <c r="J1193" i="7"/>
  <c r="L1193" i="7" s="1"/>
  <c r="J1196" i="7"/>
  <c r="L1196" i="7" s="1"/>
  <c r="M1196" i="7" s="1"/>
  <c r="J1197" i="7"/>
  <c r="L1197" i="7" s="1"/>
  <c r="J1199" i="7"/>
  <c r="L1199" i="7" s="1"/>
  <c r="J1201" i="7"/>
  <c r="L1201" i="7" s="1"/>
  <c r="M1201" i="7" s="1"/>
  <c r="J1204" i="7"/>
  <c r="L1204" i="7" s="1"/>
  <c r="M1204" i="7" s="1"/>
  <c r="J1205" i="7"/>
  <c r="L1205" i="7" s="1"/>
  <c r="J1206" i="7"/>
  <c r="L1206" i="7" s="1"/>
  <c r="J1207" i="7"/>
  <c r="L1207" i="7" s="1"/>
  <c r="M1207" i="7" s="1"/>
  <c r="J1208" i="7"/>
  <c r="L1208" i="7" s="1"/>
  <c r="M1208" i="7" s="1"/>
  <c r="J1209" i="7"/>
  <c r="L1209" i="7" s="1"/>
  <c r="M1209" i="7" s="1"/>
  <c r="J1213" i="7"/>
  <c r="L1213" i="7" s="1"/>
  <c r="J1214" i="7"/>
  <c r="L1214" i="7" s="1"/>
  <c r="M1214" i="7" s="1"/>
  <c r="J1218" i="7"/>
  <c r="L1218" i="7" s="1"/>
  <c r="J1219" i="7"/>
  <c r="L1219" i="7" s="1"/>
  <c r="J1221" i="7"/>
  <c r="L1221" i="7" s="1"/>
  <c r="M1221" i="7" s="1"/>
  <c r="L1222" i="7"/>
  <c r="L1223" i="7"/>
  <c r="M1223" i="7" s="1"/>
  <c r="J1224" i="7"/>
  <c r="L1224" i="7" s="1"/>
  <c r="J1225" i="7"/>
  <c r="L1225" i="7" s="1"/>
  <c r="M1225" i="7" s="1"/>
  <c r="J1226" i="7"/>
  <c r="L1226" i="7" s="1"/>
  <c r="M1226" i="7" s="1"/>
  <c r="J908" i="7"/>
  <c r="L908" i="7" s="1"/>
  <c r="M908" i="7" s="1"/>
  <c r="W907" i="7"/>
  <c r="W903" i="7"/>
  <c r="W899" i="7"/>
  <c r="W897" i="7"/>
  <c r="W896" i="7"/>
  <c r="W895" i="7"/>
  <c r="W894" i="7"/>
  <c r="W893" i="7"/>
  <c r="W892" i="7"/>
  <c r="J907" i="7"/>
  <c r="L907" i="7" s="1"/>
  <c r="M1230" i="7" l="1"/>
  <c r="AA1230" i="7"/>
  <c r="M1236" i="7"/>
  <c r="AA1236" i="7"/>
  <c r="M1239" i="7"/>
  <c r="AA1239" i="7"/>
  <c r="M1205" i="7"/>
  <c r="AA1205" i="7"/>
  <c r="M1206" i="7"/>
  <c r="AA1206" i="7"/>
  <c r="M1213" i="7"/>
  <c r="AA1213" i="7"/>
  <c r="M1218" i="7"/>
  <c r="AA1218" i="7"/>
  <c r="M1219" i="7"/>
  <c r="AA1219" i="7"/>
  <c r="M1222" i="7"/>
  <c r="AA1222" i="7"/>
  <c r="M1224" i="7"/>
  <c r="AA1224" i="7"/>
  <c r="M1199" i="7"/>
  <c r="AA1199" i="7"/>
  <c r="M1190" i="7"/>
  <c r="AA1190" i="7"/>
  <c r="M1192" i="7"/>
  <c r="AA1192" i="7"/>
  <c r="M1197" i="7"/>
  <c r="AA1197" i="7"/>
  <c r="M1193" i="7"/>
  <c r="AA1193" i="7"/>
  <c r="M1191" i="7"/>
  <c r="AA1191" i="7"/>
  <c r="M1127" i="7"/>
  <c r="AA1127" i="7"/>
  <c r="M1168" i="7"/>
  <c r="AA1168" i="7"/>
  <c r="M1129" i="7"/>
  <c r="AA1129" i="7"/>
  <c r="M1169" i="7"/>
  <c r="AA1169" i="7"/>
  <c r="M1131" i="7"/>
  <c r="AA1131" i="7"/>
  <c r="M1159" i="7"/>
  <c r="AA1159" i="7"/>
  <c r="M1149" i="7"/>
  <c r="AA1149" i="7"/>
  <c r="M1177" i="7"/>
  <c r="AA1177" i="7"/>
  <c r="M1126" i="7"/>
  <c r="AA1126" i="7"/>
  <c r="AA915" i="7"/>
  <c r="M909" i="7"/>
  <c r="AA909" i="7"/>
  <c r="M907" i="7"/>
  <c r="AA907" i="7"/>
  <c r="M914" i="7"/>
  <c r="AA914" i="7"/>
  <c r="M915" i="7"/>
  <c r="J906" i="7"/>
  <c r="L906" i="7" s="1"/>
  <c r="M906" i="7" s="1"/>
  <c r="J905" i="7"/>
  <c r="L905" i="7" s="1"/>
  <c r="M905" i="7" s="1"/>
  <c r="J899" i="7" l="1"/>
  <c r="J900" i="7"/>
  <c r="J898" i="7" l="1"/>
  <c r="L898" i="7" s="1"/>
  <c r="M898" i="7" s="1"/>
  <c r="W883" i="7" l="1"/>
  <c r="W891" i="7"/>
  <c r="J889" i="7"/>
  <c r="L889" i="7" s="1"/>
  <c r="M889" i="7" s="1"/>
  <c r="J887" i="7"/>
  <c r="L887" i="7" s="1"/>
  <c r="M887" i="7" s="1"/>
  <c r="W884" i="7"/>
  <c r="W881" i="7"/>
  <c r="W880" i="7"/>
  <c r="W877" i="7"/>
  <c r="W876" i="7"/>
  <c r="W875" i="7"/>
  <c r="W874" i="7"/>
  <c r="W873" i="7"/>
  <c r="W872" i="7"/>
  <c r="W871" i="7"/>
  <c r="W866" i="7"/>
  <c r="W864" i="7"/>
  <c r="W863" i="7"/>
  <c r="W862" i="7"/>
  <c r="W861" i="7"/>
  <c r="W858" i="7"/>
  <c r="W857" i="7"/>
  <c r="W856" i="7"/>
  <c r="W846" i="7"/>
  <c r="W831" i="7"/>
  <c r="W853" i="7"/>
  <c r="W852" i="7"/>
  <c r="Z832" i="7"/>
  <c r="W823" i="7"/>
  <c r="W844" i="7"/>
  <c r="W837" i="7"/>
  <c r="Z831" i="7"/>
  <c r="W851" i="7" l="1"/>
  <c r="W829" i="7"/>
  <c r="W828" i="7"/>
  <c r="Z851" i="7"/>
  <c r="Z829" i="7"/>
  <c r="Z828" i="7"/>
  <c r="Z883" i="7"/>
  <c r="Z871" i="7"/>
  <c r="Z863" i="7"/>
  <c r="Z855" i="7"/>
  <c r="W855" i="7"/>
  <c r="Z845" i="7"/>
  <c r="W845" i="7"/>
  <c r="J879" i="7"/>
  <c r="L879" i="7" s="1"/>
  <c r="M879" i="7" s="1"/>
  <c r="J878" i="7"/>
  <c r="L878" i="7" s="1"/>
  <c r="M878" i="7" s="1"/>
  <c r="J885" i="7"/>
  <c r="L885" i="7" s="1"/>
  <c r="M885" i="7" s="1"/>
  <c r="J882" i="7"/>
  <c r="L882" i="7" s="1"/>
  <c r="M882" i="7" s="1"/>
  <c r="J873" i="7"/>
  <c r="L873" i="7" s="1"/>
  <c r="AA873" i="7" s="1"/>
  <c r="J874" i="7"/>
  <c r="L874" i="7" s="1"/>
  <c r="AA874" i="7" s="1"/>
  <c r="J875" i="7"/>
  <c r="L875" i="7" s="1"/>
  <c r="J867" i="7"/>
  <c r="L867" i="7" s="1"/>
  <c r="M867" i="7" s="1"/>
  <c r="J864" i="7"/>
  <c r="J858" i="7"/>
  <c r="L858" i="7" s="1"/>
  <c r="AA858" i="7" s="1"/>
  <c r="J855" i="7"/>
  <c r="L855" i="7" s="1"/>
  <c r="L854" i="7"/>
  <c r="AA855" i="7" l="1"/>
  <c r="M875" i="7"/>
  <c r="AA875" i="7"/>
  <c r="M854" i="7"/>
  <c r="AA854" i="7"/>
  <c r="M858" i="7"/>
  <c r="M855" i="7"/>
  <c r="M874" i="7"/>
  <c r="M873" i="7"/>
  <c r="J861" i="7"/>
  <c r="L861" i="7" s="1"/>
  <c r="AA861" i="7" s="1"/>
  <c r="J847" i="7" l="1"/>
  <c r="L847" i="7" s="1"/>
  <c r="M847" i="7" s="1"/>
  <c r="J824" i="7" l="1"/>
  <c r="L824" i="7" s="1"/>
  <c r="M824" i="7" s="1"/>
  <c r="J850" i="7"/>
  <c r="L850" i="7" s="1"/>
  <c r="M850" i="7" s="1"/>
  <c r="J849" i="7"/>
  <c r="L849" i="7" s="1"/>
  <c r="M849" i="7" s="1"/>
  <c r="J841" i="7"/>
  <c r="L841" i="7" s="1"/>
  <c r="M841" i="7" s="1"/>
  <c r="J843" i="7" l="1"/>
  <c r="L843" i="7" s="1"/>
  <c r="M843" i="7" s="1"/>
  <c r="J842" i="7"/>
  <c r="L842" i="7" s="1"/>
  <c r="M842" i="7" s="1"/>
  <c r="J840" i="7"/>
  <c r="L840" i="7" s="1"/>
  <c r="M840" i="7" s="1"/>
  <c r="J839" i="7"/>
  <c r="L839" i="7" s="1"/>
  <c r="M839" i="7" s="1"/>
  <c r="J833" i="7"/>
  <c r="L833" i="7" s="1"/>
  <c r="M833" i="7" s="1"/>
  <c r="Z830" i="7"/>
  <c r="J829" i="7"/>
  <c r="L829" i="7" s="1"/>
  <c r="J828" i="7"/>
  <c r="L828" i="7" s="1"/>
  <c r="J825" i="7"/>
  <c r="L825" i="7" s="1"/>
  <c r="M825" i="7" s="1"/>
  <c r="J826" i="7"/>
  <c r="L826" i="7" s="1"/>
  <c r="M826" i="7" s="1"/>
  <c r="M828" i="7" l="1"/>
  <c r="AA828" i="7"/>
  <c r="M829" i="7"/>
  <c r="AA829" i="7"/>
  <c r="Y823" i="7"/>
  <c r="Z823" i="7" s="1"/>
  <c r="X763" i="7"/>
  <c r="W701" i="7" l="1"/>
  <c r="Y822" i="7"/>
  <c r="Y821" i="7"/>
  <c r="Y820" i="7"/>
  <c r="Y819" i="7"/>
  <c r="Y815" i="7"/>
  <c r="Y811" i="7"/>
  <c r="Y810" i="7"/>
  <c r="Y809" i="7"/>
  <c r="Y808" i="7"/>
  <c r="Y807" i="7"/>
  <c r="Y805" i="7"/>
  <c r="Y804" i="7"/>
  <c r="Y803" i="7"/>
  <c r="Y796" i="7"/>
  <c r="Y795" i="7"/>
  <c r="Y792" i="7"/>
  <c r="Y791" i="7"/>
  <c r="Y790" i="7"/>
  <c r="Y789" i="7"/>
  <c r="Y788" i="7"/>
  <c r="Y786" i="7"/>
  <c r="Y785" i="7"/>
  <c r="Y784" i="7"/>
  <c r="Y778" i="7"/>
  <c r="Y777" i="7"/>
  <c r="Y776" i="7"/>
  <c r="Y773" i="7"/>
  <c r="Y770" i="7"/>
  <c r="Y769" i="7"/>
  <c r="Y766" i="7"/>
  <c r="Y765" i="7"/>
  <c r="Y763" i="7"/>
  <c r="Z763" i="7" s="1"/>
  <c r="Y762" i="7"/>
  <c r="Y757" i="7"/>
  <c r="Y750" i="7"/>
  <c r="Y749" i="7"/>
  <c r="Y747" i="7"/>
  <c r="Y746" i="7"/>
  <c r="Y738" i="7"/>
  <c r="Y737" i="7"/>
  <c r="Y735" i="7"/>
  <c r="Y728" i="7"/>
  <c r="Y722" i="7"/>
  <c r="Y720" i="7"/>
  <c r="Y717" i="7"/>
  <c r="Y715" i="7"/>
  <c r="Y714" i="7"/>
  <c r="Y713" i="7"/>
  <c r="Y711" i="7"/>
  <c r="Y708" i="7"/>
  <c r="Y707" i="7"/>
  <c r="Y706" i="7"/>
  <c r="Y705" i="7"/>
  <c r="Y702" i="7"/>
  <c r="Y701" i="7"/>
  <c r="W822" i="7"/>
  <c r="W821" i="7"/>
  <c r="W820" i="7"/>
  <c r="W819" i="7"/>
  <c r="W815" i="7"/>
  <c r="W811" i="7"/>
  <c r="W810" i="7"/>
  <c r="W809" i="7"/>
  <c r="W808" i="7"/>
  <c r="W807" i="7"/>
  <c r="W805" i="7"/>
  <c r="W804" i="7"/>
  <c r="W803" i="7"/>
  <c r="W796" i="7"/>
  <c r="W795" i="7"/>
  <c r="W792" i="7"/>
  <c r="W791" i="7"/>
  <c r="W790" i="7"/>
  <c r="W789" i="7"/>
  <c r="W788" i="7"/>
  <c r="W786" i="7"/>
  <c r="W785" i="7"/>
  <c r="W784" i="7"/>
  <c r="W778" i="7"/>
  <c r="W777" i="7"/>
  <c r="W776" i="7"/>
  <c r="W773" i="7"/>
  <c r="W770" i="7"/>
  <c r="W769" i="7"/>
  <c r="W766" i="7"/>
  <c r="W765" i="7"/>
  <c r="W762" i="7"/>
  <c r="W757" i="7"/>
  <c r="W750" i="7"/>
  <c r="W749" i="7"/>
  <c r="W747" i="7"/>
  <c r="W738" i="7"/>
  <c r="W737" i="7"/>
  <c r="W735" i="7"/>
  <c r="W728" i="7"/>
  <c r="W722" i="7"/>
  <c r="W720" i="7"/>
  <c r="W717" i="7"/>
  <c r="W715" i="7"/>
  <c r="W714" i="7"/>
  <c r="W713" i="7"/>
  <c r="W711" i="7"/>
  <c r="W708" i="7"/>
  <c r="W707" i="7"/>
  <c r="W706" i="7"/>
  <c r="W705" i="7"/>
  <c r="W702" i="7"/>
  <c r="Z822" i="7" l="1"/>
  <c r="Z821" i="7"/>
  <c r="AA821" i="7" s="1"/>
  <c r="Z820" i="7"/>
  <c r="AA820" i="7" s="1"/>
  <c r="Z815" i="7"/>
  <c r="Z811" i="7"/>
  <c r="Z810" i="7"/>
  <c r="Z809" i="7"/>
  <c r="Z808" i="7"/>
  <c r="Z807" i="7"/>
  <c r="Z805" i="7"/>
  <c r="Z804" i="7"/>
  <c r="Z803" i="7"/>
  <c r="Z796" i="7"/>
  <c r="AA796" i="7" s="1"/>
  <c r="Z795" i="7"/>
  <c r="AA795" i="7" s="1"/>
  <c r="Z792" i="7"/>
  <c r="Z791" i="7"/>
  <c r="Z790" i="7"/>
  <c r="Z789" i="7"/>
  <c r="Z788" i="7"/>
  <c r="Z786" i="7"/>
  <c r="Z785" i="7"/>
  <c r="Z784" i="7"/>
  <c r="Z778" i="7"/>
  <c r="Z777" i="7"/>
  <c r="Z776" i="7"/>
  <c r="Z773" i="7"/>
  <c r="Z770" i="7"/>
  <c r="Z769" i="7"/>
  <c r="Z766" i="7"/>
  <c r="Z765" i="7"/>
  <c r="Z762" i="7"/>
  <c r="Z757" i="7"/>
  <c r="Z750" i="7"/>
  <c r="Z749" i="7"/>
  <c r="Z747" i="7"/>
  <c r="Z738" i="7"/>
  <c r="Z737" i="7"/>
  <c r="Z735" i="7"/>
  <c r="Z728" i="7"/>
  <c r="Z722" i="7"/>
  <c r="Z720" i="7"/>
  <c r="Z717" i="7"/>
  <c r="Z715" i="7"/>
  <c r="Z714" i="7"/>
  <c r="Z713" i="7"/>
  <c r="Z711" i="7"/>
  <c r="Z708" i="7"/>
  <c r="Z707" i="7"/>
  <c r="Z706" i="7"/>
  <c r="Z705" i="7"/>
  <c r="Z702" i="7"/>
  <c r="Z701" i="7"/>
  <c r="Y802" i="7"/>
  <c r="Y801" i="7"/>
  <c r="Y794" i="7"/>
  <c r="Y793" i="7"/>
  <c r="Y768" i="7"/>
  <c r="Y755" i="7"/>
  <c r="Y754" i="7"/>
  <c r="Y734" i="7"/>
  <c r="X802" i="7"/>
  <c r="X801" i="7"/>
  <c r="X794" i="7"/>
  <c r="X793" i="7"/>
  <c r="X768" i="7"/>
  <c r="X755" i="7"/>
  <c r="X754" i="7"/>
  <c r="X734" i="7"/>
  <c r="Z793" i="7" l="1"/>
  <c r="Z794" i="7"/>
  <c r="Z755" i="7"/>
  <c r="Z754" i="7"/>
  <c r="Z801" i="7"/>
  <c r="Z802" i="7"/>
  <c r="Z734" i="7"/>
  <c r="Z768" i="7"/>
  <c r="J1125" i="7"/>
  <c r="L1125" i="7" s="1"/>
  <c r="J1124" i="7"/>
  <c r="L1124" i="7" s="1"/>
  <c r="M1124" i="7" s="1"/>
  <c r="J1122" i="7"/>
  <c r="L1122" i="7" s="1"/>
  <c r="AA1122" i="7" s="1"/>
  <c r="J1121" i="7"/>
  <c r="L1121" i="7" s="1"/>
  <c r="M1121" i="7" s="1"/>
  <c r="J1120" i="7"/>
  <c r="L1120" i="7" s="1"/>
  <c r="M1120" i="7" s="1"/>
  <c r="J1119" i="7"/>
  <c r="L1119" i="7" s="1"/>
  <c r="M1119" i="7" s="1"/>
  <c r="J1118" i="7"/>
  <c r="L1118" i="7" s="1"/>
  <c r="M1118" i="7" s="1"/>
  <c r="J1115" i="7"/>
  <c r="L1115" i="7" s="1"/>
  <c r="J1114" i="7"/>
  <c r="L1114" i="7" s="1"/>
  <c r="J1113" i="7"/>
  <c r="L1113" i="7" s="1"/>
  <c r="M1113" i="7" s="1"/>
  <c r="J1112" i="7"/>
  <c r="L1112" i="7" s="1"/>
  <c r="L1108" i="7"/>
  <c r="AA1108" i="7" s="1"/>
  <c r="L1107" i="7"/>
  <c r="AA1107" i="7" s="1"/>
  <c r="J1106" i="7"/>
  <c r="L1106" i="7" s="1"/>
  <c r="J1105" i="7"/>
  <c r="L1105" i="7" s="1"/>
  <c r="AA1105" i="7" s="1"/>
  <c r="J1099" i="7"/>
  <c r="L1099" i="7" s="1"/>
  <c r="AA1099" i="7" s="1"/>
  <c r="J1094" i="7"/>
  <c r="L1094" i="7" s="1"/>
  <c r="AA1094" i="7" s="1"/>
  <c r="J1093" i="7"/>
  <c r="L1093" i="7" s="1"/>
  <c r="AA1093" i="7" s="1"/>
  <c r="J1092" i="7"/>
  <c r="L1092" i="7" s="1"/>
  <c r="M1092" i="7" s="1"/>
  <c r="J1091" i="7"/>
  <c r="L1091" i="7" s="1"/>
  <c r="AA1091" i="7" s="1"/>
  <c r="J1090" i="7"/>
  <c r="L1090" i="7" s="1"/>
  <c r="AA1090" i="7" s="1"/>
  <c r="J1089" i="7"/>
  <c r="L1089" i="7" s="1"/>
  <c r="AA1089" i="7" s="1"/>
  <c r="J1088" i="7"/>
  <c r="L1088" i="7" s="1"/>
  <c r="AA1088" i="7" s="1"/>
  <c r="J1087" i="7"/>
  <c r="L1087" i="7" s="1"/>
  <c r="AA1087" i="7" s="1"/>
  <c r="J1086" i="7"/>
  <c r="L1086" i="7" s="1"/>
  <c r="AA1086" i="7" s="1"/>
  <c r="J1083" i="7"/>
  <c r="L1083" i="7" s="1"/>
  <c r="M1083" i="7" s="1"/>
  <c r="J1082" i="7"/>
  <c r="L1082" i="7" s="1"/>
  <c r="M1082" i="7" s="1"/>
  <c r="J1081" i="7"/>
  <c r="L1081" i="7" s="1"/>
  <c r="AA1081" i="7" s="1"/>
  <c r="J1080" i="7"/>
  <c r="L1080" i="7" s="1"/>
  <c r="L1079" i="7"/>
  <c r="AA1079" i="7" s="1"/>
  <c r="J1078" i="7"/>
  <c r="L1078" i="7" s="1"/>
  <c r="M1078" i="7" s="1"/>
  <c r="J1077" i="7"/>
  <c r="L1077" i="7" s="1"/>
  <c r="M1077" i="7" s="1"/>
  <c r="M1076" i="7"/>
  <c r="J1075" i="7"/>
  <c r="L1075" i="7" s="1"/>
  <c r="AA1075" i="7" s="1"/>
  <c r="J1074" i="7"/>
  <c r="L1074" i="7" s="1"/>
  <c r="J1073" i="7"/>
  <c r="L1073" i="7" s="1"/>
  <c r="AA1073" i="7" s="1"/>
  <c r="J1072" i="7"/>
  <c r="L1072" i="7" s="1"/>
  <c r="M1072" i="7" s="1"/>
  <c r="J1071" i="7"/>
  <c r="L1071" i="7" s="1"/>
  <c r="M1071" i="7" s="1"/>
  <c r="J1070" i="7"/>
  <c r="L1070" i="7" s="1"/>
  <c r="M1070" i="7" s="1"/>
  <c r="J1067" i="7"/>
  <c r="L1067" i="7" s="1"/>
  <c r="AA1067" i="7" s="1"/>
  <c r="J1066" i="7"/>
  <c r="L1066" i="7" s="1"/>
  <c r="M1066" i="7" s="1"/>
  <c r="J1063" i="7"/>
  <c r="L1063" i="7" s="1"/>
  <c r="J1062" i="7"/>
  <c r="L1062" i="7" s="1"/>
  <c r="AA1062" i="7" s="1"/>
  <c r="J1061" i="7"/>
  <c r="L1061" i="7" s="1"/>
  <c r="AA1061" i="7" s="1"/>
  <c r="J1058" i="7"/>
  <c r="L1058" i="7" s="1"/>
  <c r="AA1058" i="7" s="1"/>
  <c r="J1057" i="7"/>
  <c r="L1057" i="7" s="1"/>
  <c r="AA1057" i="7" s="1"/>
  <c r="J1056" i="7"/>
  <c r="L1056" i="7" s="1"/>
  <c r="AA1056" i="7" s="1"/>
  <c r="J1055" i="7"/>
  <c r="L1055" i="7" s="1"/>
  <c r="M1055" i="7" s="1"/>
  <c r="J1053" i="7"/>
  <c r="L1053" i="7" s="1"/>
  <c r="J1052" i="7"/>
  <c r="L1052" i="7" s="1"/>
  <c r="J1051" i="7"/>
  <c r="L1051" i="7" s="1"/>
  <c r="AA1051" i="7" s="1"/>
  <c r="J1050" i="7"/>
  <c r="L1050" i="7" s="1"/>
  <c r="AA1050" i="7" s="1"/>
  <c r="J1049" i="7"/>
  <c r="L1049" i="7" s="1"/>
  <c r="M1049" i="7" s="1"/>
  <c r="J1048" i="7"/>
  <c r="L1048" i="7" s="1"/>
  <c r="M1048" i="7" s="1"/>
  <c r="J1047" i="7"/>
  <c r="L1047" i="7" s="1"/>
  <c r="AA1047" i="7" s="1"/>
  <c r="J1046" i="7"/>
  <c r="L1046" i="7" s="1"/>
  <c r="AA1046" i="7" s="1"/>
  <c r="L1045" i="7"/>
  <c r="AA1045" i="7" s="1"/>
  <c r="J1041" i="7"/>
  <c r="L1041" i="7" s="1"/>
  <c r="AA1041" i="7" s="1"/>
  <c r="J1040" i="7"/>
  <c r="L1040" i="7" s="1"/>
  <c r="AA1040" i="7" s="1"/>
  <c r="J1038" i="7"/>
  <c r="L1038" i="7" s="1"/>
  <c r="AA1038" i="7" s="1"/>
  <c r="J1037" i="7"/>
  <c r="L1037" i="7" s="1"/>
  <c r="M1037" i="7" s="1"/>
  <c r="J1035" i="7"/>
  <c r="L1035" i="7" s="1"/>
  <c r="M1035" i="7" s="1"/>
  <c r="J1033" i="7"/>
  <c r="L1033" i="7" s="1"/>
  <c r="AA1033" i="7" s="1"/>
  <c r="J1032" i="7"/>
  <c r="L1032" i="7" s="1"/>
  <c r="J1029" i="7"/>
  <c r="L1029" i="7" s="1"/>
  <c r="M1029" i="7" s="1"/>
  <c r="J1028" i="7"/>
  <c r="L1028" i="7" s="1"/>
  <c r="M1028" i="7" s="1"/>
  <c r="J1027" i="7"/>
  <c r="L1027" i="7" s="1"/>
  <c r="AA1027" i="7" s="1"/>
  <c r="J1026" i="7"/>
  <c r="L1026" i="7" s="1"/>
  <c r="AA1026" i="7" s="1"/>
  <c r="J1025" i="7"/>
  <c r="L1025" i="7" s="1"/>
  <c r="AA1025" i="7" s="1"/>
  <c r="J1022" i="7"/>
  <c r="L1022" i="7" s="1"/>
  <c r="AA1022" i="7" s="1"/>
  <c r="J1019" i="7"/>
  <c r="L1019" i="7" s="1"/>
  <c r="AA1019" i="7" s="1"/>
  <c r="J1018" i="7"/>
  <c r="L1018" i="7" s="1"/>
  <c r="AA1018" i="7" s="1"/>
  <c r="J1016" i="7"/>
  <c r="L1016" i="7" s="1"/>
  <c r="M1016" i="7" s="1"/>
  <c r="J1015" i="7"/>
  <c r="L1015" i="7" s="1"/>
  <c r="L1014" i="7"/>
  <c r="AA1014" i="7" s="1"/>
  <c r="J1013" i="7"/>
  <c r="L1013" i="7" s="1"/>
  <c r="J1012" i="7"/>
  <c r="L1012" i="7" s="1"/>
  <c r="AA1012" i="7" s="1"/>
  <c r="J1007" i="7"/>
  <c r="L1007" i="7" s="1"/>
  <c r="AA1007" i="7" s="1"/>
  <c r="J998" i="7"/>
  <c r="L998" i="7" s="1"/>
  <c r="M998" i="7" s="1"/>
  <c r="J997" i="7"/>
  <c r="L997" i="7" s="1"/>
  <c r="J995" i="7"/>
  <c r="L995" i="7" s="1"/>
  <c r="J994" i="7"/>
  <c r="L994" i="7" s="1"/>
  <c r="J993" i="7"/>
  <c r="L993" i="7" s="1"/>
  <c r="J991" i="7"/>
  <c r="L991" i="7" s="1"/>
  <c r="J984" i="7"/>
  <c r="L984" i="7" s="1"/>
  <c r="AA984" i="7" s="1"/>
  <c r="J983" i="7"/>
  <c r="L983" i="7" s="1"/>
  <c r="J982" i="7"/>
  <c r="L982" i="7" s="1"/>
  <c r="J981" i="7"/>
  <c r="L981" i="7" s="1"/>
  <c r="M981" i="7" s="1"/>
  <c r="J977" i="7"/>
  <c r="L977" i="7" s="1"/>
  <c r="J976" i="7"/>
  <c r="L976" i="7" s="1"/>
  <c r="J974" i="7"/>
  <c r="L974" i="7" s="1"/>
  <c r="J972" i="7"/>
  <c r="L972" i="7" s="1"/>
  <c r="J971" i="7"/>
  <c r="L971" i="7" s="1"/>
  <c r="M971" i="7" s="1"/>
  <c r="J970" i="7"/>
  <c r="L970" i="7" s="1"/>
  <c r="J969" i="7"/>
  <c r="L969" i="7" s="1"/>
  <c r="M969" i="7" s="1"/>
  <c r="J962" i="7"/>
  <c r="L962" i="7" s="1"/>
  <c r="J961" i="7"/>
  <c r="L961" i="7" s="1"/>
  <c r="M961" i="7" s="1"/>
  <c r="J960" i="7"/>
  <c r="L960" i="7" s="1"/>
  <c r="M960" i="7" s="1"/>
  <c r="J959" i="7"/>
  <c r="L959" i="7" s="1"/>
  <c r="M959" i="7" s="1"/>
  <c r="L958" i="7"/>
  <c r="J957" i="7"/>
  <c r="L957" i="7" s="1"/>
  <c r="J954" i="7"/>
  <c r="L954" i="7" s="1"/>
  <c r="J953" i="7"/>
  <c r="L953" i="7" s="1"/>
  <c r="M946" i="7"/>
  <c r="J944" i="7"/>
  <c r="L944" i="7" s="1"/>
  <c r="M944" i="7" s="1"/>
  <c r="J943" i="7"/>
  <c r="L943" i="7" s="1"/>
  <c r="M943" i="7" s="1"/>
  <c r="J942" i="7"/>
  <c r="L942" i="7" s="1"/>
  <c r="M942" i="7" s="1"/>
  <c r="J940" i="7"/>
  <c r="L940" i="7" s="1"/>
  <c r="L939" i="7"/>
  <c r="J938" i="7"/>
  <c r="L938" i="7" s="1"/>
  <c r="L936" i="7"/>
  <c r="J935" i="7"/>
  <c r="L935" i="7" s="1"/>
  <c r="J934" i="7"/>
  <c r="L934" i="7" s="1"/>
  <c r="J932" i="7"/>
  <c r="L932" i="7" s="1"/>
  <c r="M932" i="7" s="1"/>
  <c r="J929" i="7"/>
  <c r="L929" i="7" s="1"/>
  <c r="M929" i="7" s="1"/>
  <c r="J928" i="7"/>
  <c r="L928" i="7" s="1"/>
  <c r="J927" i="7"/>
  <c r="L927" i="7" s="1"/>
  <c r="J926" i="7"/>
  <c r="L926" i="7" s="1"/>
  <c r="J925" i="7"/>
  <c r="L925" i="7" s="1"/>
  <c r="J924" i="7"/>
  <c r="L924" i="7" s="1"/>
  <c r="AA924" i="7" s="1"/>
  <c r="J923" i="7"/>
  <c r="L923" i="7" s="1"/>
  <c r="J922" i="7"/>
  <c r="L922" i="7" s="1"/>
  <c r="M922" i="7" s="1"/>
  <c r="J921" i="7"/>
  <c r="L921" i="7" s="1"/>
  <c r="J918" i="7"/>
  <c r="L918" i="7" s="1"/>
  <c r="J904" i="7"/>
  <c r="L904" i="7" s="1"/>
  <c r="M904" i="7" s="1"/>
  <c r="J903" i="7"/>
  <c r="L903" i="7" s="1"/>
  <c r="J902" i="7"/>
  <c r="L902" i="7" s="1"/>
  <c r="M902" i="7" s="1"/>
  <c r="J901" i="7"/>
  <c r="L901" i="7" s="1"/>
  <c r="M901" i="7" s="1"/>
  <c r="L900" i="7"/>
  <c r="M900" i="7" s="1"/>
  <c r="L899" i="7"/>
  <c r="J897" i="7"/>
  <c r="L897" i="7" s="1"/>
  <c r="J896" i="7"/>
  <c r="L896" i="7" s="1"/>
  <c r="J895" i="7"/>
  <c r="L895" i="7" s="1"/>
  <c r="J894" i="7"/>
  <c r="L894" i="7" s="1"/>
  <c r="J893" i="7"/>
  <c r="L893" i="7" s="1"/>
  <c r="J892" i="7"/>
  <c r="L892" i="7" s="1"/>
  <c r="J891" i="7"/>
  <c r="L891" i="7" s="1"/>
  <c r="J886" i="7"/>
  <c r="L886" i="7" s="1"/>
  <c r="M886" i="7" s="1"/>
  <c r="J884" i="7"/>
  <c r="L884" i="7" s="1"/>
  <c r="AA884" i="7" s="1"/>
  <c r="J883" i="7"/>
  <c r="L883" i="7" s="1"/>
  <c r="AA883" i="7" s="1"/>
  <c r="J881" i="7"/>
  <c r="L881" i="7" s="1"/>
  <c r="J880" i="7"/>
  <c r="L880" i="7" s="1"/>
  <c r="J877" i="7"/>
  <c r="L877" i="7" s="1"/>
  <c r="J876" i="7"/>
  <c r="L876" i="7" s="1"/>
  <c r="J872" i="7"/>
  <c r="L872" i="7" s="1"/>
  <c r="J871" i="7"/>
  <c r="L871" i="7" s="1"/>
  <c r="AA871" i="7" s="1"/>
  <c r="J870" i="7"/>
  <c r="L870" i="7" s="1"/>
  <c r="M870" i="7" s="1"/>
  <c r="J869" i="7"/>
  <c r="L869" i="7" s="1"/>
  <c r="M869" i="7" s="1"/>
  <c r="J868" i="7"/>
  <c r="L868" i="7" s="1"/>
  <c r="M868" i="7" s="1"/>
  <c r="J866" i="7"/>
  <c r="L866" i="7" s="1"/>
  <c r="J865" i="7"/>
  <c r="L865" i="7" s="1"/>
  <c r="M865" i="7" s="1"/>
  <c r="L864" i="7"/>
  <c r="J863" i="7"/>
  <c r="L863" i="7" s="1"/>
  <c r="AA863" i="7" s="1"/>
  <c r="J862" i="7"/>
  <c r="L862" i="7" s="1"/>
  <c r="M861" i="7"/>
  <c r="J860" i="7"/>
  <c r="L860" i="7" s="1"/>
  <c r="M860" i="7" s="1"/>
  <c r="J857" i="7"/>
  <c r="L857" i="7" s="1"/>
  <c r="J856" i="7"/>
  <c r="L856" i="7" s="1"/>
  <c r="J853" i="7"/>
  <c r="L853" i="7" s="1"/>
  <c r="J822" i="7"/>
  <c r="L822" i="7" s="1"/>
  <c r="M822" i="7" s="1"/>
  <c r="J760" i="7"/>
  <c r="L760" i="7" s="1"/>
  <c r="M760" i="7" s="1"/>
  <c r="J798" i="7"/>
  <c r="L798" i="7" s="1"/>
  <c r="M798" i="7" s="1"/>
  <c r="J797" i="7"/>
  <c r="L797" i="7" s="1"/>
  <c r="M797" i="7" s="1"/>
  <c r="J759" i="7"/>
  <c r="L759" i="7" s="1"/>
  <c r="M759" i="7" s="1"/>
  <c r="J752" i="7"/>
  <c r="L752" i="7" s="1"/>
  <c r="M752" i="7" s="1"/>
  <c r="J751" i="7"/>
  <c r="L751" i="7" s="1"/>
  <c r="M751" i="7" s="1"/>
  <c r="J754" i="7"/>
  <c r="L754" i="7" s="1"/>
  <c r="J704" i="7"/>
  <c r="L704" i="7" s="1"/>
  <c r="M704" i="7" s="1"/>
  <c r="J794" i="7"/>
  <c r="L794" i="7" s="1"/>
  <c r="J793" i="7"/>
  <c r="L793" i="7" s="1"/>
  <c r="J792" i="7"/>
  <c r="L792" i="7" s="1"/>
  <c r="M1125" i="7" l="1"/>
  <c r="AA1125" i="7"/>
  <c r="M1106" i="7"/>
  <c r="AA1106" i="7"/>
  <c r="M1052" i="7"/>
  <c r="AA1052" i="7"/>
  <c r="M1053" i="7"/>
  <c r="AA1053" i="7"/>
  <c r="M1032" i="7"/>
  <c r="AA1032" i="7"/>
  <c r="M1074" i="7"/>
  <c r="AA1074" i="7"/>
  <c r="M1112" i="7"/>
  <c r="AA1112" i="7"/>
  <c r="M1013" i="7"/>
  <c r="AA1013" i="7"/>
  <c r="M1115" i="7"/>
  <c r="AA1115" i="7"/>
  <c r="M1063" i="7"/>
  <c r="AA1063" i="7"/>
  <c r="M1015" i="7"/>
  <c r="AA1015" i="7"/>
  <c r="M1114" i="7"/>
  <c r="AA1114" i="7"/>
  <c r="M1080" i="7"/>
  <c r="AA1080" i="7"/>
  <c r="M1108" i="7"/>
  <c r="M1105" i="7"/>
  <c r="M1107" i="7"/>
  <c r="M1122" i="7"/>
  <c r="M1094" i="7"/>
  <c r="M1087" i="7"/>
  <c r="M1093" i="7"/>
  <c r="M1088" i="7"/>
  <c r="M1091" i="7"/>
  <c r="M1099" i="7"/>
  <c r="M1086" i="7"/>
  <c r="M1089" i="7"/>
  <c r="M1090" i="7"/>
  <c r="M1056" i="7"/>
  <c r="M1018" i="7"/>
  <c r="M1025" i="7"/>
  <c r="M1045" i="7"/>
  <c r="M1046" i="7"/>
  <c r="M1038" i="7"/>
  <c r="M1040" i="7"/>
  <c r="M1061" i="7"/>
  <c r="M1027" i="7"/>
  <c r="M1019" i="7"/>
  <c r="M1050" i="7"/>
  <c r="M1051" i="7"/>
  <c r="M1014" i="7"/>
  <c r="M1041" i="7"/>
  <c r="M1047" i="7"/>
  <c r="M1062" i="7"/>
  <c r="M1022" i="7"/>
  <c r="M1079" i="7"/>
  <c r="M1033" i="7"/>
  <c r="M1012" i="7"/>
  <c r="M1075" i="7"/>
  <c r="M1026" i="7"/>
  <c r="M1073" i="7"/>
  <c r="M1057" i="7"/>
  <c r="M1067" i="7"/>
  <c r="M1058" i="7"/>
  <c r="M1007" i="7"/>
  <c r="M1081" i="7"/>
  <c r="M872" i="7"/>
  <c r="AA872" i="7"/>
  <c r="M921" i="7"/>
  <c r="AA921" i="7"/>
  <c r="M936" i="7"/>
  <c r="AA936" i="7"/>
  <c r="M982" i="7"/>
  <c r="AA982" i="7"/>
  <c r="M853" i="7"/>
  <c r="AA853" i="7"/>
  <c r="M893" i="7"/>
  <c r="AA893" i="7"/>
  <c r="M856" i="7"/>
  <c r="AA856" i="7"/>
  <c r="M894" i="7"/>
  <c r="AA894" i="7"/>
  <c r="M938" i="7"/>
  <c r="AA938" i="7"/>
  <c r="M983" i="7"/>
  <c r="AA983" i="7"/>
  <c r="M923" i="7"/>
  <c r="AA923" i="7"/>
  <c r="M876" i="7"/>
  <c r="AA876" i="7"/>
  <c r="M925" i="7"/>
  <c r="AA925" i="7"/>
  <c r="M857" i="7"/>
  <c r="AA857" i="7"/>
  <c r="M939" i="7"/>
  <c r="AA939" i="7"/>
  <c r="M940" i="7"/>
  <c r="AA940" i="7"/>
  <c r="M877" i="7"/>
  <c r="AA877" i="7"/>
  <c r="M895" i="7"/>
  <c r="AA895" i="7"/>
  <c r="M991" i="7"/>
  <c r="AA991" i="7"/>
  <c r="M881" i="7"/>
  <c r="AA881" i="7"/>
  <c r="M864" i="7"/>
  <c r="AA864" i="7"/>
  <c r="M928" i="7"/>
  <c r="AA928" i="7"/>
  <c r="M972" i="7"/>
  <c r="AA972" i="7"/>
  <c r="M997" i="7"/>
  <c r="AA997" i="7"/>
  <c r="M962" i="7"/>
  <c r="AA962" i="7"/>
  <c r="M970" i="7"/>
  <c r="AA970" i="7"/>
  <c r="M974" i="7"/>
  <c r="AA974" i="7"/>
  <c r="M896" i="7"/>
  <c r="AA896" i="7"/>
  <c r="M897" i="7"/>
  <c r="AA897" i="7"/>
  <c r="M993" i="7"/>
  <c r="AA993" i="7"/>
  <c r="M880" i="7"/>
  <c r="AA880" i="7"/>
  <c r="M927" i="7"/>
  <c r="AA927" i="7"/>
  <c r="M866" i="7"/>
  <c r="AA866" i="7"/>
  <c r="M903" i="7"/>
  <c r="AA903" i="7"/>
  <c r="M954" i="7"/>
  <c r="AA954" i="7"/>
  <c r="M976" i="7"/>
  <c r="AA976" i="7"/>
  <c r="M924" i="7"/>
  <c r="M862" i="7"/>
  <c r="AA862" i="7"/>
  <c r="M926" i="7"/>
  <c r="AA926" i="7"/>
  <c r="M995" i="7"/>
  <c r="AA995" i="7"/>
  <c r="M891" i="7"/>
  <c r="AA891" i="7"/>
  <c r="M934" i="7"/>
  <c r="AA934" i="7"/>
  <c r="M957" i="7"/>
  <c r="AA957" i="7"/>
  <c r="M977" i="7"/>
  <c r="AA977" i="7"/>
  <c r="M899" i="7"/>
  <c r="AA899" i="7"/>
  <c r="M994" i="7"/>
  <c r="AA994" i="7"/>
  <c r="M953" i="7"/>
  <c r="AA953" i="7"/>
  <c r="M892" i="7"/>
  <c r="AA892" i="7"/>
  <c r="M918" i="7"/>
  <c r="AA918" i="7"/>
  <c r="M935" i="7"/>
  <c r="AA935" i="7"/>
  <c r="M958" i="7"/>
  <c r="AA958" i="7"/>
  <c r="M984" i="7"/>
  <c r="M863" i="7"/>
  <c r="M883" i="7"/>
  <c r="M884" i="7"/>
  <c r="M871" i="7"/>
  <c r="AA794" i="7"/>
  <c r="AA793" i="7"/>
  <c r="AA754" i="7"/>
  <c r="M792" i="7"/>
  <c r="AA792" i="7"/>
  <c r="AA822" i="7"/>
  <c r="M754" i="7"/>
  <c r="M793" i="7"/>
  <c r="M794" i="7"/>
  <c r="J808" i="7"/>
  <c r="L808" i="7" s="1"/>
  <c r="M808" i="7" l="1"/>
  <c r="AA808" i="7"/>
  <c r="L817" i="7"/>
  <c r="M817" i="7" s="1"/>
  <c r="J818" i="7"/>
  <c r="L818" i="7" s="1"/>
  <c r="M818" i="7" s="1"/>
  <c r="J809" i="7"/>
  <c r="L809" i="7" s="1"/>
  <c r="J807" i="7"/>
  <c r="L807" i="7" s="1"/>
  <c r="M809" i="7" l="1"/>
  <c r="AA809" i="7"/>
  <c r="M807" i="7"/>
  <c r="AA807" i="7"/>
  <c r="J814" i="7"/>
  <c r="L814" i="7" s="1"/>
  <c r="M814" i="7" s="1"/>
  <c r="J813" i="7"/>
  <c r="L813" i="7" s="1"/>
  <c r="M813" i="7" s="1"/>
  <c r="J799" i="7"/>
  <c r="L799" i="7" s="1"/>
  <c r="M799" i="7" s="1"/>
  <c r="J770" i="7"/>
  <c r="L770" i="7" s="1"/>
  <c r="J769" i="7"/>
  <c r="L769" i="7" s="1"/>
  <c r="J768" i="7"/>
  <c r="L768" i="7" s="1"/>
  <c r="AA768" i="7" s="1"/>
  <c r="M769" i="7" l="1"/>
  <c r="AA769" i="7"/>
  <c r="M770" i="7"/>
  <c r="AA770" i="7"/>
  <c r="M768" i="7"/>
  <c r="J789" i="7"/>
  <c r="L789" i="7" s="1"/>
  <c r="J783" i="7"/>
  <c r="L783" i="7" s="1"/>
  <c r="M783" i="7" s="1"/>
  <c r="J787" i="7"/>
  <c r="L787" i="7" s="1"/>
  <c r="M787" i="7" s="1"/>
  <c r="M789" i="7" l="1"/>
  <c r="AA789" i="7"/>
  <c r="J744" i="7"/>
  <c r="L744" i="7" s="1"/>
  <c r="M744" i="7" s="1"/>
  <c r="J742" i="7"/>
  <c r="J781" i="7"/>
  <c r="J782" i="7"/>
  <c r="L782" i="7" s="1"/>
  <c r="M782" i="7" s="1"/>
  <c r="J780" i="7"/>
  <c r="L780" i="7" s="1"/>
  <c r="M780" i="7" s="1"/>
  <c r="J779" i="7"/>
  <c r="L779" i="7" s="1"/>
  <c r="M779" i="7" s="1"/>
  <c r="J778" i="7"/>
  <c r="L778" i="7" s="1"/>
  <c r="J775" i="7"/>
  <c r="L775" i="7" s="1"/>
  <c r="M775" i="7" s="1"/>
  <c r="J772" i="7"/>
  <c r="L772" i="7" s="1"/>
  <c r="M772" i="7" s="1"/>
  <c r="J764" i="7"/>
  <c r="L764" i="7" s="1"/>
  <c r="M764" i="7" s="1"/>
  <c r="J762" i="7"/>
  <c r="L762" i="7" s="1"/>
  <c r="J761" i="7"/>
  <c r="L761" i="7" s="1"/>
  <c r="M761" i="7" s="1"/>
  <c r="J758" i="7"/>
  <c r="L758" i="7" s="1"/>
  <c r="M758" i="7" s="1"/>
  <c r="J757" i="7"/>
  <c r="L757" i="7" s="1"/>
  <c r="J756" i="7"/>
  <c r="L756" i="7" s="1"/>
  <c r="M756" i="7" s="1"/>
  <c r="J753" i="7"/>
  <c r="L753" i="7" s="1"/>
  <c r="M753" i="7" s="1"/>
  <c r="J750" i="7"/>
  <c r="L750" i="7" s="1"/>
  <c r="J749" i="7"/>
  <c r="L749" i="7" s="1"/>
  <c r="J748" i="7"/>
  <c r="J747" i="7"/>
  <c r="L747" i="7" s="1"/>
  <c r="J745" i="7"/>
  <c r="L745" i="7" s="1"/>
  <c r="M745" i="7" s="1"/>
  <c r="M749" i="7" l="1"/>
  <c r="AA749" i="7"/>
  <c r="M750" i="7"/>
  <c r="AA750" i="7"/>
  <c r="M747" i="7"/>
  <c r="AA747" i="7"/>
  <c r="M778" i="7"/>
  <c r="AA778" i="7"/>
  <c r="M757" i="7"/>
  <c r="AA757" i="7"/>
  <c r="M762" i="7"/>
  <c r="AA762" i="7"/>
  <c r="L742" i="7"/>
  <c r="M742" i="7" s="1"/>
  <c r="L732" i="7" l="1"/>
  <c r="M732" i="7" s="1"/>
  <c r="J731" i="7"/>
  <c r="L731" i="7" s="1"/>
  <c r="M731" i="7" s="1"/>
  <c r="J730" i="7" l="1"/>
  <c r="L730" i="7" s="1"/>
  <c r="J729" i="7"/>
  <c r="J727" i="7"/>
  <c r="L727" i="7" s="1"/>
  <c r="M727" i="7" s="1"/>
  <c r="J726" i="7"/>
  <c r="L726" i="7" s="1"/>
  <c r="M726" i="7" s="1"/>
  <c r="J725" i="7"/>
  <c r="L725" i="7" s="1"/>
  <c r="M725" i="7" s="1"/>
  <c r="J724" i="7"/>
  <c r="L724" i="7" s="1"/>
  <c r="M724" i="7" s="1"/>
  <c r="J723" i="7" l="1"/>
  <c r="L723" i="7" s="1"/>
  <c r="M723" i="7" s="1"/>
  <c r="J722" i="7"/>
  <c r="J719" i="7"/>
  <c r="L719" i="7" s="1"/>
  <c r="M719" i="7" s="1"/>
  <c r="J718" i="7"/>
  <c r="L718" i="7" s="1"/>
  <c r="M718" i="7" s="1"/>
  <c r="J716" i="7"/>
  <c r="L716" i="7" s="1"/>
  <c r="M716" i="7" s="1"/>
  <c r="J712" i="7"/>
  <c r="L712" i="7" s="1"/>
  <c r="M712" i="7" s="1"/>
  <c r="J708" i="7"/>
  <c r="L708" i="7" s="1"/>
  <c r="J709" i="7"/>
  <c r="L709" i="7" s="1"/>
  <c r="M709" i="7" s="1"/>
  <c r="J706" i="7"/>
  <c r="L706" i="7" s="1"/>
  <c r="J705" i="7"/>
  <c r="L705" i="7" s="1"/>
  <c r="M705" i="7" l="1"/>
  <c r="AA705" i="7"/>
  <c r="M706" i="7"/>
  <c r="AA706" i="7"/>
  <c r="M708" i="7"/>
  <c r="AA708" i="7"/>
  <c r="L627" i="7"/>
  <c r="M627" i="7" s="1"/>
  <c r="J626" i="7"/>
  <c r="L626" i="7" s="1"/>
  <c r="M626" i="7" s="1"/>
  <c r="J625" i="7"/>
  <c r="L625" i="7" s="1"/>
  <c r="M625" i="7" s="1"/>
  <c r="J703" i="7" l="1"/>
  <c r="L703" i="7" s="1"/>
  <c r="M703" i="7" s="1"/>
  <c r="J685" i="7"/>
  <c r="L685" i="7" s="1"/>
  <c r="M685" i="7" s="1"/>
  <c r="J688" i="7"/>
  <c r="L688" i="7" s="1"/>
  <c r="M688" i="7" s="1"/>
  <c r="J687" i="7"/>
  <c r="L687" i="7" s="1"/>
  <c r="M687" i="7" s="1"/>
  <c r="J686" i="7"/>
  <c r="L686" i="7" s="1"/>
  <c r="M686" i="7" s="1"/>
  <c r="J697" i="7" l="1"/>
  <c r="L697" i="7" s="1"/>
  <c r="M697" i="7" s="1"/>
  <c r="J694" i="7"/>
  <c r="L694" i="7" s="1"/>
  <c r="M694" i="7" s="1"/>
  <c r="J693" i="7"/>
  <c r="L693" i="7" s="1"/>
  <c r="M693" i="7" s="1"/>
  <c r="J682" i="7"/>
  <c r="L682" i="7" s="1"/>
  <c r="M682" i="7" s="1"/>
  <c r="J677" i="7"/>
  <c r="L677" i="7" s="1"/>
  <c r="M677" i="7" s="1"/>
  <c r="J669" i="7"/>
  <c r="L669" i="7" s="1"/>
  <c r="M669" i="7" s="1"/>
  <c r="J665" i="7" l="1"/>
  <c r="L665" i="7" s="1"/>
  <c r="M665" i="7" s="1"/>
  <c r="J661" i="7"/>
  <c r="L661" i="7" s="1"/>
  <c r="M661" i="7" s="1"/>
  <c r="J668" i="7"/>
  <c r="L668" i="7" s="1"/>
  <c r="M668" i="7" s="1"/>
  <c r="J667" i="7" l="1"/>
  <c r="L667" i="7" s="1"/>
  <c r="M667" i="7" s="1"/>
  <c r="J666" i="7"/>
  <c r="L666" i="7" s="1"/>
  <c r="M666" i="7" s="1"/>
  <c r="E102" i="10"/>
  <c r="C102" i="10"/>
  <c r="E101" i="10"/>
  <c r="C101" i="10"/>
  <c r="E100" i="10"/>
  <c r="C100" i="10"/>
  <c r="E99" i="10"/>
  <c r="C99" i="10"/>
  <c r="E98" i="10"/>
  <c r="C98" i="10"/>
  <c r="E97" i="10"/>
  <c r="E103" i="10" s="1"/>
  <c r="C97" i="10"/>
  <c r="E96" i="10"/>
  <c r="C96" i="10"/>
  <c r="E95" i="10"/>
  <c r="C95" i="10"/>
  <c r="E94" i="10"/>
  <c r="C94" i="10"/>
  <c r="C103" i="10" s="1"/>
  <c r="E89" i="10"/>
  <c r="C89" i="10"/>
  <c r="E88" i="10"/>
  <c r="C88" i="10"/>
  <c r="E87" i="10"/>
  <c r="C87" i="10"/>
  <c r="E86" i="10"/>
  <c r="C86" i="10"/>
  <c r="E85" i="10"/>
  <c r="C85" i="10"/>
  <c r="E84" i="10"/>
  <c r="C84" i="10"/>
  <c r="E83" i="10"/>
  <c r="C83" i="10"/>
  <c r="E82" i="10"/>
  <c r="C82" i="10"/>
  <c r="E81" i="10"/>
  <c r="E90" i="10" s="1"/>
  <c r="C81" i="10"/>
  <c r="C90" i="10" s="1"/>
  <c r="E77" i="10"/>
  <c r="E76" i="10"/>
  <c r="C76" i="10"/>
  <c r="E75" i="10"/>
  <c r="C75" i="10"/>
  <c r="E74" i="10"/>
  <c r="C74" i="10"/>
  <c r="E73" i="10"/>
  <c r="C73" i="10"/>
  <c r="E72" i="10"/>
  <c r="C72" i="10"/>
  <c r="E71" i="10"/>
  <c r="C71" i="10"/>
  <c r="E70" i="10"/>
  <c r="C70" i="10"/>
  <c r="E69" i="10"/>
  <c r="C69" i="10"/>
  <c r="E68" i="10"/>
  <c r="C68" i="10"/>
  <c r="E63" i="10"/>
  <c r="C63" i="10"/>
  <c r="E62" i="10"/>
  <c r="C62" i="10"/>
  <c r="E61" i="10"/>
  <c r="C61" i="10"/>
  <c r="E60" i="10"/>
  <c r="C60" i="10"/>
  <c r="E59" i="10"/>
  <c r="C59" i="10"/>
  <c r="E58" i="10"/>
  <c r="C58" i="10"/>
  <c r="E57" i="10"/>
  <c r="C57" i="10"/>
  <c r="E56" i="10"/>
  <c r="C56" i="10"/>
  <c r="E55" i="10"/>
  <c r="C55" i="10"/>
  <c r="E50" i="10"/>
  <c r="C50" i="10"/>
  <c r="E49" i="10"/>
  <c r="C49" i="10"/>
  <c r="E48" i="10"/>
  <c r="C48" i="10"/>
  <c r="E47" i="10"/>
  <c r="C47" i="10"/>
  <c r="E46" i="10"/>
  <c r="C46" i="10"/>
  <c r="E45" i="10"/>
  <c r="C45" i="10"/>
  <c r="E44" i="10"/>
  <c r="C44" i="10"/>
  <c r="E43" i="10"/>
  <c r="C43" i="10"/>
  <c r="E42" i="10"/>
  <c r="C42" i="10"/>
  <c r="E37" i="10"/>
  <c r="E36" i="10"/>
  <c r="E35" i="10"/>
  <c r="E34" i="10"/>
  <c r="E33" i="10"/>
  <c r="E32" i="10"/>
  <c r="E31" i="10"/>
  <c r="E30" i="10"/>
  <c r="E29" i="10"/>
  <c r="E38" i="10" s="1"/>
  <c r="C37" i="10"/>
  <c r="C36" i="10"/>
  <c r="C35" i="10"/>
  <c r="C34" i="10"/>
  <c r="C33" i="10"/>
  <c r="C32" i="10"/>
  <c r="C31" i="10"/>
  <c r="C30" i="10"/>
  <c r="C29" i="10"/>
  <c r="J658" i="7"/>
  <c r="L658" i="7" s="1"/>
  <c r="M658" i="7" s="1"/>
  <c r="J657" i="7"/>
  <c r="L657" i="7" s="1"/>
  <c r="M657" i="7" s="1"/>
  <c r="C77" i="10" l="1"/>
  <c r="E51" i="10"/>
  <c r="C51" i="10"/>
  <c r="C64" i="10"/>
  <c r="C38" i="10"/>
  <c r="E64" i="10"/>
  <c r="E24" i="10" l="1"/>
  <c r="C24" i="10"/>
  <c r="E23" i="10"/>
  <c r="C23" i="10"/>
  <c r="E22" i="10"/>
  <c r="C22" i="10"/>
  <c r="E21" i="10"/>
  <c r="C21" i="10"/>
  <c r="E20" i="10"/>
  <c r="C20" i="10"/>
  <c r="E19" i="10"/>
  <c r="C19" i="10"/>
  <c r="E18" i="10"/>
  <c r="C18" i="10"/>
  <c r="E17" i="10"/>
  <c r="C17" i="10"/>
  <c r="E16" i="10"/>
  <c r="C16" i="10"/>
  <c r="J650" i="7"/>
  <c r="J638" i="7"/>
  <c r="L638" i="7" s="1"/>
  <c r="M638" i="7" s="1"/>
  <c r="J654" i="7"/>
  <c r="L654" i="7" s="1"/>
  <c r="M654" i="7" s="1"/>
  <c r="J653" i="7"/>
  <c r="L653" i="7" s="1"/>
  <c r="M653" i="7" s="1"/>
  <c r="J652" i="7"/>
  <c r="L652" i="7" s="1"/>
  <c r="M652" i="7" s="1"/>
  <c r="J651" i="7"/>
  <c r="L651" i="7" s="1"/>
  <c r="M651" i="7" s="1"/>
  <c r="E25" i="10" l="1"/>
  <c r="C25" i="10"/>
  <c r="E11" i="10"/>
  <c r="C11" i="10"/>
  <c r="E10" i="10"/>
  <c r="C10" i="10"/>
  <c r="E9" i="10"/>
  <c r="C9" i="10"/>
  <c r="E8" i="10"/>
  <c r="C8" i="10"/>
  <c r="E7" i="10"/>
  <c r="C7" i="10"/>
  <c r="E6" i="10"/>
  <c r="C6" i="10"/>
  <c r="E5" i="10"/>
  <c r="C5" i="10"/>
  <c r="E4" i="10"/>
  <c r="C4" i="10"/>
  <c r="E3" i="10"/>
  <c r="C3" i="10"/>
  <c r="J648" i="7"/>
  <c r="L648" i="7" s="1"/>
  <c r="M648" i="7" s="1"/>
  <c r="J647" i="7"/>
  <c r="L647" i="7" s="1"/>
  <c r="M647" i="7" s="1"/>
  <c r="J646" i="7"/>
  <c r="L646" i="7" s="1"/>
  <c r="M646" i="7" s="1"/>
  <c r="J645" i="7"/>
  <c r="L645" i="7" s="1"/>
  <c r="M645" i="7" s="1"/>
  <c r="J622" i="7"/>
  <c r="L622" i="7" s="1"/>
  <c r="M622" i="7" s="1"/>
  <c r="J636" i="7"/>
  <c r="L636" i="7" s="1"/>
  <c r="M636" i="7" s="1"/>
  <c r="J608" i="7"/>
  <c r="L608" i="7" s="1"/>
  <c r="M608" i="7" s="1"/>
  <c r="J655" i="7"/>
  <c r="L655" i="7" s="1"/>
  <c r="M655" i="7" s="1"/>
  <c r="J659" i="7"/>
  <c r="L659" i="7" s="1"/>
  <c r="M659" i="7" s="1"/>
  <c r="J660" i="7"/>
  <c r="L660" i="7" s="1"/>
  <c r="M660" i="7" s="1"/>
  <c r="J662" i="7"/>
  <c r="L662" i="7" s="1"/>
  <c r="M662" i="7" s="1"/>
  <c r="J663" i="7"/>
  <c r="L663" i="7" s="1"/>
  <c r="M663" i="7" s="1"/>
  <c r="J664" i="7"/>
  <c r="L664" i="7" s="1"/>
  <c r="M664" i="7" s="1"/>
  <c r="J670" i="7"/>
  <c r="L670" i="7" s="1"/>
  <c r="M670" i="7" s="1"/>
  <c r="J671" i="7"/>
  <c r="L671" i="7" s="1"/>
  <c r="M671" i="7" s="1"/>
  <c r="J672" i="7"/>
  <c r="L672" i="7" s="1"/>
  <c r="M672" i="7" s="1"/>
  <c r="J673" i="7"/>
  <c r="L673" i="7" s="1"/>
  <c r="M673" i="7" s="1"/>
  <c r="J674" i="7"/>
  <c r="L674" i="7" s="1"/>
  <c r="M674" i="7" s="1"/>
  <c r="J675" i="7"/>
  <c r="L675" i="7" s="1"/>
  <c r="M675" i="7" s="1"/>
  <c r="J676" i="7"/>
  <c r="L676" i="7" s="1"/>
  <c r="M676" i="7" s="1"/>
  <c r="J678" i="7"/>
  <c r="L678" i="7" s="1"/>
  <c r="M678" i="7" s="1"/>
  <c r="J679" i="7"/>
  <c r="L679" i="7" s="1"/>
  <c r="M679" i="7" s="1"/>
  <c r="J680" i="7"/>
  <c r="L680" i="7" s="1"/>
  <c r="M680" i="7" s="1"/>
  <c r="J681" i="7"/>
  <c r="L681" i="7" s="1"/>
  <c r="M681" i="7" s="1"/>
  <c r="J683" i="7"/>
  <c r="L683" i="7" s="1"/>
  <c r="M683" i="7" s="1"/>
  <c r="J684" i="7"/>
  <c r="L684" i="7" s="1"/>
  <c r="M684" i="7" s="1"/>
  <c r="J689" i="7"/>
  <c r="L689" i="7" s="1"/>
  <c r="M689" i="7" s="1"/>
  <c r="J690" i="7"/>
  <c r="L690" i="7" s="1"/>
  <c r="M690" i="7" s="1"/>
  <c r="J691" i="7"/>
  <c r="L691" i="7" s="1"/>
  <c r="M691" i="7" s="1"/>
  <c r="J692" i="7"/>
  <c r="L692" i="7" s="1"/>
  <c r="M692" i="7" s="1"/>
  <c r="J695" i="7"/>
  <c r="L695" i="7" s="1"/>
  <c r="M695" i="7" s="1"/>
  <c r="J696" i="7"/>
  <c r="L696" i="7" s="1"/>
  <c r="M696" i="7" s="1"/>
  <c r="J698" i="7"/>
  <c r="L698" i="7" s="1"/>
  <c r="M698" i="7" s="1"/>
  <c r="J699" i="7"/>
  <c r="L699" i="7" s="1"/>
  <c r="M699" i="7" s="1"/>
  <c r="J700" i="7"/>
  <c r="L700" i="7" s="1"/>
  <c r="M700" i="7" s="1"/>
  <c r="J701" i="7"/>
  <c r="L701" i="7" s="1"/>
  <c r="L702" i="7"/>
  <c r="J707" i="7"/>
  <c r="L707" i="7" s="1"/>
  <c r="J711" i="7"/>
  <c r="L711" i="7" s="1"/>
  <c r="J713" i="7"/>
  <c r="L713" i="7" s="1"/>
  <c r="L714" i="7"/>
  <c r="J715" i="7"/>
  <c r="L715" i="7" s="1"/>
  <c r="J717" i="7"/>
  <c r="L717" i="7" s="1"/>
  <c r="J720" i="7"/>
  <c r="L720" i="7" s="1"/>
  <c r="AA720" i="7" s="1"/>
  <c r="J721" i="7"/>
  <c r="L721" i="7" s="1"/>
  <c r="M721" i="7" s="1"/>
  <c r="L722" i="7"/>
  <c r="J728" i="7"/>
  <c r="L728" i="7" s="1"/>
  <c r="AA728" i="7" s="1"/>
  <c r="L729" i="7"/>
  <c r="M729" i="7" s="1"/>
  <c r="M730" i="7"/>
  <c r="J733" i="7"/>
  <c r="L733" i="7" s="1"/>
  <c r="M733" i="7" s="1"/>
  <c r="J734" i="7"/>
  <c r="L734" i="7" s="1"/>
  <c r="J735" i="7"/>
  <c r="L735" i="7" s="1"/>
  <c r="J736" i="7"/>
  <c r="L736" i="7" s="1"/>
  <c r="M736" i="7" s="1"/>
  <c r="J737" i="7"/>
  <c r="L737" i="7" s="1"/>
  <c r="J738" i="7"/>
  <c r="L738" i="7" s="1"/>
  <c r="J739" i="7"/>
  <c r="L739" i="7" s="1"/>
  <c r="M739" i="7" s="1"/>
  <c r="J740" i="7"/>
  <c r="L740" i="7" s="1"/>
  <c r="M740" i="7" s="1"/>
  <c r="J741" i="7"/>
  <c r="L741" i="7" s="1"/>
  <c r="M741" i="7" s="1"/>
  <c r="J743" i="7"/>
  <c r="L743" i="7" s="1"/>
  <c r="M743" i="7" s="1"/>
  <c r="J746" i="7"/>
  <c r="L746" i="7" s="1"/>
  <c r="L748" i="7"/>
  <c r="M748" i="7" s="1"/>
  <c r="J755" i="7"/>
  <c r="L755" i="7" s="1"/>
  <c r="AA755" i="7" s="1"/>
  <c r="J763" i="7"/>
  <c r="L763" i="7" s="1"/>
  <c r="J765" i="7"/>
  <c r="L765" i="7" s="1"/>
  <c r="J766" i="7"/>
  <c r="L766" i="7" s="1"/>
  <c r="J767" i="7"/>
  <c r="L767" i="7" s="1"/>
  <c r="M767" i="7" s="1"/>
  <c r="J771" i="7"/>
  <c r="L771" i="7" s="1"/>
  <c r="M771" i="7" s="1"/>
  <c r="J773" i="7"/>
  <c r="L773" i="7" s="1"/>
  <c r="J774" i="7"/>
  <c r="L774" i="7" s="1"/>
  <c r="M774" i="7" s="1"/>
  <c r="J776" i="7"/>
  <c r="L776" i="7" s="1"/>
  <c r="J777" i="7"/>
  <c r="L777" i="7" s="1"/>
  <c r="L781" i="7"/>
  <c r="M781" i="7" s="1"/>
  <c r="J784" i="7"/>
  <c r="L784" i="7" s="1"/>
  <c r="J785" i="7"/>
  <c r="L785" i="7" s="1"/>
  <c r="J786" i="7"/>
  <c r="L786" i="7" s="1"/>
  <c r="J788" i="7"/>
  <c r="L788" i="7" s="1"/>
  <c r="J790" i="7"/>
  <c r="L790" i="7" s="1"/>
  <c r="J791" i="7"/>
  <c r="L791" i="7" s="1"/>
  <c r="J800" i="7"/>
  <c r="L800" i="7" s="1"/>
  <c r="M800" i="7" s="1"/>
  <c r="J801" i="7"/>
  <c r="L801" i="7" s="1"/>
  <c r="AA801" i="7" s="1"/>
  <c r="J802" i="7"/>
  <c r="L802" i="7" s="1"/>
  <c r="AA802" i="7" s="1"/>
  <c r="J803" i="7"/>
  <c r="L803" i="7" s="1"/>
  <c r="J804" i="7"/>
  <c r="L804" i="7" s="1"/>
  <c r="J805" i="7"/>
  <c r="L805" i="7" s="1"/>
  <c r="J806" i="7"/>
  <c r="L806" i="7" s="1"/>
  <c r="M806" i="7" s="1"/>
  <c r="J810" i="7"/>
  <c r="L810" i="7" s="1"/>
  <c r="J811" i="7"/>
  <c r="L811" i="7" s="1"/>
  <c r="J812" i="7"/>
  <c r="L812" i="7" s="1"/>
  <c r="M812" i="7" s="1"/>
  <c r="J815" i="7"/>
  <c r="L815" i="7" s="1"/>
  <c r="M815" i="7" s="1"/>
  <c r="J816" i="7"/>
  <c r="L816" i="7" s="1"/>
  <c r="M816" i="7" s="1"/>
  <c r="J819" i="7"/>
  <c r="L819" i="7" s="1"/>
  <c r="M819" i="7" s="1"/>
  <c r="J823" i="7"/>
  <c r="L823" i="7" s="1"/>
  <c r="J827" i="7"/>
  <c r="L827" i="7" s="1"/>
  <c r="M827" i="7" s="1"/>
  <c r="J830" i="7"/>
  <c r="L830" i="7" s="1"/>
  <c r="M830" i="7" s="1"/>
  <c r="J831" i="7"/>
  <c r="L831" i="7" s="1"/>
  <c r="J832" i="7"/>
  <c r="L832" i="7" s="1"/>
  <c r="J834" i="7"/>
  <c r="L834" i="7" s="1"/>
  <c r="M834" i="7" s="1"/>
  <c r="J835" i="7"/>
  <c r="L835" i="7" s="1"/>
  <c r="M835" i="7" s="1"/>
  <c r="J836" i="7"/>
  <c r="L836" i="7" s="1"/>
  <c r="M836" i="7" s="1"/>
  <c r="J837" i="7"/>
  <c r="L837" i="7" s="1"/>
  <c r="J838" i="7"/>
  <c r="L838" i="7" s="1"/>
  <c r="M838" i="7" s="1"/>
  <c r="J844" i="7"/>
  <c r="L844" i="7" s="1"/>
  <c r="AA844" i="7" s="1"/>
  <c r="J845" i="7"/>
  <c r="L845" i="7" s="1"/>
  <c r="AA845" i="7" s="1"/>
  <c r="L846" i="7"/>
  <c r="J848" i="7"/>
  <c r="L848" i="7" s="1"/>
  <c r="M848" i="7" s="1"/>
  <c r="J851" i="7"/>
  <c r="L851" i="7" s="1"/>
  <c r="J852" i="7"/>
  <c r="L852" i="7" s="1"/>
  <c r="J624" i="7"/>
  <c r="L624" i="7" s="1"/>
  <c r="M624" i="7" s="1"/>
  <c r="J619" i="7"/>
  <c r="L619" i="7" s="1"/>
  <c r="M619" i="7" s="1"/>
  <c r="J614" i="7"/>
  <c r="L614" i="7" s="1"/>
  <c r="M614" i="7" s="1"/>
  <c r="J612" i="7"/>
  <c r="L612" i="7" s="1"/>
  <c r="M612" i="7" s="1"/>
  <c r="J609" i="7"/>
  <c r="L609" i="7" s="1"/>
  <c r="M609" i="7" s="1"/>
  <c r="J630" i="7"/>
  <c r="L630" i="7" s="1"/>
  <c r="M630" i="7" s="1"/>
  <c r="J629" i="7"/>
  <c r="L629" i="7" s="1"/>
  <c r="M629" i="7" s="1"/>
  <c r="M852" i="7" l="1"/>
  <c r="AA852" i="7"/>
  <c r="M831" i="7"/>
  <c r="AA831" i="7"/>
  <c r="M837" i="7"/>
  <c r="AA837" i="7"/>
  <c r="M851" i="7"/>
  <c r="AA851" i="7"/>
  <c r="M832" i="7"/>
  <c r="AA832" i="7"/>
  <c r="M823" i="7"/>
  <c r="AA823" i="7"/>
  <c r="M846" i="7"/>
  <c r="AA846" i="7"/>
  <c r="M845" i="7"/>
  <c r="M844" i="7"/>
  <c r="AA830" i="7"/>
  <c r="M788" i="7"/>
  <c r="AA788" i="7"/>
  <c r="M713" i="7"/>
  <c r="AA713" i="7"/>
  <c r="M735" i="7"/>
  <c r="AA735" i="7"/>
  <c r="M786" i="7"/>
  <c r="AA786" i="7"/>
  <c r="M701" i="7"/>
  <c r="AA701" i="7"/>
  <c r="M785" i="7"/>
  <c r="AA785" i="7"/>
  <c r="M707" i="7"/>
  <c r="AA707" i="7"/>
  <c r="M784" i="7"/>
  <c r="AA784" i="7"/>
  <c r="M702" i="7"/>
  <c r="AA702" i="7"/>
  <c r="M746" i="7"/>
  <c r="M811" i="7"/>
  <c r="AA811" i="7"/>
  <c r="M805" i="7"/>
  <c r="AA805" i="7"/>
  <c r="M776" i="7"/>
  <c r="AA776" i="7"/>
  <c r="M722" i="7"/>
  <c r="AA722" i="7"/>
  <c r="AA819" i="7"/>
  <c r="M738" i="7"/>
  <c r="AA738" i="7"/>
  <c r="M717" i="7"/>
  <c r="AA717" i="7"/>
  <c r="M728" i="7"/>
  <c r="M773" i="7"/>
  <c r="AA773" i="7"/>
  <c r="M720" i="7"/>
  <c r="M715" i="7"/>
  <c r="AA715" i="7"/>
  <c r="M765" i="7"/>
  <c r="AA765" i="7"/>
  <c r="M763" i="7"/>
  <c r="AA763" i="7"/>
  <c r="M711" i="7"/>
  <c r="AA711" i="7"/>
  <c r="M810" i="7"/>
  <c r="AA810" i="7"/>
  <c r="M804" i="7"/>
  <c r="AA804" i="7"/>
  <c r="M777" i="7"/>
  <c r="AA777" i="7"/>
  <c r="M803" i="7"/>
  <c r="AA803" i="7"/>
  <c r="M791" i="7"/>
  <c r="AA791" i="7"/>
  <c r="M737" i="7"/>
  <c r="AA737" i="7"/>
  <c r="AA815" i="7"/>
  <c r="M790" i="7"/>
  <c r="AA790" i="7"/>
  <c r="M766" i="7"/>
  <c r="AA766" i="7"/>
  <c r="M714" i="7"/>
  <c r="AA714" i="7"/>
  <c r="M755" i="7"/>
  <c r="M734" i="7"/>
  <c r="AA734" i="7"/>
  <c r="M802" i="7"/>
  <c r="M801" i="7"/>
  <c r="C12" i="10"/>
  <c r="E12" i="10"/>
  <c r="J628" i="7"/>
  <c r="L628" i="7" s="1"/>
  <c r="M628" i="7" s="1"/>
  <c r="J620" i="7"/>
  <c r="L620" i="7" s="1"/>
  <c r="M620" i="7" s="1"/>
  <c r="J621" i="7"/>
  <c r="L621" i="7" s="1"/>
  <c r="M621" i="7" s="1"/>
  <c r="J618" i="7"/>
  <c r="L618" i="7" s="1"/>
  <c r="M618" i="7" s="1"/>
  <c r="J613" i="7"/>
  <c r="L613" i="7" s="1"/>
  <c r="M613" i="7" s="1"/>
  <c r="J607" i="7"/>
  <c r="L607" i="7" s="1"/>
  <c r="M607" i="7" s="1"/>
  <c r="J606" i="7"/>
  <c r="L606" i="7" s="1"/>
  <c r="M606" i="7" s="1"/>
  <c r="J603" i="7" l="1"/>
  <c r="L603" i="7" s="1"/>
  <c r="M603" i="7" s="1"/>
  <c r="J600" i="7" l="1"/>
  <c r="L600" i="7" s="1"/>
  <c r="M600" i="7" s="1"/>
  <c r="J598" i="7"/>
  <c r="L598" i="7" s="1"/>
  <c r="M598" i="7" s="1"/>
  <c r="J599" i="7"/>
  <c r="L599" i="7" s="1"/>
  <c r="M599" i="7" s="1"/>
  <c r="J597" i="7"/>
  <c r="L597" i="7" s="1"/>
  <c r="M597" i="7" s="1"/>
  <c r="J634" i="7"/>
  <c r="L634" i="7" s="1"/>
  <c r="M634" i="7" s="1"/>
  <c r="J635" i="7"/>
  <c r="L635" i="7" s="1"/>
  <c r="M635" i="7" s="1"/>
  <c r="J637" i="7"/>
  <c r="L637" i="7" s="1"/>
  <c r="M637" i="7" s="1"/>
  <c r="J595" i="7"/>
  <c r="L595" i="7" s="1"/>
  <c r="M595" i="7" s="1"/>
  <c r="J594" i="7"/>
  <c r="L594" i="7" s="1"/>
  <c r="M594" i="7" s="1"/>
  <c r="J593" i="7"/>
  <c r="L593" i="7" s="1"/>
  <c r="M593" i="7" s="1"/>
  <c r="J592" i="7"/>
  <c r="L592" i="7" s="1"/>
  <c r="M592" i="7" s="1"/>
  <c r="J591" i="7"/>
  <c r="L591" i="7" s="1"/>
  <c r="M591" i="7" s="1"/>
  <c r="J588" i="7"/>
  <c r="L588" i="7" s="1"/>
  <c r="M588" i="7" s="1"/>
  <c r="J587" i="7"/>
  <c r="L587" i="7" s="1"/>
  <c r="M587" i="7" s="1"/>
  <c r="J586" i="7"/>
  <c r="L586" i="7" s="1"/>
  <c r="M586" i="7" s="1"/>
  <c r="J585" i="7"/>
  <c r="L585" i="7" s="1"/>
  <c r="M585" i="7" s="1"/>
  <c r="J583" i="7"/>
  <c r="L583" i="7" s="1"/>
  <c r="M583" i="7" s="1"/>
  <c r="J581" i="7"/>
  <c r="L581" i="7" s="1"/>
  <c r="M581" i="7" s="1"/>
  <c r="J579" i="7"/>
  <c r="L579" i="7" s="1"/>
  <c r="M579" i="7" s="1"/>
  <c r="J576" i="7"/>
  <c r="L576" i="7" s="1"/>
  <c r="M576" i="7" s="1"/>
  <c r="J575" i="7"/>
  <c r="L575" i="7" s="1"/>
  <c r="M575" i="7" s="1"/>
  <c r="J574" i="7"/>
  <c r="L574" i="7" s="1"/>
  <c r="M574" i="7" s="1"/>
  <c r="J546" i="7" l="1"/>
  <c r="L546" i="7" s="1"/>
  <c r="M546" i="7" s="1"/>
  <c r="J545" i="7"/>
  <c r="L545" i="7" s="1"/>
  <c r="M545" i="7" s="1"/>
  <c r="J509" i="7" l="1"/>
  <c r="L509" i="7" s="1"/>
  <c r="M509" i="7" s="1"/>
  <c r="J504" i="7"/>
  <c r="L504" i="7" s="1"/>
  <c r="M504" i="7" s="1"/>
  <c r="J568" i="7"/>
  <c r="L568" i="7" s="1"/>
  <c r="M568" i="7" s="1"/>
  <c r="L650" i="7"/>
  <c r="M650" i="7" s="1"/>
  <c r="J649" i="7"/>
  <c r="L649" i="7" s="1"/>
  <c r="M649" i="7" s="1"/>
  <c r="J644" i="7"/>
  <c r="L644" i="7" s="1"/>
  <c r="M644" i="7" s="1"/>
  <c r="J643" i="7"/>
  <c r="L643" i="7" s="1"/>
  <c r="M643" i="7" s="1"/>
  <c r="J642" i="7"/>
  <c r="L642" i="7" s="1"/>
  <c r="M642" i="7" s="1"/>
  <c r="J641" i="7"/>
  <c r="L641" i="7" s="1"/>
  <c r="M641" i="7" s="1"/>
  <c r="J640" i="7"/>
  <c r="L640" i="7" s="1"/>
  <c r="M640" i="7" s="1"/>
  <c r="J639" i="7"/>
  <c r="L639" i="7" s="1"/>
  <c r="M639" i="7" s="1"/>
  <c r="J633" i="7"/>
  <c r="L633" i="7" s="1"/>
  <c r="M633" i="7" s="1"/>
  <c r="J632" i="7"/>
  <c r="L632" i="7" s="1"/>
  <c r="M632" i="7" s="1"/>
  <c r="J631" i="7"/>
  <c r="L631" i="7" s="1"/>
  <c r="M631" i="7" s="1"/>
  <c r="J623" i="7"/>
  <c r="L623" i="7" s="1"/>
  <c r="M623" i="7" s="1"/>
  <c r="J615" i="7"/>
  <c r="L615" i="7" s="1"/>
  <c r="M615" i="7" s="1"/>
  <c r="J611" i="7"/>
  <c r="L611" i="7" s="1"/>
  <c r="M611" i="7" s="1"/>
  <c r="J610" i="7"/>
  <c r="L610" i="7" s="1"/>
  <c r="M610" i="7" s="1"/>
  <c r="J605" i="7"/>
  <c r="L605" i="7" s="1"/>
  <c r="M605" i="7" s="1"/>
  <c r="J604" i="7"/>
  <c r="L604" i="7" s="1"/>
  <c r="M604" i="7" s="1"/>
  <c r="L602" i="7"/>
  <c r="M602" i="7" s="1"/>
  <c r="J601" i="7"/>
  <c r="L601" i="7" s="1"/>
  <c r="M601" i="7" s="1"/>
  <c r="J596" i="7"/>
  <c r="L596" i="7" s="1"/>
  <c r="M596" i="7" s="1"/>
  <c r="J584" i="7"/>
  <c r="L584" i="7" s="1"/>
  <c r="M584" i="7" s="1"/>
  <c r="J582" i="7"/>
  <c r="L582" i="7" s="1"/>
  <c r="M582" i="7" s="1"/>
  <c r="J580" i="7"/>
  <c r="L580" i="7" s="1"/>
  <c r="M580" i="7" s="1"/>
  <c r="J578" i="7"/>
  <c r="L578" i="7" s="1"/>
  <c r="M578" i="7" s="1"/>
  <c r="J577" i="7"/>
  <c r="L577" i="7" s="1"/>
  <c r="M577" i="7" s="1"/>
  <c r="J573" i="7"/>
  <c r="L573" i="7" s="1"/>
  <c r="M573" i="7" s="1"/>
  <c r="J572" i="7"/>
  <c r="L572" i="7" s="1"/>
  <c r="M572" i="7" s="1"/>
  <c r="J571" i="7"/>
  <c r="L571" i="7" s="1"/>
  <c r="M571" i="7" s="1"/>
  <c r="J570" i="7"/>
  <c r="L570" i="7" s="1"/>
  <c r="M570" i="7" s="1"/>
  <c r="J565" i="7" l="1"/>
  <c r="L565" i="7" s="1"/>
  <c r="M565" i="7" s="1"/>
  <c r="J566" i="7"/>
  <c r="L566" i="7" s="1"/>
  <c r="M566" i="7" s="1"/>
  <c r="J567" i="7"/>
  <c r="L567" i="7" s="1"/>
  <c r="M567" i="7" s="1"/>
  <c r="J564" i="7"/>
  <c r="L564" i="7" s="1"/>
  <c r="M564" i="7" s="1"/>
  <c r="J563" i="7" l="1"/>
  <c r="L563" i="7" s="1"/>
  <c r="M563" i="7" s="1"/>
  <c r="J562" i="7" l="1"/>
  <c r="L562" i="7" s="1"/>
  <c r="M562" i="7" s="1"/>
  <c r="J559" i="7"/>
  <c r="L559" i="7" s="1"/>
  <c r="M559" i="7" s="1"/>
  <c r="J549" i="7"/>
  <c r="L549" i="7" s="1"/>
  <c r="M549" i="7" s="1"/>
  <c r="J543" i="7"/>
  <c r="J540" i="7"/>
  <c r="L540" i="7" s="1"/>
  <c r="M540" i="7" s="1"/>
  <c r="J541" i="7"/>
  <c r="L541" i="7" s="1"/>
  <c r="M541" i="7" s="1"/>
  <c r="J534" i="7"/>
  <c r="L534" i="7" s="1"/>
  <c r="M534" i="7" s="1"/>
  <c r="J530" i="7" l="1"/>
  <c r="L530" i="7" s="1"/>
  <c r="M530" i="7" s="1"/>
  <c r="L520" i="7"/>
  <c r="M520" i="7" s="1"/>
  <c r="J518" i="7"/>
  <c r="L518" i="7" s="1"/>
  <c r="M518" i="7" s="1"/>
  <c r="J515" i="7" l="1"/>
  <c r="L515" i="7" s="1"/>
  <c r="M515" i="7" s="1"/>
  <c r="J514" i="7"/>
  <c r="L514" i="7" s="1"/>
  <c r="M514" i="7" s="1"/>
  <c r="J512" i="7"/>
  <c r="L512" i="7" s="1"/>
  <c r="M512" i="7" s="1"/>
  <c r="J510" i="7" l="1"/>
  <c r="L510" i="7" s="1"/>
  <c r="M510" i="7" s="1"/>
  <c r="J501" i="7"/>
  <c r="L501" i="7" s="1"/>
  <c r="M501" i="7" s="1"/>
  <c r="J498" i="7"/>
  <c r="L498" i="7" s="1"/>
  <c r="M498" i="7" s="1"/>
  <c r="J569" i="7"/>
  <c r="L569" i="7" s="1"/>
  <c r="M569" i="7" s="1"/>
  <c r="J561" i="7"/>
  <c r="L561" i="7" s="1"/>
  <c r="M561" i="7" s="1"/>
  <c r="J560" i="7"/>
  <c r="L560" i="7" s="1"/>
  <c r="M560" i="7" s="1"/>
  <c r="J558" i="7"/>
  <c r="L558" i="7" s="1"/>
  <c r="M558" i="7" s="1"/>
  <c r="J557" i="7"/>
  <c r="L557" i="7" s="1"/>
  <c r="M557" i="7" s="1"/>
  <c r="J556" i="7"/>
  <c r="L556" i="7" s="1"/>
  <c r="M556" i="7" s="1"/>
  <c r="J555" i="7"/>
  <c r="L555" i="7" s="1"/>
  <c r="M555" i="7" s="1"/>
  <c r="J554" i="7"/>
  <c r="L554" i="7" s="1"/>
  <c r="M554" i="7" s="1"/>
  <c r="J553" i="7"/>
  <c r="L553" i="7" s="1"/>
  <c r="M553" i="7" s="1"/>
  <c r="J552" i="7"/>
  <c r="L552" i="7" s="1"/>
  <c r="M552" i="7" s="1"/>
  <c r="J551" i="7"/>
  <c r="L551" i="7" s="1"/>
  <c r="M551" i="7" s="1"/>
  <c r="J550" i="7"/>
  <c r="L550" i="7" s="1"/>
  <c r="M550" i="7" s="1"/>
  <c r="J548" i="7"/>
  <c r="L548" i="7" s="1"/>
  <c r="M548" i="7" s="1"/>
  <c r="J547" i="7"/>
  <c r="L547" i="7" s="1"/>
  <c r="M547" i="7" s="1"/>
  <c r="J544" i="7"/>
  <c r="L544" i="7" s="1"/>
  <c r="M544" i="7" s="1"/>
  <c r="L543" i="7"/>
  <c r="M543" i="7" s="1"/>
  <c r="J542" i="7"/>
  <c r="L542" i="7" s="1"/>
  <c r="M542" i="7" s="1"/>
  <c r="J539" i="7"/>
  <c r="L539" i="7" s="1"/>
  <c r="M539" i="7" s="1"/>
  <c r="J538" i="7"/>
  <c r="L538" i="7" s="1"/>
  <c r="M538" i="7" s="1"/>
  <c r="J537" i="7"/>
  <c r="L537" i="7" s="1"/>
  <c r="M537" i="7" s="1"/>
  <c r="J536" i="7"/>
  <c r="L536" i="7" s="1"/>
  <c r="M536" i="7" s="1"/>
  <c r="J535" i="7"/>
  <c r="L535" i="7" s="1"/>
  <c r="M535" i="7" s="1"/>
  <c r="J533" i="7"/>
  <c r="L533" i="7" s="1"/>
  <c r="M533" i="7" s="1"/>
  <c r="J532" i="7"/>
  <c r="L532" i="7" s="1"/>
  <c r="M532" i="7" s="1"/>
  <c r="J531" i="7"/>
  <c r="L531" i="7" s="1"/>
  <c r="M531" i="7" s="1"/>
  <c r="J528" i="7"/>
  <c r="L528" i="7" s="1"/>
  <c r="M528" i="7" s="1"/>
  <c r="J527" i="7"/>
  <c r="L527" i="7" s="1"/>
  <c r="M527" i="7" s="1"/>
  <c r="J526" i="7"/>
  <c r="L526" i="7" s="1"/>
  <c r="M526" i="7" s="1"/>
  <c r="J525" i="7"/>
  <c r="L525" i="7" s="1"/>
  <c r="M525" i="7" s="1"/>
  <c r="J524" i="7"/>
  <c r="L524" i="7" s="1"/>
  <c r="M524" i="7" s="1"/>
  <c r="J523" i="7"/>
  <c r="L523" i="7" s="1"/>
  <c r="M523" i="7" s="1"/>
  <c r="J522" i="7"/>
  <c r="L522" i="7" s="1"/>
  <c r="M522" i="7" s="1"/>
  <c r="J521" i="7"/>
  <c r="L521" i="7" s="1"/>
  <c r="M521" i="7" s="1"/>
  <c r="J519" i="7"/>
  <c r="L519" i="7" s="1"/>
  <c r="M519" i="7" s="1"/>
  <c r="J517" i="7"/>
  <c r="L517" i="7" s="1"/>
  <c r="M517" i="7" s="1"/>
  <c r="J516" i="7"/>
  <c r="L516" i="7" s="1"/>
  <c r="M516" i="7" s="1"/>
  <c r="J513" i="7"/>
  <c r="L513" i="7" s="1"/>
  <c r="M513" i="7" s="1"/>
  <c r="J511" i="7"/>
  <c r="L511" i="7" s="1"/>
  <c r="M511" i="7" s="1"/>
  <c r="J508" i="7"/>
  <c r="L508" i="7" s="1"/>
  <c r="M508" i="7" s="1"/>
  <c r="J507" i="7"/>
  <c r="L507" i="7" s="1"/>
  <c r="M507" i="7" s="1"/>
  <c r="J506" i="7"/>
  <c r="L506" i="7" s="1"/>
  <c r="M506" i="7" s="1"/>
  <c r="J505" i="7"/>
  <c r="L505" i="7" s="1"/>
  <c r="M505" i="7" s="1"/>
  <c r="J503" i="7"/>
  <c r="L503" i="7" s="1"/>
  <c r="M503" i="7" s="1"/>
  <c r="J502" i="7"/>
  <c r="L502" i="7" s="1"/>
  <c r="M502" i="7" s="1"/>
  <c r="J500" i="7"/>
  <c r="L500" i="7" s="1"/>
  <c r="M500" i="7" s="1"/>
  <c r="J499" i="7"/>
  <c r="L499" i="7" s="1"/>
  <c r="M499" i="7" s="1"/>
  <c r="J497" i="7"/>
  <c r="J489" i="7" l="1"/>
  <c r="J487" i="7"/>
  <c r="L487" i="7" s="1"/>
  <c r="M487" i="7" s="1"/>
  <c r="J486" i="7"/>
  <c r="L486" i="7" s="1"/>
  <c r="M486" i="7" s="1"/>
  <c r="J484" i="7"/>
  <c r="J483" i="7"/>
  <c r="J482" i="7"/>
  <c r="J446" i="7" l="1"/>
  <c r="L469" i="7"/>
  <c r="M469" i="7" s="1"/>
  <c r="L468" i="7"/>
  <c r="M468" i="7" s="1"/>
  <c r="J467" i="7"/>
  <c r="L467" i="7" s="1"/>
  <c r="M467" i="7" s="1"/>
  <c r="J466" i="7"/>
  <c r="L466" i="7" s="1"/>
  <c r="M466" i="7" s="1"/>
  <c r="J465" i="7"/>
  <c r="L465" i="7" s="1"/>
  <c r="M465" i="7" s="1"/>
  <c r="J464" i="7"/>
  <c r="L464" i="7" s="1"/>
  <c r="M464" i="7" s="1"/>
  <c r="J460" i="7"/>
  <c r="L460" i="7" s="1"/>
  <c r="M460" i="7" s="1"/>
  <c r="J461" i="7"/>
  <c r="L461" i="7" s="1"/>
  <c r="M461" i="7" s="1"/>
  <c r="J459" i="7"/>
  <c r="L459" i="7" s="1"/>
  <c r="M459" i="7" s="1"/>
  <c r="J458" i="7"/>
  <c r="L458" i="7" s="1"/>
  <c r="M458" i="7" s="1"/>
  <c r="J442" i="7" l="1"/>
  <c r="L442" i="7" s="1"/>
  <c r="M442" i="7" s="1"/>
  <c r="J444" i="7"/>
  <c r="L444" i="7" s="1"/>
  <c r="M444" i="7" s="1"/>
  <c r="J443" i="7"/>
  <c r="L443" i="7" s="1"/>
  <c r="M443" i="7" s="1"/>
  <c r="J441" i="7"/>
  <c r="L441" i="7" s="1"/>
  <c r="M441" i="7" s="1"/>
  <c r="L436" i="7"/>
  <c r="M436" i="7" s="1"/>
  <c r="J471" i="7"/>
  <c r="L471" i="7" s="1"/>
  <c r="M471" i="7" s="1"/>
  <c r="J462" i="7" l="1"/>
  <c r="L462" i="7" s="1"/>
  <c r="M462" i="7" s="1"/>
  <c r="L455" i="7"/>
  <c r="M455" i="7" s="1"/>
  <c r="J449" i="7"/>
  <c r="L449" i="7" s="1"/>
  <c r="M449" i="7" s="1"/>
  <c r="J447" i="7"/>
  <c r="L447" i="7" s="1"/>
  <c r="M447" i="7" s="1"/>
  <c r="J445" i="7"/>
  <c r="L445" i="7" s="1"/>
  <c r="M445" i="7" s="1"/>
  <c r="L489" i="7"/>
  <c r="M489" i="7" s="1"/>
  <c r="L438" i="7"/>
  <c r="M438" i="7" s="1"/>
  <c r="L435" i="7"/>
  <c r="M435" i="7" s="1"/>
  <c r="J431" i="7"/>
  <c r="L431" i="7" s="1"/>
  <c r="M431" i="7" s="1"/>
  <c r="J427" i="7"/>
  <c r="L427" i="7" s="1"/>
  <c r="M427" i="7" s="1"/>
  <c r="J490" i="7"/>
  <c r="L490" i="7" s="1"/>
  <c r="M490" i="7" s="1"/>
  <c r="J491" i="7"/>
  <c r="L491" i="7" s="1"/>
  <c r="M491" i="7" s="1"/>
  <c r="J492" i="7"/>
  <c r="L492" i="7" s="1"/>
  <c r="M492" i="7" s="1"/>
  <c r="J493" i="7"/>
  <c r="L493" i="7" s="1"/>
  <c r="M493" i="7" s="1"/>
  <c r="J494" i="7"/>
  <c r="L494" i="7" s="1"/>
  <c r="M494" i="7" s="1"/>
  <c r="J495" i="7"/>
  <c r="L495" i="7" s="1"/>
  <c r="M495" i="7" s="1"/>
  <c r="J496" i="7"/>
  <c r="L496" i="7" s="1"/>
  <c r="M496" i="7" s="1"/>
  <c r="L497" i="7"/>
  <c r="M497" i="7" s="1"/>
  <c r="L434" i="7"/>
  <c r="M434" i="7" s="1"/>
  <c r="J432" i="7" l="1"/>
  <c r="L432" i="7" s="1"/>
  <c r="M432" i="7" s="1"/>
  <c r="J429" i="7"/>
  <c r="L429" i="7" s="1"/>
  <c r="M429" i="7" s="1"/>
  <c r="J430" i="7"/>
  <c r="L430" i="7" s="1"/>
  <c r="M430" i="7" s="1"/>
  <c r="L428" i="7"/>
  <c r="M428" i="7" s="1"/>
  <c r="J413" i="7"/>
  <c r="L413" i="7" s="1"/>
  <c r="M413" i="7" s="1"/>
  <c r="J393" i="7"/>
  <c r="L393" i="7" s="1"/>
  <c r="M393" i="7" s="1"/>
  <c r="J392" i="7"/>
  <c r="L392" i="7" s="1"/>
  <c r="M392" i="7" s="1"/>
  <c r="J391" i="7"/>
  <c r="L391" i="7" s="1"/>
  <c r="M391" i="7" s="1"/>
  <c r="J385" i="7"/>
  <c r="L385" i="7" s="1"/>
  <c r="M385" i="7" s="1"/>
  <c r="J384" i="7"/>
  <c r="L384" i="7" s="1"/>
  <c r="M384" i="7" s="1"/>
  <c r="J426" i="7" l="1"/>
  <c r="L426" i="7" s="1"/>
  <c r="M426" i="7" s="1"/>
  <c r="J405" i="7"/>
  <c r="L405" i="7" s="1"/>
  <c r="M405" i="7" s="1"/>
  <c r="J406" i="7"/>
  <c r="L406" i="7" s="1"/>
  <c r="M406" i="7" s="1"/>
  <c r="J407" i="7"/>
  <c r="L407" i="7" s="1"/>
  <c r="M407" i="7" s="1"/>
  <c r="J408" i="7"/>
  <c r="L408" i="7" s="1"/>
  <c r="M408" i="7" s="1"/>
  <c r="J409" i="7"/>
  <c r="L409" i="7" s="1"/>
  <c r="M409" i="7" s="1"/>
  <c r="J411" i="7"/>
  <c r="L411" i="7" s="1"/>
  <c r="M411" i="7" s="1"/>
  <c r="J410" i="7"/>
  <c r="L410" i="7" s="1"/>
  <c r="M410" i="7" s="1"/>
  <c r="J412" i="7"/>
  <c r="L412" i="7" s="1"/>
  <c r="M412" i="7" s="1"/>
  <c r="J414" i="7"/>
  <c r="L414" i="7" s="1"/>
  <c r="M414" i="7" s="1"/>
  <c r="J415" i="7"/>
  <c r="L415" i="7" s="1"/>
  <c r="M415" i="7" s="1"/>
  <c r="J416" i="7"/>
  <c r="L416" i="7" s="1"/>
  <c r="M416" i="7" s="1"/>
  <c r="J417" i="7"/>
  <c r="L417" i="7" s="1"/>
  <c r="M417" i="7" s="1"/>
  <c r="J422" i="7"/>
  <c r="L422" i="7" s="1"/>
  <c r="M422" i="7" s="1"/>
  <c r="J421" i="7"/>
  <c r="L421" i="7" s="1"/>
  <c r="M421" i="7" s="1"/>
  <c r="J418" i="7"/>
  <c r="L418" i="7" s="1"/>
  <c r="M418" i="7" s="1"/>
  <c r="J398" i="7"/>
  <c r="L398" i="7" s="1"/>
  <c r="M398" i="7" s="1"/>
  <c r="J395" i="7" l="1"/>
  <c r="L395" i="7" s="1"/>
  <c r="M395" i="7" s="1"/>
  <c r="J390" i="7"/>
  <c r="L390" i="7" s="1"/>
  <c r="M390" i="7" s="1"/>
  <c r="J389" i="7"/>
  <c r="L389" i="7" s="1"/>
  <c r="M389" i="7" s="1"/>
  <c r="J388" i="7"/>
  <c r="L388" i="7" s="1"/>
  <c r="M388" i="7" s="1"/>
  <c r="J386" i="7"/>
  <c r="L386" i="7" s="1"/>
  <c r="M386" i="7" s="1"/>
  <c r="J383" i="7"/>
  <c r="J382" i="7"/>
  <c r="J375" i="7"/>
  <c r="L375" i="7" s="1"/>
  <c r="J377" i="7"/>
  <c r="L377" i="7" s="1"/>
  <c r="M377" i="7" s="1"/>
  <c r="J378" i="7"/>
  <c r="L378" i="7" s="1"/>
  <c r="M378" i="7" s="1"/>
  <c r="J376" i="7"/>
  <c r="L376" i="7" s="1"/>
  <c r="M376" i="7" s="1"/>
  <c r="L373" i="7"/>
  <c r="M373" i="7" s="1"/>
  <c r="J363" i="7"/>
  <c r="L363" i="7" s="1"/>
  <c r="M363" i="7" s="1"/>
  <c r="J362" i="7"/>
  <c r="L362" i="7" s="1"/>
  <c r="M362" i="7" s="1"/>
  <c r="J364" i="7"/>
  <c r="L364" i="7" s="1"/>
  <c r="M364" i="7" s="1"/>
  <c r="J361" i="7"/>
  <c r="L361" i="7" s="1"/>
  <c r="M361" i="7" s="1"/>
  <c r="J360" i="7"/>
  <c r="L360" i="7" s="1"/>
  <c r="M360" i="7" s="1"/>
  <c r="J359" i="7"/>
  <c r="L359" i="7" s="1"/>
  <c r="M359" i="7" s="1"/>
  <c r="J356" i="7"/>
  <c r="L356" i="7" s="1"/>
  <c r="M356" i="7" s="1"/>
  <c r="J355" i="7"/>
  <c r="L355" i="7" s="1"/>
  <c r="J353" i="7"/>
  <c r="L353" i="7" s="1"/>
  <c r="M353" i="7" s="1"/>
  <c r="J352" i="7"/>
  <c r="L352" i="7" s="1"/>
  <c r="M352" i="7" s="1"/>
  <c r="J347" i="7"/>
  <c r="L347" i="7" s="1"/>
  <c r="M347" i="7" s="1"/>
  <c r="M355" i="7" l="1"/>
  <c r="J346" i="7"/>
  <c r="J338" i="7" l="1"/>
  <c r="L338" i="7" s="1"/>
  <c r="M338" i="7" s="1"/>
  <c r="J337" i="7"/>
  <c r="L337" i="7" s="1"/>
  <c r="M337" i="7" s="1"/>
  <c r="J336" i="7"/>
  <c r="L336" i="7" s="1"/>
  <c r="M336" i="7" s="1"/>
  <c r="J335" i="7"/>
  <c r="L335" i="7" s="1"/>
  <c r="M335" i="7" s="1"/>
  <c r="J334" i="7"/>
  <c r="L334" i="7" s="1"/>
  <c r="M334" i="7" s="1"/>
  <c r="J327" i="7"/>
  <c r="J326" i="7"/>
  <c r="L326" i="7" s="1"/>
  <c r="M326" i="7" s="1"/>
  <c r="J325" i="7"/>
  <c r="L325" i="7" s="1"/>
  <c r="M325" i="7" s="1"/>
  <c r="L318" i="7" l="1"/>
  <c r="M318" i="7" s="1"/>
  <c r="J316" i="7"/>
  <c r="L316" i="7" s="1"/>
  <c r="M316" i="7" s="1"/>
  <c r="J314" i="7"/>
  <c r="J311" i="7"/>
  <c r="L311" i="7" s="1"/>
  <c r="M311" i="7" s="1"/>
  <c r="J310" i="7"/>
  <c r="L310" i="7" s="1"/>
  <c r="M310" i="7" s="1"/>
  <c r="L307" i="7"/>
  <c r="M307" i="7" s="1"/>
  <c r="J332" i="7"/>
  <c r="J333" i="7"/>
  <c r="J339" i="7"/>
  <c r="J340" i="7"/>
  <c r="J341" i="7"/>
  <c r="J342" i="7"/>
  <c r="J343" i="7"/>
  <c r="J344" i="7"/>
  <c r="J345" i="7"/>
  <c r="J348" i="7"/>
  <c r="J349" i="7"/>
  <c r="J350" i="7"/>
  <c r="J351" i="7"/>
  <c r="J354" i="7"/>
  <c r="J357" i="7"/>
  <c r="J358" i="7"/>
  <c r="J365" i="7"/>
  <c r="J366" i="7"/>
  <c r="J367" i="7"/>
  <c r="J368" i="7"/>
  <c r="J369" i="7"/>
  <c r="J370" i="7"/>
  <c r="J371" i="7"/>
  <c r="J372" i="7"/>
  <c r="J374" i="7"/>
  <c r="J379" i="7"/>
  <c r="J380" i="7"/>
  <c r="J381" i="7"/>
  <c r="J394" i="7"/>
  <c r="J387" i="7"/>
  <c r="J396" i="7"/>
  <c r="J397" i="7"/>
  <c r="J399" i="7"/>
  <c r="J400" i="7"/>
  <c r="J401" i="7"/>
  <c r="J402" i="7"/>
  <c r="J403" i="7"/>
  <c r="J404" i="7"/>
  <c r="J419" i="7"/>
  <c r="J420" i="7"/>
  <c r="J423" i="7"/>
  <c r="J424" i="7"/>
  <c r="J425" i="7"/>
  <c r="J433" i="7"/>
  <c r="J450" i="7"/>
  <c r="J452" i="7"/>
  <c r="J453" i="7"/>
  <c r="J454" i="7"/>
  <c r="J456" i="7"/>
  <c r="J457" i="7"/>
  <c r="J463" i="7"/>
  <c r="J470" i="7"/>
  <c r="J472" i="7"/>
  <c r="J473" i="7"/>
  <c r="J474" i="7"/>
  <c r="J475" i="7"/>
  <c r="J476" i="7"/>
  <c r="J477" i="7"/>
  <c r="J478" i="7"/>
  <c r="J479" i="7"/>
  <c r="J480" i="7"/>
  <c r="J481" i="7"/>
  <c r="J485" i="7"/>
  <c r="J488" i="7"/>
  <c r="J308" i="7"/>
  <c r="J309" i="7"/>
  <c r="J312" i="7"/>
  <c r="L312" i="7" s="1"/>
  <c r="J313" i="7"/>
  <c r="J315" i="7"/>
  <c r="J317" i="7"/>
  <c r="J319" i="7"/>
  <c r="J323" i="7"/>
  <c r="J324" i="7"/>
  <c r="J328" i="7"/>
  <c r="J329" i="7"/>
  <c r="J330" i="7"/>
  <c r="J331" i="7"/>
  <c r="J306" i="7"/>
  <c r="J305" i="7"/>
  <c r="L305" i="7" s="1"/>
  <c r="M305" i="7" s="1"/>
  <c r="J304" i="7"/>
  <c r="L304" i="7" s="1"/>
  <c r="M304" i="7" s="1"/>
  <c r="J303" i="7" l="1"/>
  <c r="L303" i="7" s="1"/>
  <c r="M303" i="7" s="1"/>
  <c r="J302" i="7"/>
  <c r="J301" i="7" l="1"/>
  <c r="L301" i="7" s="1"/>
  <c r="M301" i="7" s="1"/>
  <c r="J300" i="7"/>
  <c r="L300" i="7" s="1"/>
  <c r="M300" i="7" s="1"/>
  <c r="J299" i="7"/>
  <c r="J298" i="7"/>
  <c r="L298" i="7" s="1"/>
  <c r="M298" i="7" s="1"/>
  <c r="J281" i="7" l="1"/>
  <c r="L281" i="7" s="1"/>
  <c r="M281" i="7" s="1"/>
  <c r="J268" i="7" l="1"/>
  <c r="L268" i="7" s="1"/>
  <c r="M268" i="7" s="1"/>
  <c r="J267" i="7"/>
  <c r="L267" i="7" s="1"/>
  <c r="M267" i="7" s="1"/>
  <c r="J269" i="7"/>
  <c r="L269" i="7" s="1"/>
  <c r="M269" i="7" s="1"/>
  <c r="J266" i="7"/>
  <c r="L266" i="7" s="1"/>
  <c r="M266" i="7" s="1"/>
  <c r="J297" i="7"/>
  <c r="L297" i="7" s="1"/>
  <c r="M297" i="7" s="1"/>
  <c r="J296" i="7"/>
  <c r="L296" i="7" s="1"/>
  <c r="M296" i="7" s="1"/>
  <c r="J295" i="7"/>
  <c r="L295" i="7" s="1"/>
  <c r="M295" i="7" s="1"/>
  <c r="J294" i="7"/>
  <c r="L294" i="7" s="1"/>
  <c r="M294" i="7" s="1"/>
  <c r="J293" i="7"/>
  <c r="L293" i="7" s="1"/>
  <c r="M293" i="7" s="1"/>
  <c r="J292" i="7"/>
  <c r="L292" i="7" s="1"/>
  <c r="M292" i="7" s="1"/>
  <c r="J282" i="7"/>
  <c r="J280" i="7"/>
  <c r="J283" i="7"/>
  <c r="J284" i="7"/>
  <c r="J285" i="7"/>
  <c r="L285" i="7" s="1"/>
  <c r="M285" i="7" s="1"/>
  <c r="J286" i="7"/>
  <c r="L286" i="7" s="1"/>
  <c r="M286" i="7" s="1"/>
  <c r="J287" i="7"/>
  <c r="L287" i="7" s="1"/>
  <c r="M287" i="7" s="1"/>
  <c r="J288" i="7"/>
  <c r="L288" i="7" s="1"/>
  <c r="M288" i="7" s="1"/>
  <c r="J289" i="7"/>
  <c r="L289" i="7" s="1"/>
  <c r="M289" i="7" s="1"/>
  <c r="J290" i="7"/>
  <c r="L290" i="7" s="1"/>
  <c r="M290" i="7" s="1"/>
  <c r="J291" i="7"/>
  <c r="L291" i="7" s="1"/>
  <c r="M291" i="7" s="1"/>
  <c r="L488" i="7"/>
  <c r="M488" i="7" s="1"/>
  <c r="L485" i="7"/>
  <c r="M485" i="7" s="1"/>
  <c r="L484" i="7"/>
  <c r="M484" i="7" s="1"/>
  <c r="L483" i="7"/>
  <c r="M483" i="7" s="1"/>
  <c r="L482" i="7"/>
  <c r="M482" i="7" s="1"/>
  <c r="L481" i="7"/>
  <c r="M481" i="7" s="1"/>
  <c r="L480" i="7"/>
  <c r="M480" i="7" s="1"/>
  <c r="L479" i="7"/>
  <c r="M479" i="7" s="1"/>
  <c r="L478" i="7"/>
  <c r="M478" i="7" s="1"/>
  <c r="L477" i="7"/>
  <c r="M477" i="7" s="1"/>
  <c r="L476" i="7"/>
  <c r="M476" i="7" s="1"/>
  <c r="L475" i="7"/>
  <c r="M475" i="7" s="1"/>
  <c r="L474" i="7"/>
  <c r="M474" i="7" s="1"/>
  <c r="L473" i="7"/>
  <c r="M473" i="7" s="1"/>
  <c r="L472" i="7"/>
  <c r="M472" i="7" s="1"/>
  <c r="L470" i="7"/>
  <c r="M470" i="7" s="1"/>
  <c r="L463" i="7"/>
  <c r="M463" i="7" s="1"/>
  <c r="L457" i="7"/>
  <c r="M457" i="7" s="1"/>
  <c r="L456" i="7"/>
  <c r="M456" i="7" s="1"/>
  <c r="L454" i="7"/>
  <c r="M454" i="7" s="1"/>
  <c r="L453" i="7"/>
  <c r="M453" i="7" s="1"/>
  <c r="L452" i="7"/>
  <c r="M452" i="7" s="1"/>
  <c r="L450" i="7"/>
  <c r="M450" i="7" s="1"/>
  <c r="L437" i="7"/>
  <c r="M437" i="7" s="1"/>
  <c r="L433" i="7"/>
  <c r="M433" i="7" s="1"/>
  <c r="L425" i="7"/>
  <c r="M425" i="7" s="1"/>
  <c r="L424" i="7"/>
  <c r="M424" i="7" s="1"/>
  <c r="L423" i="7"/>
  <c r="M423" i="7" s="1"/>
  <c r="L420" i="7"/>
  <c r="M420" i="7" s="1"/>
  <c r="L419" i="7"/>
  <c r="M419" i="7" s="1"/>
  <c r="L404" i="7"/>
  <c r="M404" i="7" s="1"/>
  <c r="L403" i="7"/>
  <c r="M403" i="7" s="1"/>
  <c r="L402" i="7"/>
  <c r="M402" i="7" s="1"/>
  <c r="L401" i="7"/>
  <c r="M401" i="7" s="1"/>
  <c r="L400" i="7"/>
  <c r="M400" i="7" s="1"/>
  <c r="L399" i="7"/>
  <c r="M399" i="7" s="1"/>
  <c r="L397" i="7"/>
  <c r="M397" i="7" s="1"/>
  <c r="L396" i="7"/>
  <c r="M396" i="7" s="1"/>
  <c r="L387" i="7"/>
  <c r="M387" i="7" s="1"/>
  <c r="L394" i="7"/>
  <c r="M394" i="7" s="1"/>
  <c r="L383" i="7"/>
  <c r="M383" i="7" s="1"/>
  <c r="L382" i="7"/>
  <c r="M382" i="7" s="1"/>
  <c r="L381" i="7"/>
  <c r="M381" i="7" s="1"/>
  <c r="L380" i="7"/>
  <c r="M380" i="7" s="1"/>
  <c r="L379" i="7"/>
  <c r="M379" i="7" s="1"/>
  <c r="L374" i="7"/>
  <c r="M374" i="7" s="1"/>
  <c r="L372" i="7"/>
  <c r="M372" i="7" s="1"/>
  <c r="L371" i="7"/>
  <c r="M371" i="7" s="1"/>
  <c r="L370" i="7"/>
  <c r="M370" i="7" s="1"/>
  <c r="L369" i="7"/>
  <c r="M369" i="7" s="1"/>
  <c r="L368" i="7"/>
  <c r="M368" i="7" s="1"/>
  <c r="L367" i="7"/>
  <c r="M367" i="7" s="1"/>
  <c r="L366" i="7"/>
  <c r="M366" i="7" s="1"/>
  <c r="L365" i="7"/>
  <c r="M365" i="7" s="1"/>
  <c r="L358" i="7"/>
  <c r="M358" i="7" s="1"/>
  <c r="L357" i="7"/>
  <c r="M357" i="7" s="1"/>
  <c r="L354" i="7"/>
  <c r="M354" i="7" s="1"/>
  <c r="L351" i="7"/>
  <c r="M351" i="7" s="1"/>
  <c r="L350" i="7"/>
  <c r="M350" i="7" s="1"/>
  <c r="L349" i="7"/>
  <c r="M349" i="7" s="1"/>
  <c r="L348" i="7"/>
  <c r="M348" i="7" s="1"/>
  <c r="L346" i="7"/>
  <c r="M346" i="7" s="1"/>
  <c r="L345" i="7"/>
  <c r="M345" i="7" s="1"/>
  <c r="L344" i="7"/>
  <c r="M344" i="7" s="1"/>
  <c r="L343" i="7"/>
  <c r="M343" i="7" s="1"/>
  <c r="L342" i="7"/>
  <c r="M342" i="7" s="1"/>
  <c r="L341" i="7"/>
  <c r="M341" i="7" s="1"/>
  <c r="L340" i="7"/>
  <c r="M340" i="7" s="1"/>
  <c r="L339" i="7"/>
  <c r="M339" i="7" s="1"/>
  <c r="L299" i="7"/>
  <c r="M299" i="7" s="1"/>
  <c r="L302" i="7"/>
  <c r="M302" i="7" s="1"/>
  <c r="L306" i="7"/>
  <c r="M306" i="7" s="1"/>
  <c r="L308" i="7"/>
  <c r="M308" i="7" s="1"/>
  <c r="L309" i="7"/>
  <c r="M309" i="7" s="1"/>
  <c r="M312" i="7"/>
  <c r="L313" i="7"/>
  <c r="M313" i="7" s="1"/>
  <c r="L314" i="7"/>
  <c r="M314" i="7" s="1"/>
  <c r="L315" i="7"/>
  <c r="M315" i="7" s="1"/>
  <c r="L317" i="7"/>
  <c r="M317" i="7" s="1"/>
  <c r="L319" i="7"/>
  <c r="M319" i="7" s="1"/>
  <c r="L320" i="7"/>
  <c r="M320" i="7" s="1"/>
  <c r="L321" i="7"/>
  <c r="M321" i="7" s="1"/>
  <c r="L322" i="7"/>
  <c r="M322" i="7" s="1"/>
  <c r="L323" i="7"/>
  <c r="M323" i="7" s="1"/>
  <c r="L324" i="7"/>
  <c r="M324" i="7" s="1"/>
  <c r="L327" i="7"/>
  <c r="M327" i="7" s="1"/>
  <c r="L328" i="7"/>
  <c r="M328" i="7" s="1"/>
  <c r="L329" i="7"/>
  <c r="M329" i="7" s="1"/>
  <c r="L330" i="7"/>
  <c r="M330" i="7" s="1"/>
  <c r="L331" i="7"/>
  <c r="M331" i="7" s="1"/>
  <c r="L332" i="7"/>
  <c r="M332" i="7" s="1"/>
  <c r="L333" i="7"/>
  <c r="M333" i="7" s="1"/>
  <c r="J275" i="7" l="1"/>
  <c r="L275" i="7" s="1"/>
  <c r="M275" i="7" s="1"/>
  <c r="L280" i="7"/>
  <c r="M280" i="7" s="1"/>
  <c r="J279" i="7"/>
  <c r="L279" i="7" s="1"/>
  <c r="M279" i="7" s="1"/>
  <c r="J278" i="7"/>
  <c r="L278" i="7" s="1"/>
  <c r="M278" i="7" s="1"/>
  <c r="J277" i="7"/>
  <c r="L277" i="7" s="1"/>
  <c r="M277" i="7" s="1"/>
  <c r="J276" i="7"/>
  <c r="L276" i="7" s="1"/>
  <c r="M276" i="7" s="1"/>
  <c r="L283" i="7"/>
  <c r="M283" i="7" s="1"/>
  <c r="L284" i="7"/>
  <c r="M284" i="7" s="1"/>
  <c r="J274" i="7"/>
  <c r="L274" i="7" s="1"/>
  <c r="M274" i="7" s="1"/>
  <c r="J273" i="7"/>
  <c r="L273" i="7" s="1"/>
  <c r="M273" i="7" s="1"/>
  <c r="J272" i="7"/>
  <c r="L272" i="7" s="1"/>
  <c r="M272" i="7" s="1"/>
  <c r="J271" i="7"/>
  <c r="L271" i="7" s="1"/>
  <c r="M271" i="7" s="1"/>
  <c r="J270" i="7"/>
  <c r="L270" i="7" s="1"/>
  <c r="M270" i="7" s="1"/>
  <c r="J264" i="7"/>
  <c r="L264" i="7" s="1"/>
  <c r="M264" i="7" s="1"/>
  <c r="J254" i="7"/>
  <c r="L254" i="7" s="1"/>
  <c r="M254" i="7" s="1"/>
  <c r="J255" i="7"/>
  <c r="L255" i="7" s="1"/>
  <c r="M255" i="7" s="1"/>
  <c r="J251" i="7"/>
  <c r="L251" i="7" s="1"/>
  <c r="M251" i="7" s="1"/>
  <c r="J252" i="7"/>
  <c r="L252" i="7" s="1"/>
  <c r="M252" i="7" s="1"/>
  <c r="J253" i="7"/>
  <c r="L253" i="7" s="1"/>
  <c r="M253" i="7" s="1"/>
  <c r="J250" i="7"/>
  <c r="L250" i="7" s="1"/>
  <c r="M250" i="7" s="1"/>
  <c r="J256" i="7"/>
  <c r="L256" i="7" s="1"/>
  <c r="M256" i="7" s="1"/>
  <c r="J265" i="7"/>
  <c r="L265" i="7" s="1"/>
  <c r="M265" i="7" s="1"/>
  <c r="J263" i="7"/>
  <c r="L263" i="7" s="1"/>
  <c r="M263" i="7" s="1"/>
  <c r="J262" i="7"/>
  <c r="L262" i="7" s="1"/>
  <c r="M262" i="7" s="1"/>
  <c r="J261" i="7"/>
  <c r="L261" i="7" s="1"/>
  <c r="M261" i="7" s="1"/>
  <c r="J249" i="7"/>
  <c r="L249" i="7" s="1"/>
  <c r="M249" i="7" s="1"/>
  <c r="J248" i="7"/>
  <c r="L248" i="7" s="1"/>
  <c r="M248" i="7" s="1"/>
  <c r="J247" i="7" l="1"/>
  <c r="L247" i="7" s="1"/>
  <c r="M247" i="7" s="1"/>
  <c r="J246" i="7"/>
  <c r="L246" i="7" s="1"/>
  <c r="J245" i="7"/>
  <c r="L245" i="7" s="1"/>
  <c r="M245" i="7" s="1"/>
  <c r="J244" i="7"/>
  <c r="L244" i="7" s="1"/>
  <c r="M244" i="7" s="1"/>
  <c r="J240" i="7"/>
  <c r="L240" i="7" s="1"/>
  <c r="M240" i="7" s="1"/>
  <c r="J234" i="7"/>
  <c r="L234" i="7" s="1"/>
  <c r="M234" i="7" s="1"/>
  <c r="J233" i="7"/>
  <c r="L233" i="7" s="1"/>
  <c r="M233" i="7" s="1"/>
  <c r="J235" i="7"/>
  <c r="L235" i="7" s="1"/>
  <c r="M235" i="7" s="1"/>
  <c r="I9" i="9"/>
  <c r="F9" i="9"/>
  <c r="J4" i="9"/>
  <c r="J5" i="9"/>
  <c r="J6" i="9"/>
  <c r="J7" i="9"/>
  <c r="J8" i="9"/>
  <c r="J3" i="9"/>
  <c r="J217" i="7" l="1"/>
  <c r="L217" i="7" s="1"/>
  <c r="M217" i="7" s="1"/>
  <c r="J216" i="7"/>
  <c r="L216" i="7" s="1"/>
  <c r="M216" i="7" s="1"/>
  <c r="J214" i="7"/>
  <c r="L214" i="7" s="1"/>
  <c r="M214" i="7" s="1"/>
  <c r="J213" i="7"/>
  <c r="L213" i="7" s="1"/>
  <c r="M213" i="7" s="1"/>
  <c r="J223" i="7" l="1"/>
  <c r="L223" i="7" s="1"/>
  <c r="M223" i="7" s="1"/>
  <c r="J221" i="7"/>
  <c r="L221" i="7" s="1"/>
  <c r="M221" i="7" s="1"/>
  <c r="J200" i="7"/>
  <c r="L200" i="7" s="1"/>
  <c r="M200" i="7" s="1"/>
  <c r="J178" i="7"/>
  <c r="L178" i="7" s="1"/>
  <c r="M178" i="7" s="1"/>
  <c r="J162" i="7"/>
  <c r="L162" i="7" s="1"/>
  <c r="M162" i="7" s="1"/>
  <c r="J163" i="7"/>
  <c r="L163" i="7" s="1"/>
  <c r="M163" i="7" s="1"/>
  <c r="J220" i="7" l="1"/>
  <c r="L220" i="7" s="1"/>
  <c r="M220" i="7" s="1"/>
  <c r="J219" i="7"/>
  <c r="L219" i="7" s="1"/>
  <c r="M219" i="7" s="1"/>
  <c r="J215" i="7" l="1"/>
  <c r="L215" i="7" s="1"/>
  <c r="M215" i="7" s="1"/>
  <c r="J210" i="7"/>
  <c r="L210" i="7" s="1"/>
  <c r="M210" i="7" s="1"/>
  <c r="J209" i="7"/>
  <c r="L209" i="7" s="1"/>
  <c r="M209" i="7" s="1"/>
  <c r="J199" i="7" l="1"/>
  <c r="L199" i="7" s="1"/>
  <c r="M199" i="7" s="1"/>
  <c r="J208" i="7"/>
  <c r="L208" i="7" s="1"/>
  <c r="M208" i="7" s="1"/>
  <c r="J207" i="7"/>
  <c r="L207" i="7" s="1"/>
  <c r="M207" i="7" s="1"/>
  <c r="J202" i="7" l="1"/>
  <c r="L202" i="7" s="1"/>
  <c r="M202" i="7" s="1"/>
  <c r="J194" i="7" l="1"/>
  <c r="L194" i="7" s="1"/>
  <c r="M194" i="7" s="1"/>
  <c r="J185" i="7"/>
  <c r="L185" i="7" s="1"/>
  <c r="M185" i="7" s="1"/>
  <c r="J184" i="7"/>
  <c r="L184" i="7" s="1"/>
  <c r="M184" i="7" s="1"/>
  <c r="J183" i="7"/>
  <c r="L183" i="7" s="1"/>
  <c r="M183" i="7" s="1"/>
  <c r="J125" i="7"/>
  <c r="L125" i="7" s="1"/>
  <c r="M125" i="7" s="1"/>
  <c r="J114" i="7"/>
  <c r="J113" i="7"/>
  <c r="J83" i="7"/>
  <c r="L83" i="7" s="1"/>
  <c r="J82" i="7"/>
  <c r="L82" i="7" s="1"/>
  <c r="J81" i="7"/>
  <c r="L81" i="7" s="1"/>
  <c r="J19" i="7"/>
  <c r="J124" i="7" l="1"/>
  <c r="L124" i="7" s="1"/>
  <c r="M124" i="7" s="1"/>
  <c r="J130" i="7" l="1"/>
  <c r="L130" i="7" s="1"/>
  <c r="M130" i="7" s="1"/>
  <c r="J131" i="7"/>
  <c r="L131" i="7" s="1"/>
  <c r="M131" i="7" s="1"/>
  <c r="J121" i="7"/>
  <c r="L121" i="7" s="1"/>
  <c r="J116" i="7" l="1"/>
  <c r="L116" i="7" s="1"/>
  <c r="M116" i="7" s="1"/>
  <c r="J115" i="7"/>
  <c r="L115" i="7" s="1"/>
  <c r="M115" i="7" s="1"/>
  <c r="J112" i="7"/>
  <c r="L112" i="7" s="1"/>
  <c r="M112" i="7" s="1"/>
  <c r="J107" i="7"/>
  <c r="L107" i="7" s="1"/>
  <c r="M107" i="7" s="1"/>
  <c r="J106" i="7"/>
  <c r="L106" i="7" s="1"/>
  <c r="M106" i="7" s="1"/>
  <c r="J105" i="7"/>
  <c r="L105" i="7" s="1"/>
  <c r="M105" i="7" s="1"/>
  <c r="J104" i="7"/>
  <c r="L104" i="7" s="1"/>
  <c r="M104" i="7" s="1"/>
  <c r="J99" i="7" l="1"/>
  <c r="L99" i="7" s="1"/>
  <c r="M99" i="7" s="1"/>
  <c r="J100" i="7"/>
  <c r="L100" i="7" s="1"/>
  <c r="M100" i="7" s="1"/>
  <c r="J86" i="7" l="1"/>
  <c r="L86" i="7" s="1"/>
  <c r="M86" i="7" s="1"/>
  <c r="J79" i="7" l="1"/>
  <c r="L79" i="7" s="1"/>
  <c r="M79" i="7" s="1"/>
  <c r="J80" i="7"/>
  <c r="L80" i="7" s="1"/>
  <c r="M80" i="7" s="1"/>
  <c r="J59" i="7"/>
  <c r="L59" i="7" s="1"/>
  <c r="M59" i="7" s="1"/>
  <c r="J63" i="7" l="1"/>
  <c r="L63" i="7" s="1"/>
  <c r="M63" i="7" s="1"/>
  <c r="J62" i="7"/>
  <c r="L62" i="7" s="1"/>
  <c r="M62" i="7" s="1"/>
  <c r="J58" i="7"/>
  <c r="L58" i="7" s="1"/>
  <c r="M58" i="7" s="1"/>
  <c r="J57" i="7"/>
  <c r="L57" i="7" s="1"/>
  <c r="M57" i="7" s="1"/>
  <c r="J56" i="7"/>
  <c r="L56" i="7" s="1"/>
  <c r="M56" i="7" s="1"/>
  <c r="J41" i="7"/>
  <c r="J46" i="7"/>
  <c r="L46" i="7" s="1"/>
  <c r="M46" i="7" s="1"/>
  <c r="J40" i="7" l="1"/>
  <c r="L40" i="7" s="1"/>
  <c r="M40" i="7" s="1"/>
  <c r="J39" i="7"/>
  <c r="L39" i="7" s="1"/>
  <c r="M39" i="7" s="1"/>
  <c r="L41" i="7" l="1"/>
  <c r="M41" i="7" s="1"/>
  <c r="J42" i="7"/>
  <c r="J33" i="7"/>
  <c r="L33" i="7" s="1"/>
  <c r="M33" i="7" s="1"/>
  <c r="J38" i="7" l="1"/>
  <c r="L38" i="7" s="1"/>
  <c r="M38" i="7" s="1"/>
  <c r="J37" i="7"/>
  <c r="L37" i="7" s="1"/>
  <c r="M37" i="7" s="1"/>
  <c r="J32" i="7"/>
  <c r="L32" i="7" s="1"/>
  <c r="M32" i="7" s="1"/>
  <c r="J31" i="7" l="1"/>
  <c r="L31" i="7" s="1"/>
  <c r="M31" i="7" s="1"/>
  <c r="J29" i="7"/>
  <c r="L29" i="7" s="1"/>
  <c r="M29" i="7" s="1"/>
  <c r="J27" i="7"/>
  <c r="L27" i="7" s="1"/>
  <c r="M27" i="7" s="1"/>
  <c r="J26" i="7" l="1"/>
  <c r="L26" i="7" s="1"/>
  <c r="M26" i="7" s="1"/>
  <c r="J28" i="7"/>
  <c r="L28" i="7" s="1"/>
  <c r="M28" i="7" s="1"/>
  <c r="J30" i="7"/>
  <c r="L30" i="7" s="1"/>
  <c r="M30" i="7" s="1"/>
  <c r="J34" i="7"/>
  <c r="L34" i="7" s="1"/>
  <c r="M34" i="7" s="1"/>
  <c r="J35" i="7"/>
  <c r="L35" i="7" s="1"/>
  <c r="M35" i="7" s="1"/>
  <c r="J36" i="7"/>
  <c r="L36" i="7" s="1"/>
  <c r="M36" i="7" s="1"/>
  <c r="L42" i="7"/>
  <c r="M42" i="7" s="1"/>
  <c r="J43" i="7"/>
  <c r="L43" i="7" s="1"/>
  <c r="M43" i="7" s="1"/>
  <c r="J44" i="7"/>
  <c r="L44" i="7" s="1"/>
  <c r="M44" i="7" s="1"/>
  <c r="J45" i="7"/>
  <c r="L45" i="7" s="1"/>
  <c r="M45" i="7" s="1"/>
  <c r="J47" i="7"/>
  <c r="L47" i="7" s="1"/>
  <c r="M47" i="7" s="1"/>
  <c r="J48" i="7"/>
  <c r="L48" i="7" s="1"/>
  <c r="M48" i="7" s="1"/>
  <c r="J49" i="7"/>
  <c r="L49" i="7" s="1"/>
  <c r="M49" i="7" s="1"/>
  <c r="J50" i="7"/>
  <c r="L50" i="7" s="1"/>
  <c r="M50" i="7" s="1"/>
  <c r="J51" i="7"/>
  <c r="L51" i="7" s="1"/>
  <c r="M51" i="7" s="1"/>
  <c r="J52" i="7"/>
  <c r="L52" i="7" s="1"/>
  <c r="M52" i="7" s="1"/>
  <c r="J53" i="7"/>
  <c r="L53" i="7" s="1"/>
  <c r="M53" i="7" s="1"/>
  <c r="J54" i="7"/>
  <c r="L54" i="7" s="1"/>
  <c r="M54" i="7" s="1"/>
  <c r="J55" i="7"/>
  <c r="L55" i="7" s="1"/>
  <c r="M55" i="7" s="1"/>
  <c r="J60" i="7"/>
  <c r="L60" i="7" s="1"/>
  <c r="M60" i="7" s="1"/>
  <c r="J61" i="7"/>
  <c r="L61" i="7" s="1"/>
  <c r="M61" i="7" s="1"/>
  <c r="J64" i="7"/>
  <c r="L64" i="7" s="1"/>
  <c r="M64" i="7" s="1"/>
  <c r="J65" i="7"/>
  <c r="L65" i="7" s="1"/>
  <c r="M65" i="7" s="1"/>
  <c r="J66" i="7"/>
  <c r="L66" i="7" s="1"/>
  <c r="M66" i="7" s="1"/>
  <c r="J67" i="7"/>
  <c r="L67" i="7" s="1"/>
  <c r="M67" i="7" s="1"/>
  <c r="J68" i="7"/>
  <c r="L68" i="7" s="1"/>
  <c r="M68" i="7" s="1"/>
  <c r="J69" i="7"/>
  <c r="L69" i="7" s="1"/>
  <c r="M69" i="7" s="1"/>
  <c r="J70" i="7"/>
  <c r="L70" i="7" s="1"/>
  <c r="M70" i="7" s="1"/>
  <c r="J71" i="7"/>
  <c r="L71" i="7" s="1"/>
  <c r="M71" i="7" s="1"/>
  <c r="J72" i="7"/>
  <c r="L72" i="7" s="1"/>
  <c r="M72" i="7" s="1"/>
  <c r="J73" i="7"/>
  <c r="L73" i="7" s="1"/>
  <c r="M73" i="7" s="1"/>
  <c r="J74" i="7"/>
  <c r="L74" i="7" s="1"/>
  <c r="M74" i="7" s="1"/>
  <c r="J75" i="7"/>
  <c r="L75" i="7" s="1"/>
  <c r="M75" i="7" s="1"/>
  <c r="J76" i="7"/>
  <c r="L76" i="7" s="1"/>
  <c r="M76" i="7" s="1"/>
  <c r="J77" i="7"/>
  <c r="L77" i="7" s="1"/>
  <c r="M77" i="7" s="1"/>
  <c r="J78" i="7"/>
  <c r="L78" i="7" s="1"/>
  <c r="M78" i="7" s="1"/>
  <c r="J84" i="7"/>
  <c r="L84" i="7" s="1"/>
  <c r="M84" i="7" s="1"/>
  <c r="J85" i="7"/>
  <c r="L85" i="7" s="1"/>
  <c r="M85" i="7" s="1"/>
  <c r="J87" i="7"/>
  <c r="L87" i="7" s="1"/>
  <c r="M87" i="7" s="1"/>
  <c r="J88" i="7"/>
  <c r="L88" i="7" s="1"/>
  <c r="M88" i="7" s="1"/>
  <c r="J89" i="7"/>
  <c r="L89" i="7" s="1"/>
  <c r="M89" i="7" s="1"/>
  <c r="J90" i="7"/>
  <c r="L90" i="7" s="1"/>
  <c r="M90" i="7" s="1"/>
  <c r="J91" i="7"/>
  <c r="L91" i="7" s="1"/>
  <c r="M91" i="7" s="1"/>
  <c r="J92" i="7"/>
  <c r="L92" i="7" s="1"/>
  <c r="M92" i="7" s="1"/>
  <c r="J93" i="7"/>
  <c r="L93" i="7" s="1"/>
  <c r="M93" i="7" s="1"/>
  <c r="J94" i="7"/>
  <c r="L94" i="7" s="1"/>
  <c r="M94" i="7" s="1"/>
  <c r="J95" i="7"/>
  <c r="L95" i="7" s="1"/>
  <c r="M95" i="7" s="1"/>
  <c r="J96" i="7"/>
  <c r="L96" i="7" s="1"/>
  <c r="M96" i="7" s="1"/>
  <c r="J97" i="7"/>
  <c r="L97" i="7" s="1"/>
  <c r="M97" i="7" s="1"/>
  <c r="J98" i="7"/>
  <c r="L98" i="7" s="1"/>
  <c r="M98" i="7" s="1"/>
  <c r="J101" i="7"/>
  <c r="L101" i="7" s="1"/>
  <c r="M101" i="7" s="1"/>
  <c r="J102" i="7"/>
  <c r="L102" i="7" s="1"/>
  <c r="M102" i="7" s="1"/>
  <c r="J103" i="7"/>
  <c r="L103" i="7" s="1"/>
  <c r="M103" i="7" s="1"/>
  <c r="J108" i="7"/>
  <c r="L108" i="7" s="1"/>
  <c r="M108" i="7" s="1"/>
  <c r="J109" i="7"/>
  <c r="L109" i="7" s="1"/>
  <c r="M109" i="7" s="1"/>
  <c r="J110" i="7"/>
  <c r="L110" i="7" s="1"/>
  <c r="M110" i="7" s="1"/>
  <c r="J111" i="7"/>
  <c r="L111" i="7" s="1"/>
  <c r="M111" i="7" s="1"/>
  <c r="J117" i="7"/>
  <c r="L117" i="7" s="1"/>
  <c r="M117" i="7" s="1"/>
  <c r="J118" i="7"/>
  <c r="L118" i="7" s="1"/>
  <c r="M118" i="7" s="1"/>
  <c r="J119" i="7"/>
  <c r="L119" i="7" s="1"/>
  <c r="M119" i="7" s="1"/>
  <c r="J120" i="7"/>
  <c r="L120" i="7" s="1"/>
  <c r="M120" i="7" s="1"/>
  <c r="M121" i="7"/>
  <c r="J122" i="7"/>
  <c r="L122" i="7" s="1"/>
  <c r="M122" i="7" s="1"/>
  <c r="J123" i="7"/>
  <c r="L123" i="7" s="1"/>
  <c r="M123" i="7" s="1"/>
  <c r="J126" i="7"/>
  <c r="L126" i="7" s="1"/>
  <c r="M126" i="7" s="1"/>
  <c r="J127" i="7"/>
  <c r="L127" i="7" s="1"/>
  <c r="M127" i="7" s="1"/>
  <c r="J128" i="7"/>
  <c r="L128" i="7" s="1"/>
  <c r="M128" i="7" s="1"/>
  <c r="J129" i="7"/>
  <c r="L129" i="7" s="1"/>
  <c r="M129" i="7" s="1"/>
  <c r="J164" i="7"/>
  <c r="L164" i="7" s="1"/>
  <c r="M164" i="7" s="1"/>
  <c r="J165" i="7"/>
  <c r="L165" i="7" s="1"/>
  <c r="M165" i="7" s="1"/>
  <c r="J166" i="7"/>
  <c r="L166" i="7" s="1"/>
  <c r="M166" i="7" s="1"/>
  <c r="J167" i="7"/>
  <c r="L167" i="7" s="1"/>
  <c r="M167" i="7" s="1"/>
  <c r="J168" i="7"/>
  <c r="L168" i="7" s="1"/>
  <c r="M168" i="7" s="1"/>
  <c r="J169" i="7"/>
  <c r="L169" i="7" s="1"/>
  <c r="M169" i="7" s="1"/>
  <c r="J170" i="7"/>
  <c r="L170" i="7" s="1"/>
  <c r="M170" i="7" s="1"/>
  <c r="J171" i="7"/>
  <c r="L171" i="7" s="1"/>
  <c r="M171" i="7" s="1"/>
  <c r="J172" i="7"/>
  <c r="L172" i="7" s="1"/>
  <c r="M172" i="7" s="1"/>
  <c r="J173" i="7"/>
  <c r="L173" i="7" s="1"/>
  <c r="M173" i="7" s="1"/>
  <c r="J175" i="7"/>
  <c r="L175" i="7" s="1"/>
  <c r="M175" i="7" s="1"/>
  <c r="J176" i="7"/>
  <c r="L176" i="7" s="1"/>
  <c r="M176" i="7" s="1"/>
  <c r="J177" i="7"/>
  <c r="L177" i="7" s="1"/>
  <c r="M177" i="7" s="1"/>
  <c r="J179" i="7"/>
  <c r="L179" i="7" s="1"/>
  <c r="M179" i="7" s="1"/>
  <c r="J180" i="7"/>
  <c r="L180" i="7" s="1"/>
  <c r="M180" i="7" s="1"/>
  <c r="J181" i="7"/>
  <c r="L181" i="7" s="1"/>
  <c r="M181" i="7" s="1"/>
  <c r="J182" i="7"/>
  <c r="L182" i="7" s="1"/>
  <c r="M182" i="7" s="1"/>
  <c r="J186" i="7"/>
  <c r="L186" i="7" s="1"/>
  <c r="M186" i="7" s="1"/>
  <c r="J187" i="7"/>
  <c r="L187" i="7" s="1"/>
  <c r="M187" i="7" s="1"/>
  <c r="J188" i="7"/>
  <c r="L188" i="7" s="1"/>
  <c r="M188" i="7" s="1"/>
  <c r="J189" i="7"/>
  <c r="L189" i="7" s="1"/>
  <c r="M189" i="7" s="1"/>
  <c r="J191" i="7"/>
  <c r="L191" i="7" s="1"/>
  <c r="M191" i="7" s="1"/>
  <c r="J192" i="7"/>
  <c r="L192" i="7" s="1"/>
  <c r="M192" i="7" s="1"/>
  <c r="J193" i="7"/>
  <c r="L193" i="7" s="1"/>
  <c r="M193" i="7" s="1"/>
  <c r="J195" i="7"/>
  <c r="L195" i="7" s="1"/>
  <c r="M195" i="7" s="1"/>
  <c r="J196" i="7"/>
  <c r="L196" i="7" s="1"/>
  <c r="M196" i="7" s="1"/>
  <c r="J197" i="7"/>
  <c r="L197" i="7" s="1"/>
  <c r="M197" i="7" s="1"/>
  <c r="J198" i="7"/>
  <c r="L198" i="7" s="1"/>
  <c r="M198" i="7" s="1"/>
  <c r="J203" i="7"/>
  <c r="L203" i="7" s="1"/>
  <c r="M203" i="7" s="1"/>
  <c r="J204" i="7"/>
  <c r="L204" i="7" s="1"/>
  <c r="M204" i="7" s="1"/>
  <c r="J205" i="7"/>
  <c r="L205" i="7" s="1"/>
  <c r="M205" i="7" s="1"/>
  <c r="J206" i="7"/>
  <c r="L206" i="7" s="1"/>
  <c r="M206" i="7" s="1"/>
  <c r="J211" i="7"/>
  <c r="L211" i="7" s="1"/>
  <c r="M211" i="7" s="1"/>
  <c r="J212" i="7"/>
  <c r="L212" i="7" s="1"/>
  <c r="M212" i="7" s="1"/>
  <c r="J218" i="7"/>
  <c r="L218" i="7" s="1"/>
  <c r="M218" i="7" s="1"/>
  <c r="J222" i="7"/>
  <c r="L222" i="7" s="1"/>
  <c r="M222" i="7" s="1"/>
  <c r="J224" i="7"/>
  <c r="L224" i="7" s="1"/>
  <c r="M224" i="7" s="1"/>
  <c r="J225" i="7"/>
  <c r="L225" i="7" s="1"/>
  <c r="M225" i="7" s="1"/>
  <c r="J226" i="7"/>
  <c r="L226" i="7" s="1"/>
  <c r="M226" i="7" s="1"/>
  <c r="J227" i="7"/>
  <c r="L227" i="7" s="1"/>
  <c r="M227" i="7" s="1"/>
  <c r="J228" i="7"/>
  <c r="L228" i="7" s="1"/>
  <c r="M228" i="7" s="1"/>
  <c r="J229" i="7"/>
  <c r="L229" i="7" s="1"/>
  <c r="M229" i="7" s="1"/>
  <c r="J230" i="7"/>
  <c r="L230" i="7" s="1"/>
  <c r="M230" i="7" s="1"/>
  <c r="J231" i="7"/>
  <c r="L231" i="7" s="1"/>
  <c r="M231" i="7" s="1"/>
  <c r="J232" i="7"/>
  <c r="L232" i="7" s="1"/>
  <c r="M232" i="7" s="1"/>
  <c r="J236" i="7"/>
  <c r="L236" i="7" s="1"/>
  <c r="M236" i="7" s="1"/>
  <c r="J237" i="7"/>
  <c r="L237" i="7" s="1"/>
  <c r="M237" i="7" s="1"/>
  <c r="J238" i="7"/>
  <c r="L238" i="7" s="1"/>
  <c r="M238" i="7" s="1"/>
  <c r="J239" i="7"/>
  <c r="L239" i="7" s="1"/>
  <c r="M239" i="7" s="1"/>
  <c r="J241" i="7"/>
  <c r="L241" i="7" s="1"/>
  <c r="M241" i="7" s="1"/>
  <c r="J242" i="7"/>
  <c r="L242" i="7" s="1"/>
  <c r="M242" i="7" s="1"/>
  <c r="J243" i="7"/>
  <c r="L243" i="7" s="1"/>
  <c r="M243" i="7" s="1"/>
  <c r="M246" i="7"/>
  <c r="J257" i="7"/>
  <c r="L257" i="7" s="1"/>
  <c r="M257" i="7" s="1"/>
  <c r="J258" i="7"/>
  <c r="L258" i="7" s="1"/>
  <c r="M258" i="7" s="1"/>
  <c r="J259" i="7"/>
  <c r="L259" i="7" s="1"/>
  <c r="M259" i="7" s="1"/>
  <c r="J25" i="7"/>
  <c r="L25" i="7" s="1"/>
  <c r="M25" i="7" s="1"/>
  <c r="J22" i="7"/>
  <c r="L22" i="7" s="1"/>
  <c r="M22" i="7" s="1"/>
  <c r="J23" i="7"/>
  <c r="L23" i="7" s="1"/>
  <c r="M23" i="7" s="1"/>
  <c r="J24" i="7"/>
  <c r="L24" i="7" s="1"/>
  <c r="M24" i="7" s="1"/>
  <c r="J17" i="7"/>
  <c r="L17" i="7" s="1"/>
  <c r="M17" i="7" s="1"/>
  <c r="J16" i="7"/>
  <c r="L16" i="7" s="1"/>
  <c r="M16" i="7" s="1"/>
  <c r="J14" i="7"/>
  <c r="L14" i="7" s="1"/>
  <c r="M14" i="7" s="1"/>
  <c r="J13" i="7"/>
  <c r="L13" i="7" s="1"/>
  <c r="M13" i="7" s="1"/>
  <c r="J12" i="7"/>
  <c r="L12" i="7" s="1"/>
  <c r="M12" i="7" s="1"/>
  <c r="J11" i="7"/>
  <c r="L11" i="7" s="1"/>
  <c r="M11" i="7" s="1"/>
  <c r="J10" i="7"/>
  <c r="L10" i="7" s="1"/>
  <c r="M10" i="7" s="1"/>
  <c r="J9" i="7"/>
  <c r="L9" i="7" s="1"/>
  <c r="M9" i="7" s="1"/>
  <c r="J8" i="7"/>
  <c r="L8" i="7" s="1"/>
  <c r="M8" i="7" s="1"/>
  <c r="J7" i="7"/>
  <c r="L7" i="7" s="1"/>
  <c r="M7" i="7" s="1"/>
  <c r="J6" i="7"/>
  <c r="L6" i="7" s="1"/>
  <c r="M6" i="7" s="1"/>
  <c r="J5" i="7"/>
  <c r="L5" i="7" s="1"/>
  <c r="M5" i="7" s="1"/>
  <c r="J3" i="7"/>
  <c r="L3" i="7" s="1"/>
  <c r="M3" i="7" s="1"/>
  <c r="J4" i="7"/>
  <c r="L4" i="7" s="1"/>
  <c r="M4" i="7" s="1"/>
  <c r="J2" i="7"/>
  <c r="L2" i="7" s="1"/>
  <c r="M2" i="7" s="1"/>
  <c r="J21" i="7"/>
  <c r="L21" i="7" s="1"/>
  <c r="M21" i="7" s="1"/>
  <c r="J20" i="7"/>
  <c r="L20" i="7" s="1"/>
  <c r="M20" i="7" s="1"/>
  <c r="J18" i="7"/>
  <c r="L18" i="7" s="1"/>
  <c r="M18" i="7" s="1"/>
  <c r="J15" i="7"/>
  <c r="L15" i="7" s="1"/>
  <c r="M15" i="7" s="1"/>
  <c r="J1343" i="4"/>
  <c r="L1343" i="4" s="1"/>
  <c r="M1343" i="4" s="1"/>
  <c r="J1336" i="4"/>
  <c r="L1336" i="4" s="1"/>
  <c r="M1336" i="4" s="1"/>
  <c r="J1335" i="4"/>
  <c r="L1335" i="4" s="1"/>
  <c r="M1335" i="4" s="1"/>
  <c r="J1331" i="4"/>
  <c r="L1331" i="4" s="1"/>
  <c r="M1331" i="4" s="1"/>
  <c r="J1332" i="4"/>
  <c r="L1332" i="4" s="1"/>
  <c r="M1332" i="4" s="1"/>
  <c r="J1333" i="4"/>
  <c r="L1333" i="4" s="1"/>
  <c r="M1333" i="4" s="1"/>
  <c r="J1334" i="4"/>
  <c r="L1334" i="4" s="1"/>
  <c r="M1334" i="4" s="1"/>
  <c r="J1337" i="4"/>
  <c r="L1337" i="4" s="1"/>
  <c r="M1337" i="4" s="1"/>
  <c r="J1338" i="4"/>
  <c r="L1338" i="4" s="1"/>
  <c r="M1338" i="4" s="1"/>
  <c r="J1330" i="4" l="1"/>
  <c r="L1330" i="4" s="1"/>
  <c r="M1330" i="4" s="1"/>
  <c r="J1324" i="4"/>
  <c r="L1324" i="4" s="1"/>
  <c r="M1324" i="4" s="1"/>
  <c r="J1323" i="4"/>
  <c r="L1323" i="4" s="1"/>
  <c r="M1323" i="4" s="1"/>
  <c r="J1328" i="4" l="1"/>
  <c r="L1328" i="4" s="1"/>
  <c r="M1328" i="4" s="1"/>
  <c r="J1327" i="4"/>
  <c r="L1327" i="4" s="1"/>
  <c r="M1327" i="4" s="1"/>
  <c r="J1326" i="4"/>
  <c r="L1326" i="4" s="1"/>
  <c r="M1326" i="4" s="1"/>
  <c r="J1316" i="4" l="1"/>
  <c r="L1316" i="4" s="1"/>
  <c r="M1316" i="4" s="1"/>
  <c r="J1314" i="4"/>
  <c r="L1314" i="4" s="1"/>
  <c r="M1314" i="4" s="1"/>
  <c r="J1313" i="4"/>
  <c r="L1313" i="4" s="1"/>
  <c r="M1313" i="4" s="1"/>
  <c r="J1301" i="4"/>
  <c r="L1301" i="4" s="1"/>
  <c r="M1301" i="4" s="1"/>
  <c r="J1298" i="4"/>
  <c r="L1298" i="4" s="1"/>
  <c r="M1298" i="4" s="1"/>
  <c r="J1297" i="4"/>
  <c r="L1297" i="4" s="1"/>
  <c r="M1297" i="4" s="1"/>
  <c r="J1291" i="4" l="1"/>
  <c r="L1291" i="4" s="1"/>
  <c r="M1291" i="4" s="1"/>
  <c r="J1285" i="4"/>
  <c r="J1278" i="4"/>
  <c r="L1278" i="4" s="1"/>
  <c r="M1278" i="4" s="1"/>
  <c r="J1276" i="4"/>
  <c r="L1276" i="4" s="1"/>
  <c r="M1276" i="4" s="1"/>
  <c r="J1275" i="4"/>
  <c r="L1275" i="4" s="1"/>
  <c r="M1275" i="4" s="1"/>
  <c r="J1244" i="4"/>
  <c r="L1244" i="4" s="1"/>
  <c r="M1244" i="4" s="1"/>
  <c r="J1245" i="4"/>
  <c r="L1245" i="4" s="1"/>
  <c r="M1245" i="4" s="1"/>
  <c r="J1243" i="4"/>
  <c r="L1243" i="4" s="1"/>
  <c r="M1243" i="4" s="1"/>
  <c r="J1231" i="4"/>
  <c r="L1231" i="4" s="1"/>
  <c r="M1231" i="4" s="1"/>
  <c r="J1230" i="4"/>
  <c r="L1230" i="4" s="1"/>
  <c r="M1230" i="4" s="1"/>
  <c r="J1229" i="4"/>
  <c r="L1229" i="4" s="1"/>
  <c r="M1229" i="4" s="1"/>
  <c r="J1215" i="4"/>
  <c r="L1215" i="4" s="1"/>
  <c r="M1215" i="4" s="1"/>
  <c r="J1169" i="4"/>
  <c r="L1169" i="4" s="1"/>
  <c r="M1169" i="4" s="1"/>
  <c r="J1124" i="4"/>
  <c r="L1124" i="4" s="1"/>
  <c r="M1124" i="4" s="1"/>
  <c r="J1125" i="4"/>
  <c r="L1125" i="4" s="1"/>
  <c r="M1125" i="4" s="1"/>
  <c r="J1123" i="4"/>
  <c r="L1123" i="4" s="1"/>
  <c r="M1123" i="4" s="1"/>
  <c r="J1108" i="4"/>
  <c r="L1108" i="4" s="1"/>
  <c r="M1108" i="4" s="1"/>
  <c r="J1198" i="4" l="1"/>
  <c r="L1198" i="4" s="1"/>
  <c r="M1198" i="4" s="1"/>
  <c r="J1191" i="4"/>
  <c r="L1191" i="4" s="1"/>
  <c r="M1191" i="4" s="1"/>
  <c r="J1179" i="4"/>
  <c r="L1179" i="4" s="1"/>
  <c r="M1179" i="4" s="1"/>
  <c r="J1141" i="4"/>
  <c r="L1141" i="4" s="1"/>
  <c r="M1141" i="4" s="1"/>
  <c r="J1126" i="4"/>
  <c r="L1126" i="4" s="1"/>
  <c r="M1126" i="4" s="1"/>
  <c r="J1112" i="4"/>
  <c r="L1112" i="4" s="1"/>
  <c r="M1112" i="4" s="1"/>
  <c r="J1100" i="4"/>
  <c r="L1100" i="4" s="1"/>
  <c r="M1100" i="4" s="1"/>
  <c r="J1219" i="4"/>
  <c r="L1219" i="4" s="1"/>
  <c r="M1219" i="4" s="1"/>
  <c r="J1212" i="4" l="1"/>
  <c r="L1212" i="4" s="1"/>
  <c r="M1212" i="4" s="1"/>
  <c r="J1213" i="4"/>
  <c r="L1213" i="4" s="1"/>
  <c r="M1213" i="4" s="1"/>
  <c r="J1214" i="4"/>
  <c r="L1214" i="4" s="1"/>
  <c r="M1214" i="4" s="1"/>
  <c r="J1204" i="4" l="1"/>
  <c r="L1204" i="4" s="1"/>
  <c r="M1204" i="4" s="1"/>
  <c r="J1205" i="4" l="1"/>
  <c r="L1205" i="4" s="1"/>
  <c r="M1205" i="4" s="1"/>
  <c r="J1203" i="4"/>
  <c r="L1203" i="4" s="1"/>
  <c r="M1203" i="4" s="1"/>
  <c r="J1202" i="4"/>
  <c r="L1202" i="4" s="1"/>
  <c r="M1202" i="4" s="1"/>
  <c r="J1207" i="4"/>
  <c r="L1207" i="4" s="1"/>
  <c r="M1207" i="4" s="1"/>
  <c r="J1206" i="4"/>
  <c r="L1206" i="4" s="1"/>
  <c r="M1206" i="4" s="1"/>
  <c r="J1195" i="4" l="1"/>
  <c r="L1195" i="4" s="1"/>
  <c r="M1195" i="4" s="1"/>
  <c r="J1192" i="4"/>
  <c r="J1168" i="4" l="1"/>
  <c r="L1168" i="4" s="1"/>
  <c r="M1168" i="4" s="1"/>
  <c r="J1150" i="4"/>
  <c r="L1150" i="4" s="1"/>
  <c r="M1150" i="4" s="1"/>
  <c r="J1149" i="4"/>
  <c r="L1149" i="4" s="1"/>
  <c r="M1149" i="4" s="1"/>
  <c r="J1148" i="4"/>
  <c r="L1148" i="4" s="1"/>
  <c r="M1148" i="4" s="1"/>
  <c r="J1147" i="4"/>
  <c r="L1147" i="4" s="1"/>
  <c r="M1147" i="4" s="1"/>
  <c r="J1146" i="4" l="1"/>
  <c r="L1146" i="4" s="1"/>
  <c r="M1146" i="4" s="1"/>
  <c r="J1128" i="4"/>
  <c r="J1036" i="4"/>
  <c r="J1127" i="4"/>
  <c r="J1145" i="4"/>
  <c r="L1145" i="4" s="1"/>
  <c r="M1145" i="4" s="1"/>
  <c r="J1151" i="4"/>
  <c r="L1151" i="4" s="1"/>
  <c r="M1151" i="4" s="1"/>
  <c r="J1152" i="4"/>
  <c r="L1152" i="4" s="1"/>
  <c r="M1152" i="4" s="1"/>
  <c r="J1153" i="4"/>
  <c r="L1153" i="4" s="1"/>
  <c r="M1153" i="4" s="1"/>
  <c r="J1154" i="4"/>
  <c r="L1154" i="4" s="1"/>
  <c r="M1154" i="4" s="1"/>
  <c r="J1155" i="4"/>
  <c r="L1155" i="4" s="1"/>
  <c r="M1155" i="4" s="1"/>
  <c r="J1156" i="4"/>
  <c r="L1156" i="4" s="1"/>
  <c r="M1156" i="4" s="1"/>
  <c r="J1157" i="4"/>
  <c r="L1157" i="4" s="1"/>
  <c r="M1157" i="4" s="1"/>
  <c r="J1158" i="4"/>
  <c r="L1158" i="4" s="1"/>
  <c r="M1158" i="4" s="1"/>
  <c r="J1159" i="4"/>
  <c r="L1159" i="4" s="1"/>
  <c r="M1159" i="4" s="1"/>
  <c r="J1160" i="4"/>
  <c r="L1160" i="4" s="1"/>
  <c r="M1160" i="4" s="1"/>
  <c r="J1161" i="4"/>
  <c r="L1161" i="4" s="1"/>
  <c r="M1161" i="4" s="1"/>
  <c r="J1162" i="4"/>
  <c r="L1162" i="4" s="1"/>
  <c r="M1162" i="4" s="1"/>
  <c r="J1163" i="4"/>
  <c r="L1163" i="4" s="1"/>
  <c r="M1163" i="4" s="1"/>
  <c r="J1164" i="4"/>
  <c r="L1164" i="4" s="1"/>
  <c r="M1164" i="4" s="1"/>
  <c r="J1165" i="4"/>
  <c r="L1165" i="4" s="1"/>
  <c r="M1165" i="4" s="1"/>
  <c r="J1166" i="4"/>
  <c r="L1166" i="4" s="1"/>
  <c r="M1166" i="4" s="1"/>
  <c r="J1167" i="4"/>
  <c r="L1167" i="4" s="1"/>
  <c r="M1167" i="4" s="1"/>
  <c r="J1170" i="4"/>
  <c r="L1170" i="4" s="1"/>
  <c r="M1170" i="4" s="1"/>
  <c r="J1171" i="4"/>
  <c r="L1171" i="4" s="1"/>
  <c r="M1171" i="4" s="1"/>
  <c r="J1172" i="4"/>
  <c r="L1172" i="4" s="1"/>
  <c r="M1172" i="4" s="1"/>
  <c r="J1173" i="4"/>
  <c r="L1173" i="4" s="1"/>
  <c r="M1173" i="4" s="1"/>
  <c r="J1174" i="4"/>
  <c r="L1174" i="4" s="1"/>
  <c r="M1174" i="4" s="1"/>
  <c r="J1175" i="4"/>
  <c r="L1175" i="4" s="1"/>
  <c r="M1175" i="4" s="1"/>
  <c r="J1176" i="4"/>
  <c r="L1176" i="4" s="1"/>
  <c r="M1176" i="4" s="1"/>
  <c r="J1177" i="4"/>
  <c r="L1177" i="4" s="1"/>
  <c r="M1177" i="4" s="1"/>
  <c r="J1178" i="4"/>
  <c r="L1178" i="4" s="1"/>
  <c r="M1178" i="4" s="1"/>
  <c r="J1180" i="4"/>
  <c r="L1180" i="4" s="1"/>
  <c r="M1180" i="4" s="1"/>
  <c r="J1181" i="4"/>
  <c r="L1181" i="4" s="1"/>
  <c r="M1181" i="4" s="1"/>
  <c r="J1182" i="4"/>
  <c r="L1182" i="4" s="1"/>
  <c r="M1182" i="4" s="1"/>
  <c r="J1183" i="4"/>
  <c r="L1183" i="4" s="1"/>
  <c r="M1183" i="4" s="1"/>
  <c r="J1184" i="4"/>
  <c r="L1184" i="4" s="1"/>
  <c r="M1184" i="4" s="1"/>
  <c r="J1185" i="4"/>
  <c r="L1185" i="4" s="1"/>
  <c r="M1185" i="4" s="1"/>
  <c r="J1186" i="4"/>
  <c r="L1186" i="4" s="1"/>
  <c r="M1186" i="4" s="1"/>
  <c r="J1187" i="4"/>
  <c r="L1187" i="4" s="1"/>
  <c r="M1187" i="4" s="1"/>
  <c r="J1188" i="4"/>
  <c r="L1188" i="4" s="1"/>
  <c r="M1188" i="4" s="1"/>
  <c r="J1189" i="4"/>
  <c r="L1189" i="4" s="1"/>
  <c r="M1189" i="4" s="1"/>
  <c r="J1190" i="4"/>
  <c r="L1190" i="4" s="1"/>
  <c r="M1190" i="4" s="1"/>
  <c r="L1192" i="4"/>
  <c r="M1192" i="4" s="1"/>
  <c r="J1193" i="4"/>
  <c r="L1193" i="4" s="1"/>
  <c r="M1193" i="4" s="1"/>
  <c r="J1194" i="4"/>
  <c r="L1194" i="4" s="1"/>
  <c r="M1194" i="4" s="1"/>
  <c r="J1196" i="4"/>
  <c r="L1196" i="4" s="1"/>
  <c r="M1196" i="4" s="1"/>
  <c r="J1197" i="4"/>
  <c r="L1197" i="4" s="1"/>
  <c r="M1197" i="4" s="1"/>
  <c r="J1199" i="4"/>
  <c r="L1199" i="4" s="1"/>
  <c r="M1199" i="4" s="1"/>
  <c r="J1200" i="4"/>
  <c r="L1200" i="4" s="1"/>
  <c r="M1200" i="4" s="1"/>
  <c r="J1201" i="4"/>
  <c r="L1201" i="4" s="1"/>
  <c r="M1201" i="4" s="1"/>
  <c r="J1208" i="4"/>
  <c r="L1208" i="4" s="1"/>
  <c r="M1208" i="4" s="1"/>
  <c r="J1209" i="4"/>
  <c r="L1209" i="4" s="1"/>
  <c r="M1209" i="4" s="1"/>
  <c r="J1210" i="4"/>
  <c r="L1210" i="4" s="1"/>
  <c r="M1210" i="4" s="1"/>
  <c r="J1211" i="4"/>
  <c r="L1211" i="4" s="1"/>
  <c r="M1211" i="4" s="1"/>
  <c r="J1216" i="4"/>
  <c r="L1216" i="4" s="1"/>
  <c r="M1216" i="4" s="1"/>
  <c r="J1217" i="4"/>
  <c r="L1217" i="4" s="1"/>
  <c r="M1217" i="4" s="1"/>
  <c r="J1218" i="4"/>
  <c r="L1218" i="4" s="1"/>
  <c r="M1218" i="4" s="1"/>
  <c r="J1220" i="4"/>
  <c r="L1220" i="4" s="1"/>
  <c r="M1220" i="4" s="1"/>
  <c r="J1221" i="4"/>
  <c r="L1221" i="4" s="1"/>
  <c r="M1221" i="4" s="1"/>
  <c r="J1222" i="4"/>
  <c r="L1222" i="4" s="1"/>
  <c r="M1222" i="4" s="1"/>
  <c r="J1223" i="4"/>
  <c r="L1223" i="4" s="1"/>
  <c r="M1223" i="4" s="1"/>
  <c r="J1224" i="4"/>
  <c r="L1224" i="4" s="1"/>
  <c r="M1224" i="4" s="1"/>
  <c r="J1225" i="4"/>
  <c r="L1225" i="4" s="1"/>
  <c r="M1225" i="4" s="1"/>
  <c r="J1226" i="4"/>
  <c r="L1226" i="4" s="1"/>
  <c r="M1226" i="4" s="1"/>
  <c r="J1227" i="4"/>
  <c r="L1227" i="4" s="1"/>
  <c r="M1227" i="4" s="1"/>
  <c r="J1099" i="4"/>
  <c r="L1099" i="4" s="1"/>
  <c r="M1099" i="4" s="1"/>
  <c r="J1109" i="4"/>
  <c r="L1109" i="4" s="1"/>
  <c r="M1109" i="4" s="1"/>
  <c r="J1110" i="4"/>
  <c r="L1110" i="4" s="1"/>
  <c r="M1110" i="4" s="1"/>
  <c r="J1228" i="4"/>
  <c r="L1228" i="4" s="1"/>
  <c r="M1228" i="4" s="1"/>
  <c r="J1232" i="4"/>
  <c r="L1232" i="4" s="1"/>
  <c r="M1232" i="4" s="1"/>
  <c r="J1233" i="4"/>
  <c r="L1233" i="4" s="1"/>
  <c r="M1233" i="4" s="1"/>
  <c r="J1234" i="4"/>
  <c r="L1234" i="4" s="1"/>
  <c r="M1234" i="4" s="1"/>
  <c r="J1235" i="4"/>
  <c r="L1235" i="4" s="1"/>
  <c r="M1235" i="4" s="1"/>
  <c r="J1236" i="4"/>
  <c r="L1236" i="4" s="1"/>
  <c r="M1236" i="4" s="1"/>
  <c r="J1237" i="4"/>
  <c r="L1237" i="4" s="1"/>
  <c r="M1237" i="4" s="1"/>
  <c r="J1238" i="4"/>
  <c r="L1238" i="4" s="1"/>
  <c r="M1238" i="4" s="1"/>
  <c r="J1239" i="4"/>
  <c r="L1239" i="4" s="1"/>
  <c r="M1239" i="4" s="1"/>
  <c r="J1240" i="4"/>
  <c r="L1240" i="4" s="1"/>
  <c r="M1240" i="4" s="1"/>
  <c r="J1241" i="4"/>
  <c r="L1241" i="4" s="1"/>
  <c r="M1241" i="4" s="1"/>
  <c r="J1242" i="4"/>
  <c r="L1242" i="4" s="1"/>
  <c r="M1242" i="4" s="1"/>
  <c r="J1247" i="4"/>
  <c r="L1247" i="4" s="1"/>
  <c r="M1247" i="4" s="1"/>
  <c r="J1248" i="4"/>
  <c r="L1248" i="4" s="1"/>
  <c r="M1248" i="4" s="1"/>
  <c r="J1246" i="4"/>
  <c r="L1246" i="4" s="1"/>
  <c r="M1246" i="4" s="1"/>
  <c r="J1249" i="4"/>
  <c r="L1249" i="4" s="1"/>
  <c r="M1249" i="4" s="1"/>
  <c r="J1250" i="4"/>
  <c r="L1250" i="4" s="1"/>
  <c r="M1250" i="4" s="1"/>
  <c r="J1251" i="4"/>
  <c r="L1251" i="4" s="1"/>
  <c r="M1251" i="4" s="1"/>
  <c r="J1252" i="4"/>
  <c r="L1252" i="4" s="1"/>
  <c r="M1252" i="4" s="1"/>
  <c r="J1253" i="4"/>
  <c r="L1253" i="4" s="1"/>
  <c r="M1253" i="4" s="1"/>
  <c r="J1254" i="4"/>
  <c r="L1254" i="4" s="1"/>
  <c r="M1254" i="4" s="1"/>
  <c r="J1255" i="4"/>
  <c r="L1255" i="4" s="1"/>
  <c r="M1255" i="4" s="1"/>
  <c r="J1256" i="4"/>
  <c r="L1256" i="4" s="1"/>
  <c r="M1256" i="4" s="1"/>
  <c r="J1257" i="4"/>
  <c r="L1257" i="4" s="1"/>
  <c r="M1257" i="4" s="1"/>
  <c r="J1258" i="4"/>
  <c r="L1258" i="4" s="1"/>
  <c r="M1258" i="4" s="1"/>
  <c r="J1259" i="4"/>
  <c r="L1259" i="4" s="1"/>
  <c r="M1259" i="4" s="1"/>
  <c r="J1260" i="4"/>
  <c r="L1260" i="4" s="1"/>
  <c r="M1260" i="4" s="1"/>
  <c r="J1261" i="4"/>
  <c r="L1261" i="4" s="1"/>
  <c r="M1261" i="4" s="1"/>
  <c r="J1262" i="4"/>
  <c r="L1262" i="4" s="1"/>
  <c r="M1262" i="4" s="1"/>
  <c r="J1263" i="4"/>
  <c r="L1263" i="4" s="1"/>
  <c r="M1263" i="4" s="1"/>
  <c r="J1264" i="4"/>
  <c r="L1264" i="4" s="1"/>
  <c r="M1264" i="4" s="1"/>
  <c r="J1265" i="4"/>
  <c r="L1265" i="4" s="1"/>
  <c r="M1265" i="4" s="1"/>
  <c r="J1266" i="4"/>
  <c r="L1266" i="4" s="1"/>
  <c r="M1266" i="4" s="1"/>
  <c r="J1267" i="4"/>
  <c r="L1267" i="4" s="1"/>
  <c r="M1267" i="4" s="1"/>
  <c r="J1268" i="4"/>
  <c r="L1268" i="4" s="1"/>
  <c r="M1268" i="4" s="1"/>
  <c r="J1269" i="4"/>
  <c r="L1269" i="4" s="1"/>
  <c r="M1269" i="4" s="1"/>
  <c r="J1270" i="4"/>
  <c r="L1270" i="4" s="1"/>
  <c r="M1270" i="4" s="1"/>
  <c r="J1271" i="4"/>
  <c r="L1271" i="4" s="1"/>
  <c r="M1271" i="4" s="1"/>
  <c r="J1272" i="4"/>
  <c r="L1272" i="4" s="1"/>
  <c r="M1272" i="4" s="1"/>
  <c r="J1273" i="4"/>
  <c r="L1273" i="4" s="1"/>
  <c r="M1273" i="4" s="1"/>
  <c r="J1274" i="4"/>
  <c r="L1274" i="4" s="1"/>
  <c r="M1274" i="4" s="1"/>
  <c r="J1277" i="4"/>
  <c r="L1277" i="4" s="1"/>
  <c r="M1277" i="4" s="1"/>
  <c r="J1279" i="4"/>
  <c r="L1279" i="4" s="1"/>
  <c r="M1279" i="4" s="1"/>
  <c r="J1280" i="4"/>
  <c r="L1280" i="4" s="1"/>
  <c r="M1280" i="4" s="1"/>
  <c r="J1281" i="4"/>
  <c r="L1281" i="4" s="1"/>
  <c r="M1281" i="4" s="1"/>
  <c r="J1282" i="4"/>
  <c r="L1282" i="4" s="1"/>
  <c r="M1282" i="4" s="1"/>
  <c r="J1283" i="4"/>
  <c r="L1283" i="4" s="1"/>
  <c r="M1283" i="4" s="1"/>
  <c r="J1284" i="4"/>
  <c r="L1284" i="4" s="1"/>
  <c r="M1284" i="4" s="1"/>
  <c r="L1285" i="4"/>
  <c r="M1285" i="4" s="1"/>
  <c r="J1286" i="4"/>
  <c r="L1286" i="4" s="1"/>
  <c r="M1286" i="4" s="1"/>
  <c r="J1287" i="4"/>
  <c r="L1287" i="4" s="1"/>
  <c r="M1287" i="4" s="1"/>
  <c r="J1288" i="4"/>
  <c r="L1288" i="4" s="1"/>
  <c r="M1288" i="4" s="1"/>
  <c r="J1289" i="4"/>
  <c r="L1289" i="4" s="1"/>
  <c r="M1289" i="4" s="1"/>
  <c r="J1290" i="4"/>
  <c r="L1290" i="4" s="1"/>
  <c r="M1290" i="4" s="1"/>
  <c r="J1292" i="4"/>
  <c r="L1292" i="4" s="1"/>
  <c r="M1292" i="4" s="1"/>
  <c r="J1293" i="4"/>
  <c r="L1293" i="4" s="1"/>
  <c r="M1293" i="4" s="1"/>
  <c r="J1294" i="4"/>
  <c r="L1294" i="4" s="1"/>
  <c r="M1294" i="4" s="1"/>
  <c r="J1295" i="4"/>
  <c r="L1295" i="4" s="1"/>
  <c r="M1295" i="4" s="1"/>
  <c r="J1296" i="4"/>
  <c r="L1296" i="4" s="1"/>
  <c r="M1296" i="4" s="1"/>
  <c r="J1299" i="4"/>
  <c r="L1299" i="4" s="1"/>
  <c r="M1299" i="4" s="1"/>
  <c r="J1300" i="4"/>
  <c r="L1300" i="4" s="1"/>
  <c r="M1300" i="4" s="1"/>
  <c r="J1302" i="4"/>
  <c r="L1302" i="4" s="1"/>
  <c r="M1302" i="4" s="1"/>
  <c r="J1303" i="4"/>
  <c r="L1303" i="4" s="1"/>
  <c r="M1303" i="4" s="1"/>
  <c r="J1304" i="4"/>
  <c r="L1304" i="4" s="1"/>
  <c r="M1304" i="4" s="1"/>
  <c r="J1305" i="4"/>
  <c r="L1305" i="4" s="1"/>
  <c r="M1305" i="4" s="1"/>
  <c r="J1306" i="4"/>
  <c r="L1306" i="4" s="1"/>
  <c r="M1306" i="4" s="1"/>
  <c r="J1307" i="4"/>
  <c r="L1307" i="4" s="1"/>
  <c r="M1307" i="4" s="1"/>
  <c r="J1308" i="4"/>
  <c r="L1308" i="4" s="1"/>
  <c r="M1308" i="4" s="1"/>
  <c r="J1309" i="4"/>
  <c r="L1309" i="4" s="1"/>
  <c r="M1309" i="4" s="1"/>
  <c r="J1310" i="4"/>
  <c r="L1310" i="4" s="1"/>
  <c r="M1310" i="4" s="1"/>
  <c r="J1311" i="4"/>
  <c r="L1311" i="4" s="1"/>
  <c r="M1311" i="4" s="1"/>
  <c r="J1312" i="4"/>
  <c r="L1312" i="4" s="1"/>
  <c r="M1312" i="4" s="1"/>
  <c r="J1315" i="4"/>
  <c r="L1315" i="4" s="1"/>
  <c r="M1315" i="4" s="1"/>
  <c r="J1317" i="4"/>
  <c r="L1317" i="4" s="1"/>
  <c r="M1317" i="4" s="1"/>
  <c r="J1318" i="4"/>
  <c r="L1318" i="4" s="1"/>
  <c r="M1318" i="4" s="1"/>
  <c r="J1319" i="4"/>
  <c r="L1319" i="4" s="1"/>
  <c r="M1319" i="4" s="1"/>
  <c r="J1320" i="4"/>
  <c r="L1320" i="4" s="1"/>
  <c r="M1320" i="4" s="1"/>
  <c r="J1321" i="4"/>
  <c r="L1321" i="4" s="1"/>
  <c r="M1321" i="4" s="1"/>
  <c r="J1322" i="4"/>
  <c r="L1322" i="4" s="1"/>
  <c r="M1322" i="4" s="1"/>
  <c r="J1325" i="4"/>
  <c r="L1325" i="4" s="1"/>
  <c r="M1325" i="4" s="1"/>
  <c r="J1329" i="4"/>
  <c r="L1329" i="4" s="1"/>
  <c r="M1329" i="4" s="1"/>
  <c r="J1339" i="4"/>
  <c r="L1339" i="4" s="1"/>
  <c r="M1339" i="4" s="1"/>
  <c r="J1340" i="4"/>
  <c r="L1340" i="4" s="1"/>
  <c r="M1340" i="4" s="1"/>
  <c r="J1341" i="4"/>
  <c r="L1341" i="4" s="1"/>
  <c r="M1341" i="4" s="1"/>
  <c r="J1342" i="4"/>
  <c r="L1342" i="4" s="1"/>
  <c r="M1342" i="4" s="1"/>
  <c r="J1344" i="4"/>
  <c r="L1344" i="4" s="1"/>
  <c r="M1344" i="4" s="1"/>
  <c r="J1345" i="4"/>
  <c r="L1345" i="4" s="1"/>
  <c r="M1345" i="4" s="1"/>
  <c r="J1346" i="4"/>
  <c r="L1346" i="4" s="1"/>
  <c r="M1346" i="4" s="1"/>
  <c r="J1347" i="4"/>
  <c r="L1347" i="4" s="1"/>
  <c r="M1347" i="4" s="1"/>
  <c r="J1348" i="4"/>
  <c r="L1348" i="4" s="1"/>
  <c r="M1348" i="4" s="1"/>
  <c r="J1349" i="4"/>
  <c r="L1349" i="4" s="1"/>
  <c r="M1349" i="4" s="1"/>
  <c r="J1350" i="4"/>
  <c r="L1350" i="4" s="1"/>
  <c r="M1350" i="4" s="1"/>
  <c r="J1351" i="4"/>
  <c r="L1351" i="4" s="1"/>
  <c r="M1351" i="4" s="1"/>
  <c r="J1352" i="4"/>
  <c r="L1352" i="4" s="1"/>
  <c r="M1352" i="4" s="1"/>
  <c r="J1353" i="4"/>
  <c r="L1353" i="4" s="1"/>
  <c r="M1353" i="4" s="1"/>
  <c r="J1354" i="4"/>
  <c r="L1354" i="4" s="1"/>
  <c r="M1354" i="4" s="1"/>
  <c r="J1355" i="4"/>
  <c r="L1355" i="4" s="1"/>
  <c r="M1355" i="4" s="1"/>
  <c r="J1122" i="4"/>
  <c r="L1122" i="4" s="1"/>
  <c r="M1122" i="4" s="1"/>
  <c r="J1111" i="4" l="1"/>
  <c r="L1111" i="4" s="1"/>
  <c r="J1107" i="4"/>
  <c r="L1107" i="4" s="1"/>
  <c r="M1107" i="4" s="1"/>
  <c r="J1106" i="4"/>
  <c r="L1106" i="4" s="1"/>
  <c r="M1106" i="4" s="1"/>
  <c r="J1105" i="4"/>
  <c r="L1105" i="4" s="1"/>
  <c r="M1105" i="4" s="1"/>
  <c r="J1104" i="4"/>
  <c r="L1104" i="4" s="1"/>
  <c r="M1104" i="4" s="1"/>
  <c r="J1103" i="4"/>
  <c r="L1103" i="4" s="1"/>
  <c r="M1103" i="4" s="1"/>
  <c r="J1102" i="4"/>
  <c r="L1102" i="4" s="1"/>
  <c r="M1102" i="4" s="1"/>
  <c r="J1101" i="4"/>
  <c r="L1101" i="4" s="1"/>
  <c r="M1101" i="4" s="1"/>
  <c r="J1098" i="4"/>
  <c r="L1098" i="4" s="1"/>
  <c r="M1098" i="4" s="1"/>
  <c r="J1097" i="4"/>
  <c r="L1097" i="4" s="1"/>
  <c r="M1097" i="4" s="1"/>
  <c r="J1045" i="4" l="1"/>
  <c r="L1045" i="4" s="1"/>
  <c r="M1045" i="4" s="1"/>
  <c r="J1037" i="4"/>
  <c r="L1037" i="4" s="1"/>
  <c r="M1037" i="4" s="1"/>
  <c r="J1067" i="4" l="1"/>
  <c r="L1067" i="4" s="1"/>
  <c r="M1067" i="4" s="1"/>
  <c r="J1031" i="4"/>
  <c r="L1031" i="4" s="1"/>
  <c r="M1031" i="4" s="1"/>
  <c r="J1029" i="4"/>
  <c r="L1029" i="4" s="1"/>
  <c r="M1029" i="4" s="1"/>
  <c r="J1083" i="4"/>
  <c r="L1083" i="4" s="1"/>
  <c r="M1083" i="4" s="1"/>
  <c r="L1127" i="4" l="1"/>
  <c r="M1127" i="4" s="1"/>
  <c r="L1128" i="4"/>
  <c r="M1128" i="4" s="1"/>
  <c r="J1129" i="4"/>
  <c r="L1129" i="4" s="1"/>
  <c r="M1129" i="4" s="1"/>
  <c r="J1130" i="4"/>
  <c r="L1130" i="4" s="1"/>
  <c r="M1130" i="4" s="1"/>
  <c r="J1131" i="4"/>
  <c r="L1131" i="4" s="1"/>
  <c r="M1131" i="4" s="1"/>
  <c r="J1132" i="4"/>
  <c r="L1132" i="4" s="1"/>
  <c r="M1132" i="4" s="1"/>
  <c r="J1133" i="4"/>
  <c r="L1133" i="4" s="1"/>
  <c r="M1133" i="4" s="1"/>
  <c r="J1134" i="4"/>
  <c r="L1134" i="4" s="1"/>
  <c r="M1134" i="4" s="1"/>
  <c r="J1135" i="4"/>
  <c r="L1135" i="4" s="1"/>
  <c r="M1135" i="4" s="1"/>
  <c r="J1136" i="4"/>
  <c r="L1136" i="4" s="1"/>
  <c r="M1136" i="4" s="1"/>
  <c r="J1137" i="4"/>
  <c r="L1137" i="4" s="1"/>
  <c r="M1137" i="4" s="1"/>
  <c r="J1138" i="4"/>
  <c r="L1138" i="4" s="1"/>
  <c r="M1138" i="4" s="1"/>
  <c r="J1139" i="4"/>
  <c r="L1139" i="4" s="1"/>
  <c r="M1139" i="4" s="1"/>
  <c r="J1140" i="4"/>
  <c r="L1140" i="4" s="1"/>
  <c r="M1140" i="4" s="1"/>
  <c r="J1142" i="4"/>
  <c r="L1142" i="4" s="1"/>
  <c r="M1142" i="4" s="1"/>
  <c r="J1143" i="4"/>
  <c r="L1143" i="4" s="1"/>
  <c r="M1143" i="4" s="1"/>
  <c r="J1144" i="4"/>
  <c r="L1144" i="4" s="1"/>
  <c r="M1144" i="4" s="1"/>
  <c r="J1078" i="4" l="1"/>
  <c r="L1078" i="4" s="1"/>
  <c r="J1077" i="4"/>
  <c r="L1077" i="4" s="1"/>
  <c r="J1082" i="4" l="1"/>
  <c r="L1082" i="4" s="1"/>
  <c r="M1082" i="4" s="1"/>
  <c r="J1084" i="4"/>
  <c r="L1084" i="4" s="1"/>
  <c r="M1084" i="4" s="1"/>
  <c r="J1085" i="4"/>
  <c r="L1085" i="4" s="1"/>
  <c r="M1085" i="4" s="1"/>
  <c r="J1086" i="4"/>
  <c r="L1086" i="4" s="1"/>
  <c r="M1086" i="4" s="1"/>
  <c r="J1087" i="4"/>
  <c r="L1087" i="4" s="1"/>
  <c r="M1087" i="4" s="1"/>
  <c r="J1088" i="4"/>
  <c r="L1088" i="4" s="1"/>
  <c r="M1088" i="4" s="1"/>
  <c r="J1089" i="4"/>
  <c r="L1089" i="4" s="1"/>
  <c r="M1089" i="4" s="1"/>
  <c r="J1090" i="4"/>
  <c r="L1090" i="4" s="1"/>
  <c r="M1090" i="4" s="1"/>
  <c r="J1091" i="4"/>
  <c r="L1091" i="4" s="1"/>
  <c r="M1091" i="4" s="1"/>
  <c r="J1092" i="4"/>
  <c r="L1092" i="4" s="1"/>
  <c r="M1092" i="4" s="1"/>
  <c r="J1093" i="4"/>
  <c r="L1093" i="4" s="1"/>
  <c r="M1093" i="4" s="1"/>
  <c r="J1094" i="4"/>
  <c r="L1094" i="4" s="1"/>
  <c r="M1094" i="4" s="1"/>
  <c r="J1113" i="4"/>
  <c r="L1113" i="4" s="1"/>
  <c r="M1113" i="4" s="1"/>
  <c r="J1114" i="4"/>
  <c r="L1114" i="4" s="1"/>
  <c r="M1114" i="4" s="1"/>
  <c r="J1115" i="4"/>
  <c r="L1115" i="4" s="1"/>
  <c r="M1115" i="4" s="1"/>
  <c r="J1116" i="4"/>
  <c r="L1116" i="4" s="1"/>
  <c r="M1116" i="4" s="1"/>
  <c r="J1117" i="4"/>
  <c r="L1117" i="4" s="1"/>
  <c r="M1117" i="4" s="1"/>
  <c r="J1118" i="4"/>
  <c r="L1118" i="4" s="1"/>
  <c r="M1118" i="4" s="1"/>
  <c r="J1119" i="4"/>
  <c r="L1119" i="4" s="1"/>
  <c r="M1119" i="4" s="1"/>
  <c r="J1120" i="4"/>
  <c r="L1120" i="4" s="1"/>
  <c r="M1120" i="4" s="1"/>
  <c r="J1121" i="4"/>
  <c r="L1121" i="4" s="1"/>
  <c r="M1121" i="4" s="1"/>
  <c r="L1070" i="4"/>
  <c r="M1070" i="4" s="1"/>
  <c r="J1069" i="4"/>
  <c r="L1069" i="4" s="1"/>
  <c r="M1069" i="4" s="1"/>
  <c r="J1063" i="4"/>
  <c r="J1064" i="4"/>
  <c r="J1065" i="4"/>
  <c r="J1066" i="4"/>
  <c r="L1066" i="4" s="1"/>
  <c r="J1068" i="4"/>
  <c r="J1071" i="4"/>
  <c r="L1071" i="4" s="1"/>
  <c r="M1071" i="4" s="1"/>
  <c r="J1072" i="4"/>
  <c r="L1072" i="4" s="1"/>
  <c r="M1072" i="4" s="1"/>
  <c r="J1073" i="4"/>
  <c r="L1073" i="4" s="1"/>
  <c r="M1073" i="4" s="1"/>
  <c r="J1074" i="4"/>
  <c r="L1074" i="4" s="1"/>
  <c r="M1074" i="4" s="1"/>
  <c r="J1075" i="4"/>
  <c r="L1075" i="4" s="1"/>
  <c r="M1075" i="4" s="1"/>
  <c r="J1076" i="4"/>
  <c r="L1076" i="4" s="1"/>
  <c r="M1076" i="4" s="1"/>
  <c r="M1077" i="4"/>
  <c r="M1078" i="4"/>
  <c r="J1079" i="4"/>
  <c r="L1079" i="4" s="1"/>
  <c r="M1079" i="4" s="1"/>
  <c r="J1080" i="4"/>
  <c r="L1080" i="4" s="1"/>
  <c r="M1080" i="4" s="1"/>
  <c r="J1081" i="4"/>
  <c r="L1081" i="4" s="1"/>
  <c r="M1081" i="4" s="1"/>
  <c r="J1062" i="4"/>
  <c r="J1061" i="4"/>
  <c r="J1060" i="4"/>
  <c r="J1056" i="4" l="1"/>
  <c r="L1056" i="4" s="1"/>
  <c r="M1056" i="4" s="1"/>
  <c r="L1063" i="4"/>
  <c r="M1063" i="4" s="1"/>
  <c r="L1064" i="4"/>
  <c r="M1064" i="4" s="1"/>
  <c r="L1065" i="4"/>
  <c r="M1065" i="4" s="1"/>
  <c r="M1066" i="4"/>
  <c r="L1068" i="4"/>
  <c r="M1068" i="4" s="1"/>
  <c r="L1060" i="4" l="1"/>
  <c r="M1060" i="4" s="1"/>
  <c r="L1061" i="4"/>
  <c r="M1061" i="4" s="1"/>
  <c r="L1062" i="4"/>
  <c r="M1062" i="4" s="1"/>
  <c r="J1054" i="4"/>
  <c r="L1054" i="4" s="1"/>
  <c r="M1054" i="4" s="1"/>
  <c r="J1055" i="4"/>
  <c r="L1055" i="4" s="1"/>
  <c r="M1055" i="4" s="1"/>
  <c r="J1058" i="4"/>
  <c r="L1058" i="4" s="1"/>
  <c r="M1058" i="4" s="1"/>
  <c r="J1057" i="4"/>
  <c r="L1057" i="4" s="1"/>
  <c r="M1057" i="4" s="1"/>
  <c r="J1044" i="4"/>
  <c r="L1044" i="4" s="1"/>
  <c r="M1044" i="4" s="1"/>
  <c r="J1046" i="4"/>
  <c r="L1046" i="4" s="1"/>
  <c r="M1046" i="4" s="1"/>
  <c r="J1047" i="4"/>
  <c r="L1047" i="4" s="1"/>
  <c r="M1047" i="4" s="1"/>
  <c r="J1048" i="4"/>
  <c r="L1048" i="4" s="1"/>
  <c r="M1048" i="4" s="1"/>
  <c r="J1049" i="4"/>
  <c r="L1049" i="4" s="1"/>
  <c r="M1049" i="4" s="1"/>
  <c r="J1050" i="4"/>
  <c r="L1050" i="4" s="1"/>
  <c r="M1050" i="4" s="1"/>
  <c r="J1051" i="4"/>
  <c r="L1051" i="4" s="1"/>
  <c r="M1051" i="4" s="1"/>
  <c r="J1052" i="4"/>
  <c r="L1052" i="4" s="1"/>
  <c r="M1052" i="4" s="1"/>
  <c r="J1053" i="4"/>
  <c r="L1053" i="4" s="1"/>
  <c r="M1053" i="4" s="1"/>
  <c r="J1059" i="4"/>
  <c r="L1059" i="4" s="1"/>
  <c r="M1059" i="4" s="1"/>
  <c r="J1043" i="4"/>
  <c r="L1043" i="4" s="1"/>
  <c r="M1043" i="4" s="1"/>
  <c r="J1042" i="4"/>
  <c r="L1042" i="4" s="1"/>
  <c r="M1042" i="4" s="1"/>
  <c r="J1007" i="4"/>
  <c r="L1007" i="4" s="1"/>
  <c r="M1007" i="4" s="1"/>
  <c r="L992" i="4"/>
  <c r="M992" i="4" s="1"/>
  <c r="J991" i="4"/>
  <c r="L991" i="4" s="1"/>
  <c r="M991" i="4" s="1"/>
  <c r="L947" i="4" l="1"/>
  <c r="M947" i="4" s="1"/>
  <c r="L934" i="4"/>
  <c r="M934" i="4" s="1"/>
  <c r="J933" i="4"/>
  <c r="L933" i="4" s="1"/>
  <c r="M933" i="4" s="1"/>
  <c r="J932" i="4"/>
  <c r="L932" i="4" s="1"/>
  <c r="M932" i="4" s="1"/>
  <c r="J1030" i="4"/>
  <c r="L1030" i="4" s="1"/>
  <c r="M1030" i="4" s="1"/>
  <c r="J1018" i="4" l="1"/>
  <c r="L1018" i="4" s="1"/>
  <c r="M1018" i="4" s="1"/>
  <c r="J1019" i="4"/>
  <c r="L1019" i="4" s="1"/>
  <c r="M1019" i="4" s="1"/>
  <c r="J1020" i="4"/>
  <c r="L1020" i="4" s="1"/>
  <c r="M1020" i="4" s="1"/>
  <c r="J1021" i="4"/>
  <c r="L1021" i="4" s="1"/>
  <c r="M1021" i="4" s="1"/>
  <c r="J1022" i="4"/>
  <c r="L1022" i="4" s="1"/>
  <c r="M1022" i="4" s="1"/>
  <c r="J1026" i="4" l="1"/>
  <c r="L1026" i="4" s="1"/>
  <c r="M1026" i="4" s="1"/>
  <c r="J1025" i="4" l="1"/>
  <c r="L1025" i="4" s="1"/>
  <c r="M1025" i="4" s="1"/>
  <c r="J1024" i="4"/>
  <c r="L1024" i="4" s="1"/>
  <c r="M1024" i="4" s="1"/>
  <c r="J1023" i="4"/>
  <c r="L1023" i="4" s="1"/>
  <c r="M1023" i="4" s="1"/>
  <c r="J988" i="4" l="1"/>
  <c r="L988" i="4" s="1"/>
  <c r="M988" i="4" s="1"/>
  <c r="J989" i="4"/>
  <c r="L989" i="4" s="1"/>
  <c r="M989" i="4" s="1"/>
  <c r="J990" i="4"/>
  <c r="L990" i="4" s="1"/>
  <c r="M990" i="4" s="1"/>
  <c r="J995" i="4"/>
  <c r="L995" i="4" s="1"/>
  <c r="M995" i="4" s="1"/>
  <c r="J996" i="4"/>
  <c r="L996" i="4" s="1"/>
  <c r="M996" i="4" s="1"/>
  <c r="J997" i="4"/>
  <c r="L997" i="4" s="1"/>
  <c r="M997" i="4" s="1"/>
  <c r="J998" i="4"/>
  <c r="L998" i="4" s="1"/>
  <c r="M998" i="4" s="1"/>
  <c r="J999" i="4"/>
  <c r="L999" i="4" s="1"/>
  <c r="M999" i="4" s="1"/>
  <c r="J1000" i="4"/>
  <c r="L1000" i="4" s="1"/>
  <c r="M1000" i="4" s="1"/>
  <c r="J1001" i="4"/>
  <c r="L1001" i="4" s="1"/>
  <c r="M1001" i="4" s="1"/>
  <c r="J1002" i="4"/>
  <c r="L1002" i="4" s="1"/>
  <c r="M1002" i="4" s="1"/>
  <c r="J1003" i="4"/>
  <c r="L1003" i="4" s="1"/>
  <c r="M1003" i="4" s="1"/>
  <c r="J1004" i="4"/>
  <c r="L1004" i="4" s="1"/>
  <c r="M1004" i="4" s="1"/>
  <c r="J1005" i="4"/>
  <c r="L1005" i="4" s="1"/>
  <c r="M1005" i="4" s="1"/>
  <c r="J1006" i="4"/>
  <c r="L1006" i="4" s="1"/>
  <c r="M1006" i="4" s="1"/>
  <c r="J1008" i="4"/>
  <c r="L1008" i="4" s="1"/>
  <c r="M1008" i="4" s="1"/>
  <c r="J1009" i="4"/>
  <c r="L1009" i="4" s="1"/>
  <c r="M1009" i="4" s="1"/>
  <c r="J1010" i="4"/>
  <c r="L1010" i="4" s="1"/>
  <c r="M1010" i="4" s="1"/>
  <c r="J1011" i="4"/>
  <c r="L1011" i="4" s="1"/>
  <c r="M1011" i="4" s="1"/>
  <c r="J1012" i="4"/>
  <c r="L1012" i="4" s="1"/>
  <c r="M1012" i="4" s="1"/>
  <c r="J1013" i="4"/>
  <c r="L1013" i="4" s="1"/>
  <c r="M1013" i="4" s="1"/>
  <c r="J1014" i="4"/>
  <c r="L1014" i="4" s="1"/>
  <c r="M1014" i="4" s="1"/>
  <c r="J1015" i="4"/>
  <c r="L1015" i="4" s="1"/>
  <c r="M1015" i="4" s="1"/>
  <c r="J1016" i="4"/>
  <c r="L1016" i="4" s="1"/>
  <c r="M1016" i="4" s="1"/>
  <c r="J1017" i="4"/>
  <c r="L1017" i="4" s="1"/>
  <c r="M1017" i="4" s="1"/>
  <c r="J1027" i="4"/>
  <c r="L1027" i="4" s="1"/>
  <c r="M1027" i="4" s="1"/>
  <c r="J1028" i="4"/>
  <c r="L1028" i="4" s="1"/>
  <c r="M1028" i="4" s="1"/>
  <c r="J1032" i="4"/>
  <c r="L1032" i="4" s="1"/>
  <c r="M1032" i="4" s="1"/>
  <c r="J1033" i="4"/>
  <c r="L1033" i="4" s="1"/>
  <c r="M1033" i="4" s="1"/>
  <c r="J1034" i="4"/>
  <c r="L1034" i="4" s="1"/>
  <c r="M1034" i="4" s="1"/>
  <c r="J1035" i="4"/>
  <c r="L1035" i="4" s="1"/>
  <c r="M1035" i="4" s="1"/>
  <c r="L1036" i="4"/>
  <c r="M1036" i="4" s="1"/>
  <c r="J1038" i="4"/>
  <c r="L1038" i="4" s="1"/>
  <c r="M1038" i="4" s="1"/>
  <c r="J1039" i="4"/>
  <c r="L1039" i="4" s="1"/>
  <c r="M1039" i="4" s="1"/>
  <c r="J1040" i="4"/>
  <c r="L1040" i="4" s="1"/>
  <c r="M1040" i="4" s="1"/>
  <c r="J1041" i="4"/>
  <c r="L1041" i="4" s="1"/>
  <c r="M1041" i="4" s="1"/>
  <c r="J987" i="4"/>
  <c r="L987" i="4" s="1"/>
  <c r="M987" i="4" s="1"/>
  <c r="J986" i="4"/>
  <c r="L986" i="4" s="1"/>
  <c r="M986" i="4" s="1"/>
  <c r="J985" i="4"/>
  <c r="L985" i="4" s="1"/>
  <c r="M985" i="4" s="1"/>
  <c r="J982" i="4" l="1"/>
  <c r="L982" i="4" s="1"/>
  <c r="M982" i="4" s="1"/>
  <c r="J983" i="4"/>
  <c r="L983" i="4" s="1"/>
  <c r="M983" i="4" s="1"/>
  <c r="J984" i="4"/>
  <c r="L984" i="4" s="1"/>
  <c r="M984" i="4" s="1"/>
  <c r="J981" i="4"/>
  <c r="L981" i="4" s="1"/>
  <c r="M981" i="4" s="1"/>
  <c r="J980" i="4"/>
  <c r="L980" i="4" s="1"/>
  <c r="M980" i="4" s="1"/>
  <c r="J979" i="4"/>
  <c r="L979" i="4" s="1"/>
  <c r="M979" i="4" s="1"/>
  <c r="J978" i="4"/>
  <c r="L978" i="4" s="1"/>
  <c r="M978" i="4" s="1"/>
  <c r="J977" i="4"/>
  <c r="L977" i="4" s="1"/>
  <c r="M977" i="4" s="1"/>
  <c r="J976" i="4" l="1"/>
  <c r="L976" i="4" s="1"/>
  <c r="M976" i="4" s="1"/>
  <c r="J975" i="4" l="1"/>
  <c r="L975" i="4" s="1"/>
  <c r="M975" i="4" s="1"/>
  <c r="J974" i="4"/>
  <c r="L974" i="4" s="1"/>
  <c r="M974" i="4" s="1"/>
  <c r="J963" i="4"/>
  <c r="L963" i="4" s="1"/>
  <c r="M963" i="4" s="1"/>
  <c r="J964" i="4"/>
  <c r="L964" i="4" s="1"/>
  <c r="M964" i="4" s="1"/>
  <c r="J965" i="4"/>
  <c r="L965" i="4" s="1"/>
  <c r="M965" i="4" s="1"/>
  <c r="J966" i="4"/>
  <c r="L966" i="4" s="1"/>
  <c r="M966" i="4" s="1"/>
  <c r="J967" i="4"/>
  <c r="L967" i="4" s="1"/>
  <c r="M967" i="4" s="1"/>
  <c r="J968" i="4"/>
  <c r="L968" i="4" s="1"/>
  <c r="M968" i="4" s="1"/>
  <c r="J969" i="4"/>
  <c r="L969" i="4" s="1"/>
  <c r="M969" i="4" s="1"/>
  <c r="J970" i="4"/>
  <c r="L970" i="4" s="1"/>
  <c r="M970" i="4" s="1"/>
  <c r="J971" i="4"/>
  <c r="L971" i="4" s="1"/>
  <c r="M971" i="4" s="1"/>
  <c r="J972" i="4"/>
  <c r="L972" i="4" s="1"/>
  <c r="M972" i="4" s="1"/>
  <c r="J973" i="4"/>
  <c r="L973" i="4" s="1"/>
  <c r="M973" i="4" s="1"/>
  <c r="J959" i="4"/>
  <c r="J960" i="4"/>
  <c r="J961" i="4"/>
  <c r="J962" i="4"/>
  <c r="L962" i="4" s="1"/>
  <c r="M962" i="4" s="1"/>
  <c r="J955" i="4" l="1"/>
  <c r="L955" i="4" s="1"/>
  <c r="M955" i="4" s="1"/>
  <c r="J956" i="4"/>
  <c r="L956" i="4" s="1"/>
  <c r="M956" i="4" s="1"/>
  <c r="J957" i="4"/>
  <c r="L957" i="4" s="1"/>
  <c r="M957" i="4" s="1"/>
  <c r="J958" i="4"/>
  <c r="L958" i="4" s="1"/>
  <c r="M958" i="4" s="1"/>
  <c r="J949" i="4" l="1"/>
  <c r="L949" i="4" s="1"/>
  <c r="M949" i="4" s="1"/>
  <c r="J950" i="4"/>
  <c r="L950" i="4" s="1"/>
  <c r="M950" i="4" s="1"/>
  <c r="J951" i="4"/>
  <c r="L951" i="4" s="1"/>
  <c r="M951" i="4" s="1"/>
  <c r="J952" i="4"/>
  <c r="L952" i="4" s="1"/>
  <c r="M952" i="4" s="1"/>
  <c r="J953" i="4"/>
  <c r="L953" i="4" s="1"/>
  <c r="M953" i="4" s="1"/>
  <c r="J954" i="4"/>
  <c r="L954" i="4" s="1"/>
  <c r="M954" i="4" s="1"/>
  <c r="L959" i="4"/>
  <c r="M959" i="4" s="1"/>
  <c r="L960" i="4"/>
  <c r="M960" i="4" s="1"/>
  <c r="L961" i="4"/>
  <c r="M961" i="4" s="1"/>
  <c r="J948" i="4"/>
  <c r="L948" i="4" s="1"/>
  <c r="M948" i="4" s="1"/>
  <c r="J946" i="4"/>
  <c r="L946" i="4" s="1"/>
  <c r="M946" i="4" s="1"/>
  <c r="J945" i="4"/>
  <c r="L945" i="4" s="1"/>
  <c r="M945" i="4" s="1"/>
  <c r="J944" i="4"/>
  <c r="L944" i="4" s="1"/>
  <c r="M944" i="4" s="1"/>
  <c r="J943" i="4" l="1"/>
  <c r="L943" i="4" s="1"/>
  <c r="M943" i="4" s="1"/>
  <c r="J942" i="4"/>
  <c r="L942" i="4" s="1"/>
  <c r="M942" i="4" s="1"/>
  <c r="J941" i="4"/>
  <c r="L941" i="4" s="1"/>
  <c r="M941" i="4" s="1"/>
  <c r="J940" i="4"/>
  <c r="L940" i="4" s="1"/>
  <c r="M940" i="4" s="1"/>
  <c r="J936" i="4"/>
  <c r="L936" i="4" s="1"/>
  <c r="M936" i="4" s="1"/>
  <c r="J937" i="4"/>
  <c r="L937" i="4" s="1"/>
  <c r="M937" i="4" s="1"/>
  <c r="J938" i="4"/>
  <c r="L938" i="4" s="1"/>
  <c r="M938" i="4" s="1"/>
  <c r="J939" i="4"/>
  <c r="L939" i="4" s="1"/>
  <c r="M939" i="4" s="1"/>
  <c r="J935" i="4"/>
  <c r="L935" i="4" s="1"/>
  <c r="M935" i="4" s="1"/>
  <c r="J931" i="4"/>
  <c r="L931" i="4" s="1"/>
  <c r="M931" i="4" s="1"/>
  <c r="J930" i="4"/>
  <c r="L930" i="4" s="1"/>
  <c r="M930" i="4" s="1"/>
  <c r="J929" i="4"/>
  <c r="L929" i="4" s="1"/>
  <c r="M929" i="4" s="1"/>
  <c r="J928" i="4"/>
  <c r="L928" i="4" s="1"/>
  <c r="M928" i="4" s="1"/>
  <c r="J927" i="4"/>
  <c r="L927" i="4" s="1"/>
  <c r="M927" i="4" s="1"/>
  <c r="J926" i="4"/>
  <c r="L926" i="4" s="1"/>
  <c r="J925" i="4" l="1"/>
  <c r="L925" i="4" s="1"/>
  <c r="M925" i="4" s="1"/>
  <c r="J923" i="4"/>
  <c r="L923" i="4" s="1"/>
  <c r="M923" i="4" s="1"/>
  <c r="J924" i="4"/>
  <c r="L924" i="4" s="1"/>
  <c r="M924" i="4" s="1"/>
  <c r="J922" i="4"/>
  <c r="L922" i="4" s="1"/>
  <c r="M922" i="4" s="1"/>
  <c r="J921" i="4"/>
  <c r="L921" i="4" s="1"/>
  <c r="M921" i="4" s="1"/>
  <c r="M926" i="4"/>
  <c r="J920" i="4"/>
  <c r="L920" i="4" s="1"/>
  <c r="M920" i="4" s="1"/>
  <c r="J916" i="4"/>
  <c r="L916" i="4" s="1"/>
  <c r="M916" i="4" s="1"/>
  <c r="J915" i="4"/>
  <c r="L915" i="4" s="1"/>
  <c r="M915" i="4" s="1"/>
  <c r="J914" i="4"/>
  <c r="L914" i="4" s="1"/>
  <c r="M914" i="4" s="1"/>
  <c r="J908" i="4"/>
  <c r="L908" i="4" s="1"/>
  <c r="M908" i="4" s="1"/>
  <c r="J909" i="4"/>
  <c r="L909" i="4" s="1"/>
  <c r="M909" i="4" s="1"/>
  <c r="J910" i="4"/>
  <c r="L910" i="4" s="1"/>
  <c r="M910" i="4" s="1"/>
  <c r="J911" i="4"/>
  <c r="L911" i="4" s="1"/>
  <c r="M911" i="4" s="1"/>
  <c r="J912" i="4"/>
  <c r="L912" i="4" s="1"/>
  <c r="M912" i="4" s="1"/>
  <c r="J913" i="4"/>
  <c r="L913" i="4" s="1"/>
  <c r="M913" i="4" s="1"/>
  <c r="J917" i="4"/>
  <c r="L917" i="4" s="1"/>
  <c r="M917" i="4" s="1"/>
  <c r="J918" i="4"/>
  <c r="L918" i="4" s="1"/>
  <c r="M918" i="4" s="1"/>
  <c r="J919" i="4"/>
  <c r="L919" i="4" s="1"/>
  <c r="M919" i="4" s="1"/>
  <c r="J907" i="4"/>
  <c r="L907" i="4" s="1"/>
  <c r="M907" i="4" s="1"/>
  <c r="J888" i="4"/>
  <c r="L888" i="4" s="1"/>
  <c r="M888" i="4" s="1"/>
  <c r="J897" i="4"/>
  <c r="L897" i="4" s="1"/>
  <c r="M897" i="4" s="1"/>
  <c r="J898" i="4"/>
  <c r="L898" i="4" s="1"/>
  <c r="M898" i="4" s="1"/>
  <c r="J896" i="4"/>
  <c r="L896" i="4" s="1"/>
  <c r="M896" i="4" s="1"/>
  <c r="J906" i="4"/>
  <c r="L906" i="4" s="1"/>
  <c r="M906" i="4" s="1"/>
  <c r="J904" i="4"/>
  <c r="L904" i="4" s="1"/>
  <c r="M904" i="4" s="1"/>
  <c r="J905" i="4"/>
  <c r="L905" i="4" s="1"/>
  <c r="M905" i="4" s="1"/>
  <c r="L900" i="4"/>
  <c r="M900" i="4" s="1"/>
  <c r="J901" i="4"/>
  <c r="L901" i="4" s="1"/>
  <c r="M901" i="4" s="1"/>
  <c r="J887" i="4" l="1"/>
  <c r="L887" i="4" s="1"/>
  <c r="M887" i="4" s="1"/>
  <c r="J889" i="4"/>
  <c r="L889" i="4" s="1"/>
  <c r="M889" i="4" s="1"/>
  <c r="J890" i="4"/>
  <c r="L890" i="4" s="1"/>
  <c r="M890" i="4" s="1"/>
  <c r="J891" i="4"/>
  <c r="L891" i="4" s="1"/>
  <c r="M891" i="4" s="1"/>
  <c r="J892" i="4"/>
  <c r="L892" i="4" s="1"/>
  <c r="M892" i="4" s="1"/>
  <c r="J893" i="4"/>
  <c r="L893" i="4" s="1"/>
  <c r="M893" i="4" s="1"/>
  <c r="J894" i="4"/>
  <c r="L894" i="4" s="1"/>
  <c r="M894" i="4" s="1"/>
  <c r="J895" i="4"/>
  <c r="L895" i="4" s="1"/>
  <c r="M895" i="4" s="1"/>
  <c r="J899" i="4"/>
  <c r="L899" i="4" s="1"/>
  <c r="M899" i="4" s="1"/>
  <c r="J902" i="4"/>
  <c r="L902" i="4" s="1"/>
  <c r="M902" i="4" s="1"/>
  <c r="J903" i="4"/>
  <c r="L903" i="4" s="1"/>
  <c r="M903" i="4" s="1"/>
  <c r="J886" i="4"/>
  <c r="L886" i="4" s="1"/>
  <c r="M886" i="4" s="1"/>
  <c r="J885" i="4"/>
  <c r="L885" i="4" s="1"/>
  <c r="M885" i="4" s="1"/>
  <c r="J874" i="4"/>
  <c r="L874" i="4" s="1"/>
  <c r="M874" i="4" s="1"/>
  <c r="J875" i="4"/>
  <c r="L875" i="4" s="1"/>
  <c r="M875" i="4" s="1"/>
  <c r="J873" i="4"/>
  <c r="L873" i="4" s="1"/>
  <c r="M873" i="4" s="1"/>
  <c r="J878" i="4"/>
  <c r="L878" i="4" s="1"/>
  <c r="M878" i="4" s="1"/>
  <c r="J879" i="4"/>
  <c r="L879" i="4" s="1"/>
  <c r="M879" i="4" s="1"/>
  <c r="J880" i="4"/>
  <c r="L880" i="4" s="1"/>
  <c r="M880" i="4" s="1"/>
  <c r="J881" i="4"/>
  <c r="L881" i="4" s="1"/>
  <c r="M881" i="4" s="1"/>
  <c r="J876" i="4"/>
  <c r="L876" i="4" s="1"/>
  <c r="M876" i="4" s="1"/>
  <c r="J866" i="4"/>
  <c r="L866" i="4" s="1"/>
  <c r="J868" i="4"/>
  <c r="L868" i="4" s="1"/>
  <c r="J869" i="4"/>
  <c r="L869" i="4" s="1"/>
  <c r="J870" i="4"/>
  <c r="L870" i="4" s="1"/>
  <c r="M870" i="4" s="1"/>
  <c r="J871" i="4"/>
  <c r="L871" i="4" s="1"/>
  <c r="M871" i="4" s="1"/>
  <c r="J872" i="4"/>
  <c r="L872" i="4" s="1"/>
  <c r="M872" i="4" s="1"/>
  <c r="J877" i="4"/>
  <c r="L877" i="4" s="1"/>
  <c r="M877" i="4" s="1"/>
  <c r="J882" i="4"/>
  <c r="L882" i="4" s="1"/>
  <c r="M882" i="4" s="1"/>
  <c r="J883" i="4"/>
  <c r="L883" i="4" s="1"/>
  <c r="M883" i="4" s="1"/>
  <c r="J884" i="4"/>
  <c r="L884" i="4" s="1"/>
  <c r="M884" i="4" s="1"/>
  <c r="J864" i="4"/>
  <c r="L864" i="4" s="1"/>
  <c r="M864" i="4" s="1"/>
  <c r="J865" i="4"/>
  <c r="L865" i="4" s="1"/>
  <c r="J863" i="4"/>
  <c r="L863" i="4" s="1"/>
  <c r="J862" i="4"/>
  <c r="L862" i="4" s="1"/>
  <c r="J861" i="4"/>
  <c r="L861" i="4" s="1"/>
  <c r="J860" i="4" l="1"/>
  <c r="L860" i="4" s="1"/>
  <c r="M860" i="4" s="1"/>
  <c r="M861" i="4"/>
  <c r="M862" i="4"/>
  <c r="M863" i="4"/>
  <c r="M865" i="4"/>
  <c r="M866" i="4"/>
  <c r="M868" i="4"/>
  <c r="M869" i="4"/>
  <c r="J839" i="4" l="1"/>
  <c r="L839" i="4" s="1"/>
  <c r="M839" i="4" s="1"/>
  <c r="J840" i="4"/>
  <c r="L840" i="4" s="1"/>
  <c r="J841" i="4"/>
  <c r="L841" i="4" s="1"/>
  <c r="M841" i="4" s="1"/>
  <c r="J842" i="4"/>
  <c r="L842" i="4" s="1"/>
  <c r="M842" i="4" s="1"/>
  <c r="J843" i="4"/>
  <c r="L843" i="4" s="1"/>
  <c r="M843" i="4" s="1"/>
  <c r="J844" i="4"/>
  <c r="L844" i="4" s="1"/>
  <c r="M844" i="4" s="1"/>
  <c r="J845" i="4"/>
  <c r="L845" i="4" s="1"/>
  <c r="M845" i="4" s="1"/>
  <c r="J846" i="4"/>
  <c r="L846" i="4" s="1"/>
  <c r="M846" i="4" s="1"/>
  <c r="J847" i="4"/>
  <c r="L847" i="4" s="1"/>
  <c r="M847" i="4" s="1"/>
  <c r="J848" i="4"/>
  <c r="L848" i="4" s="1"/>
  <c r="M848" i="4" s="1"/>
  <c r="J849" i="4"/>
  <c r="L849" i="4" s="1"/>
  <c r="M849" i="4" s="1"/>
  <c r="J850" i="4"/>
  <c r="L850" i="4" s="1"/>
  <c r="M850" i="4" s="1"/>
  <c r="J851" i="4"/>
  <c r="L851" i="4" s="1"/>
  <c r="M851" i="4" s="1"/>
  <c r="J852" i="4"/>
  <c r="L852" i="4" s="1"/>
  <c r="M852" i="4" s="1"/>
  <c r="J853" i="4"/>
  <c r="L853" i="4" s="1"/>
  <c r="M853" i="4" s="1"/>
  <c r="J854" i="4"/>
  <c r="L854" i="4" s="1"/>
  <c r="M854" i="4" s="1"/>
  <c r="J855" i="4"/>
  <c r="L855" i="4" s="1"/>
  <c r="M855" i="4" s="1"/>
  <c r="J856" i="4"/>
  <c r="L856" i="4" s="1"/>
  <c r="M856" i="4" s="1"/>
  <c r="J857" i="4"/>
  <c r="L857" i="4" s="1"/>
  <c r="M857" i="4" s="1"/>
  <c r="J858" i="4"/>
  <c r="L858" i="4" s="1"/>
  <c r="M858" i="4" s="1"/>
  <c r="J859" i="4"/>
  <c r="L859" i="4" s="1"/>
  <c r="M859" i="4" s="1"/>
  <c r="J838" i="4"/>
  <c r="L838" i="4" s="1"/>
  <c r="M838" i="4" s="1"/>
  <c r="J818" i="4"/>
  <c r="J819" i="4"/>
  <c r="J820" i="4"/>
  <c r="J821" i="4"/>
  <c r="L821" i="4" s="1"/>
  <c r="J822" i="4"/>
  <c r="L822" i="4" s="1"/>
  <c r="J823" i="4"/>
  <c r="L823" i="4" s="1"/>
  <c r="J824" i="4"/>
  <c r="L824" i="4" s="1"/>
  <c r="J825" i="4"/>
  <c r="L825" i="4" s="1"/>
  <c r="J826" i="4"/>
  <c r="L826" i="4" s="1"/>
  <c r="J827" i="4"/>
  <c r="L827" i="4" s="1"/>
  <c r="J828" i="4"/>
  <c r="L828" i="4" s="1"/>
  <c r="J829" i="4"/>
  <c r="L829" i="4" s="1"/>
  <c r="J830" i="4"/>
  <c r="L830" i="4" s="1"/>
  <c r="J831" i="4"/>
  <c r="L831" i="4" s="1"/>
  <c r="J832" i="4"/>
  <c r="L832" i="4" s="1"/>
  <c r="J833" i="4"/>
  <c r="L833" i="4" s="1"/>
  <c r="J834" i="4"/>
  <c r="L834" i="4" s="1"/>
  <c r="J835" i="4"/>
  <c r="L835" i="4" s="1"/>
  <c r="M835" i="4" s="1"/>
  <c r="J836" i="4"/>
  <c r="L836" i="4" s="1"/>
  <c r="M836" i="4" s="1"/>
  <c r="J837" i="4"/>
  <c r="L837" i="4" s="1"/>
  <c r="M837" i="4" s="1"/>
  <c r="J817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01" i="4"/>
  <c r="M840" i="4" l="1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760" i="4"/>
  <c r="L760" i="4" s="1"/>
  <c r="M760" i="4" s="1"/>
  <c r="J720" i="4"/>
  <c r="L720" i="4" s="1"/>
  <c r="M720" i="4" s="1"/>
  <c r="J782" i="4" l="1"/>
  <c r="J774" i="4" l="1"/>
  <c r="J775" i="4"/>
  <c r="J776" i="4"/>
  <c r="J777" i="4"/>
  <c r="J778" i="4"/>
  <c r="J779" i="4"/>
  <c r="J737" i="4"/>
  <c r="J781" i="4"/>
  <c r="J773" i="4"/>
  <c r="J756" i="4" l="1"/>
  <c r="L756" i="4" s="1"/>
  <c r="M756" i="4" s="1"/>
  <c r="J755" i="4"/>
  <c r="L755" i="4" s="1"/>
  <c r="M755" i="4" s="1"/>
  <c r="J758" i="4"/>
  <c r="J759" i="4"/>
  <c r="J761" i="4"/>
  <c r="J699" i="4"/>
  <c r="J763" i="4"/>
  <c r="J764" i="4"/>
  <c r="J765" i="4"/>
  <c r="J766" i="4"/>
  <c r="J768" i="4"/>
  <c r="J769" i="4"/>
  <c r="J780" i="4"/>
  <c r="J770" i="4"/>
  <c r="J771" i="4"/>
  <c r="J772" i="4"/>
  <c r="J757" i="4"/>
  <c r="J701" i="4" l="1"/>
  <c r="L701" i="4" s="1"/>
  <c r="M701" i="4" s="1"/>
  <c r="L757" i="4"/>
  <c r="L758" i="4"/>
  <c r="L759" i="4"/>
  <c r="L761" i="4"/>
  <c r="L699" i="4"/>
  <c r="L763" i="4"/>
  <c r="L764" i="4"/>
  <c r="L765" i="4"/>
  <c r="L766" i="4"/>
  <c r="L768" i="4"/>
  <c r="L769" i="4"/>
  <c r="L780" i="4"/>
  <c r="L770" i="4"/>
  <c r="L771" i="4"/>
  <c r="L772" i="4"/>
  <c r="L773" i="4"/>
  <c r="L774" i="4"/>
  <c r="L775" i="4"/>
  <c r="L776" i="4"/>
  <c r="L777" i="4"/>
  <c r="L778" i="4"/>
  <c r="L779" i="4"/>
  <c r="L737" i="4"/>
  <c r="L781" i="4"/>
  <c r="L782" i="4"/>
  <c r="L784" i="4"/>
  <c r="L785" i="4"/>
  <c r="L786" i="4"/>
  <c r="L787" i="4"/>
  <c r="L788" i="4"/>
  <c r="M788" i="4" s="1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J675" i="4"/>
  <c r="L675" i="4" s="1"/>
  <c r="J702" i="4"/>
  <c r="L702" i="4" s="1"/>
  <c r="J703" i="4"/>
  <c r="L703" i="4" s="1"/>
  <c r="J704" i="4"/>
  <c r="L704" i="4" s="1"/>
  <c r="J705" i="4"/>
  <c r="L705" i="4" s="1"/>
  <c r="J706" i="4"/>
  <c r="L706" i="4" s="1"/>
  <c r="J707" i="4"/>
  <c r="L707" i="4" s="1"/>
  <c r="J708" i="4"/>
  <c r="L708" i="4" s="1"/>
  <c r="J709" i="4"/>
  <c r="L709" i="4" s="1"/>
  <c r="J710" i="4"/>
  <c r="L710" i="4" s="1"/>
  <c r="J681" i="4"/>
  <c r="L681" i="4" s="1"/>
  <c r="J712" i="4"/>
  <c r="L712" i="4" s="1"/>
  <c r="J713" i="4"/>
  <c r="L713" i="4" s="1"/>
  <c r="J714" i="4"/>
  <c r="L714" i="4" s="1"/>
  <c r="J715" i="4"/>
  <c r="L715" i="4" s="1"/>
  <c r="J717" i="4"/>
  <c r="L717" i="4" s="1"/>
  <c r="J718" i="4"/>
  <c r="L718" i="4" s="1"/>
  <c r="J719" i="4"/>
  <c r="L719" i="4" s="1"/>
  <c r="J721" i="4"/>
  <c r="L721" i="4" s="1"/>
  <c r="J722" i="4"/>
  <c r="L722" i="4" s="1"/>
  <c r="J734" i="4"/>
  <c r="L734" i="4" s="1"/>
  <c r="J724" i="4"/>
  <c r="L724" i="4" s="1"/>
  <c r="J725" i="4"/>
  <c r="L725" i="4" s="1"/>
  <c r="J726" i="4"/>
  <c r="L726" i="4" s="1"/>
  <c r="J727" i="4"/>
  <c r="L727" i="4" s="1"/>
  <c r="J728" i="4"/>
  <c r="L728" i="4" s="1"/>
  <c r="J729" i="4"/>
  <c r="L729" i="4" s="1"/>
  <c r="J700" i="4"/>
  <c r="L700" i="4" s="1"/>
  <c r="J731" i="4"/>
  <c r="L731" i="4" s="1"/>
  <c r="J732" i="4"/>
  <c r="L732" i="4" s="1"/>
  <c r="J733" i="4"/>
  <c r="L733" i="4" s="1"/>
  <c r="J684" i="4"/>
  <c r="L684" i="4" s="1"/>
  <c r="J735" i="4"/>
  <c r="L735" i="4" s="1"/>
  <c r="J736" i="4"/>
  <c r="L736" i="4" s="1"/>
  <c r="J750" i="4"/>
  <c r="L750" i="4" s="1"/>
  <c r="J738" i="4"/>
  <c r="L738" i="4" s="1"/>
  <c r="J739" i="4"/>
  <c r="L739" i="4" s="1"/>
  <c r="J740" i="4"/>
  <c r="L740" i="4" s="1"/>
  <c r="J741" i="4"/>
  <c r="L741" i="4" s="1"/>
  <c r="J762" i="4"/>
  <c r="L762" i="4" s="1"/>
  <c r="J693" i="4"/>
  <c r="L693" i="4" s="1"/>
  <c r="J744" i="4"/>
  <c r="L744" i="4" s="1"/>
  <c r="J745" i="4"/>
  <c r="L745" i="4" s="1"/>
  <c r="J746" i="4"/>
  <c r="L746" i="4" s="1"/>
  <c r="J747" i="4"/>
  <c r="L747" i="4" s="1"/>
  <c r="J748" i="4"/>
  <c r="L748" i="4" s="1"/>
  <c r="J749" i="4"/>
  <c r="L749" i="4" s="1"/>
  <c r="J723" i="4"/>
  <c r="L723" i="4" s="1"/>
  <c r="J751" i="4"/>
  <c r="L751" i="4" s="1"/>
  <c r="J752" i="4"/>
  <c r="L752" i="4" s="1"/>
  <c r="J753" i="4"/>
  <c r="L753" i="4" s="1"/>
  <c r="J754" i="4"/>
  <c r="L754" i="4" s="1"/>
  <c r="J669" i="4"/>
  <c r="L669" i="4" s="1"/>
  <c r="J698" i="4" l="1"/>
  <c r="L698" i="4" s="1"/>
  <c r="M698" i="4" s="1"/>
  <c r="J697" i="4"/>
  <c r="L697" i="4" s="1"/>
  <c r="M697" i="4" s="1"/>
  <c r="M669" i="4"/>
  <c r="M675" i="4"/>
  <c r="M702" i="4"/>
  <c r="M703" i="4"/>
  <c r="M704" i="4"/>
  <c r="M705" i="4"/>
  <c r="M706" i="4"/>
  <c r="M707" i="4"/>
  <c r="M708" i="4"/>
  <c r="M709" i="4"/>
  <c r="M710" i="4"/>
  <c r="M681" i="4"/>
  <c r="M712" i="4"/>
  <c r="M713" i="4"/>
  <c r="M714" i="4"/>
  <c r="M715" i="4"/>
  <c r="M717" i="4"/>
  <c r="M718" i="4"/>
  <c r="M719" i="4"/>
  <c r="M721" i="4"/>
  <c r="M722" i="4"/>
  <c r="M734" i="4"/>
  <c r="M724" i="4"/>
  <c r="M725" i="4"/>
  <c r="M726" i="4"/>
  <c r="M727" i="4"/>
  <c r="M728" i="4"/>
  <c r="M729" i="4"/>
  <c r="M700" i="4"/>
  <c r="M731" i="4"/>
  <c r="M732" i="4"/>
  <c r="M733" i="4"/>
  <c r="M684" i="4"/>
  <c r="M735" i="4"/>
  <c r="M736" i="4"/>
  <c r="M750" i="4"/>
  <c r="M738" i="4"/>
  <c r="M739" i="4"/>
  <c r="M740" i="4"/>
  <c r="M741" i="4"/>
  <c r="M762" i="4"/>
  <c r="M693" i="4"/>
  <c r="M744" i="4"/>
  <c r="M745" i="4"/>
  <c r="M746" i="4"/>
  <c r="M747" i="4"/>
  <c r="M748" i="4"/>
  <c r="M749" i="4"/>
  <c r="M723" i="4"/>
  <c r="M751" i="4"/>
  <c r="M752" i="4"/>
  <c r="M753" i="4"/>
  <c r="M754" i="4"/>
  <c r="M757" i="4"/>
  <c r="M758" i="4"/>
  <c r="M759" i="4"/>
  <c r="M761" i="4"/>
  <c r="M699" i="4"/>
  <c r="M763" i="4"/>
  <c r="M764" i="4"/>
  <c r="M765" i="4"/>
  <c r="M766" i="4"/>
  <c r="M768" i="4"/>
  <c r="M769" i="4"/>
  <c r="M780" i="4"/>
  <c r="M770" i="4"/>
  <c r="M771" i="4"/>
  <c r="M772" i="4"/>
  <c r="M773" i="4"/>
  <c r="M774" i="4"/>
  <c r="M775" i="4"/>
  <c r="M776" i="4"/>
  <c r="M777" i="4"/>
  <c r="M778" i="4"/>
  <c r="M779" i="4"/>
  <c r="M737" i="4"/>
  <c r="M781" i="4"/>
  <c r="M782" i="4"/>
  <c r="M784" i="4"/>
  <c r="M785" i="4"/>
  <c r="M786" i="4"/>
  <c r="M787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J685" i="4"/>
  <c r="L685" i="4" s="1"/>
  <c r="M685" i="4" s="1"/>
  <c r="J686" i="4"/>
  <c r="L686" i="4" s="1"/>
  <c r="M686" i="4" s="1"/>
  <c r="J687" i="4"/>
  <c r="L687" i="4" s="1"/>
  <c r="M687" i="4" s="1"/>
  <c r="J688" i="4"/>
  <c r="L688" i="4" s="1"/>
  <c r="M688" i="4" s="1"/>
  <c r="J689" i="4"/>
  <c r="L689" i="4" s="1"/>
  <c r="M689" i="4" s="1"/>
  <c r="J690" i="4"/>
  <c r="L690" i="4" s="1"/>
  <c r="M690" i="4" s="1"/>
  <c r="J691" i="4"/>
  <c r="L691" i="4" s="1"/>
  <c r="M691" i="4" s="1"/>
  <c r="J692" i="4"/>
  <c r="L692" i="4" s="1"/>
  <c r="M692" i="4" s="1"/>
  <c r="J767" i="4"/>
  <c r="L767" i="4" s="1"/>
  <c r="M767" i="4" s="1"/>
  <c r="J694" i="4"/>
  <c r="L694" i="4" s="1"/>
  <c r="M694" i="4" s="1"/>
  <c r="J695" i="4"/>
  <c r="L695" i="4" s="1"/>
  <c r="M695" i="4" s="1"/>
  <c r="J696" i="4"/>
  <c r="L696" i="4" s="1"/>
  <c r="M696" i="4" s="1"/>
  <c r="J730" i="4"/>
  <c r="L730" i="4" s="1"/>
  <c r="M730" i="4" s="1"/>
  <c r="J683" i="4"/>
  <c r="L683" i="4" s="1"/>
  <c r="M683" i="4" s="1"/>
  <c r="J682" i="4"/>
  <c r="L682" i="4" s="1"/>
  <c r="M682" i="4" s="1"/>
  <c r="J743" i="4"/>
  <c r="L743" i="4" s="1"/>
  <c r="M743" i="4" s="1"/>
  <c r="J680" i="4"/>
  <c r="L680" i="4" s="1"/>
  <c r="M680" i="4" s="1"/>
  <c r="J679" i="4"/>
  <c r="L679" i="4" s="1"/>
  <c r="M679" i="4" s="1"/>
  <c r="J678" i="4"/>
  <c r="L678" i="4" s="1"/>
  <c r="M678" i="4" s="1"/>
  <c r="J677" i="4"/>
  <c r="L677" i="4" s="1"/>
  <c r="M677" i="4" s="1"/>
  <c r="J676" i="4"/>
  <c r="L676" i="4" s="1"/>
  <c r="M676" i="4" s="1"/>
  <c r="J665" i="4"/>
  <c r="L665" i="4" s="1"/>
  <c r="M665" i="4" s="1"/>
  <c r="J674" i="4"/>
  <c r="L674" i="4" s="1"/>
  <c r="M674" i="4" s="1"/>
  <c r="J673" i="4"/>
  <c r="L673" i="4" s="1"/>
  <c r="M673" i="4" s="1"/>
  <c r="J672" i="4"/>
  <c r="L672" i="4" s="1"/>
  <c r="M672" i="4" s="1"/>
  <c r="J671" i="4"/>
  <c r="L671" i="4" s="1"/>
  <c r="M671" i="4" s="1"/>
  <c r="J670" i="4"/>
  <c r="L670" i="4" s="1"/>
  <c r="M670" i="4" s="1"/>
  <c r="J711" i="4"/>
  <c r="L711" i="4" s="1"/>
  <c r="M711" i="4" s="1"/>
  <c r="J668" i="4"/>
  <c r="L668" i="4" s="1"/>
  <c r="M668" i="4" s="1"/>
  <c r="J667" i="4"/>
  <c r="L667" i="4" s="1"/>
  <c r="M667" i="4" s="1"/>
  <c r="J666" i="4"/>
  <c r="L666" i="4" s="1"/>
  <c r="M666" i="4" s="1"/>
  <c r="J742" i="4"/>
  <c r="L742" i="4" s="1"/>
  <c r="M742" i="4" s="1"/>
  <c r="J664" i="4"/>
  <c r="L664" i="4" s="1"/>
  <c r="M664" i="4" s="1"/>
  <c r="J663" i="4"/>
  <c r="L663" i="4" s="1"/>
  <c r="M663" i="4" s="1"/>
  <c r="J662" i="4"/>
  <c r="L662" i="4" s="1"/>
  <c r="M662" i="4" s="1"/>
  <c r="J661" i="4"/>
  <c r="L661" i="4" s="1"/>
  <c r="M661" i="4" s="1"/>
  <c r="J660" i="4"/>
  <c r="L660" i="4" s="1"/>
  <c r="M660" i="4" s="1"/>
  <c r="J659" i="4"/>
  <c r="L659" i="4" s="1"/>
  <c r="M659" i="4" s="1"/>
  <c r="J658" i="4"/>
  <c r="L658" i="4" s="1"/>
  <c r="M658" i="4" s="1"/>
  <c r="J657" i="4"/>
  <c r="L657" i="4" s="1"/>
  <c r="M657" i="4" s="1"/>
  <c r="J656" i="4"/>
  <c r="L656" i="4" s="1"/>
  <c r="M656" i="4" s="1"/>
  <c r="J655" i="4"/>
  <c r="L655" i="4" s="1"/>
  <c r="M655" i="4" s="1"/>
  <c r="J641" i="4"/>
  <c r="L641" i="4" s="1"/>
  <c r="M641" i="4" s="1"/>
  <c r="J642" i="4"/>
  <c r="L642" i="4" s="1"/>
  <c r="M642" i="4" s="1"/>
  <c r="J643" i="4"/>
  <c r="L643" i="4" s="1"/>
  <c r="M643" i="4" s="1"/>
  <c r="J644" i="4"/>
  <c r="L644" i="4" s="1"/>
  <c r="M644" i="4" s="1"/>
  <c r="J645" i="4"/>
  <c r="L645" i="4" s="1"/>
  <c r="M645" i="4" s="1"/>
  <c r="J646" i="4"/>
  <c r="L646" i="4" s="1"/>
  <c r="M646" i="4" s="1"/>
  <c r="J647" i="4"/>
  <c r="L647" i="4" s="1"/>
  <c r="M647" i="4" s="1"/>
  <c r="J648" i="4"/>
  <c r="L648" i="4" s="1"/>
  <c r="M648" i="4" s="1"/>
  <c r="J649" i="4"/>
  <c r="L649" i="4" s="1"/>
  <c r="M649" i="4" s="1"/>
  <c r="J650" i="4"/>
  <c r="L650" i="4" s="1"/>
  <c r="M650" i="4" s="1"/>
  <c r="J651" i="4"/>
  <c r="L651" i="4" s="1"/>
  <c r="M651" i="4" s="1"/>
  <c r="J652" i="4"/>
  <c r="L652" i="4" s="1"/>
  <c r="M652" i="4" s="1"/>
  <c r="J653" i="4"/>
  <c r="L653" i="4" s="1"/>
  <c r="M653" i="4" s="1"/>
  <c r="J654" i="4"/>
  <c r="L654" i="4" s="1"/>
  <c r="M654" i="4" s="1"/>
  <c r="J640" i="4"/>
  <c r="L640" i="4" s="1"/>
  <c r="M640" i="4" s="1"/>
  <c r="J629" i="4"/>
  <c r="L629" i="4" s="1"/>
  <c r="M629" i="4" s="1"/>
  <c r="J630" i="4"/>
  <c r="L630" i="4" s="1"/>
  <c r="M630" i="4" s="1"/>
  <c r="J631" i="4"/>
  <c r="L631" i="4" s="1"/>
  <c r="M631" i="4" s="1"/>
  <c r="J632" i="4"/>
  <c r="L632" i="4" s="1"/>
  <c r="M632" i="4" s="1"/>
  <c r="J633" i="4"/>
  <c r="L633" i="4" s="1"/>
  <c r="M633" i="4" s="1"/>
  <c r="J634" i="4"/>
  <c r="L634" i="4" s="1"/>
  <c r="M634" i="4" s="1"/>
  <c r="J635" i="4"/>
  <c r="L635" i="4" s="1"/>
  <c r="M635" i="4" s="1"/>
  <c r="J636" i="4"/>
  <c r="L636" i="4" s="1"/>
  <c r="M636" i="4" s="1"/>
  <c r="J637" i="4"/>
  <c r="L637" i="4" s="1"/>
  <c r="M637" i="4" s="1"/>
  <c r="J638" i="4"/>
  <c r="L638" i="4" s="1"/>
  <c r="M638" i="4" s="1"/>
  <c r="J639" i="4"/>
  <c r="L639" i="4" s="1"/>
  <c r="M639" i="4" s="1"/>
  <c r="J628" i="4"/>
  <c r="L628" i="4" s="1"/>
  <c r="J627" i="4"/>
  <c r="L627" i="4" s="1"/>
  <c r="J610" i="4"/>
  <c r="L610" i="4" s="1"/>
  <c r="M610" i="4" s="1"/>
  <c r="J611" i="4"/>
  <c r="L611" i="4" s="1"/>
  <c r="M611" i="4" s="1"/>
  <c r="J612" i="4"/>
  <c r="L612" i="4" s="1"/>
  <c r="M612" i="4" s="1"/>
  <c r="J609" i="4" l="1"/>
  <c r="L609" i="4" s="1"/>
  <c r="M609" i="4" s="1"/>
  <c r="J608" i="4"/>
  <c r="L608" i="4" s="1"/>
  <c r="M608" i="4" s="1"/>
  <c r="J607" i="4"/>
  <c r="L607" i="4" s="1"/>
  <c r="M607" i="4" s="1"/>
  <c r="J613" i="4" l="1"/>
  <c r="L613" i="4" s="1"/>
  <c r="M613" i="4" s="1"/>
  <c r="M627" i="4" l="1"/>
  <c r="M628" i="4"/>
  <c r="J602" i="4"/>
  <c r="L602" i="4" s="1"/>
  <c r="M602" i="4" s="1"/>
  <c r="J603" i="4"/>
  <c r="L603" i="4" s="1"/>
  <c r="M603" i="4" s="1"/>
  <c r="J604" i="4"/>
  <c r="L604" i="4" s="1"/>
  <c r="M604" i="4" s="1"/>
  <c r="J605" i="4"/>
  <c r="L605" i="4" s="1"/>
  <c r="M605" i="4" s="1"/>
  <c r="J606" i="4"/>
  <c r="L606" i="4" s="1"/>
  <c r="M606" i="4" s="1"/>
  <c r="J614" i="4"/>
  <c r="L614" i="4" s="1"/>
  <c r="M614" i="4" s="1"/>
  <c r="J615" i="4"/>
  <c r="L615" i="4" s="1"/>
  <c r="M615" i="4" s="1"/>
  <c r="J616" i="4"/>
  <c r="L616" i="4" s="1"/>
  <c r="M616" i="4" s="1"/>
  <c r="J617" i="4"/>
  <c r="L617" i="4" s="1"/>
  <c r="M617" i="4" s="1"/>
  <c r="J618" i="4"/>
  <c r="L618" i="4" s="1"/>
  <c r="M618" i="4" s="1"/>
  <c r="J619" i="4"/>
  <c r="L619" i="4" s="1"/>
  <c r="M619" i="4" s="1"/>
  <c r="J620" i="4"/>
  <c r="L620" i="4" s="1"/>
  <c r="M620" i="4" s="1"/>
  <c r="J621" i="4"/>
  <c r="L621" i="4" s="1"/>
  <c r="M621" i="4" s="1"/>
  <c r="J622" i="4"/>
  <c r="L622" i="4" s="1"/>
  <c r="M622" i="4" s="1"/>
  <c r="J623" i="4"/>
  <c r="L623" i="4" s="1"/>
  <c r="M623" i="4" s="1"/>
  <c r="J624" i="4"/>
  <c r="L624" i="4" s="1"/>
  <c r="M624" i="4" s="1"/>
  <c r="J625" i="4"/>
  <c r="L625" i="4" s="1"/>
  <c r="M625" i="4" s="1"/>
  <c r="J626" i="4"/>
  <c r="L626" i="4" s="1"/>
  <c r="M626" i="4" s="1"/>
  <c r="J601" i="4"/>
  <c r="L601" i="4" s="1"/>
  <c r="M601" i="4" s="1"/>
  <c r="J582" i="4"/>
  <c r="L582" i="4" s="1"/>
  <c r="M582" i="4" s="1"/>
  <c r="J583" i="4"/>
  <c r="L583" i="4" s="1"/>
  <c r="M583" i="4" s="1"/>
  <c r="J584" i="4"/>
  <c r="L584" i="4" s="1"/>
  <c r="M584" i="4" s="1"/>
  <c r="J585" i="4"/>
  <c r="L585" i="4" s="1"/>
  <c r="M585" i="4" s="1"/>
  <c r="J586" i="4"/>
  <c r="L586" i="4" s="1"/>
  <c r="M586" i="4" s="1"/>
  <c r="J587" i="4"/>
  <c r="L587" i="4" s="1"/>
  <c r="M587" i="4" s="1"/>
  <c r="J588" i="4"/>
  <c r="L588" i="4" s="1"/>
  <c r="M588" i="4" s="1"/>
  <c r="J589" i="4"/>
  <c r="L589" i="4" s="1"/>
  <c r="M589" i="4" s="1"/>
  <c r="J590" i="4"/>
  <c r="L590" i="4" s="1"/>
  <c r="M590" i="4" s="1"/>
  <c r="J591" i="4"/>
  <c r="L591" i="4" s="1"/>
  <c r="M591" i="4" s="1"/>
  <c r="J592" i="4"/>
  <c r="L592" i="4" s="1"/>
  <c r="M592" i="4" s="1"/>
  <c r="J593" i="4"/>
  <c r="L593" i="4" s="1"/>
  <c r="M593" i="4" s="1"/>
  <c r="J594" i="4"/>
  <c r="L594" i="4" s="1"/>
  <c r="M594" i="4" s="1"/>
  <c r="J595" i="4"/>
  <c r="L595" i="4" s="1"/>
  <c r="M595" i="4" s="1"/>
  <c r="J596" i="4"/>
  <c r="L596" i="4" s="1"/>
  <c r="M596" i="4" s="1"/>
  <c r="J597" i="4"/>
  <c r="L597" i="4" s="1"/>
  <c r="M597" i="4" s="1"/>
  <c r="J598" i="4"/>
  <c r="L598" i="4" s="1"/>
  <c r="M598" i="4" s="1"/>
  <c r="J599" i="4"/>
  <c r="L599" i="4" s="1"/>
  <c r="M599" i="4" s="1"/>
  <c r="J600" i="4"/>
  <c r="L600" i="4" s="1"/>
  <c r="M600" i="4" s="1"/>
  <c r="J581" i="4"/>
  <c r="L581" i="4" s="1"/>
  <c r="M581" i="4" s="1"/>
  <c r="J562" i="4"/>
  <c r="L562" i="4" s="1"/>
  <c r="M562" i="4" s="1"/>
  <c r="J568" i="4"/>
  <c r="L568" i="4" s="1"/>
  <c r="M568" i="4" s="1"/>
  <c r="J552" i="4"/>
  <c r="L552" i="4" s="1"/>
  <c r="M552" i="4" s="1"/>
  <c r="J579" i="4"/>
  <c r="L579" i="4" s="1"/>
  <c r="M579" i="4" s="1"/>
  <c r="J554" i="4"/>
  <c r="L554" i="4" s="1"/>
  <c r="M554" i="4" s="1"/>
  <c r="J555" i="4"/>
  <c r="L555" i="4" s="1"/>
  <c r="M555" i="4" s="1"/>
  <c r="J556" i="4"/>
  <c r="L556" i="4" s="1"/>
  <c r="M556" i="4" s="1"/>
  <c r="J557" i="4"/>
  <c r="L557" i="4" s="1"/>
  <c r="M557" i="4" s="1"/>
  <c r="J558" i="4"/>
  <c r="L558" i="4" s="1"/>
  <c r="M558" i="4" s="1"/>
  <c r="J559" i="4"/>
  <c r="L559" i="4" s="1"/>
  <c r="M559" i="4" s="1"/>
  <c r="J560" i="4"/>
  <c r="L560" i="4" s="1"/>
  <c r="M560" i="4" s="1"/>
  <c r="J561" i="4"/>
  <c r="L561" i="4" s="1"/>
  <c r="M561" i="4" s="1"/>
  <c r="J563" i="4"/>
  <c r="L563" i="4" s="1"/>
  <c r="M563" i="4" s="1"/>
  <c r="J564" i="4"/>
  <c r="L564" i="4" s="1"/>
  <c r="M564" i="4" s="1"/>
  <c r="J565" i="4"/>
  <c r="L565" i="4" s="1"/>
  <c r="M565" i="4" s="1"/>
  <c r="J566" i="4"/>
  <c r="L566" i="4" s="1"/>
  <c r="M566" i="4" s="1"/>
  <c r="J567" i="4"/>
  <c r="L567" i="4" s="1"/>
  <c r="M567" i="4" s="1"/>
  <c r="J569" i="4"/>
  <c r="L569" i="4" s="1"/>
  <c r="M569" i="4" s="1"/>
  <c r="J570" i="4"/>
  <c r="L570" i="4" s="1"/>
  <c r="M570" i="4" s="1"/>
  <c r="J571" i="4"/>
  <c r="L571" i="4" s="1"/>
  <c r="M571" i="4" s="1"/>
  <c r="J572" i="4"/>
  <c r="L572" i="4" s="1"/>
  <c r="M572" i="4" s="1"/>
  <c r="J573" i="4"/>
  <c r="L573" i="4" s="1"/>
  <c r="M573" i="4" s="1"/>
  <c r="J574" i="4"/>
  <c r="L574" i="4" s="1"/>
  <c r="M574" i="4" s="1"/>
  <c r="J575" i="4"/>
  <c r="L575" i="4" s="1"/>
  <c r="M575" i="4" s="1"/>
  <c r="J576" i="4"/>
  <c r="L576" i="4" s="1"/>
  <c r="M576" i="4" s="1"/>
  <c r="J577" i="4"/>
  <c r="L577" i="4" s="1"/>
  <c r="M577" i="4" s="1"/>
  <c r="J578" i="4"/>
  <c r="L578" i="4" s="1"/>
  <c r="M578" i="4" s="1"/>
  <c r="J580" i="4"/>
  <c r="L580" i="4" s="1"/>
  <c r="M580" i="4" s="1"/>
  <c r="J547" i="4"/>
  <c r="L547" i="4" s="1"/>
  <c r="M547" i="4" s="1"/>
  <c r="J546" i="4"/>
  <c r="L546" i="4" s="1"/>
  <c r="M546" i="4" s="1"/>
  <c r="J545" i="4"/>
  <c r="L545" i="4" s="1"/>
  <c r="M545" i="4" s="1"/>
  <c r="J544" i="4"/>
  <c r="L544" i="4" s="1"/>
  <c r="M544" i="4" s="1"/>
  <c r="J543" i="4"/>
  <c r="L543" i="4" s="1"/>
  <c r="M543" i="4" s="1"/>
  <c r="J542" i="4"/>
  <c r="L542" i="4" s="1"/>
  <c r="M542" i="4" s="1"/>
  <c r="J541" i="4"/>
  <c r="L541" i="4" s="1"/>
  <c r="M541" i="4" s="1"/>
  <c r="J540" i="4"/>
  <c r="L540" i="4" s="1"/>
  <c r="M540" i="4" s="1"/>
  <c r="J539" i="4"/>
  <c r="L539" i="4" s="1"/>
  <c r="M539" i="4" s="1"/>
  <c r="J538" i="4"/>
  <c r="L538" i="4" s="1"/>
  <c r="M538" i="4" s="1"/>
  <c r="J537" i="4"/>
  <c r="L537" i="4" s="1"/>
  <c r="M537" i="4" s="1"/>
  <c r="J536" i="4"/>
  <c r="L536" i="4" s="1"/>
  <c r="M536" i="4" s="1"/>
  <c r="J535" i="4"/>
  <c r="L535" i="4" s="1"/>
  <c r="M535" i="4" s="1"/>
  <c r="J534" i="4"/>
  <c r="L534" i="4" s="1"/>
  <c r="M534" i="4" s="1"/>
  <c r="J533" i="4"/>
  <c r="L533" i="4" s="1"/>
  <c r="M533" i="4" s="1"/>
  <c r="J532" i="4"/>
  <c r="L532" i="4" s="1"/>
  <c r="M532" i="4" s="1"/>
  <c r="J531" i="4"/>
  <c r="L531" i="4" s="1"/>
  <c r="M531" i="4" s="1"/>
  <c r="J530" i="4"/>
  <c r="L530" i="4" s="1"/>
  <c r="M530" i="4" s="1"/>
  <c r="J529" i="4"/>
  <c r="L529" i="4" s="1"/>
  <c r="M529" i="4" s="1"/>
  <c r="J528" i="4"/>
  <c r="L528" i="4" s="1"/>
  <c r="M528" i="4" s="1"/>
  <c r="J527" i="4"/>
  <c r="L527" i="4" s="1"/>
  <c r="M527" i="4" s="1"/>
  <c r="J526" i="4"/>
  <c r="L526" i="4" s="1"/>
  <c r="M526" i="4" s="1"/>
  <c r="J525" i="4"/>
  <c r="L525" i="4" s="1"/>
  <c r="M525" i="4" s="1"/>
  <c r="J524" i="4"/>
  <c r="L524" i="4" s="1"/>
  <c r="M524" i="4" s="1"/>
  <c r="J523" i="4"/>
  <c r="L523" i="4" s="1"/>
  <c r="M523" i="4" s="1"/>
  <c r="J522" i="4"/>
  <c r="L522" i="4" s="1"/>
  <c r="M522" i="4" s="1"/>
  <c r="J521" i="4"/>
  <c r="L521" i="4" s="1"/>
  <c r="M521" i="4" s="1"/>
  <c r="J520" i="4"/>
  <c r="L520" i="4" s="1"/>
  <c r="M520" i="4" s="1"/>
  <c r="J519" i="4"/>
  <c r="L519" i="4" s="1"/>
  <c r="M519" i="4" s="1"/>
  <c r="J518" i="4"/>
  <c r="L518" i="4" s="1"/>
  <c r="M518" i="4" s="1"/>
  <c r="J517" i="4"/>
  <c r="L517" i="4" s="1"/>
  <c r="M517" i="4" s="1"/>
  <c r="J516" i="4"/>
  <c r="L516" i="4" s="1"/>
  <c r="M516" i="4" s="1"/>
  <c r="J515" i="4"/>
  <c r="L515" i="4" s="1"/>
  <c r="M515" i="4" s="1"/>
  <c r="J514" i="4"/>
  <c r="L514" i="4" s="1"/>
  <c r="M514" i="4" s="1"/>
  <c r="J513" i="4"/>
  <c r="L513" i="4" s="1"/>
  <c r="M513" i="4" s="1"/>
  <c r="J512" i="4"/>
  <c r="L512" i="4" s="1"/>
  <c r="M512" i="4" s="1"/>
  <c r="J511" i="4"/>
  <c r="L511" i="4" s="1"/>
  <c r="M511" i="4" s="1"/>
  <c r="J510" i="4"/>
  <c r="L510" i="4" s="1"/>
  <c r="M510" i="4" s="1"/>
  <c r="J509" i="4"/>
  <c r="L509" i="4" s="1"/>
  <c r="M509" i="4" s="1"/>
  <c r="J508" i="4"/>
  <c r="L508" i="4" s="1"/>
  <c r="M508" i="4" s="1"/>
  <c r="J507" i="4"/>
  <c r="L507" i="4" s="1"/>
  <c r="M507" i="4" s="1"/>
  <c r="J506" i="4"/>
  <c r="L506" i="4" s="1"/>
  <c r="M506" i="4" s="1"/>
  <c r="J505" i="4"/>
  <c r="L505" i="4" s="1"/>
  <c r="M505" i="4" s="1"/>
  <c r="J504" i="4"/>
  <c r="L504" i="4" s="1"/>
  <c r="M504" i="4" s="1"/>
  <c r="J503" i="4"/>
  <c r="L503" i="4" s="1"/>
  <c r="M503" i="4" s="1"/>
  <c r="J502" i="4"/>
  <c r="L502" i="4" s="1"/>
  <c r="M502" i="4" s="1"/>
  <c r="J501" i="4"/>
  <c r="L501" i="4" s="1"/>
  <c r="M501" i="4" s="1"/>
  <c r="J500" i="4"/>
  <c r="L500" i="4" s="1"/>
  <c r="M500" i="4" s="1"/>
  <c r="J499" i="4"/>
  <c r="L499" i="4" s="1"/>
  <c r="M499" i="4" s="1"/>
  <c r="J498" i="4"/>
  <c r="L498" i="4" s="1"/>
  <c r="M498" i="4" s="1"/>
  <c r="J497" i="4"/>
  <c r="L497" i="4" s="1"/>
  <c r="M497" i="4" s="1"/>
  <c r="J496" i="4"/>
  <c r="L496" i="4" s="1"/>
  <c r="M496" i="4" s="1"/>
  <c r="J495" i="4"/>
  <c r="L495" i="4" s="1"/>
  <c r="M495" i="4" s="1"/>
  <c r="J494" i="4"/>
  <c r="L494" i="4" s="1"/>
  <c r="M494" i="4" s="1"/>
  <c r="J493" i="4"/>
  <c r="L493" i="4" s="1"/>
  <c r="M493" i="4" s="1"/>
  <c r="J492" i="4"/>
  <c r="L492" i="4" s="1"/>
  <c r="M492" i="4" s="1"/>
  <c r="J491" i="4"/>
  <c r="L491" i="4" s="1"/>
  <c r="M491" i="4" s="1"/>
  <c r="J490" i="4"/>
  <c r="L490" i="4" s="1"/>
  <c r="M490" i="4" s="1"/>
  <c r="J489" i="4"/>
  <c r="L489" i="4" s="1"/>
  <c r="M489" i="4" s="1"/>
  <c r="J488" i="4"/>
  <c r="L488" i="4" s="1"/>
  <c r="M488" i="4" s="1"/>
  <c r="J487" i="4"/>
  <c r="L487" i="4" s="1"/>
  <c r="M487" i="4" s="1"/>
  <c r="J486" i="4"/>
  <c r="L486" i="4" s="1"/>
  <c r="M486" i="4" s="1"/>
  <c r="J485" i="4"/>
  <c r="L485" i="4" s="1"/>
  <c r="M485" i="4" s="1"/>
  <c r="J484" i="4"/>
  <c r="L484" i="4" s="1"/>
  <c r="M484" i="4" s="1"/>
  <c r="J483" i="4"/>
  <c r="L483" i="4" s="1"/>
  <c r="M483" i="4" s="1"/>
  <c r="J482" i="4"/>
  <c r="L482" i="4" s="1"/>
  <c r="M482" i="4" s="1"/>
  <c r="J481" i="4"/>
  <c r="L481" i="4" s="1"/>
  <c r="M481" i="4" s="1"/>
  <c r="J480" i="4"/>
  <c r="L480" i="4" s="1"/>
  <c r="M480" i="4" s="1"/>
  <c r="J479" i="4"/>
  <c r="L479" i="4" s="1"/>
  <c r="M479" i="4" s="1"/>
  <c r="J478" i="4"/>
  <c r="L478" i="4" s="1"/>
  <c r="M478" i="4" s="1"/>
  <c r="J477" i="4"/>
  <c r="L477" i="4" s="1"/>
  <c r="M477" i="4" s="1"/>
  <c r="J476" i="4"/>
  <c r="L476" i="4" s="1"/>
  <c r="M476" i="4" s="1"/>
  <c r="J475" i="4"/>
  <c r="L475" i="4" s="1"/>
  <c r="M475" i="4" s="1"/>
  <c r="J474" i="4"/>
  <c r="L474" i="4" s="1"/>
  <c r="M474" i="4" s="1"/>
  <c r="J473" i="4"/>
  <c r="L473" i="4" s="1"/>
  <c r="M473" i="4" s="1"/>
  <c r="J472" i="4"/>
  <c r="L472" i="4" s="1"/>
  <c r="M472" i="4" s="1"/>
  <c r="J471" i="4"/>
  <c r="L471" i="4" s="1"/>
  <c r="M471" i="4" s="1"/>
  <c r="J470" i="4"/>
  <c r="L470" i="4" s="1"/>
  <c r="M470" i="4" s="1"/>
  <c r="J469" i="4"/>
  <c r="L469" i="4" s="1"/>
  <c r="M469" i="4" s="1"/>
  <c r="J468" i="4"/>
  <c r="L468" i="4" s="1"/>
  <c r="M468" i="4" s="1"/>
  <c r="J467" i="4"/>
  <c r="L467" i="4" s="1"/>
  <c r="M467" i="4" s="1"/>
  <c r="J466" i="4"/>
  <c r="L466" i="4" s="1"/>
  <c r="M466" i="4" s="1"/>
  <c r="J465" i="4"/>
  <c r="L465" i="4" s="1"/>
  <c r="M465" i="4" s="1"/>
  <c r="J464" i="4"/>
  <c r="L464" i="4" s="1"/>
  <c r="M464" i="4" s="1"/>
  <c r="J463" i="4"/>
  <c r="L463" i="4" s="1"/>
  <c r="M463" i="4" s="1"/>
  <c r="J462" i="4"/>
  <c r="L462" i="4" s="1"/>
  <c r="M462" i="4" s="1"/>
  <c r="J461" i="4"/>
  <c r="L461" i="4" s="1"/>
  <c r="M461" i="4" s="1"/>
  <c r="J460" i="4"/>
  <c r="L460" i="4" s="1"/>
  <c r="M460" i="4" s="1"/>
  <c r="J459" i="4"/>
  <c r="L459" i="4" s="1"/>
  <c r="M459" i="4" s="1"/>
  <c r="J458" i="4"/>
  <c r="L458" i="4" s="1"/>
  <c r="M458" i="4" s="1"/>
  <c r="J457" i="4"/>
  <c r="L457" i="4" s="1"/>
  <c r="M457" i="4" s="1"/>
  <c r="J456" i="4"/>
  <c r="L456" i="4" s="1"/>
  <c r="M456" i="4" s="1"/>
  <c r="J455" i="4"/>
  <c r="L455" i="4" s="1"/>
  <c r="M455" i="4" s="1"/>
  <c r="J454" i="4"/>
  <c r="L454" i="4" s="1"/>
  <c r="M454" i="4" s="1"/>
  <c r="J453" i="4"/>
  <c r="L453" i="4" s="1"/>
  <c r="M453" i="4" s="1"/>
  <c r="J452" i="4"/>
  <c r="L452" i="4" s="1"/>
  <c r="M452" i="4" s="1"/>
  <c r="J451" i="4"/>
  <c r="L451" i="4" s="1"/>
  <c r="M451" i="4" s="1"/>
  <c r="J450" i="4"/>
  <c r="L450" i="4" s="1"/>
  <c r="M450" i="4" s="1"/>
  <c r="J449" i="4"/>
  <c r="L449" i="4" s="1"/>
  <c r="M449" i="4" s="1"/>
  <c r="J448" i="4"/>
  <c r="L448" i="4" s="1"/>
  <c r="M448" i="4" s="1"/>
  <c r="J447" i="4"/>
  <c r="L447" i="4" s="1"/>
  <c r="M447" i="4" s="1"/>
  <c r="J446" i="4"/>
  <c r="L446" i="4" s="1"/>
  <c r="M446" i="4" s="1"/>
  <c r="J445" i="4"/>
  <c r="L445" i="4" s="1"/>
  <c r="M445" i="4" s="1"/>
  <c r="J444" i="4"/>
  <c r="L444" i="4" s="1"/>
  <c r="M444" i="4" s="1"/>
  <c r="J443" i="4"/>
  <c r="L443" i="4" s="1"/>
  <c r="M443" i="4" s="1"/>
  <c r="J442" i="4"/>
  <c r="L442" i="4" s="1"/>
  <c r="M442" i="4" s="1"/>
  <c r="J441" i="4"/>
  <c r="L441" i="4" s="1"/>
  <c r="M441" i="4" s="1"/>
  <c r="J440" i="4"/>
  <c r="L440" i="4" s="1"/>
  <c r="M440" i="4" s="1"/>
  <c r="J439" i="4"/>
  <c r="L439" i="4" s="1"/>
  <c r="M439" i="4" s="1"/>
  <c r="J438" i="4"/>
  <c r="L438" i="4" s="1"/>
  <c r="M438" i="4" s="1"/>
  <c r="J437" i="4"/>
  <c r="L437" i="4" s="1"/>
  <c r="M437" i="4" s="1"/>
  <c r="J436" i="4"/>
  <c r="L436" i="4" s="1"/>
  <c r="M436" i="4" s="1"/>
  <c r="J435" i="4"/>
  <c r="L435" i="4" s="1"/>
  <c r="M435" i="4" s="1"/>
  <c r="J548" i="4" l="1"/>
  <c r="L548" i="4" s="1"/>
  <c r="M548" i="4" s="1"/>
  <c r="J549" i="4"/>
  <c r="L549" i="4" s="1"/>
  <c r="M549" i="4" s="1"/>
  <c r="J550" i="4"/>
  <c r="L550" i="4" s="1"/>
  <c r="M550" i="4" s="1"/>
  <c r="J551" i="4"/>
  <c r="L551" i="4" s="1"/>
  <c r="M551" i="4" s="1"/>
  <c r="J553" i="4"/>
  <c r="L553" i="4" s="1"/>
  <c r="M553" i="4" s="1"/>
  <c r="J434" i="4" l="1"/>
  <c r="L434" i="4" s="1"/>
  <c r="M434" i="4" s="1"/>
  <c r="J421" i="4"/>
  <c r="J422" i="4"/>
  <c r="L422" i="4" s="1"/>
  <c r="M422" i="4" s="1"/>
  <c r="J423" i="4"/>
  <c r="L423" i="4" s="1"/>
  <c r="M423" i="4" s="1"/>
  <c r="J424" i="4"/>
  <c r="L424" i="4" s="1"/>
  <c r="M424" i="4" s="1"/>
  <c r="J425" i="4"/>
  <c r="L425" i="4" s="1"/>
  <c r="M425" i="4" s="1"/>
  <c r="J426" i="4"/>
  <c r="L426" i="4" s="1"/>
  <c r="M426" i="4" s="1"/>
  <c r="J427" i="4"/>
  <c r="L427" i="4" s="1"/>
  <c r="M427" i="4" s="1"/>
  <c r="J428" i="4"/>
  <c r="L428" i="4" s="1"/>
  <c r="M428" i="4" s="1"/>
  <c r="J429" i="4"/>
  <c r="L429" i="4" s="1"/>
  <c r="M429" i="4" s="1"/>
  <c r="J430" i="4"/>
  <c r="L430" i="4" s="1"/>
  <c r="M430" i="4" s="1"/>
  <c r="J431" i="4"/>
  <c r="L431" i="4" s="1"/>
  <c r="M431" i="4" s="1"/>
  <c r="J432" i="4"/>
  <c r="L432" i="4" s="1"/>
  <c r="M432" i="4" s="1"/>
  <c r="J433" i="4"/>
  <c r="L433" i="4" s="1"/>
  <c r="M433" i="4" s="1"/>
  <c r="L421" i="4" l="1"/>
  <c r="J404" i="4"/>
  <c r="L404" i="4" s="1"/>
  <c r="M404" i="4" s="1"/>
  <c r="J405" i="4"/>
  <c r="L405" i="4" s="1"/>
  <c r="M405" i="4" s="1"/>
  <c r="J406" i="4"/>
  <c r="L406" i="4" s="1"/>
  <c r="M406" i="4" s="1"/>
  <c r="J407" i="4"/>
  <c r="L407" i="4" s="1"/>
  <c r="M407" i="4" s="1"/>
  <c r="J408" i="4"/>
  <c r="L408" i="4" s="1"/>
  <c r="M408" i="4" s="1"/>
  <c r="J409" i="4"/>
  <c r="L409" i="4" s="1"/>
  <c r="M409" i="4" s="1"/>
  <c r="J410" i="4"/>
  <c r="L410" i="4" s="1"/>
  <c r="M410" i="4" s="1"/>
  <c r="J411" i="4"/>
  <c r="L411" i="4" s="1"/>
  <c r="M411" i="4" s="1"/>
  <c r="J412" i="4"/>
  <c r="L412" i="4" s="1"/>
  <c r="M412" i="4" s="1"/>
  <c r="J413" i="4"/>
  <c r="L413" i="4" s="1"/>
  <c r="M413" i="4" s="1"/>
  <c r="J414" i="4"/>
  <c r="L414" i="4" s="1"/>
  <c r="M414" i="4" s="1"/>
  <c r="J415" i="4"/>
  <c r="L415" i="4" s="1"/>
  <c r="M415" i="4" s="1"/>
  <c r="J416" i="4"/>
  <c r="L416" i="4" s="1"/>
  <c r="M416" i="4" s="1"/>
  <c r="J417" i="4"/>
  <c r="L417" i="4" s="1"/>
  <c r="M417" i="4" s="1"/>
  <c r="J418" i="4"/>
  <c r="L418" i="4" s="1"/>
  <c r="M418" i="4" s="1"/>
  <c r="J419" i="4"/>
  <c r="L419" i="4" s="1"/>
  <c r="M419" i="4" s="1"/>
  <c r="J420" i="4"/>
  <c r="L420" i="4" s="1"/>
  <c r="M420" i="4" s="1"/>
  <c r="J403" i="4"/>
  <c r="L403" i="4" s="1"/>
  <c r="M403" i="4" s="1"/>
  <c r="J393" i="4"/>
  <c r="L393" i="4" s="1"/>
  <c r="M393" i="4" s="1"/>
  <c r="J394" i="4"/>
  <c r="L394" i="4" s="1"/>
  <c r="M394" i="4" s="1"/>
  <c r="J395" i="4"/>
  <c r="L395" i="4" s="1"/>
  <c r="M395" i="4" s="1"/>
  <c r="J396" i="4"/>
  <c r="L396" i="4" s="1"/>
  <c r="M396" i="4" s="1"/>
  <c r="J397" i="4"/>
  <c r="L397" i="4" s="1"/>
  <c r="M397" i="4" s="1"/>
  <c r="J398" i="4"/>
  <c r="L398" i="4" s="1"/>
  <c r="M398" i="4" s="1"/>
  <c r="J399" i="4"/>
  <c r="L399" i="4" s="1"/>
  <c r="M399" i="4" s="1"/>
  <c r="J400" i="4"/>
  <c r="L400" i="4" s="1"/>
  <c r="M400" i="4" s="1"/>
  <c r="J401" i="4"/>
  <c r="L401" i="4" s="1"/>
  <c r="M401" i="4" s="1"/>
  <c r="J402" i="4"/>
  <c r="L402" i="4" s="1"/>
  <c r="M402" i="4" s="1"/>
  <c r="J392" i="4"/>
  <c r="L392" i="4" s="1"/>
  <c r="M392" i="4" s="1"/>
  <c r="J391" i="4"/>
  <c r="L391" i="4" s="1"/>
  <c r="M391" i="4" s="1"/>
  <c r="J373" i="4"/>
  <c r="L373" i="4" s="1"/>
  <c r="M373" i="4" s="1"/>
  <c r="J379" i="4"/>
  <c r="L379" i="4" s="1"/>
  <c r="M379" i="4" s="1"/>
  <c r="J380" i="4"/>
  <c r="L380" i="4" s="1"/>
  <c r="M380" i="4" s="1"/>
  <c r="J370" i="4"/>
  <c r="L370" i="4" s="1"/>
  <c r="M370" i="4" s="1"/>
  <c r="J371" i="4"/>
  <c r="L371" i="4" s="1"/>
  <c r="M371" i="4" s="1"/>
  <c r="J372" i="4"/>
  <c r="L372" i="4" s="1"/>
  <c r="M372" i="4" s="1"/>
  <c r="J374" i="4"/>
  <c r="L374" i="4" s="1"/>
  <c r="M374" i="4" s="1"/>
  <c r="J375" i="4"/>
  <c r="L375" i="4" s="1"/>
  <c r="M375" i="4" s="1"/>
  <c r="J376" i="4"/>
  <c r="L376" i="4" s="1"/>
  <c r="M376" i="4" s="1"/>
  <c r="J367" i="4" l="1"/>
  <c r="L367" i="4" s="1"/>
  <c r="M367" i="4" s="1"/>
  <c r="J359" i="4" l="1"/>
  <c r="L359" i="4" s="1"/>
  <c r="M359" i="4" s="1"/>
  <c r="J355" i="4"/>
  <c r="L355" i="4" s="1"/>
  <c r="M355" i="4" s="1"/>
  <c r="J354" i="4"/>
  <c r="L354" i="4" s="1"/>
  <c r="M354" i="4" s="1"/>
  <c r="J349" i="4"/>
  <c r="L349" i="4" s="1"/>
  <c r="M349" i="4" s="1"/>
  <c r="J350" i="4"/>
  <c r="L350" i="4" s="1"/>
  <c r="M350" i="4" s="1"/>
  <c r="J351" i="4"/>
  <c r="L351" i="4" s="1"/>
  <c r="M351" i="4" s="1"/>
  <c r="J346" i="4"/>
  <c r="L346" i="4" s="1"/>
  <c r="M346" i="4" s="1"/>
  <c r="J345" i="4"/>
  <c r="L345" i="4" s="1"/>
  <c r="M345" i="4" s="1"/>
  <c r="J342" i="4"/>
  <c r="L342" i="4" s="1"/>
  <c r="M342" i="4" s="1"/>
  <c r="J336" i="4"/>
  <c r="L336" i="4" s="1"/>
  <c r="M336" i="4" s="1"/>
  <c r="J335" i="4"/>
  <c r="L335" i="4" s="1"/>
  <c r="M335" i="4" s="1"/>
  <c r="J333" i="4"/>
  <c r="L333" i="4" s="1"/>
  <c r="M333" i="4" s="1"/>
  <c r="J330" i="4"/>
  <c r="L330" i="4" s="1"/>
  <c r="M330" i="4" s="1"/>
  <c r="J331" i="4"/>
  <c r="L331" i="4" s="1"/>
  <c r="M331" i="4" s="1"/>
  <c r="J332" i="4"/>
  <c r="L332" i="4" s="1"/>
  <c r="M332" i="4" s="1"/>
  <c r="J338" i="4"/>
  <c r="L338" i="4" s="1"/>
  <c r="M338" i="4" s="1"/>
  <c r="J339" i="4"/>
  <c r="L339" i="4" s="1"/>
  <c r="M339" i="4" s="1"/>
  <c r="J390" i="4"/>
  <c r="L390" i="4" s="1"/>
  <c r="M390" i="4" s="1"/>
  <c r="J389" i="4"/>
  <c r="J388" i="4"/>
  <c r="J387" i="4"/>
  <c r="J386" i="4"/>
  <c r="J385" i="4"/>
  <c r="J384" i="4"/>
  <c r="J383" i="4"/>
  <c r="J382" i="4"/>
  <c r="J381" i="4"/>
  <c r="J378" i="4"/>
  <c r="L378" i="4" s="1"/>
  <c r="M378" i="4" s="1"/>
  <c r="J377" i="4"/>
  <c r="L377" i="4" s="1"/>
  <c r="M377" i="4" s="1"/>
  <c r="J369" i="4"/>
  <c r="J368" i="4"/>
  <c r="J366" i="4"/>
  <c r="J365" i="4"/>
  <c r="J364" i="4"/>
  <c r="J363" i="4"/>
  <c r="J362" i="4"/>
  <c r="J361" i="4"/>
  <c r="J360" i="4"/>
  <c r="J358" i="4"/>
  <c r="J357" i="4"/>
  <c r="J356" i="4"/>
  <c r="J353" i="4"/>
  <c r="J352" i="4"/>
  <c r="J348" i="4"/>
  <c r="J347" i="4"/>
  <c r="J344" i="4"/>
  <c r="J343" i="4"/>
  <c r="J341" i="4"/>
  <c r="J340" i="4"/>
  <c r="J337" i="4"/>
  <c r="J334" i="4"/>
  <c r="L389" i="4" l="1"/>
  <c r="M389" i="4" s="1"/>
  <c r="L388" i="4"/>
  <c r="M388" i="4" s="1"/>
  <c r="L387" i="4"/>
  <c r="M387" i="4" s="1"/>
  <c r="L386" i="4"/>
  <c r="M386" i="4" s="1"/>
  <c r="L385" i="4"/>
  <c r="M385" i="4" s="1"/>
  <c r="L384" i="4"/>
  <c r="M384" i="4" s="1"/>
  <c r="L383" i="4"/>
  <c r="M383" i="4" s="1"/>
  <c r="L382" i="4"/>
  <c r="M382" i="4" s="1"/>
  <c r="L381" i="4"/>
  <c r="M381" i="4" s="1"/>
  <c r="L369" i="4"/>
  <c r="M369" i="4" s="1"/>
  <c r="L368" i="4"/>
  <c r="M368" i="4" s="1"/>
  <c r="L366" i="4"/>
  <c r="M366" i="4" s="1"/>
  <c r="L365" i="4"/>
  <c r="M365" i="4" s="1"/>
  <c r="L364" i="4"/>
  <c r="M364" i="4" s="1"/>
  <c r="L363" i="4"/>
  <c r="M363" i="4" s="1"/>
  <c r="L362" i="4"/>
  <c r="M362" i="4" s="1"/>
  <c r="L361" i="4"/>
  <c r="M361" i="4" s="1"/>
  <c r="L360" i="4"/>
  <c r="M360" i="4" s="1"/>
  <c r="L358" i="4"/>
  <c r="M358" i="4" s="1"/>
  <c r="L357" i="4"/>
  <c r="M357" i="4" s="1"/>
  <c r="L356" i="4"/>
  <c r="M356" i="4" s="1"/>
  <c r="L353" i="4"/>
  <c r="M353" i="4" s="1"/>
  <c r="L352" i="4"/>
  <c r="M352" i="4" s="1"/>
  <c r="L348" i="4"/>
  <c r="M348" i="4" s="1"/>
  <c r="L347" i="4"/>
  <c r="M347" i="4" s="1"/>
  <c r="L344" i="4"/>
  <c r="M344" i="4" s="1"/>
  <c r="L343" i="4"/>
  <c r="M343" i="4" s="1"/>
  <c r="L341" i="4"/>
  <c r="M341" i="4" s="1"/>
  <c r="L340" i="4"/>
  <c r="M340" i="4" s="1"/>
  <c r="L337" i="4"/>
  <c r="M337" i="4" s="1"/>
  <c r="L334" i="4"/>
  <c r="M334" i="4" s="1"/>
  <c r="J271" i="4"/>
  <c r="J265" i="4"/>
  <c r="L265" i="4" s="1"/>
  <c r="M265" i="4" s="1"/>
  <c r="J263" i="4"/>
  <c r="L263" i="4" s="1"/>
  <c r="M263" i="4" s="1"/>
  <c r="J253" i="4" l="1"/>
  <c r="L253" i="4" s="1"/>
  <c r="M253" i="4" s="1"/>
  <c r="J246" i="4"/>
  <c r="L246" i="4" s="1"/>
  <c r="M246" i="4" s="1"/>
  <c r="J242" i="4"/>
  <c r="L242" i="4" s="1"/>
  <c r="M242" i="4" s="1"/>
  <c r="J232" i="4"/>
  <c r="L232" i="4" s="1"/>
  <c r="M232" i="4" s="1"/>
  <c r="J206" i="4"/>
  <c r="L206" i="4" s="1"/>
  <c r="M206" i="4" s="1"/>
  <c r="J172" i="4" l="1"/>
  <c r="L172" i="4" s="1"/>
  <c r="M172" i="4" s="1"/>
  <c r="J156" i="4"/>
  <c r="L156" i="4" s="1"/>
  <c r="M156" i="4" s="1"/>
  <c r="J161" i="4"/>
  <c r="L161" i="4" s="1"/>
  <c r="M161" i="4" s="1"/>
  <c r="J146" i="4"/>
  <c r="L146" i="4" s="1"/>
  <c r="M146" i="4" s="1"/>
  <c r="J147" i="4"/>
  <c r="L147" i="4" s="1"/>
  <c r="M147" i="4" s="1"/>
  <c r="J148" i="4"/>
  <c r="L148" i="4" s="1"/>
  <c r="M148" i="4" s="1"/>
  <c r="J149" i="4"/>
  <c r="L149" i="4" s="1"/>
  <c r="M149" i="4" s="1"/>
  <c r="J150" i="4"/>
  <c r="L150" i="4" s="1"/>
  <c r="M150" i="4" s="1"/>
  <c r="J151" i="4"/>
  <c r="L151" i="4" s="1"/>
  <c r="M151" i="4" s="1"/>
  <c r="J152" i="4"/>
  <c r="L152" i="4" s="1"/>
  <c r="M152" i="4" s="1"/>
  <c r="J153" i="4"/>
  <c r="L153" i="4" s="1"/>
  <c r="M153" i="4" s="1"/>
  <c r="J154" i="4"/>
  <c r="L154" i="4" s="1"/>
  <c r="M154" i="4" s="1"/>
  <c r="J155" i="4"/>
  <c r="L155" i="4" s="1"/>
  <c r="M155" i="4" s="1"/>
  <c r="J157" i="4"/>
  <c r="L157" i="4" s="1"/>
  <c r="M157" i="4" s="1"/>
  <c r="J158" i="4"/>
  <c r="L158" i="4" s="1"/>
  <c r="M158" i="4" s="1"/>
  <c r="J159" i="4"/>
  <c r="L159" i="4" s="1"/>
  <c r="M159" i="4" s="1"/>
  <c r="J160" i="4"/>
  <c r="L160" i="4" s="1"/>
  <c r="M160" i="4" s="1"/>
  <c r="J162" i="4"/>
  <c r="L162" i="4" s="1"/>
  <c r="M162" i="4" s="1"/>
  <c r="J163" i="4"/>
  <c r="L163" i="4" s="1"/>
  <c r="M163" i="4" s="1"/>
  <c r="J164" i="4"/>
  <c r="L164" i="4" s="1"/>
  <c r="M164" i="4" s="1"/>
  <c r="J165" i="4"/>
  <c r="L165" i="4" s="1"/>
  <c r="M165" i="4" s="1"/>
  <c r="J166" i="4"/>
  <c r="L166" i="4" s="1"/>
  <c r="M166" i="4" s="1"/>
  <c r="J167" i="4"/>
  <c r="L167" i="4" s="1"/>
  <c r="M167" i="4" s="1"/>
  <c r="J168" i="4"/>
  <c r="L168" i="4" s="1"/>
  <c r="M168" i="4" s="1"/>
  <c r="J169" i="4"/>
  <c r="L169" i="4" s="1"/>
  <c r="M169" i="4" s="1"/>
  <c r="J170" i="4"/>
  <c r="L170" i="4" s="1"/>
  <c r="M170" i="4" s="1"/>
  <c r="J171" i="4"/>
  <c r="L171" i="4" s="1"/>
  <c r="M171" i="4" s="1"/>
  <c r="J173" i="4"/>
  <c r="L173" i="4" s="1"/>
  <c r="M173" i="4" s="1"/>
  <c r="J174" i="4"/>
  <c r="L174" i="4" s="1"/>
  <c r="M174" i="4" s="1"/>
  <c r="J175" i="4"/>
  <c r="L175" i="4" s="1"/>
  <c r="M175" i="4" s="1"/>
  <c r="J176" i="4"/>
  <c r="L176" i="4" s="1"/>
  <c r="M176" i="4" s="1"/>
  <c r="J177" i="4"/>
  <c r="L177" i="4" s="1"/>
  <c r="M177" i="4" s="1"/>
  <c r="J178" i="4"/>
  <c r="L178" i="4" s="1"/>
  <c r="M178" i="4" s="1"/>
  <c r="J179" i="4"/>
  <c r="L179" i="4" s="1"/>
  <c r="M179" i="4" s="1"/>
  <c r="J180" i="4"/>
  <c r="L180" i="4" s="1"/>
  <c r="M180" i="4" s="1"/>
  <c r="J181" i="4"/>
  <c r="L181" i="4" s="1"/>
  <c r="M181" i="4" s="1"/>
  <c r="J182" i="4"/>
  <c r="L182" i="4" s="1"/>
  <c r="M182" i="4" s="1"/>
  <c r="J183" i="4"/>
  <c r="L183" i="4" s="1"/>
  <c r="M183" i="4" s="1"/>
  <c r="J184" i="4"/>
  <c r="L184" i="4" s="1"/>
  <c r="M184" i="4" s="1"/>
  <c r="J185" i="4"/>
  <c r="L185" i="4" s="1"/>
  <c r="M185" i="4" s="1"/>
  <c r="J186" i="4"/>
  <c r="L186" i="4" s="1"/>
  <c r="M186" i="4" s="1"/>
  <c r="J187" i="4"/>
  <c r="L187" i="4" s="1"/>
  <c r="M187" i="4" s="1"/>
  <c r="J188" i="4"/>
  <c r="L188" i="4" s="1"/>
  <c r="M188" i="4" s="1"/>
  <c r="J189" i="4"/>
  <c r="L189" i="4" s="1"/>
  <c r="M189" i="4" s="1"/>
  <c r="J190" i="4"/>
  <c r="L190" i="4" s="1"/>
  <c r="M190" i="4" s="1"/>
  <c r="J191" i="4"/>
  <c r="L191" i="4" s="1"/>
  <c r="M191" i="4" s="1"/>
  <c r="J192" i="4"/>
  <c r="L192" i="4" s="1"/>
  <c r="M192" i="4" s="1"/>
  <c r="J193" i="4"/>
  <c r="L193" i="4" s="1"/>
  <c r="M193" i="4" s="1"/>
  <c r="J194" i="4"/>
  <c r="L194" i="4" s="1"/>
  <c r="M194" i="4" s="1"/>
  <c r="J195" i="4"/>
  <c r="L195" i="4" s="1"/>
  <c r="M195" i="4" s="1"/>
  <c r="J196" i="4"/>
  <c r="L196" i="4" s="1"/>
  <c r="M196" i="4" s="1"/>
  <c r="J197" i="4"/>
  <c r="L197" i="4" s="1"/>
  <c r="M197" i="4" s="1"/>
  <c r="J198" i="4"/>
  <c r="L198" i="4" s="1"/>
  <c r="M198" i="4" s="1"/>
  <c r="J199" i="4"/>
  <c r="L199" i="4" s="1"/>
  <c r="M199" i="4" s="1"/>
  <c r="J200" i="4"/>
  <c r="L200" i="4" s="1"/>
  <c r="M200" i="4" s="1"/>
  <c r="J201" i="4"/>
  <c r="L201" i="4" s="1"/>
  <c r="M201" i="4" s="1"/>
  <c r="J203" i="4"/>
  <c r="L203" i="4" s="1"/>
  <c r="M203" i="4" s="1"/>
  <c r="J204" i="4"/>
  <c r="L204" i="4" s="1"/>
  <c r="M204" i="4" s="1"/>
  <c r="J205" i="4"/>
  <c r="L205" i="4" s="1"/>
  <c r="M205" i="4" s="1"/>
  <c r="J207" i="4"/>
  <c r="L207" i="4" s="1"/>
  <c r="M207" i="4" s="1"/>
  <c r="J208" i="4"/>
  <c r="L208" i="4" s="1"/>
  <c r="M208" i="4" s="1"/>
  <c r="J209" i="4"/>
  <c r="L209" i="4" s="1"/>
  <c r="M209" i="4" s="1"/>
  <c r="J210" i="4"/>
  <c r="L210" i="4" s="1"/>
  <c r="M210" i="4" s="1"/>
  <c r="J211" i="4"/>
  <c r="L211" i="4" s="1"/>
  <c r="J212" i="4"/>
  <c r="L212" i="4" s="1"/>
  <c r="M212" i="4" s="1"/>
  <c r="J213" i="4"/>
  <c r="L213" i="4" s="1"/>
  <c r="M213" i="4" s="1"/>
  <c r="J214" i="4"/>
  <c r="L214" i="4" s="1"/>
  <c r="M214" i="4" s="1"/>
  <c r="J215" i="4"/>
  <c r="L215" i="4" s="1"/>
  <c r="M215" i="4" s="1"/>
  <c r="J216" i="4"/>
  <c r="L216" i="4" s="1"/>
  <c r="M216" i="4" s="1"/>
  <c r="J217" i="4"/>
  <c r="L217" i="4" s="1"/>
  <c r="M217" i="4" s="1"/>
  <c r="J218" i="4"/>
  <c r="L218" i="4" s="1"/>
  <c r="M218" i="4" s="1"/>
  <c r="J219" i="4"/>
  <c r="L219" i="4" s="1"/>
  <c r="M219" i="4" s="1"/>
  <c r="J220" i="4"/>
  <c r="L220" i="4" s="1"/>
  <c r="M220" i="4" s="1"/>
  <c r="J221" i="4"/>
  <c r="L221" i="4" s="1"/>
  <c r="M221" i="4" s="1"/>
  <c r="J222" i="4"/>
  <c r="L222" i="4" s="1"/>
  <c r="M222" i="4" s="1"/>
  <c r="J223" i="4"/>
  <c r="L223" i="4" s="1"/>
  <c r="M223" i="4" s="1"/>
  <c r="J224" i="4"/>
  <c r="L224" i="4" s="1"/>
  <c r="M224" i="4" s="1"/>
  <c r="J225" i="4"/>
  <c r="L225" i="4" s="1"/>
  <c r="M225" i="4" s="1"/>
  <c r="J226" i="4"/>
  <c r="L226" i="4" s="1"/>
  <c r="M226" i="4" s="1"/>
  <c r="J227" i="4"/>
  <c r="L227" i="4" s="1"/>
  <c r="M227" i="4" s="1"/>
  <c r="J228" i="4"/>
  <c r="L228" i="4" s="1"/>
  <c r="M228" i="4" s="1"/>
  <c r="J229" i="4"/>
  <c r="L229" i="4" s="1"/>
  <c r="M229" i="4" s="1"/>
  <c r="J230" i="4"/>
  <c r="L230" i="4" s="1"/>
  <c r="M230" i="4" s="1"/>
  <c r="J231" i="4"/>
  <c r="L231" i="4" s="1"/>
  <c r="M231" i="4" s="1"/>
  <c r="J233" i="4"/>
  <c r="L233" i="4" s="1"/>
  <c r="M233" i="4" s="1"/>
  <c r="J234" i="4"/>
  <c r="L234" i="4" s="1"/>
  <c r="M234" i="4" s="1"/>
  <c r="J235" i="4"/>
  <c r="L235" i="4" s="1"/>
  <c r="M235" i="4" s="1"/>
  <c r="J236" i="4"/>
  <c r="L236" i="4" s="1"/>
  <c r="M236" i="4" s="1"/>
  <c r="J237" i="4"/>
  <c r="L237" i="4" s="1"/>
  <c r="M237" i="4" s="1"/>
  <c r="J238" i="4"/>
  <c r="L238" i="4" s="1"/>
  <c r="M238" i="4" s="1"/>
  <c r="J239" i="4"/>
  <c r="L239" i="4" s="1"/>
  <c r="M239" i="4" s="1"/>
  <c r="J240" i="4"/>
  <c r="L240" i="4" s="1"/>
  <c r="M240" i="4" s="1"/>
  <c r="J241" i="4"/>
  <c r="L241" i="4" s="1"/>
  <c r="M241" i="4" s="1"/>
  <c r="J243" i="4"/>
  <c r="L243" i="4" s="1"/>
  <c r="M243" i="4" s="1"/>
  <c r="J244" i="4"/>
  <c r="L244" i="4" s="1"/>
  <c r="M244" i="4" s="1"/>
  <c r="J245" i="4"/>
  <c r="L245" i="4" s="1"/>
  <c r="M245" i="4" s="1"/>
  <c r="J247" i="4"/>
  <c r="L247" i="4" s="1"/>
  <c r="M247" i="4" s="1"/>
  <c r="J248" i="4"/>
  <c r="L248" i="4" s="1"/>
  <c r="M248" i="4" s="1"/>
  <c r="J249" i="4"/>
  <c r="L249" i="4" s="1"/>
  <c r="M249" i="4" s="1"/>
  <c r="J250" i="4"/>
  <c r="L250" i="4" s="1"/>
  <c r="M250" i="4" s="1"/>
  <c r="J251" i="4"/>
  <c r="L251" i="4" s="1"/>
  <c r="M251" i="4" s="1"/>
  <c r="J252" i="4"/>
  <c r="L252" i="4" s="1"/>
  <c r="M252" i="4" s="1"/>
  <c r="J254" i="4"/>
  <c r="L254" i="4" s="1"/>
  <c r="M254" i="4" s="1"/>
  <c r="J255" i="4"/>
  <c r="L255" i="4" s="1"/>
  <c r="M255" i="4" s="1"/>
  <c r="J256" i="4"/>
  <c r="L256" i="4" s="1"/>
  <c r="M256" i="4" s="1"/>
  <c r="J257" i="4"/>
  <c r="L257" i="4" s="1"/>
  <c r="M257" i="4" s="1"/>
  <c r="J258" i="4"/>
  <c r="L258" i="4" s="1"/>
  <c r="M258" i="4" s="1"/>
  <c r="J259" i="4"/>
  <c r="L259" i="4" s="1"/>
  <c r="M259" i="4" s="1"/>
  <c r="J260" i="4"/>
  <c r="L260" i="4" s="1"/>
  <c r="M260" i="4" s="1"/>
  <c r="J261" i="4"/>
  <c r="L261" i="4" s="1"/>
  <c r="M261" i="4" s="1"/>
  <c r="J262" i="4"/>
  <c r="L262" i="4" s="1"/>
  <c r="M262" i="4" s="1"/>
  <c r="J264" i="4"/>
  <c r="L264" i="4" s="1"/>
  <c r="M264" i="4" s="1"/>
  <c r="J266" i="4"/>
  <c r="L266" i="4" s="1"/>
  <c r="M266" i="4" s="1"/>
  <c r="J267" i="4"/>
  <c r="L267" i="4" s="1"/>
  <c r="M267" i="4" s="1"/>
  <c r="J268" i="4"/>
  <c r="L268" i="4" s="1"/>
  <c r="M268" i="4" s="1"/>
  <c r="J269" i="4"/>
  <c r="L269" i="4" s="1"/>
  <c r="M269" i="4" s="1"/>
  <c r="J270" i="4"/>
  <c r="L270" i="4" s="1"/>
  <c r="M270" i="4" s="1"/>
  <c r="L271" i="4"/>
  <c r="M271" i="4" s="1"/>
  <c r="J272" i="4"/>
  <c r="L272" i="4" s="1"/>
  <c r="M272" i="4" s="1"/>
  <c r="J273" i="4"/>
  <c r="L273" i="4" s="1"/>
  <c r="M273" i="4" s="1"/>
  <c r="J274" i="4"/>
  <c r="L274" i="4" s="1"/>
  <c r="M274" i="4" s="1"/>
  <c r="J275" i="4"/>
  <c r="L275" i="4" s="1"/>
  <c r="M275" i="4" s="1"/>
  <c r="J276" i="4"/>
  <c r="L276" i="4" s="1"/>
  <c r="M276" i="4" s="1"/>
  <c r="J277" i="4"/>
  <c r="L277" i="4" s="1"/>
  <c r="M277" i="4" s="1"/>
  <c r="J278" i="4"/>
  <c r="L278" i="4" s="1"/>
  <c r="M278" i="4" s="1"/>
  <c r="J279" i="4"/>
  <c r="L279" i="4" s="1"/>
  <c r="M279" i="4" s="1"/>
  <c r="J280" i="4"/>
  <c r="L280" i="4" s="1"/>
  <c r="M280" i="4" s="1"/>
  <c r="J281" i="4"/>
  <c r="L281" i="4" s="1"/>
  <c r="M281" i="4" s="1"/>
  <c r="J282" i="4"/>
  <c r="L282" i="4" s="1"/>
  <c r="M282" i="4" s="1"/>
  <c r="J283" i="4"/>
  <c r="L283" i="4" s="1"/>
  <c r="M283" i="4" s="1"/>
  <c r="J284" i="4"/>
  <c r="L284" i="4" s="1"/>
  <c r="M284" i="4" s="1"/>
  <c r="J285" i="4"/>
  <c r="L285" i="4" s="1"/>
  <c r="M285" i="4" s="1"/>
  <c r="J286" i="4"/>
  <c r="L286" i="4" s="1"/>
  <c r="M286" i="4" s="1"/>
  <c r="J287" i="4"/>
  <c r="L287" i="4" s="1"/>
  <c r="M287" i="4" s="1"/>
  <c r="J288" i="4"/>
  <c r="L288" i="4" s="1"/>
  <c r="M288" i="4" s="1"/>
  <c r="J289" i="4"/>
  <c r="L289" i="4" s="1"/>
  <c r="M289" i="4" s="1"/>
  <c r="J290" i="4"/>
  <c r="L290" i="4" s="1"/>
  <c r="M290" i="4" s="1"/>
  <c r="J291" i="4"/>
  <c r="L291" i="4" s="1"/>
  <c r="M291" i="4" s="1"/>
  <c r="J292" i="4"/>
  <c r="L292" i="4" s="1"/>
  <c r="M292" i="4" s="1"/>
  <c r="J293" i="4"/>
  <c r="L293" i="4" s="1"/>
  <c r="M293" i="4" s="1"/>
  <c r="J294" i="4"/>
  <c r="L294" i="4" s="1"/>
  <c r="M294" i="4" s="1"/>
  <c r="J295" i="4"/>
  <c r="L295" i="4" s="1"/>
  <c r="M295" i="4" s="1"/>
  <c r="J296" i="4"/>
  <c r="L296" i="4" s="1"/>
  <c r="M296" i="4" s="1"/>
  <c r="J297" i="4"/>
  <c r="L297" i="4" s="1"/>
  <c r="M297" i="4" s="1"/>
  <c r="J298" i="4"/>
  <c r="L298" i="4" s="1"/>
  <c r="M298" i="4" s="1"/>
  <c r="J299" i="4"/>
  <c r="L299" i="4" s="1"/>
  <c r="M299" i="4" s="1"/>
  <c r="J300" i="4"/>
  <c r="L300" i="4" s="1"/>
  <c r="M300" i="4" s="1"/>
  <c r="J301" i="4"/>
  <c r="L301" i="4" s="1"/>
  <c r="M301" i="4" s="1"/>
  <c r="J302" i="4"/>
  <c r="L302" i="4" s="1"/>
  <c r="M302" i="4" s="1"/>
  <c r="J303" i="4"/>
  <c r="L303" i="4" s="1"/>
  <c r="M303" i="4" s="1"/>
  <c r="J304" i="4"/>
  <c r="L304" i="4" s="1"/>
  <c r="M304" i="4" s="1"/>
  <c r="J305" i="4"/>
  <c r="L305" i="4" s="1"/>
  <c r="M305" i="4" s="1"/>
  <c r="J306" i="4"/>
  <c r="L306" i="4" s="1"/>
  <c r="M306" i="4" s="1"/>
  <c r="J307" i="4"/>
  <c r="L307" i="4" s="1"/>
  <c r="M307" i="4" s="1"/>
  <c r="J308" i="4"/>
  <c r="L308" i="4" s="1"/>
  <c r="M308" i="4" s="1"/>
  <c r="J309" i="4"/>
  <c r="L309" i="4" s="1"/>
  <c r="M309" i="4" s="1"/>
  <c r="J310" i="4"/>
  <c r="L310" i="4" s="1"/>
  <c r="M310" i="4" s="1"/>
  <c r="J311" i="4"/>
  <c r="L311" i="4" s="1"/>
  <c r="M311" i="4" s="1"/>
  <c r="J312" i="4"/>
  <c r="L312" i="4" s="1"/>
  <c r="M312" i="4" s="1"/>
  <c r="J313" i="4"/>
  <c r="L313" i="4" s="1"/>
  <c r="M313" i="4" s="1"/>
  <c r="J314" i="4"/>
  <c r="L314" i="4" s="1"/>
  <c r="M314" i="4" s="1"/>
  <c r="J315" i="4"/>
  <c r="L315" i="4" s="1"/>
  <c r="M315" i="4" s="1"/>
  <c r="J316" i="4"/>
  <c r="L316" i="4" s="1"/>
  <c r="M316" i="4" s="1"/>
  <c r="J317" i="4"/>
  <c r="L317" i="4" s="1"/>
  <c r="M317" i="4" s="1"/>
  <c r="J318" i="4"/>
  <c r="L318" i="4" s="1"/>
  <c r="M318" i="4" s="1"/>
  <c r="J319" i="4"/>
  <c r="L319" i="4" s="1"/>
  <c r="M319" i="4" s="1"/>
  <c r="J320" i="4"/>
  <c r="L320" i="4" s="1"/>
  <c r="M320" i="4" s="1"/>
  <c r="J321" i="4"/>
  <c r="L321" i="4" s="1"/>
  <c r="M321" i="4" s="1"/>
  <c r="J322" i="4"/>
  <c r="L322" i="4" s="1"/>
  <c r="M322" i="4" s="1"/>
  <c r="J323" i="4"/>
  <c r="L323" i="4" s="1"/>
  <c r="M323" i="4" s="1"/>
  <c r="J324" i="4"/>
  <c r="L324" i="4" s="1"/>
  <c r="M324" i="4" s="1"/>
  <c r="J325" i="4"/>
  <c r="L325" i="4" s="1"/>
  <c r="M325" i="4" s="1"/>
  <c r="J326" i="4"/>
  <c r="L326" i="4" s="1"/>
  <c r="M326" i="4" s="1"/>
  <c r="J327" i="4"/>
  <c r="L327" i="4" s="1"/>
  <c r="M327" i="4" s="1"/>
  <c r="J328" i="4"/>
  <c r="L328" i="4" s="1"/>
  <c r="M328" i="4" s="1"/>
  <c r="J329" i="4"/>
  <c r="L329" i="4" s="1"/>
  <c r="M329" i="4" s="1"/>
  <c r="J2" i="4"/>
  <c r="J3" i="4"/>
  <c r="J4" i="4"/>
  <c r="J5" i="4"/>
  <c r="J6" i="4"/>
  <c r="J7" i="4"/>
  <c r="L7" i="4" s="1"/>
  <c r="M7" i="4" s="1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L24" i="4" s="1"/>
  <c r="M24" i="4" s="1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L94" i="4" s="1"/>
  <c r="M94" i="4" s="1"/>
  <c r="J95" i="4"/>
  <c r="L95" i="4" s="1"/>
  <c r="M95" i="4" s="1"/>
  <c r="J96" i="4"/>
  <c r="L96" i="4" s="1"/>
  <c r="M96" i="4" s="1"/>
  <c r="J97" i="4"/>
  <c r="L97" i="4" s="1"/>
  <c r="M97" i="4" s="1"/>
  <c r="J98" i="4"/>
  <c r="L98" i="4" s="1"/>
  <c r="M98" i="4" s="1"/>
  <c r="J99" i="4"/>
  <c r="L99" i="4" s="1"/>
  <c r="M99" i="4" s="1"/>
  <c r="J100" i="4"/>
  <c r="L100" i="4" s="1"/>
  <c r="M100" i="4" s="1"/>
  <c r="J101" i="4"/>
  <c r="L101" i="4" s="1"/>
  <c r="M101" i="4" s="1"/>
  <c r="J102" i="4"/>
  <c r="L102" i="4" s="1"/>
  <c r="M102" i="4" s="1"/>
  <c r="J103" i="4"/>
  <c r="L103" i="4" s="1"/>
  <c r="M103" i="4" s="1"/>
  <c r="J104" i="4"/>
  <c r="L104" i="4" s="1"/>
  <c r="M104" i="4" s="1"/>
  <c r="J105" i="4"/>
  <c r="L105" i="4" s="1"/>
  <c r="M105" i="4" s="1"/>
  <c r="J106" i="4"/>
  <c r="L106" i="4" s="1"/>
  <c r="M106" i="4" s="1"/>
  <c r="J107" i="4"/>
  <c r="L107" i="4" s="1"/>
  <c r="M107" i="4" s="1"/>
  <c r="J108" i="4"/>
  <c r="L108" i="4" s="1"/>
  <c r="M108" i="4" s="1"/>
  <c r="J109" i="4"/>
  <c r="L109" i="4" s="1"/>
  <c r="M109" i="4" s="1"/>
  <c r="J110" i="4"/>
  <c r="L110" i="4" s="1"/>
  <c r="M110" i="4" s="1"/>
  <c r="J111" i="4"/>
  <c r="L111" i="4" s="1"/>
  <c r="M111" i="4" s="1"/>
  <c r="J112" i="4"/>
  <c r="L112" i="4" s="1"/>
  <c r="M112" i="4" s="1"/>
  <c r="J113" i="4"/>
  <c r="L113" i="4" s="1"/>
  <c r="M113" i="4" s="1"/>
  <c r="J114" i="4"/>
  <c r="L114" i="4" s="1"/>
  <c r="M114" i="4" s="1"/>
  <c r="J115" i="4"/>
  <c r="L115" i="4" s="1"/>
  <c r="M115" i="4" s="1"/>
  <c r="J116" i="4"/>
  <c r="L116" i="4" s="1"/>
  <c r="M116" i="4" s="1"/>
  <c r="J117" i="4"/>
  <c r="L117" i="4" s="1"/>
  <c r="M117" i="4" s="1"/>
  <c r="J118" i="4"/>
  <c r="L118" i="4" s="1"/>
  <c r="M118" i="4" s="1"/>
  <c r="J119" i="4"/>
  <c r="L119" i="4" s="1"/>
  <c r="M119" i="4" s="1"/>
  <c r="J120" i="4"/>
  <c r="L120" i="4" s="1"/>
  <c r="M120" i="4" s="1"/>
  <c r="J121" i="4"/>
  <c r="L121" i="4" s="1"/>
  <c r="M121" i="4" s="1"/>
  <c r="J122" i="4"/>
  <c r="L122" i="4" s="1"/>
  <c r="M122" i="4" s="1"/>
  <c r="J123" i="4"/>
  <c r="L123" i="4" s="1"/>
  <c r="M123" i="4" s="1"/>
  <c r="J124" i="4"/>
  <c r="L124" i="4" s="1"/>
  <c r="M124" i="4" s="1"/>
  <c r="J125" i="4"/>
  <c r="L125" i="4" s="1"/>
  <c r="M125" i="4" s="1"/>
  <c r="J126" i="4"/>
  <c r="L126" i="4" s="1"/>
  <c r="M126" i="4" s="1"/>
  <c r="J127" i="4"/>
  <c r="L127" i="4" s="1"/>
  <c r="M127" i="4" s="1"/>
  <c r="J128" i="4"/>
  <c r="L128" i="4" s="1"/>
  <c r="M128" i="4" s="1"/>
  <c r="J129" i="4"/>
  <c r="L129" i="4" s="1"/>
  <c r="M129" i="4" s="1"/>
  <c r="J130" i="4"/>
  <c r="L130" i="4" s="1"/>
  <c r="M130" i="4" s="1"/>
  <c r="J131" i="4"/>
  <c r="L131" i="4" s="1"/>
  <c r="M131" i="4" s="1"/>
  <c r="J132" i="4"/>
  <c r="L132" i="4" s="1"/>
  <c r="M132" i="4" s="1"/>
  <c r="J133" i="4"/>
  <c r="L133" i="4" s="1"/>
  <c r="M133" i="4" s="1"/>
  <c r="J134" i="4"/>
  <c r="L134" i="4" s="1"/>
  <c r="M134" i="4" s="1"/>
  <c r="J135" i="4"/>
  <c r="L135" i="4" s="1"/>
  <c r="M135" i="4" s="1"/>
  <c r="J136" i="4"/>
  <c r="L136" i="4" s="1"/>
  <c r="M136" i="4" s="1"/>
  <c r="J137" i="4"/>
  <c r="L137" i="4" s="1"/>
  <c r="M137" i="4" s="1"/>
  <c r="J138" i="4"/>
  <c r="L138" i="4" s="1"/>
  <c r="M138" i="4" s="1"/>
  <c r="J139" i="4"/>
  <c r="L139" i="4" s="1"/>
  <c r="M139" i="4" s="1"/>
  <c r="J140" i="4"/>
  <c r="L140" i="4" s="1"/>
  <c r="M140" i="4" s="1"/>
  <c r="J141" i="4"/>
  <c r="L141" i="4" s="1"/>
  <c r="M141" i="4" s="1"/>
  <c r="J142" i="4"/>
  <c r="L142" i="4" s="1"/>
  <c r="M142" i="4" s="1"/>
  <c r="J143" i="4"/>
  <c r="L143" i="4" s="1"/>
  <c r="M143" i="4" s="1"/>
  <c r="J144" i="4"/>
  <c r="L144" i="4" s="1"/>
  <c r="M144" i="4" s="1"/>
  <c r="J145" i="4"/>
  <c r="L145" i="4" s="1"/>
  <c r="M145" i="4" s="1"/>
  <c r="L93" i="4" l="1"/>
  <c r="M93" i="4" s="1"/>
  <c r="L72" i="4"/>
  <c r="M72" i="4" s="1"/>
  <c r="L73" i="4"/>
  <c r="M73" i="4" s="1"/>
  <c r="L74" i="4"/>
  <c r="M74" i="4" s="1"/>
  <c r="L75" i="4"/>
  <c r="M75" i="4" s="1"/>
  <c r="L76" i="4"/>
  <c r="M76" i="4" s="1"/>
  <c r="L77" i="4"/>
  <c r="M77" i="4" s="1"/>
  <c r="L78" i="4"/>
  <c r="M78" i="4" s="1"/>
  <c r="L79" i="4"/>
  <c r="M79" i="4" s="1"/>
  <c r="L80" i="4"/>
  <c r="M80" i="4" s="1"/>
  <c r="L81" i="4"/>
  <c r="M81" i="4" s="1"/>
  <c r="L82" i="4"/>
  <c r="M82" i="4" s="1"/>
  <c r="L83" i="4"/>
  <c r="M83" i="4" s="1"/>
  <c r="L84" i="4"/>
  <c r="M84" i="4" s="1"/>
  <c r="L85" i="4"/>
  <c r="M85" i="4" s="1"/>
  <c r="L86" i="4"/>
  <c r="M86" i="4" s="1"/>
  <c r="L87" i="4"/>
  <c r="M87" i="4" s="1"/>
  <c r="L88" i="4"/>
  <c r="M88" i="4" s="1"/>
  <c r="L89" i="4"/>
  <c r="M89" i="4" s="1"/>
  <c r="L90" i="4"/>
  <c r="M90" i="4" s="1"/>
  <c r="L91" i="4"/>
  <c r="M91" i="4" s="1"/>
  <c r="L92" i="4"/>
  <c r="M92" i="4" s="1"/>
  <c r="L71" i="4"/>
  <c r="M71" i="4" s="1"/>
  <c r="L55" i="4"/>
  <c r="M55" i="4" s="1"/>
  <c r="L56" i="4"/>
  <c r="M56" i="4" s="1"/>
  <c r="L57" i="4"/>
  <c r="M57" i="4" s="1"/>
  <c r="L58" i="4"/>
  <c r="M58" i="4" s="1"/>
  <c r="L59" i="4"/>
  <c r="M59" i="4" s="1"/>
  <c r="L60" i="4"/>
  <c r="M60" i="4" s="1"/>
  <c r="L61" i="4"/>
  <c r="M61" i="4" s="1"/>
  <c r="L62" i="4"/>
  <c r="M62" i="4" s="1"/>
  <c r="L63" i="4"/>
  <c r="M63" i="4" s="1"/>
  <c r="L64" i="4"/>
  <c r="M64" i="4" s="1"/>
  <c r="L65" i="4"/>
  <c r="M65" i="4" s="1"/>
  <c r="L66" i="4"/>
  <c r="M66" i="4" s="1"/>
  <c r="L67" i="4"/>
  <c r="M67" i="4" s="1"/>
  <c r="L68" i="4"/>
  <c r="M68" i="4" s="1"/>
  <c r="L69" i="4"/>
  <c r="M69" i="4" s="1"/>
  <c r="L70" i="4"/>
  <c r="M70" i="4" s="1"/>
  <c r="L38" i="4"/>
  <c r="M38" i="4" s="1"/>
  <c r="L39" i="4"/>
  <c r="M39" i="4" s="1"/>
  <c r="L40" i="4"/>
  <c r="M40" i="4" s="1"/>
  <c r="L41" i="4"/>
  <c r="M41" i="4" s="1"/>
  <c r="L42" i="4"/>
  <c r="M42" i="4" s="1"/>
  <c r="L43" i="4"/>
  <c r="M43" i="4" s="1"/>
  <c r="L44" i="4"/>
  <c r="M44" i="4" s="1"/>
  <c r="L45" i="4"/>
  <c r="M45" i="4" s="1"/>
  <c r="L46" i="4"/>
  <c r="M46" i="4" s="1"/>
  <c r="L47" i="4"/>
  <c r="M47" i="4" s="1"/>
  <c r="L48" i="4"/>
  <c r="M48" i="4" s="1"/>
  <c r="L49" i="4"/>
  <c r="M49" i="4" s="1"/>
  <c r="L50" i="4"/>
  <c r="M50" i="4" s="1"/>
  <c r="L51" i="4"/>
  <c r="M51" i="4" s="1"/>
  <c r="L52" i="4"/>
  <c r="M52" i="4" s="1"/>
  <c r="L53" i="4"/>
  <c r="M53" i="4" s="1"/>
  <c r="L54" i="4"/>
  <c r="M54" i="4" s="1"/>
  <c r="L37" i="4" l="1"/>
  <c r="M37" i="4" s="1"/>
  <c r="L36" i="4"/>
  <c r="M36" i="4" s="1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29" i="4"/>
  <c r="M29" i="4" s="1"/>
  <c r="L28" i="4"/>
  <c r="M28" i="4" s="1"/>
  <c r="L27" i="4"/>
  <c r="M27" i="4" s="1"/>
  <c r="L26" i="4"/>
  <c r="M26" i="4" s="1"/>
  <c r="L25" i="4"/>
  <c r="M25" i="4" s="1"/>
  <c r="L23" i="4"/>
  <c r="M23" i="4" s="1"/>
  <c r="L22" i="4"/>
  <c r="M22" i="4" s="1"/>
  <c r="L21" i="4"/>
  <c r="M21" i="4" s="1"/>
  <c r="L20" i="4"/>
  <c r="M20" i="4" s="1"/>
  <c r="L19" i="4"/>
  <c r="M19" i="4" s="1"/>
  <c r="L18" i="4"/>
  <c r="M18" i="4" s="1"/>
  <c r="L17" i="4"/>
  <c r="M17" i="4" s="1"/>
  <c r="L16" i="4"/>
  <c r="M16" i="4" s="1"/>
  <c r="L15" i="4"/>
  <c r="M15" i="4" s="1"/>
  <c r="L14" i="4"/>
  <c r="M14" i="4" s="1"/>
  <c r="L13" i="4"/>
  <c r="M13" i="4" s="1"/>
  <c r="L12" i="4"/>
  <c r="M12" i="4" s="1"/>
  <c r="L11" i="4"/>
  <c r="M11" i="4" s="1"/>
  <c r="L10" i="4"/>
  <c r="M10" i="4" s="1"/>
  <c r="L9" i="4"/>
  <c r="M9" i="4" s="1"/>
  <c r="L8" i="4"/>
  <c r="M8" i="4" s="1"/>
  <c r="L6" i="4"/>
  <c r="M6" i="4" s="1"/>
  <c r="L5" i="4"/>
  <c r="M5" i="4" s="1"/>
  <c r="L4" i="4"/>
  <c r="M4" i="4" s="1"/>
  <c r="L3" i="4"/>
  <c r="M3" i="4" s="1"/>
  <c r="L2" i="4"/>
  <c r="M2" i="4" s="1"/>
  <c r="H1411" i="3"/>
  <c r="J1411" i="3" s="1"/>
  <c r="K1411" i="3" s="1"/>
  <c r="H1412" i="3"/>
  <c r="J1412" i="3" s="1"/>
  <c r="K1412" i="3" s="1"/>
  <c r="H1413" i="3"/>
  <c r="J1413" i="3" s="1"/>
  <c r="K1413" i="3" s="1"/>
  <c r="H1414" i="3"/>
  <c r="J1414" i="3" s="1"/>
  <c r="K1414" i="3" s="1"/>
  <c r="H1415" i="3"/>
  <c r="J1415" i="3" s="1"/>
  <c r="K1415" i="3" s="1"/>
  <c r="H1416" i="3"/>
  <c r="J1416" i="3" s="1"/>
  <c r="K1416" i="3" s="1"/>
  <c r="H1410" i="3"/>
  <c r="J1410" i="3" s="1"/>
  <c r="K1410" i="3" s="1"/>
  <c r="H1460" i="3"/>
  <c r="J1460" i="3" s="1"/>
  <c r="K1460" i="3" s="1"/>
  <c r="H1451" i="3"/>
  <c r="H1452" i="3"/>
  <c r="J1452" i="3" s="1"/>
  <c r="K1452" i="3" s="1"/>
  <c r="H1453" i="3"/>
  <c r="J1453" i="3" s="1"/>
  <c r="K1453" i="3" s="1"/>
  <c r="H1454" i="3"/>
  <c r="J1454" i="3" s="1"/>
  <c r="K1454" i="3" s="1"/>
  <c r="H1455" i="3"/>
  <c r="J1455" i="3" s="1"/>
  <c r="K1455" i="3" s="1"/>
  <c r="H1456" i="3"/>
  <c r="J1456" i="3" s="1"/>
  <c r="K1456" i="3" s="1"/>
  <c r="H1457" i="3"/>
  <c r="J1457" i="3" s="1"/>
  <c r="K1457" i="3" s="1"/>
  <c r="H1458" i="3"/>
  <c r="J1458" i="3" s="1"/>
  <c r="K1458" i="3" s="1"/>
  <c r="H1459" i="3"/>
  <c r="J1459" i="3" s="1"/>
  <c r="K1459" i="3" s="1"/>
  <c r="H1461" i="3"/>
  <c r="J1461" i="3" s="1"/>
  <c r="K1461" i="3" s="1"/>
  <c r="H1462" i="3"/>
  <c r="J1462" i="3" s="1"/>
  <c r="K1462" i="3" s="1"/>
  <c r="H1463" i="3"/>
  <c r="J1463" i="3" s="1"/>
  <c r="K1463" i="3" s="1"/>
  <c r="H1464" i="3"/>
  <c r="J1464" i="3" s="1"/>
  <c r="K1464" i="3" s="1"/>
  <c r="H1465" i="3"/>
  <c r="J1465" i="3" s="1"/>
  <c r="K1465" i="3" s="1"/>
  <c r="H1466" i="3"/>
  <c r="J1466" i="3" s="1"/>
  <c r="K1466" i="3" s="1"/>
  <c r="H1467" i="3"/>
  <c r="J1467" i="3" s="1"/>
  <c r="K1467" i="3" s="1"/>
  <c r="H1468" i="3"/>
  <c r="J1468" i="3" s="1"/>
  <c r="K1468" i="3" s="1"/>
  <c r="H1469" i="3"/>
  <c r="J1469" i="3" s="1"/>
  <c r="K1469" i="3" s="1"/>
  <c r="H1470" i="3"/>
  <c r="J1470" i="3" s="1"/>
  <c r="K1470" i="3" s="1"/>
  <c r="H1471" i="3"/>
  <c r="J1471" i="3" s="1"/>
  <c r="K1471" i="3" s="1"/>
  <c r="H1472" i="3"/>
  <c r="J1472" i="3" s="1"/>
  <c r="K1472" i="3" s="1"/>
  <c r="H1473" i="3"/>
  <c r="J1473" i="3" s="1"/>
  <c r="K1473" i="3" s="1"/>
  <c r="H1474" i="3"/>
  <c r="J1474" i="3" s="1"/>
  <c r="K1474" i="3" s="1"/>
  <c r="H1475" i="3"/>
  <c r="J1475" i="3" s="1"/>
  <c r="H1476" i="3"/>
  <c r="J1476" i="3" s="1"/>
  <c r="K1476" i="3" s="1"/>
  <c r="H1477" i="3"/>
  <c r="J1477" i="3" s="1"/>
  <c r="K1477" i="3" s="1"/>
  <c r="H1478" i="3"/>
  <c r="J1478" i="3" s="1"/>
  <c r="K1478" i="3" s="1"/>
  <c r="H1479" i="3"/>
  <c r="J1479" i="3" s="1"/>
  <c r="K1479" i="3" s="1"/>
  <c r="H1480" i="3"/>
  <c r="J1480" i="3" s="1"/>
  <c r="K1480" i="3" s="1"/>
  <c r="H1481" i="3"/>
  <c r="J1481" i="3" s="1"/>
  <c r="K1481" i="3" s="1"/>
  <c r="H1482" i="3"/>
  <c r="J1482" i="3" s="1"/>
  <c r="K1482" i="3" s="1"/>
  <c r="H1483" i="3"/>
  <c r="J1483" i="3" s="1"/>
  <c r="K1483" i="3" s="1"/>
  <c r="H1484" i="3"/>
  <c r="J1484" i="3" s="1"/>
  <c r="K1484" i="3" s="1"/>
  <c r="H1485" i="3"/>
  <c r="J1485" i="3" s="1"/>
  <c r="K1485" i="3" s="1"/>
  <c r="H1486" i="3"/>
  <c r="J1486" i="3" s="1"/>
  <c r="K1486" i="3" s="1"/>
  <c r="H1487" i="3"/>
  <c r="J1487" i="3" s="1"/>
  <c r="K1487" i="3" s="1"/>
  <c r="H1488" i="3"/>
  <c r="J1488" i="3" s="1"/>
  <c r="K1488" i="3" s="1"/>
  <c r="H1489" i="3"/>
  <c r="J1489" i="3" s="1"/>
  <c r="K1489" i="3" s="1"/>
  <c r="H1490" i="3"/>
  <c r="J1490" i="3" s="1"/>
  <c r="K1490" i="3" s="1"/>
  <c r="H1491" i="3"/>
  <c r="J1491" i="3" s="1"/>
  <c r="K1491" i="3" s="1"/>
  <c r="H1492" i="3"/>
  <c r="J1492" i="3" s="1"/>
  <c r="K1492" i="3" s="1"/>
  <c r="H1493" i="3"/>
  <c r="J1493" i="3" s="1"/>
  <c r="K1493" i="3" s="1"/>
  <c r="H1494" i="3"/>
  <c r="J1494" i="3" s="1"/>
  <c r="K1494" i="3" s="1"/>
  <c r="H1495" i="3"/>
  <c r="J1495" i="3" s="1"/>
  <c r="K1495" i="3" s="1"/>
  <c r="H1496" i="3"/>
  <c r="J1496" i="3" s="1"/>
  <c r="K1496" i="3" s="1"/>
  <c r="H1497" i="3"/>
  <c r="J1497" i="3" s="1"/>
  <c r="K1497" i="3" s="1"/>
  <c r="H1498" i="3"/>
  <c r="J1498" i="3" s="1"/>
  <c r="K1498" i="3" s="1"/>
  <c r="H1499" i="3"/>
  <c r="J1499" i="3" s="1"/>
  <c r="K1499" i="3" s="1"/>
  <c r="H1500" i="3"/>
  <c r="J1500" i="3" s="1"/>
  <c r="K1500" i="3" s="1"/>
  <c r="H1501" i="3"/>
  <c r="J1501" i="3" s="1"/>
  <c r="K1501" i="3" s="1"/>
  <c r="H1502" i="3"/>
  <c r="J1502" i="3" s="1"/>
  <c r="K1502" i="3" s="1"/>
  <c r="H1503" i="3"/>
  <c r="J1503" i="3" s="1"/>
  <c r="K1503" i="3" s="1"/>
  <c r="H1504" i="3"/>
  <c r="J1504" i="3" s="1"/>
  <c r="K1504" i="3" s="1"/>
  <c r="H1505" i="3"/>
  <c r="J1505" i="3" s="1"/>
  <c r="K1505" i="3" s="1"/>
  <c r="H1506" i="3"/>
  <c r="J1506" i="3" s="1"/>
  <c r="K1506" i="3" s="1"/>
  <c r="H1507" i="3"/>
  <c r="J1507" i="3" s="1"/>
  <c r="K1507" i="3" s="1"/>
  <c r="H1508" i="3"/>
  <c r="J1508" i="3" s="1"/>
  <c r="K1508" i="3" s="1"/>
  <c r="H1509" i="3"/>
  <c r="J1509" i="3" s="1"/>
  <c r="K1509" i="3" s="1"/>
  <c r="H1510" i="3"/>
  <c r="J1510" i="3" s="1"/>
  <c r="K1510" i="3" s="1"/>
  <c r="H1511" i="3"/>
  <c r="J1511" i="3" s="1"/>
  <c r="K1511" i="3" s="1"/>
  <c r="H1512" i="3"/>
  <c r="J1512" i="3" s="1"/>
  <c r="K1512" i="3" s="1"/>
  <c r="H1513" i="3"/>
  <c r="J1513" i="3" s="1"/>
  <c r="K1513" i="3" s="1"/>
  <c r="H1514" i="3"/>
  <c r="J1514" i="3" s="1"/>
  <c r="K1514" i="3" s="1"/>
  <c r="H1515" i="3"/>
  <c r="J1515" i="3" s="1"/>
  <c r="K1515" i="3" s="1"/>
  <c r="H1516" i="3"/>
  <c r="J1516" i="3" s="1"/>
  <c r="K1516" i="3" s="1"/>
  <c r="H1517" i="3"/>
  <c r="J1517" i="3" s="1"/>
  <c r="K1517" i="3" s="1"/>
  <c r="H1518" i="3"/>
  <c r="J1518" i="3" s="1"/>
  <c r="K1518" i="3" s="1"/>
  <c r="H1519" i="3"/>
  <c r="J1519" i="3" s="1"/>
  <c r="K1519" i="3" s="1"/>
  <c r="H1520" i="3"/>
  <c r="J1520" i="3" s="1"/>
  <c r="K1520" i="3" s="1"/>
  <c r="H1521" i="3"/>
  <c r="J1521" i="3" s="1"/>
  <c r="K1521" i="3" s="1"/>
  <c r="H1522" i="3"/>
  <c r="J1522" i="3" s="1"/>
  <c r="K1522" i="3" s="1"/>
  <c r="H1523" i="3"/>
  <c r="J1523" i="3" s="1"/>
  <c r="K1523" i="3" s="1"/>
  <c r="H1524" i="3"/>
  <c r="J1524" i="3" s="1"/>
  <c r="K1524" i="3" s="1"/>
  <c r="H1525" i="3"/>
  <c r="J1525" i="3" s="1"/>
  <c r="K1525" i="3" s="1"/>
  <c r="H1526" i="3"/>
  <c r="J1526" i="3" s="1"/>
  <c r="K1526" i="3" s="1"/>
  <c r="H1527" i="3"/>
  <c r="J1527" i="3" s="1"/>
  <c r="K1527" i="3" s="1"/>
  <c r="H1528" i="3"/>
  <c r="J1528" i="3" s="1"/>
  <c r="K1528" i="3" s="1"/>
  <c r="H1529" i="3"/>
  <c r="J1529" i="3" s="1"/>
  <c r="K1529" i="3" s="1"/>
  <c r="H1530" i="3"/>
  <c r="J1530" i="3" s="1"/>
  <c r="K1530" i="3" s="1"/>
  <c r="H1531" i="3"/>
  <c r="J1531" i="3" s="1"/>
  <c r="K1531" i="3" s="1"/>
  <c r="H1532" i="3"/>
  <c r="J1532" i="3" s="1"/>
  <c r="K1532" i="3" s="1"/>
  <c r="H1533" i="3"/>
  <c r="J1533" i="3" s="1"/>
  <c r="K1533" i="3" s="1"/>
  <c r="H1534" i="3"/>
  <c r="J1534" i="3" s="1"/>
  <c r="K1534" i="3" s="1"/>
  <c r="H1535" i="3"/>
  <c r="J1535" i="3" s="1"/>
  <c r="K1535" i="3" s="1"/>
  <c r="H1536" i="3"/>
  <c r="J1536" i="3" s="1"/>
  <c r="K1536" i="3" s="1"/>
  <c r="H1537" i="3"/>
  <c r="J1537" i="3" s="1"/>
  <c r="K1537" i="3" s="1"/>
  <c r="H1538" i="3"/>
  <c r="J1538" i="3" s="1"/>
  <c r="K1538" i="3" s="1"/>
  <c r="H1539" i="3"/>
  <c r="J1539" i="3" s="1"/>
  <c r="K1539" i="3" s="1"/>
  <c r="H1540" i="3"/>
  <c r="J1540" i="3" s="1"/>
  <c r="K1540" i="3" s="1"/>
  <c r="H1541" i="3"/>
  <c r="J1541" i="3" s="1"/>
  <c r="K1541" i="3" s="1"/>
  <c r="H1542" i="3"/>
  <c r="J1542" i="3" s="1"/>
  <c r="K1542" i="3" s="1"/>
  <c r="H1543" i="3"/>
  <c r="J1543" i="3" s="1"/>
  <c r="K1543" i="3" s="1"/>
  <c r="J1451" i="3" l="1"/>
  <c r="K1451" i="3" s="1"/>
  <c r="H1384" i="3"/>
  <c r="J1384" i="3" s="1"/>
  <c r="K1384" i="3" s="1"/>
  <c r="H1385" i="3"/>
  <c r="J1385" i="3" s="1"/>
  <c r="K1385" i="3" s="1"/>
  <c r="H1386" i="3"/>
  <c r="J1386" i="3" s="1"/>
  <c r="K1386" i="3" s="1"/>
  <c r="H1387" i="3"/>
  <c r="J1387" i="3" s="1"/>
  <c r="K1387" i="3" s="1"/>
  <c r="H1388" i="3"/>
  <c r="J1388" i="3" s="1"/>
  <c r="K1388" i="3" s="1"/>
  <c r="H1389" i="3"/>
  <c r="J1389" i="3" s="1"/>
  <c r="K1389" i="3" s="1"/>
  <c r="H1390" i="3"/>
  <c r="J1390" i="3" s="1"/>
  <c r="K1390" i="3" s="1"/>
  <c r="H1391" i="3"/>
  <c r="J1391" i="3" s="1"/>
  <c r="K1391" i="3" s="1"/>
  <c r="H1392" i="3"/>
  <c r="J1392" i="3" s="1"/>
  <c r="K1392" i="3" s="1"/>
  <c r="H1393" i="3"/>
  <c r="J1393" i="3" s="1"/>
  <c r="K1393" i="3" s="1"/>
  <c r="H1394" i="3"/>
  <c r="J1394" i="3" s="1"/>
  <c r="K1394" i="3" s="1"/>
  <c r="H1395" i="3"/>
  <c r="J1395" i="3" s="1"/>
  <c r="K1395" i="3" s="1"/>
  <c r="H1396" i="3"/>
  <c r="J1396" i="3" s="1"/>
  <c r="K1396" i="3" s="1"/>
  <c r="H1397" i="3"/>
  <c r="J1397" i="3" s="1"/>
  <c r="K1397" i="3" s="1"/>
  <c r="H1398" i="3"/>
  <c r="J1398" i="3" s="1"/>
  <c r="K1398" i="3" s="1"/>
  <c r="H1399" i="3"/>
  <c r="J1399" i="3" s="1"/>
  <c r="K1399" i="3" s="1"/>
  <c r="H1400" i="3"/>
  <c r="J1400" i="3" s="1"/>
  <c r="K1400" i="3" s="1"/>
  <c r="H1401" i="3"/>
  <c r="J1401" i="3" s="1"/>
  <c r="K1401" i="3" s="1"/>
  <c r="H1402" i="3"/>
  <c r="J1402" i="3" s="1"/>
  <c r="K1402" i="3" s="1"/>
  <c r="H1403" i="3"/>
  <c r="J1403" i="3" s="1"/>
  <c r="K1403" i="3" s="1"/>
  <c r="H1404" i="3"/>
  <c r="J1404" i="3" s="1"/>
  <c r="K1404" i="3" s="1"/>
  <c r="H1405" i="3"/>
  <c r="J1405" i="3" s="1"/>
  <c r="K1405" i="3" s="1"/>
  <c r="H1406" i="3"/>
  <c r="J1406" i="3" s="1"/>
  <c r="K1406" i="3" s="1"/>
  <c r="H1407" i="3"/>
  <c r="J1407" i="3" s="1"/>
  <c r="K1407" i="3" s="1"/>
  <c r="H1408" i="3"/>
  <c r="J1408" i="3" s="1"/>
  <c r="K1408" i="3" s="1"/>
  <c r="H1409" i="3"/>
  <c r="J1409" i="3" s="1"/>
  <c r="K1409" i="3" s="1"/>
  <c r="H1417" i="3"/>
  <c r="J1417" i="3" s="1"/>
  <c r="K1417" i="3" s="1"/>
  <c r="H1418" i="3"/>
  <c r="J1418" i="3" s="1"/>
  <c r="K1418" i="3" s="1"/>
  <c r="H1419" i="3"/>
  <c r="J1419" i="3" s="1"/>
  <c r="K1419" i="3" s="1"/>
  <c r="H1420" i="3"/>
  <c r="J1420" i="3" s="1"/>
  <c r="K1420" i="3" s="1"/>
  <c r="H1421" i="3"/>
  <c r="J1421" i="3" s="1"/>
  <c r="K1421" i="3" s="1"/>
  <c r="H1422" i="3"/>
  <c r="J1422" i="3" s="1"/>
  <c r="K1422" i="3" s="1"/>
  <c r="H1423" i="3"/>
  <c r="J1423" i="3" s="1"/>
  <c r="K1423" i="3" s="1"/>
  <c r="H1424" i="3"/>
  <c r="J1424" i="3" s="1"/>
  <c r="K1424" i="3" s="1"/>
  <c r="H1425" i="3"/>
  <c r="J1425" i="3" s="1"/>
  <c r="K1425" i="3" s="1"/>
  <c r="H1426" i="3"/>
  <c r="J1426" i="3" s="1"/>
  <c r="K1426" i="3" s="1"/>
  <c r="H1427" i="3"/>
  <c r="J1427" i="3" s="1"/>
  <c r="K1427" i="3" s="1"/>
  <c r="H1428" i="3"/>
  <c r="J1428" i="3" s="1"/>
  <c r="K1428" i="3" s="1"/>
  <c r="H1429" i="3"/>
  <c r="J1429" i="3" s="1"/>
  <c r="K1429" i="3" s="1"/>
  <c r="H1430" i="3"/>
  <c r="J1430" i="3" s="1"/>
  <c r="K1430" i="3" s="1"/>
  <c r="H1431" i="3"/>
  <c r="J1431" i="3" s="1"/>
  <c r="K1431" i="3" s="1"/>
  <c r="H1432" i="3"/>
  <c r="J1432" i="3" s="1"/>
  <c r="K1432" i="3" s="1"/>
  <c r="H1433" i="3"/>
  <c r="J1433" i="3" s="1"/>
  <c r="K1433" i="3" s="1"/>
  <c r="H1434" i="3"/>
  <c r="J1434" i="3" s="1"/>
  <c r="K1434" i="3" s="1"/>
  <c r="H1435" i="3"/>
  <c r="J1435" i="3" s="1"/>
  <c r="K1435" i="3" s="1"/>
  <c r="H1436" i="3"/>
  <c r="J1436" i="3" s="1"/>
  <c r="K1436" i="3" s="1"/>
  <c r="H1437" i="3"/>
  <c r="J1437" i="3" s="1"/>
  <c r="K1437" i="3" s="1"/>
  <c r="H1438" i="3"/>
  <c r="J1438" i="3" s="1"/>
  <c r="K1438" i="3" s="1"/>
  <c r="H1439" i="3"/>
  <c r="J1439" i="3" s="1"/>
  <c r="K1439" i="3" s="1"/>
  <c r="H1440" i="3"/>
  <c r="J1440" i="3" s="1"/>
  <c r="K1440" i="3" s="1"/>
  <c r="H1441" i="3"/>
  <c r="J1441" i="3" s="1"/>
  <c r="K1441" i="3" s="1"/>
  <c r="H1442" i="3"/>
  <c r="J1442" i="3" s="1"/>
  <c r="K1442" i="3" s="1"/>
  <c r="H1443" i="3"/>
  <c r="J1443" i="3" s="1"/>
  <c r="K1443" i="3" s="1"/>
  <c r="H1444" i="3"/>
  <c r="J1444" i="3" s="1"/>
  <c r="K1444" i="3" s="1"/>
  <c r="H1445" i="3"/>
  <c r="J1445" i="3" s="1"/>
  <c r="K1445" i="3" s="1"/>
  <c r="H1446" i="3"/>
  <c r="J1446" i="3" s="1"/>
  <c r="K1446" i="3" s="1"/>
  <c r="H1447" i="3"/>
  <c r="J1447" i="3" s="1"/>
  <c r="K1447" i="3" s="1"/>
  <c r="H1448" i="3"/>
  <c r="J1448" i="3" s="1"/>
  <c r="K1448" i="3" s="1"/>
  <c r="H1449" i="3"/>
  <c r="J1449" i="3" s="1"/>
  <c r="K1449" i="3" s="1"/>
  <c r="H1450" i="3"/>
  <c r="J1450" i="3" s="1"/>
  <c r="K1450" i="3" s="1"/>
  <c r="H1383" i="3"/>
  <c r="J1383" i="3" s="1"/>
  <c r="K1383" i="3" s="1"/>
  <c r="H1322" i="3" l="1"/>
  <c r="J1322" i="3" s="1"/>
  <c r="K1322" i="3" s="1"/>
  <c r="H1331" i="3"/>
  <c r="J1331" i="3" s="1"/>
  <c r="K1331" i="3" s="1"/>
  <c r="H1364" i="3"/>
  <c r="J1364" i="3" s="1"/>
  <c r="K1364" i="3" s="1"/>
  <c r="H1365" i="3"/>
  <c r="J1365" i="3" s="1"/>
  <c r="K1365" i="3" s="1"/>
  <c r="H1366" i="3"/>
  <c r="J1366" i="3" s="1"/>
  <c r="K1366" i="3" s="1"/>
  <c r="H1367" i="3"/>
  <c r="H1368" i="3"/>
  <c r="J1368" i="3" s="1"/>
  <c r="K1368" i="3" s="1"/>
  <c r="H1369" i="3"/>
  <c r="J1369" i="3" s="1"/>
  <c r="K1369" i="3" s="1"/>
  <c r="H1370" i="3"/>
  <c r="J1370" i="3" s="1"/>
  <c r="K1370" i="3" s="1"/>
  <c r="H1371" i="3"/>
  <c r="J1371" i="3" s="1"/>
  <c r="K1371" i="3" s="1"/>
  <c r="H1372" i="3"/>
  <c r="J1372" i="3" s="1"/>
  <c r="K1372" i="3" s="1"/>
  <c r="H1373" i="3"/>
  <c r="J1373" i="3" s="1"/>
  <c r="K1373" i="3" s="1"/>
  <c r="H1374" i="3"/>
  <c r="J1374" i="3" s="1"/>
  <c r="K1374" i="3" s="1"/>
  <c r="H1375" i="3"/>
  <c r="J1375" i="3" s="1"/>
  <c r="K1375" i="3" s="1"/>
  <c r="H1376" i="3"/>
  <c r="J1376" i="3" s="1"/>
  <c r="K1376" i="3" s="1"/>
  <c r="H1377" i="3"/>
  <c r="J1377" i="3" s="1"/>
  <c r="K1377" i="3" s="1"/>
  <c r="H1378" i="3"/>
  <c r="J1378" i="3" s="1"/>
  <c r="K1378" i="3" s="1"/>
  <c r="H1379" i="3"/>
  <c r="J1379" i="3" s="1"/>
  <c r="K1379" i="3" s="1"/>
  <c r="H1380" i="3"/>
  <c r="J1380" i="3" s="1"/>
  <c r="K1380" i="3" s="1"/>
  <c r="H1381" i="3"/>
  <c r="J1381" i="3" s="1"/>
  <c r="K1381" i="3" s="1"/>
  <c r="H1382" i="3"/>
  <c r="J1382" i="3" s="1"/>
  <c r="K1382" i="3" s="1"/>
  <c r="H1363" i="3"/>
  <c r="J1363" i="3" s="1"/>
  <c r="K1363" i="3" s="1"/>
  <c r="H1351" i="3"/>
  <c r="J1351" i="3" s="1"/>
  <c r="K1351" i="3" s="1"/>
  <c r="H1346" i="3"/>
  <c r="J1346" i="3" s="1"/>
  <c r="K1346" i="3" s="1"/>
  <c r="H1347" i="3"/>
  <c r="J1347" i="3" s="1"/>
  <c r="K1347" i="3" s="1"/>
  <c r="H1348" i="3"/>
  <c r="J1348" i="3" s="1"/>
  <c r="K1348" i="3" s="1"/>
  <c r="H1349" i="3"/>
  <c r="J1349" i="3" s="1"/>
  <c r="K1349" i="3" s="1"/>
  <c r="H1350" i="3"/>
  <c r="J1350" i="3" s="1"/>
  <c r="K1350" i="3" s="1"/>
  <c r="H1352" i="3"/>
  <c r="J1352" i="3" s="1"/>
  <c r="K1352" i="3" s="1"/>
  <c r="H1353" i="3"/>
  <c r="J1353" i="3" s="1"/>
  <c r="K1353" i="3" s="1"/>
  <c r="H1354" i="3"/>
  <c r="J1354" i="3" s="1"/>
  <c r="K1354" i="3" s="1"/>
  <c r="H1355" i="3"/>
  <c r="J1355" i="3" s="1"/>
  <c r="K1355" i="3" s="1"/>
  <c r="H1356" i="3"/>
  <c r="J1356" i="3" s="1"/>
  <c r="K1356" i="3" s="1"/>
  <c r="H1357" i="3"/>
  <c r="J1357" i="3" s="1"/>
  <c r="K1357" i="3" s="1"/>
  <c r="H1358" i="3"/>
  <c r="J1358" i="3" s="1"/>
  <c r="K1358" i="3" s="1"/>
  <c r="H1359" i="3"/>
  <c r="J1359" i="3" s="1"/>
  <c r="K1359" i="3" s="1"/>
  <c r="H1360" i="3"/>
  <c r="J1360" i="3" s="1"/>
  <c r="K1360" i="3" s="1"/>
  <c r="H1361" i="3"/>
  <c r="J1361" i="3" s="1"/>
  <c r="K1361" i="3" s="1"/>
  <c r="H1362" i="3"/>
  <c r="J1362" i="3" s="1"/>
  <c r="K1362" i="3" s="1"/>
  <c r="H1345" i="3"/>
  <c r="J1345" i="3" s="1"/>
  <c r="K1345" i="3" s="1"/>
  <c r="H1297" i="3"/>
  <c r="J1297" i="3" s="1"/>
  <c r="K1297" i="3" s="1"/>
  <c r="J1367" i="3" l="1"/>
  <c r="K1367" i="3" s="1"/>
  <c r="H1269" i="3"/>
  <c r="J1269" i="3" s="1"/>
  <c r="K1269" i="3" s="1"/>
  <c r="H1128" i="3"/>
  <c r="J1128" i="3" s="1"/>
  <c r="K1128" i="3" s="1"/>
  <c r="H1127" i="3"/>
  <c r="J1127" i="3" s="1"/>
  <c r="K1127" i="3" s="1"/>
  <c r="H1136" i="3" l="1"/>
  <c r="J1136" i="3" s="1"/>
  <c r="K1136" i="3" s="1"/>
  <c r="H1110" i="3" l="1"/>
  <c r="J1110" i="3" s="1"/>
  <c r="K1110" i="3" s="1"/>
  <c r="H1079" i="3"/>
  <c r="J1079" i="3" s="1"/>
  <c r="K1079" i="3" s="1"/>
  <c r="H982" i="3"/>
  <c r="J982" i="3" s="1"/>
  <c r="K982" i="3" s="1"/>
  <c r="H983" i="3"/>
  <c r="J983" i="3" s="1"/>
  <c r="K983" i="3" s="1"/>
  <c r="H984" i="3"/>
  <c r="J984" i="3" s="1"/>
  <c r="K984" i="3" s="1"/>
  <c r="H985" i="3"/>
  <c r="J985" i="3" s="1"/>
  <c r="K985" i="3" s="1"/>
  <c r="H986" i="3"/>
  <c r="J986" i="3" s="1"/>
  <c r="K986" i="3" s="1"/>
  <c r="H987" i="3"/>
  <c r="J987" i="3" s="1"/>
  <c r="K987" i="3" s="1"/>
  <c r="H988" i="3"/>
  <c r="J988" i="3" s="1"/>
  <c r="K988" i="3" s="1"/>
  <c r="H989" i="3"/>
  <c r="J989" i="3" s="1"/>
  <c r="K989" i="3" s="1"/>
  <c r="H990" i="3"/>
  <c r="J990" i="3" s="1"/>
  <c r="K990" i="3" s="1"/>
  <c r="H991" i="3"/>
  <c r="J991" i="3" s="1"/>
  <c r="K991" i="3" s="1"/>
  <c r="H992" i="3"/>
  <c r="J992" i="3" s="1"/>
  <c r="K992" i="3" s="1"/>
  <c r="H993" i="3"/>
  <c r="J993" i="3" s="1"/>
  <c r="K993" i="3" s="1"/>
  <c r="H994" i="3"/>
  <c r="J994" i="3" s="1"/>
  <c r="K994" i="3" s="1"/>
  <c r="H995" i="3"/>
  <c r="J995" i="3" s="1"/>
  <c r="K995" i="3" s="1"/>
  <c r="H996" i="3"/>
  <c r="J996" i="3" s="1"/>
  <c r="K996" i="3" s="1"/>
  <c r="H997" i="3"/>
  <c r="J997" i="3" s="1"/>
  <c r="K997" i="3" s="1"/>
  <c r="H998" i="3"/>
  <c r="J998" i="3" s="1"/>
  <c r="K998" i="3" s="1"/>
  <c r="H999" i="3"/>
  <c r="J999" i="3" s="1"/>
  <c r="K999" i="3" s="1"/>
  <c r="H1000" i="3"/>
  <c r="J1000" i="3" s="1"/>
  <c r="K1000" i="3" s="1"/>
  <c r="H1001" i="3"/>
  <c r="J1001" i="3" s="1"/>
  <c r="K1001" i="3" s="1"/>
  <c r="H1002" i="3"/>
  <c r="J1002" i="3" s="1"/>
  <c r="K1002" i="3" s="1"/>
  <c r="H1003" i="3"/>
  <c r="J1003" i="3" s="1"/>
  <c r="K1003" i="3" s="1"/>
  <c r="H1004" i="3"/>
  <c r="J1004" i="3" s="1"/>
  <c r="K1004" i="3" s="1"/>
  <c r="H1005" i="3"/>
  <c r="J1005" i="3" s="1"/>
  <c r="K1005" i="3" s="1"/>
  <c r="H1006" i="3"/>
  <c r="J1006" i="3" s="1"/>
  <c r="K1006" i="3" s="1"/>
  <c r="H1007" i="3"/>
  <c r="H1008" i="3"/>
  <c r="J1008" i="3" s="1"/>
  <c r="K1008" i="3" s="1"/>
  <c r="H1009" i="3"/>
  <c r="J1009" i="3" s="1"/>
  <c r="K1009" i="3" s="1"/>
  <c r="H1010" i="3"/>
  <c r="J1010" i="3" s="1"/>
  <c r="K1010" i="3" s="1"/>
  <c r="H1011" i="3"/>
  <c r="J1011" i="3" s="1"/>
  <c r="K1011" i="3" s="1"/>
  <c r="H1012" i="3"/>
  <c r="J1012" i="3" s="1"/>
  <c r="K1012" i="3" s="1"/>
  <c r="H1013" i="3"/>
  <c r="J1013" i="3" s="1"/>
  <c r="K1013" i="3" s="1"/>
  <c r="H1014" i="3"/>
  <c r="J1014" i="3" s="1"/>
  <c r="K1014" i="3" s="1"/>
  <c r="H1015" i="3"/>
  <c r="J1015" i="3" s="1"/>
  <c r="K1015" i="3" s="1"/>
  <c r="H1016" i="3"/>
  <c r="J1016" i="3" s="1"/>
  <c r="K1016" i="3" s="1"/>
  <c r="H1017" i="3"/>
  <c r="J1017" i="3" s="1"/>
  <c r="K1017" i="3" s="1"/>
  <c r="H1018" i="3"/>
  <c r="J1018" i="3" s="1"/>
  <c r="K1018" i="3" s="1"/>
  <c r="H1019" i="3"/>
  <c r="J1019" i="3" s="1"/>
  <c r="K1019" i="3" s="1"/>
  <c r="H1020" i="3"/>
  <c r="J1020" i="3" s="1"/>
  <c r="K1020" i="3" s="1"/>
  <c r="H1021" i="3"/>
  <c r="J1021" i="3" s="1"/>
  <c r="K1021" i="3" s="1"/>
  <c r="H1022" i="3"/>
  <c r="J1022" i="3" s="1"/>
  <c r="K1022" i="3" s="1"/>
  <c r="H1023" i="3"/>
  <c r="J1023" i="3" s="1"/>
  <c r="K1023" i="3" s="1"/>
  <c r="H1024" i="3"/>
  <c r="J1024" i="3" s="1"/>
  <c r="K1024" i="3" s="1"/>
  <c r="H1025" i="3"/>
  <c r="J1025" i="3" s="1"/>
  <c r="K1025" i="3" s="1"/>
  <c r="H1026" i="3"/>
  <c r="J1026" i="3" s="1"/>
  <c r="K1026" i="3" s="1"/>
  <c r="H1027" i="3"/>
  <c r="J1027" i="3" s="1"/>
  <c r="K1027" i="3" s="1"/>
  <c r="H1028" i="3"/>
  <c r="J1028" i="3" s="1"/>
  <c r="K1028" i="3" s="1"/>
  <c r="H1029" i="3"/>
  <c r="J1029" i="3" s="1"/>
  <c r="K1029" i="3" s="1"/>
  <c r="H1030" i="3"/>
  <c r="J1030" i="3" s="1"/>
  <c r="K1030" i="3" s="1"/>
  <c r="H1031" i="3"/>
  <c r="J1031" i="3" s="1"/>
  <c r="K1031" i="3" s="1"/>
  <c r="H1032" i="3"/>
  <c r="J1032" i="3" s="1"/>
  <c r="K1032" i="3" s="1"/>
  <c r="H1033" i="3"/>
  <c r="J1033" i="3" s="1"/>
  <c r="K1033" i="3" s="1"/>
  <c r="H1034" i="3"/>
  <c r="J1034" i="3" s="1"/>
  <c r="K1034" i="3" s="1"/>
  <c r="H1035" i="3"/>
  <c r="J1035" i="3" s="1"/>
  <c r="K1035" i="3" s="1"/>
  <c r="H1036" i="3"/>
  <c r="J1036" i="3" s="1"/>
  <c r="K1036" i="3" s="1"/>
  <c r="H1037" i="3"/>
  <c r="J1037" i="3" s="1"/>
  <c r="K1037" i="3" s="1"/>
  <c r="H1038" i="3"/>
  <c r="J1038" i="3" s="1"/>
  <c r="K1038" i="3" s="1"/>
  <c r="H1039" i="3"/>
  <c r="J1039" i="3" s="1"/>
  <c r="K1039" i="3" s="1"/>
  <c r="H1040" i="3"/>
  <c r="J1040" i="3" s="1"/>
  <c r="K1040" i="3" s="1"/>
  <c r="H1041" i="3"/>
  <c r="J1041" i="3" s="1"/>
  <c r="K1041" i="3" s="1"/>
  <c r="H1042" i="3"/>
  <c r="J1042" i="3" s="1"/>
  <c r="K1042" i="3" s="1"/>
  <c r="H1043" i="3"/>
  <c r="J1043" i="3" s="1"/>
  <c r="K1043" i="3" s="1"/>
  <c r="H1044" i="3"/>
  <c r="J1044" i="3" s="1"/>
  <c r="K1044" i="3" s="1"/>
  <c r="H1045" i="3"/>
  <c r="J1045" i="3" s="1"/>
  <c r="K1045" i="3" s="1"/>
  <c r="H1046" i="3"/>
  <c r="J1046" i="3" s="1"/>
  <c r="K1046" i="3" s="1"/>
  <c r="H1047" i="3"/>
  <c r="J1047" i="3" s="1"/>
  <c r="K1047" i="3" s="1"/>
  <c r="H1048" i="3"/>
  <c r="J1048" i="3" s="1"/>
  <c r="K1048" i="3" s="1"/>
  <c r="H1049" i="3"/>
  <c r="J1049" i="3" s="1"/>
  <c r="K1049" i="3" s="1"/>
  <c r="H1050" i="3"/>
  <c r="J1050" i="3" s="1"/>
  <c r="K1050" i="3" s="1"/>
  <c r="H1051" i="3"/>
  <c r="J1051" i="3" s="1"/>
  <c r="K1051" i="3" s="1"/>
  <c r="H1052" i="3"/>
  <c r="J1052" i="3" s="1"/>
  <c r="K1052" i="3" s="1"/>
  <c r="H1053" i="3"/>
  <c r="J1053" i="3" s="1"/>
  <c r="K1053" i="3" s="1"/>
  <c r="H1054" i="3"/>
  <c r="J1054" i="3" s="1"/>
  <c r="K1054" i="3" s="1"/>
  <c r="H1055" i="3"/>
  <c r="J1055" i="3" s="1"/>
  <c r="K1055" i="3" s="1"/>
  <c r="H1056" i="3"/>
  <c r="J1056" i="3" s="1"/>
  <c r="K1056" i="3" s="1"/>
  <c r="H1057" i="3"/>
  <c r="J1057" i="3" s="1"/>
  <c r="K1057" i="3" s="1"/>
  <c r="H1058" i="3"/>
  <c r="J1058" i="3" s="1"/>
  <c r="K1058" i="3" s="1"/>
  <c r="H1059" i="3"/>
  <c r="J1059" i="3" s="1"/>
  <c r="K1059" i="3" s="1"/>
  <c r="H1060" i="3"/>
  <c r="J1060" i="3" s="1"/>
  <c r="K1060" i="3" s="1"/>
  <c r="H1061" i="3"/>
  <c r="J1061" i="3" s="1"/>
  <c r="K1061" i="3" s="1"/>
  <c r="H1062" i="3"/>
  <c r="J1062" i="3" s="1"/>
  <c r="K1062" i="3" s="1"/>
  <c r="H1063" i="3"/>
  <c r="J1063" i="3" s="1"/>
  <c r="K1063" i="3" s="1"/>
  <c r="H1064" i="3"/>
  <c r="J1064" i="3" s="1"/>
  <c r="K1064" i="3" s="1"/>
  <c r="H1065" i="3"/>
  <c r="J1065" i="3" s="1"/>
  <c r="K1065" i="3" s="1"/>
  <c r="H1066" i="3"/>
  <c r="J1066" i="3" s="1"/>
  <c r="K1066" i="3" s="1"/>
  <c r="H1067" i="3"/>
  <c r="J1067" i="3" s="1"/>
  <c r="K1067" i="3" s="1"/>
  <c r="H1068" i="3"/>
  <c r="J1068" i="3" s="1"/>
  <c r="K1068" i="3" s="1"/>
  <c r="H1069" i="3"/>
  <c r="J1069" i="3" s="1"/>
  <c r="K1069" i="3" s="1"/>
  <c r="H1070" i="3"/>
  <c r="J1070" i="3" s="1"/>
  <c r="K1070" i="3" s="1"/>
  <c r="H1071" i="3"/>
  <c r="J1071" i="3" s="1"/>
  <c r="K1071" i="3" s="1"/>
  <c r="H1072" i="3"/>
  <c r="J1072" i="3" s="1"/>
  <c r="K1072" i="3" s="1"/>
  <c r="H1073" i="3"/>
  <c r="J1073" i="3" s="1"/>
  <c r="K1073" i="3" s="1"/>
  <c r="H1074" i="3"/>
  <c r="J1074" i="3" s="1"/>
  <c r="K1074" i="3" s="1"/>
  <c r="H1075" i="3"/>
  <c r="J1075" i="3" s="1"/>
  <c r="K1075" i="3" s="1"/>
  <c r="H1076" i="3"/>
  <c r="J1076" i="3" s="1"/>
  <c r="K1076" i="3" s="1"/>
  <c r="H1077" i="3"/>
  <c r="J1077" i="3" s="1"/>
  <c r="K1077" i="3" s="1"/>
  <c r="H1078" i="3"/>
  <c r="J1078" i="3" s="1"/>
  <c r="K1078" i="3" s="1"/>
  <c r="H1080" i="3"/>
  <c r="J1080" i="3" s="1"/>
  <c r="K1080" i="3" s="1"/>
  <c r="H1081" i="3"/>
  <c r="J1081" i="3" s="1"/>
  <c r="K1081" i="3" s="1"/>
  <c r="H1082" i="3"/>
  <c r="J1082" i="3" s="1"/>
  <c r="K1082" i="3" s="1"/>
  <c r="H1083" i="3"/>
  <c r="J1083" i="3" s="1"/>
  <c r="K1083" i="3" s="1"/>
  <c r="H1084" i="3"/>
  <c r="J1084" i="3" s="1"/>
  <c r="K1084" i="3" s="1"/>
  <c r="H1085" i="3"/>
  <c r="J1085" i="3" s="1"/>
  <c r="K1085" i="3" s="1"/>
  <c r="H1086" i="3"/>
  <c r="J1086" i="3" s="1"/>
  <c r="K1086" i="3" s="1"/>
  <c r="H1087" i="3"/>
  <c r="J1087" i="3" s="1"/>
  <c r="K1087" i="3" s="1"/>
  <c r="H1088" i="3"/>
  <c r="J1088" i="3" s="1"/>
  <c r="K1088" i="3" s="1"/>
  <c r="H1089" i="3"/>
  <c r="J1089" i="3" s="1"/>
  <c r="K1089" i="3" s="1"/>
  <c r="H1090" i="3"/>
  <c r="J1090" i="3" s="1"/>
  <c r="K1090" i="3" s="1"/>
  <c r="H1091" i="3"/>
  <c r="J1091" i="3" s="1"/>
  <c r="K1091" i="3" s="1"/>
  <c r="H1092" i="3"/>
  <c r="J1092" i="3" s="1"/>
  <c r="K1092" i="3" s="1"/>
  <c r="H1093" i="3"/>
  <c r="J1093" i="3" s="1"/>
  <c r="K1093" i="3" s="1"/>
  <c r="H1094" i="3"/>
  <c r="J1094" i="3" s="1"/>
  <c r="K1094" i="3" s="1"/>
  <c r="H1095" i="3"/>
  <c r="J1095" i="3" s="1"/>
  <c r="K1095" i="3" s="1"/>
  <c r="H1096" i="3"/>
  <c r="J1096" i="3" s="1"/>
  <c r="K1096" i="3" s="1"/>
  <c r="H1097" i="3"/>
  <c r="J1097" i="3" s="1"/>
  <c r="K1097" i="3" s="1"/>
  <c r="H1098" i="3"/>
  <c r="J1098" i="3" s="1"/>
  <c r="K1098" i="3" s="1"/>
  <c r="H1099" i="3"/>
  <c r="J1099" i="3" s="1"/>
  <c r="K1099" i="3" s="1"/>
  <c r="H1100" i="3"/>
  <c r="J1100" i="3" s="1"/>
  <c r="K1100" i="3" s="1"/>
  <c r="H1101" i="3"/>
  <c r="J1101" i="3" s="1"/>
  <c r="K1101" i="3" s="1"/>
  <c r="H1102" i="3"/>
  <c r="J1102" i="3" s="1"/>
  <c r="K1102" i="3" s="1"/>
  <c r="H1103" i="3"/>
  <c r="J1103" i="3" s="1"/>
  <c r="K1103" i="3" s="1"/>
  <c r="H1104" i="3"/>
  <c r="J1104" i="3" s="1"/>
  <c r="K1104" i="3" s="1"/>
  <c r="H1105" i="3"/>
  <c r="J1105" i="3" s="1"/>
  <c r="K1105" i="3" s="1"/>
  <c r="H1106" i="3"/>
  <c r="J1106" i="3" s="1"/>
  <c r="K1106" i="3" s="1"/>
  <c r="H1107" i="3"/>
  <c r="J1107" i="3" s="1"/>
  <c r="K1107" i="3" s="1"/>
  <c r="H1108" i="3"/>
  <c r="J1108" i="3" s="1"/>
  <c r="K1108" i="3" s="1"/>
  <c r="H1109" i="3"/>
  <c r="J1109" i="3" s="1"/>
  <c r="K1109" i="3" s="1"/>
  <c r="H1111" i="3"/>
  <c r="J1111" i="3" s="1"/>
  <c r="K1111" i="3" s="1"/>
  <c r="H1112" i="3"/>
  <c r="J1112" i="3" s="1"/>
  <c r="K1112" i="3" s="1"/>
  <c r="H1113" i="3"/>
  <c r="J1113" i="3" s="1"/>
  <c r="K1113" i="3" s="1"/>
  <c r="H1114" i="3"/>
  <c r="J1114" i="3" s="1"/>
  <c r="K1114" i="3" s="1"/>
  <c r="H1115" i="3"/>
  <c r="J1115" i="3" s="1"/>
  <c r="K1115" i="3" s="1"/>
  <c r="H1116" i="3"/>
  <c r="J1116" i="3" s="1"/>
  <c r="K1116" i="3" s="1"/>
  <c r="H1117" i="3"/>
  <c r="J1117" i="3" s="1"/>
  <c r="K1117" i="3" s="1"/>
  <c r="H1118" i="3"/>
  <c r="J1118" i="3" s="1"/>
  <c r="K1118" i="3" s="1"/>
  <c r="H1119" i="3"/>
  <c r="J1119" i="3" s="1"/>
  <c r="K1119" i="3" s="1"/>
  <c r="H1120" i="3"/>
  <c r="J1120" i="3" s="1"/>
  <c r="K1120" i="3" s="1"/>
  <c r="H1121" i="3"/>
  <c r="J1121" i="3" s="1"/>
  <c r="K1121" i="3" s="1"/>
  <c r="H1122" i="3"/>
  <c r="J1122" i="3" s="1"/>
  <c r="K1122" i="3" s="1"/>
  <c r="H1123" i="3"/>
  <c r="J1123" i="3" s="1"/>
  <c r="K1123" i="3" s="1"/>
  <c r="H1124" i="3"/>
  <c r="J1124" i="3" s="1"/>
  <c r="K1124" i="3" s="1"/>
  <c r="H1125" i="3"/>
  <c r="J1125" i="3" s="1"/>
  <c r="K1125" i="3" s="1"/>
  <c r="H1126" i="3"/>
  <c r="J1126" i="3" s="1"/>
  <c r="K1126" i="3" s="1"/>
  <c r="H1129" i="3"/>
  <c r="J1129" i="3" s="1"/>
  <c r="K1129" i="3" s="1"/>
  <c r="H1130" i="3"/>
  <c r="J1130" i="3" s="1"/>
  <c r="K1130" i="3" s="1"/>
  <c r="H1131" i="3"/>
  <c r="J1131" i="3" s="1"/>
  <c r="K1131" i="3" s="1"/>
  <c r="H1132" i="3"/>
  <c r="J1132" i="3" s="1"/>
  <c r="K1132" i="3" s="1"/>
  <c r="H1133" i="3"/>
  <c r="J1133" i="3" s="1"/>
  <c r="K1133" i="3" s="1"/>
  <c r="H1134" i="3"/>
  <c r="J1134" i="3" s="1"/>
  <c r="K1134" i="3" s="1"/>
  <c r="H1135" i="3"/>
  <c r="J1135" i="3" s="1"/>
  <c r="K1135" i="3" s="1"/>
  <c r="H1137" i="3"/>
  <c r="J1137" i="3" s="1"/>
  <c r="K1137" i="3" s="1"/>
  <c r="H1138" i="3"/>
  <c r="J1138" i="3" s="1"/>
  <c r="K1138" i="3" s="1"/>
  <c r="H1139" i="3"/>
  <c r="J1139" i="3" s="1"/>
  <c r="K1139" i="3" s="1"/>
  <c r="H1140" i="3"/>
  <c r="J1140" i="3" s="1"/>
  <c r="K1140" i="3" s="1"/>
  <c r="H1141" i="3"/>
  <c r="J1141" i="3" s="1"/>
  <c r="K1141" i="3" s="1"/>
  <c r="H1142" i="3"/>
  <c r="J1142" i="3" s="1"/>
  <c r="K1142" i="3" s="1"/>
  <c r="H1143" i="3"/>
  <c r="J1143" i="3" s="1"/>
  <c r="K1143" i="3" s="1"/>
  <c r="H1144" i="3"/>
  <c r="J1144" i="3" s="1"/>
  <c r="K1144" i="3" s="1"/>
  <c r="H1145" i="3"/>
  <c r="J1145" i="3" s="1"/>
  <c r="K1145" i="3" s="1"/>
  <c r="H1146" i="3"/>
  <c r="J1146" i="3" s="1"/>
  <c r="K1146" i="3" s="1"/>
  <c r="H1147" i="3"/>
  <c r="J1147" i="3" s="1"/>
  <c r="K1147" i="3" s="1"/>
  <c r="H1148" i="3"/>
  <c r="J1148" i="3" s="1"/>
  <c r="K1148" i="3" s="1"/>
  <c r="H1149" i="3"/>
  <c r="J1149" i="3" s="1"/>
  <c r="K1149" i="3" s="1"/>
  <c r="H1150" i="3"/>
  <c r="J1150" i="3" s="1"/>
  <c r="K1150" i="3" s="1"/>
  <c r="H1151" i="3"/>
  <c r="J1151" i="3" s="1"/>
  <c r="K1151" i="3" s="1"/>
  <c r="H1152" i="3"/>
  <c r="J1152" i="3" s="1"/>
  <c r="K1152" i="3" s="1"/>
  <c r="H1153" i="3"/>
  <c r="J1153" i="3" s="1"/>
  <c r="K1153" i="3" s="1"/>
  <c r="H1154" i="3"/>
  <c r="J1154" i="3" s="1"/>
  <c r="K1154" i="3" s="1"/>
  <c r="H1155" i="3"/>
  <c r="J1155" i="3" s="1"/>
  <c r="K1155" i="3" s="1"/>
  <c r="H1156" i="3"/>
  <c r="J1156" i="3" s="1"/>
  <c r="K1156" i="3" s="1"/>
  <c r="H1157" i="3"/>
  <c r="J1157" i="3" s="1"/>
  <c r="K1157" i="3" s="1"/>
  <c r="H1158" i="3"/>
  <c r="J1158" i="3" s="1"/>
  <c r="K1158" i="3" s="1"/>
  <c r="H1159" i="3"/>
  <c r="J1159" i="3" s="1"/>
  <c r="K1159" i="3" s="1"/>
  <c r="H1160" i="3"/>
  <c r="J1160" i="3" s="1"/>
  <c r="K1160" i="3" s="1"/>
  <c r="H1161" i="3"/>
  <c r="J1161" i="3" s="1"/>
  <c r="K1161" i="3" s="1"/>
  <c r="H1162" i="3"/>
  <c r="J1162" i="3" s="1"/>
  <c r="K1162" i="3" s="1"/>
  <c r="H1163" i="3"/>
  <c r="J1163" i="3" s="1"/>
  <c r="K1163" i="3" s="1"/>
  <c r="H1164" i="3"/>
  <c r="J1164" i="3" s="1"/>
  <c r="K1164" i="3" s="1"/>
  <c r="H1165" i="3"/>
  <c r="J1165" i="3" s="1"/>
  <c r="K1165" i="3" s="1"/>
  <c r="H1166" i="3"/>
  <c r="J1166" i="3" s="1"/>
  <c r="K1166" i="3" s="1"/>
  <c r="H1167" i="3"/>
  <c r="J1167" i="3" s="1"/>
  <c r="K1167" i="3" s="1"/>
  <c r="H1168" i="3"/>
  <c r="J1168" i="3" s="1"/>
  <c r="K1168" i="3" s="1"/>
  <c r="H1169" i="3"/>
  <c r="J1169" i="3" s="1"/>
  <c r="K1169" i="3" s="1"/>
  <c r="H1170" i="3"/>
  <c r="J1170" i="3" s="1"/>
  <c r="K1170" i="3" s="1"/>
  <c r="H1171" i="3"/>
  <c r="J1171" i="3" s="1"/>
  <c r="K1171" i="3" s="1"/>
  <c r="H1172" i="3"/>
  <c r="J1172" i="3" s="1"/>
  <c r="K1172" i="3" s="1"/>
  <c r="H1173" i="3"/>
  <c r="J1173" i="3" s="1"/>
  <c r="K1173" i="3" s="1"/>
  <c r="H1174" i="3"/>
  <c r="J1174" i="3" s="1"/>
  <c r="K1174" i="3" s="1"/>
  <c r="H1175" i="3"/>
  <c r="J1175" i="3" s="1"/>
  <c r="K1175" i="3" s="1"/>
  <c r="H1176" i="3"/>
  <c r="J1176" i="3" s="1"/>
  <c r="K1176" i="3" s="1"/>
  <c r="H1177" i="3"/>
  <c r="J1177" i="3" s="1"/>
  <c r="K1177" i="3" s="1"/>
  <c r="H1178" i="3"/>
  <c r="J1178" i="3" s="1"/>
  <c r="K1178" i="3" s="1"/>
  <c r="H1179" i="3"/>
  <c r="J1179" i="3" s="1"/>
  <c r="K1179" i="3" s="1"/>
  <c r="H1180" i="3"/>
  <c r="J1180" i="3" s="1"/>
  <c r="K1180" i="3" s="1"/>
  <c r="H1181" i="3"/>
  <c r="J1181" i="3" s="1"/>
  <c r="K1181" i="3" s="1"/>
  <c r="H1182" i="3"/>
  <c r="J1182" i="3" s="1"/>
  <c r="K1182" i="3" s="1"/>
  <c r="H1183" i="3"/>
  <c r="J1183" i="3" s="1"/>
  <c r="K1183" i="3" s="1"/>
  <c r="H1184" i="3"/>
  <c r="J1184" i="3" s="1"/>
  <c r="K1184" i="3" s="1"/>
  <c r="H1185" i="3"/>
  <c r="J1185" i="3" s="1"/>
  <c r="K1185" i="3" s="1"/>
  <c r="H1186" i="3"/>
  <c r="J1186" i="3" s="1"/>
  <c r="K1186" i="3" s="1"/>
  <c r="H1187" i="3"/>
  <c r="J1187" i="3" s="1"/>
  <c r="K1187" i="3" s="1"/>
  <c r="H1188" i="3"/>
  <c r="J1188" i="3" s="1"/>
  <c r="K1188" i="3" s="1"/>
  <c r="H1189" i="3"/>
  <c r="J1189" i="3" s="1"/>
  <c r="K1189" i="3" s="1"/>
  <c r="H1190" i="3"/>
  <c r="J1190" i="3" s="1"/>
  <c r="K1190" i="3" s="1"/>
  <c r="H1191" i="3"/>
  <c r="J1191" i="3" s="1"/>
  <c r="K1191" i="3" s="1"/>
  <c r="H1192" i="3"/>
  <c r="J1192" i="3" s="1"/>
  <c r="K1192" i="3" s="1"/>
  <c r="H1193" i="3"/>
  <c r="J1193" i="3" s="1"/>
  <c r="K1193" i="3" s="1"/>
  <c r="H1194" i="3"/>
  <c r="J1194" i="3" s="1"/>
  <c r="K1194" i="3" s="1"/>
  <c r="H1195" i="3"/>
  <c r="J1195" i="3" s="1"/>
  <c r="K1195" i="3" s="1"/>
  <c r="H1196" i="3"/>
  <c r="J1196" i="3" s="1"/>
  <c r="K1196" i="3" s="1"/>
  <c r="H1197" i="3"/>
  <c r="J1197" i="3" s="1"/>
  <c r="K1197" i="3" s="1"/>
  <c r="H1198" i="3"/>
  <c r="J1198" i="3" s="1"/>
  <c r="K1198" i="3" s="1"/>
  <c r="H1199" i="3"/>
  <c r="J1199" i="3" s="1"/>
  <c r="K1199" i="3" s="1"/>
  <c r="H1200" i="3"/>
  <c r="J1200" i="3" s="1"/>
  <c r="K1200" i="3" s="1"/>
  <c r="H1201" i="3"/>
  <c r="J1201" i="3" s="1"/>
  <c r="K1201" i="3" s="1"/>
  <c r="H1202" i="3"/>
  <c r="J1202" i="3" s="1"/>
  <c r="K1202" i="3" s="1"/>
  <c r="H1203" i="3"/>
  <c r="J1203" i="3" s="1"/>
  <c r="K1203" i="3" s="1"/>
  <c r="H1204" i="3"/>
  <c r="J1204" i="3" s="1"/>
  <c r="K1204" i="3" s="1"/>
  <c r="H1205" i="3"/>
  <c r="J1205" i="3" s="1"/>
  <c r="K1205" i="3" s="1"/>
  <c r="H1206" i="3"/>
  <c r="J1206" i="3" s="1"/>
  <c r="K1206" i="3" s="1"/>
  <c r="H1207" i="3"/>
  <c r="J1207" i="3" s="1"/>
  <c r="K1207" i="3" s="1"/>
  <c r="H1208" i="3"/>
  <c r="J1208" i="3" s="1"/>
  <c r="K1208" i="3" s="1"/>
  <c r="H1209" i="3"/>
  <c r="J1209" i="3" s="1"/>
  <c r="K1209" i="3" s="1"/>
  <c r="H1210" i="3"/>
  <c r="J1210" i="3" s="1"/>
  <c r="K1210" i="3" s="1"/>
  <c r="H1211" i="3"/>
  <c r="J1211" i="3" s="1"/>
  <c r="K1211" i="3" s="1"/>
  <c r="H1212" i="3"/>
  <c r="J1212" i="3" s="1"/>
  <c r="K1212" i="3" s="1"/>
  <c r="H1213" i="3"/>
  <c r="J1213" i="3" s="1"/>
  <c r="K1213" i="3" s="1"/>
  <c r="H1214" i="3"/>
  <c r="J1214" i="3" s="1"/>
  <c r="K1214" i="3" s="1"/>
  <c r="H1215" i="3"/>
  <c r="J1215" i="3" s="1"/>
  <c r="K1215" i="3" s="1"/>
  <c r="H1216" i="3"/>
  <c r="J1216" i="3" s="1"/>
  <c r="K1216" i="3" s="1"/>
  <c r="H1217" i="3"/>
  <c r="J1217" i="3" s="1"/>
  <c r="K1217" i="3" s="1"/>
  <c r="H1218" i="3"/>
  <c r="J1218" i="3" s="1"/>
  <c r="K1218" i="3" s="1"/>
  <c r="H1219" i="3"/>
  <c r="J1219" i="3" s="1"/>
  <c r="K1219" i="3" s="1"/>
  <c r="H1220" i="3"/>
  <c r="J1220" i="3" s="1"/>
  <c r="K1220" i="3" s="1"/>
  <c r="H1221" i="3"/>
  <c r="J1221" i="3" s="1"/>
  <c r="K1221" i="3" s="1"/>
  <c r="H1222" i="3"/>
  <c r="J1222" i="3" s="1"/>
  <c r="K1222" i="3" s="1"/>
  <c r="H1223" i="3"/>
  <c r="J1223" i="3" s="1"/>
  <c r="K1223" i="3" s="1"/>
  <c r="H1224" i="3"/>
  <c r="J1224" i="3" s="1"/>
  <c r="K1224" i="3" s="1"/>
  <c r="H1225" i="3"/>
  <c r="J1225" i="3" s="1"/>
  <c r="K1225" i="3" s="1"/>
  <c r="H1226" i="3"/>
  <c r="J1226" i="3" s="1"/>
  <c r="K1226" i="3" s="1"/>
  <c r="H1227" i="3"/>
  <c r="J1227" i="3" s="1"/>
  <c r="K1227" i="3" s="1"/>
  <c r="H1228" i="3"/>
  <c r="J1228" i="3" s="1"/>
  <c r="K1228" i="3" s="1"/>
  <c r="H1229" i="3"/>
  <c r="J1229" i="3" s="1"/>
  <c r="K1229" i="3" s="1"/>
  <c r="H1230" i="3"/>
  <c r="J1230" i="3" s="1"/>
  <c r="K1230" i="3" s="1"/>
  <c r="H1231" i="3"/>
  <c r="J1231" i="3" s="1"/>
  <c r="K1231" i="3" s="1"/>
  <c r="H1232" i="3"/>
  <c r="J1232" i="3" s="1"/>
  <c r="K1232" i="3" s="1"/>
  <c r="H1233" i="3"/>
  <c r="J1233" i="3" s="1"/>
  <c r="K1233" i="3" s="1"/>
  <c r="H1234" i="3"/>
  <c r="J1234" i="3" s="1"/>
  <c r="K1234" i="3" s="1"/>
  <c r="H1235" i="3"/>
  <c r="J1235" i="3" s="1"/>
  <c r="K1235" i="3" s="1"/>
  <c r="H1236" i="3"/>
  <c r="J1236" i="3" s="1"/>
  <c r="K1236" i="3" s="1"/>
  <c r="H1237" i="3"/>
  <c r="J1237" i="3" s="1"/>
  <c r="K1237" i="3" s="1"/>
  <c r="H1238" i="3"/>
  <c r="J1238" i="3" s="1"/>
  <c r="K1238" i="3" s="1"/>
  <c r="H1239" i="3"/>
  <c r="J1239" i="3" s="1"/>
  <c r="K1239" i="3" s="1"/>
  <c r="H1240" i="3"/>
  <c r="J1240" i="3" s="1"/>
  <c r="K1240" i="3" s="1"/>
  <c r="H1241" i="3"/>
  <c r="J1241" i="3" s="1"/>
  <c r="K1241" i="3" s="1"/>
  <c r="H1242" i="3"/>
  <c r="J1242" i="3" s="1"/>
  <c r="K1242" i="3" s="1"/>
  <c r="H1243" i="3"/>
  <c r="J1243" i="3" s="1"/>
  <c r="K1243" i="3" s="1"/>
  <c r="H1244" i="3"/>
  <c r="J1244" i="3" s="1"/>
  <c r="K1244" i="3" s="1"/>
  <c r="H1245" i="3"/>
  <c r="J1245" i="3" s="1"/>
  <c r="K1245" i="3" s="1"/>
  <c r="H1246" i="3"/>
  <c r="J1246" i="3" s="1"/>
  <c r="K1246" i="3" s="1"/>
  <c r="H1247" i="3"/>
  <c r="J1247" i="3" s="1"/>
  <c r="K1247" i="3" s="1"/>
  <c r="H1248" i="3"/>
  <c r="J1248" i="3" s="1"/>
  <c r="K1248" i="3" s="1"/>
  <c r="H1249" i="3"/>
  <c r="J1249" i="3" s="1"/>
  <c r="K1249" i="3" s="1"/>
  <c r="H1250" i="3"/>
  <c r="J1250" i="3" s="1"/>
  <c r="K1250" i="3" s="1"/>
  <c r="H1251" i="3"/>
  <c r="J1251" i="3" s="1"/>
  <c r="K1251" i="3" s="1"/>
  <c r="H1252" i="3"/>
  <c r="J1252" i="3" s="1"/>
  <c r="K1252" i="3" s="1"/>
  <c r="H1253" i="3"/>
  <c r="J1253" i="3" s="1"/>
  <c r="K1253" i="3" s="1"/>
  <c r="H1254" i="3"/>
  <c r="J1254" i="3" s="1"/>
  <c r="K1254" i="3" s="1"/>
  <c r="H1255" i="3"/>
  <c r="J1255" i="3" s="1"/>
  <c r="K1255" i="3" s="1"/>
  <c r="H1256" i="3"/>
  <c r="J1256" i="3" s="1"/>
  <c r="K1256" i="3" s="1"/>
  <c r="H1257" i="3"/>
  <c r="J1257" i="3" s="1"/>
  <c r="K1257" i="3" s="1"/>
  <c r="H1258" i="3"/>
  <c r="J1258" i="3" s="1"/>
  <c r="K1258" i="3" s="1"/>
  <c r="H1259" i="3"/>
  <c r="J1259" i="3" s="1"/>
  <c r="K1259" i="3" s="1"/>
  <c r="H1260" i="3"/>
  <c r="J1260" i="3" s="1"/>
  <c r="K1260" i="3" s="1"/>
  <c r="H1261" i="3"/>
  <c r="J1261" i="3" s="1"/>
  <c r="K1261" i="3" s="1"/>
  <c r="H1262" i="3"/>
  <c r="J1262" i="3" s="1"/>
  <c r="K1262" i="3" s="1"/>
  <c r="H1263" i="3"/>
  <c r="J1263" i="3" s="1"/>
  <c r="K1263" i="3" s="1"/>
  <c r="H1264" i="3"/>
  <c r="J1264" i="3" s="1"/>
  <c r="K1264" i="3" s="1"/>
  <c r="H1265" i="3"/>
  <c r="J1265" i="3" s="1"/>
  <c r="K1265" i="3" s="1"/>
  <c r="H1266" i="3"/>
  <c r="J1266" i="3" s="1"/>
  <c r="K1266" i="3" s="1"/>
  <c r="H1267" i="3"/>
  <c r="J1267" i="3" s="1"/>
  <c r="K1267" i="3" s="1"/>
  <c r="H1268" i="3"/>
  <c r="J1268" i="3" s="1"/>
  <c r="K1268" i="3" s="1"/>
  <c r="H1270" i="3"/>
  <c r="J1270" i="3" s="1"/>
  <c r="K1270" i="3" s="1"/>
  <c r="H1271" i="3"/>
  <c r="J1271" i="3" s="1"/>
  <c r="K1271" i="3" s="1"/>
  <c r="H1272" i="3"/>
  <c r="J1272" i="3" s="1"/>
  <c r="K1272" i="3" s="1"/>
  <c r="H1273" i="3"/>
  <c r="J1273" i="3" s="1"/>
  <c r="K1273" i="3" s="1"/>
  <c r="H1274" i="3"/>
  <c r="J1274" i="3" s="1"/>
  <c r="K1274" i="3" s="1"/>
  <c r="H1275" i="3"/>
  <c r="J1275" i="3" s="1"/>
  <c r="K1275" i="3" s="1"/>
  <c r="H1276" i="3"/>
  <c r="J1276" i="3" s="1"/>
  <c r="K1276" i="3" s="1"/>
  <c r="H1277" i="3"/>
  <c r="J1277" i="3" s="1"/>
  <c r="K1277" i="3" s="1"/>
  <c r="H1278" i="3"/>
  <c r="J1278" i="3" s="1"/>
  <c r="K1278" i="3" s="1"/>
  <c r="H1279" i="3"/>
  <c r="J1279" i="3" s="1"/>
  <c r="K1279" i="3" s="1"/>
  <c r="H1280" i="3"/>
  <c r="J1280" i="3" s="1"/>
  <c r="K1280" i="3" s="1"/>
  <c r="H1281" i="3"/>
  <c r="J1281" i="3" s="1"/>
  <c r="K1281" i="3" s="1"/>
  <c r="H1282" i="3"/>
  <c r="J1282" i="3" s="1"/>
  <c r="K1282" i="3" s="1"/>
  <c r="H1283" i="3"/>
  <c r="J1283" i="3" s="1"/>
  <c r="K1283" i="3" s="1"/>
  <c r="H1284" i="3"/>
  <c r="J1284" i="3" s="1"/>
  <c r="K1284" i="3" s="1"/>
  <c r="H1285" i="3"/>
  <c r="J1285" i="3" s="1"/>
  <c r="K1285" i="3" s="1"/>
  <c r="H1286" i="3"/>
  <c r="J1286" i="3" s="1"/>
  <c r="K1286" i="3" s="1"/>
  <c r="H1287" i="3"/>
  <c r="J1287" i="3" s="1"/>
  <c r="K1287" i="3" s="1"/>
  <c r="H1288" i="3"/>
  <c r="J1288" i="3" s="1"/>
  <c r="K1288" i="3" s="1"/>
  <c r="H1289" i="3"/>
  <c r="J1289" i="3" s="1"/>
  <c r="K1289" i="3" s="1"/>
  <c r="H1290" i="3"/>
  <c r="J1290" i="3" s="1"/>
  <c r="K1290" i="3" s="1"/>
  <c r="H1291" i="3"/>
  <c r="J1291" i="3" s="1"/>
  <c r="K1291" i="3" s="1"/>
  <c r="H1292" i="3"/>
  <c r="J1292" i="3" s="1"/>
  <c r="K1292" i="3" s="1"/>
  <c r="H1293" i="3"/>
  <c r="J1293" i="3" s="1"/>
  <c r="K1293" i="3" s="1"/>
  <c r="H1294" i="3"/>
  <c r="J1294" i="3" s="1"/>
  <c r="K1294" i="3" s="1"/>
  <c r="H1295" i="3"/>
  <c r="J1295" i="3" s="1"/>
  <c r="K1295" i="3" s="1"/>
  <c r="H1296" i="3"/>
  <c r="J1296" i="3" s="1"/>
  <c r="K1296" i="3" s="1"/>
  <c r="H1298" i="3"/>
  <c r="J1298" i="3" s="1"/>
  <c r="K1298" i="3" s="1"/>
  <c r="H1299" i="3"/>
  <c r="J1299" i="3" s="1"/>
  <c r="K1299" i="3" s="1"/>
  <c r="H1300" i="3"/>
  <c r="J1300" i="3" s="1"/>
  <c r="K1300" i="3" s="1"/>
  <c r="H1301" i="3"/>
  <c r="J1301" i="3" s="1"/>
  <c r="K1301" i="3" s="1"/>
  <c r="H1302" i="3"/>
  <c r="J1302" i="3" s="1"/>
  <c r="K1302" i="3" s="1"/>
  <c r="H1303" i="3"/>
  <c r="J1303" i="3" s="1"/>
  <c r="K1303" i="3" s="1"/>
  <c r="H1304" i="3"/>
  <c r="J1304" i="3" s="1"/>
  <c r="K1304" i="3" s="1"/>
  <c r="H1305" i="3"/>
  <c r="J1305" i="3" s="1"/>
  <c r="K1305" i="3" s="1"/>
  <c r="H1306" i="3"/>
  <c r="J1306" i="3" s="1"/>
  <c r="K1306" i="3" s="1"/>
  <c r="H1307" i="3"/>
  <c r="J1307" i="3" s="1"/>
  <c r="K1307" i="3" s="1"/>
  <c r="H1308" i="3"/>
  <c r="J1308" i="3" s="1"/>
  <c r="K1308" i="3" s="1"/>
  <c r="H1309" i="3"/>
  <c r="J1309" i="3" s="1"/>
  <c r="K1309" i="3" s="1"/>
  <c r="H1310" i="3"/>
  <c r="J1310" i="3" s="1"/>
  <c r="K1310" i="3" s="1"/>
  <c r="H1311" i="3"/>
  <c r="J1311" i="3" s="1"/>
  <c r="K1311" i="3" s="1"/>
  <c r="H1312" i="3"/>
  <c r="J1312" i="3" s="1"/>
  <c r="K1312" i="3" s="1"/>
  <c r="H1313" i="3"/>
  <c r="J1313" i="3" s="1"/>
  <c r="K1313" i="3" s="1"/>
  <c r="H1314" i="3"/>
  <c r="J1314" i="3" s="1"/>
  <c r="K1314" i="3" s="1"/>
  <c r="H1315" i="3"/>
  <c r="J1315" i="3" s="1"/>
  <c r="K1315" i="3" s="1"/>
  <c r="H1316" i="3"/>
  <c r="J1316" i="3" s="1"/>
  <c r="K1316" i="3" s="1"/>
  <c r="H1317" i="3"/>
  <c r="J1317" i="3" s="1"/>
  <c r="K1317" i="3" s="1"/>
  <c r="H1318" i="3"/>
  <c r="J1318" i="3" s="1"/>
  <c r="K1318" i="3" s="1"/>
  <c r="H1319" i="3"/>
  <c r="J1319" i="3" s="1"/>
  <c r="K1319" i="3" s="1"/>
  <c r="H1320" i="3"/>
  <c r="J1320" i="3" s="1"/>
  <c r="K1320" i="3" s="1"/>
  <c r="H1321" i="3"/>
  <c r="J1321" i="3" s="1"/>
  <c r="K1321" i="3" s="1"/>
  <c r="H1323" i="3"/>
  <c r="J1323" i="3" s="1"/>
  <c r="K1323" i="3" s="1"/>
  <c r="H1324" i="3"/>
  <c r="J1324" i="3" s="1"/>
  <c r="K1324" i="3" s="1"/>
  <c r="H1325" i="3"/>
  <c r="J1325" i="3" s="1"/>
  <c r="K1325" i="3" s="1"/>
  <c r="H1326" i="3"/>
  <c r="J1326" i="3" s="1"/>
  <c r="K1326" i="3" s="1"/>
  <c r="H1327" i="3"/>
  <c r="J1327" i="3" s="1"/>
  <c r="K1327" i="3" s="1"/>
  <c r="H1328" i="3"/>
  <c r="J1328" i="3" s="1"/>
  <c r="K1328" i="3" s="1"/>
  <c r="H1329" i="3"/>
  <c r="J1329" i="3" s="1"/>
  <c r="K1329" i="3" s="1"/>
  <c r="H1330" i="3"/>
  <c r="J1330" i="3" s="1"/>
  <c r="K1330" i="3" s="1"/>
  <c r="H1332" i="3"/>
  <c r="J1332" i="3" s="1"/>
  <c r="K1332" i="3" s="1"/>
  <c r="H1333" i="3"/>
  <c r="J1333" i="3" s="1"/>
  <c r="K1333" i="3" s="1"/>
  <c r="H1334" i="3"/>
  <c r="J1334" i="3" s="1"/>
  <c r="K1334" i="3" s="1"/>
  <c r="H1335" i="3"/>
  <c r="J1335" i="3" s="1"/>
  <c r="K1335" i="3" s="1"/>
  <c r="H1336" i="3"/>
  <c r="J1336" i="3" s="1"/>
  <c r="K1336" i="3" s="1"/>
  <c r="H1337" i="3"/>
  <c r="J1337" i="3" s="1"/>
  <c r="K1337" i="3" s="1"/>
  <c r="H1338" i="3"/>
  <c r="J1338" i="3" s="1"/>
  <c r="K1338" i="3" s="1"/>
  <c r="H1339" i="3"/>
  <c r="J1339" i="3" s="1"/>
  <c r="K1339" i="3" s="1"/>
  <c r="H1340" i="3"/>
  <c r="J1340" i="3" s="1"/>
  <c r="K1340" i="3" s="1"/>
  <c r="H1341" i="3"/>
  <c r="J1341" i="3" s="1"/>
  <c r="K1341" i="3" s="1"/>
  <c r="H1342" i="3"/>
  <c r="J1342" i="3" s="1"/>
  <c r="K1342" i="3" s="1"/>
  <c r="H1343" i="3"/>
  <c r="J1343" i="3" s="1"/>
  <c r="K1343" i="3" s="1"/>
  <c r="H1344" i="3"/>
  <c r="J1344" i="3" s="1"/>
  <c r="K1344" i="3" s="1"/>
  <c r="H981" i="3"/>
  <c r="J981" i="3" s="1"/>
  <c r="K981" i="3" s="1"/>
  <c r="H980" i="3"/>
  <c r="J980" i="3" s="1"/>
  <c r="H931" i="3"/>
  <c r="J931" i="3" s="1"/>
  <c r="K931" i="3" s="1"/>
  <c r="H930" i="3"/>
  <c r="J930" i="3" s="1"/>
  <c r="K930" i="3" s="1"/>
  <c r="H929" i="3"/>
  <c r="J929" i="3" s="1"/>
  <c r="K929" i="3" s="1"/>
  <c r="J1007" i="3" l="1"/>
  <c r="K1007" i="3" s="1"/>
  <c r="K980" i="3"/>
  <c r="H966" i="3"/>
  <c r="J966" i="3" s="1"/>
  <c r="K966" i="3" s="1"/>
  <c r="H967" i="3"/>
  <c r="J967" i="3" s="1"/>
  <c r="K967" i="3" s="1"/>
  <c r="H968" i="3"/>
  <c r="J968" i="3" s="1"/>
  <c r="K968" i="3" s="1"/>
  <c r="H969" i="3"/>
  <c r="J969" i="3" s="1"/>
  <c r="K969" i="3" s="1"/>
  <c r="H970" i="3"/>
  <c r="J970" i="3" s="1"/>
  <c r="K970" i="3" s="1"/>
  <c r="H971" i="3"/>
  <c r="J971" i="3" s="1"/>
  <c r="K971" i="3" s="1"/>
  <c r="H972" i="3"/>
  <c r="J972" i="3" s="1"/>
  <c r="K972" i="3" s="1"/>
  <c r="H973" i="3"/>
  <c r="J973" i="3" s="1"/>
  <c r="K973" i="3" s="1"/>
  <c r="H974" i="3"/>
  <c r="J974" i="3" s="1"/>
  <c r="K974" i="3" s="1"/>
  <c r="H975" i="3"/>
  <c r="J975" i="3" s="1"/>
  <c r="K975" i="3" s="1"/>
  <c r="H976" i="3"/>
  <c r="J976" i="3" s="1"/>
  <c r="K976" i="3" s="1"/>
  <c r="H977" i="3"/>
  <c r="J977" i="3" s="1"/>
  <c r="K977" i="3" s="1"/>
  <c r="H978" i="3"/>
  <c r="J978" i="3" s="1"/>
  <c r="K978" i="3" s="1"/>
  <c r="H979" i="3"/>
  <c r="J979" i="3" s="1"/>
  <c r="K979" i="3" s="1"/>
  <c r="H965" i="3"/>
  <c r="J965" i="3" s="1"/>
  <c r="K965" i="3" s="1"/>
  <c r="H964" i="3"/>
  <c r="J964" i="3" s="1"/>
  <c r="K964" i="3" s="1"/>
  <c r="H963" i="3"/>
  <c r="J963" i="3" s="1"/>
  <c r="K963" i="3" s="1"/>
  <c r="H797" i="3" l="1"/>
  <c r="J797" i="3" s="1"/>
  <c r="K797" i="3" s="1"/>
  <c r="H799" i="3" l="1"/>
  <c r="J799" i="3" s="1"/>
  <c r="K799" i="3" s="1"/>
  <c r="H800" i="3"/>
  <c r="J800" i="3" s="1"/>
  <c r="K800" i="3" s="1"/>
  <c r="H801" i="3"/>
  <c r="J801" i="3" s="1"/>
  <c r="K801" i="3" s="1"/>
  <c r="H802" i="3"/>
  <c r="J802" i="3" s="1"/>
  <c r="K802" i="3" s="1"/>
  <c r="H803" i="3"/>
  <c r="J803" i="3" s="1"/>
  <c r="K803" i="3" s="1"/>
  <c r="H804" i="3"/>
  <c r="J804" i="3" s="1"/>
  <c r="K804" i="3" s="1"/>
  <c r="H805" i="3"/>
  <c r="J805" i="3" s="1"/>
  <c r="K805" i="3" s="1"/>
  <c r="H806" i="3"/>
  <c r="J806" i="3" s="1"/>
  <c r="K806" i="3" s="1"/>
  <c r="H807" i="3"/>
  <c r="H808" i="3"/>
  <c r="J808" i="3" s="1"/>
  <c r="K808" i="3" s="1"/>
  <c r="H809" i="3"/>
  <c r="J809" i="3" s="1"/>
  <c r="K809" i="3" s="1"/>
  <c r="H810" i="3"/>
  <c r="J810" i="3" s="1"/>
  <c r="K810" i="3" s="1"/>
  <c r="H811" i="3"/>
  <c r="J811" i="3" s="1"/>
  <c r="K811" i="3" s="1"/>
  <c r="H812" i="3"/>
  <c r="J812" i="3" s="1"/>
  <c r="H813" i="3"/>
  <c r="J813" i="3" s="1"/>
  <c r="H814" i="3"/>
  <c r="J814" i="3" s="1"/>
  <c r="H815" i="3"/>
  <c r="J815" i="3" s="1"/>
  <c r="H816" i="3"/>
  <c r="J816" i="3" s="1"/>
  <c r="H817" i="3"/>
  <c r="J817" i="3" s="1"/>
  <c r="H818" i="3"/>
  <c r="J818" i="3" s="1"/>
  <c r="H819" i="3"/>
  <c r="J819" i="3" s="1"/>
  <c r="H820" i="3"/>
  <c r="J820" i="3" s="1"/>
  <c r="H821" i="3"/>
  <c r="J821" i="3" s="1"/>
  <c r="H822" i="3"/>
  <c r="J822" i="3" s="1"/>
  <c r="H823" i="3"/>
  <c r="J823" i="3" s="1"/>
  <c r="H824" i="3"/>
  <c r="J824" i="3" s="1"/>
  <c r="K824" i="3" s="1"/>
  <c r="H825" i="3"/>
  <c r="J825" i="3" s="1"/>
  <c r="K825" i="3" s="1"/>
  <c r="H826" i="3"/>
  <c r="J826" i="3" s="1"/>
  <c r="K826" i="3" s="1"/>
  <c r="H827" i="3"/>
  <c r="J827" i="3" s="1"/>
  <c r="K827" i="3" s="1"/>
  <c r="H828" i="3"/>
  <c r="J828" i="3" s="1"/>
  <c r="K828" i="3" s="1"/>
  <c r="H829" i="3"/>
  <c r="J829" i="3" s="1"/>
  <c r="K829" i="3" s="1"/>
  <c r="H830" i="3"/>
  <c r="J830" i="3" s="1"/>
  <c r="K830" i="3" s="1"/>
  <c r="H831" i="3"/>
  <c r="J831" i="3" s="1"/>
  <c r="K831" i="3" s="1"/>
  <c r="H832" i="3"/>
  <c r="J832" i="3" s="1"/>
  <c r="K832" i="3" s="1"/>
  <c r="H833" i="3"/>
  <c r="J833" i="3" s="1"/>
  <c r="K833" i="3" s="1"/>
  <c r="H834" i="3"/>
  <c r="J834" i="3" s="1"/>
  <c r="K834" i="3" s="1"/>
  <c r="H835" i="3"/>
  <c r="J835" i="3" s="1"/>
  <c r="K835" i="3" s="1"/>
  <c r="H836" i="3"/>
  <c r="J836" i="3" s="1"/>
  <c r="K836" i="3" s="1"/>
  <c r="H837" i="3"/>
  <c r="J837" i="3" s="1"/>
  <c r="K837" i="3" s="1"/>
  <c r="H838" i="3"/>
  <c r="J838" i="3" s="1"/>
  <c r="K838" i="3" s="1"/>
  <c r="H839" i="3"/>
  <c r="J839" i="3" s="1"/>
  <c r="K839" i="3" s="1"/>
  <c r="H840" i="3"/>
  <c r="J840" i="3" s="1"/>
  <c r="K840" i="3" s="1"/>
  <c r="H841" i="3"/>
  <c r="J841" i="3" s="1"/>
  <c r="K841" i="3" s="1"/>
  <c r="H842" i="3"/>
  <c r="J842" i="3" s="1"/>
  <c r="K842" i="3" s="1"/>
  <c r="H843" i="3"/>
  <c r="J843" i="3" s="1"/>
  <c r="K843" i="3" s="1"/>
  <c r="H844" i="3"/>
  <c r="J844" i="3" s="1"/>
  <c r="K844" i="3" s="1"/>
  <c r="H845" i="3"/>
  <c r="J845" i="3" s="1"/>
  <c r="K845" i="3" s="1"/>
  <c r="H846" i="3"/>
  <c r="J846" i="3" s="1"/>
  <c r="K846" i="3" s="1"/>
  <c r="H847" i="3"/>
  <c r="J847" i="3" s="1"/>
  <c r="K847" i="3" s="1"/>
  <c r="H848" i="3"/>
  <c r="J848" i="3" s="1"/>
  <c r="K848" i="3" s="1"/>
  <c r="H849" i="3"/>
  <c r="J849" i="3" s="1"/>
  <c r="K849" i="3" s="1"/>
  <c r="H850" i="3"/>
  <c r="J850" i="3" s="1"/>
  <c r="K850" i="3" s="1"/>
  <c r="H851" i="3"/>
  <c r="J851" i="3" s="1"/>
  <c r="K851" i="3" s="1"/>
  <c r="H852" i="3"/>
  <c r="J852" i="3" s="1"/>
  <c r="K852" i="3" s="1"/>
  <c r="H853" i="3"/>
  <c r="J853" i="3" s="1"/>
  <c r="K853" i="3" s="1"/>
  <c r="H854" i="3"/>
  <c r="J854" i="3" s="1"/>
  <c r="K854" i="3" s="1"/>
  <c r="H855" i="3"/>
  <c r="J855" i="3" s="1"/>
  <c r="K855" i="3" s="1"/>
  <c r="H856" i="3"/>
  <c r="J856" i="3" s="1"/>
  <c r="K856" i="3" s="1"/>
  <c r="H857" i="3"/>
  <c r="J857" i="3" s="1"/>
  <c r="K857" i="3" s="1"/>
  <c r="H858" i="3"/>
  <c r="J858" i="3" s="1"/>
  <c r="K858" i="3" s="1"/>
  <c r="H859" i="3"/>
  <c r="J859" i="3" s="1"/>
  <c r="K859" i="3" s="1"/>
  <c r="H860" i="3"/>
  <c r="J860" i="3" s="1"/>
  <c r="K860" i="3" s="1"/>
  <c r="H861" i="3"/>
  <c r="J861" i="3" s="1"/>
  <c r="K861" i="3" s="1"/>
  <c r="H862" i="3"/>
  <c r="J862" i="3" s="1"/>
  <c r="K862" i="3" s="1"/>
  <c r="H863" i="3"/>
  <c r="J863" i="3" s="1"/>
  <c r="K863" i="3" s="1"/>
  <c r="H864" i="3"/>
  <c r="J864" i="3" s="1"/>
  <c r="K864" i="3" s="1"/>
  <c r="H865" i="3"/>
  <c r="J865" i="3" s="1"/>
  <c r="K865" i="3" s="1"/>
  <c r="H866" i="3"/>
  <c r="J866" i="3" s="1"/>
  <c r="K866" i="3" s="1"/>
  <c r="H867" i="3"/>
  <c r="J867" i="3" s="1"/>
  <c r="K867" i="3" s="1"/>
  <c r="H868" i="3"/>
  <c r="J868" i="3" s="1"/>
  <c r="K868" i="3" s="1"/>
  <c r="H869" i="3"/>
  <c r="J869" i="3" s="1"/>
  <c r="K869" i="3" s="1"/>
  <c r="H870" i="3"/>
  <c r="J870" i="3" s="1"/>
  <c r="K870" i="3" s="1"/>
  <c r="H871" i="3"/>
  <c r="J871" i="3" s="1"/>
  <c r="K871" i="3" s="1"/>
  <c r="H872" i="3"/>
  <c r="J872" i="3" s="1"/>
  <c r="K872" i="3" s="1"/>
  <c r="H873" i="3"/>
  <c r="J873" i="3" s="1"/>
  <c r="K873" i="3" s="1"/>
  <c r="H874" i="3"/>
  <c r="J874" i="3" s="1"/>
  <c r="K874" i="3" s="1"/>
  <c r="H875" i="3"/>
  <c r="J875" i="3" s="1"/>
  <c r="K875" i="3" s="1"/>
  <c r="H876" i="3"/>
  <c r="J876" i="3" s="1"/>
  <c r="K876" i="3" s="1"/>
  <c r="H877" i="3"/>
  <c r="J877" i="3" s="1"/>
  <c r="K877" i="3" s="1"/>
  <c r="H878" i="3"/>
  <c r="J878" i="3" s="1"/>
  <c r="K878" i="3" s="1"/>
  <c r="H879" i="3"/>
  <c r="J879" i="3" s="1"/>
  <c r="K879" i="3" s="1"/>
  <c r="H880" i="3"/>
  <c r="J880" i="3" s="1"/>
  <c r="K880" i="3" s="1"/>
  <c r="H881" i="3"/>
  <c r="J881" i="3" s="1"/>
  <c r="K881" i="3" s="1"/>
  <c r="H882" i="3"/>
  <c r="J882" i="3" s="1"/>
  <c r="K882" i="3" s="1"/>
  <c r="H883" i="3"/>
  <c r="J883" i="3" s="1"/>
  <c r="K883" i="3" s="1"/>
  <c r="H884" i="3"/>
  <c r="J884" i="3" s="1"/>
  <c r="K884" i="3" s="1"/>
  <c r="H885" i="3"/>
  <c r="J885" i="3" s="1"/>
  <c r="K885" i="3" s="1"/>
  <c r="H886" i="3"/>
  <c r="J886" i="3" s="1"/>
  <c r="K886" i="3" s="1"/>
  <c r="H887" i="3"/>
  <c r="J887" i="3" s="1"/>
  <c r="K887" i="3" s="1"/>
  <c r="H888" i="3"/>
  <c r="J888" i="3" s="1"/>
  <c r="K888" i="3" s="1"/>
  <c r="H889" i="3"/>
  <c r="J889" i="3" s="1"/>
  <c r="K889" i="3" s="1"/>
  <c r="H890" i="3"/>
  <c r="J890" i="3" s="1"/>
  <c r="K890" i="3" s="1"/>
  <c r="H891" i="3"/>
  <c r="J891" i="3" s="1"/>
  <c r="K891" i="3" s="1"/>
  <c r="H892" i="3"/>
  <c r="J892" i="3" s="1"/>
  <c r="K892" i="3" s="1"/>
  <c r="H893" i="3"/>
  <c r="J893" i="3" s="1"/>
  <c r="K893" i="3" s="1"/>
  <c r="H894" i="3"/>
  <c r="J894" i="3" s="1"/>
  <c r="K894" i="3" s="1"/>
  <c r="H895" i="3"/>
  <c r="J895" i="3" s="1"/>
  <c r="K895" i="3" s="1"/>
  <c r="H896" i="3"/>
  <c r="J896" i="3" s="1"/>
  <c r="K896" i="3" s="1"/>
  <c r="H897" i="3"/>
  <c r="J897" i="3" s="1"/>
  <c r="K897" i="3" s="1"/>
  <c r="H898" i="3"/>
  <c r="J898" i="3" s="1"/>
  <c r="K898" i="3" s="1"/>
  <c r="H899" i="3"/>
  <c r="J899" i="3" s="1"/>
  <c r="K899" i="3" s="1"/>
  <c r="H900" i="3"/>
  <c r="J900" i="3" s="1"/>
  <c r="K900" i="3" s="1"/>
  <c r="H901" i="3"/>
  <c r="J901" i="3" s="1"/>
  <c r="K901" i="3" s="1"/>
  <c r="H902" i="3"/>
  <c r="J902" i="3" s="1"/>
  <c r="K902" i="3" s="1"/>
  <c r="H903" i="3"/>
  <c r="J903" i="3" s="1"/>
  <c r="K903" i="3" s="1"/>
  <c r="H904" i="3"/>
  <c r="J904" i="3" s="1"/>
  <c r="K904" i="3" s="1"/>
  <c r="H905" i="3"/>
  <c r="J905" i="3" s="1"/>
  <c r="K905" i="3" s="1"/>
  <c r="H906" i="3"/>
  <c r="J906" i="3" s="1"/>
  <c r="K906" i="3" s="1"/>
  <c r="H907" i="3"/>
  <c r="J907" i="3" s="1"/>
  <c r="K907" i="3" s="1"/>
  <c r="H908" i="3"/>
  <c r="J908" i="3" s="1"/>
  <c r="K908" i="3" s="1"/>
  <c r="H909" i="3"/>
  <c r="J909" i="3" s="1"/>
  <c r="K909" i="3" s="1"/>
  <c r="H910" i="3"/>
  <c r="J910" i="3" s="1"/>
  <c r="K910" i="3" s="1"/>
  <c r="H911" i="3"/>
  <c r="J911" i="3" s="1"/>
  <c r="K911" i="3" s="1"/>
  <c r="H912" i="3"/>
  <c r="J912" i="3" s="1"/>
  <c r="K912" i="3" s="1"/>
  <c r="H913" i="3"/>
  <c r="J913" i="3" s="1"/>
  <c r="K913" i="3" s="1"/>
  <c r="H914" i="3"/>
  <c r="J914" i="3" s="1"/>
  <c r="K914" i="3" s="1"/>
  <c r="H915" i="3"/>
  <c r="J915" i="3" s="1"/>
  <c r="K915" i="3" s="1"/>
  <c r="H916" i="3"/>
  <c r="J916" i="3" s="1"/>
  <c r="K916" i="3" s="1"/>
  <c r="H917" i="3"/>
  <c r="J917" i="3" s="1"/>
  <c r="K917" i="3" s="1"/>
  <c r="H918" i="3"/>
  <c r="J918" i="3" s="1"/>
  <c r="K918" i="3" s="1"/>
  <c r="H919" i="3"/>
  <c r="J919" i="3" s="1"/>
  <c r="K919" i="3" s="1"/>
  <c r="H920" i="3"/>
  <c r="J920" i="3" s="1"/>
  <c r="K920" i="3" s="1"/>
  <c r="H921" i="3"/>
  <c r="J921" i="3" s="1"/>
  <c r="K921" i="3" s="1"/>
  <c r="H922" i="3"/>
  <c r="J922" i="3" s="1"/>
  <c r="K922" i="3" s="1"/>
  <c r="H923" i="3"/>
  <c r="J923" i="3" s="1"/>
  <c r="K923" i="3" s="1"/>
  <c r="H924" i="3"/>
  <c r="J924" i="3" s="1"/>
  <c r="K924" i="3" s="1"/>
  <c r="H925" i="3"/>
  <c r="J925" i="3" s="1"/>
  <c r="K925" i="3" s="1"/>
  <c r="H926" i="3"/>
  <c r="J926" i="3" s="1"/>
  <c r="K926" i="3" s="1"/>
  <c r="H927" i="3"/>
  <c r="J927" i="3" s="1"/>
  <c r="K927" i="3" s="1"/>
  <c r="H928" i="3"/>
  <c r="J928" i="3" s="1"/>
  <c r="K928" i="3" s="1"/>
  <c r="H932" i="3"/>
  <c r="J932" i="3" s="1"/>
  <c r="K932" i="3" s="1"/>
  <c r="H933" i="3"/>
  <c r="J933" i="3" s="1"/>
  <c r="K933" i="3" s="1"/>
  <c r="H934" i="3"/>
  <c r="J934" i="3" s="1"/>
  <c r="K934" i="3" s="1"/>
  <c r="H935" i="3"/>
  <c r="J935" i="3" s="1"/>
  <c r="K935" i="3" s="1"/>
  <c r="H936" i="3"/>
  <c r="J936" i="3" s="1"/>
  <c r="K936" i="3" s="1"/>
  <c r="H937" i="3"/>
  <c r="J937" i="3" s="1"/>
  <c r="K937" i="3" s="1"/>
  <c r="H938" i="3"/>
  <c r="J938" i="3" s="1"/>
  <c r="K938" i="3" s="1"/>
  <c r="H939" i="3"/>
  <c r="J939" i="3" s="1"/>
  <c r="K939" i="3" s="1"/>
  <c r="H940" i="3"/>
  <c r="J940" i="3" s="1"/>
  <c r="K940" i="3" s="1"/>
  <c r="H941" i="3"/>
  <c r="J941" i="3" s="1"/>
  <c r="K941" i="3" s="1"/>
  <c r="H942" i="3"/>
  <c r="J942" i="3" s="1"/>
  <c r="K942" i="3" s="1"/>
  <c r="H943" i="3"/>
  <c r="J943" i="3" s="1"/>
  <c r="K943" i="3" s="1"/>
  <c r="H944" i="3"/>
  <c r="J944" i="3" s="1"/>
  <c r="K944" i="3" s="1"/>
  <c r="H945" i="3"/>
  <c r="J945" i="3" s="1"/>
  <c r="K945" i="3" s="1"/>
  <c r="H946" i="3"/>
  <c r="J946" i="3" s="1"/>
  <c r="K946" i="3" s="1"/>
  <c r="H947" i="3"/>
  <c r="J947" i="3" s="1"/>
  <c r="K947" i="3" s="1"/>
  <c r="H948" i="3"/>
  <c r="J948" i="3" s="1"/>
  <c r="K948" i="3" s="1"/>
  <c r="H949" i="3"/>
  <c r="J949" i="3" s="1"/>
  <c r="K949" i="3" s="1"/>
  <c r="H950" i="3"/>
  <c r="J950" i="3" s="1"/>
  <c r="K950" i="3" s="1"/>
  <c r="H951" i="3"/>
  <c r="J951" i="3" s="1"/>
  <c r="K951" i="3" s="1"/>
  <c r="H952" i="3"/>
  <c r="J952" i="3" s="1"/>
  <c r="K952" i="3" s="1"/>
  <c r="H953" i="3"/>
  <c r="J953" i="3" s="1"/>
  <c r="K953" i="3" s="1"/>
  <c r="H954" i="3"/>
  <c r="J954" i="3" s="1"/>
  <c r="K954" i="3" s="1"/>
  <c r="H955" i="3"/>
  <c r="J955" i="3" s="1"/>
  <c r="K955" i="3" s="1"/>
  <c r="H956" i="3"/>
  <c r="J956" i="3" s="1"/>
  <c r="K956" i="3" s="1"/>
  <c r="H957" i="3"/>
  <c r="J957" i="3" s="1"/>
  <c r="K957" i="3" s="1"/>
  <c r="H958" i="3"/>
  <c r="J958" i="3" s="1"/>
  <c r="K958" i="3" s="1"/>
  <c r="H959" i="3"/>
  <c r="J959" i="3" s="1"/>
  <c r="K959" i="3" s="1"/>
  <c r="H960" i="3"/>
  <c r="J960" i="3" s="1"/>
  <c r="K960" i="3" s="1"/>
  <c r="H961" i="3"/>
  <c r="J961" i="3" s="1"/>
  <c r="K961" i="3" s="1"/>
  <c r="H962" i="3"/>
  <c r="J962" i="3" s="1"/>
  <c r="K962" i="3" s="1"/>
  <c r="H798" i="3"/>
  <c r="J798" i="3" s="1"/>
  <c r="K798" i="3" s="1"/>
  <c r="H796" i="3"/>
  <c r="J796" i="3" s="1"/>
  <c r="K796" i="3" s="1"/>
  <c r="H789" i="3"/>
  <c r="J789" i="3" s="1"/>
  <c r="K789" i="3" s="1"/>
  <c r="H780" i="3"/>
  <c r="H781" i="3"/>
  <c r="H782" i="3"/>
  <c r="H783" i="3"/>
  <c r="J783" i="3" s="1"/>
  <c r="H784" i="3"/>
  <c r="J784" i="3" s="1"/>
  <c r="H786" i="3"/>
  <c r="J786" i="3" s="1"/>
  <c r="H787" i="3"/>
  <c r="J787" i="3" s="1"/>
  <c r="H788" i="3"/>
  <c r="J788" i="3" s="1"/>
  <c r="H790" i="3"/>
  <c r="J790" i="3" s="1"/>
  <c r="H791" i="3"/>
  <c r="J791" i="3" s="1"/>
  <c r="K791" i="3" s="1"/>
  <c r="H792" i="3"/>
  <c r="J792" i="3" s="1"/>
  <c r="K792" i="3" s="1"/>
  <c r="H793" i="3"/>
  <c r="J793" i="3" s="1"/>
  <c r="K793" i="3" s="1"/>
  <c r="H794" i="3"/>
  <c r="J794" i="3" s="1"/>
  <c r="K794" i="3" s="1"/>
  <c r="H795" i="3"/>
  <c r="J795" i="3" s="1"/>
  <c r="K795" i="3" s="1"/>
  <c r="H779" i="3"/>
  <c r="H778" i="3"/>
  <c r="H769" i="3"/>
  <c r="J769" i="3" s="1"/>
  <c r="K769" i="3" s="1"/>
  <c r="J807" i="3" l="1"/>
  <c r="K807" i="3" s="1"/>
  <c r="H742" i="3"/>
  <c r="J742" i="3" s="1"/>
  <c r="K742" i="3" s="1"/>
  <c r="H740" i="3"/>
  <c r="J740" i="3" s="1"/>
  <c r="K740" i="3" s="1"/>
  <c r="H739" i="3"/>
  <c r="J739" i="3" s="1"/>
  <c r="K739" i="3" s="1"/>
  <c r="H738" i="3"/>
  <c r="J738" i="3" s="1"/>
  <c r="K738" i="3" s="1"/>
  <c r="H737" i="3"/>
  <c r="J737" i="3" s="1"/>
  <c r="K737" i="3" s="1"/>
  <c r="H736" i="3"/>
  <c r="J736" i="3" s="1"/>
  <c r="K736" i="3" s="1"/>
  <c r="H735" i="3"/>
  <c r="J735" i="3" s="1"/>
  <c r="K735" i="3" s="1"/>
  <c r="H734" i="3"/>
  <c r="J734" i="3" s="1"/>
  <c r="K734" i="3" s="1"/>
  <c r="H733" i="3"/>
  <c r="J733" i="3" s="1"/>
  <c r="K733" i="3" s="1"/>
  <c r="H732" i="3"/>
  <c r="J732" i="3" s="1"/>
  <c r="K732" i="3" s="1"/>
  <c r="H731" i="3"/>
  <c r="J731" i="3" s="1"/>
  <c r="K731" i="3" s="1"/>
  <c r="H730" i="3"/>
  <c r="J730" i="3" s="1"/>
  <c r="K730" i="3" s="1"/>
  <c r="H729" i="3"/>
  <c r="J729" i="3" s="1"/>
  <c r="K729" i="3" s="1"/>
  <c r="H728" i="3"/>
  <c r="J728" i="3" s="1"/>
  <c r="K728" i="3" s="1"/>
  <c r="H727" i="3"/>
  <c r="J727" i="3" s="1"/>
  <c r="K727" i="3" s="1"/>
  <c r="H726" i="3"/>
  <c r="J726" i="3" s="1"/>
  <c r="K726" i="3" s="1"/>
  <c r="H725" i="3"/>
  <c r="J725" i="3" s="1"/>
  <c r="K725" i="3" s="1"/>
  <c r="H724" i="3"/>
  <c r="J724" i="3" s="1"/>
  <c r="K724" i="3" s="1"/>
  <c r="H723" i="3"/>
  <c r="J723" i="3" s="1"/>
  <c r="K723" i="3" s="1"/>
  <c r="H722" i="3"/>
  <c r="J722" i="3" s="1"/>
  <c r="K722" i="3" s="1"/>
  <c r="H721" i="3"/>
  <c r="J721" i="3" s="1"/>
  <c r="K721" i="3" s="1"/>
  <c r="H720" i="3"/>
  <c r="J720" i="3" s="1"/>
  <c r="K720" i="3" s="1"/>
  <c r="H719" i="3"/>
  <c r="J719" i="3" s="1"/>
  <c r="K719" i="3" s="1"/>
  <c r="H718" i="3"/>
  <c r="J718" i="3" s="1"/>
  <c r="K718" i="3" s="1"/>
  <c r="H717" i="3"/>
  <c r="J717" i="3" s="1"/>
  <c r="K717" i="3" s="1"/>
  <c r="H716" i="3"/>
  <c r="J716" i="3" s="1"/>
  <c r="K716" i="3" s="1"/>
  <c r="H715" i="3"/>
  <c r="J715" i="3" s="1"/>
  <c r="K715" i="3" s="1"/>
  <c r="H714" i="3"/>
  <c r="J714" i="3" s="1"/>
  <c r="K714" i="3" s="1"/>
  <c r="H713" i="3"/>
  <c r="J713" i="3" s="1"/>
  <c r="K713" i="3" s="1"/>
  <c r="H712" i="3"/>
  <c r="J712" i="3" s="1"/>
  <c r="K712" i="3" s="1"/>
  <c r="H711" i="3"/>
  <c r="J711" i="3" s="1"/>
  <c r="K711" i="3" s="1"/>
  <c r="H710" i="3"/>
  <c r="J710" i="3" s="1"/>
  <c r="K710" i="3" s="1"/>
  <c r="H709" i="3"/>
  <c r="J709" i="3" s="1"/>
  <c r="K709" i="3" s="1"/>
  <c r="H708" i="3"/>
  <c r="J708" i="3" s="1"/>
  <c r="K708" i="3" s="1"/>
  <c r="H707" i="3"/>
  <c r="J707" i="3" s="1"/>
  <c r="K707" i="3" s="1"/>
  <c r="H706" i="3"/>
  <c r="J706" i="3" s="1"/>
  <c r="K706" i="3" s="1"/>
  <c r="H705" i="3"/>
  <c r="J705" i="3" s="1"/>
  <c r="K705" i="3" s="1"/>
  <c r="H704" i="3"/>
  <c r="J704" i="3" s="1"/>
  <c r="K704" i="3" s="1"/>
  <c r="H703" i="3"/>
  <c r="J703" i="3" s="1"/>
  <c r="K703" i="3" s="1"/>
  <c r="H702" i="3"/>
  <c r="J702" i="3" s="1"/>
  <c r="K702" i="3" s="1"/>
  <c r="H701" i="3"/>
  <c r="J701" i="3" s="1"/>
  <c r="K701" i="3" s="1"/>
  <c r="H700" i="3"/>
  <c r="J700" i="3" s="1"/>
  <c r="K700" i="3" s="1"/>
  <c r="H699" i="3"/>
  <c r="J699" i="3" s="1"/>
  <c r="K699" i="3" s="1"/>
  <c r="H698" i="3"/>
  <c r="J698" i="3" s="1"/>
  <c r="K698" i="3" s="1"/>
  <c r="H697" i="3"/>
  <c r="J697" i="3" s="1"/>
  <c r="K697" i="3" s="1"/>
  <c r="H696" i="3"/>
  <c r="J696" i="3" s="1"/>
  <c r="K696" i="3" s="1"/>
  <c r="H695" i="3"/>
  <c r="J695" i="3" s="1"/>
  <c r="K695" i="3" s="1"/>
  <c r="H694" i="3"/>
  <c r="J694" i="3" s="1"/>
  <c r="K694" i="3" s="1"/>
  <c r="H693" i="3"/>
  <c r="J693" i="3" s="1"/>
  <c r="K693" i="3" s="1"/>
  <c r="H692" i="3"/>
  <c r="J692" i="3" s="1"/>
  <c r="K692" i="3" s="1"/>
  <c r="J691" i="3"/>
  <c r="K691" i="3" s="1"/>
  <c r="H690" i="3"/>
  <c r="J690" i="3" s="1"/>
  <c r="K690" i="3" s="1"/>
  <c r="H689" i="3"/>
  <c r="J689" i="3" s="1"/>
  <c r="K689" i="3" s="1"/>
  <c r="H688" i="3"/>
  <c r="J688" i="3" s="1"/>
  <c r="K688" i="3" s="1"/>
  <c r="H687" i="3"/>
  <c r="J687" i="3" s="1"/>
  <c r="K687" i="3" s="1"/>
  <c r="H686" i="3"/>
  <c r="J686" i="3" s="1"/>
  <c r="K686" i="3" s="1"/>
  <c r="H685" i="3"/>
  <c r="J685" i="3" s="1"/>
  <c r="K685" i="3" s="1"/>
  <c r="H684" i="3"/>
  <c r="J684" i="3" s="1"/>
  <c r="K684" i="3" s="1"/>
  <c r="H683" i="3"/>
  <c r="J683" i="3" s="1"/>
  <c r="K683" i="3" s="1"/>
  <c r="H682" i="3"/>
  <c r="J682" i="3" s="1"/>
  <c r="K682" i="3" s="1"/>
  <c r="H681" i="3"/>
  <c r="J681" i="3" s="1"/>
  <c r="K681" i="3" s="1"/>
  <c r="H680" i="3"/>
  <c r="J680" i="3" s="1"/>
  <c r="K680" i="3" s="1"/>
  <c r="H679" i="3"/>
  <c r="J679" i="3" s="1"/>
  <c r="K679" i="3" s="1"/>
  <c r="H678" i="3"/>
  <c r="J678" i="3" s="1"/>
  <c r="K678" i="3" s="1"/>
  <c r="H677" i="3"/>
  <c r="J677" i="3" s="1"/>
  <c r="K677" i="3" s="1"/>
  <c r="H676" i="3"/>
  <c r="J676" i="3" s="1"/>
  <c r="K676" i="3" s="1"/>
  <c r="H675" i="3"/>
  <c r="J675" i="3" s="1"/>
  <c r="K675" i="3" s="1"/>
  <c r="H674" i="3"/>
  <c r="J674" i="3" s="1"/>
  <c r="K674" i="3" s="1"/>
  <c r="H673" i="3"/>
  <c r="J673" i="3" s="1"/>
  <c r="K673" i="3" s="1"/>
  <c r="H672" i="3"/>
  <c r="J672" i="3" s="1"/>
  <c r="K672" i="3" s="1"/>
  <c r="H671" i="3"/>
  <c r="J671" i="3" s="1"/>
  <c r="K671" i="3" s="1"/>
  <c r="H670" i="3"/>
  <c r="J670" i="3" s="1"/>
  <c r="K670" i="3" s="1"/>
  <c r="H669" i="3"/>
  <c r="J669" i="3" s="1"/>
  <c r="K669" i="3" s="1"/>
  <c r="H668" i="3"/>
  <c r="J668" i="3" s="1"/>
  <c r="K668" i="3" s="1"/>
  <c r="H667" i="3"/>
  <c r="J667" i="3" s="1"/>
  <c r="K667" i="3" s="1"/>
  <c r="H666" i="3"/>
  <c r="J666" i="3" s="1"/>
  <c r="K666" i="3" s="1"/>
  <c r="H665" i="3"/>
  <c r="J665" i="3" s="1"/>
  <c r="K665" i="3" s="1"/>
  <c r="H664" i="3"/>
  <c r="J664" i="3" s="1"/>
  <c r="K664" i="3" s="1"/>
  <c r="H663" i="3"/>
  <c r="J663" i="3" s="1"/>
  <c r="K663" i="3" s="1"/>
  <c r="H662" i="3"/>
  <c r="J662" i="3" s="1"/>
  <c r="K662" i="3" s="1"/>
  <c r="H661" i="3"/>
  <c r="J661" i="3" s="1"/>
  <c r="K661" i="3" s="1"/>
  <c r="H660" i="3"/>
  <c r="J660" i="3" s="1"/>
  <c r="K660" i="3" s="1"/>
  <c r="H659" i="3"/>
  <c r="J659" i="3" s="1"/>
  <c r="K659" i="3" s="1"/>
  <c r="H658" i="3"/>
  <c r="J658" i="3" s="1"/>
  <c r="K658" i="3" s="1"/>
  <c r="H657" i="3"/>
  <c r="J657" i="3" s="1"/>
  <c r="K657" i="3" s="1"/>
  <c r="H656" i="3"/>
  <c r="J656" i="3" s="1"/>
  <c r="K656" i="3" s="1"/>
  <c r="H655" i="3"/>
  <c r="J655" i="3" s="1"/>
  <c r="K655" i="3" s="1"/>
  <c r="H654" i="3"/>
  <c r="J654" i="3" s="1"/>
  <c r="K654" i="3" s="1"/>
  <c r="H653" i="3"/>
  <c r="J653" i="3" s="1"/>
  <c r="K653" i="3" s="1"/>
  <c r="H652" i="3"/>
  <c r="J652" i="3" s="1"/>
  <c r="K652" i="3" s="1"/>
  <c r="H651" i="3"/>
  <c r="J651" i="3" s="1"/>
  <c r="K651" i="3" s="1"/>
  <c r="H650" i="3"/>
  <c r="J650" i="3" s="1"/>
  <c r="K650" i="3" s="1"/>
  <c r="H649" i="3"/>
  <c r="J649" i="3" s="1"/>
  <c r="K649" i="3" s="1"/>
  <c r="H648" i="3"/>
  <c r="J648" i="3" s="1"/>
  <c r="K648" i="3" s="1"/>
  <c r="H647" i="3"/>
  <c r="J647" i="3" s="1"/>
  <c r="K647" i="3" s="1"/>
  <c r="H646" i="3"/>
  <c r="J646" i="3" s="1"/>
  <c r="K646" i="3" s="1"/>
  <c r="H645" i="3"/>
  <c r="J645" i="3" s="1"/>
  <c r="K645" i="3" s="1"/>
  <c r="H644" i="3"/>
  <c r="J644" i="3" s="1"/>
  <c r="K644" i="3" s="1"/>
  <c r="H643" i="3"/>
  <c r="J643" i="3" s="1"/>
  <c r="K643" i="3" s="1"/>
  <c r="H642" i="3"/>
  <c r="J642" i="3" s="1"/>
  <c r="K642" i="3" s="1"/>
  <c r="H641" i="3"/>
  <c r="J641" i="3" s="1"/>
  <c r="K641" i="3" s="1"/>
  <c r="H640" i="3"/>
  <c r="J640" i="3" s="1"/>
  <c r="K640" i="3" s="1"/>
  <c r="H639" i="3"/>
  <c r="J639" i="3" s="1"/>
  <c r="K639" i="3" s="1"/>
  <c r="H638" i="3"/>
  <c r="J638" i="3" s="1"/>
  <c r="K638" i="3" s="1"/>
  <c r="H637" i="3"/>
  <c r="J637" i="3" s="1"/>
  <c r="K637" i="3" s="1"/>
  <c r="H636" i="3"/>
  <c r="J636" i="3" s="1"/>
  <c r="K636" i="3" s="1"/>
  <c r="H635" i="3"/>
  <c r="J635" i="3" s="1"/>
  <c r="K635" i="3" s="1"/>
  <c r="H634" i="3"/>
  <c r="J634" i="3" s="1"/>
  <c r="K634" i="3" s="1"/>
  <c r="H633" i="3"/>
  <c r="J633" i="3" s="1"/>
  <c r="K633" i="3" s="1"/>
  <c r="H632" i="3"/>
  <c r="J632" i="3" s="1"/>
  <c r="K632" i="3" s="1"/>
  <c r="J631" i="3"/>
  <c r="H630" i="3"/>
  <c r="J630" i="3" s="1"/>
  <c r="K630" i="3" s="1"/>
  <c r="H629" i="3"/>
  <c r="J629" i="3" s="1"/>
  <c r="K629" i="3" s="1"/>
  <c r="H628" i="3"/>
  <c r="J628" i="3" s="1"/>
  <c r="K628" i="3" s="1"/>
  <c r="H627" i="3"/>
  <c r="J627" i="3" s="1"/>
  <c r="K627" i="3" s="1"/>
  <c r="H626" i="3"/>
  <c r="J626" i="3" s="1"/>
  <c r="K626" i="3" s="1"/>
  <c r="H625" i="3"/>
  <c r="J625" i="3" s="1"/>
  <c r="K625" i="3" s="1"/>
  <c r="H624" i="3"/>
  <c r="J624" i="3" s="1"/>
  <c r="K624" i="3" s="1"/>
  <c r="H623" i="3"/>
  <c r="J623" i="3" s="1"/>
  <c r="K623" i="3" s="1"/>
  <c r="H622" i="3"/>
  <c r="J622" i="3" s="1"/>
  <c r="K622" i="3" s="1"/>
  <c r="H621" i="3"/>
  <c r="J621" i="3" s="1"/>
  <c r="K621" i="3" s="1"/>
  <c r="H620" i="3"/>
  <c r="J620" i="3" s="1"/>
  <c r="K620" i="3" s="1"/>
  <c r="H619" i="3"/>
  <c r="J619" i="3" s="1"/>
  <c r="K619" i="3" s="1"/>
  <c r="H618" i="3"/>
  <c r="J618" i="3" s="1"/>
  <c r="K618" i="3" s="1"/>
  <c r="H617" i="3"/>
  <c r="J617" i="3" s="1"/>
  <c r="K617" i="3" s="1"/>
  <c r="H616" i="3"/>
  <c r="J616" i="3" s="1"/>
  <c r="K616" i="3" s="1"/>
  <c r="H615" i="3"/>
  <c r="J615" i="3" s="1"/>
  <c r="K615" i="3" s="1"/>
  <c r="H614" i="3"/>
  <c r="J614" i="3" s="1"/>
  <c r="K614" i="3" s="1"/>
  <c r="H613" i="3"/>
  <c r="J613" i="3" s="1"/>
  <c r="K613" i="3" s="1"/>
  <c r="H612" i="3"/>
  <c r="J612" i="3" s="1"/>
  <c r="K612" i="3" s="1"/>
  <c r="H611" i="3"/>
  <c r="J611" i="3" s="1"/>
  <c r="K611" i="3" s="1"/>
  <c r="H610" i="3"/>
  <c r="J610" i="3" s="1"/>
  <c r="K610" i="3" s="1"/>
  <c r="H609" i="3"/>
  <c r="J609" i="3" s="1"/>
  <c r="K609" i="3" s="1"/>
  <c r="H608" i="3"/>
  <c r="J608" i="3" s="1"/>
  <c r="K608" i="3" s="1"/>
  <c r="H607" i="3"/>
  <c r="J607" i="3" s="1"/>
  <c r="K607" i="3" s="1"/>
  <c r="H606" i="3"/>
  <c r="J606" i="3" s="1"/>
  <c r="K606" i="3" s="1"/>
  <c r="H605" i="3"/>
  <c r="J605" i="3" s="1"/>
  <c r="K605" i="3" s="1"/>
  <c r="H741" i="3"/>
  <c r="J741" i="3" s="1"/>
  <c r="K741" i="3" s="1"/>
  <c r="H743" i="3"/>
  <c r="J743" i="3" s="1"/>
  <c r="K743" i="3" s="1"/>
  <c r="H744" i="3"/>
  <c r="J744" i="3" s="1"/>
  <c r="K744" i="3" s="1"/>
  <c r="J778" i="3" l="1"/>
  <c r="K778" i="3" s="1"/>
  <c r="J779" i="3"/>
  <c r="K779" i="3" s="1"/>
  <c r="J780" i="3"/>
  <c r="K780" i="3" s="1"/>
  <c r="J781" i="3"/>
  <c r="K781" i="3" s="1"/>
  <c r="J782" i="3"/>
  <c r="K782" i="3" s="1"/>
  <c r="H745" i="3"/>
  <c r="J745" i="3" s="1"/>
  <c r="K745" i="3" s="1"/>
  <c r="H746" i="3"/>
  <c r="J746" i="3" s="1"/>
  <c r="K746" i="3" s="1"/>
  <c r="H747" i="3"/>
  <c r="J747" i="3" s="1"/>
  <c r="K747" i="3" s="1"/>
  <c r="H748" i="3"/>
  <c r="J748" i="3" s="1"/>
  <c r="K748" i="3" s="1"/>
  <c r="H749" i="3"/>
  <c r="J749" i="3" s="1"/>
  <c r="K749" i="3" s="1"/>
  <c r="H750" i="3"/>
  <c r="J750" i="3" s="1"/>
  <c r="K750" i="3" s="1"/>
  <c r="H751" i="3"/>
  <c r="J751" i="3" s="1"/>
  <c r="K751" i="3" s="1"/>
  <c r="H752" i="3"/>
  <c r="J752" i="3" s="1"/>
  <c r="K752" i="3" s="1"/>
  <c r="H753" i="3"/>
  <c r="J753" i="3" s="1"/>
  <c r="K753" i="3" s="1"/>
  <c r="H754" i="3"/>
  <c r="J754" i="3" s="1"/>
  <c r="K754" i="3" s="1"/>
  <c r="H755" i="3"/>
  <c r="J755" i="3" s="1"/>
  <c r="K755" i="3" s="1"/>
  <c r="H756" i="3"/>
  <c r="J756" i="3" s="1"/>
  <c r="K756" i="3" s="1"/>
  <c r="H757" i="3"/>
  <c r="J757" i="3" s="1"/>
  <c r="K757" i="3" s="1"/>
  <c r="H758" i="3"/>
  <c r="H759" i="3"/>
  <c r="J759" i="3" s="1"/>
  <c r="K759" i="3" s="1"/>
  <c r="H760" i="3"/>
  <c r="J760" i="3" s="1"/>
  <c r="K760" i="3" s="1"/>
  <c r="H761" i="3"/>
  <c r="J761" i="3" s="1"/>
  <c r="K761" i="3" s="1"/>
  <c r="H762" i="3"/>
  <c r="J762" i="3" s="1"/>
  <c r="K762" i="3" s="1"/>
  <c r="H763" i="3"/>
  <c r="J763" i="3" s="1"/>
  <c r="K763" i="3" s="1"/>
  <c r="H764" i="3"/>
  <c r="J764" i="3" s="1"/>
  <c r="K764" i="3" s="1"/>
  <c r="H765" i="3"/>
  <c r="J765" i="3" s="1"/>
  <c r="K765" i="3" s="1"/>
  <c r="H766" i="3"/>
  <c r="J766" i="3" s="1"/>
  <c r="K766" i="3" s="1"/>
  <c r="H767" i="3"/>
  <c r="J767" i="3" s="1"/>
  <c r="K767" i="3" s="1"/>
  <c r="H768" i="3"/>
  <c r="J768" i="3" s="1"/>
  <c r="K768" i="3" s="1"/>
  <c r="H770" i="3"/>
  <c r="J770" i="3" s="1"/>
  <c r="K770" i="3" s="1"/>
  <c r="H771" i="3"/>
  <c r="J771" i="3" s="1"/>
  <c r="K771" i="3" s="1"/>
  <c r="H772" i="3"/>
  <c r="J772" i="3" s="1"/>
  <c r="K772" i="3" s="1"/>
  <c r="H773" i="3"/>
  <c r="J773" i="3" s="1"/>
  <c r="K773" i="3" s="1"/>
  <c r="H774" i="3"/>
  <c r="J774" i="3" s="1"/>
  <c r="K774" i="3" s="1"/>
  <c r="H775" i="3"/>
  <c r="J775" i="3" s="1"/>
  <c r="K775" i="3" s="1"/>
  <c r="H776" i="3"/>
  <c r="J776" i="3" s="1"/>
  <c r="K776" i="3" s="1"/>
  <c r="H777" i="3"/>
  <c r="J777" i="3" s="1"/>
  <c r="K777" i="3" s="1"/>
  <c r="K783" i="3"/>
  <c r="K784" i="3"/>
  <c r="K786" i="3"/>
  <c r="K787" i="3"/>
  <c r="K788" i="3"/>
  <c r="K790" i="3"/>
  <c r="J758" i="3" l="1"/>
  <c r="K758" i="3" s="1"/>
  <c r="H603" i="3"/>
  <c r="J603" i="3" s="1"/>
  <c r="K603" i="3" s="1"/>
  <c r="H604" i="3"/>
  <c r="J604" i="3" s="1"/>
  <c r="K604" i="3" s="1"/>
  <c r="H560" i="3"/>
  <c r="J560" i="3" s="1"/>
  <c r="K560" i="3" s="1"/>
  <c r="H561" i="3"/>
  <c r="J561" i="3" s="1"/>
  <c r="K561" i="3" s="1"/>
  <c r="H562" i="3"/>
  <c r="J562" i="3" s="1"/>
  <c r="K562" i="3" s="1"/>
  <c r="H563" i="3"/>
  <c r="J563" i="3" s="1"/>
  <c r="K563" i="3" s="1"/>
  <c r="H564" i="3"/>
  <c r="J564" i="3" s="1"/>
  <c r="K564" i="3" s="1"/>
  <c r="H565" i="3"/>
  <c r="J565" i="3" s="1"/>
  <c r="K565" i="3" s="1"/>
  <c r="H566" i="3"/>
  <c r="J566" i="3" s="1"/>
  <c r="K566" i="3" s="1"/>
  <c r="H567" i="3"/>
  <c r="J567" i="3" s="1"/>
  <c r="K567" i="3" s="1"/>
  <c r="H568" i="3"/>
  <c r="J568" i="3" s="1"/>
  <c r="K568" i="3" s="1"/>
  <c r="H569" i="3"/>
  <c r="J569" i="3" s="1"/>
  <c r="K569" i="3" s="1"/>
  <c r="H570" i="3"/>
  <c r="J570" i="3" s="1"/>
  <c r="K570" i="3" s="1"/>
  <c r="H571" i="3"/>
  <c r="J571" i="3" s="1"/>
  <c r="K571" i="3" s="1"/>
  <c r="H572" i="3"/>
  <c r="J572" i="3" s="1"/>
  <c r="K572" i="3" s="1"/>
  <c r="H573" i="3"/>
  <c r="J573" i="3" s="1"/>
  <c r="K573" i="3" s="1"/>
  <c r="H574" i="3"/>
  <c r="J574" i="3" s="1"/>
  <c r="K574" i="3" s="1"/>
  <c r="H575" i="3"/>
  <c r="J575" i="3" s="1"/>
  <c r="K575" i="3" s="1"/>
  <c r="H576" i="3"/>
  <c r="J576" i="3" s="1"/>
  <c r="K576" i="3" s="1"/>
  <c r="H577" i="3"/>
  <c r="J577" i="3" s="1"/>
  <c r="K577" i="3" s="1"/>
  <c r="H578" i="3"/>
  <c r="J578" i="3" s="1"/>
  <c r="K578" i="3" s="1"/>
  <c r="H579" i="3"/>
  <c r="J579" i="3" s="1"/>
  <c r="K579" i="3" s="1"/>
  <c r="H580" i="3"/>
  <c r="J580" i="3" s="1"/>
  <c r="K580" i="3" s="1"/>
  <c r="H581" i="3"/>
  <c r="J581" i="3" s="1"/>
  <c r="K581" i="3" s="1"/>
  <c r="H582" i="3"/>
  <c r="J582" i="3" s="1"/>
  <c r="K582" i="3" s="1"/>
  <c r="H583" i="3"/>
  <c r="J583" i="3" s="1"/>
  <c r="K583" i="3" s="1"/>
  <c r="H584" i="3"/>
  <c r="J584" i="3" s="1"/>
  <c r="K584" i="3" s="1"/>
  <c r="H585" i="3"/>
  <c r="J585" i="3" s="1"/>
  <c r="K585" i="3" s="1"/>
  <c r="H586" i="3"/>
  <c r="J586" i="3" s="1"/>
  <c r="K586" i="3" s="1"/>
  <c r="H587" i="3"/>
  <c r="J587" i="3" s="1"/>
  <c r="K587" i="3" s="1"/>
  <c r="H588" i="3"/>
  <c r="J588" i="3" s="1"/>
  <c r="K588" i="3" s="1"/>
  <c r="H589" i="3"/>
  <c r="J589" i="3" s="1"/>
  <c r="K589" i="3" s="1"/>
  <c r="H590" i="3"/>
  <c r="J590" i="3" s="1"/>
  <c r="K590" i="3" s="1"/>
  <c r="H591" i="3"/>
  <c r="J591" i="3" s="1"/>
  <c r="K591" i="3" s="1"/>
  <c r="H592" i="3"/>
  <c r="J592" i="3" s="1"/>
  <c r="K592" i="3" s="1"/>
  <c r="H593" i="3"/>
  <c r="J593" i="3" s="1"/>
  <c r="K593" i="3" s="1"/>
  <c r="H594" i="3"/>
  <c r="J594" i="3" s="1"/>
  <c r="K594" i="3" s="1"/>
  <c r="H595" i="3"/>
  <c r="J595" i="3" s="1"/>
  <c r="K595" i="3" s="1"/>
  <c r="H596" i="3"/>
  <c r="J596" i="3" s="1"/>
  <c r="K596" i="3" s="1"/>
  <c r="H597" i="3"/>
  <c r="J597" i="3" s="1"/>
  <c r="K597" i="3" s="1"/>
  <c r="H598" i="3"/>
  <c r="J598" i="3" s="1"/>
  <c r="K598" i="3" s="1"/>
  <c r="H599" i="3"/>
  <c r="J599" i="3" s="1"/>
  <c r="K599" i="3" s="1"/>
  <c r="H600" i="3"/>
  <c r="J600" i="3" s="1"/>
  <c r="K600" i="3" s="1"/>
  <c r="H601" i="3"/>
  <c r="J601" i="3" s="1"/>
  <c r="K601" i="3" s="1"/>
  <c r="H602" i="3"/>
  <c r="J602" i="3" s="1"/>
  <c r="K602" i="3" s="1"/>
  <c r="H545" i="3" l="1"/>
  <c r="J545" i="3" s="1"/>
  <c r="K545" i="3" s="1"/>
  <c r="H546" i="3"/>
  <c r="J546" i="3" s="1"/>
  <c r="K546" i="3" s="1"/>
  <c r="H547" i="3"/>
  <c r="J547" i="3" s="1"/>
  <c r="K547" i="3" s="1"/>
  <c r="H548" i="3"/>
  <c r="J548" i="3" s="1"/>
  <c r="K548" i="3" s="1"/>
  <c r="H549" i="3"/>
  <c r="J549" i="3" s="1"/>
  <c r="K549" i="3" s="1"/>
  <c r="H550" i="3"/>
  <c r="J550" i="3" s="1"/>
  <c r="K550" i="3" s="1"/>
  <c r="H551" i="3"/>
  <c r="J551" i="3" s="1"/>
  <c r="K551" i="3" s="1"/>
  <c r="H552" i="3"/>
  <c r="J552" i="3" s="1"/>
  <c r="K552" i="3" s="1"/>
  <c r="H553" i="3"/>
  <c r="J553" i="3" s="1"/>
  <c r="K553" i="3" s="1"/>
  <c r="H554" i="3"/>
  <c r="J554" i="3" s="1"/>
  <c r="K554" i="3" s="1"/>
  <c r="H555" i="3"/>
  <c r="J555" i="3" s="1"/>
  <c r="K555" i="3" s="1"/>
  <c r="H556" i="3"/>
  <c r="J556" i="3" s="1"/>
  <c r="K556" i="3" s="1"/>
  <c r="H557" i="3"/>
  <c r="J557" i="3" s="1"/>
  <c r="K557" i="3" s="1"/>
  <c r="H558" i="3"/>
  <c r="J558" i="3" s="1"/>
  <c r="K558" i="3" s="1"/>
  <c r="H559" i="3"/>
  <c r="J559" i="3" s="1"/>
  <c r="K559" i="3" s="1"/>
  <c r="H544" i="3"/>
  <c r="J544" i="3" s="1"/>
  <c r="K544" i="3" s="1"/>
  <c r="H543" i="3"/>
  <c r="J543" i="3" s="1"/>
  <c r="K543" i="3" s="1"/>
  <c r="H542" i="3"/>
  <c r="J542" i="3" s="1"/>
  <c r="K542" i="3" s="1"/>
  <c r="H541" i="3"/>
  <c r="J541" i="3" s="1"/>
  <c r="K541" i="3" s="1"/>
  <c r="H540" i="3"/>
  <c r="J540" i="3" s="1"/>
  <c r="K540" i="3" s="1"/>
  <c r="H475" i="3" l="1"/>
  <c r="H404" i="3" l="1"/>
  <c r="J404" i="3" s="1"/>
  <c r="K404" i="3" s="1"/>
  <c r="H359" i="3"/>
  <c r="J359" i="3" s="1"/>
  <c r="K359" i="3" s="1"/>
  <c r="H360" i="3"/>
  <c r="J360" i="3" s="1"/>
  <c r="K360" i="3" s="1"/>
  <c r="H361" i="3"/>
  <c r="J361" i="3" s="1"/>
  <c r="K361" i="3" s="1"/>
  <c r="H362" i="3"/>
  <c r="J362" i="3" s="1"/>
  <c r="K362" i="3" s="1"/>
  <c r="H363" i="3"/>
  <c r="J363" i="3" s="1"/>
  <c r="K363" i="3" s="1"/>
  <c r="H364" i="3"/>
  <c r="J364" i="3" s="1"/>
  <c r="K364" i="3" s="1"/>
  <c r="H365" i="3"/>
  <c r="J365" i="3" s="1"/>
  <c r="K365" i="3" s="1"/>
  <c r="H366" i="3"/>
  <c r="J366" i="3" s="1"/>
  <c r="K366" i="3" s="1"/>
  <c r="H367" i="3"/>
  <c r="J367" i="3" s="1"/>
  <c r="K367" i="3" s="1"/>
  <c r="H368" i="3"/>
  <c r="J368" i="3" s="1"/>
  <c r="K368" i="3" s="1"/>
  <c r="H369" i="3"/>
  <c r="J369" i="3" s="1"/>
  <c r="K369" i="3" s="1"/>
  <c r="H370" i="3"/>
  <c r="J370" i="3" s="1"/>
  <c r="K370" i="3" s="1"/>
  <c r="H371" i="3"/>
  <c r="J371" i="3" s="1"/>
  <c r="K371" i="3" s="1"/>
  <c r="H372" i="3"/>
  <c r="J372" i="3" s="1"/>
  <c r="K372" i="3" s="1"/>
  <c r="H373" i="3"/>
  <c r="J373" i="3" s="1"/>
  <c r="K373" i="3" s="1"/>
  <c r="H374" i="3"/>
  <c r="J374" i="3" s="1"/>
  <c r="K374" i="3" s="1"/>
  <c r="H375" i="3"/>
  <c r="J375" i="3" s="1"/>
  <c r="K375" i="3" s="1"/>
  <c r="H376" i="3"/>
  <c r="J376" i="3" s="1"/>
  <c r="K376" i="3" s="1"/>
  <c r="H377" i="3"/>
  <c r="J377" i="3" s="1"/>
  <c r="K377" i="3" s="1"/>
  <c r="H378" i="3"/>
  <c r="J378" i="3" s="1"/>
  <c r="K378" i="3" s="1"/>
  <c r="H379" i="3"/>
  <c r="J379" i="3" s="1"/>
  <c r="K379" i="3" s="1"/>
  <c r="H380" i="3"/>
  <c r="J380" i="3" s="1"/>
  <c r="K380" i="3" s="1"/>
  <c r="H381" i="3"/>
  <c r="J381" i="3" s="1"/>
  <c r="K381" i="3" s="1"/>
  <c r="H382" i="3"/>
  <c r="J382" i="3" s="1"/>
  <c r="K382" i="3" s="1"/>
  <c r="H383" i="3"/>
  <c r="J383" i="3" s="1"/>
  <c r="K383" i="3" s="1"/>
  <c r="H384" i="3"/>
  <c r="J384" i="3" s="1"/>
  <c r="K384" i="3" s="1"/>
  <c r="H385" i="3"/>
  <c r="J385" i="3" s="1"/>
  <c r="K385" i="3" s="1"/>
  <c r="H386" i="3"/>
  <c r="J386" i="3" s="1"/>
  <c r="K386" i="3" s="1"/>
  <c r="H387" i="3"/>
  <c r="J387" i="3" s="1"/>
  <c r="K387" i="3" s="1"/>
  <c r="H388" i="3"/>
  <c r="J388" i="3" s="1"/>
  <c r="K388" i="3" s="1"/>
  <c r="H389" i="3"/>
  <c r="J389" i="3" s="1"/>
  <c r="K389" i="3" s="1"/>
  <c r="H390" i="3"/>
  <c r="J390" i="3" s="1"/>
  <c r="K390" i="3" s="1"/>
  <c r="H391" i="3"/>
  <c r="J391" i="3" s="1"/>
  <c r="K391" i="3" s="1"/>
  <c r="H392" i="3"/>
  <c r="J392" i="3" s="1"/>
  <c r="K392" i="3" s="1"/>
  <c r="H393" i="3"/>
  <c r="J393" i="3" s="1"/>
  <c r="K393" i="3" s="1"/>
  <c r="H394" i="3"/>
  <c r="J394" i="3" s="1"/>
  <c r="K394" i="3" s="1"/>
  <c r="H395" i="3"/>
  <c r="J395" i="3" s="1"/>
  <c r="K395" i="3" s="1"/>
  <c r="H396" i="3"/>
  <c r="J396" i="3" s="1"/>
  <c r="K396" i="3" s="1"/>
  <c r="H397" i="3"/>
  <c r="J397" i="3" s="1"/>
  <c r="K397" i="3" s="1"/>
  <c r="H398" i="3"/>
  <c r="J398" i="3" s="1"/>
  <c r="K398" i="3" s="1"/>
  <c r="H399" i="3"/>
  <c r="J399" i="3" s="1"/>
  <c r="K399" i="3" s="1"/>
  <c r="H400" i="3"/>
  <c r="J400" i="3" s="1"/>
  <c r="K400" i="3" s="1"/>
  <c r="H401" i="3"/>
  <c r="J401" i="3" s="1"/>
  <c r="K401" i="3" s="1"/>
  <c r="H403" i="3"/>
  <c r="J403" i="3" s="1"/>
  <c r="K403" i="3" s="1"/>
  <c r="H405" i="3"/>
  <c r="J405" i="3" s="1"/>
  <c r="K405" i="3" s="1"/>
  <c r="H406" i="3"/>
  <c r="J406" i="3" s="1"/>
  <c r="K406" i="3" s="1"/>
  <c r="H407" i="3"/>
  <c r="J407" i="3" s="1"/>
  <c r="K407" i="3" s="1"/>
  <c r="H408" i="3"/>
  <c r="J408" i="3" s="1"/>
  <c r="K408" i="3" s="1"/>
  <c r="H409" i="3"/>
  <c r="J409" i="3" s="1"/>
  <c r="K409" i="3" s="1"/>
  <c r="H410" i="3"/>
  <c r="J410" i="3" s="1"/>
  <c r="K410" i="3" s="1"/>
  <c r="H411" i="3"/>
  <c r="J411" i="3" s="1"/>
  <c r="K411" i="3" s="1"/>
  <c r="H412" i="3"/>
  <c r="J412" i="3" s="1"/>
  <c r="K412" i="3" s="1"/>
  <c r="H413" i="3"/>
  <c r="J413" i="3" s="1"/>
  <c r="K413" i="3" s="1"/>
  <c r="H414" i="3"/>
  <c r="J414" i="3" s="1"/>
  <c r="K414" i="3" s="1"/>
  <c r="H415" i="3"/>
  <c r="J415" i="3" s="1"/>
  <c r="K415" i="3" s="1"/>
  <c r="H416" i="3"/>
  <c r="J416" i="3" s="1"/>
  <c r="K416" i="3" s="1"/>
  <c r="H417" i="3"/>
  <c r="J417" i="3" s="1"/>
  <c r="K417" i="3" s="1"/>
  <c r="H418" i="3"/>
  <c r="J418" i="3" s="1"/>
  <c r="K418" i="3" s="1"/>
  <c r="H419" i="3"/>
  <c r="J419" i="3" s="1"/>
  <c r="K419" i="3" s="1"/>
  <c r="H420" i="3"/>
  <c r="J420" i="3" s="1"/>
  <c r="K420" i="3" s="1"/>
  <c r="H421" i="3"/>
  <c r="J421" i="3" s="1"/>
  <c r="K421" i="3" s="1"/>
  <c r="H422" i="3"/>
  <c r="J422" i="3" s="1"/>
  <c r="K422" i="3" s="1"/>
  <c r="H423" i="3"/>
  <c r="J423" i="3" s="1"/>
  <c r="K423" i="3" s="1"/>
  <c r="H424" i="3"/>
  <c r="J424" i="3" s="1"/>
  <c r="K424" i="3" s="1"/>
  <c r="H425" i="3"/>
  <c r="J425" i="3" s="1"/>
  <c r="K425" i="3" s="1"/>
  <c r="H426" i="3"/>
  <c r="J426" i="3" s="1"/>
  <c r="K426" i="3" s="1"/>
  <c r="H427" i="3"/>
  <c r="J427" i="3" s="1"/>
  <c r="K427" i="3" s="1"/>
  <c r="H428" i="3"/>
  <c r="J428" i="3" s="1"/>
  <c r="K428" i="3" s="1"/>
  <c r="H429" i="3"/>
  <c r="J429" i="3" s="1"/>
  <c r="H430" i="3"/>
  <c r="J430" i="3" s="1"/>
  <c r="K430" i="3" s="1"/>
  <c r="H431" i="3"/>
  <c r="J431" i="3" s="1"/>
  <c r="K431" i="3" s="1"/>
  <c r="H432" i="3"/>
  <c r="J432" i="3" s="1"/>
  <c r="K432" i="3" s="1"/>
  <c r="H433" i="3"/>
  <c r="J433" i="3" s="1"/>
  <c r="K433" i="3" s="1"/>
  <c r="H434" i="3"/>
  <c r="J434" i="3" s="1"/>
  <c r="K434" i="3" s="1"/>
  <c r="H435" i="3"/>
  <c r="J435" i="3" s="1"/>
  <c r="K435" i="3" s="1"/>
  <c r="H436" i="3"/>
  <c r="J436" i="3" s="1"/>
  <c r="K436" i="3" s="1"/>
  <c r="H437" i="3"/>
  <c r="J437" i="3" s="1"/>
  <c r="K437" i="3" s="1"/>
  <c r="H438" i="3"/>
  <c r="J438" i="3" s="1"/>
  <c r="K438" i="3" s="1"/>
  <c r="H439" i="3"/>
  <c r="J439" i="3" s="1"/>
  <c r="K439" i="3" s="1"/>
  <c r="H440" i="3"/>
  <c r="J440" i="3" s="1"/>
  <c r="K440" i="3" s="1"/>
  <c r="H441" i="3"/>
  <c r="J441" i="3" s="1"/>
  <c r="K441" i="3" s="1"/>
  <c r="H442" i="3"/>
  <c r="J442" i="3" s="1"/>
  <c r="K442" i="3" s="1"/>
  <c r="H443" i="3"/>
  <c r="J443" i="3" s="1"/>
  <c r="K443" i="3" s="1"/>
  <c r="H444" i="3"/>
  <c r="J444" i="3" s="1"/>
  <c r="K444" i="3" s="1"/>
  <c r="H445" i="3"/>
  <c r="J445" i="3" s="1"/>
  <c r="K445" i="3" s="1"/>
  <c r="H446" i="3"/>
  <c r="J446" i="3" s="1"/>
  <c r="K446" i="3" s="1"/>
  <c r="H447" i="3"/>
  <c r="J447" i="3" s="1"/>
  <c r="K447" i="3" s="1"/>
  <c r="H448" i="3"/>
  <c r="J448" i="3" s="1"/>
  <c r="K448" i="3" s="1"/>
  <c r="H449" i="3"/>
  <c r="J449" i="3" s="1"/>
  <c r="K449" i="3" s="1"/>
  <c r="H450" i="3"/>
  <c r="J450" i="3" s="1"/>
  <c r="K450" i="3" s="1"/>
  <c r="H451" i="3"/>
  <c r="J451" i="3" s="1"/>
  <c r="K451" i="3" s="1"/>
  <c r="H452" i="3"/>
  <c r="J452" i="3" s="1"/>
  <c r="K452" i="3" s="1"/>
  <c r="H453" i="3"/>
  <c r="J453" i="3" s="1"/>
  <c r="K453" i="3" s="1"/>
  <c r="H454" i="3"/>
  <c r="J454" i="3" s="1"/>
  <c r="K454" i="3" s="1"/>
  <c r="H455" i="3"/>
  <c r="J455" i="3" s="1"/>
  <c r="K455" i="3" s="1"/>
  <c r="H456" i="3"/>
  <c r="J456" i="3" s="1"/>
  <c r="K456" i="3" s="1"/>
  <c r="H457" i="3"/>
  <c r="J457" i="3" s="1"/>
  <c r="K457" i="3" s="1"/>
  <c r="H458" i="3"/>
  <c r="J458" i="3" s="1"/>
  <c r="K458" i="3" s="1"/>
  <c r="H459" i="3"/>
  <c r="J459" i="3" s="1"/>
  <c r="K459" i="3" s="1"/>
  <c r="H460" i="3"/>
  <c r="J460" i="3" s="1"/>
  <c r="K460" i="3" s="1"/>
  <c r="H461" i="3"/>
  <c r="J461" i="3" s="1"/>
  <c r="K461" i="3" s="1"/>
  <c r="H462" i="3"/>
  <c r="J462" i="3" s="1"/>
  <c r="K462" i="3" s="1"/>
  <c r="H463" i="3"/>
  <c r="J463" i="3" s="1"/>
  <c r="K463" i="3" s="1"/>
  <c r="H464" i="3"/>
  <c r="J464" i="3" s="1"/>
  <c r="K464" i="3" s="1"/>
  <c r="H465" i="3"/>
  <c r="J465" i="3" s="1"/>
  <c r="K465" i="3" s="1"/>
  <c r="H466" i="3"/>
  <c r="J466" i="3" s="1"/>
  <c r="K466" i="3" s="1"/>
  <c r="H467" i="3"/>
  <c r="J467" i="3" s="1"/>
  <c r="K467" i="3" s="1"/>
  <c r="H468" i="3"/>
  <c r="J468" i="3" s="1"/>
  <c r="K468" i="3" s="1"/>
  <c r="H469" i="3"/>
  <c r="J469" i="3" s="1"/>
  <c r="K469" i="3" s="1"/>
  <c r="H470" i="3"/>
  <c r="J470" i="3" s="1"/>
  <c r="K470" i="3" s="1"/>
  <c r="H471" i="3"/>
  <c r="J471" i="3" s="1"/>
  <c r="K471" i="3" s="1"/>
  <c r="H472" i="3"/>
  <c r="J472" i="3" s="1"/>
  <c r="K472" i="3" s="1"/>
  <c r="H473" i="3"/>
  <c r="J473" i="3" s="1"/>
  <c r="K473" i="3" s="1"/>
  <c r="H474" i="3"/>
  <c r="J474" i="3" s="1"/>
  <c r="K474" i="3" s="1"/>
  <c r="J475" i="3"/>
  <c r="K475" i="3" s="1"/>
  <c r="H476" i="3"/>
  <c r="J476" i="3" s="1"/>
  <c r="K476" i="3" s="1"/>
  <c r="H477" i="3"/>
  <c r="J477" i="3" s="1"/>
  <c r="K477" i="3" s="1"/>
  <c r="H478" i="3"/>
  <c r="J478" i="3" s="1"/>
  <c r="K478" i="3" s="1"/>
  <c r="H479" i="3"/>
  <c r="J479" i="3" s="1"/>
  <c r="K479" i="3" s="1"/>
  <c r="H480" i="3"/>
  <c r="J480" i="3" s="1"/>
  <c r="K480" i="3" s="1"/>
  <c r="H481" i="3"/>
  <c r="J481" i="3" s="1"/>
  <c r="K481" i="3" s="1"/>
  <c r="H482" i="3"/>
  <c r="J482" i="3" s="1"/>
  <c r="K482" i="3" s="1"/>
  <c r="H483" i="3"/>
  <c r="J483" i="3" s="1"/>
  <c r="K483" i="3" s="1"/>
  <c r="H484" i="3"/>
  <c r="J484" i="3" s="1"/>
  <c r="K484" i="3" s="1"/>
  <c r="H485" i="3"/>
  <c r="J485" i="3" s="1"/>
  <c r="K485" i="3" s="1"/>
  <c r="H486" i="3"/>
  <c r="J486" i="3" s="1"/>
  <c r="K486" i="3" s="1"/>
  <c r="H487" i="3"/>
  <c r="J487" i="3" s="1"/>
  <c r="K487" i="3" s="1"/>
  <c r="H488" i="3"/>
  <c r="J488" i="3" s="1"/>
  <c r="K488" i="3" s="1"/>
  <c r="H489" i="3"/>
  <c r="J489" i="3" s="1"/>
  <c r="K489" i="3" s="1"/>
  <c r="H490" i="3"/>
  <c r="J490" i="3" s="1"/>
  <c r="K490" i="3" s="1"/>
  <c r="H491" i="3"/>
  <c r="J491" i="3" s="1"/>
  <c r="K491" i="3" s="1"/>
  <c r="H492" i="3"/>
  <c r="J492" i="3" s="1"/>
  <c r="K492" i="3" s="1"/>
  <c r="H493" i="3"/>
  <c r="J493" i="3" s="1"/>
  <c r="K493" i="3" s="1"/>
  <c r="H494" i="3"/>
  <c r="J494" i="3" s="1"/>
  <c r="K494" i="3" s="1"/>
  <c r="H495" i="3"/>
  <c r="J495" i="3" s="1"/>
  <c r="K495" i="3" s="1"/>
  <c r="H496" i="3"/>
  <c r="J496" i="3" s="1"/>
  <c r="K496" i="3" s="1"/>
  <c r="H497" i="3"/>
  <c r="J497" i="3" s="1"/>
  <c r="K497" i="3" s="1"/>
  <c r="H498" i="3"/>
  <c r="J498" i="3" s="1"/>
  <c r="K498" i="3" s="1"/>
  <c r="H499" i="3"/>
  <c r="J499" i="3" s="1"/>
  <c r="K499" i="3" s="1"/>
  <c r="H500" i="3"/>
  <c r="J500" i="3" s="1"/>
  <c r="K500" i="3" s="1"/>
  <c r="H501" i="3"/>
  <c r="J501" i="3" s="1"/>
  <c r="K501" i="3" s="1"/>
  <c r="H502" i="3"/>
  <c r="J502" i="3" s="1"/>
  <c r="K502" i="3" s="1"/>
  <c r="H503" i="3"/>
  <c r="J503" i="3" s="1"/>
  <c r="K503" i="3" s="1"/>
  <c r="H504" i="3"/>
  <c r="J504" i="3" s="1"/>
  <c r="K504" i="3" s="1"/>
  <c r="H505" i="3"/>
  <c r="J505" i="3" s="1"/>
  <c r="K505" i="3" s="1"/>
  <c r="H506" i="3"/>
  <c r="J506" i="3" s="1"/>
  <c r="K506" i="3" s="1"/>
  <c r="H507" i="3"/>
  <c r="J507" i="3" s="1"/>
  <c r="K507" i="3" s="1"/>
  <c r="H508" i="3"/>
  <c r="J508" i="3" s="1"/>
  <c r="K508" i="3" s="1"/>
  <c r="H509" i="3"/>
  <c r="J509" i="3" s="1"/>
  <c r="K509" i="3" s="1"/>
  <c r="H510" i="3"/>
  <c r="J510" i="3" s="1"/>
  <c r="K510" i="3" s="1"/>
  <c r="H511" i="3"/>
  <c r="J511" i="3" s="1"/>
  <c r="K511" i="3" s="1"/>
  <c r="H512" i="3"/>
  <c r="J512" i="3" s="1"/>
  <c r="K512" i="3" s="1"/>
  <c r="H513" i="3"/>
  <c r="J513" i="3" s="1"/>
  <c r="K513" i="3" s="1"/>
  <c r="H514" i="3"/>
  <c r="J514" i="3" s="1"/>
  <c r="K514" i="3" s="1"/>
  <c r="H515" i="3"/>
  <c r="J515" i="3" s="1"/>
  <c r="K515" i="3" s="1"/>
  <c r="H516" i="3"/>
  <c r="J516" i="3" s="1"/>
  <c r="K516" i="3" s="1"/>
  <c r="H517" i="3"/>
  <c r="J517" i="3" s="1"/>
  <c r="K517" i="3" s="1"/>
  <c r="H518" i="3"/>
  <c r="J518" i="3" s="1"/>
  <c r="K518" i="3" s="1"/>
  <c r="H519" i="3"/>
  <c r="J519" i="3" s="1"/>
  <c r="K519" i="3" s="1"/>
  <c r="H520" i="3"/>
  <c r="J520" i="3" s="1"/>
  <c r="K520" i="3" s="1"/>
  <c r="H521" i="3"/>
  <c r="J521" i="3" s="1"/>
  <c r="K521" i="3" s="1"/>
  <c r="H522" i="3"/>
  <c r="J522" i="3" s="1"/>
  <c r="K522" i="3" s="1"/>
  <c r="H523" i="3"/>
  <c r="J523" i="3" s="1"/>
  <c r="K523" i="3" s="1"/>
  <c r="H524" i="3"/>
  <c r="J524" i="3" s="1"/>
  <c r="K524" i="3" s="1"/>
  <c r="H525" i="3"/>
  <c r="J525" i="3" s="1"/>
  <c r="K525" i="3" s="1"/>
  <c r="H526" i="3"/>
  <c r="J526" i="3" s="1"/>
  <c r="K526" i="3" s="1"/>
  <c r="H527" i="3"/>
  <c r="J527" i="3" s="1"/>
  <c r="K527" i="3" s="1"/>
  <c r="H528" i="3"/>
  <c r="J528" i="3" s="1"/>
  <c r="K528" i="3" s="1"/>
  <c r="H529" i="3"/>
  <c r="J529" i="3" s="1"/>
  <c r="K529" i="3" s="1"/>
  <c r="H530" i="3"/>
  <c r="J530" i="3" s="1"/>
  <c r="K530" i="3" s="1"/>
  <c r="H531" i="3"/>
  <c r="J531" i="3" s="1"/>
  <c r="K531" i="3" s="1"/>
  <c r="H532" i="3"/>
  <c r="J532" i="3" s="1"/>
  <c r="K532" i="3" s="1"/>
  <c r="H533" i="3"/>
  <c r="J533" i="3" s="1"/>
  <c r="K533" i="3" s="1"/>
  <c r="H534" i="3"/>
  <c r="J534" i="3" s="1"/>
  <c r="K534" i="3" s="1"/>
  <c r="H535" i="3"/>
  <c r="J535" i="3" s="1"/>
  <c r="K535" i="3" s="1"/>
  <c r="H536" i="3"/>
  <c r="J536" i="3" s="1"/>
  <c r="K536" i="3" s="1"/>
  <c r="H537" i="3"/>
  <c r="J537" i="3" s="1"/>
  <c r="K537" i="3" s="1"/>
  <c r="H538" i="3"/>
  <c r="J538" i="3" s="1"/>
  <c r="K538" i="3" s="1"/>
  <c r="H539" i="3"/>
  <c r="J539" i="3" s="1"/>
  <c r="K539" i="3" s="1"/>
  <c r="H358" i="3"/>
  <c r="J358" i="3" s="1"/>
  <c r="K358" i="3" s="1"/>
  <c r="K429" i="3" l="1"/>
  <c r="H266" i="3"/>
  <c r="J266" i="3" s="1"/>
  <c r="K266" i="3" s="1"/>
  <c r="H265" i="3"/>
  <c r="J265" i="3" s="1"/>
  <c r="K265" i="3" s="1"/>
  <c r="H264" i="3"/>
  <c r="J264" i="3" s="1"/>
  <c r="K264" i="3" s="1"/>
  <c r="H230" i="3" l="1"/>
  <c r="J230" i="3" s="1"/>
  <c r="K230" i="3" s="1"/>
  <c r="H142" i="3"/>
  <c r="J142" i="3" s="1"/>
  <c r="K142" i="3" s="1"/>
  <c r="H143" i="3"/>
  <c r="J143" i="3" s="1"/>
  <c r="K143" i="3" s="1"/>
  <c r="H144" i="3"/>
  <c r="J144" i="3" s="1"/>
  <c r="K144" i="3" s="1"/>
  <c r="H145" i="3"/>
  <c r="J145" i="3" s="1"/>
  <c r="K145" i="3" s="1"/>
  <c r="H146" i="3"/>
  <c r="J146" i="3" s="1"/>
  <c r="K146" i="3" s="1"/>
  <c r="H147" i="3"/>
  <c r="J147" i="3" s="1"/>
  <c r="K147" i="3" s="1"/>
  <c r="H148" i="3"/>
  <c r="J148" i="3" s="1"/>
  <c r="K148" i="3" s="1"/>
  <c r="H149" i="3"/>
  <c r="J149" i="3" s="1"/>
  <c r="K149" i="3" s="1"/>
  <c r="H150" i="3"/>
  <c r="J150" i="3" s="1"/>
  <c r="K150" i="3" s="1"/>
  <c r="H151" i="3"/>
  <c r="J151" i="3" s="1"/>
  <c r="K151" i="3" s="1"/>
  <c r="H152" i="3"/>
  <c r="J152" i="3" s="1"/>
  <c r="K152" i="3" s="1"/>
  <c r="H153" i="3"/>
  <c r="J153" i="3" s="1"/>
  <c r="K153" i="3" s="1"/>
  <c r="H154" i="3"/>
  <c r="J154" i="3" s="1"/>
  <c r="K154" i="3" s="1"/>
  <c r="H155" i="3"/>
  <c r="J155" i="3" s="1"/>
  <c r="K155" i="3" s="1"/>
  <c r="H156" i="3"/>
  <c r="J156" i="3" s="1"/>
  <c r="K156" i="3" s="1"/>
  <c r="H157" i="3"/>
  <c r="J157" i="3" s="1"/>
  <c r="K157" i="3" s="1"/>
  <c r="H158" i="3"/>
  <c r="J158" i="3" s="1"/>
  <c r="K158" i="3" s="1"/>
  <c r="H159" i="3"/>
  <c r="J159" i="3" s="1"/>
  <c r="K159" i="3" s="1"/>
  <c r="H160" i="3"/>
  <c r="J160" i="3" s="1"/>
  <c r="K160" i="3" s="1"/>
  <c r="H161" i="3"/>
  <c r="J161" i="3" s="1"/>
  <c r="K161" i="3" s="1"/>
  <c r="H162" i="3"/>
  <c r="J162" i="3" s="1"/>
  <c r="K162" i="3" s="1"/>
  <c r="H163" i="3"/>
  <c r="J163" i="3" s="1"/>
  <c r="K163" i="3" s="1"/>
  <c r="H164" i="3"/>
  <c r="J164" i="3" s="1"/>
  <c r="K164" i="3" s="1"/>
  <c r="H165" i="3"/>
  <c r="J165" i="3" s="1"/>
  <c r="K165" i="3" s="1"/>
  <c r="H166" i="3"/>
  <c r="J166" i="3" s="1"/>
  <c r="K166" i="3" s="1"/>
  <c r="H167" i="3"/>
  <c r="J167" i="3" s="1"/>
  <c r="K167" i="3" s="1"/>
  <c r="H168" i="3"/>
  <c r="J168" i="3" s="1"/>
  <c r="K168" i="3" s="1"/>
  <c r="H169" i="3"/>
  <c r="J169" i="3" s="1"/>
  <c r="K169" i="3" s="1"/>
  <c r="H170" i="3"/>
  <c r="J170" i="3" s="1"/>
  <c r="K170" i="3" s="1"/>
  <c r="H171" i="3"/>
  <c r="J171" i="3" s="1"/>
  <c r="K171" i="3" s="1"/>
  <c r="H172" i="3"/>
  <c r="J172" i="3" s="1"/>
  <c r="K172" i="3" s="1"/>
  <c r="H173" i="3"/>
  <c r="J173" i="3" s="1"/>
  <c r="K173" i="3" s="1"/>
  <c r="H174" i="3"/>
  <c r="J174" i="3" s="1"/>
  <c r="K174" i="3" s="1"/>
  <c r="H175" i="3"/>
  <c r="J175" i="3" s="1"/>
  <c r="K175" i="3" s="1"/>
  <c r="H176" i="3"/>
  <c r="J176" i="3" s="1"/>
  <c r="K176" i="3" s="1"/>
  <c r="H177" i="3"/>
  <c r="J177" i="3" s="1"/>
  <c r="K177" i="3" s="1"/>
  <c r="H178" i="3"/>
  <c r="J178" i="3" s="1"/>
  <c r="K178" i="3" s="1"/>
  <c r="H179" i="3"/>
  <c r="J179" i="3" s="1"/>
  <c r="K179" i="3" s="1"/>
  <c r="H180" i="3"/>
  <c r="J180" i="3" s="1"/>
  <c r="K180" i="3" s="1"/>
  <c r="H181" i="3"/>
  <c r="J181" i="3" s="1"/>
  <c r="K181" i="3" s="1"/>
  <c r="H182" i="3"/>
  <c r="J182" i="3" s="1"/>
  <c r="K182" i="3" s="1"/>
  <c r="H183" i="3"/>
  <c r="J183" i="3" s="1"/>
  <c r="K183" i="3" s="1"/>
  <c r="H184" i="3"/>
  <c r="J184" i="3" s="1"/>
  <c r="K184" i="3" s="1"/>
  <c r="H185" i="3"/>
  <c r="J185" i="3" s="1"/>
  <c r="K185" i="3" s="1"/>
  <c r="H186" i="3"/>
  <c r="J186" i="3" s="1"/>
  <c r="K186" i="3" s="1"/>
  <c r="H187" i="3"/>
  <c r="J187" i="3" s="1"/>
  <c r="K187" i="3" s="1"/>
  <c r="H188" i="3"/>
  <c r="J188" i="3" s="1"/>
  <c r="K188" i="3" s="1"/>
  <c r="H189" i="3"/>
  <c r="J189" i="3" s="1"/>
  <c r="K189" i="3" s="1"/>
  <c r="H190" i="3"/>
  <c r="J190" i="3" s="1"/>
  <c r="K190" i="3" s="1"/>
  <c r="H191" i="3"/>
  <c r="J191" i="3" s="1"/>
  <c r="K191" i="3" s="1"/>
  <c r="H192" i="3"/>
  <c r="J192" i="3" s="1"/>
  <c r="K192" i="3" s="1"/>
  <c r="H193" i="3"/>
  <c r="J193" i="3" s="1"/>
  <c r="K193" i="3" s="1"/>
  <c r="H194" i="3"/>
  <c r="J194" i="3" s="1"/>
  <c r="K194" i="3" s="1"/>
  <c r="H195" i="3"/>
  <c r="J195" i="3" s="1"/>
  <c r="K195" i="3" s="1"/>
  <c r="H196" i="3"/>
  <c r="J196" i="3" s="1"/>
  <c r="K196" i="3" s="1"/>
  <c r="H197" i="3"/>
  <c r="J197" i="3" s="1"/>
  <c r="K197" i="3" s="1"/>
  <c r="H198" i="3"/>
  <c r="J198" i="3" s="1"/>
  <c r="K198" i="3" s="1"/>
  <c r="H199" i="3"/>
  <c r="J199" i="3" s="1"/>
  <c r="K199" i="3" s="1"/>
  <c r="H200" i="3"/>
  <c r="J200" i="3" s="1"/>
  <c r="K200" i="3" s="1"/>
  <c r="H201" i="3"/>
  <c r="J201" i="3" s="1"/>
  <c r="K201" i="3" s="1"/>
  <c r="H202" i="3"/>
  <c r="J202" i="3" s="1"/>
  <c r="K202" i="3" s="1"/>
  <c r="H203" i="3"/>
  <c r="J203" i="3" s="1"/>
  <c r="K203" i="3" s="1"/>
  <c r="H204" i="3"/>
  <c r="J204" i="3" s="1"/>
  <c r="K204" i="3" s="1"/>
  <c r="H205" i="3"/>
  <c r="J205" i="3" s="1"/>
  <c r="K205" i="3" s="1"/>
  <c r="H206" i="3"/>
  <c r="J206" i="3" s="1"/>
  <c r="K206" i="3" s="1"/>
  <c r="H207" i="3"/>
  <c r="J207" i="3" s="1"/>
  <c r="K207" i="3" s="1"/>
  <c r="H208" i="3"/>
  <c r="J208" i="3" s="1"/>
  <c r="K208" i="3" s="1"/>
  <c r="H209" i="3"/>
  <c r="J209" i="3" s="1"/>
  <c r="K209" i="3" s="1"/>
  <c r="H210" i="3"/>
  <c r="J210" i="3" s="1"/>
  <c r="K210" i="3" s="1"/>
  <c r="H211" i="3"/>
  <c r="J211" i="3" s="1"/>
  <c r="K211" i="3" s="1"/>
  <c r="H212" i="3"/>
  <c r="J212" i="3" s="1"/>
  <c r="K212" i="3" s="1"/>
  <c r="H213" i="3"/>
  <c r="J213" i="3" s="1"/>
  <c r="K213" i="3" s="1"/>
  <c r="H214" i="3"/>
  <c r="J214" i="3" s="1"/>
  <c r="K214" i="3" s="1"/>
  <c r="H215" i="3"/>
  <c r="J215" i="3" s="1"/>
  <c r="K215" i="3" s="1"/>
  <c r="H216" i="3"/>
  <c r="J216" i="3" s="1"/>
  <c r="K216" i="3" s="1"/>
  <c r="H217" i="3"/>
  <c r="J217" i="3" s="1"/>
  <c r="K217" i="3" s="1"/>
  <c r="H218" i="3"/>
  <c r="J218" i="3" s="1"/>
  <c r="K218" i="3" s="1"/>
  <c r="H219" i="3"/>
  <c r="J219" i="3" s="1"/>
  <c r="K219" i="3" s="1"/>
  <c r="H220" i="3"/>
  <c r="J220" i="3" s="1"/>
  <c r="K220" i="3" s="1"/>
  <c r="H221" i="3"/>
  <c r="J221" i="3" s="1"/>
  <c r="K221" i="3" s="1"/>
  <c r="H222" i="3"/>
  <c r="J222" i="3" s="1"/>
  <c r="K222" i="3" s="1"/>
  <c r="H223" i="3"/>
  <c r="J223" i="3" s="1"/>
  <c r="K223" i="3" s="1"/>
  <c r="H224" i="3"/>
  <c r="J224" i="3" s="1"/>
  <c r="K224" i="3" s="1"/>
  <c r="H225" i="3"/>
  <c r="J225" i="3" s="1"/>
  <c r="K225" i="3" s="1"/>
  <c r="H226" i="3"/>
  <c r="J226" i="3" s="1"/>
  <c r="K226" i="3" s="1"/>
  <c r="H227" i="3"/>
  <c r="J227" i="3" s="1"/>
  <c r="K227" i="3" s="1"/>
  <c r="H228" i="3"/>
  <c r="J228" i="3" s="1"/>
  <c r="K228" i="3" s="1"/>
  <c r="H229" i="3"/>
  <c r="J229" i="3" s="1"/>
  <c r="K229" i="3" s="1"/>
  <c r="H231" i="3"/>
  <c r="J231" i="3" s="1"/>
  <c r="K231" i="3" s="1"/>
  <c r="H232" i="3"/>
  <c r="J232" i="3" s="1"/>
  <c r="K232" i="3" s="1"/>
  <c r="H233" i="3"/>
  <c r="J233" i="3" s="1"/>
  <c r="K233" i="3" s="1"/>
  <c r="H234" i="3"/>
  <c r="J234" i="3" s="1"/>
  <c r="K234" i="3" s="1"/>
  <c r="H235" i="3"/>
  <c r="J235" i="3" s="1"/>
  <c r="K235" i="3" s="1"/>
  <c r="H236" i="3"/>
  <c r="J236" i="3" s="1"/>
  <c r="K236" i="3" s="1"/>
  <c r="H237" i="3"/>
  <c r="J237" i="3" s="1"/>
  <c r="K237" i="3" s="1"/>
  <c r="H238" i="3"/>
  <c r="J238" i="3" s="1"/>
  <c r="K238" i="3" s="1"/>
  <c r="H239" i="3"/>
  <c r="J239" i="3" s="1"/>
  <c r="K239" i="3" s="1"/>
  <c r="H240" i="3"/>
  <c r="J240" i="3" s="1"/>
  <c r="K240" i="3" s="1"/>
  <c r="H241" i="3"/>
  <c r="J241" i="3" s="1"/>
  <c r="K241" i="3" s="1"/>
  <c r="H242" i="3"/>
  <c r="J242" i="3" s="1"/>
  <c r="K242" i="3" s="1"/>
  <c r="H243" i="3"/>
  <c r="J243" i="3" s="1"/>
  <c r="K243" i="3" s="1"/>
  <c r="H244" i="3"/>
  <c r="J244" i="3" s="1"/>
  <c r="K244" i="3" s="1"/>
  <c r="H245" i="3"/>
  <c r="J245" i="3" s="1"/>
  <c r="K245" i="3" s="1"/>
  <c r="H246" i="3"/>
  <c r="J246" i="3" s="1"/>
  <c r="K246" i="3" s="1"/>
  <c r="H247" i="3"/>
  <c r="J247" i="3" s="1"/>
  <c r="K247" i="3" s="1"/>
  <c r="H248" i="3"/>
  <c r="J248" i="3" s="1"/>
  <c r="K248" i="3" s="1"/>
  <c r="H249" i="3"/>
  <c r="J249" i="3" s="1"/>
  <c r="K249" i="3" s="1"/>
  <c r="H250" i="3"/>
  <c r="J250" i="3" s="1"/>
  <c r="K250" i="3" s="1"/>
  <c r="H251" i="3"/>
  <c r="J251" i="3" s="1"/>
  <c r="K251" i="3" s="1"/>
  <c r="H252" i="3"/>
  <c r="J252" i="3" s="1"/>
  <c r="K252" i="3" s="1"/>
  <c r="H253" i="3"/>
  <c r="J253" i="3" s="1"/>
  <c r="K253" i="3" s="1"/>
  <c r="H254" i="3"/>
  <c r="J254" i="3" s="1"/>
  <c r="K254" i="3" s="1"/>
  <c r="H255" i="3"/>
  <c r="J255" i="3" s="1"/>
  <c r="K255" i="3" s="1"/>
  <c r="H256" i="3"/>
  <c r="J256" i="3" s="1"/>
  <c r="K256" i="3" s="1"/>
  <c r="H257" i="3"/>
  <c r="J257" i="3" s="1"/>
  <c r="K257" i="3" s="1"/>
  <c r="H258" i="3"/>
  <c r="J258" i="3" s="1"/>
  <c r="K258" i="3" s="1"/>
  <c r="H259" i="3"/>
  <c r="J259" i="3" s="1"/>
  <c r="K259" i="3" s="1"/>
  <c r="H260" i="3"/>
  <c r="J260" i="3" s="1"/>
  <c r="K260" i="3" s="1"/>
  <c r="H261" i="3"/>
  <c r="J261" i="3" s="1"/>
  <c r="K261" i="3" s="1"/>
  <c r="H262" i="3"/>
  <c r="J262" i="3" s="1"/>
  <c r="K262" i="3" s="1"/>
  <c r="H263" i="3"/>
  <c r="J263" i="3" s="1"/>
  <c r="K263" i="3" s="1"/>
  <c r="H267" i="3"/>
  <c r="J267" i="3" s="1"/>
  <c r="K267" i="3" s="1"/>
  <c r="H268" i="3"/>
  <c r="J268" i="3" s="1"/>
  <c r="K268" i="3" s="1"/>
  <c r="H269" i="3"/>
  <c r="J269" i="3" s="1"/>
  <c r="K269" i="3" s="1"/>
  <c r="H270" i="3"/>
  <c r="J270" i="3" s="1"/>
  <c r="K270" i="3" s="1"/>
  <c r="H271" i="3"/>
  <c r="J271" i="3" s="1"/>
  <c r="K271" i="3" s="1"/>
  <c r="H272" i="3"/>
  <c r="J272" i="3" s="1"/>
  <c r="K272" i="3" s="1"/>
  <c r="H273" i="3"/>
  <c r="J273" i="3" s="1"/>
  <c r="K273" i="3" s="1"/>
  <c r="H274" i="3"/>
  <c r="J274" i="3" s="1"/>
  <c r="K274" i="3" s="1"/>
  <c r="H275" i="3"/>
  <c r="J275" i="3" s="1"/>
  <c r="K275" i="3" s="1"/>
  <c r="H276" i="3"/>
  <c r="J276" i="3" s="1"/>
  <c r="K276" i="3" s="1"/>
  <c r="H277" i="3"/>
  <c r="J277" i="3" s="1"/>
  <c r="K277" i="3" s="1"/>
  <c r="H278" i="3"/>
  <c r="J278" i="3" s="1"/>
  <c r="K278" i="3" s="1"/>
  <c r="H279" i="3"/>
  <c r="J279" i="3" s="1"/>
  <c r="K279" i="3" s="1"/>
  <c r="H280" i="3"/>
  <c r="J280" i="3" s="1"/>
  <c r="K280" i="3" s="1"/>
  <c r="H281" i="3"/>
  <c r="J281" i="3" s="1"/>
  <c r="K281" i="3" s="1"/>
  <c r="H282" i="3"/>
  <c r="J282" i="3" s="1"/>
  <c r="K282" i="3" s="1"/>
  <c r="H283" i="3"/>
  <c r="J283" i="3" s="1"/>
  <c r="K283" i="3" s="1"/>
  <c r="H284" i="3"/>
  <c r="J284" i="3" s="1"/>
  <c r="K284" i="3" s="1"/>
  <c r="H285" i="3"/>
  <c r="J285" i="3" s="1"/>
  <c r="K285" i="3" s="1"/>
  <c r="H286" i="3"/>
  <c r="J286" i="3" s="1"/>
  <c r="K286" i="3" s="1"/>
  <c r="H287" i="3"/>
  <c r="J287" i="3" s="1"/>
  <c r="K287" i="3" s="1"/>
  <c r="H288" i="3"/>
  <c r="J288" i="3" s="1"/>
  <c r="K288" i="3" s="1"/>
  <c r="H289" i="3"/>
  <c r="J289" i="3" s="1"/>
  <c r="K289" i="3" s="1"/>
  <c r="H290" i="3"/>
  <c r="J290" i="3" s="1"/>
  <c r="K290" i="3" s="1"/>
  <c r="H291" i="3"/>
  <c r="J291" i="3" s="1"/>
  <c r="K291" i="3" s="1"/>
  <c r="H292" i="3"/>
  <c r="J292" i="3" s="1"/>
  <c r="K292" i="3" s="1"/>
  <c r="H293" i="3"/>
  <c r="J293" i="3" s="1"/>
  <c r="K293" i="3" s="1"/>
  <c r="H294" i="3"/>
  <c r="J294" i="3" s="1"/>
  <c r="K294" i="3" s="1"/>
  <c r="H295" i="3"/>
  <c r="J295" i="3" s="1"/>
  <c r="K295" i="3" s="1"/>
  <c r="H296" i="3"/>
  <c r="J296" i="3" s="1"/>
  <c r="K296" i="3" s="1"/>
  <c r="H297" i="3"/>
  <c r="J297" i="3" s="1"/>
  <c r="K297" i="3" s="1"/>
  <c r="H298" i="3"/>
  <c r="J298" i="3" s="1"/>
  <c r="K298" i="3" s="1"/>
  <c r="H299" i="3"/>
  <c r="J299" i="3" s="1"/>
  <c r="K299" i="3" s="1"/>
  <c r="H300" i="3"/>
  <c r="J300" i="3" s="1"/>
  <c r="K300" i="3" s="1"/>
  <c r="H301" i="3"/>
  <c r="H302" i="3"/>
  <c r="J302" i="3" s="1"/>
  <c r="K302" i="3" s="1"/>
  <c r="H303" i="3"/>
  <c r="J303" i="3" s="1"/>
  <c r="K303" i="3" s="1"/>
  <c r="H304" i="3"/>
  <c r="J304" i="3" s="1"/>
  <c r="K304" i="3" s="1"/>
  <c r="H305" i="3"/>
  <c r="J305" i="3" s="1"/>
  <c r="K305" i="3" s="1"/>
  <c r="H306" i="3"/>
  <c r="J306" i="3" s="1"/>
  <c r="K306" i="3" s="1"/>
  <c r="H307" i="3"/>
  <c r="J307" i="3" s="1"/>
  <c r="K307" i="3" s="1"/>
  <c r="H308" i="3"/>
  <c r="J308" i="3" s="1"/>
  <c r="K308" i="3" s="1"/>
  <c r="H309" i="3"/>
  <c r="J309" i="3" s="1"/>
  <c r="K309" i="3" s="1"/>
  <c r="H310" i="3"/>
  <c r="J310" i="3" s="1"/>
  <c r="K310" i="3" s="1"/>
  <c r="H311" i="3"/>
  <c r="J311" i="3" s="1"/>
  <c r="K311" i="3" s="1"/>
  <c r="H312" i="3"/>
  <c r="J312" i="3" s="1"/>
  <c r="K312" i="3" s="1"/>
  <c r="H313" i="3"/>
  <c r="J313" i="3" s="1"/>
  <c r="K313" i="3" s="1"/>
  <c r="H314" i="3"/>
  <c r="J314" i="3" s="1"/>
  <c r="K314" i="3" s="1"/>
  <c r="H315" i="3"/>
  <c r="J315" i="3" s="1"/>
  <c r="K315" i="3" s="1"/>
  <c r="H316" i="3"/>
  <c r="J316" i="3" s="1"/>
  <c r="K316" i="3" s="1"/>
  <c r="H317" i="3"/>
  <c r="J317" i="3" s="1"/>
  <c r="K317" i="3" s="1"/>
  <c r="H318" i="3"/>
  <c r="J318" i="3" s="1"/>
  <c r="K318" i="3" s="1"/>
  <c r="H319" i="3"/>
  <c r="J319" i="3" s="1"/>
  <c r="K319" i="3" s="1"/>
  <c r="H320" i="3"/>
  <c r="J320" i="3" s="1"/>
  <c r="K320" i="3" s="1"/>
  <c r="H321" i="3"/>
  <c r="J321" i="3" s="1"/>
  <c r="K321" i="3" s="1"/>
  <c r="H322" i="3"/>
  <c r="J322" i="3" s="1"/>
  <c r="K322" i="3" s="1"/>
  <c r="H323" i="3"/>
  <c r="J323" i="3" s="1"/>
  <c r="K323" i="3" s="1"/>
  <c r="H324" i="3"/>
  <c r="J324" i="3" s="1"/>
  <c r="K324" i="3" s="1"/>
  <c r="H325" i="3"/>
  <c r="J325" i="3" s="1"/>
  <c r="K325" i="3" s="1"/>
  <c r="H326" i="3"/>
  <c r="J326" i="3" s="1"/>
  <c r="K326" i="3" s="1"/>
  <c r="H327" i="3"/>
  <c r="J327" i="3" s="1"/>
  <c r="K327" i="3" s="1"/>
  <c r="H328" i="3"/>
  <c r="J328" i="3" s="1"/>
  <c r="K328" i="3" s="1"/>
  <c r="H329" i="3"/>
  <c r="J329" i="3" s="1"/>
  <c r="K329" i="3" s="1"/>
  <c r="H330" i="3"/>
  <c r="J330" i="3" s="1"/>
  <c r="K330" i="3" s="1"/>
  <c r="H331" i="3"/>
  <c r="J331" i="3" s="1"/>
  <c r="K331" i="3" s="1"/>
  <c r="H332" i="3"/>
  <c r="J332" i="3" s="1"/>
  <c r="K332" i="3" s="1"/>
  <c r="H333" i="3"/>
  <c r="J333" i="3" s="1"/>
  <c r="K333" i="3" s="1"/>
  <c r="H334" i="3"/>
  <c r="J334" i="3" s="1"/>
  <c r="K334" i="3" s="1"/>
  <c r="H335" i="3"/>
  <c r="J335" i="3" s="1"/>
  <c r="K335" i="3" s="1"/>
  <c r="H336" i="3"/>
  <c r="J336" i="3" s="1"/>
  <c r="K336" i="3" s="1"/>
  <c r="H337" i="3"/>
  <c r="J337" i="3" s="1"/>
  <c r="K337" i="3" s="1"/>
  <c r="H338" i="3"/>
  <c r="J338" i="3" s="1"/>
  <c r="K338" i="3" s="1"/>
  <c r="H339" i="3"/>
  <c r="J339" i="3" s="1"/>
  <c r="K339" i="3" s="1"/>
  <c r="H340" i="3"/>
  <c r="J340" i="3" s="1"/>
  <c r="K340" i="3" s="1"/>
  <c r="H341" i="3"/>
  <c r="J341" i="3" s="1"/>
  <c r="K341" i="3" s="1"/>
  <c r="H342" i="3"/>
  <c r="J342" i="3" s="1"/>
  <c r="K342" i="3" s="1"/>
  <c r="H343" i="3"/>
  <c r="J343" i="3" s="1"/>
  <c r="K343" i="3" s="1"/>
  <c r="H344" i="3"/>
  <c r="J344" i="3" s="1"/>
  <c r="K344" i="3" s="1"/>
  <c r="H345" i="3"/>
  <c r="J345" i="3" s="1"/>
  <c r="K345" i="3" s="1"/>
  <c r="H346" i="3"/>
  <c r="J346" i="3" s="1"/>
  <c r="K346" i="3" s="1"/>
  <c r="H347" i="3"/>
  <c r="J347" i="3" s="1"/>
  <c r="K347" i="3" s="1"/>
  <c r="H348" i="3"/>
  <c r="J348" i="3" s="1"/>
  <c r="K348" i="3" s="1"/>
  <c r="H349" i="3"/>
  <c r="J349" i="3" s="1"/>
  <c r="K349" i="3" s="1"/>
  <c r="H350" i="3"/>
  <c r="J350" i="3" s="1"/>
  <c r="K350" i="3" s="1"/>
  <c r="H351" i="3"/>
  <c r="J351" i="3" s="1"/>
  <c r="K351" i="3" s="1"/>
  <c r="H352" i="3"/>
  <c r="J352" i="3" s="1"/>
  <c r="K352" i="3" s="1"/>
  <c r="H353" i="3"/>
  <c r="J353" i="3" s="1"/>
  <c r="K353" i="3" s="1"/>
  <c r="H354" i="3"/>
  <c r="J354" i="3" s="1"/>
  <c r="K354" i="3" s="1"/>
  <c r="H355" i="3"/>
  <c r="J355" i="3" s="1"/>
  <c r="K355" i="3" s="1"/>
  <c r="H356" i="3"/>
  <c r="J356" i="3" s="1"/>
  <c r="K356" i="3" s="1"/>
  <c r="H357" i="3"/>
  <c r="J357" i="3" s="1"/>
  <c r="K357" i="3" s="1"/>
  <c r="H141" i="3"/>
  <c r="J141" i="3" s="1"/>
  <c r="K141" i="3" s="1"/>
  <c r="H125" i="3"/>
  <c r="J125" i="3" s="1"/>
  <c r="H126" i="3"/>
  <c r="J126" i="3" s="1"/>
  <c r="K126" i="3" s="1"/>
  <c r="H127" i="3"/>
  <c r="J127" i="3" s="1"/>
  <c r="K127" i="3" s="1"/>
  <c r="H128" i="3"/>
  <c r="J128" i="3" s="1"/>
  <c r="K128" i="3" s="1"/>
  <c r="H129" i="3"/>
  <c r="J129" i="3" s="1"/>
  <c r="K129" i="3" s="1"/>
  <c r="H130" i="3"/>
  <c r="J130" i="3" s="1"/>
  <c r="K130" i="3" s="1"/>
  <c r="H131" i="3"/>
  <c r="J131" i="3" s="1"/>
  <c r="K131" i="3" s="1"/>
  <c r="H132" i="3"/>
  <c r="J132" i="3" s="1"/>
  <c r="K132" i="3" s="1"/>
  <c r="H133" i="3"/>
  <c r="J133" i="3" s="1"/>
  <c r="K133" i="3" s="1"/>
  <c r="H134" i="3"/>
  <c r="J134" i="3" s="1"/>
  <c r="K134" i="3" s="1"/>
  <c r="H135" i="3"/>
  <c r="J135" i="3" s="1"/>
  <c r="K135" i="3" s="1"/>
  <c r="H136" i="3"/>
  <c r="J136" i="3" s="1"/>
  <c r="K136" i="3" s="1"/>
  <c r="H137" i="3"/>
  <c r="J137" i="3" s="1"/>
  <c r="K137" i="3" s="1"/>
  <c r="H138" i="3"/>
  <c r="J138" i="3" s="1"/>
  <c r="K138" i="3" s="1"/>
  <c r="H139" i="3"/>
  <c r="J139" i="3" s="1"/>
  <c r="K139" i="3" s="1"/>
  <c r="H140" i="3"/>
  <c r="J140" i="3" s="1"/>
  <c r="K140" i="3" s="1"/>
  <c r="H124" i="3"/>
  <c r="J124" i="3" s="1"/>
  <c r="H36" i="3"/>
  <c r="J36" i="3" s="1"/>
  <c r="K36" i="3" s="1"/>
  <c r="H35" i="3"/>
  <c r="J35" i="3" s="1"/>
  <c r="K35" i="3" s="1"/>
  <c r="J301" i="3" l="1"/>
  <c r="K301" i="3" s="1"/>
  <c r="K125" i="3"/>
  <c r="K124" i="3"/>
  <c r="H123" i="3"/>
  <c r="J123" i="3" s="1"/>
  <c r="K123" i="3" s="1"/>
  <c r="H122" i="3"/>
  <c r="J122" i="3" s="1"/>
  <c r="K122" i="3" s="1"/>
  <c r="H121" i="3"/>
  <c r="J121" i="3" s="1"/>
  <c r="K121" i="3" s="1"/>
  <c r="H120" i="3"/>
  <c r="J120" i="3" s="1"/>
  <c r="K120" i="3" s="1"/>
  <c r="H119" i="3"/>
  <c r="J119" i="3" s="1"/>
  <c r="K119" i="3" s="1"/>
  <c r="H118" i="3"/>
  <c r="J118" i="3" s="1"/>
  <c r="K118" i="3" s="1"/>
  <c r="H117" i="3"/>
  <c r="J117" i="3" s="1"/>
  <c r="K117" i="3" s="1"/>
  <c r="H116" i="3"/>
  <c r="J116" i="3" s="1"/>
  <c r="K116" i="3" s="1"/>
  <c r="H115" i="3"/>
  <c r="J115" i="3" s="1"/>
  <c r="K115" i="3" s="1"/>
  <c r="H114" i="3"/>
  <c r="J114" i="3" s="1"/>
  <c r="K114" i="3" s="1"/>
  <c r="H113" i="3"/>
  <c r="J113" i="3" s="1"/>
  <c r="K113" i="3" s="1"/>
  <c r="H112" i="3"/>
  <c r="J112" i="3" s="1"/>
  <c r="K112" i="3" s="1"/>
  <c r="H111" i="3"/>
  <c r="J111" i="3" s="1"/>
  <c r="K111" i="3" s="1"/>
  <c r="H110" i="3"/>
  <c r="J110" i="3" s="1"/>
  <c r="K110" i="3" s="1"/>
  <c r="H109" i="3"/>
  <c r="J109" i="3" s="1"/>
  <c r="K109" i="3" s="1"/>
  <c r="H108" i="3"/>
  <c r="J108" i="3" s="1"/>
  <c r="K108" i="3" s="1"/>
  <c r="H107" i="3"/>
  <c r="J107" i="3" s="1"/>
  <c r="K107" i="3" s="1"/>
  <c r="H106" i="3"/>
  <c r="J106" i="3" s="1"/>
  <c r="K106" i="3" s="1"/>
  <c r="H105" i="3"/>
  <c r="J105" i="3" s="1"/>
  <c r="K105" i="3" s="1"/>
  <c r="H104" i="3"/>
  <c r="J104" i="3" s="1"/>
  <c r="K104" i="3" s="1"/>
  <c r="H103" i="3"/>
  <c r="J103" i="3" s="1"/>
  <c r="K103" i="3" s="1"/>
  <c r="H102" i="3"/>
  <c r="J102" i="3" s="1"/>
  <c r="K102" i="3" s="1"/>
  <c r="H101" i="3"/>
  <c r="J101" i="3" s="1"/>
  <c r="K101" i="3" s="1"/>
  <c r="H100" i="3"/>
  <c r="J100" i="3" s="1"/>
  <c r="K100" i="3" s="1"/>
  <c r="H99" i="3"/>
  <c r="J99" i="3" s="1"/>
  <c r="K99" i="3" s="1"/>
  <c r="H98" i="3"/>
  <c r="J98" i="3" s="1"/>
  <c r="K98" i="3" s="1"/>
  <c r="H97" i="3"/>
  <c r="J97" i="3" s="1"/>
  <c r="K97" i="3" s="1"/>
  <c r="H96" i="3"/>
  <c r="J96" i="3" s="1"/>
  <c r="K96" i="3" s="1"/>
  <c r="H95" i="3"/>
  <c r="J95" i="3" s="1"/>
  <c r="K95" i="3" s="1"/>
  <c r="H94" i="3"/>
  <c r="J94" i="3" s="1"/>
  <c r="K94" i="3" s="1"/>
  <c r="H93" i="3"/>
  <c r="J93" i="3" s="1"/>
  <c r="K93" i="3" s="1"/>
  <c r="H92" i="3"/>
  <c r="J92" i="3" s="1"/>
  <c r="K92" i="3" s="1"/>
  <c r="H91" i="3"/>
  <c r="J91" i="3" s="1"/>
  <c r="K91" i="3" s="1"/>
  <c r="H90" i="3"/>
  <c r="J90" i="3" s="1"/>
  <c r="K90" i="3" s="1"/>
  <c r="H89" i="3"/>
  <c r="J89" i="3" s="1"/>
  <c r="K89" i="3" s="1"/>
  <c r="H88" i="3"/>
  <c r="J88" i="3" s="1"/>
  <c r="K88" i="3" s="1"/>
  <c r="H87" i="3"/>
  <c r="J87" i="3" s="1"/>
  <c r="K87" i="3" s="1"/>
  <c r="H86" i="3"/>
  <c r="J86" i="3" s="1"/>
  <c r="K86" i="3" s="1"/>
  <c r="H85" i="3"/>
  <c r="J85" i="3" s="1"/>
  <c r="K85" i="3" s="1"/>
  <c r="H84" i="3"/>
  <c r="J84" i="3" s="1"/>
  <c r="K84" i="3" s="1"/>
  <c r="H83" i="3"/>
  <c r="J83" i="3" s="1"/>
  <c r="K83" i="3" s="1"/>
  <c r="H82" i="3"/>
  <c r="J82" i="3" s="1"/>
  <c r="K82" i="3" s="1"/>
  <c r="H81" i="3"/>
  <c r="J81" i="3" s="1"/>
  <c r="K81" i="3" s="1"/>
  <c r="H80" i="3"/>
  <c r="J80" i="3" s="1"/>
  <c r="K80" i="3" s="1"/>
  <c r="H79" i="3"/>
  <c r="J79" i="3" s="1"/>
  <c r="K79" i="3" s="1"/>
  <c r="H78" i="3"/>
  <c r="J78" i="3" s="1"/>
  <c r="K78" i="3" s="1"/>
  <c r="H77" i="3"/>
  <c r="J77" i="3" s="1"/>
  <c r="K77" i="3" s="1"/>
  <c r="H76" i="3"/>
  <c r="J76" i="3" s="1"/>
  <c r="K76" i="3" s="1"/>
  <c r="H75" i="3"/>
  <c r="J75" i="3" s="1"/>
  <c r="K75" i="3" s="1"/>
  <c r="H74" i="3"/>
  <c r="J74" i="3" s="1"/>
  <c r="K74" i="3" s="1"/>
  <c r="H73" i="3"/>
  <c r="J73" i="3" s="1"/>
  <c r="K73" i="3" s="1"/>
  <c r="H72" i="3"/>
  <c r="J72" i="3" s="1"/>
  <c r="K72" i="3" s="1"/>
  <c r="H71" i="3"/>
  <c r="J71" i="3" s="1"/>
  <c r="K71" i="3" s="1"/>
  <c r="H70" i="3"/>
  <c r="J70" i="3" s="1"/>
  <c r="K70" i="3" s="1"/>
  <c r="H69" i="3"/>
  <c r="J69" i="3" s="1"/>
  <c r="K69" i="3" s="1"/>
  <c r="H68" i="3"/>
  <c r="J68" i="3" s="1"/>
  <c r="K68" i="3" s="1"/>
  <c r="H67" i="3"/>
  <c r="J67" i="3" s="1"/>
  <c r="K67" i="3" s="1"/>
  <c r="H66" i="3"/>
  <c r="J66" i="3" s="1"/>
  <c r="K66" i="3" s="1"/>
  <c r="H65" i="3"/>
  <c r="J65" i="3" s="1"/>
  <c r="K65" i="3" s="1"/>
  <c r="H64" i="3"/>
  <c r="J64" i="3" s="1"/>
  <c r="K64" i="3" s="1"/>
  <c r="H63" i="3"/>
  <c r="J63" i="3" s="1"/>
  <c r="K63" i="3" s="1"/>
  <c r="H62" i="3"/>
  <c r="J62" i="3" s="1"/>
  <c r="K62" i="3" s="1"/>
  <c r="H61" i="3"/>
  <c r="J61" i="3" s="1"/>
  <c r="K61" i="3" s="1"/>
  <c r="H60" i="3"/>
  <c r="J60" i="3" s="1"/>
  <c r="K60" i="3" s="1"/>
  <c r="H59" i="3"/>
  <c r="J59" i="3" s="1"/>
  <c r="K59" i="3" s="1"/>
  <c r="H58" i="3"/>
  <c r="J58" i="3" s="1"/>
  <c r="K58" i="3" s="1"/>
  <c r="H57" i="3"/>
  <c r="J57" i="3" s="1"/>
  <c r="K57" i="3" s="1"/>
  <c r="H56" i="3"/>
  <c r="J56" i="3" s="1"/>
  <c r="K56" i="3" s="1"/>
  <c r="H55" i="3"/>
  <c r="J55" i="3" s="1"/>
  <c r="K55" i="3" s="1"/>
  <c r="H54" i="3"/>
  <c r="J54" i="3" s="1"/>
  <c r="K54" i="3" s="1"/>
  <c r="H53" i="3"/>
  <c r="J53" i="3" s="1"/>
  <c r="K53" i="3" s="1"/>
  <c r="H52" i="3"/>
  <c r="J52" i="3" s="1"/>
  <c r="K52" i="3" s="1"/>
  <c r="H51" i="3"/>
  <c r="J51" i="3" s="1"/>
  <c r="K51" i="3" s="1"/>
  <c r="H50" i="3"/>
  <c r="J50" i="3" s="1"/>
  <c r="K50" i="3" s="1"/>
  <c r="H49" i="3"/>
  <c r="J49" i="3" s="1"/>
  <c r="K49" i="3" s="1"/>
  <c r="H48" i="3"/>
  <c r="J48" i="3" s="1"/>
  <c r="K48" i="3" s="1"/>
  <c r="H47" i="3"/>
  <c r="J47" i="3" s="1"/>
  <c r="K47" i="3" s="1"/>
  <c r="H46" i="3"/>
  <c r="J46" i="3" s="1"/>
  <c r="K46" i="3" s="1"/>
  <c r="H45" i="3"/>
  <c r="J45" i="3" s="1"/>
  <c r="K45" i="3" s="1"/>
  <c r="H44" i="3"/>
  <c r="J44" i="3" s="1"/>
  <c r="K44" i="3" s="1"/>
  <c r="H43" i="3"/>
  <c r="J43" i="3" s="1"/>
  <c r="K43" i="3" s="1"/>
  <c r="H42" i="3"/>
  <c r="J42" i="3" s="1"/>
  <c r="K42" i="3" s="1"/>
  <c r="H41" i="3"/>
  <c r="J41" i="3" s="1"/>
  <c r="K41" i="3" s="1"/>
  <c r="H40" i="3"/>
  <c r="J40" i="3" s="1"/>
  <c r="K40" i="3" s="1"/>
  <c r="H39" i="3"/>
  <c r="J39" i="3" s="1"/>
  <c r="K39" i="3" s="1"/>
  <c r="H38" i="3"/>
  <c r="J38" i="3" s="1"/>
  <c r="K38" i="3" s="1"/>
  <c r="H37" i="3"/>
  <c r="J37" i="3" s="1"/>
  <c r="K37" i="3" s="1"/>
  <c r="H34" i="3"/>
  <c r="J34" i="3" s="1"/>
  <c r="K34" i="3" s="1"/>
  <c r="H33" i="3"/>
  <c r="J33" i="3" s="1"/>
  <c r="K33" i="3" s="1"/>
  <c r="H32" i="3"/>
  <c r="J32" i="3" s="1"/>
  <c r="K32" i="3" s="1"/>
  <c r="H31" i="3"/>
  <c r="J31" i="3" s="1"/>
  <c r="K31" i="3" s="1"/>
  <c r="H30" i="3"/>
  <c r="J30" i="3" s="1"/>
  <c r="K30" i="3" s="1"/>
  <c r="H29" i="3"/>
  <c r="J29" i="3" s="1"/>
  <c r="K29" i="3" s="1"/>
  <c r="H28" i="3"/>
  <c r="J28" i="3" s="1"/>
  <c r="K28" i="3" s="1"/>
  <c r="H27" i="3"/>
  <c r="J27" i="3" s="1"/>
  <c r="K27" i="3" s="1"/>
  <c r="H26" i="3"/>
  <c r="J26" i="3" s="1"/>
  <c r="K26" i="3" s="1"/>
  <c r="H25" i="3"/>
  <c r="J25" i="3" s="1"/>
  <c r="K25" i="3" s="1"/>
  <c r="H24" i="3"/>
  <c r="J24" i="3" s="1"/>
  <c r="K24" i="3" s="1"/>
  <c r="H23" i="3"/>
  <c r="J23" i="3" s="1"/>
  <c r="K23" i="3" s="1"/>
  <c r="H22" i="3"/>
  <c r="J22" i="3" s="1"/>
  <c r="K22" i="3" s="1"/>
  <c r="H21" i="3"/>
  <c r="J21" i="3" s="1"/>
  <c r="K21" i="3" s="1"/>
  <c r="H20" i="3"/>
  <c r="J20" i="3" s="1"/>
  <c r="K20" i="3" s="1"/>
  <c r="H19" i="3"/>
  <c r="J19" i="3" s="1"/>
  <c r="K19" i="3" s="1"/>
  <c r="H18" i="3"/>
  <c r="J18" i="3" s="1"/>
  <c r="K18" i="3" s="1"/>
  <c r="H17" i="3"/>
  <c r="J17" i="3" s="1"/>
  <c r="K17" i="3" s="1"/>
  <c r="H16" i="3"/>
  <c r="J16" i="3" s="1"/>
  <c r="K16" i="3" s="1"/>
  <c r="H15" i="3"/>
  <c r="J15" i="3" s="1"/>
  <c r="K15" i="3" s="1"/>
  <c r="H14" i="3"/>
  <c r="J14" i="3" s="1"/>
  <c r="K14" i="3" s="1"/>
  <c r="H13" i="3"/>
  <c r="J13" i="3" s="1"/>
  <c r="K13" i="3" s="1"/>
  <c r="H12" i="3"/>
  <c r="J12" i="3" s="1"/>
  <c r="K12" i="3" s="1"/>
  <c r="H11" i="3"/>
  <c r="J11" i="3" s="1"/>
  <c r="K11" i="3" s="1"/>
  <c r="J10" i="3"/>
  <c r="K10" i="3" s="1"/>
  <c r="H9" i="3"/>
  <c r="J9" i="3" s="1"/>
  <c r="K9" i="3" s="1"/>
  <c r="H8" i="3"/>
  <c r="J8" i="3" s="1"/>
  <c r="K8" i="3" s="1"/>
  <c r="H7" i="3"/>
  <c r="J7" i="3" s="1"/>
  <c r="K7" i="3" s="1"/>
  <c r="H6" i="3"/>
  <c r="J6" i="3" s="1"/>
  <c r="K6" i="3" s="1"/>
  <c r="H5" i="3"/>
  <c r="J5" i="3" s="1"/>
  <c r="K5" i="3" s="1"/>
  <c r="H4" i="3"/>
  <c r="J4" i="3" s="1"/>
  <c r="K4" i="3" s="1"/>
  <c r="H3" i="3"/>
  <c r="J3" i="3" s="1"/>
  <c r="K3" i="3" s="1"/>
  <c r="H2" i="3"/>
  <c r="J2" i="3" s="1"/>
  <c r="K2" i="3" s="1"/>
  <c r="K1401" i="1"/>
  <c r="K1402" i="1"/>
  <c r="K1403" i="1"/>
  <c r="K1404" i="1"/>
  <c r="H1382" i="1"/>
  <c r="J1382" i="1" s="1"/>
  <c r="K1382" i="1" s="1"/>
  <c r="H1383" i="1"/>
  <c r="J1383" i="1" s="1"/>
  <c r="K1383" i="1" s="1"/>
  <c r="H1384" i="1"/>
  <c r="J1384" i="1" s="1"/>
  <c r="K1384" i="1" s="1"/>
  <c r="H1385" i="1"/>
  <c r="J1385" i="1" s="1"/>
  <c r="K1385" i="1" s="1"/>
  <c r="H1386" i="1"/>
  <c r="J1386" i="1" s="1"/>
  <c r="K1386" i="1" s="1"/>
  <c r="H1387" i="1"/>
  <c r="J1387" i="1" s="1"/>
  <c r="K1387" i="1" s="1"/>
  <c r="H1388" i="1"/>
  <c r="J1388" i="1" s="1"/>
  <c r="K1388" i="1" s="1"/>
  <c r="H1389" i="1"/>
  <c r="J1389" i="1" s="1"/>
  <c r="K1389" i="1" s="1"/>
  <c r="H1390" i="1"/>
  <c r="J1390" i="1" s="1"/>
  <c r="K1390" i="1" s="1"/>
  <c r="H1391" i="1"/>
  <c r="J1391" i="1" s="1"/>
  <c r="K1391" i="1" s="1"/>
  <c r="H1392" i="1"/>
  <c r="J1392" i="1" s="1"/>
  <c r="K1392" i="1" s="1"/>
  <c r="H1393" i="1"/>
  <c r="J1393" i="1" s="1"/>
  <c r="K1393" i="1" s="1"/>
  <c r="H1394" i="1"/>
  <c r="J1394" i="1" s="1"/>
  <c r="K1394" i="1" s="1"/>
  <c r="H1395" i="1"/>
  <c r="J1395" i="1" s="1"/>
  <c r="K1395" i="1" s="1"/>
  <c r="H1396" i="1"/>
  <c r="J1396" i="1" s="1"/>
  <c r="K1396" i="1" s="1"/>
  <c r="H1397" i="1"/>
  <c r="J1397" i="1" s="1"/>
  <c r="K1397" i="1" s="1"/>
  <c r="H1398" i="1"/>
  <c r="J1398" i="1" s="1"/>
  <c r="K1398" i="1" s="1"/>
  <c r="H1399" i="1"/>
  <c r="J1399" i="1" s="1"/>
  <c r="K1399" i="1" s="1"/>
  <c r="H1400" i="1"/>
  <c r="J1400" i="1" s="1"/>
  <c r="K1400" i="1" s="1"/>
  <c r="H1401" i="1"/>
  <c r="H1381" i="1"/>
  <c r="J1381" i="1" s="1"/>
  <c r="K1381" i="1" s="1"/>
  <c r="H1380" i="1"/>
  <c r="J1380" i="1" s="1"/>
  <c r="K1380" i="1" s="1"/>
  <c r="H1379" i="1"/>
  <c r="J1379" i="1" s="1"/>
  <c r="K1379" i="1" s="1"/>
  <c r="H1362" i="1"/>
  <c r="J1362" i="1" s="1"/>
  <c r="K1362" i="1" s="1"/>
  <c r="H1363" i="1"/>
  <c r="J1363" i="1" s="1"/>
  <c r="K1363" i="1" s="1"/>
  <c r="H1364" i="1"/>
  <c r="J1364" i="1" s="1"/>
  <c r="K1364" i="1" s="1"/>
  <c r="H1365" i="1"/>
  <c r="J1365" i="1" s="1"/>
  <c r="K1365" i="1" s="1"/>
  <c r="H1366" i="1"/>
  <c r="J1366" i="1" s="1"/>
  <c r="K1366" i="1" s="1"/>
  <c r="H1367" i="1"/>
  <c r="J1367" i="1" s="1"/>
  <c r="K1367" i="1" s="1"/>
  <c r="H1368" i="1"/>
  <c r="J1368" i="1" s="1"/>
  <c r="K1368" i="1" s="1"/>
  <c r="H1369" i="1"/>
  <c r="J1369" i="1" s="1"/>
  <c r="K1369" i="1" s="1"/>
  <c r="H1370" i="1"/>
  <c r="J1370" i="1" s="1"/>
  <c r="K1370" i="1" s="1"/>
  <c r="H1371" i="1"/>
  <c r="J1371" i="1" s="1"/>
  <c r="K1371" i="1" s="1"/>
  <c r="H1372" i="1"/>
  <c r="J1372" i="1" s="1"/>
  <c r="K1372" i="1" s="1"/>
  <c r="H1373" i="1"/>
  <c r="J1373" i="1" s="1"/>
  <c r="K1373" i="1" s="1"/>
  <c r="H1374" i="1"/>
  <c r="J1374" i="1" s="1"/>
  <c r="K1374" i="1" s="1"/>
  <c r="H1375" i="1"/>
  <c r="J1375" i="1" s="1"/>
  <c r="K1375" i="1" s="1"/>
  <c r="H1376" i="1"/>
  <c r="J1376" i="1" s="1"/>
  <c r="K1376" i="1" s="1"/>
  <c r="H1377" i="1"/>
  <c r="J1377" i="1" s="1"/>
  <c r="K1377" i="1" s="1"/>
  <c r="H1378" i="1"/>
  <c r="J1378" i="1" s="1"/>
  <c r="K1378" i="1" s="1"/>
  <c r="H1344" i="1"/>
  <c r="J1344" i="1" s="1"/>
  <c r="K1344" i="1" s="1"/>
  <c r="H1345" i="1"/>
  <c r="J1345" i="1" s="1"/>
  <c r="K1345" i="1" s="1"/>
  <c r="H1346" i="1"/>
  <c r="J1346" i="1" s="1"/>
  <c r="K1346" i="1" s="1"/>
  <c r="H1347" i="1"/>
  <c r="J1347" i="1" s="1"/>
  <c r="K1347" i="1" s="1"/>
  <c r="H1348" i="1"/>
  <c r="J1348" i="1" s="1"/>
  <c r="K1348" i="1" s="1"/>
  <c r="H1349" i="1"/>
  <c r="J1349" i="1" s="1"/>
  <c r="K1349" i="1" s="1"/>
  <c r="H1350" i="1"/>
  <c r="J1350" i="1" s="1"/>
  <c r="K1350" i="1" s="1"/>
  <c r="H1351" i="1"/>
  <c r="J1351" i="1" s="1"/>
  <c r="K1351" i="1" s="1"/>
  <c r="H1352" i="1"/>
  <c r="J1352" i="1" s="1"/>
  <c r="K1352" i="1" s="1"/>
  <c r="H1353" i="1"/>
  <c r="J1353" i="1" s="1"/>
  <c r="K1353" i="1" s="1"/>
  <c r="H1354" i="1"/>
  <c r="J1354" i="1" s="1"/>
  <c r="K1354" i="1" s="1"/>
  <c r="H1355" i="1"/>
  <c r="J1355" i="1" s="1"/>
  <c r="K1355" i="1" s="1"/>
  <c r="H1356" i="1"/>
  <c r="J1356" i="1" s="1"/>
  <c r="K1356" i="1" s="1"/>
  <c r="H1357" i="1"/>
  <c r="J1357" i="1" s="1"/>
  <c r="K1357" i="1" s="1"/>
  <c r="H1358" i="1"/>
  <c r="J1358" i="1" s="1"/>
  <c r="K1358" i="1" s="1"/>
  <c r="H1359" i="1"/>
  <c r="J1359" i="1" s="1"/>
  <c r="K1359" i="1" s="1"/>
  <c r="H1360" i="1"/>
  <c r="J1360" i="1" s="1"/>
  <c r="K1360" i="1" s="1"/>
  <c r="H1361" i="1"/>
  <c r="J1361" i="1" s="1"/>
  <c r="K1361" i="1" s="1"/>
  <c r="H1343" i="1"/>
  <c r="J1343" i="1" s="1"/>
  <c r="K1343" i="1" s="1"/>
  <c r="H1342" i="1"/>
  <c r="J1342" i="1" s="1"/>
  <c r="K1342" i="1" s="1"/>
  <c r="H1341" i="1"/>
  <c r="J1341" i="1" s="1"/>
  <c r="K1341" i="1" s="1"/>
  <c r="H1340" i="1"/>
  <c r="J1340" i="1" s="1"/>
  <c r="K1340" i="1" s="1"/>
  <c r="H1339" i="1"/>
  <c r="J1339" i="1" l="1"/>
  <c r="K1339" i="1" s="1"/>
  <c r="H1323" i="1"/>
  <c r="J1323" i="1" s="1"/>
  <c r="K1323" i="1" s="1"/>
  <c r="H1324" i="1"/>
  <c r="J1324" i="1" s="1"/>
  <c r="K1324" i="1" s="1"/>
  <c r="H1325" i="1"/>
  <c r="J1325" i="1" s="1"/>
  <c r="K1325" i="1" s="1"/>
  <c r="H1326" i="1"/>
  <c r="J1326" i="1" s="1"/>
  <c r="K1326" i="1" s="1"/>
  <c r="H1327" i="1"/>
  <c r="J1327" i="1" s="1"/>
  <c r="K1327" i="1" s="1"/>
  <c r="H1328" i="1"/>
  <c r="J1328" i="1" s="1"/>
  <c r="K1328" i="1" s="1"/>
  <c r="H1329" i="1"/>
  <c r="J1329" i="1" s="1"/>
  <c r="K1329" i="1" s="1"/>
  <c r="H1330" i="1"/>
  <c r="J1330" i="1" s="1"/>
  <c r="K1330" i="1" s="1"/>
  <c r="H1331" i="1"/>
  <c r="J1331" i="1" s="1"/>
  <c r="K1331" i="1" s="1"/>
  <c r="H1332" i="1"/>
  <c r="J1332" i="1" s="1"/>
  <c r="K1332" i="1" s="1"/>
  <c r="H1333" i="1"/>
  <c r="J1333" i="1" s="1"/>
  <c r="K1333" i="1" s="1"/>
  <c r="H1334" i="1"/>
  <c r="J1334" i="1" s="1"/>
  <c r="K1334" i="1" s="1"/>
  <c r="H1335" i="1"/>
  <c r="J1335" i="1" s="1"/>
  <c r="K1335" i="1" s="1"/>
  <c r="H1336" i="1"/>
  <c r="J1336" i="1" s="1"/>
  <c r="K1336" i="1" s="1"/>
  <c r="H1337" i="1"/>
  <c r="J1337" i="1" s="1"/>
  <c r="K1337" i="1" s="1"/>
  <c r="H1338" i="1"/>
  <c r="J1338" i="1" s="1"/>
  <c r="K1338" i="1" s="1"/>
  <c r="H1272" i="1"/>
  <c r="J1272" i="1" s="1"/>
  <c r="K1272" i="1" s="1"/>
  <c r="H1271" i="1"/>
  <c r="J1271" i="1" s="1"/>
  <c r="K1271" i="1" s="1"/>
  <c r="F1268" i="1" l="1"/>
  <c r="H1243" i="1" l="1"/>
  <c r="J1243" i="1" s="1"/>
  <c r="K1243" i="1" s="1"/>
  <c r="H1242" i="1"/>
  <c r="J1242" i="1" s="1"/>
  <c r="K1242" i="1" s="1"/>
  <c r="H1229" i="1"/>
  <c r="J1229" i="1" s="1"/>
  <c r="K1229" i="1" s="1"/>
  <c r="H1228" i="1"/>
  <c r="J1228" i="1" s="1"/>
  <c r="K1228" i="1" s="1"/>
  <c r="H1230" i="1"/>
  <c r="J1230" i="1" s="1"/>
  <c r="K1230" i="1" s="1"/>
  <c r="H1231" i="1"/>
  <c r="J1231" i="1" s="1"/>
  <c r="K1231" i="1" s="1"/>
  <c r="H1232" i="1"/>
  <c r="J1232" i="1" s="1"/>
  <c r="K1232" i="1" s="1"/>
  <c r="H1233" i="1"/>
  <c r="J1233" i="1" s="1"/>
  <c r="K1233" i="1" s="1"/>
  <c r="H1234" i="1"/>
  <c r="J1234" i="1" s="1"/>
  <c r="K1234" i="1" s="1"/>
  <c r="H1235" i="1"/>
  <c r="J1235" i="1" s="1"/>
  <c r="K1235" i="1" s="1"/>
  <c r="H1236" i="1"/>
  <c r="J1236" i="1" s="1"/>
  <c r="K1236" i="1" s="1"/>
  <c r="H1237" i="1"/>
  <c r="J1237" i="1" s="1"/>
  <c r="K1237" i="1" s="1"/>
  <c r="H1238" i="1"/>
  <c r="J1238" i="1" s="1"/>
  <c r="K1238" i="1" s="1"/>
  <c r="H1239" i="1"/>
  <c r="J1239" i="1" s="1"/>
  <c r="K1239" i="1" s="1"/>
  <c r="H1240" i="1"/>
  <c r="J1240" i="1" s="1"/>
  <c r="K1240" i="1" s="1"/>
  <c r="H1241" i="1"/>
  <c r="J1241" i="1" s="1"/>
  <c r="K1241" i="1" s="1"/>
  <c r="H1244" i="1"/>
  <c r="J1244" i="1" s="1"/>
  <c r="K1244" i="1" s="1"/>
  <c r="H1245" i="1"/>
  <c r="J1245" i="1" s="1"/>
  <c r="K1245" i="1" s="1"/>
  <c r="H1246" i="1"/>
  <c r="J1246" i="1" s="1"/>
  <c r="K1246" i="1" s="1"/>
  <c r="H1247" i="1"/>
  <c r="J1247" i="1" s="1"/>
  <c r="K1247" i="1" s="1"/>
  <c r="H1248" i="1"/>
  <c r="J1248" i="1" s="1"/>
  <c r="K1248" i="1" s="1"/>
  <c r="H1249" i="1"/>
  <c r="J1249" i="1" s="1"/>
  <c r="K1249" i="1" s="1"/>
  <c r="H1250" i="1"/>
  <c r="J1250" i="1" s="1"/>
  <c r="K1250" i="1" s="1"/>
  <c r="H1251" i="1"/>
  <c r="J1251" i="1" s="1"/>
  <c r="K1251" i="1" s="1"/>
  <c r="H1252" i="1"/>
  <c r="J1252" i="1" s="1"/>
  <c r="K1252" i="1" s="1"/>
  <c r="H1253" i="1"/>
  <c r="J1253" i="1" s="1"/>
  <c r="K1253" i="1" s="1"/>
  <c r="H1254" i="1"/>
  <c r="J1254" i="1" s="1"/>
  <c r="K1254" i="1" s="1"/>
  <c r="H1255" i="1"/>
  <c r="J1255" i="1" s="1"/>
  <c r="K1255" i="1" s="1"/>
  <c r="H1256" i="1"/>
  <c r="J1256" i="1" s="1"/>
  <c r="K1256" i="1" s="1"/>
  <c r="H1257" i="1"/>
  <c r="J1257" i="1" s="1"/>
  <c r="K1257" i="1" s="1"/>
  <c r="H1258" i="1"/>
  <c r="J1258" i="1" s="1"/>
  <c r="K1258" i="1" s="1"/>
  <c r="H1259" i="1"/>
  <c r="J1259" i="1" s="1"/>
  <c r="K1259" i="1" s="1"/>
  <c r="H1260" i="1"/>
  <c r="J1260" i="1" s="1"/>
  <c r="K1260" i="1" s="1"/>
  <c r="H1261" i="1"/>
  <c r="J1261" i="1" s="1"/>
  <c r="K1261" i="1" s="1"/>
  <c r="H1262" i="1"/>
  <c r="J1262" i="1" s="1"/>
  <c r="K1262" i="1" s="1"/>
  <c r="H1263" i="1"/>
  <c r="J1263" i="1" s="1"/>
  <c r="K1263" i="1" s="1"/>
  <c r="H1264" i="1"/>
  <c r="J1264" i="1" s="1"/>
  <c r="K1264" i="1" s="1"/>
  <c r="H1265" i="1"/>
  <c r="J1265" i="1" s="1"/>
  <c r="K1265" i="1" s="1"/>
  <c r="H1266" i="1"/>
  <c r="J1266" i="1" s="1"/>
  <c r="K1266" i="1" s="1"/>
  <c r="H1267" i="1"/>
  <c r="J1267" i="1" s="1"/>
  <c r="K1267" i="1" s="1"/>
  <c r="H1268" i="1"/>
  <c r="J1268" i="1" s="1"/>
  <c r="K1268" i="1" s="1"/>
  <c r="H1269" i="1"/>
  <c r="J1269" i="1" s="1"/>
  <c r="K1269" i="1" s="1"/>
  <c r="H1270" i="1"/>
  <c r="J1270" i="1" s="1"/>
  <c r="K1270" i="1" s="1"/>
  <c r="H1273" i="1"/>
  <c r="J1273" i="1" s="1"/>
  <c r="K1273" i="1" s="1"/>
  <c r="H1274" i="1"/>
  <c r="J1274" i="1" s="1"/>
  <c r="K1274" i="1" s="1"/>
  <c r="H1275" i="1"/>
  <c r="J1275" i="1" s="1"/>
  <c r="K1275" i="1" s="1"/>
  <c r="H1276" i="1"/>
  <c r="J1276" i="1" s="1"/>
  <c r="K1276" i="1" s="1"/>
  <c r="H1277" i="1"/>
  <c r="J1277" i="1" s="1"/>
  <c r="K1277" i="1" s="1"/>
  <c r="H1278" i="1"/>
  <c r="J1278" i="1" s="1"/>
  <c r="K1278" i="1" s="1"/>
  <c r="H1279" i="1"/>
  <c r="J1279" i="1" s="1"/>
  <c r="K1279" i="1" s="1"/>
  <c r="H1280" i="1"/>
  <c r="J1280" i="1" s="1"/>
  <c r="K1280" i="1" s="1"/>
  <c r="H1281" i="1"/>
  <c r="J1281" i="1" s="1"/>
  <c r="K1281" i="1" s="1"/>
  <c r="H1282" i="1"/>
  <c r="J1282" i="1" s="1"/>
  <c r="K1282" i="1" s="1"/>
  <c r="H1283" i="1"/>
  <c r="J1283" i="1" s="1"/>
  <c r="K1283" i="1" s="1"/>
  <c r="H1284" i="1"/>
  <c r="J1284" i="1" s="1"/>
  <c r="K1284" i="1" s="1"/>
  <c r="H1285" i="1"/>
  <c r="J1285" i="1" s="1"/>
  <c r="K1285" i="1" s="1"/>
  <c r="H1286" i="1"/>
  <c r="J1286" i="1" s="1"/>
  <c r="K1286" i="1" s="1"/>
  <c r="H1287" i="1"/>
  <c r="J1287" i="1" s="1"/>
  <c r="K1287" i="1" s="1"/>
  <c r="H1288" i="1"/>
  <c r="J1288" i="1" s="1"/>
  <c r="K1288" i="1" s="1"/>
  <c r="H1289" i="1"/>
  <c r="J1289" i="1" s="1"/>
  <c r="K1289" i="1" s="1"/>
  <c r="J1290" i="1"/>
  <c r="K1290" i="1" s="1"/>
  <c r="H1291" i="1"/>
  <c r="J1291" i="1" s="1"/>
  <c r="K1291" i="1" s="1"/>
  <c r="H1292" i="1"/>
  <c r="J1292" i="1" s="1"/>
  <c r="K1292" i="1" s="1"/>
  <c r="H1293" i="1"/>
  <c r="J1293" i="1" s="1"/>
  <c r="K1293" i="1" s="1"/>
  <c r="H1294" i="1"/>
  <c r="J1294" i="1" s="1"/>
  <c r="K1294" i="1" s="1"/>
  <c r="H1295" i="1"/>
  <c r="J1295" i="1" s="1"/>
  <c r="K1295" i="1" s="1"/>
  <c r="H1296" i="1"/>
  <c r="J1296" i="1" s="1"/>
  <c r="K1296" i="1" s="1"/>
  <c r="H1297" i="1"/>
  <c r="J1297" i="1" s="1"/>
  <c r="K1297" i="1" s="1"/>
  <c r="H1298" i="1"/>
  <c r="J1298" i="1" s="1"/>
  <c r="K1298" i="1" s="1"/>
  <c r="H1299" i="1"/>
  <c r="J1299" i="1" s="1"/>
  <c r="K1299" i="1" s="1"/>
  <c r="H1300" i="1"/>
  <c r="J1300" i="1" s="1"/>
  <c r="K1300" i="1" s="1"/>
  <c r="H1301" i="1"/>
  <c r="J1301" i="1" s="1"/>
  <c r="K1301" i="1" s="1"/>
  <c r="H1302" i="1"/>
  <c r="J1302" i="1" s="1"/>
  <c r="K1302" i="1" s="1"/>
  <c r="H1303" i="1"/>
  <c r="J1303" i="1" s="1"/>
  <c r="K1303" i="1" s="1"/>
  <c r="H1304" i="1"/>
  <c r="J1304" i="1" s="1"/>
  <c r="K1304" i="1" s="1"/>
  <c r="H1305" i="1"/>
  <c r="J1305" i="1" s="1"/>
  <c r="K1305" i="1" s="1"/>
  <c r="H1306" i="1"/>
  <c r="J1306" i="1" s="1"/>
  <c r="K1306" i="1" s="1"/>
  <c r="H1307" i="1"/>
  <c r="J1307" i="1" s="1"/>
  <c r="K1307" i="1" s="1"/>
  <c r="H1308" i="1"/>
  <c r="J1308" i="1" s="1"/>
  <c r="K1308" i="1" s="1"/>
  <c r="H1309" i="1"/>
  <c r="J1309" i="1" s="1"/>
  <c r="K1309" i="1" s="1"/>
  <c r="H1310" i="1"/>
  <c r="J1310" i="1" s="1"/>
  <c r="K1310" i="1" s="1"/>
  <c r="H1311" i="1"/>
  <c r="J1311" i="1" s="1"/>
  <c r="K1311" i="1" s="1"/>
  <c r="H1312" i="1"/>
  <c r="J1312" i="1" s="1"/>
  <c r="K1312" i="1" s="1"/>
  <c r="H1313" i="1"/>
  <c r="J1313" i="1" s="1"/>
  <c r="K1313" i="1" s="1"/>
  <c r="H1314" i="1"/>
  <c r="J1314" i="1" s="1"/>
  <c r="K1314" i="1" s="1"/>
  <c r="H1315" i="1"/>
  <c r="J1315" i="1" s="1"/>
  <c r="K1315" i="1" s="1"/>
  <c r="H1316" i="1"/>
  <c r="J1316" i="1" s="1"/>
  <c r="K1316" i="1" s="1"/>
  <c r="H1317" i="1"/>
  <c r="J1317" i="1" s="1"/>
  <c r="K1317" i="1" s="1"/>
  <c r="H1318" i="1"/>
  <c r="J1318" i="1" s="1"/>
  <c r="K1318" i="1" s="1"/>
  <c r="H1319" i="1"/>
  <c r="J1319" i="1" s="1"/>
  <c r="K1319" i="1" s="1"/>
  <c r="H1320" i="1"/>
  <c r="J1320" i="1" s="1"/>
  <c r="K1320" i="1" s="1"/>
  <c r="H1321" i="1"/>
  <c r="J1321" i="1" s="1"/>
  <c r="K1321" i="1" s="1"/>
  <c r="H1322" i="1"/>
  <c r="J1322" i="1" s="1"/>
  <c r="K1322" i="1" s="1"/>
  <c r="H1227" i="1"/>
  <c r="J1227" i="1" s="1"/>
  <c r="K1227" i="1" s="1"/>
  <c r="H1226" i="1"/>
  <c r="J1226" i="1" s="1"/>
  <c r="K1226" i="1" s="1"/>
  <c r="H1225" i="1"/>
  <c r="J1225" i="1" s="1"/>
  <c r="K1225" i="1" s="1"/>
  <c r="H1224" i="1"/>
  <c r="J1224" i="1" s="1"/>
  <c r="K1224" i="1" s="1"/>
  <c r="H1223" i="1"/>
  <c r="J1223" i="1" s="1"/>
  <c r="K1223" i="1" s="1"/>
  <c r="H1222" i="1"/>
  <c r="J1222" i="1" s="1"/>
  <c r="K1222" i="1" s="1"/>
  <c r="H1221" i="1"/>
  <c r="J1221" i="1" s="1"/>
  <c r="K1221" i="1" s="1"/>
  <c r="H1197" i="1"/>
  <c r="J1197" i="1" s="1"/>
  <c r="K1197" i="1" s="1"/>
  <c r="H1196" i="1"/>
  <c r="J1196" i="1" s="1"/>
  <c r="K1196" i="1" s="1"/>
  <c r="H1195" i="1"/>
  <c r="J1195" i="1" s="1"/>
  <c r="K1195" i="1" s="1"/>
  <c r="H1193" i="1"/>
  <c r="J1193" i="1" s="1"/>
  <c r="K1193" i="1" s="1"/>
  <c r="H1189" i="1"/>
  <c r="J1189" i="1" s="1"/>
  <c r="K1189" i="1" s="1"/>
  <c r="H1184" i="1"/>
  <c r="J1184" i="1" s="1"/>
  <c r="K1184" i="1" s="1"/>
  <c r="H1185" i="1"/>
  <c r="J1185" i="1" s="1"/>
  <c r="K1185" i="1" s="1"/>
  <c r="H1181" i="1"/>
  <c r="J1181" i="1" s="1"/>
  <c r="K1181" i="1" s="1"/>
  <c r="H1180" i="1"/>
  <c r="J1180" i="1" s="1"/>
  <c r="K1180" i="1" s="1"/>
  <c r="H1179" i="1"/>
  <c r="J1179" i="1" s="1"/>
  <c r="K1179" i="1" s="1"/>
  <c r="H1173" i="1"/>
  <c r="J1173" i="1" s="1"/>
  <c r="K1173" i="1" s="1"/>
  <c r="H1167" i="1"/>
  <c r="J1167" i="1" s="1"/>
  <c r="K1167" i="1" s="1"/>
  <c r="H1168" i="1"/>
  <c r="J1168" i="1" s="1"/>
  <c r="K1168" i="1" s="1"/>
  <c r="H1162" i="1"/>
  <c r="J1162" i="1" s="1"/>
  <c r="K1162" i="1" s="1"/>
  <c r="H1160" i="1"/>
  <c r="J1160" i="1" s="1"/>
  <c r="K1160" i="1" s="1"/>
  <c r="H1154" i="1"/>
  <c r="J1154" i="1" s="1"/>
  <c r="K1154" i="1" s="1"/>
  <c r="H1220" i="1"/>
  <c r="J1220" i="1" s="1"/>
  <c r="K1220" i="1" s="1"/>
  <c r="H1219" i="1"/>
  <c r="J1219" i="1" s="1"/>
  <c r="K1219" i="1" s="1"/>
  <c r="H1218" i="1"/>
  <c r="J1218" i="1" s="1"/>
  <c r="K1218" i="1" s="1"/>
  <c r="H1217" i="1"/>
  <c r="J1217" i="1" s="1"/>
  <c r="K1217" i="1" s="1"/>
  <c r="H1216" i="1"/>
  <c r="J1216" i="1" s="1"/>
  <c r="K1216" i="1" s="1"/>
  <c r="H1215" i="1"/>
  <c r="J1215" i="1" s="1"/>
  <c r="K1215" i="1" s="1"/>
  <c r="H1214" i="1"/>
  <c r="J1214" i="1" s="1"/>
  <c r="K1214" i="1" s="1"/>
  <c r="H1213" i="1"/>
  <c r="J1213" i="1" s="1"/>
  <c r="K1213" i="1" s="1"/>
  <c r="H1212" i="1"/>
  <c r="J1212" i="1" s="1"/>
  <c r="K1212" i="1" s="1"/>
  <c r="H1211" i="1"/>
  <c r="J1211" i="1" s="1"/>
  <c r="K1211" i="1" s="1"/>
  <c r="H1210" i="1"/>
  <c r="J1210" i="1" s="1"/>
  <c r="K1210" i="1" s="1"/>
  <c r="H1209" i="1"/>
  <c r="J1209" i="1" s="1"/>
  <c r="K1209" i="1" s="1"/>
  <c r="H1208" i="1"/>
  <c r="J1208" i="1" s="1"/>
  <c r="K1208" i="1" s="1"/>
  <c r="H1207" i="1"/>
  <c r="J1207" i="1" s="1"/>
  <c r="K1207" i="1" s="1"/>
  <c r="H1206" i="1"/>
  <c r="J1206" i="1" s="1"/>
  <c r="K1206" i="1" s="1"/>
  <c r="H1205" i="1"/>
  <c r="J1205" i="1" s="1"/>
  <c r="K1205" i="1" s="1"/>
  <c r="H1204" i="1"/>
  <c r="J1204" i="1" s="1"/>
  <c r="K1204" i="1" s="1"/>
  <c r="H1203" i="1"/>
  <c r="J1203" i="1" s="1"/>
  <c r="K1203" i="1" s="1"/>
  <c r="H1202" i="1"/>
  <c r="J1202" i="1" s="1"/>
  <c r="K1202" i="1" s="1"/>
  <c r="H1201" i="1"/>
  <c r="J1201" i="1" s="1"/>
  <c r="K1201" i="1" s="1"/>
  <c r="H1200" i="1"/>
  <c r="J1200" i="1" s="1"/>
  <c r="K1200" i="1" s="1"/>
  <c r="H1199" i="1"/>
  <c r="J1199" i="1" s="1"/>
  <c r="K1199" i="1" s="1"/>
  <c r="H1198" i="1"/>
  <c r="J1198" i="1" s="1"/>
  <c r="K1198" i="1" s="1"/>
  <c r="H1194" i="1"/>
  <c r="J1194" i="1" s="1"/>
  <c r="K1194" i="1" s="1"/>
  <c r="H1192" i="1"/>
  <c r="J1192" i="1" s="1"/>
  <c r="K1192" i="1" s="1"/>
  <c r="H1191" i="1"/>
  <c r="J1191" i="1" s="1"/>
  <c r="K1191" i="1" s="1"/>
  <c r="H1190" i="1"/>
  <c r="J1190" i="1" s="1"/>
  <c r="K1190" i="1" s="1"/>
  <c r="H1188" i="1"/>
  <c r="J1188" i="1" s="1"/>
  <c r="K1188" i="1" s="1"/>
  <c r="H1187" i="1"/>
  <c r="J1187" i="1" s="1"/>
  <c r="K1187" i="1" s="1"/>
  <c r="H1186" i="1"/>
  <c r="J1186" i="1" s="1"/>
  <c r="K1186" i="1" s="1"/>
  <c r="H1183" i="1"/>
  <c r="J1183" i="1" s="1"/>
  <c r="K1183" i="1" s="1"/>
  <c r="H1182" i="1"/>
  <c r="J1182" i="1" s="1"/>
  <c r="K1182" i="1" s="1"/>
  <c r="H1178" i="1"/>
  <c r="J1178" i="1" s="1"/>
  <c r="K1178" i="1" s="1"/>
  <c r="H1177" i="1"/>
  <c r="J1177" i="1" s="1"/>
  <c r="K1177" i="1" s="1"/>
  <c r="H1176" i="1"/>
  <c r="J1176" i="1" s="1"/>
  <c r="K1176" i="1" s="1"/>
  <c r="H1175" i="1"/>
  <c r="J1175" i="1" s="1"/>
  <c r="K1175" i="1" s="1"/>
  <c r="H1174" i="1"/>
  <c r="J1174" i="1" s="1"/>
  <c r="K1174" i="1" s="1"/>
  <c r="H1172" i="1"/>
  <c r="J1172" i="1" s="1"/>
  <c r="K1172" i="1" s="1"/>
  <c r="H1171" i="1"/>
  <c r="J1171" i="1" s="1"/>
  <c r="K1171" i="1" s="1"/>
  <c r="H1170" i="1"/>
  <c r="J1170" i="1" s="1"/>
  <c r="K1170" i="1" s="1"/>
  <c r="H1169" i="1"/>
  <c r="J1169" i="1" s="1"/>
  <c r="K1169" i="1" s="1"/>
  <c r="H1166" i="1"/>
  <c r="J1166" i="1" s="1"/>
  <c r="K1166" i="1" s="1"/>
  <c r="H1165" i="1"/>
  <c r="J1165" i="1" s="1"/>
  <c r="K1165" i="1" s="1"/>
  <c r="H1164" i="1"/>
  <c r="J1164" i="1" s="1"/>
  <c r="K1164" i="1" s="1"/>
  <c r="H1163" i="1"/>
  <c r="J1163" i="1" s="1"/>
  <c r="K1163" i="1" s="1"/>
  <c r="H1161" i="1"/>
  <c r="J1161" i="1" s="1"/>
  <c r="K1161" i="1" s="1"/>
  <c r="H1159" i="1"/>
  <c r="J1159" i="1" s="1"/>
  <c r="K1159" i="1" s="1"/>
  <c r="H1158" i="1"/>
  <c r="J1158" i="1" s="1"/>
  <c r="K1158" i="1" s="1"/>
  <c r="H1157" i="1"/>
  <c r="J1157" i="1" s="1"/>
  <c r="K1157" i="1" s="1"/>
  <c r="H1156" i="1"/>
  <c r="J1156" i="1" s="1"/>
  <c r="K1156" i="1" s="1"/>
  <c r="H1155" i="1"/>
  <c r="J1155" i="1" s="1"/>
  <c r="K1155" i="1" s="1"/>
  <c r="H1153" i="1"/>
  <c r="J1153" i="1" s="1"/>
  <c r="K1153" i="1" s="1"/>
  <c r="H1152" i="1"/>
  <c r="J1152" i="1" s="1"/>
  <c r="K1152" i="1" s="1"/>
  <c r="H1151" i="1"/>
  <c r="J1151" i="1" s="1"/>
  <c r="K1151" i="1" s="1"/>
  <c r="H1150" i="1"/>
  <c r="J1150" i="1" s="1"/>
  <c r="K1150" i="1" s="1"/>
  <c r="H1149" i="1"/>
  <c r="J1149" i="1" s="1"/>
  <c r="K1149" i="1" s="1"/>
  <c r="H1148" i="1" l="1"/>
  <c r="J1148" i="1" s="1"/>
  <c r="K1148" i="1" s="1"/>
  <c r="H1147" i="1"/>
  <c r="J1147" i="1" s="1"/>
  <c r="K1147" i="1" s="1"/>
  <c r="H1146" i="1"/>
  <c r="J1146" i="1" s="1"/>
  <c r="K1146" i="1" s="1"/>
  <c r="H1145" i="1"/>
  <c r="J1145" i="1" s="1"/>
  <c r="K1145" i="1" s="1"/>
  <c r="H1144" i="1"/>
  <c r="J1144" i="1" s="1"/>
  <c r="K1144" i="1" s="1"/>
  <c r="H1142" i="1"/>
  <c r="H1139" i="1"/>
  <c r="H1136" i="1"/>
  <c r="J1136" i="1" s="1"/>
  <c r="K1136" i="1" s="1"/>
  <c r="K1026" i="1"/>
  <c r="H1128" i="1"/>
  <c r="J1128" i="1" s="1"/>
  <c r="K1128" i="1" s="1"/>
  <c r="H1127" i="1"/>
  <c r="J1127" i="1" s="1"/>
  <c r="K1127" i="1" s="1"/>
  <c r="H1122" i="1" l="1"/>
  <c r="J1122" i="1" s="1"/>
  <c r="K1122" i="1" s="1"/>
  <c r="H1123" i="1"/>
  <c r="J1123" i="1" s="1"/>
  <c r="K1123" i="1" s="1"/>
  <c r="H1124" i="1"/>
  <c r="J1124" i="1" s="1"/>
  <c r="K1124" i="1" s="1"/>
  <c r="H1125" i="1"/>
  <c r="J1125" i="1" s="1"/>
  <c r="K1125" i="1" s="1"/>
  <c r="H1126" i="1"/>
  <c r="J1126" i="1" s="1"/>
  <c r="K1126" i="1" s="1"/>
  <c r="H1129" i="1"/>
  <c r="J1129" i="1" s="1"/>
  <c r="K1129" i="1" s="1"/>
  <c r="H1130" i="1"/>
  <c r="J1130" i="1" s="1"/>
  <c r="K1130" i="1" s="1"/>
  <c r="H1131" i="1"/>
  <c r="J1131" i="1" s="1"/>
  <c r="K1131" i="1" s="1"/>
  <c r="H1132" i="1"/>
  <c r="J1132" i="1" s="1"/>
  <c r="K1132" i="1" s="1"/>
  <c r="H1133" i="1"/>
  <c r="J1133" i="1" s="1"/>
  <c r="K1133" i="1" s="1"/>
  <c r="H1134" i="1"/>
  <c r="J1134" i="1" s="1"/>
  <c r="K1134" i="1" s="1"/>
  <c r="H1135" i="1"/>
  <c r="J1135" i="1" s="1"/>
  <c r="K1135" i="1" s="1"/>
  <c r="H1137" i="1"/>
  <c r="J1137" i="1" s="1"/>
  <c r="K1137" i="1" s="1"/>
  <c r="H1138" i="1"/>
  <c r="J1138" i="1" s="1"/>
  <c r="K1138" i="1" s="1"/>
  <c r="J1139" i="1"/>
  <c r="K1139" i="1" s="1"/>
  <c r="H1140" i="1"/>
  <c r="J1140" i="1" s="1"/>
  <c r="K1140" i="1" s="1"/>
  <c r="H1141" i="1"/>
  <c r="J1141" i="1" s="1"/>
  <c r="K1141" i="1" s="1"/>
  <c r="J1142" i="1"/>
  <c r="K1142" i="1" s="1"/>
  <c r="H1143" i="1"/>
  <c r="J1143" i="1" s="1"/>
  <c r="K1143" i="1" s="1"/>
  <c r="H1121" i="1"/>
  <c r="J1121" i="1" s="1"/>
  <c r="K1121" i="1" s="1"/>
  <c r="H1087" i="1"/>
  <c r="J1087" i="1" s="1"/>
  <c r="K1087" i="1" s="1"/>
  <c r="H1022" i="1"/>
  <c r="J1022" i="1" s="1"/>
  <c r="K1022" i="1" s="1"/>
  <c r="H1120" i="1"/>
  <c r="J1120" i="1" s="1"/>
  <c r="K1120" i="1" s="1"/>
  <c r="H1119" i="1"/>
  <c r="J1119" i="1" s="1"/>
  <c r="K1119" i="1" s="1"/>
  <c r="H1103" i="1"/>
  <c r="J1103" i="1" s="1"/>
  <c r="K1103" i="1" s="1"/>
  <c r="H1097" i="1" l="1"/>
  <c r="J1097" i="1" s="1"/>
  <c r="K1097" i="1" s="1"/>
  <c r="H1095" i="1"/>
  <c r="J1095" i="1" s="1"/>
  <c r="K1095" i="1" s="1"/>
  <c r="H1094" i="1"/>
  <c r="J1094" i="1" s="1"/>
  <c r="K1094" i="1" s="1"/>
  <c r="H1093" i="1"/>
  <c r="J1093" i="1" s="1"/>
  <c r="K1093" i="1" s="1"/>
  <c r="H1092" i="1"/>
  <c r="J1092" i="1" s="1"/>
  <c r="K1092" i="1" s="1"/>
  <c r="H1088" i="1"/>
  <c r="J1088" i="1" s="1"/>
  <c r="K1088" i="1" s="1"/>
  <c r="H1086" i="1"/>
  <c r="J1086" i="1" s="1"/>
  <c r="K1086" i="1" s="1"/>
  <c r="H1118" i="1"/>
  <c r="J1118" i="1" s="1"/>
  <c r="K1118" i="1" s="1"/>
  <c r="H1117" i="1"/>
  <c r="J1117" i="1" s="1"/>
  <c r="K1117" i="1" s="1"/>
  <c r="H1116" i="1"/>
  <c r="J1116" i="1" s="1"/>
  <c r="K1116" i="1" s="1"/>
  <c r="H1115" i="1"/>
  <c r="J1115" i="1" s="1"/>
  <c r="K1115" i="1" s="1"/>
  <c r="H1114" i="1"/>
  <c r="J1114" i="1" s="1"/>
  <c r="K1114" i="1" s="1"/>
  <c r="H1113" i="1"/>
  <c r="J1113" i="1" s="1"/>
  <c r="K1113" i="1" s="1"/>
  <c r="H1112" i="1"/>
  <c r="J1112" i="1" s="1"/>
  <c r="K1112" i="1" s="1"/>
  <c r="H1111" i="1"/>
  <c r="J1111" i="1" s="1"/>
  <c r="K1111" i="1" s="1"/>
  <c r="H1110" i="1"/>
  <c r="J1110" i="1" s="1"/>
  <c r="K1110" i="1" s="1"/>
  <c r="H1109" i="1"/>
  <c r="J1109" i="1" s="1"/>
  <c r="K1109" i="1" s="1"/>
  <c r="H1108" i="1"/>
  <c r="J1108" i="1" s="1"/>
  <c r="K1108" i="1" s="1"/>
  <c r="H1107" i="1"/>
  <c r="J1107" i="1" s="1"/>
  <c r="K1107" i="1" s="1"/>
  <c r="H1106" i="1"/>
  <c r="J1106" i="1" s="1"/>
  <c r="K1106" i="1" s="1"/>
  <c r="H1105" i="1"/>
  <c r="J1105" i="1" s="1"/>
  <c r="K1105" i="1" s="1"/>
  <c r="H1104" i="1"/>
  <c r="J1104" i="1" s="1"/>
  <c r="K1104" i="1" s="1"/>
  <c r="H1102" i="1"/>
  <c r="J1102" i="1" s="1"/>
  <c r="K1102" i="1" s="1"/>
  <c r="H1101" i="1"/>
  <c r="J1101" i="1" s="1"/>
  <c r="K1101" i="1" s="1"/>
  <c r="H1100" i="1"/>
  <c r="J1100" i="1" s="1"/>
  <c r="K1100" i="1" s="1"/>
  <c r="H1099" i="1"/>
  <c r="J1099" i="1" s="1"/>
  <c r="K1099" i="1" s="1"/>
  <c r="H1098" i="1"/>
  <c r="J1098" i="1" s="1"/>
  <c r="K1098" i="1" s="1"/>
  <c r="H1096" i="1"/>
  <c r="J1096" i="1" s="1"/>
  <c r="K1096" i="1" s="1"/>
  <c r="H1091" i="1"/>
  <c r="J1091" i="1" s="1"/>
  <c r="K1091" i="1" s="1"/>
  <c r="H1090" i="1"/>
  <c r="J1090" i="1" s="1"/>
  <c r="K1090" i="1" s="1"/>
  <c r="H1089" i="1"/>
  <c r="J1089" i="1" s="1"/>
  <c r="K1089" i="1" s="1"/>
  <c r="H1085" i="1"/>
  <c r="J1085" i="1" s="1"/>
  <c r="K1085" i="1" s="1"/>
  <c r="H1080" i="1"/>
  <c r="J1080" i="1" s="1"/>
  <c r="K1080" i="1" s="1"/>
  <c r="H1074" i="1"/>
  <c r="J1074" i="1" s="1"/>
  <c r="K1074" i="1" s="1"/>
  <c r="H1026" i="1"/>
  <c r="H1059" i="1"/>
  <c r="J1059" i="1" s="1"/>
  <c r="K1059" i="1" s="1"/>
  <c r="H1058" i="1"/>
  <c r="J1058" i="1" s="1"/>
  <c r="K1058" i="1" s="1"/>
  <c r="H1057" i="1"/>
  <c r="J1057" i="1" s="1"/>
  <c r="K1057" i="1" s="1"/>
  <c r="H1054" i="1"/>
  <c r="J1054" i="1" s="1"/>
  <c r="K1054" i="1" s="1"/>
  <c r="H1084" i="1"/>
  <c r="J1084" i="1" s="1"/>
  <c r="K1084" i="1" s="1"/>
  <c r="H1083" i="1"/>
  <c r="J1083" i="1" s="1"/>
  <c r="K1083" i="1" s="1"/>
  <c r="H1082" i="1"/>
  <c r="J1082" i="1" s="1"/>
  <c r="K1082" i="1" s="1"/>
  <c r="H1081" i="1"/>
  <c r="J1081" i="1" s="1"/>
  <c r="K1081" i="1" s="1"/>
  <c r="H1079" i="1"/>
  <c r="J1079" i="1" s="1"/>
  <c r="K1079" i="1" s="1"/>
  <c r="H1078" i="1"/>
  <c r="J1078" i="1" s="1"/>
  <c r="K1078" i="1" s="1"/>
  <c r="H1077" i="1"/>
  <c r="J1077" i="1" s="1"/>
  <c r="K1077" i="1" s="1"/>
  <c r="H1076" i="1"/>
  <c r="J1076" i="1" s="1"/>
  <c r="K1076" i="1" s="1"/>
  <c r="H1075" i="1"/>
  <c r="J1075" i="1" s="1"/>
  <c r="K1075" i="1" s="1"/>
  <c r="H1073" i="1"/>
  <c r="J1073" i="1" s="1"/>
  <c r="K1073" i="1" s="1"/>
  <c r="H1072" i="1"/>
  <c r="J1072" i="1" s="1"/>
  <c r="K1072" i="1" s="1"/>
  <c r="H1071" i="1"/>
  <c r="J1071" i="1" s="1"/>
  <c r="K1071" i="1" s="1"/>
  <c r="H1070" i="1"/>
  <c r="J1070" i="1" s="1"/>
  <c r="K1070" i="1" s="1"/>
  <c r="H1069" i="1"/>
  <c r="J1069" i="1" s="1"/>
  <c r="K1069" i="1" s="1"/>
  <c r="H1068" i="1"/>
  <c r="J1068" i="1" s="1"/>
  <c r="K1068" i="1" s="1"/>
  <c r="H1067" i="1"/>
  <c r="J1067" i="1" s="1"/>
  <c r="K1067" i="1" s="1"/>
  <c r="H1066" i="1"/>
  <c r="J1066" i="1" s="1"/>
  <c r="K1066" i="1" s="1"/>
  <c r="H1065" i="1"/>
  <c r="J1065" i="1" s="1"/>
  <c r="K1065" i="1" s="1"/>
  <c r="H1064" i="1"/>
  <c r="J1064" i="1" s="1"/>
  <c r="K1064" i="1" s="1"/>
  <c r="H1063" i="1"/>
  <c r="J1063" i="1" s="1"/>
  <c r="K1063" i="1" s="1"/>
  <c r="H1062" i="1"/>
  <c r="J1062" i="1" s="1"/>
  <c r="K1062" i="1" s="1"/>
  <c r="H1061" i="1"/>
  <c r="J1061" i="1" s="1"/>
  <c r="K1061" i="1" s="1"/>
  <c r="H1060" i="1"/>
  <c r="J1060" i="1" s="1"/>
  <c r="K1060" i="1" s="1"/>
  <c r="H1056" i="1"/>
  <c r="J1056" i="1" s="1"/>
  <c r="K1056" i="1" s="1"/>
  <c r="H1055" i="1"/>
  <c r="J1055" i="1" s="1"/>
  <c r="K1055" i="1" s="1"/>
  <c r="H1053" i="1"/>
  <c r="J1053" i="1" s="1"/>
  <c r="K1053" i="1" s="1"/>
  <c r="H1052" i="1"/>
  <c r="J1052" i="1" s="1"/>
  <c r="K1052" i="1" s="1"/>
  <c r="H1051" i="1"/>
  <c r="J1051" i="1" s="1"/>
  <c r="K1051" i="1" s="1"/>
  <c r="H1050" i="1"/>
  <c r="J1050" i="1" s="1"/>
  <c r="K1050" i="1" s="1"/>
  <c r="H1049" i="1"/>
  <c r="J1049" i="1" s="1"/>
  <c r="K1049" i="1" s="1"/>
  <c r="H1047" i="1"/>
  <c r="J1047" i="1" s="1"/>
  <c r="K1047" i="1" s="1"/>
  <c r="H1046" i="1"/>
  <c r="J1046" i="1" s="1"/>
  <c r="K1046" i="1" s="1"/>
  <c r="H1035" i="1"/>
  <c r="J1035" i="1" s="1"/>
  <c r="K1035" i="1" s="1"/>
  <c r="H1033" i="1"/>
  <c r="J1033" i="1" s="1"/>
  <c r="K1033" i="1" s="1"/>
  <c r="H1030" i="1"/>
  <c r="J1030" i="1" s="1"/>
  <c r="K1030" i="1" s="1"/>
  <c r="H1016" i="1"/>
  <c r="J1016" i="1" s="1"/>
  <c r="K1016" i="1" s="1"/>
  <c r="H944" i="1"/>
  <c r="J944" i="1" s="1"/>
  <c r="K944" i="1" s="1"/>
  <c r="H943" i="1"/>
  <c r="J943" i="1" s="1"/>
  <c r="K943" i="1" s="1"/>
  <c r="K879" i="1"/>
  <c r="H911" i="1" l="1"/>
  <c r="J911" i="1" s="1"/>
  <c r="K911" i="1" s="1"/>
  <c r="H910" i="1"/>
  <c r="J910" i="1" s="1"/>
  <c r="K910" i="1" s="1"/>
  <c r="H950" i="1"/>
  <c r="J950" i="1" s="1"/>
  <c r="K950" i="1" s="1"/>
  <c r="H951" i="1"/>
  <c r="J951" i="1" s="1"/>
  <c r="K951" i="1" s="1"/>
  <c r="H952" i="1"/>
  <c r="J952" i="1" s="1"/>
  <c r="K952" i="1" s="1"/>
  <c r="H953" i="1"/>
  <c r="J953" i="1" s="1"/>
  <c r="K953" i="1" s="1"/>
  <c r="H954" i="1"/>
  <c r="J954" i="1" s="1"/>
  <c r="K954" i="1" s="1"/>
  <c r="H955" i="1"/>
  <c r="J955" i="1" s="1"/>
  <c r="K955" i="1" s="1"/>
  <c r="H956" i="1"/>
  <c r="J956" i="1" s="1"/>
  <c r="K956" i="1" s="1"/>
  <c r="H957" i="1"/>
  <c r="J957" i="1" s="1"/>
  <c r="K957" i="1" s="1"/>
  <c r="H958" i="1"/>
  <c r="J958" i="1" s="1"/>
  <c r="K958" i="1" s="1"/>
  <c r="H959" i="1"/>
  <c r="J959" i="1" s="1"/>
  <c r="K959" i="1" s="1"/>
  <c r="H960" i="1"/>
  <c r="J960" i="1" s="1"/>
  <c r="K960" i="1" s="1"/>
  <c r="H961" i="1"/>
  <c r="J961" i="1" s="1"/>
  <c r="K961" i="1" s="1"/>
  <c r="H962" i="1"/>
  <c r="J962" i="1" s="1"/>
  <c r="K962" i="1" s="1"/>
  <c r="H963" i="1"/>
  <c r="J963" i="1" s="1"/>
  <c r="K963" i="1" s="1"/>
  <c r="H964" i="1"/>
  <c r="J964" i="1" s="1"/>
  <c r="K964" i="1" s="1"/>
  <c r="H965" i="1"/>
  <c r="J965" i="1" s="1"/>
  <c r="K965" i="1" s="1"/>
  <c r="H966" i="1"/>
  <c r="J966" i="1" s="1"/>
  <c r="K966" i="1" s="1"/>
  <c r="H967" i="1"/>
  <c r="J967" i="1" s="1"/>
  <c r="K967" i="1" s="1"/>
  <c r="H968" i="1"/>
  <c r="J968" i="1" s="1"/>
  <c r="K968" i="1" s="1"/>
  <c r="H969" i="1"/>
  <c r="J969" i="1" s="1"/>
  <c r="K969" i="1" s="1"/>
  <c r="H970" i="1"/>
  <c r="J970" i="1" s="1"/>
  <c r="K970" i="1" s="1"/>
  <c r="H971" i="1"/>
  <c r="J971" i="1" s="1"/>
  <c r="K971" i="1" s="1"/>
  <c r="H972" i="1"/>
  <c r="J972" i="1" s="1"/>
  <c r="K972" i="1" s="1"/>
  <c r="H973" i="1"/>
  <c r="J973" i="1" s="1"/>
  <c r="K973" i="1" s="1"/>
  <c r="H974" i="1"/>
  <c r="J974" i="1" s="1"/>
  <c r="K974" i="1" s="1"/>
  <c r="H975" i="1"/>
  <c r="J975" i="1" s="1"/>
  <c r="K975" i="1" s="1"/>
  <c r="H976" i="1"/>
  <c r="J976" i="1" s="1"/>
  <c r="K976" i="1" s="1"/>
  <c r="H977" i="1"/>
  <c r="J977" i="1" s="1"/>
  <c r="K977" i="1" s="1"/>
  <c r="H978" i="1"/>
  <c r="J978" i="1" s="1"/>
  <c r="K978" i="1" s="1"/>
  <c r="H979" i="1"/>
  <c r="J979" i="1" s="1"/>
  <c r="K979" i="1" s="1"/>
  <c r="H980" i="1"/>
  <c r="J980" i="1" s="1"/>
  <c r="K980" i="1" s="1"/>
  <c r="H981" i="1"/>
  <c r="J981" i="1" s="1"/>
  <c r="K981" i="1" s="1"/>
  <c r="H982" i="1"/>
  <c r="J982" i="1" s="1"/>
  <c r="K982" i="1" s="1"/>
  <c r="H983" i="1"/>
  <c r="J983" i="1" s="1"/>
  <c r="K983" i="1" s="1"/>
  <c r="H984" i="1"/>
  <c r="J984" i="1" s="1"/>
  <c r="K984" i="1" s="1"/>
  <c r="H985" i="1"/>
  <c r="J985" i="1" s="1"/>
  <c r="K985" i="1" s="1"/>
  <c r="H986" i="1"/>
  <c r="J986" i="1" s="1"/>
  <c r="K986" i="1" s="1"/>
  <c r="H987" i="1"/>
  <c r="J987" i="1" s="1"/>
  <c r="K987" i="1" s="1"/>
  <c r="H988" i="1"/>
  <c r="J988" i="1" s="1"/>
  <c r="K988" i="1" s="1"/>
  <c r="H989" i="1"/>
  <c r="J989" i="1" s="1"/>
  <c r="K989" i="1" s="1"/>
  <c r="H990" i="1"/>
  <c r="J990" i="1" s="1"/>
  <c r="K990" i="1" s="1"/>
  <c r="H991" i="1"/>
  <c r="J991" i="1" s="1"/>
  <c r="K991" i="1" s="1"/>
  <c r="H992" i="1"/>
  <c r="J992" i="1" s="1"/>
  <c r="K992" i="1" s="1"/>
  <c r="H993" i="1"/>
  <c r="J993" i="1" s="1"/>
  <c r="K993" i="1" s="1"/>
  <c r="H994" i="1"/>
  <c r="J994" i="1" s="1"/>
  <c r="K994" i="1" s="1"/>
  <c r="H995" i="1"/>
  <c r="J995" i="1" s="1"/>
  <c r="K995" i="1" s="1"/>
  <c r="H996" i="1"/>
  <c r="J996" i="1" s="1"/>
  <c r="K996" i="1" s="1"/>
  <c r="H997" i="1"/>
  <c r="J997" i="1" s="1"/>
  <c r="K997" i="1" s="1"/>
  <c r="H998" i="1"/>
  <c r="J998" i="1" s="1"/>
  <c r="K998" i="1" s="1"/>
  <c r="H999" i="1"/>
  <c r="J999" i="1" s="1"/>
  <c r="K999" i="1" s="1"/>
  <c r="H1000" i="1"/>
  <c r="J1000" i="1" s="1"/>
  <c r="K1000" i="1" s="1"/>
  <c r="H1001" i="1"/>
  <c r="J1001" i="1" s="1"/>
  <c r="K1001" i="1" s="1"/>
  <c r="H1002" i="1"/>
  <c r="J1002" i="1" s="1"/>
  <c r="K1002" i="1" s="1"/>
  <c r="H1003" i="1"/>
  <c r="J1003" i="1" s="1"/>
  <c r="K1003" i="1" s="1"/>
  <c r="H1004" i="1"/>
  <c r="J1004" i="1" s="1"/>
  <c r="K1004" i="1" s="1"/>
  <c r="H1005" i="1"/>
  <c r="J1005" i="1" s="1"/>
  <c r="K1005" i="1" s="1"/>
  <c r="H1006" i="1"/>
  <c r="J1006" i="1" s="1"/>
  <c r="K1006" i="1" s="1"/>
  <c r="H1007" i="1"/>
  <c r="J1007" i="1" s="1"/>
  <c r="K1007" i="1" s="1"/>
  <c r="H1008" i="1"/>
  <c r="J1008" i="1" s="1"/>
  <c r="K1008" i="1" s="1"/>
  <c r="H1009" i="1"/>
  <c r="J1009" i="1" s="1"/>
  <c r="K1009" i="1" s="1"/>
  <c r="H1010" i="1"/>
  <c r="J1010" i="1" s="1"/>
  <c r="K1010" i="1" s="1"/>
  <c r="H1011" i="1"/>
  <c r="J1011" i="1" s="1"/>
  <c r="K1011" i="1" s="1"/>
  <c r="H1012" i="1"/>
  <c r="J1012" i="1" s="1"/>
  <c r="K1012" i="1" s="1"/>
  <c r="H1013" i="1"/>
  <c r="J1013" i="1" s="1"/>
  <c r="K1013" i="1" s="1"/>
  <c r="H1014" i="1"/>
  <c r="J1014" i="1" s="1"/>
  <c r="K1014" i="1" s="1"/>
  <c r="H1015" i="1"/>
  <c r="J1015" i="1" s="1"/>
  <c r="K1015" i="1" s="1"/>
  <c r="H1021" i="1"/>
  <c r="J1021" i="1" s="1"/>
  <c r="K1021" i="1" s="1"/>
  <c r="H1017" i="1"/>
  <c r="J1017" i="1" s="1"/>
  <c r="K1017" i="1" s="1"/>
  <c r="H1018" i="1"/>
  <c r="J1018" i="1" s="1"/>
  <c r="K1018" i="1" s="1"/>
  <c r="H1019" i="1"/>
  <c r="J1019" i="1" s="1"/>
  <c r="K1019" i="1" s="1"/>
  <c r="H1020" i="1"/>
  <c r="J1020" i="1" s="1"/>
  <c r="K1020" i="1" s="1"/>
  <c r="H1023" i="1"/>
  <c r="J1023" i="1" s="1"/>
  <c r="K1023" i="1" s="1"/>
  <c r="H1024" i="1"/>
  <c r="J1024" i="1" s="1"/>
  <c r="K1024" i="1" s="1"/>
  <c r="H1025" i="1"/>
  <c r="J1025" i="1" s="1"/>
  <c r="K1025" i="1" s="1"/>
  <c r="H1027" i="1"/>
  <c r="J1027" i="1" s="1"/>
  <c r="K1027" i="1" s="1"/>
  <c r="H1028" i="1"/>
  <c r="J1028" i="1" s="1"/>
  <c r="K1028" i="1" s="1"/>
  <c r="H1029" i="1"/>
  <c r="J1029" i="1" s="1"/>
  <c r="K1029" i="1" s="1"/>
  <c r="H1031" i="1"/>
  <c r="J1031" i="1" s="1"/>
  <c r="K1031" i="1" s="1"/>
  <c r="H1032" i="1"/>
  <c r="J1032" i="1" s="1"/>
  <c r="K1032" i="1" s="1"/>
  <c r="H1034" i="1"/>
  <c r="J1034" i="1" s="1"/>
  <c r="K1034" i="1" s="1"/>
  <c r="H1036" i="1"/>
  <c r="J1036" i="1" s="1"/>
  <c r="K1036" i="1" s="1"/>
  <c r="H1037" i="1"/>
  <c r="J1037" i="1" s="1"/>
  <c r="K1037" i="1" s="1"/>
  <c r="H1038" i="1"/>
  <c r="J1038" i="1" s="1"/>
  <c r="K1038" i="1" s="1"/>
  <c r="H1039" i="1"/>
  <c r="J1039" i="1" s="1"/>
  <c r="K1039" i="1" s="1"/>
  <c r="H1040" i="1"/>
  <c r="J1040" i="1" s="1"/>
  <c r="K1040" i="1" s="1"/>
  <c r="H1041" i="1"/>
  <c r="J1041" i="1" s="1"/>
  <c r="K1041" i="1" s="1"/>
  <c r="H1042" i="1"/>
  <c r="J1042" i="1" s="1"/>
  <c r="K1042" i="1" s="1"/>
  <c r="H1043" i="1"/>
  <c r="J1043" i="1" s="1"/>
  <c r="K1043" i="1" s="1"/>
  <c r="H1044" i="1"/>
  <c r="J1044" i="1" s="1"/>
  <c r="K1044" i="1" s="1"/>
  <c r="H1045" i="1"/>
  <c r="J1045" i="1" s="1"/>
  <c r="K1045" i="1" s="1"/>
  <c r="H1048" i="1"/>
  <c r="J1048" i="1" s="1"/>
  <c r="K1048" i="1" s="1"/>
  <c r="H940" i="1"/>
  <c r="J940" i="1" s="1"/>
  <c r="K940" i="1" s="1"/>
  <c r="H927" i="1"/>
  <c r="J927" i="1" s="1"/>
  <c r="K927" i="1" s="1"/>
  <c r="H928" i="1"/>
  <c r="J928" i="1" s="1"/>
  <c r="K928" i="1" s="1"/>
  <c r="H929" i="1"/>
  <c r="J929" i="1" s="1"/>
  <c r="K929" i="1" s="1"/>
  <c r="H930" i="1"/>
  <c r="J930" i="1" s="1"/>
  <c r="K930" i="1" s="1"/>
  <c r="H931" i="1"/>
  <c r="J931" i="1" s="1"/>
  <c r="K931" i="1" s="1"/>
  <c r="H932" i="1"/>
  <c r="J932" i="1" s="1"/>
  <c r="K932" i="1" s="1"/>
  <c r="H933" i="1"/>
  <c r="J933" i="1" s="1"/>
  <c r="K933" i="1" s="1"/>
  <c r="H934" i="1"/>
  <c r="J934" i="1" s="1"/>
  <c r="K934" i="1" s="1"/>
  <c r="H935" i="1"/>
  <c r="J935" i="1" s="1"/>
  <c r="K935" i="1" s="1"/>
  <c r="H936" i="1"/>
  <c r="J936" i="1" s="1"/>
  <c r="K936" i="1" s="1"/>
  <c r="H937" i="1"/>
  <c r="J937" i="1" s="1"/>
  <c r="K937" i="1" s="1"/>
  <c r="H938" i="1"/>
  <c r="J938" i="1" s="1"/>
  <c r="K938" i="1" s="1"/>
  <c r="H939" i="1"/>
  <c r="J939" i="1" s="1"/>
  <c r="K939" i="1" s="1"/>
  <c r="H941" i="1"/>
  <c r="J941" i="1" s="1"/>
  <c r="K941" i="1" s="1"/>
  <c r="H942" i="1"/>
  <c r="J942" i="1" s="1"/>
  <c r="K942" i="1" s="1"/>
  <c r="H945" i="1"/>
  <c r="J945" i="1" s="1"/>
  <c r="K945" i="1" s="1"/>
  <c r="H946" i="1"/>
  <c r="J946" i="1" s="1"/>
  <c r="K946" i="1" s="1"/>
  <c r="H947" i="1"/>
  <c r="J947" i="1" s="1"/>
  <c r="K947" i="1" s="1"/>
  <c r="H948" i="1"/>
  <c r="J948" i="1" s="1"/>
  <c r="K948" i="1" s="1"/>
  <c r="H949" i="1"/>
  <c r="J949" i="1" s="1"/>
  <c r="K949" i="1" s="1"/>
  <c r="H926" i="1"/>
  <c r="J926" i="1" s="1"/>
  <c r="K926" i="1" s="1"/>
  <c r="H907" i="1"/>
  <c r="J907" i="1" s="1"/>
  <c r="K907" i="1" s="1"/>
  <c r="H908" i="1"/>
  <c r="J908" i="1" s="1"/>
  <c r="K908" i="1" s="1"/>
  <c r="H909" i="1"/>
  <c r="J909" i="1" s="1"/>
  <c r="K909" i="1" s="1"/>
  <c r="H912" i="1"/>
  <c r="J912" i="1" s="1"/>
  <c r="K912" i="1" s="1"/>
  <c r="H913" i="1"/>
  <c r="J913" i="1" s="1"/>
  <c r="K913" i="1" s="1"/>
  <c r="H914" i="1"/>
  <c r="J914" i="1" s="1"/>
  <c r="K914" i="1" s="1"/>
  <c r="H915" i="1"/>
  <c r="J915" i="1" s="1"/>
  <c r="K915" i="1" s="1"/>
  <c r="H916" i="1"/>
  <c r="J916" i="1" s="1"/>
  <c r="K916" i="1" s="1"/>
  <c r="H917" i="1"/>
  <c r="J917" i="1" s="1"/>
  <c r="K917" i="1" s="1"/>
  <c r="H918" i="1"/>
  <c r="J918" i="1" s="1"/>
  <c r="K918" i="1" s="1"/>
  <c r="H919" i="1"/>
  <c r="J919" i="1" s="1"/>
  <c r="K919" i="1" s="1"/>
  <c r="H920" i="1"/>
  <c r="J920" i="1" s="1"/>
  <c r="K920" i="1" s="1"/>
  <c r="H921" i="1"/>
  <c r="J921" i="1" s="1"/>
  <c r="K921" i="1" s="1"/>
  <c r="H922" i="1"/>
  <c r="J922" i="1" s="1"/>
  <c r="K922" i="1" s="1"/>
  <c r="H923" i="1"/>
  <c r="J923" i="1" s="1"/>
  <c r="K923" i="1" s="1"/>
  <c r="H924" i="1"/>
  <c r="J924" i="1" s="1"/>
  <c r="K924" i="1" s="1"/>
  <c r="H925" i="1"/>
  <c r="J925" i="1" s="1"/>
  <c r="K925" i="1" s="1"/>
  <c r="H887" i="1"/>
  <c r="H888" i="1"/>
  <c r="H889" i="1"/>
  <c r="H890" i="1"/>
  <c r="H891" i="1"/>
  <c r="J891" i="1" s="1"/>
  <c r="K891" i="1" s="1"/>
  <c r="H892" i="1"/>
  <c r="J892" i="1" s="1"/>
  <c r="K892" i="1" s="1"/>
  <c r="H893" i="1"/>
  <c r="J893" i="1" s="1"/>
  <c r="K893" i="1" s="1"/>
  <c r="H894" i="1"/>
  <c r="J894" i="1" s="1"/>
  <c r="K894" i="1" s="1"/>
  <c r="H895" i="1"/>
  <c r="J895" i="1" s="1"/>
  <c r="K895" i="1" s="1"/>
  <c r="H896" i="1"/>
  <c r="J896" i="1" s="1"/>
  <c r="K896" i="1" s="1"/>
  <c r="H897" i="1"/>
  <c r="J897" i="1" s="1"/>
  <c r="K897" i="1" s="1"/>
  <c r="H898" i="1"/>
  <c r="J898" i="1" s="1"/>
  <c r="K898" i="1" s="1"/>
  <c r="H899" i="1"/>
  <c r="J899" i="1" s="1"/>
  <c r="K899" i="1" s="1"/>
  <c r="H900" i="1"/>
  <c r="J900" i="1" s="1"/>
  <c r="K900" i="1" s="1"/>
  <c r="H901" i="1"/>
  <c r="J901" i="1" s="1"/>
  <c r="K901" i="1" s="1"/>
  <c r="H902" i="1"/>
  <c r="J902" i="1" s="1"/>
  <c r="K902" i="1" s="1"/>
  <c r="H903" i="1"/>
  <c r="J903" i="1" s="1"/>
  <c r="K903" i="1" s="1"/>
  <c r="H904" i="1"/>
  <c r="J904" i="1" s="1"/>
  <c r="K904" i="1" s="1"/>
  <c r="H905" i="1"/>
  <c r="J905" i="1" s="1"/>
  <c r="K905" i="1" s="1"/>
  <c r="H906" i="1"/>
  <c r="J906" i="1" s="1"/>
  <c r="K906" i="1" s="1"/>
  <c r="H878" i="1"/>
  <c r="H876" i="1" l="1"/>
  <c r="J876" i="1" s="1"/>
  <c r="K876" i="1" s="1"/>
  <c r="J887" i="1"/>
  <c r="K887" i="1" s="1"/>
  <c r="H867" i="1"/>
  <c r="H868" i="1"/>
  <c r="J868" i="1" s="1"/>
  <c r="H869" i="1"/>
  <c r="J869" i="1" s="1"/>
  <c r="K869" i="1" s="1"/>
  <c r="H870" i="1"/>
  <c r="J870" i="1" s="1"/>
  <c r="K870" i="1" s="1"/>
  <c r="H871" i="1"/>
  <c r="J871" i="1" s="1"/>
  <c r="K871" i="1" s="1"/>
  <c r="H872" i="1"/>
  <c r="J872" i="1" s="1"/>
  <c r="K872" i="1" s="1"/>
  <c r="H873" i="1"/>
  <c r="J873" i="1" s="1"/>
  <c r="K873" i="1" s="1"/>
  <c r="H874" i="1"/>
  <c r="J874" i="1" s="1"/>
  <c r="K874" i="1" s="1"/>
  <c r="H875" i="1"/>
  <c r="J875" i="1" s="1"/>
  <c r="K875" i="1" s="1"/>
  <c r="H877" i="1"/>
  <c r="J877" i="1" s="1"/>
  <c r="K877" i="1" s="1"/>
  <c r="J878" i="1"/>
  <c r="K878" i="1" s="1"/>
  <c r="H879" i="1"/>
  <c r="H880" i="1"/>
  <c r="J880" i="1" s="1"/>
  <c r="K880" i="1" s="1"/>
  <c r="H881" i="1"/>
  <c r="J881" i="1" s="1"/>
  <c r="K881" i="1" s="1"/>
  <c r="H882" i="1"/>
  <c r="J882" i="1" s="1"/>
  <c r="K882" i="1" s="1"/>
  <c r="H883" i="1"/>
  <c r="J883" i="1" s="1"/>
  <c r="K883" i="1" s="1"/>
  <c r="H884" i="1"/>
  <c r="J884" i="1" s="1"/>
  <c r="K884" i="1" s="1"/>
  <c r="H885" i="1"/>
  <c r="J885" i="1" s="1"/>
  <c r="K885" i="1" s="1"/>
  <c r="H886" i="1"/>
  <c r="J886" i="1" s="1"/>
  <c r="K886" i="1" s="1"/>
  <c r="H866" i="1"/>
  <c r="H865" i="1"/>
  <c r="H864" i="1"/>
  <c r="H863" i="1"/>
  <c r="H862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28" i="1"/>
  <c r="H827" i="1"/>
  <c r="H821" i="1"/>
  <c r="H822" i="1"/>
  <c r="H823" i="1"/>
  <c r="H824" i="1"/>
  <c r="H825" i="1"/>
  <c r="H826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20" i="1"/>
  <c r="H802" i="1"/>
  <c r="J802" i="1" s="1"/>
  <c r="H803" i="1"/>
  <c r="J803" i="1" s="1"/>
  <c r="H804" i="1"/>
  <c r="J804" i="1" s="1"/>
  <c r="H805" i="1"/>
  <c r="J805" i="1" s="1"/>
  <c r="H806" i="1"/>
  <c r="J806" i="1" s="1"/>
  <c r="H807" i="1"/>
  <c r="J807" i="1" s="1"/>
  <c r="H808" i="1"/>
  <c r="J808" i="1" s="1"/>
  <c r="H809" i="1"/>
  <c r="J809" i="1" s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J817" i="1" s="1"/>
  <c r="H818" i="1"/>
  <c r="J818" i="1" s="1"/>
  <c r="H819" i="1"/>
  <c r="J819" i="1" s="1"/>
  <c r="H767" i="1"/>
  <c r="J767" i="1" s="1"/>
  <c r="K767" i="1" s="1"/>
  <c r="H766" i="1"/>
  <c r="J766" i="1" s="1"/>
  <c r="K766" i="1" s="1"/>
  <c r="K802" i="1" l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J820" i="1"/>
  <c r="K820" i="1" s="1"/>
  <c r="J821" i="1"/>
  <c r="K821" i="1" s="1"/>
  <c r="J822" i="1"/>
  <c r="K822" i="1" s="1"/>
  <c r="J823" i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H801" i="1"/>
  <c r="J801" i="1" s="1"/>
  <c r="K801" i="1" s="1"/>
  <c r="H800" i="1"/>
  <c r="J800" i="1" s="1"/>
  <c r="K800" i="1" s="1"/>
  <c r="H799" i="1"/>
  <c r="J799" i="1" s="1"/>
  <c r="K799" i="1" s="1"/>
  <c r="H798" i="1"/>
  <c r="J798" i="1" s="1"/>
  <c r="K798" i="1" s="1"/>
  <c r="H797" i="1"/>
  <c r="J797" i="1" s="1"/>
  <c r="K797" i="1" s="1"/>
  <c r="H796" i="1"/>
  <c r="J796" i="1" s="1"/>
  <c r="H795" i="1"/>
  <c r="J795" i="1" s="1"/>
  <c r="K795" i="1" s="1"/>
  <c r="H794" i="1"/>
  <c r="J794" i="1" s="1"/>
  <c r="K794" i="1" s="1"/>
  <c r="H793" i="1"/>
  <c r="J793" i="1" s="1"/>
  <c r="K793" i="1" s="1"/>
  <c r="H792" i="1"/>
  <c r="J792" i="1" s="1"/>
  <c r="K792" i="1" s="1"/>
  <c r="H791" i="1"/>
  <c r="J791" i="1" s="1"/>
  <c r="K791" i="1" s="1"/>
  <c r="H790" i="1"/>
  <c r="J790" i="1" s="1"/>
  <c r="K790" i="1" s="1"/>
  <c r="H789" i="1"/>
  <c r="J789" i="1" s="1"/>
  <c r="K789" i="1" s="1"/>
  <c r="H788" i="1"/>
  <c r="J788" i="1" s="1"/>
  <c r="K788" i="1" s="1"/>
  <c r="H787" i="1"/>
  <c r="J787" i="1" s="1"/>
  <c r="K787" i="1" s="1"/>
  <c r="H786" i="1"/>
  <c r="J786" i="1" s="1"/>
  <c r="K786" i="1" s="1"/>
  <c r="H785" i="1"/>
  <c r="J785" i="1" s="1"/>
  <c r="K785" i="1" s="1"/>
  <c r="J890" i="1"/>
  <c r="K890" i="1" s="1"/>
  <c r="J889" i="1"/>
  <c r="K889" i="1" s="1"/>
  <c r="J888" i="1"/>
  <c r="K888" i="1" s="1"/>
  <c r="K868" i="1"/>
  <c r="J867" i="1"/>
  <c r="J866" i="1"/>
  <c r="K866" i="1" s="1"/>
  <c r="J865" i="1"/>
  <c r="K865" i="1" s="1"/>
  <c r="J864" i="1"/>
  <c r="K864" i="1" s="1"/>
  <c r="J863" i="1"/>
  <c r="K863" i="1" s="1"/>
  <c r="J862" i="1"/>
  <c r="K862" i="1" s="1"/>
  <c r="J861" i="1"/>
  <c r="K861" i="1" s="1"/>
  <c r="J860" i="1"/>
  <c r="K860" i="1" s="1"/>
  <c r="J859" i="1"/>
  <c r="K859" i="1" s="1"/>
  <c r="J858" i="1"/>
  <c r="K858" i="1" s="1"/>
  <c r="J857" i="1"/>
  <c r="K857" i="1" s="1"/>
  <c r="J856" i="1"/>
  <c r="K856" i="1" s="1"/>
  <c r="J855" i="1"/>
  <c r="K855" i="1" s="1"/>
  <c r="J854" i="1"/>
  <c r="K854" i="1" s="1"/>
  <c r="J853" i="1"/>
  <c r="K853" i="1" s="1"/>
  <c r="J852" i="1"/>
  <c r="K852" i="1" s="1"/>
  <c r="J851" i="1"/>
  <c r="K851" i="1" s="1"/>
  <c r="J850" i="1"/>
  <c r="K850" i="1" s="1"/>
  <c r="J849" i="1"/>
  <c r="J848" i="1"/>
  <c r="K848" i="1" s="1"/>
  <c r="J847" i="1"/>
  <c r="K847" i="1" s="1"/>
  <c r="J846" i="1"/>
  <c r="K846" i="1" s="1"/>
  <c r="J845" i="1"/>
  <c r="K845" i="1" s="1"/>
  <c r="J844" i="1"/>
  <c r="K844" i="1" s="1"/>
  <c r="J843" i="1"/>
  <c r="J842" i="1"/>
  <c r="K842" i="1" s="1"/>
  <c r="J841" i="1"/>
  <c r="K841" i="1" s="1"/>
  <c r="J840" i="1"/>
  <c r="K840" i="1" s="1"/>
  <c r="J839" i="1"/>
  <c r="K839" i="1" s="1"/>
  <c r="J838" i="1"/>
  <c r="K838" i="1" s="1"/>
  <c r="J837" i="1"/>
  <c r="K837" i="1" s="1"/>
  <c r="J836" i="1"/>
  <c r="K836" i="1" s="1"/>
  <c r="J835" i="1"/>
  <c r="K835" i="1" s="1"/>
  <c r="J834" i="1"/>
  <c r="K834" i="1" s="1"/>
  <c r="J833" i="1"/>
  <c r="K833" i="1" s="1"/>
  <c r="J832" i="1"/>
  <c r="K832" i="1" s="1"/>
  <c r="J831" i="1"/>
  <c r="K831" i="1" s="1"/>
  <c r="H735" i="1"/>
  <c r="J735" i="1" s="1"/>
  <c r="K735" i="1" s="1"/>
  <c r="H736" i="1"/>
  <c r="J736" i="1" s="1"/>
  <c r="K736" i="1" s="1"/>
  <c r="H737" i="1"/>
  <c r="J737" i="1" s="1"/>
  <c r="K737" i="1" s="1"/>
  <c r="H738" i="1"/>
  <c r="J738" i="1" s="1"/>
  <c r="K738" i="1" s="1"/>
  <c r="H739" i="1"/>
  <c r="J739" i="1" s="1"/>
  <c r="K739" i="1" s="1"/>
  <c r="H740" i="1"/>
  <c r="J740" i="1" s="1"/>
  <c r="K740" i="1" s="1"/>
  <c r="H741" i="1"/>
  <c r="J741" i="1" s="1"/>
  <c r="K741" i="1" s="1"/>
  <c r="H742" i="1"/>
  <c r="J742" i="1" s="1"/>
  <c r="K742" i="1" s="1"/>
  <c r="H743" i="1"/>
  <c r="J743" i="1" s="1"/>
  <c r="K743" i="1" s="1"/>
  <c r="H744" i="1"/>
  <c r="J744" i="1" s="1"/>
  <c r="K744" i="1" s="1"/>
  <c r="H745" i="1"/>
  <c r="J745" i="1" s="1"/>
  <c r="K745" i="1" s="1"/>
  <c r="H746" i="1"/>
  <c r="J746" i="1" s="1"/>
  <c r="K746" i="1" s="1"/>
  <c r="H747" i="1"/>
  <c r="J747" i="1" s="1"/>
  <c r="K747" i="1" s="1"/>
  <c r="H748" i="1"/>
  <c r="J748" i="1" s="1"/>
  <c r="K748" i="1" s="1"/>
  <c r="H749" i="1"/>
  <c r="J749" i="1" s="1"/>
  <c r="K749" i="1" s="1"/>
  <c r="H750" i="1"/>
  <c r="J750" i="1" s="1"/>
  <c r="K750" i="1" s="1"/>
  <c r="H751" i="1"/>
  <c r="J751" i="1" s="1"/>
  <c r="K751" i="1" s="1"/>
  <c r="H752" i="1"/>
  <c r="J752" i="1" s="1"/>
  <c r="K752" i="1" s="1"/>
  <c r="H753" i="1"/>
  <c r="J753" i="1" s="1"/>
  <c r="K753" i="1" s="1"/>
  <c r="H754" i="1"/>
  <c r="J754" i="1" s="1"/>
  <c r="H755" i="1"/>
  <c r="J755" i="1" s="1"/>
  <c r="K755" i="1" s="1"/>
  <c r="H756" i="1"/>
  <c r="J756" i="1" s="1"/>
  <c r="K756" i="1" s="1"/>
  <c r="H757" i="1"/>
  <c r="J757" i="1" s="1"/>
  <c r="K757" i="1" s="1"/>
  <c r="H758" i="1"/>
  <c r="J758" i="1" s="1"/>
  <c r="K758" i="1" s="1"/>
  <c r="H759" i="1"/>
  <c r="J759" i="1" s="1"/>
  <c r="K759" i="1" s="1"/>
  <c r="H760" i="1"/>
  <c r="J760" i="1" s="1"/>
  <c r="K760" i="1" s="1"/>
  <c r="H761" i="1"/>
  <c r="J761" i="1" s="1"/>
  <c r="K761" i="1" s="1"/>
  <c r="H762" i="1"/>
  <c r="J762" i="1" s="1"/>
  <c r="K762" i="1" s="1"/>
  <c r="H763" i="1"/>
  <c r="J763" i="1" s="1"/>
  <c r="K763" i="1" s="1"/>
  <c r="H764" i="1"/>
  <c r="J764" i="1" s="1"/>
  <c r="K764" i="1" s="1"/>
  <c r="H765" i="1"/>
  <c r="J765" i="1" s="1"/>
  <c r="K765" i="1" s="1"/>
  <c r="H768" i="1"/>
  <c r="J768" i="1" s="1"/>
  <c r="K768" i="1" s="1"/>
  <c r="H769" i="1"/>
  <c r="J769" i="1" s="1"/>
  <c r="K769" i="1" s="1"/>
  <c r="H770" i="1"/>
  <c r="J770" i="1" s="1"/>
  <c r="K770" i="1" s="1"/>
  <c r="H771" i="1"/>
  <c r="J771" i="1" s="1"/>
  <c r="K771" i="1" s="1"/>
  <c r="H772" i="1"/>
  <c r="J772" i="1" s="1"/>
  <c r="K772" i="1" s="1"/>
  <c r="H773" i="1"/>
  <c r="J773" i="1" s="1"/>
  <c r="K773" i="1" s="1"/>
  <c r="H774" i="1"/>
  <c r="J774" i="1" s="1"/>
  <c r="K774" i="1" s="1"/>
  <c r="H775" i="1"/>
  <c r="J775" i="1" s="1"/>
  <c r="K775" i="1" s="1"/>
  <c r="H776" i="1"/>
  <c r="J776" i="1" s="1"/>
  <c r="K776" i="1" s="1"/>
  <c r="H777" i="1"/>
  <c r="J777" i="1" s="1"/>
  <c r="K777" i="1" s="1"/>
  <c r="H778" i="1"/>
  <c r="J778" i="1" s="1"/>
  <c r="K778" i="1" s="1"/>
  <c r="H779" i="1"/>
  <c r="J779" i="1" s="1"/>
  <c r="K779" i="1" s="1"/>
  <c r="H780" i="1"/>
  <c r="J780" i="1" s="1"/>
  <c r="K780" i="1" s="1"/>
  <c r="H781" i="1"/>
  <c r="J781" i="1" s="1"/>
  <c r="K781" i="1" s="1"/>
  <c r="H782" i="1"/>
  <c r="J782" i="1" s="1"/>
  <c r="K782" i="1" s="1"/>
  <c r="H783" i="1"/>
  <c r="J783" i="1" s="1"/>
  <c r="K783" i="1" s="1"/>
  <c r="H784" i="1"/>
  <c r="J784" i="1" s="1"/>
  <c r="K784" i="1" s="1"/>
  <c r="H734" i="1"/>
  <c r="J734" i="1" s="1"/>
  <c r="K734" i="1" s="1"/>
  <c r="H733" i="1"/>
  <c r="J733" i="1" s="1"/>
  <c r="K733" i="1" s="1"/>
  <c r="H712" i="1"/>
  <c r="J712" i="1" s="1"/>
  <c r="K712" i="1" s="1"/>
  <c r="H713" i="1"/>
  <c r="J713" i="1" s="1"/>
  <c r="K713" i="1" s="1"/>
  <c r="H714" i="1"/>
  <c r="J714" i="1" s="1"/>
  <c r="K714" i="1" s="1"/>
  <c r="H715" i="1"/>
  <c r="J715" i="1" s="1"/>
  <c r="K715" i="1" s="1"/>
  <c r="H716" i="1"/>
  <c r="J716" i="1" s="1"/>
  <c r="K716" i="1" s="1"/>
  <c r="H717" i="1"/>
  <c r="J717" i="1" s="1"/>
  <c r="K717" i="1" s="1"/>
  <c r="H718" i="1"/>
  <c r="J718" i="1" s="1"/>
  <c r="K718" i="1" s="1"/>
  <c r="H719" i="1"/>
  <c r="J719" i="1" s="1"/>
  <c r="K719" i="1" s="1"/>
  <c r="H720" i="1"/>
  <c r="J720" i="1" s="1"/>
  <c r="K720" i="1" s="1"/>
  <c r="H721" i="1"/>
  <c r="J721" i="1" s="1"/>
  <c r="K721" i="1" s="1"/>
  <c r="H722" i="1"/>
  <c r="J722" i="1" s="1"/>
  <c r="K722" i="1" s="1"/>
  <c r="H723" i="1"/>
  <c r="J723" i="1" s="1"/>
  <c r="K723" i="1" s="1"/>
  <c r="H724" i="1"/>
  <c r="J724" i="1" s="1"/>
  <c r="K724" i="1" s="1"/>
  <c r="H725" i="1"/>
  <c r="J725" i="1" s="1"/>
  <c r="K725" i="1" s="1"/>
  <c r="H726" i="1"/>
  <c r="J726" i="1" s="1"/>
  <c r="K726" i="1" s="1"/>
  <c r="H727" i="1"/>
  <c r="J727" i="1" s="1"/>
  <c r="K727" i="1" s="1"/>
  <c r="H728" i="1"/>
  <c r="J728" i="1" s="1"/>
  <c r="K728" i="1" s="1"/>
  <c r="H729" i="1"/>
  <c r="J729" i="1" s="1"/>
  <c r="K729" i="1" s="1"/>
  <c r="H730" i="1"/>
  <c r="J730" i="1" s="1"/>
  <c r="K730" i="1" s="1"/>
  <c r="H731" i="1"/>
  <c r="J731" i="1" s="1"/>
  <c r="K731" i="1" s="1"/>
  <c r="H732" i="1"/>
  <c r="J732" i="1" s="1"/>
  <c r="K732" i="1" s="1"/>
  <c r="H694" i="1"/>
  <c r="J694" i="1" s="1"/>
  <c r="K694" i="1" s="1"/>
  <c r="H695" i="1"/>
  <c r="J695" i="1" s="1"/>
  <c r="K695" i="1" s="1"/>
  <c r="H696" i="1"/>
  <c r="J696" i="1" s="1"/>
  <c r="K696" i="1" s="1"/>
  <c r="H697" i="1"/>
  <c r="J697" i="1" s="1"/>
  <c r="K697" i="1" s="1"/>
  <c r="H698" i="1"/>
  <c r="J698" i="1" s="1"/>
  <c r="K698" i="1" s="1"/>
  <c r="H699" i="1"/>
  <c r="J699" i="1" s="1"/>
  <c r="K699" i="1" s="1"/>
  <c r="H700" i="1"/>
  <c r="J700" i="1" s="1"/>
  <c r="K700" i="1" s="1"/>
  <c r="H701" i="1"/>
  <c r="J701" i="1" s="1"/>
  <c r="K701" i="1" s="1"/>
  <c r="H702" i="1"/>
  <c r="J702" i="1" s="1"/>
  <c r="K702" i="1" s="1"/>
  <c r="H703" i="1"/>
  <c r="J703" i="1" s="1"/>
  <c r="K703" i="1" s="1"/>
  <c r="H704" i="1"/>
  <c r="J704" i="1" s="1"/>
  <c r="K704" i="1" s="1"/>
  <c r="H705" i="1"/>
  <c r="J705" i="1" s="1"/>
  <c r="K705" i="1" s="1"/>
  <c r="H706" i="1"/>
  <c r="J706" i="1" s="1"/>
  <c r="K706" i="1" s="1"/>
  <c r="H707" i="1"/>
  <c r="J707" i="1" s="1"/>
  <c r="K707" i="1" s="1"/>
  <c r="H708" i="1"/>
  <c r="J708" i="1" s="1"/>
  <c r="K708" i="1" s="1"/>
  <c r="H709" i="1"/>
  <c r="J709" i="1" s="1"/>
  <c r="K709" i="1" s="1"/>
  <c r="H710" i="1"/>
  <c r="J710" i="1" s="1"/>
  <c r="K710" i="1" s="1"/>
  <c r="H711" i="1"/>
  <c r="J711" i="1" s="1"/>
  <c r="K711" i="1" s="1"/>
  <c r="H693" i="1"/>
  <c r="J693" i="1" s="1"/>
  <c r="K693" i="1" s="1"/>
  <c r="J671" i="1"/>
  <c r="K671" i="1" s="1"/>
  <c r="H672" i="1"/>
  <c r="J672" i="1" s="1"/>
  <c r="K672" i="1" s="1"/>
  <c r="H673" i="1"/>
  <c r="J673" i="1" s="1"/>
  <c r="K673" i="1" s="1"/>
  <c r="H674" i="1"/>
  <c r="J674" i="1" s="1"/>
  <c r="K674" i="1" s="1"/>
  <c r="H675" i="1"/>
  <c r="J675" i="1" s="1"/>
  <c r="K675" i="1" s="1"/>
  <c r="H676" i="1"/>
  <c r="J676" i="1" s="1"/>
  <c r="K676" i="1" s="1"/>
  <c r="H677" i="1"/>
  <c r="J677" i="1" s="1"/>
  <c r="K677" i="1" s="1"/>
  <c r="H678" i="1"/>
  <c r="J678" i="1" s="1"/>
  <c r="K678" i="1" s="1"/>
  <c r="H679" i="1"/>
  <c r="J679" i="1" s="1"/>
  <c r="K679" i="1" s="1"/>
  <c r="H680" i="1"/>
  <c r="J680" i="1" s="1"/>
  <c r="K680" i="1" s="1"/>
  <c r="H681" i="1"/>
  <c r="J681" i="1" s="1"/>
  <c r="K681" i="1" s="1"/>
  <c r="H682" i="1"/>
  <c r="J682" i="1" s="1"/>
  <c r="K682" i="1" s="1"/>
  <c r="H683" i="1"/>
  <c r="J683" i="1" s="1"/>
  <c r="K683" i="1" s="1"/>
  <c r="H684" i="1"/>
  <c r="J684" i="1" s="1"/>
  <c r="K684" i="1" s="1"/>
  <c r="H685" i="1"/>
  <c r="J685" i="1" s="1"/>
  <c r="K685" i="1" s="1"/>
  <c r="H686" i="1"/>
  <c r="J686" i="1" s="1"/>
  <c r="K686" i="1" s="1"/>
  <c r="H687" i="1"/>
  <c r="J687" i="1" s="1"/>
  <c r="K687" i="1" s="1"/>
  <c r="H688" i="1"/>
  <c r="J688" i="1" s="1"/>
  <c r="K688" i="1" s="1"/>
  <c r="H689" i="1"/>
  <c r="J689" i="1" s="1"/>
  <c r="K689" i="1" s="1"/>
  <c r="H690" i="1"/>
  <c r="J690" i="1" s="1"/>
  <c r="K690" i="1" s="1"/>
  <c r="H691" i="1"/>
  <c r="J691" i="1" s="1"/>
  <c r="K691" i="1" s="1"/>
  <c r="H692" i="1"/>
  <c r="J692" i="1" s="1"/>
  <c r="K692" i="1" s="1"/>
  <c r="H651" i="1"/>
  <c r="J651" i="1" s="1"/>
  <c r="K651" i="1" s="1"/>
  <c r="H652" i="1"/>
  <c r="J652" i="1" s="1"/>
  <c r="K652" i="1" s="1"/>
  <c r="H654" i="1"/>
  <c r="J654" i="1" s="1"/>
  <c r="K654" i="1" s="1"/>
  <c r="H656" i="1"/>
  <c r="J656" i="1" s="1"/>
  <c r="K656" i="1" s="1"/>
  <c r="H657" i="1"/>
  <c r="J657" i="1" s="1"/>
  <c r="K657" i="1" s="1"/>
  <c r="H658" i="1"/>
  <c r="J658" i="1" s="1"/>
  <c r="K658" i="1" s="1"/>
  <c r="H659" i="1"/>
  <c r="J659" i="1" s="1"/>
  <c r="K659" i="1" s="1"/>
  <c r="H660" i="1"/>
  <c r="J660" i="1" s="1"/>
  <c r="K660" i="1" s="1"/>
  <c r="H661" i="1"/>
  <c r="J661" i="1" s="1"/>
  <c r="K661" i="1" s="1"/>
  <c r="H662" i="1"/>
  <c r="J662" i="1" s="1"/>
  <c r="K662" i="1" s="1"/>
  <c r="H663" i="1"/>
  <c r="J663" i="1" s="1"/>
  <c r="K663" i="1" s="1"/>
  <c r="H664" i="1"/>
  <c r="J664" i="1" s="1"/>
  <c r="K664" i="1" s="1"/>
  <c r="H665" i="1"/>
  <c r="J665" i="1" s="1"/>
  <c r="K665" i="1" s="1"/>
  <c r="H666" i="1"/>
  <c r="J666" i="1" s="1"/>
  <c r="K666" i="1" s="1"/>
  <c r="H667" i="1"/>
  <c r="J667" i="1" s="1"/>
  <c r="K667" i="1" s="1"/>
  <c r="H668" i="1"/>
  <c r="J668" i="1" s="1"/>
  <c r="K668" i="1" s="1"/>
  <c r="H669" i="1"/>
  <c r="J669" i="1" s="1"/>
  <c r="K669" i="1" s="1"/>
  <c r="H670" i="1"/>
  <c r="J670" i="1" s="1"/>
  <c r="K670" i="1" s="1"/>
  <c r="H642" i="1"/>
  <c r="J642" i="1" s="1"/>
  <c r="K642" i="1" s="1"/>
  <c r="H629" i="1"/>
  <c r="J629" i="1" s="1"/>
  <c r="K629" i="1" s="1"/>
  <c r="H630" i="1"/>
  <c r="J630" i="1" s="1"/>
  <c r="K630" i="1" s="1"/>
  <c r="H631" i="1"/>
  <c r="J631" i="1" s="1"/>
  <c r="K631" i="1" s="1"/>
  <c r="H632" i="1"/>
  <c r="J632" i="1" s="1"/>
  <c r="K632" i="1" s="1"/>
  <c r="H633" i="1"/>
  <c r="J633" i="1" s="1"/>
  <c r="K633" i="1" s="1"/>
  <c r="H634" i="1"/>
  <c r="J634" i="1" s="1"/>
  <c r="K634" i="1" s="1"/>
  <c r="H635" i="1"/>
  <c r="J635" i="1" s="1"/>
  <c r="K635" i="1" s="1"/>
  <c r="H636" i="1"/>
  <c r="J636" i="1" s="1"/>
  <c r="K636" i="1" s="1"/>
  <c r="H637" i="1"/>
  <c r="J637" i="1" s="1"/>
  <c r="K637" i="1" s="1"/>
  <c r="H638" i="1"/>
  <c r="J638" i="1" s="1"/>
  <c r="K638" i="1" s="1"/>
  <c r="H639" i="1"/>
  <c r="J639" i="1" s="1"/>
  <c r="K639" i="1" s="1"/>
  <c r="H641" i="1"/>
  <c r="J641" i="1" s="1"/>
  <c r="K641" i="1" s="1"/>
  <c r="H643" i="1"/>
  <c r="J643" i="1" s="1"/>
  <c r="K643" i="1" s="1"/>
  <c r="H644" i="1"/>
  <c r="J644" i="1" s="1"/>
  <c r="K644" i="1" s="1"/>
  <c r="H645" i="1"/>
  <c r="J645" i="1" s="1"/>
  <c r="K645" i="1" s="1"/>
  <c r="H646" i="1"/>
  <c r="J646" i="1" s="1"/>
  <c r="K646" i="1" s="1"/>
  <c r="H647" i="1"/>
  <c r="J647" i="1" s="1"/>
  <c r="K647" i="1" s="1"/>
  <c r="H648" i="1"/>
  <c r="J648" i="1" s="1"/>
  <c r="K648" i="1" s="1"/>
  <c r="H649" i="1"/>
  <c r="J649" i="1" s="1"/>
  <c r="K649" i="1" s="1"/>
  <c r="H650" i="1"/>
  <c r="J650" i="1" s="1"/>
  <c r="K650" i="1" s="1"/>
  <c r="H653" i="1"/>
  <c r="J653" i="1" s="1"/>
  <c r="K653" i="1" s="1"/>
  <c r="H655" i="1"/>
  <c r="J655" i="1" s="1"/>
  <c r="K655" i="1" s="1"/>
  <c r="H610" i="1"/>
  <c r="J610" i="1" s="1"/>
  <c r="K610" i="1" s="1"/>
  <c r="H611" i="1"/>
  <c r="J611" i="1" s="1"/>
  <c r="K611" i="1" s="1"/>
  <c r="H612" i="1"/>
  <c r="J612" i="1" s="1"/>
  <c r="K612" i="1" s="1"/>
  <c r="H613" i="1"/>
  <c r="J613" i="1" s="1"/>
  <c r="K613" i="1" s="1"/>
  <c r="H614" i="1"/>
  <c r="J614" i="1" s="1"/>
  <c r="K614" i="1" s="1"/>
  <c r="H615" i="1"/>
  <c r="J615" i="1" s="1"/>
  <c r="K615" i="1" s="1"/>
  <c r="H616" i="1"/>
  <c r="J616" i="1" s="1"/>
  <c r="K616" i="1" s="1"/>
  <c r="H617" i="1"/>
  <c r="J617" i="1" s="1"/>
  <c r="K617" i="1" s="1"/>
  <c r="H618" i="1"/>
  <c r="J618" i="1" s="1"/>
  <c r="K618" i="1" s="1"/>
  <c r="H619" i="1"/>
  <c r="J619" i="1" s="1"/>
  <c r="K619" i="1" s="1"/>
  <c r="H620" i="1"/>
  <c r="J620" i="1" s="1"/>
  <c r="K620" i="1" s="1"/>
  <c r="H621" i="1"/>
  <c r="J621" i="1" s="1"/>
  <c r="K621" i="1" s="1"/>
  <c r="H622" i="1"/>
  <c r="J622" i="1" s="1"/>
  <c r="K622" i="1" s="1"/>
  <c r="H623" i="1"/>
  <c r="J623" i="1" s="1"/>
  <c r="K623" i="1" s="1"/>
  <c r="H624" i="1"/>
  <c r="J624" i="1" s="1"/>
  <c r="K624" i="1" s="1"/>
  <c r="H625" i="1"/>
  <c r="J625" i="1" s="1"/>
  <c r="K625" i="1" s="1"/>
  <c r="H626" i="1"/>
  <c r="J626" i="1" s="1"/>
  <c r="K626" i="1" s="1"/>
  <c r="H627" i="1"/>
  <c r="J627" i="1" s="1"/>
  <c r="K627" i="1" s="1"/>
  <c r="H628" i="1"/>
  <c r="J628" i="1" s="1"/>
  <c r="K628" i="1" s="1"/>
  <c r="H593" i="1" l="1"/>
  <c r="J593" i="1" s="1"/>
  <c r="K593" i="1" s="1"/>
  <c r="H594" i="1"/>
  <c r="J594" i="1" s="1"/>
  <c r="K594" i="1" s="1"/>
  <c r="H595" i="1"/>
  <c r="J595" i="1" s="1"/>
  <c r="K595" i="1" s="1"/>
  <c r="H596" i="1"/>
  <c r="J596" i="1" s="1"/>
  <c r="K596" i="1" s="1"/>
  <c r="H597" i="1"/>
  <c r="J597" i="1" s="1"/>
  <c r="K597" i="1" s="1"/>
  <c r="H598" i="1"/>
  <c r="J598" i="1" s="1"/>
  <c r="K598" i="1" s="1"/>
  <c r="H599" i="1"/>
  <c r="J599" i="1" s="1"/>
  <c r="K599" i="1" s="1"/>
  <c r="H600" i="1"/>
  <c r="J600" i="1" s="1"/>
  <c r="K600" i="1" s="1"/>
  <c r="H601" i="1"/>
  <c r="J601" i="1" s="1"/>
  <c r="K601" i="1" s="1"/>
  <c r="H602" i="1"/>
  <c r="J602" i="1" s="1"/>
  <c r="K602" i="1" s="1"/>
  <c r="H603" i="1"/>
  <c r="J603" i="1" s="1"/>
  <c r="K603" i="1" s="1"/>
  <c r="H604" i="1"/>
  <c r="J604" i="1" s="1"/>
  <c r="K604" i="1" s="1"/>
  <c r="H605" i="1"/>
  <c r="J605" i="1" s="1"/>
  <c r="K605" i="1" s="1"/>
  <c r="H606" i="1"/>
  <c r="J606" i="1" s="1"/>
  <c r="K606" i="1" s="1"/>
  <c r="H607" i="1"/>
  <c r="J607" i="1" s="1"/>
  <c r="K607" i="1" s="1"/>
  <c r="H608" i="1"/>
  <c r="J608" i="1" s="1"/>
  <c r="K608" i="1" s="1"/>
  <c r="H609" i="1"/>
  <c r="J609" i="1" s="1"/>
  <c r="K609" i="1" s="1"/>
  <c r="H576" i="1"/>
  <c r="J576" i="1" s="1"/>
  <c r="K576" i="1" s="1"/>
  <c r="H577" i="1"/>
  <c r="J577" i="1" s="1"/>
  <c r="K577" i="1" s="1"/>
  <c r="H578" i="1"/>
  <c r="J578" i="1" s="1"/>
  <c r="K578" i="1" s="1"/>
  <c r="H579" i="1"/>
  <c r="J579" i="1" s="1"/>
  <c r="K579" i="1" s="1"/>
  <c r="H580" i="1"/>
  <c r="J580" i="1" s="1"/>
  <c r="K580" i="1" s="1"/>
  <c r="H581" i="1"/>
  <c r="J581" i="1" s="1"/>
  <c r="K581" i="1" s="1"/>
  <c r="H582" i="1"/>
  <c r="J582" i="1" s="1"/>
  <c r="K582" i="1" s="1"/>
  <c r="H583" i="1"/>
  <c r="J583" i="1" s="1"/>
  <c r="K583" i="1" s="1"/>
  <c r="H584" i="1"/>
  <c r="J584" i="1" s="1"/>
  <c r="K584" i="1" s="1"/>
  <c r="H585" i="1"/>
  <c r="J585" i="1" s="1"/>
  <c r="K585" i="1" s="1"/>
  <c r="H586" i="1"/>
  <c r="J586" i="1" s="1"/>
  <c r="K586" i="1" s="1"/>
  <c r="H587" i="1"/>
  <c r="J587" i="1" s="1"/>
  <c r="K587" i="1" s="1"/>
  <c r="H588" i="1"/>
  <c r="J588" i="1" s="1"/>
  <c r="K588" i="1" s="1"/>
  <c r="H589" i="1"/>
  <c r="J589" i="1" s="1"/>
  <c r="H590" i="1"/>
  <c r="J590" i="1" s="1"/>
  <c r="K590" i="1" s="1"/>
  <c r="H591" i="1"/>
  <c r="J591" i="1" s="1"/>
  <c r="K591" i="1" s="1"/>
  <c r="H592" i="1"/>
  <c r="J592" i="1" s="1"/>
  <c r="K592" i="1" s="1"/>
  <c r="H575" i="1"/>
  <c r="J575" i="1" s="1"/>
  <c r="K575" i="1" s="1"/>
  <c r="H567" i="1"/>
  <c r="J567" i="1" s="1"/>
  <c r="K567" i="1" s="1"/>
  <c r="H568" i="1"/>
  <c r="J568" i="1" s="1"/>
  <c r="K568" i="1" s="1"/>
  <c r="K465" i="1"/>
  <c r="H464" i="1"/>
  <c r="J464" i="1" s="1"/>
  <c r="K464" i="1" s="1"/>
  <c r="H553" i="1"/>
  <c r="J553" i="1" s="1"/>
  <c r="K553" i="1" s="1"/>
  <c r="H554" i="1"/>
  <c r="J554" i="1" s="1"/>
  <c r="K554" i="1" s="1"/>
  <c r="H555" i="1"/>
  <c r="J555" i="1" s="1"/>
  <c r="K555" i="1" s="1"/>
  <c r="H556" i="1"/>
  <c r="J556" i="1" s="1"/>
  <c r="K556" i="1" s="1"/>
  <c r="H557" i="1"/>
  <c r="J557" i="1" s="1"/>
  <c r="K557" i="1" s="1"/>
  <c r="H558" i="1"/>
  <c r="J558" i="1" s="1"/>
  <c r="K558" i="1" s="1"/>
  <c r="H559" i="1"/>
  <c r="J559" i="1" s="1"/>
  <c r="K559" i="1" s="1"/>
  <c r="H560" i="1"/>
  <c r="J560" i="1" s="1"/>
  <c r="K560" i="1" s="1"/>
  <c r="H561" i="1"/>
  <c r="J561" i="1" s="1"/>
  <c r="K561" i="1" s="1"/>
  <c r="H562" i="1"/>
  <c r="J562" i="1" s="1"/>
  <c r="K562" i="1" s="1"/>
  <c r="H563" i="1"/>
  <c r="J563" i="1" s="1"/>
  <c r="K563" i="1" s="1"/>
  <c r="H564" i="1"/>
  <c r="J564" i="1" s="1"/>
  <c r="K564" i="1" s="1"/>
  <c r="H565" i="1"/>
  <c r="J565" i="1" s="1"/>
  <c r="K565" i="1" s="1"/>
  <c r="H566" i="1"/>
  <c r="J566" i="1" s="1"/>
  <c r="K566" i="1" s="1"/>
  <c r="H569" i="1"/>
  <c r="J569" i="1" s="1"/>
  <c r="K569" i="1" s="1"/>
  <c r="H570" i="1"/>
  <c r="J570" i="1" s="1"/>
  <c r="H571" i="1"/>
  <c r="J571" i="1" s="1"/>
  <c r="K571" i="1" s="1"/>
  <c r="H572" i="1"/>
  <c r="J572" i="1" s="1"/>
  <c r="K572" i="1" s="1"/>
  <c r="H573" i="1"/>
  <c r="J573" i="1" s="1"/>
  <c r="H574" i="1"/>
  <c r="J574" i="1" s="1"/>
  <c r="K574" i="1" s="1"/>
  <c r="H533" i="1" l="1"/>
  <c r="J533" i="1" s="1"/>
  <c r="K533" i="1" s="1"/>
  <c r="H534" i="1"/>
  <c r="J534" i="1" s="1"/>
  <c r="K534" i="1" s="1"/>
  <c r="H535" i="1"/>
  <c r="J535" i="1" s="1"/>
  <c r="K535" i="1" s="1"/>
  <c r="H536" i="1"/>
  <c r="J536" i="1" s="1"/>
  <c r="K536" i="1" s="1"/>
  <c r="H537" i="1"/>
  <c r="J537" i="1" s="1"/>
  <c r="K537" i="1" s="1"/>
  <c r="H538" i="1"/>
  <c r="J538" i="1" s="1"/>
  <c r="K538" i="1" s="1"/>
  <c r="H539" i="1"/>
  <c r="J539" i="1" s="1"/>
  <c r="K539" i="1" s="1"/>
  <c r="H540" i="1"/>
  <c r="J540" i="1" s="1"/>
  <c r="K540" i="1" s="1"/>
  <c r="H541" i="1"/>
  <c r="J541" i="1" s="1"/>
  <c r="K541" i="1" s="1"/>
  <c r="H542" i="1"/>
  <c r="J542" i="1" s="1"/>
  <c r="K542" i="1" s="1"/>
  <c r="H543" i="1"/>
  <c r="J543" i="1" s="1"/>
  <c r="K543" i="1" s="1"/>
  <c r="H544" i="1"/>
  <c r="J544" i="1" s="1"/>
  <c r="K544" i="1" s="1"/>
  <c r="H545" i="1"/>
  <c r="J545" i="1" s="1"/>
  <c r="K545" i="1" s="1"/>
  <c r="H546" i="1"/>
  <c r="J546" i="1" s="1"/>
  <c r="K546" i="1" s="1"/>
  <c r="H547" i="1"/>
  <c r="J547" i="1" s="1"/>
  <c r="K547" i="1" s="1"/>
  <c r="H548" i="1"/>
  <c r="J548" i="1" s="1"/>
  <c r="K548" i="1" s="1"/>
  <c r="H549" i="1"/>
  <c r="J549" i="1" s="1"/>
  <c r="K549" i="1" s="1"/>
  <c r="H550" i="1"/>
  <c r="J550" i="1" s="1"/>
  <c r="K550" i="1" s="1"/>
  <c r="H551" i="1"/>
  <c r="J551" i="1" s="1"/>
  <c r="K551" i="1" s="1"/>
  <c r="H552" i="1"/>
  <c r="J552" i="1" s="1"/>
  <c r="K552" i="1" s="1"/>
  <c r="H511" i="1"/>
  <c r="J511" i="1" s="1"/>
  <c r="K511" i="1" s="1"/>
  <c r="H512" i="1"/>
  <c r="J512" i="1" s="1"/>
  <c r="K512" i="1" s="1"/>
  <c r="H513" i="1"/>
  <c r="J513" i="1" s="1"/>
  <c r="K513" i="1" s="1"/>
  <c r="H514" i="1"/>
  <c r="J514" i="1" s="1"/>
  <c r="K514" i="1" s="1"/>
  <c r="H516" i="1"/>
  <c r="J516" i="1" s="1"/>
  <c r="K516" i="1" s="1"/>
  <c r="H517" i="1"/>
  <c r="J517" i="1" s="1"/>
  <c r="K517" i="1" s="1"/>
  <c r="H518" i="1"/>
  <c r="J518" i="1" s="1"/>
  <c r="K518" i="1" s="1"/>
  <c r="H519" i="1"/>
  <c r="J519" i="1" s="1"/>
  <c r="K519" i="1" s="1"/>
  <c r="H520" i="1"/>
  <c r="J520" i="1" s="1"/>
  <c r="K520" i="1" s="1"/>
  <c r="H521" i="1"/>
  <c r="J521" i="1" s="1"/>
  <c r="K521" i="1" s="1"/>
  <c r="H522" i="1"/>
  <c r="J522" i="1" s="1"/>
  <c r="K522" i="1" s="1"/>
  <c r="H523" i="1"/>
  <c r="J523" i="1" s="1"/>
  <c r="K523" i="1" s="1"/>
  <c r="H524" i="1"/>
  <c r="J524" i="1" s="1"/>
  <c r="K524" i="1" s="1"/>
  <c r="H525" i="1"/>
  <c r="J525" i="1" s="1"/>
  <c r="K525" i="1" s="1"/>
  <c r="H526" i="1"/>
  <c r="J526" i="1" s="1"/>
  <c r="K526" i="1" s="1"/>
  <c r="H527" i="1"/>
  <c r="J527" i="1" s="1"/>
  <c r="K527" i="1" s="1"/>
  <c r="H528" i="1"/>
  <c r="J528" i="1" s="1"/>
  <c r="K528" i="1" s="1"/>
  <c r="H529" i="1"/>
  <c r="J529" i="1" s="1"/>
  <c r="K529" i="1" s="1"/>
  <c r="H530" i="1"/>
  <c r="J530" i="1" s="1"/>
  <c r="K530" i="1" s="1"/>
  <c r="H531" i="1"/>
  <c r="J531" i="1" s="1"/>
  <c r="K531" i="1" s="1"/>
  <c r="H532" i="1"/>
  <c r="J532" i="1" s="1"/>
  <c r="K532" i="1" s="1"/>
  <c r="H503" i="1"/>
  <c r="J503" i="1" s="1"/>
  <c r="H504" i="1"/>
  <c r="J504" i="1" s="1"/>
  <c r="K504" i="1" s="1"/>
  <c r="H505" i="1"/>
  <c r="J505" i="1" s="1"/>
  <c r="K505" i="1" s="1"/>
  <c r="H506" i="1"/>
  <c r="J506" i="1" s="1"/>
  <c r="K506" i="1" s="1"/>
  <c r="H507" i="1"/>
  <c r="J507" i="1" s="1"/>
  <c r="K507" i="1" s="1"/>
  <c r="H508" i="1"/>
  <c r="J508" i="1" s="1"/>
  <c r="K508" i="1" s="1"/>
  <c r="H509" i="1"/>
  <c r="J509" i="1" s="1"/>
  <c r="K509" i="1" s="1"/>
  <c r="H510" i="1"/>
  <c r="J510" i="1" s="1"/>
  <c r="K510" i="1" s="1"/>
  <c r="H487" i="1"/>
  <c r="J487" i="1" s="1"/>
  <c r="K487" i="1" s="1"/>
  <c r="H488" i="1"/>
  <c r="J488" i="1" s="1"/>
  <c r="K488" i="1" s="1"/>
  <c r="H489" i="1"/>
  <c r="J489" i="1" s="1"/>
  <c r="K489" i="1" s="1"/>
  <c r="H490" i="1"/>
  <c r="J490" i="1" s="1"/>
  <c r="K490" i="1" s="1"/>
  <c r="H491" i="1"/>
  <c r="J491" i="1" s="1"/>
  <c r="K491" i="1" s="1"/>
  <c r="H492" i="1"/>
  <c r="J492" i="1" s="1"/>
  <c r="K492" i="1" s="1"/>
  <c r="H493" i="1"/>
  <c r="J493" i="1" s="1"/>
  <c r="K493" i="1" s="1"/>
  <c r="H494" i="1"/>
  <c r="J494" i="1" s="1"/>
  <c r="K494" i="1" s="1"/>
  <c r="H495" i="1"/>
  <c r="J495" i="1" s="1"/>
  <c r="K495" i="1" s="1"/>
  <c r="H496" i="1"/>
  <c r="J496" i="1" s="1"/>
  <c r="K496" i="1" s="1"/>
  <c r="H497" i="1"/>
  <c r="J497" i="1" s="1"/>
  <c r="K497" i="1" s="1"/>
  <c r="H498" i="1"/>
  <c r="J498" i="1" s="1"/>
  <c r="K498" i="1" s="1"/>
  <c r="H499" i="1"/>
  <c r="J499" i="1" s="1"/>
  <c r="K499" i="1" s="1"/>
  <c r="H500" i="1"/>
  <c r="J500" i="1" s="1"/>
  <c r="K500" i="1" s="1"/>
  <c r="H501" i="1"/>
  <c r="J501" i="1" s="1"/>
  <c r="K501" i="1" s="1"/>
  <c r="H502" i="1"/>
  <c r="J502" i="1" s="1"/>
  <c r="K502" i="1" s="1"/>
  <c r="H486" i="1"/>
  <c r="J486" i="1" s="1"/>
  <c r="K486" i="1" s="1"/>
  <c r="H480" i="1"/>
  <c r="J480" i="1" s="1"/>
  <c r="K480" i="1" s="1"/>
  <c r="H481" i="1"/>
  <c r="J481" i="1" s="1"/>
  <c r="K481" i="1" s="1"/>
  <c r="H482" i="1"/>
  <c r="J482" i="1" s="1"/>
  <c r="K482" i="1" s="1"/>
  <c r="H483" i="1"/>
  <c r="J483" i="1" s="1"/>
  <c r="K483" i="1" s="1"/>
  <c r="H484" i="1"/>
  <c r="J484" i="1" s="1"/>
  <c r="K484" i="1" s="1"/>
  <c r="H485" i="1"/>
  <c r="J485" i="1" s="1"/>
  <c r="K485" i="1" s="1"/>
  <c r="H460" i="1"/>
  <c r="J460" i="1" s="1"/>
  <c r="K460" i="1" s="1"/>
  <c r="H436" i="1"/>
  <c r="J436" i="1" s="1"/>
  <c r="K436" i="1" s="1"/>
  <c r="H437" i="1"/>
  <c r="J437" i="1" s="1"/>
  <c r="K437" i="1" s="1"/>
  <c r="H438" i="1"/>
  <c r="J438" i="1" s="1"/>
  <c r="K438" i="1" s="1"/>
  <c r="H439" i="1"/>
  <c r="J439" i="1" s="1"/>
  <c r="K439" i="1" s="1"/>
  <c r="H440" i="1"/>
  <c r="J440" i="1" s="1"/>
  <c r="K440" i="1" s="1"/>
  <c r="H441" i="1"/>
  <c r="J441" i="1" s="1"/>
  <c r="K441" i="1" s="1"/>
  <c r="H442" i="1"/>
  <c r="J442" i="1" s="1"/>
  <c r="K442" i="1" s="1"/>
  <c r="H443" i="1"/>
  <c r="J443" i="1" s="1"/>
  <c r="K443" i="1" s="1"/>
  <c r="H444" i="1"/>
  <c r="J444" i="1" s="1"/>
  <c r="K444" i="1" s="1"/>
  <c r="H445" i="1"/>
  <c r="J445" i="1" s="1"/>
  <c r="K445" i="1" s="1"/>
  <c r="H446" i="1"/>
  <c r="J446" i="1" s="1"/>
  <c r="K446" i="1" s="1"/>
  <c r="H447" i="1"/>
  <c r="J447" i="1" s="1"/>
  <c r="K447" i="1" s="1"/>
  <c r="H448" i="1"/>
  <c r="J448" i="1" s="1"/>
  <c r="K448" i="1" s="1"/>
  <c r="H449" i="1"/>
  <c r="J449" i="1" s="1"/>
  <c r="K449" i="1" s="1"/>
  <c r="H450" i="1"/>
  <c r="J450" i="1" s="1"/>
  <c r="K450" i="1" s="1"/>
  <c r="H451" i="1"/>
  <c r="J451" i="1" s="1"/>
  <c r="K451" i="1" s="1"/>
  <c r="H452" i="1"/>
  <c r="J452" i="1" s="1"/>
  <c r="K452" i="1" s="1"/>
  <c r="H453" i="1"/>
  <c r="J453" i="1" s="1"/>
  <c r="K453" i="1" s="1"/>
  <c r="H454" i="1"/>
  <c r="J454" i="1" s="1"/>
  <c r="K454" i="1" s="1"/>
  <c r="H455" i="1"/>
  <c r="J455" i="1" s="1"/>
  <c r="K455" i="1" s="1"/>
  <c r="H456" i="1"/>
  <c r="J456" i="1" s="1"/>
  <c r="K456" i="1" s="1"/>
  <c r="H457" i="1"/>
  <c r="J457" i="1" s="1"/>
  <c r="K457" i="1" s="1"/>
  <c r="H458" i="1"/>
  <c r="J458" i="1" s="1"/>
  <c r="K458" i="1" s="1"/>
  <c r="H459" i="1"/>
  <c r="J459" i="1" s="1"/>
  <c r="K459" i="1" s="1"/>
  <c r="H461" i="1"/>
  <c r="J461" i="1" s="1"/>
  <c r="K461" i="1" s="1"/>
  <c r="H462" i="1"/>
  <c r="J462" i="1" s="1"/>
  <c r="K462" i="1" s="1"/>
  <c r="H463" i="1"/>
  <c r="J463" i="1" s="1"/>
  <c r="K463" i="1" s="1"/>
  <c r="H469" i="1"/>
  <c r="J469" i="1" s="1"/>
  <c r="K469" i="1" s="1"/>
  <c r="H470" i="1"/>
  <c r="J470" i="1" s="1"/>
  <c r="K470" i="1" s="1"/>
  <c r="H471" i="1"/>
  <c r="J471" i="1" s="1"/>
  <c r="K471" i="1" s="1"/>
  <c r="H472" i="1"/>
  <c r="J472" i="1" s="1"/>
  <c r="K472" i="1" s="1"/>
  <c r="H473" i="1"/>
  <c r="J473" i="1" s="1"/>
  <c r="K473" i="1" s="1"/>
  <c r="H474" i="1"/>
  <c r="J474" i="1" s="1"/>
  <c r="H475" i="1"/>
  <c r="J475" i="1" s="1"/>
  <c r="K475" i="1" s="1"/>
  <c r="H476" i="1"/>
  <c r="J476" i="1" s="1"/>
  <c r="K476" i="1" s="1"/>
  <c r="H478" i="1"/>
  <c r="J478" i="1" s="1"/>
  <c r="K478" i="1" s="1"/>
  <c r="H479" i="1"/>
  <c r="J479" i="1" s="1"/>
  <c r="K479" i="1" s="1"/>
  <c r="H435" i="1"/>
  <c r="J435" i="1" s="1"/>
  <c r="K435" i="1" s="1"/>
  <c r="H434" i="1"/>
  <c r="J434" i="1" s="1"/>
  <c r="H430" i="1"/>
  <c r="J430" i="1" s="1"/>
  <c r="K430" i="1" s="1"/>
  <c r="H427" i="1"/>
  <c r="J427" i="1" s="1"/>
  <c r="K427" i="1" s="1"/>
  <c r="J425" i="1"/>
  <c r="K425" i="1" s="1"/>
  <c r="J426" i="1"/>
  <c r="K426" i="1" s="1"/>
  <c r="J428" i="1"/>
  <c r="K428" i="1" s="1"/>
  <c r="J429" i="1"/>
  <c r="K429" i="1" s="1"/>
  <c r="J431" i="1"/>
  <c r="K431" i="1" s="1"/>
  <c r="J432" i="1"/>
  <c r="K432" i="1" s="1"/>
  <c r="J433" i="1"/>
  <c r="K433" i="1" s="1"/>
  <c r="H424" i="1"/>
  <c r="J424" i="1" s="1"/>
  <c r="K424" i="1" s="1"/>
  <c r="H423" i="1"/>
  <c r="J423" i="1" s="1"/>
  <c r="K423" i="1" s="1"/>
  <c r="H422" i="1"/>
  <c r="J422" i="1" s="1"/>
  <c r="K422" i="1" s="1"/>
  <c r="H421" i="1"/>
  <c r="J421" i="1" s="1"/>
  <c r="K421" i="1" s="1"/>
  <c r="H420" i="1"/>
  <c r="J420" i="1" s="1"/>
  <c r="K420" i="1" s="1"/>
  <c r="H413" i="1"/>
  <c r="J413" i="1" s="1"/>
  <c r="K413" i="1" s="1"/>
  <c r="H412" i="1"/>
  <c r="J412" i="1" s="1"/>
  <c r="K412" i="1" s="1"/>
  <c r="H411" i="1"/>
  <c r="J411" i="1" s="1"/>
  <c r="K411" i="1" s="1"/>
  <c r="H419" i="1" l="1"/>
  <c r="J419" i="1" s="1"/>
  <c r="K419" i="1" s="1"/>
  <c r="H418" i="1"/>
  <c r="J418" i="1" s="1"/>
  <c r="K418" i="1" s="1"/>
  <c r="H414" i="1"/>
  <c r="J414" i="1" s="1"/>
  <c r="K414" i="1" s="1"/>
  <c r="H416" i="1"/>
  <c r="J416" i="1" s="1"/>
  <c r="K416" i="1" s="1"/>
  <c r="H417" i="1"/>
  <c r="J417" i="1" s="1"/>
  <c r="K417" i="1" s="1"/>
  <c r="J392" i="1"/>
  <c r="K392" i="1" s="1"/>
  <c r="H385" i="1"/>
  <c r="J385" i="1" s="1"/>
  <c r="K385" i="1" s="1"/>
  <c r="H386" i="1"/>
  <c r="J386" i="1" s="1"/>
  <c r="K386" i="1" s="1"/>
  <c r="H387" i="1"/>
  <c r="J387" i="1" s="1"/>
  <c r="K387" i="1" s="1"/>
  <c r="H388" i="1"/>
  <c r="J388" i="1" s="1"/>
  <c r="K388" i="1" s="1"/>
  <c r="H389" i="1"/>
  <c r="J389" i="1" s="1"/>
  <c r="K389" i="1" s="1"/>
  <c r="H390" i="1"/>
  <c r="J390" i="1" s="1"/>
  <c r="K390" i="1" s="1"/>
  <c r="H391" i="1"/>
  <c r="J391" i="1" s="1"/>
  <c r="K391" i="1" s="1"/>
  <c r="H393" i="1"/>
  <c r="J393" i="1" s="1"/>
  <c r="K393" i="1" s="1"/>
  <c r="H394" i="1"/>
  <c r="J394" i="1" s="1"/>
  <c r="K394" i="1" s="1"/>
  <c r="H395" i="1"/>
  <c r="J395" i="1" s="1"/>
  <c r="K395" i="1" s="1"/>
  <c r="H396" i="1"/>
  <c r="J396" i="1" s="1"/>
  <c r="K396" i="1" s="1"/>
  <c r="H397" i="1"/>
  <c r="J397" i="1" s="1"/>
  <c r="K397" i="1" s="1"/>
  <c r="H398" i="1"/>
  <c r="J398" i="1" s="1"/>
  <c r="K398" i="1" s="1"/>
  <c r="H399" i="1"/>
  <c r="J399" i="1" s="1"/>
  <c r="K399" i="1" s="1"/>
  <c r="H400" i="1"/>
  <c r="J400" i="1" s="1"/>
  <c r="K400" i="1" s="1"/>
  <c r="H401" i="1"/>
  <c r="J401" i="1" s="1"/>
  <c r="K401" i="1" s="1"/>
  <c r="H402" i="1"/>
  <c r="J402" i="1" s="1"/>
  <c r="K402" i="1" s="1"/>
  <c r="H403" i="1"/>
  <c r="J403" i="1" s="1"/>
  <c r="K403" i="1" s="1"/>
  <c r="H404" i="1"/>
  <c r="J404" i="1" s="1"/>
  <c r="K404" i="1" s="1"/>
  <c r="H405" i="1"/>
  <c r="J405" i="1" s="1"/>
  <c r="K405" i="1" s="1"/>
  <c r="H406" i="1"/>
  <c r="J406" i="1" s="1"/>
  <c r="K406" i="1" s="1"/>
  <c r="H407" i="1"/>
  <c r="J407" i="1" s="1"/>
  <c r="K407" i="1" s="1"/>
  <c r="H408" i="1"/>
  <c r="J408" i="1" s="1"/>
  <c r="K408" i="1" s="1"/>
  <c r="H409" i="1"/>
  <c r="J409" i="1" s="1"/>
  <c r="K409" i="1" s="1"/>
  <c r="H410" i="1"/>
  <c r="J410" i="1" s="1"/>
  <c r="K410" i="1" s="1"/>
  <c r="H384" i="1"/>
  <c r="J384" i="1" s="1"/>
  <c r="K384" i="1" s="1"/>
  <c r="J383" i="1"/>
  <c r="K383" i="1" s="1"/>
  <c r="J382" i="1"/>
  <c r="K382" i="1" s="1"/>
  <c r="J381" i="1"/>
  <c r="K381" i="1" s="1"/>
  <c r="J380" i="1"/>
  <c r="K380" i="1" s="1"/>
  <c r="J379" i="1"/>
  <c r="K379" i="1" s="1"/>
  <c r="J378" i="1"/>
  <c r="J377" i="1"/>
  <c r="J376" i="1"/>
  <c r="J375" i="1"/>
  <c r="K375" i="1" s="1"/>
  <c r="J374" i="1"/>
  <c r="J373" i="1" l="1"/>
  <c r="J372" i="1"/>
  <c r="K372" i="1" s="1"/>
  <c r="J371" i="1"/>
  <c r="K371" i="1" s="1"/>
  <c r="K374" i="1"/>
  <c r="K376" i="1"/>
  <c r="K377" i="1"/>
  <c r="K378" i="1"/>
  <c r="J370" i="1"/>
  <c r="K370" i="1" s="1"/>
  <c r="J369" i="1"/>
  <c r="K369" i="1" s="1"/>
  <c r="J368" i="1"/>
  <c r="J367" i="1"/>
  <c r="K367" i="1" s="1"/>
  <c r="J366" i="1"/>
  <c r="K366" i="1" s="1"/>
  <c r="J365" i="1"/>
  <c r="K365" i="1" s="1"/>
  <c r="J364" i="1"/>
  <c r="K364" i="1" s="1"/>
  <c r="J363" i="1"/>
  <c r="K363" i="1" s="1"/>
  <c r="J362" i="1"/>
  <c r="K362" i="1" s="1"/>
  <c r="J361" i="1"/>
  <c r="K361" i="1" s="1"/>
  <c r="J360" i="1"/>
  <c r="K360" i="1" s="1"/>
  <c r="J359" i="1"/>
  <c r="K359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36" i="1"/>
  <c r="K336" i="1" s="1"/>
  <c r="J334" i="1"/>
  <c r="K334" i="1" s="1"/>
  <c r="J333" i="1"/>
  <c r="K333" i="1" s="1"/>
  <c r="J332" i="1"/>
  <c r="K33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02" i="1"/>
  <c r="K302" i="1" s="1"/>
  <c r="J293" i="1"/>
  <c r="J294" i="1"/>
  <c r="J295" i="1"/>
  <c r="J296" i="1"/>
  <c r="J297" i="1"/>
  <c r="J298" i="1"/>
  <c r="J299" i="1"/>
  <c r="J300" i="1"/>
  <c r="J292" i="1"/>
  <c r="K292" i="1" s="1"/>
  <c r="J291" i="1"/>
  <c r="K291" i="1" s="1"/>
  <c r="K273" i="1"/>
  <c r="K275" i="1"/>
  <c r="K276" i="1"/>
  <c r="K278" i="1"/>
  <c r="K279" i="1"/>
  <c r="K280" i="1"/>
  <c r="K281" i="1"/>
  <c r="K282" i="1"/>
  <c r="K284" i="1"/>
  <c r="K285" i="1"/>
  <c r="K286" i="1"/>
  <c r="K287" i="1"/>
  <c r="K288" i="1"/>
  <c r="K289" i="1"/>
  <c r="K290" i="1"/>
  <c r="K268" i="1"/>
  <c r="K266" i="1"/>
  <c r="K267" i="1"/>
  <c r="K265" i="1"/>
  <c r="H231" i="1"/>
  <c r="J231" i="1" s="1"/>
  <c r="K231" i="1" s="1"/>
  <c r="H184" i="1" l="1"/>
  <c r="J184" i="1" s="1"/>
  <c r="K184" i="1" s="1"/>
  <c r="H230" i="1"/>
  <c r="J230" i="1" s="1"/>
  <c r="K230" i="1" s="1"/>
  <c r="H229" i="1"/>
  <c r="J229" i="1" s="1"/>
  <c r="K229" i="1" s="1"/>
  <c r="H228" i="1"/>
  <c r="J228" i="1" s="1"/>
  <c r="K228" i="1" s="1"/>
  <c r="H227" i="1"/>
  <c r="J227" i="1" s="1"/>
  <c r="K227" i="1" s="1"/>
  <c r="H226" i="1"/>
  <c r="J226" i="1" s="1"/>
  <c r="K226" i="1" s="1"/>
  <c r="H225" i="1"/>
  <c r="J225" i="1" s="1"/>
  <c r="K225" i="1" s="1"/>
  <c r="H224" i="1"/>
  <c r="J224" i="1" s="1"/>
  <c r="K224" i="1" s="1"/>
  <c r="H223" i="1"/>
  <c r="J223" i="1" s="1"/>
  <c r="K223" i="1" s="1"/>
  <c r="H222" i="1"/>
  <c r="J222" i="1" s="1"/>
  <c r="K222" i="1" s="1"/>
  <c r="H221" i="1"/>
  <c r="J221" i="1" s="1"/>
  <c r="K221" i="1" s="1"/>
  <c r="H220" i="1"/>
  <c r="J220" i="1" s="1"/>
  <c r="K220" i="1" s="1"/>
  <c r="H219" i="1"/>
  <c r="J219" i="1" s="1"/>
  <c r="K219" i="1" s="1"/>
  <c r="H218" i="1"/>
  <c r="J218" i="1" s="1"/>
  <c r="K218" i="1" s="1"/>
  <c r="H217" i="1"/>
  <c r="J217" i="1" s="1"/>
  <c r="K217" i="1" s="1"/>
  <c r="H216" i="1"/>
  <c r="J216" i="1" s="1"/>
  <c r="K216" i="1" s="1"/>
  <c r="H215" i="1"/>
  <c r="J215" i="1" s="1"/>
  <c r="K215" i="1" s="1"/>
  <c r="H214" i="1"/>
  <c r="J214" i="1" s="1"/>
  <c r="K214" i="1" s="1"/>
  <c r="H213" i="1"/>
  <c r="J213" i="1" s="1"/>
  <c r="K213" i="1" s="1"/>
  <c r="H212" i="1"/>
  <c r="J212" i="1" s="1"/>
  <c r="K212" i="1" s="1"/>
  <c r="H211" i="1"/>
  <c r="J211" i="1" s="1"/>
  <c r="K211" i="1" s="1"/>
  <c r="H210" i="1"/>
  <c r="J210" i="1" s="1"/>
  <c r="K210" i="1" s="1"/>
  <c r="H209" i="1"/>
  <c r="J209" i="1" s="1"/>
  <c r="K209" i="1" s="1"/>
  <c r="H208" i="1"/>
  <c r="J208" i="1" s="1"/>
  <c r="K208" i="1" s="1"/>
  <c r="H207" i="1"/>
  <c r="J207" i="1" s="1"/>
  <c r="K207" i="1" s="1"/>
  <c r="H206" i="1"/>
  <c r="J206" i="1" s="1"/>
  <c r="K206" i="1" s="1"/>
  <c r="H205" i="1"/>
  <c r="J205" i="1" s="1"/>
  <c r="K205" i="1" s="1"/>
  <c r="H204" i="1"/>
  <c r="J204" i="1" s="1"/>
  <c r="K204" i="1" s="1"/>
  <c r="H203" i="1"/>
  <c r="J203" i="1" s="1"/>
  <c r="K203" i="1" s="1"/>
  <c r="H202" i="1"/>
  <c r="J202" i="1" s="1"/>
  <c r="K202" i="1" s="1"/>
  <c r="H201" i="1"/>
  <c r="J201" i="1" s="1"/>
  <c r="K201" i="1" s="1"/>
  <c r="H200" i="1"/>
  <c r="J200" i="1" s="1"/>
  <c r="K200" i="1" s="1"/>
  <c r="H199" i="1"/>
  <c r="J199" i="1" s="1"/>
  <c r="K199" i="1" s="1"/>
  <c r="H198" i="1"/>
  <c r="J198" i="1" s="1"/>
  <c r="K198" i="1" s="1"/>
  <c r="H197" i="1"/>
  <c r="J197" i="1" s="1"/>
  <c r="K197" i="1" s="1"/>
  <c r="H196" i="1"/>
  <c r="J196" i="1" s="1"/>
  <c r="K196" i="1" s="1"/>
  <c r="H195" i="1"/>
  <c r="J195" i="1" s="1"/>
  <c r="K195" i="1" s="1"/>
  <c r="H194" i="1"/>
  <c r="J194" i="1" s="1"/>
  <c r="K194" i="1" s="1"/>
  <c r="H193" i="1"/>
  <c r="J193" i="1" s="1"/>
  <c r="K193" i="1" s="1"/>
  <c r="H192" i="1"/>
  <c r="J192" i="1" s="1"/>
  <c r="K192" i="1" s="1"/>
  <c r="H191" i="1"/>
  <c r="J191" i="1" s="1"/>
  <c r="K191" i="1" s="1"/>
  <c r="H190" i="1"/>
  <c r="J190" i="1" s="1"/>
  <c r="K190" i="1" s="1"/>
  <c r="H189" i="1"/>
  <c r="J189" i="1" s="1"/>
  <c r="K189" i="1" s="1"/>
  <c r="H188" i="1"/>
  <c r="J188" i="1" s="1"/>
  <c r="K188" i="1" s="1"/>
  <c r="H187" i="1"/>
  <c r="J187" i="1" s="1"/>
  <c r="K187" i="1" s="1"/>
  <c r="H186" i="1"/>
  <c r="J186" i="1" s="1"/>
  <c r="K186" i="1" s="1"/>
  <c r="H185" i="1"/>
  <c r="J185" i="1" s="1"/>
  <c r="K185" i="1" s="1"/>
  <c r="H183" i="1"/>
  <c r="J183" i="1" s="1"/>
  <c r="K183" i="1" s="1"/>
  <c r="H182" i="1"/>
  <c r="J182" i="1" s="1"/>
  <c r="K182" i="1" s="1"/>
  <c r="H181" i="1"/>
  <c r="J181" i="1" s="1"/>
  <c r="K181" i="1" s="1"/>
  <c r="H180" i="1"/>
  <c r="J180" i="1" s="1"/>
  <c r="K180" i="1" s="1"/>
  <c r="H179" i="1"/>
  <c r="J179" i="1" s="1"/>
  <c r="K179" i="1" s="1"/>
  <c r="H178" i="1"/>
  <c r="J178" i="1" s="1"/>
  <c r="K178" i="1" s="1"/>
  <c r="H177" i="1"/>
  <c r="J177" i="1" s="1"/>
  <c r="K177" i="1" s="1"/>
  <c r="H176" i="1"/>
  <c r="J176" i="1" s="1"/>
  <c r="K176" i="1" s="1"/>
  <c r="H175" i="1"/>
  <c r="J175" i="1" s="1"/>
  <c r="K175" i="1" s="1"/>
  <c r="Q174" i="1" l="1"/>
  <c r="P174" i="1"/>
  <c r="H174" i="1"/>
  <c r="J174" i="1" s="1"/>
  <c r="K174" i="1" s="1"/>
  <c r="Q173" i="1"/>
  <c r="R173" i="1" s="1"/>
  <c r="H173" i="1"/>
  <c r="J173" i="1" s="1"/>
  <c r="Q172" i="1"/>
  <c r="P172" i="1"/>
  <c r="J172" i="1"/>
  <c r="Q171" i="1"/>
  <c r="P171" i="1"/>
  <c r="H171" i="1"/>
  <c r="J171" i="1" s="1"/>
  <c r="Q170" i="1"/>
  <c r="P170" i="1"/>
  <c r="H170" i="1"/>
  <c r="J170" i="1" s="1"/>
  <c r="K170" i="1" s="1"/>
  <c r="Q169" i="1"/>
  <c r="R169" i="1" s="1"/>
  <c r="H169" i="1"/>
  <c r="J169" i="1" s="1"/>
  <c r="Q168" i="1"/>
  <c r="R168" i="1" s="1"/>
  <c r="H168" i="1"/>
  <c r="J168" i="1" s="1"/>
  <c r="K168" i="1" s="1"/>
  <c r="Q167" i="1"/>
  <c r="P167" i="1"/>
  <c r="H167" i="1"/>
  <c r="J167" i="1" s="1"/>
  <c r="Q166" i="1"/>
  <c r="H166" i="1"/>
  <c r="J166" i="1" s="1"/>
  <c r="K166" i="1" s="1"/>
  <c r="Q165" i="1"/>
  <c r="P165" i="1"/>
  <c r="K165" i="1"/>
  <c r="Q164" i="1"/>
  <c r="P164" i="1"/>
  <c r="H164" i="1"/>
  <c r="J164" i="1" s="1"/>
  <c r="Q163" i="1"/>
  <c r="R163" i="1" s="1"/>
  <c r="H163" i="1"/>
  <c r="J163" i="1" s="1"/>
  <c r="Q162" i="1"/>
  <c r="P162" i="1"/>
  <c r="H162" i="1"/>
  <c r="J162" i="1" s="1"/>
  <c r="K162" i="1" s="1"/>
  <c r="Q161" i="1"/>
  <c r="P161" i="1"/>
  <c r="H161" i="1"/>
  <c r="J161" i="1" s="1"/>
  <c r="Q160" i="1"/>
  <c r="R160" i="1" s="1"/>
  <c r="H160" i="1"/>
  <c r="J160" i="1" s="1"/>
  <c r="Q159" i="1"/>
  <c r="P159" i="1"/>
  <c r="H159" i="1"/>
  <c r="J159" i="1" s="1"/>
  <c r="K159" i="1" s="1"/>
  <c r="Q158" i="1"/>
  <c r="R158" i="1" s="1"/>
  <c r="H158" i="1"/>
  <c r="J158" i="1" s="1"/>
  <c r="Q157" i="1"/>
  <c r="P157" i="1"/>
  <c r="H157" i="1"/>
  <c r="J157" i="1" s="1"/>
  <c r="Q156" i="1"/>
  <c r="P156" i="1"/>
  <c r="H156" i="1"/>
  <c r="J156" i="1" s="1"/>
  <c r="K156" i="1" s="1"/>
  <c r="Q155" i="1"/>
  <c r="R155" i="1" s="1"/>
  <c r="H155" i="1"/>
  <c r="J155" i="1" s="1"/>
  <c r="Q154" i="1"/>
  <c r="P154" i="1"/>
  <c r="H154" i="1"/>
  <c r="J154" i="1" s="1"/>
  <c r="K154" i="1" s="1"/>
  <c r="Q153" i="1"/>
  <c r="P153" i="1"/>
  <c r="H153" i="1"/>
  <c r="J153" i="1" s="1"/>
  <c r="K153" i="1" s="1"/>
  <c r="Q152" i="1"/>
  <c r="P152" i="1"/>
  <c r="H152" i="1"/>
  <c r="J152" i="1" s="1"/>
  <c r="Q151" i="1"/>
  <c r="P151" i="1"/>
  <c r="H151" i="1"/>
  <c r="J151" i="1" s="1"/>
  <c r="Q150" i="1"/>
  <c r="P150" i="1"/>
  <c r="H150" i="1"/>
  <c r="J150" i="1" s="1"/>
  <c r="Q149" i="1"/>
  <c r="P149" i="1"/>
  <c r="H149" i="1"/>
  <c r="J149" i="1" s="1"/>
  <c r="K149" i="1" s="1"/>
  <c r="Q148" i="1"/>
  <c r="P148" i="1"/>
  <c r="H148" i="1"/>
  <c r="J148" i="1" s="1"/>
  <c r="Q147" i="1"/>
  <c r="P147" i="1"/>
  <c r="H147" i="1"/>
  <c r="J147" i="1" s="1"/>
  <c r="K147" i="1" s="1"/>
  <c r="Q146" i="1"/>
  <c r="P146" i="1"/>
  <c r="H146" i="1"/>
  <c r="J146" i="1" s="1"/>
  <c r="K146" i="1" s="1"/>
  <c r="Q145" i="1"/>
  <c r="R145" i="1" s="1"/>
  <c r="H145" i="1"/>
  <c r="J145" i="1" s="1"/>
  <c r="Q144" i="1"/>
  <c r="R144" i="1" s="1"/>
  <c r="H144" i="1"/>
  <c r="J144" i="1" s="1"/>
  <c r="Q143" i="1"/>
  <c r="P143" i="1"/>
  <c r="H143" i="1"/>
  <c r="J143" i="1" s="1"/>
  <c r="K143" i="1" s="1"/>
  <c r="Q142" i="1"/>
  <c r="R142" i="1" s="1"/>
  <c r="H142" i="1"/>
  <c r="J142" i="1" s="1"/>
  <c r="Q141" i="1"/>
  <c r="P141" i="1"/>
  <c r="H141" i="1"/>
  <c r="J141" i="1" s="1"/>
  <c r="Q140" i="1"/>
  <c r="P140" i="1"/>
  <c r="H140" i="1"/>
  <c r="J140" i="1" s="1"/>
  <c r="Q139" i="1"/>
  <c r="R139" i="1" s="1"/>
  <c r="H139" i="1"/>
  <c r="J139" i="1" s="1"/>
  <c r="Q138" i="1"/>
  <c r="P138" i="1"/>
  <c r="H138" i="1"/>
  <c r="J138" i="1" s="1"/>
  <c r="Q137" i="1"/>
  <c r="P137" i="1"/>
  <c r="H137" i="1"/>
  <c r="J137" i="1" s="1"/>
  <c r="K137" i="1" s="1"/>
  <c r="Q136" i="1"/>
  <c r="R136" i="1" s="1"/>
  <c r="H136" i="1"/>
  <c r="J136" i="1" s="1"/>
  <c r="Q135" i="1"/>
  <c r="R135" i="1" s="1"/>
  <c r="H135" i="1"/>
  <c r="J135" i="1" s="1"/>
  <c r="K135" i="1" s="1"/>
  <c r="Q134" i="1"/>
  <c r="P134" i="1"/>
  <c r="H134" i="1"/>
  <c r="J134" i="1" s="1"/>
  <c r="Q133" i="1"/>
  <c r="R133" i="1" s="1"/>
  <c r="H133" i="1"/>
  <c r="J133" i="1" s="1"/>
  <c r="Q132" i="1"/>
  <c r="P132" i="1"/>
  <c r="H132" i="1"/>
  <c r="J132" i="1" s="1"/>
  <c r="K132" i="1" s="1"/>
  <c r="Q131" i="1"/>
  <c r="P131" i="1"/>
  <c r="H131" i="1"/>
  <c r="J131" i="1" s="1"/>
  <c r="Q130" i="1"/>
  <c r="R130" i="1" s="1"/>
  <c r="H130" i="1"/>
  <c r="J130" i="1" s="1"/>
  <c r="Q129" i="1"/>
  <c r="R129" i="1" s="1"/>
  <c r="H129" i="1"/>
  <c r="J129" i="1" s="1"/>
  <c r="Q128" i="1"/>
  <c r="P128" i="1"/>
  <c r="H128" i="1"/>
  <c r="J128" i="1" s="1"/>
  <c r="Q127" i="1"/>
  <c r="P127" i="1"/>
  <c r="H127" i="1"/>
  <c r="J127" i="1" s="1"/>
  <c r="Q126" i="1"/>
  <c r="R126" i="1" s="1"/>
  <c r="H126" i="1"/>
  <c r="J126" i="1" s="1"/>
  <c r="Q125" i="1"/>
  <c r="R125" i="1" s="1"/>
  <c r="H125" i="1"/>
  <c r="J125" i="1" s="1"/>
  <c r="K125" i="1" s="1"/>
  <c r="Q124" i="1"/>
  <c r="P124" i="1"/>
  <c r="H124" i="1"/>
  <c r="J124" i="1" s="1"/>
  <c r="K124" i="1" s="1"/>
  <c r="Q123" i="1"/>
  <c r="P123" i="1"/>
  <c r="H123" i="1"/>
  <c r="J123" i="1" s="1"/>
  <c r="Q122" i="1"/>
  <c r="R122" i="1" s="1"/>
  <c r="H122" i="1"/>
  <c r="J122" i="1" s="1"/>
  <c r="Q121" i="1"/>
  <c r="P121" i="1"/>
  <c r="H121" i="1"/>
  <c r="J121" i="1" s="1"/>
  <c r="K121" i="1" s="1"/>
  <c r="Q120" i="1"/>
  <c r="P120" i="1"/>
  <c r="H120" i="1"/>
  <c r="J120" i="1" s="1"/>
  <c r="Q119" i="1"/>
  <c r="R119" i="1" s="1"/>
  <c r="H119" i="1"/>
  <c r="J119" i="1" s="1"/>
  <c r="Q118" i="1"/>
  <c r="P118" i="1"/>
  <c r="H118" i="1"/>
  <c r="J118" i="1" s="1"/>
  <c r="Q117" i="1"/>
  <c r="P117" i="1"/>
  <c r="H117" i="1"/>
  <c r="J117" i="1" s="1"/>
  <c r="Q116" i="1"/>
  <c r="P116" i="1"/>
  <c r="H116" i="1"/>
  <c r="J116" i="1" s="1"/>
  <c r="K116" i="1" s="1"/>
  <c r="Q115" i="1"/>
  <c r="P115" i="1"/>
  <c r="H115" i="1"/>
  <c r="J115" i="1" s="1"/>
  <c r="Q114" i="1"/>
  <c r="R114" i="1" s="1"/>
  <c r="H114" i="1"/>
  <c r="J114" i="1" s="1"/>
  <c r="K114" i="1" s="1"/>
  <c r="Q113" i="1"/>
  <c r="P113" i="1"/>
  <c r="H113" i="1"/>
  <c r="J113" i="1" s="1"/>
  <c r="K113" i="1" s="1"/>
  <c r="Q112" i="1"/>
  <c r="P112" i="1"/>
  <c r="H112" i="1"/>
  <c r="J112" i="1" s="1"/>
  <c r="K112" i="1" s="1"/>
  <c r="Q111" i="1"/>
  <c r="R111" i="1" s="1"/>
  <c r="H111" i="1"/>
  <c r="J111" i="1" s="1"/>
  <c r="Q110" i="1"/>
  <c r="R110" i="1" s="1"/>
  <c r="H110" i="1"/>
  <c r="J110" i="1" s="1"/>
  <c r="Q109" i="1"/>
  <c r="P109" i="1"/>
  <c r="J109" i="1"/>
  <c r="K109" i="1" s="1"/>
  <c r="Q108" i="1"/>
  <c r="R108" i="1" s="1"/>
  <c r="H108" i="1"/>
  <c r="J108" i="1" s="1"/>
  <c r="Q107" i="1"/>
  <c r="P107" i="1"/>
  <c r="H107" i="1"/>
  <c r="J107" i="1" s="1"/>
  <c r="K107" i="1" s="1"/>
  <c r="Q105" i="1"/>
  <c r="P105" i="1"/>
  <c r="H105" i="1"/>
  <c r="J105" i="1" s="1"/>
  <c r="Q104" i="1"/>
  <c r="R104" i="1" s="1"/>
  <c r="H104" i="1"/>
  <c r="J104" i="1" s="1"/>
  <c r="Q103" i="1"/>
  <c r="P103" i="1"/>
  <c r="H103" i="1"/>
  <c r="J103" i="1" s="1"/>
  <c r="Q102" i="1"/>
  <c r="P102" i="1"/>
  <c r="H102" i="1"/>
  <c r="J102" i="1" s="1"/>
  <c r="Q101" i="1"/>
  <c r="P101" i="1"/>
  <c r="H101" i="1"/>
  <c r="J101" i="1" s="1"/>
  <c r="K101" i="1" s="1"/>
  <c r="Q100" i="1"/>
  <c r="P100" i="1"/>
  <c r="H100" i="1"/>
  <c r="J100" i="1" s="1"/>
  <c r="K100" i="1" s="1"/>
  <c r="Q99" i="1"/>
  <c r="P99" i="1"/>
  <c r="H99" i="1"/>
  <c r="J99" i="1" s="1"/>
  <c r="K99" i="1" s="1"/>
  <c r="Q98" i="1"/>
  <c r="R98" i="1" s="1"/>
  <c r="H98" i="1"/>
  <c r="J98" i="1" s="1"/>
  <c r="Q97" i="1"/>
  <c r="P97" i="1"/>
  <c r="H97" i="1"/>
  <c r="J97" i="1" s="1"/>
  <c r="K97" i="1" s="1"/>
  <c r="Q96" i="1"/>
  <c r="R96" i="1" s="1"/>
  <c r="H96" i="1"/>
  <c r="J96" i="1" s="1"/>
  <c r="K96" i="1" s="1"/>
  <c r="Q95" i="1"/>
  <c r="P95" i="1"/>
  <c r="H95" i="1"/>
  <c r="J95" i="1" s="1"/>
  <c r="K95" i="1" s="1"/>
  <c r="Q94" i="1"/>
  <c r="R94" i="1" s="1"/>
  <c r="H94" i="1"/>
  <c r="J94" i="1" s="1"/>
  <c r="K94" i="1" s="1"/>
  <c r="Q93" i="1"/>
  <c r="P93" i="1"/>
  <c r="H93" i="1"/>
  <c r="J93" i="1" s="1"/>
  <c r="Q92" i="1"/>
  <c r="P92" i="1"/>
  <c r="H92" i="1"/>
  <c r="J92" i="1" s="1"/>
  <c r="Q91" i="1"/>
  <c r="P91" i="1"/>
  <c r="H91" i="1"/>
  <c r="J91" i="1" s="1"/>
  <c r="K91" i="1" s="1"/>
  <c r="Q90" i="1"/>
  <c r="P90" i="1"/>
  <c r="H90" i="1"/>
  <c r="J90" i="1" s="1"/>
  <c r="Q89" i="1"/>
  <c r="P89" i="1"/>
  <c r="H89" i="1"/>
  <c r="J89" i="1" s="1"/>
  <c r="Q88" i="1"/>
  <c r="P88" i="1"/>
  <c r="H88" i="1"/>
  <c r="J88" i="1" s="1"/>
  <c r="K88" i="1" s="1"/>
  <c r="Q87" i="1"/>
  <c r="P87" i="1"/>
  <c r="H87" i="1"/>
  <c r="J87" i="1" s="1"/>
  <c r="K87" i="1" s="1"/>
  <c r="Q86" i="1"/>
  <c r="P86" i="1"/>
  <c r="H86" i="1"/>
  <c r="J86" i="1" s="1"/>
  <c r="K86" i="1" s="1"/>
  <c r="Q85" i="1"/>
  <c r="R85" i="1" s="1"/>
  <c r="H85" i="1"/>
  <c r="J85" i="1" s="1"/>
  <c r="Q84" i="1"/>
  <c r="P84" i="1"/>
  <c r="H84" i="1"/>
  <c r="J84" i="1" s="1"/>
  <c r="K84" i="1" s="1"/>
  <c r="Q83" i="1"/>
  <c r="R83" i="1" s="1"/>
  <c r="H83" i="1"/>
  <c r="J83" i="1" s="1"/>
  <c r="K83" i="1" s="1"/>
  <c r="Q82" i="1"/>
  <c r="P82" i="1"/>
  <c r="H82" i="1"/>
  <c r="J82" i="1" s="1"/>
  <c r="K82" i="1" s="1"/>
  <c r="Q81" i="1"/>
  <c r="P81" i="1"/>
  <c r="H81" i="1"/>
  <c r="J81" i="1" s="1"/>
  <c r="K81" i="1" s="1"/>
  <c r="Q80" i="1"/>
  <c r="R80" i="1" s="1"/>
  <c r="H80" i="1"/>
  <c r="J80" i="1" s="1"/>
  <c r="K80" i="1" s="1"/>
  <c r="Q79" i="1"/>
  <c r="P79" i="1"/>
  <c r="H79" i="1"/>
  <c r="J79" i="1" s="1"/>
  <c r="Q78" i="1"/>
  <c r="P78" i="1"/>
  <c r="H78" i="1"/>
  <c r="J78" i="1" s="1"/>
  <c r="K78" i="1" s="1"/>
  <c r="Q77" i="1"/>
  <c r="P77" i="1"/>
  <c r="H77" i="1"/>
  <c r="J77" i="1" s="1"/>
  <c r="Q76" i="1"/>
  <c r="P76" i="1"/>
  <c r="H76" i="1"/>
  <c r="J76" i="1" s="1"/>
  <c r="Q75" i="1"/>
  <c r="P75" i="1"/>
  <c r="H75" i="1"/>
  <c r="J75" i="1" s="1"/>
  <c r="K75" i="1" s="1"/>
  <c r="Q74" i="1"/>
  <c r="P74" i="1"/>
  <c r="H74" i="1"/>
  <c r="J74" i="1" s="1"/>
  <c r="K74" i="1" s="1"/>
  <c r="Q73" i="1"/>
  <c r="P73" i="1"/>
  <c r="H73" i="1"/>
  <c r="J73" i="1" s="1"/>
  <c r="K73" i="1" s="1"/>
  <c r="Q72" i="1"/>
  <c r="P72" i="1"/>
  <c r="H72" i="1"/>
  <c r="J72" i="1" s="1"/>
  <c r="Q71" i="1"/>
  <c r="P71" i="1"/>
  <c r="H71" i="1"/>
  <c r="J71" i="1" s="1"/>
  <c r="K71" i="1" s="1"/>
  <c r="Q70" i="1"/>
  <c r="P70" i="1"/>
  <c r="H70" i="1"/>
  <c r="J70" i="1" s="1"/>
  <c r="K70" i="1" s="1"/>
  <c r="Q69" i="1"/>
  <c r="P69" i="1"/>
  <c r="H69" i="1"/>
  <c r="J69" i="1" s="1"/>
  <c r="Q68" i="1"/>
  <c r="R68" i="1" s="1"/>
  <c r="H68" i="1"/>
  <c r="J68" i="1" s="1"/>
  <c r="Q67" i="1"/>
  <c r="P67" i="1"/>
  <c r="H67" i="1"/>
  <c r="J67" i="1" s="1"/>
  <c r="Q66" i="1"/>
  <c r="P66" i="1"/>
  <c r="H66" i="1"/>
  <c r="J66" i="1" s="1"/>
  <c r="Q65" i="1"/>
  <c r="R65" i="1" s="1"/>
  <c r="H65" i="1"/>
  <c r="J65" i="1" s="1"/>
  <c r="Q64" i="1"/>
  <c r="R64" i="1" s="1"/>
  <c r="H64" i="1"/>
  <c r="J64" i="1" s="1"/>
  <c r="Q63" i="1"/>
  <c r="R63" i="1" s="1"/>
  <c r="H63" i="1"/>
  <c r="J63" i="1" s="1"/>
  <c r="K63" i="1" s="1"/>
  <c r="Q62" i="1"/>
  <c r="P62" i="1"/>
  <c r="H62" i="1"/>
  <c r="J62" i="1" s="1"/>
  <c r="Q61" i="1"/>
  <c r="P61" i="1"/>
  <c r="H61" i="1"/>
  <c r="J61" i="1" s="1"/>
  <c r="Q60" i="1"/>
  <c r="P60" i="1"/>
  <c r="H60" i="1"/>
  <c r="J60" i="1" s="1"/>
  <c r="K60" i="1" s="1"/>
  <c r="Q59" i="1"/>
  <c r="R59" i="1" s="1"/>
  <c r="H59" i="1"/>
  <c r="J59" i="1" s="1"/>
  <c r="K59" i="1" s="1"/>
  <c r="Q58" i="1"/>
  <c r="P58" i="1"/>
  <c r="H58" i="1"/>
  <c r="J58" i="1" s="1"/>
  <c r="K58" i="1" s="1"/>
  <c r="Q57" i="1"/>
  <c r="P57" i="1"/>
  <c r="H57" i="1"/>
  <c r="J57" i="1" s="1"/>
  <c r="Q56" i="1"/>
  <c r="R56" i="1" s="1"/>
  <c r="H56" i="1"/>
  <c r="J56" i="1" s="1"/>
  <c r="Q55" i="1"/>
  <c r="P55" i="1"/>
  <c r="H55" i="1"/>
  <c r="J55" i="1" s="1"/>
  <c r="Q54" i="1"/>
  <c r="R54" i="1" s="1"/>
  <c r="H54" i="1"/>
  <c r="J54" i="1" s="1"/>
  <c r="K54" i="1" s="1"/>
  <c r="Q53" i="1"/>
  <c r="P53" i="1"/>
  <c r="H53" i="1"/>
  <c r="J53" i="1" s="1"/>
  <c r="K53" i="1" s="1"/>
  <c r="Q52" i="1"/>
  <c r="R52" i="1" s="1"/>
  <c r="H52" i="1"/>
  <c r="J52" i="1" s="1"/>
  <c r="K52" i="1" s="1"/>
  <c r="Q51" i="1"/>
  <c r="R51" i="1" s="1"/>
  <c r="H51" i="1"/>
  <c r="J51" i="1" s="1"/>
  <c r="K51" i="1" s="1"/>
  <c r="Q50" i="1"/>
  <c r="R50" i="1" s="1"/>
  <c r="H50" i="1"/>
  <c r="J50" i="1" s="1"/>
  <c r="Q49" i="1"/>
  <c r="P49" i="1"/>
  <c r="H49" i="1"/>
  <c r="J49" i="1" s="1"/>
  <c r="K49" i="1" s="1"/>
  <c r="Q48" i="1"/>
  <c r="P48" i="1"/>
  <c r="H48" i="1"/>
  <c r="J48" i="1" s="1"/>
  <c r="K48" i="1" s="1"/>
  <c r="Q47" i="1"/>
  <c r="P47" i="1"/>
  <c r="H47" i="1"/>
  <c r="J47" i="1" s="1"/>
  <c r="K47" i="1" s="1"/>
  <c r="Q46" i="1"/>
  <c r="P46" i="1"/>
  <c r="H46" i="1"/>
  <c r="J46" i="1" s="1"/>
  <c r="K46" i="1" s="1"/>
  <c r="Q45" i="1"/>
  <c r="P45" i="1"/>
  <c r="H45" i="1"/>
  <c r="J45" i="1" s="1"/>
  <c r="Q44" i="1"/>
  <c r="P44" i="1"/>
  <c r="H44" i="1"/>
  <c r="J44" i="1" s="1"/>
  <c r="K44" i="1" s="1"/>
  <c r="Q43" i="1"/>
  <c r="P43" i="1"/>
  <c r="H43" i="1"/>
  <c r="J43" i="1" s="1"/>
  <c r="Q42" i="1"/>
  <c r="P42" i="1"/>
  <c r="H42" i="1"/>
  <c r="J42" i="1" s="1"/>
  <c r="K42" i="1" s="1"/>
  <c r="Q41" i="1"/>
  <c r="P41" i="1"/>
  <c r="H41" i="1"/>
  <c r="J41" i="1" s="1"/>
  <c r="K41" i="1" s="1"/>
  <c r="Q40" i="1"/>
  <c r="P40" i="1"/>
  <c r="H40" i="1"/>
  <c r="J40" i="1" s="1"/>
  <c r="K40" i="1" s="1"/>
  <c r="Q39" i="1"/>
  <c r="P39" i="1"/>
  <c r="H39" i="1"/>
  <c r="J39" i="1" s="1"/>
  <c r="K39" i="1" s="1"/>
  <c r="Q38" i="1"/>
  <c r="P38" i="1"/>
  <c r="H38" i="1"/>
  <c r="J38" i="1" s="1"/>
  <c r="Q37" i="1"/>
  <c r="P37" i="1"/>
  <c r="H37" i="1"/>
  <c r="J37" i="1" s="1"/>
  <c r="Q36" i="1"/>
  <c r="P36" i="1"/>
  <c r="H36" i="1"/>
  <c r="J36" i="1" s="1"/>
  <c r="K36" i="1" s="1"/>
  <c r="Q35" i="1"/>
  <c r="P35" i="1"/>
  <c r="H35" i="1"/>
  <c r="J35" i="1" s="1"/>
  <c r="Q34" i="1"/>
  <c r="P34" i="1"/>
  <c r="H34" i="1"/>
  <c r="J34" i="1" s="1"/>
  <c r="K34" i="1" s="1"/>
  <c r="Q33" i="1"/>
  <c r="P33" i="1"/>
  <c r="H33" i="1"/>
  <c r="J33" i="1" s="1"/>
  <c r="K33" i="1" s="1"/>
  <c r="Q32" i="1"/>
  <c r="P32" i="1"/>
  <c r="H32" i="1"/>
  <c r="J32" i="1" s="1"/>
  <c r="K32" i="1" s="1"/>
  <c r="Q31" i="1"/>
  <c r="P31" i="1"/>
  <c r="H31" i="1"/>
  <c r="J31" i="1" s="1"/>
  <c r="K31" i="1" s="1"/>
  <c r="Q30" i="1"/>
  <c r="P30" i="1"/>
  <c r="H30" i="1"/>
  <c r="J30" i="1" s="1"/>
  <c r="K30" i="1" s="1"/>
  <c r="Q29" i="1"/>
  <c r="P29" i="1"/>
  <c r="H29" i="1"/>
  <c r="J29" i="1" s="1"/>
  <c r="K29" i="1" s="1"/>
  <c r="Q28" i="1"/>
  <c r="R28" i="1" s="1"/>
  <c r="H28" i="1"/>
  <c r="J28" i="1" s="1"/>
  <c r="Q27" i="1"/>
  <c r="P27" i="1"/>
  <c r="H27" i="1"/>
  <c r="J27" i="1" s="1"/>
  <c r="K27" i="1" s="1"/>
  <c r="Q26" i="1"/>
  <c r="R26" i="1" s="1"/>
  <c r="H26" i="1"/>
  <c r="J26" i="1" s="1"/>
  <c r="K26" i="1" s="1"/>
  <c r="Q25" i="1"/>
  <c r="P25" i="1"/>
  <c r="H25" i="1"/>
  <c r="J25" i="1" s="1"/>
  <c r="Q24" i="1"/>
  <c r="P24" i="1"/>
  <c r="H24" i="1"/>
  <c r="J24" i="1" s="1"/>
  <c r="K24" i="1" s="1"/>
  <c r="Q23" i="1"/>
  <c r="P23" i="1"/>
  <c r="H23" i="1"/>
  <c r="J23" i="1" s="1"/>
  <c r="K23" i="1" s="1"/>
  <c r="Q22" i="1"/>
  <c r="P22" i="1"/>
  <c r="H22" i="1"/>
  <c r="J22" i="1" s="1"/>
  <c r="Q21" i="1"/>
  <c r="P21" i="1"/>
  <c r="H21" i="1"/>
  <c r="J21" i="1" s="1"/>
  <c r="K21" i="1" s="1"/>
  <c r="Q20" i="1"/>
  <c r="R20" i="1" s="1"/>
  <c r="H20" i="1"/>
  <c r="J20" i="1" s="1"/>
  <c r="K20" i="1" s="1"/>
  <c r="Q19" i="1"/>
  <c r="R19" i="1" s="1"/>
  <c r="H19" i="1"/>
  <c r="J19" i="1" s="1"/>
  <c r="K19" i="1" s="1"/>
  <c r="Q18" i="1"/>
  <c r="R18" i="1" s="1"/>
  <c r="H18" i="1"/>
  <c r="J18" i="1" s="1"/>
  <c r="K18" i="1" s="1"/>
  <c r="Q17" i="1"/>
  <c r="P17" i="1"/>
  <c r="H17" i="1"/>
  <c r="J17" i="1" s="1"/>
  <c r="Q16" i="1"/>
  <c r="P16" i="1"/>
  <c r="H16" i="1"/>
  <c r="J16" i="1" s="1"/>
  <c r="Q15" i="1"/>
  <c r="P15" i="1"/>
  <c r="H15" i="1"/>
  <c r="J15" i="1" s="1"/>
  <c r="K15" i="1" s="1"/>
  <c r="Q14" i="1"/>
  <c r="P14" i="1"/>
  <c r="H14" i="1"/>
  <c r="J14" i="1" s="1"/>
  <c r="K14" i="1" s="1"/>
  <c r="Q13" i="1"/>
  <c r="P13" i="1"/>
  <c r="H13" i="1"/>
  <c r="J13" i="1" s="1"/>
  <c r="K13" i="1" s="1"/>
  <c r="Q12" i="1"/>
  <c r="P12" i="1"/>
  <c r="H12" i="1"/>
  <c r="J12" i="1" s="1"/>
  <c r="K12" i="1" s="1"/>
  <c r="Q11" i="1"/>
  <c r="P11" i="1"/>
  <c r="H11" i="1"/>
  <c r="J11" i="1" s="1"/>
  <c r="Q10" i="1"/>
  <c r="P10" i="1"/>
  <c r="H10" i="1"/>
  <c r="J10" i="1" s="1"/>
  <c r="K10" i="1" s="1"/>
  <c r="Q9" i="1"/>
  <c r="P9" i="1"/>
  <c r="H9" i="1"/>
  <c r="J9" i="1" s="1"/>
  <c r="Q8" i="1"/>
  <c r="R8" i="1" s="1"/>
  <c r="H8" i="1"/>
  <c r="J8" i="1" s="1"/>
  <c r="Q7" i="1"/>
  <c r="R7" i="1" s="1"/>
  <c r="H7" i="1"/>
  <c r="J7" i="1" s="1"/>
  <c r="K7" i="1" s="1"/>
  <c r="Q6" i="1"/>
  <c r="P6" i="1"/>
  <c r="H6" i="1"/>
  <c r="J6" i="1" s="1"/>
  <c r="Q5" i="1"/>
  <c r="P5" i="1"/>
  <c r="H5" i="1"/>
  <c r="J5" i="1" s="1"/>
  <c r="Q4" i="1"/>
  <c r="P4" i="1"/>
  <c r="H4" i="1"/>
  <c r="J4" i="1" s="1"/>
  <c r="Q3" i="1"/>
  <c r="P3" i="1"/>
  <c r="H3" i="1"/>
  <c r="J3" i="1" s="1"/>
  <c r="Q2" i="1"/>
  <c r="R2" i="1" s="1"/>
  <c r="H2" i="1"/>
  <c r="J2" i="1" s="1"/>
  <c r="K2" i="1" s="1"/>
  <c r="R109" i="1" l="1"/>
  <c r="S109" i="1" s="1"/>
  <c r="R17" i="1"/>
  <c r="S17" i="1" s="1"/>
  <c r="R24" i="1"/>
  <c r="S24" i="1" s="1"/>
  <c r="R72" i="1"/>
  <c r="S72" i="1" s="1"/>
  <c r="R76" i="1"/>
  <c r="S76" i="1" s="1"/>
  <c r="R78" i="1"/>
  <c r="S78" i="1" s="1"/>
  <c r="R21" i="1"/>
  <c r="S21" i="1" s="1"/>
  <c r="R23" i="1"/>
  <c r="S23" i="1" s="1"/>
  <c r="R25" i="1"/>
  <c r="S25" i="1" s="1"/>
  <c r="R100" i="1"/>
  <c r="S100" i="1" s="1"/>
  <c r="R164" i="1"/>
  <c r="S164" i="1" s="1"/>
  <c r="R57" i="1"/>
  <c r="S57" i="1" s="1"/>
  <c r="R117" i="1"/>
  <c r="S117" i="1" s="1"/>
  <c r="R174" i="1"/>
  <c r="S174" i="1" s="1"/>
  <c r="R43" i="1"/>
  <c r="S43" i="1" s="1"/>
  <c r="R45" i="1"/>
  <c r="S45" i="1" s="1"/>
  <c r="R71" i="1"/>
  <c r="S71" i="1" s="1"/>
  <c r="R75" i="1"/>
  <c r="S75" i="1" s="1"/>
  <c r="R77" i="1"/>
  <c r="S77" i="1" s="1"/>
  <c r="R90" i="1"/>
  <c r="S90" i="1" s="1"/>
  <c r="R170" i="1"/>
  <c r="S170" i="1" s="1"/>
  <c r="R172" i="1"/>
  <c r="S172" i="1" s="1"/>
  <c r="R42" i="1"/>
  <c r="S42" i="1" s="1"/>
  <c r="R53" i="1"/>
  <c r="S53" i="1" s="1"/>
  <c r="R171" i="1"/>
  <c r="S171" i="1" s="1"/>
  <c r="R58" i="1"/>
  <c r="S58" i="1" s="1"/>
  <c r="S54" i="1"/>
  <c r="R29" i="1"/>
  <c r="S29" i="1" s="1"/>
  <c r="R33" i="1"/>
  <c r="S33" i="1" s="1"/>
  <c r="R37" i="1"/>
  <c r="S37" i="1" s="1"/>
  <c r="R39" i="1"/>
  <c r="S39" i="1" s="1"/>
  <c r="R127" i="1"/>
  <c r="S127" i="1" s="1"/>
  <c r="R134" i="1"/>
  <c r="S134" i="1" s="1"/>
  <c r="R143" i="1"/>
  <c r="S143" i="1" s="1"/>
  <c r="R146" i="1"/>
  <c r="S146" i="1" s="1"/>
  <c r="R148" i="1"/>
  <c r="S148" i="1" s="1"/>
  <c r="R150" i="1"/>
  <c r="S150" i="1" s="1"/>
  <c r="R152" i="1"/>
  <c r="S152" i="1" s="1"/>
  <c r="R154" i="1"/>
  <c r="S154" i="1" s="1"/>
  <c r="R161" i="1"/>
  <c r="S161" i="1" s="1"/>
  <c r="R47" i="1"/>
  <c r="S47" i="1" s="1"/>
  <c r="R118" i="1"/>
  <c r="S118" i="1" s="1"/>
  <c r="R74" i="1"/>
  <c r="S74" i="1" s="1"/>
  <c r="R31" i="1"/>
  <c r="S31" i="1" s="1"/>
  <c r="S98" i="1"/>
  <c r="R4" i="1"/>
  <c r="S4" i="1" s="1"/>
  <c r="R60" i="1"/>
  <c r="S60" i="1" s="1"/>
  <c r="R62" i="1"/>
  <c r="S62" i="1" s="1"/>
  <c r="S65" i="1"/>
  <c r="R67" i="1"/>
  <c r="S67" i="1" s="1"/>
  <c r="R102" i="1"/>
  <c r="S102" i="1" s="1"/>
  <c r="R123" i="1"/>
  <c r="S123" i="1" s="1"/>
  <c r="S130" i="1"/>
  <c r="R137" i="1"/>
  <c r="S137" i="1" s="1"/>
  <c r="R141" i="1"/>
  <c r="S141" i="1" s="1"/>
  <c r="R13" i="1"/>
  <c r="S13" i="1" s="1"/>
  <c r="R34" i="1"/>
  <c r="S34" i="1" s="1"/>
  <c r="R40" i="1"/>
  <c r="S40" i="1" s="1"/>
  <c r="R121" i="1"/>
  <c r="S121" i="1" s="1"/>
  <c r="R157" i="1"/>
  <c r="S157" i="1" s="1"/>
  <c r="R159" i="1"/>
  <c r="S159" i="1" s="1"/>
  <c r="R3" i="1"/>
  <c r="S3" i="1" s="1"/>
  <c r="R15" i="1"/>
  <c r="S15" i="1" s="1"/>
  <c r="R87" i="1"/>
  <c r="S87" i="1" s="1"/>
  <c r="R89" i="1"/>
  <c r="S89" i="1" s="1"/>
  <c r="R91" i="1"/>
  <c r="S91" i="1" s="1"/>
  <c r="R97" i="1"/>
  <c r="S97" i="1" s="1"/>
  <c r="R131" i="1"/>
  <c r="S131" i="1" s="1"/>
  <c r="R151" i="1"/>
  <c r="S151" i="1" s="1"/>
  <c r="R162" i="1"/>
  <c r="S162" i="1" s="1"/>
  <c r="R81" i="1"/>
  <c r="S81" i="1" s="1"/>
  <c r="R93" i="1"/>
  <c r="S93" i="1" s="1"/>
  <c r="R120" i="1"/>
  <c r="S120" i="1" s="1"/>
  <c r="S7" i="1"/>
  <c r="R55" i="1"/>
  <c r="S55" i="1" s="1"/>
  <c r="R10" i="1"/>
  <c r="S10" i="1" s="1"/>
  <c r="R27" i="1"/>
  <c r="S27" i="1" s="1"/>
  <c r="R38" i="1"/>
  <c r="S38" i="1" s="1"/>
  <c r="R48" i="1"/>
  <c r="S48" i="1" s="1"/>
  <c r="S50" i="1"/>
  <c r="R113" i="1"/>
  <c r="S113" i="1" s="1"/>
  <c r="R132" i="1"/>
  <c r="S132" i="1" s="1"/>
  <c r="R149" i="1"/>
  <c r="S149" i="1" s="1"/>
  <c r="R84" i="1"/>
  <c r="S84" i="1" s="1"/>
  <c r="R103" i="1"/>
  <c r="S103" i="1" s="1"/>
  <c r="R105" i="1"/>
  <c r="S105" i="1" s="1"/>
  <c r="R156" i="1"/>
  <c r="S156" i="1" s="1"/>
  <c r="S8" i="1"/>
  <c r="S19" i="1"/>
  <c r="R69" i="1"/>
  <c r="S69" i="1" s="1"/>
  <c r="S114" i="1"/>
  <c r="S125" i="1"/>
  <c r="R61" i="1"/>
  <c r="S61" i="1" s="1"/>
  <c r="K115" i="1"/>
  <c r="S20" i="1"/>
  <c r="K45" i="1"/>
  <c r="S56" i="1"/>
  <c r="K56" i="1"/>
  <c r="K119" i="1"/>
  <c r="S119" i="1"/>
  <c r="K55" i="1"/>
  <c r="K108" i="1"/>
  <c r="S108" i="1"/>
  <c r="K118" i="1"/>
  <c r="K126" i="1"/>
  <c r="S126" i="1"/>
  <c r="K141" i="1"/>
  <c r="R49" i="1"/>
  <c r="S49" i="1" s="1"/>
  <c r="R128" i="1"/>
  <c r="S128" i="1" s="1"/>
  <c r="S139" i="1"/>
  <c r="R14" i="1"/>
  <c r="S14" i="1" s="1"/>
  <c r="S85" i="1"/>
  <c r="K17" i="1"/>
  <c r="R16" i="1"/>
  <c r="S16" i="1" s="1"/>
  <c r="R32" i="1"/>
  <c r="S32" i="1" s="1"/>
  <c r="K85" i="1"/>
  <c r="K98" i="1"/>
  <c r="K151" i="1"/>
  <c r="S158" i="1"/>
  <c r="K3" i="1"/>
  <c r="S2" i="1"/>
  <c r="R12" i="1"/>
  <c r="S12" i="1" s="1"/>
  <c r="R36" i="1"/>
  <c r="S36" i="1" s="1"/>
  <c r="R41" i="1"/>
  <c r="S41" i="1" s="1"/>
  <c r="S52" i="1"/>
  <c r="K61" i="1"/>
  <c r="K69" i="1"/>
  <c r="R70" i="1"/>
  <c r="S70" i="1" s="1"/>
  <c r="R115" i="1"/>
  <c r="S115" i="1" s="1"/>
  <c r="R116" i="1"/>
  <c r="S116" i="1" s="1"/>
  <c r="K158" i="1"/>
  <c r="K38" i="1"/>
  <c r="R5" i="1"/>
  <c r="S5" i="1" s="1"/>
  <c r="S18" i="1"/>
  <c r="R35" i="1"/>
  <c r="S35" i="1" s="1"/>
  <c r="R44" i="1"/>
  <c r="S44" i="1" s="1"/>
  <c r="S51" i="1"/>
  <c r="R66" i="1"/>
  <c r="S66" i="1" s="1"/>
  <c r="R88" i="1"/>
  <c r="S88" i="1" s="1"/>
  <c r="R101" i="1"/>
  <c r="S101" i="1" s="1"/>
  <c r="R112" i="1"/>
  <c r="S112" i="1" s="1"/>
  <c r="R138" i="1"/>
  <c r="S138" i="1" s="1"/>
  <c r="R140" i="1"/>
  <c r="S140" i="1" s="1"/>
  <c r="R167" i="1"/>
  <c r="S167" i="1" s="1"/>
  <c r="S173" i="1"/>
  <c r="K173" i="1"/>
  <c r="K140" i="1"/>
  <c r="K160" i="1"/>
  <c r="S160" i="1"/>
  <c r="K130" i="1"/>
  <c r="K139" i="1"/>
  <c r="K128" i="1"/>
  <c r="K6" i="1"/>
  <c r="K62" i="1"/>
  <c r="K4" i="1"/>
  <c r="K43" i="1"/>
  <c r="K9" i="1"/>
  <c r="K16" i="1"/>
  <c r="K35" i="1"/>
  <c r="K167" i="1"/>
  <c r="S169" i="1"/>
  <c r="K169" i="1"/>
  <c r="K11" i="1"/>
  <c r="S59" i="1"/>
  <c r="S63" i="1"/>
  <c r="K77" i="1"/>
  <c r="S83" i="1"/>
  <c r="K90" i="1"/>
  <c r="S96" i="1"/>
  <c r="K103" i="1"/>
  <c r="R107" i="1"/>
  <c r="S107" i="1" s="1"/>
  <c r="K123" i="1"/>
  <c r="K134" i="1"/>
  <c r="S136" i="1"/>
  <c r="K136" i="1"/>
  <c r="R147" i="1"/>
  <c r="S147" i="1" s="1"/>
  <c r="R165" i="1"/>
  <c r="S165" i="1" s="1"/>
  <c r="K171" i="1"/>
  <c r="K93" i="1"/>
  <c r="S110" i="1"/>
  <c r="K110" i="1"/>
  <c r="K145" i="1"/>
  <c r="S145" i="1"/>
  <c r="R11" i="1"/>
  <c r="S11" i="1" s="1"/>
  <c r="S80" i="1"/>
  <c r="R82" i="1"/>
  <c r="S82" i="1" s="1"/>
  <c r="R95" i="1"/>
  <c r="S95" i="1" s="1"/>
  <c r="K105" i="1"/>
  <c r="K138" i="1"/>
  <c r="S163" i="1"/>
  <c r="K163" i="1"/>
  <c r="S28" i="1"/>
  <c r="K28" i="1"/>
  <c r="K66" i="1"/>
  <c r="K111" i="1"/>
  <c r="S111" i="1"/>
  <c r="S26" i="1"/>
  <c r="K37" i="1"/>
  <c r="K57" i="1"/>
  <c r="S68" i="1"/>
  <c r="K68" i="1"/>
  <c r="K76" i="1"/>
  <c r="K79" i="1"/>
  <c r="K89" i="1"/>
  <c r="K92" i="1"/>
  <c r="K102" i="1"/>
  <c r="K127" i="1"/>
  <c r="K129" i="1"/>
  <c r="S129" i="1"/>
  <c r="S142" i="1"/>
  <c r="K142" i="1"/>
  <c r="S168" i="1"/>
  <c r="K172" i="1"/>
  <c r="K22" i="1"/>
  <c r="K25" i="1"/>
  <c r="R22" i="1"/>
  <c r="S22" i="1" s="1"/>
  <c r="S64" i="1"/>
  <c r="K64" i="1"/>
  <c r="R79" i="1"/>
  <c r="S79" i="1" s="1"/>
  <c r="R92" i="1"/>
  <c r="S92" i="1" s="1"/>
  <c r="S94" i="1"/>
  <c r="S135" i="1"/>
  <c r="S144" i="1"/>
  <c r="K144" i="1"/>
  <c r="R153" i="1"/>
  <c r="S153" i="1" s="1"/>
  <c r="S155" i="1"/>
  <c r="K155" i="1"/>
  <c r="K164" i="1"/>
  <c r="R6" i="1"/>
  <c r="S6" i="1" s="1"/>
  <c r="R30" i="1"/>
  <c r="S30" i="1" s="1"/>
  <c r="R73" i="1"/>
  <c r="S73" i="1" s="1"/>
  <c r="R86" i="1"/>
  <c r="S86" i="1" s="1"/>
  <c r="R99" i="1"/>
  <c r="S99" i="1" s="1"/>
  <c r="K117" i="1"/>
  <c r="S122" i="1"/>
  <c r="K122" i="1"/>
  <c r="S133" i="1"/>
  <c r="K133" i="1"/>
  <c r="K157" i="1"/>
  <c r="R9" i="1"/>
  <c r="S9" i="1" s="1"/>
  <c r="R46" i="1"/>
  <c r="S46" i="1" s="1"/>
  <c r="K72" i="1"/>
  <c r="S104" i="1"/>
  <c r="K104" i="1"/>
  <c r="R124" i="1"/>
  <c r="S124" i="1" s="1"/>
  <c r="K150" i="1"/>
  <c r="K152" i="1"/>
  <c r="K120" i="1"/>
  <c r="K131" i="1"/>
  <c r="K148" i="1"/>
  <c r="K161" i="1"/>
  <c r="W746" i="7" l="1"/>
  <c r="Z746" i="7"/>
  <c r="AA746" i="7" s="1"/>
</calcChain>
</file>

<file path=xl/sharedStrings.xml><?xml version="1.0" encoding="utf-8"?>
<sst xmlns="http://schemas.openxmlformats.org/spreadsheetml/2006/main" count="36787" uniqueCount="7066">
  <si>
    <t>日付</t>
    <rPh sb="0" eb="2">
      <t>ヒヅケ</t>
    </rPh>
    <phoneticPr fontId="4"/>
  </si>
  <si>
    <t>お客様名</t>
    <rPh sb="1" eb="3">
      <t>キャクサマ</t>
    </rPh>
    <rPh sb="3" eb="4">
      <t>メイ</t>
    </rPh>
    <phoneticPr fontId="4"/>
  </si>
  <si>
    <t>品目</t>
    <rPh sb="0" eb="2">
      <t>ヒンモク</t>
    </rPh>
    <phoneticPr fontId="4"/>
  </si>
  <si>
    <t>メーカー名</t>
    <rPh sb="4" eb="5">
      <t>メイ</t>
    </rPh>
    <phoneticPr fontId="4"/>
  </si>
  <si>
    <t>品名</t>
    <rPh sb="0" eb="2">
      <t>ヒンメイ</t>
    </rPh>
    <phoneticPr fontId="4"/>
  </si>
  <si>
    <t>定価</t>
    <rPh sb="0" eb="2">
      <t>テイカ</t>
    </rPh>
    <phoneticPr fontId="4"/>
  </si>
  <si>
    <t>割引額</t>
    <rPh sb="0" eb="2">
      <t>ワリビキ</t>
    </rPh>
    <rPh sb="2" eb="3">
      <t>ガク</t>
    </rPh>
    <phoneticPr fontId="4"/>
  </si>
  <si>
    <t>売価</t>
    <rPh sb="0" eb="2">
      <t>バイカ</t>
    </rPh>
    <phoneticPr fontId="4"/>
  </si>
  <si>
    <t>個数</t>
    <rPh sb="0" eb="2">
      <t>コスウ</t>
    </rPh>
    <phoneticPr fontId="4"/>
  </si>
  <si>
    <t>金額</t>
    <rPh sb="0" eb="2">
      <t>キンガク</t>
    </rPh>
    <phoneticPr fontId="4"/>
  </si>
  <si>
    <t>税込</t>
    <rPh sb="0" eb="2">
      <t>ゼイコ</t>
    </rPh>
    <phoneticPr fontId="4"/>
  </si>
  <si>
    <t>支払い方法</t>
    <rPh sb="0" eb="2">
      <t>シハラ</t>
    </rPh>
    <rPh sb="3" eb="5">
      <t>ホウホウ</t>
    </rPh>
    <phoneticPr fontId="4"/>
  </si>
  <si>
    <t>備考</t>
    <rPh sb="0" eb="2">
      <t>ビコウ</t>
    </rPh>
    <phoneticPr fontId="4"/>
  </si>
  <si>
    <t>掛け率</t>
    <rPh sb="0" eb="1">
      <t>カ</t>
    </rPh>
    <rPh sb="2" eb="3">
      <t>リツ</t>
    </rPh>
    <phoneticPr fontId="4"/>
  </si>
  <si>
    <t>仕入れ</t>
    <rPh sb="0" eb="2">
      <t>シイ</t>
    </rPh>
    <phoneticPr fontId="4"/>
  </si>
  <si>
    <t>粗利</t>
    <rPh sb="0" eb="2">
      <t>アラリ</t>
    </rPh>
    <phoneticPr fontId="4"/>
  </si>
  <si>
    <t>堂丸　康一様</t>
    <rPh sb="0" eb="2">
      <t>ドウマル</t>
    </rPh>
    <rPh sb="3" eb="4">
      <t>コウ</t>
    </rPh>
    <rPh sb="4" eb="5">
      <t>イチ</t>
    </rPh>
    <rPh sb="5" eb="6">
      <t>サマ</t>
    </rPh>
    <phoneticPr fontId="4"/>
  </si>
  <si>
    <t>販売</t>
    <rPh sb="0" eb="2">
      <t>ハンバイ</t>
    </rPh>
    <phoneticPr fontId="4"/>
  </si>
  <si>
    <t>グローブ</t>
  </si>
  <si>
    <t>ZERO FIT グローブ</t>
  </si>
  <si>
    <t>現金</t>
    <rPh sb="0" eb="2">
      <t>ゲンキン</t>
    </rPh>
    <phoneticPr fontId="4"/>
  </si>
  <si>
    <t>大道　勝久様</t>
    <rPh sb="0" eb="2">
      <t>オオミチ</t>
    </rPh>
    <rPh sb="3" eb="4">
      <t>カツ</t>
    </rPh>
    <rPh sb="4" eb="5">
      <t>ヒサ</t>
    </rPh>
    <rPh sb="5" eb="6">
      <t>サマ</t>
    </rPh>
    <phoneticPr fontId="4"/>
  </si>
  <si>
    <t>利用料</t>
    <rPh sb="0" eb="3">
      <t>リヨウリョウ</t>
    </rPh>
    <phoneticPr fontId="4"/>
  </si>
  <si>
    <t>フィッティング</t>
  </si>
  <si>
    <t>55分（登録プロ紹介）</t>
  </si>
  <si>
    <t>Airペイ</t>
  </si>
  <si>
    <t>金山　徳和様</t>
    <rPh sb="0" eb="2">
      <t>カナヤマ</t>
    </rPh>
    <rPh sb="3" eb="4">
      <t>トク</t>
    </rPh>
    <rPh sb="4" eb="5">
      <t>カズ</t>
    </rPh>
    <rPh sb="5" eb="6">
      <t>サマ</t>
    </rPh>
    <phoneticPr fontId="4"/>
  </si>
  <si>
    <t>月会費</t>
  </si>
  <si>
    <t>月会費（定額制）</t>
  </si>
  <si>
    <t>レギュラー　0.75ケ月</t>
  </si>
  <si>
    <t>入会金</t>
  </si>
  <si>
    <t>※税込み￥11,000に修正</t>
    <rPh sb="1" eb="3">
      <t>ゼイコ</t>
    </rPh>
    <rPh sb="12" eb="14">
      <t>シュウセイ</t>
    </rPh>
    <phoneticPr fontId="4"/>
  </si>
  <si>
    <t>シャフト</t>
  </si>
  <si>
    <t>フジクラ</t>
  </si>
  <si>
    <t>Square</t>
  </si>
  <si>
    <t>グリップCADERO</t>
  </si>
  <si>
    <t>2×2 UT ペンタゴン　スター入　有</t>
  </si>
  <si>
    <t>木村　稔様</t>
    <rPh sb="0" eb="2">
      <t>キムラ</t>
    </rPh>
    <rPh sb="3" eb="4">
      <t>ミノル</t>
    </rPh>
    <rPh sb="4" eb="5">
      <t>サマ</t>
    </rPh>
    <phoneticPr fontId="4"/>
  </si>
  <si>
    <t>フォーサリンクス レザー</t>
  </si>
  <si>
    <t>※税込み￥2,129に修正</t>
    <rPh sb="1" eb="3">
      <t>ゼイコ</t>
    </rPh>
    <rPh sb="11" eb="13">
      <t>シュウセイ</t>
    </rPh>
    <phoneticPr fontId="4"/>
  </si>
  <si>
    <t>杣田　健一様</t>
    <rPh sb="0" eb="2">
      <t>ソマダ</t>
    </rPh>
    <rPh sb="3" eb="5">
      <t>ケンイチ</t>
    </rPh>
    <rPh sb="5" eb="6">
      <t>サマ</t>
    </rPh>
    <phoneticPr fontId="4"/>
  </si>
  <si>
    <t>110分（登録プロ紹介）</t>
  </si>
  <si>
    <t>天野　真知子様</t>
    <rPh sb="0" eb="2">
      <t>アマノ</t>
    </rPh>
    <rPh sb="3" eb="6">
      <t>マチコ</t>
    </rPh>
    <rPh sb="6" eb="7">
      <t>サマ</t>
    </rPh>
    <phoneticPr fontId="4"/>
  </si>
  <si>
    <t>三菱ケミカル</t>
  </si>
  <si>
    <t>ARCH</t>
  </si>
  <si>
    <t>グリップ IOMIC</t>
  </si>
  <si>
    <t>Sticky Evolution2.3 BL 無</t>
  </si>
  <si>
    <t>梅本　鉄兵</t>
    <rPh sb="0" eb="2">
      <t>ウメモト</t>
    </rPh>
    <rPh sb="3" eb="4">
      <t>テツ</t>
    </rPh>
    <rPh sb="4" eb="5">
      <t>ヘイ</t>
    </rPh>
    <phoneticPr fontId="4"/>
  </si>
  <si>
    <t>打席利用</t>
  </si>
  <si>
    <t>体験利用</t>
  </si>
  <si>
    <t>試打  無制限</t>
  </si>
  <si>
    <t>パーソナルレッスン</t>
  </si>
  <si>
    <t>P/L会員　55分</t>
  </si>
  <si>
    <t>トゥルーテンパー</t>
  </si>
  <si>
    <t>東田様　</t>
    <rPh sb="0" eb="1">
      <t>ヒガシ</t>
    </rPh>
    <rPh sb="1" eb="2">
      <t>ダ</t>
    </rPh>
    <rPh sb="2" eb="3">
      <t>サマ</t>
    </rPh>
    <phoneticPr fontId="4"/>
  </si>
  <si>
    <t>ボール</t>
  </si>
  <si>
    <t>TOUR　BX</t>
  </si>
  <si>
    <t>スリクソン　Z-STAR XV</t>
  </si>
  <si>
    <t>髙田　稔様</t>
    <rPh sb="0" eb="2">
      <t>タカダ</t>
    </rPh>
    <rPh sb="3" eb="4">
      <t>ミノル</t>
    </rPh>
    <rPh sb="4" eb="5">
      <t>サマ</t>
    </rPh>
    <phoneticPr fontId="4"/>
  </si>
  <si>
    <t>工賃</t>
    <rPh sb="0" eb="2">
      <t>コウチン</t>
    </rPh>
    <phoneticPr fontId="4"/>
  </si>
  <si>
    <t>工賃</t>
  </si>
  <si>
    <t>その他特別作業</t>
  </si>
  <si>
    <t>内藤様</t>
    <rPh sb="0" eb="2">
      <t>ナイトウ</t>
    </rPh>
    <rPh sb="2" eb="3">
      <t>サマ</t>
    </rPh>
    <phoneticPr fontId="4"/>
  </si>
  <si>
    <t>ビジター（会員家族）</t>
  </si>
  <si>
    <t>喜田　徹様</t>
    <rPh sb="0" eb="2">
      <t>キダ</t>
    </rPh>
    <rPh sb="3" eb="4">
      <t>トオル</t>
    </rPh>
    <rPh sb="4" eb="5">
      <t>サマ</t>
    </rPh>
    <phoneticPr fontId="4"/>
  </si>
  <si>
    <t>グリップ GOLF PRIDE</t>
  </si>
  <si>
    <t>Tour velvet ラバー</t>
  </si>
  <si>
    <t>志野さん</t>
    <rPh sb="0" eb="2">
      <t>シノ</t>
    </rPh>
    <phoneticPr fontId="4"/>
  </si>
  <si>
    <t>パターキャッチャー</t>
  </si>
  <si>
    <t>ハンドメイド</t>
  </si>
  <si>
    <t>播磨　久美子様</t>
    <rPh sb="0" eb="2">
      <t>ハリマ</t>
    </rPh>
    <rPh sb="3" eb="6">
      <t>クミコ</t>
    </rPh>
    <rPh sb="6" eb="7">
      <t>サマ</t>
    </rPh>
    <phoneticPr fontId="4"/>
  </si>
  <si>
    <t>Iomic グリップ</t>
  </si>
  <si>
    <t>藤井　純子様</t>
    <rPh sb="0" eb="2">
      <t>フジイ</t>
    </rPh>
    <rPh sb="3" eb="5">
      <t>ジュンコ</t>
    </rPh>
    <rPh sb="5" eb="6">
      <t>サマ</t>
    </rPh>
    <phoneticPr fontId="4"/>
  </si>
  <si>
    <t>休会 事務手数料</t>
  </si>
  <si>
    <t>荒川　直美様</t>
    <rPh sb="0" eb="2">
      <t>アラカワ</t>
    </rPh>
    <rPh sb="3" eb="5">
      <t>ナオミ</t>
    </rPh>
    <rPh sb="5" eb="6">
      <t>サマ</t>
    </rPh>
    <phoneticPr fontId="4"/>
  </si>
  <si>
    <t>レギュラー　0.5ケ月</t>
  </si>
  <si>
    <t>水口　大輔様</t>
    <rPh sb="0" eb="2">
      <t>ミズグチ</t>
    </rPh>
    <rPh sb="3" eb="5">
      <t>ダイスケ</t>
    </rPh>
    <rPh sb="5" eb="6">
      <t>サマ</t>
    </rPh>
    <phoneticPr fontId="4"/>
  </si>
  <si>
    <t>笠井　美沙樹様</t>
    <rPh sb="0" eb="2">
      <t>カサイ</t>
    </rPh>
    <rPh sb="3" eb="4">
      <t>ミ</t>
    </rPh>
    <rPh sb="4" eb="5">
      <t>サ</t>
    </rPh>
    <rPh sb="5" eb="6">
      <t>キ</t>
    </rPh>
    <rPh sb="6" eb="7">
      <t>サマ</t>
    </rPh>
    <phoneticPr fontId="4"/>
  </si>
  <si>
    <t>田渕　一様</t>
    <rPh sb="0" eb="2">
      <t>タブチ</t>
    </rPh>
    <rPh sb="3" eb="4">
      <t>ハジメ</t>
    </rPh>
    <rPh sb="4" eb="5">
      <t>サマ</t>
    </rPh>
    <phoneticPr fontId="4"/>
  </si>
  <si>
    <t>レギュラー　１ヶ月</t>
  </si>
  <si>
    <t>中村　佑典様</t>
    <rPh sb="0" eb="2">
      <t>ナカムラ</t>
    </rPh>
    <rPh sb="3" eb="4">
      <t>ユウ</t>
    </rPh>
    <rPh sb="4" eb="5">
      <t>テン</t>
    </rPh>
    <rPh sb="5" eb="6">
      <t>サマ</t>
    </rPh>
    <phoneticPr fontId="4"/>
  </si>
  <si>
    <t>110分(ビジター)</t>
  </si>
  <si>
    <t>田中　弘章様</t>
    <rPh sb="0" eb="2">
      <t>タナカ</t>
    </rPh>
    <rPh sb="3" eb="4">
      <t>ヒロシ</t>
    </rPh>
    <rPh sb="4" eb="5">
      <t>ショウ</t>
    </rPh>
    <rPh sb="5" eb="6">
      <t>サマ</t>
    </rPh>
    <phoneticPr fontId="4"/>
  </si>
  <si>
    <t>入会金（紹介割）</t>
  </si>
  <si>
    <t>吉川　法生様</t>
    <rPh sb="0" eb="2">
      <t>キッカワ</t>
    </rPh>
    <rPh sb="3" eb="4">
      <t>ホウ</t>
    </rPh>
    <rPh sb="4" eb="5">
      <t>イキル</t>
    </rPh>
    <rPh sb="5" eb="6">
      <t>サマ</t>
    </rPh>
    <phoneticPr fontId="4"/>
  </si>
  <si>
    <t>Sticky Evolution 2.3 BL有</t>
  </si>
  <si>
    <t>Sticky opus Lady’s pink</t>
  </si>
  <si>
    <t>グリップ パター</t>
  </si>
  <si>
    <t>Super stroke mid slim 2.0</t>
  </si>
  <si>
    <t>※税込み￥4,257に修正</t>
    <rPh sb="1" eb="3">
      <t>ゼイコ</t>
    </rPh>
    <rPh sb="11" eb="13">
      <t>シュウセイ</t>
    </rPh>
    <phoneticPr fontId="4"/>
  </si>
  <si>
    <t>山内様</t>
    <rPh sb="0" eb="2">
      <t>ヤマウチ</t>
    </rPh>
    <rPh sb="2" eb="3">
      <t>サマ</t>
    </rPh>
    <phoneticPr fontId="4"/>
  </si>
  <si>
    <t>グリップ　STM</t>
  </si>
  <si>
    <t>その他</t>
  </si>
  <si>
    <t>川橋　大貴様</t>
    <rPh sb="0" eb="2">
      <t>カワハシ</t>
    </rPh>
    <rPh sb="3" eb="5">
      <t>ダイキ</t>
    </rPh>
    <rPh sb="5" eb="6">
      <t>サマ</t>
    </rPh>
    <phoneticPr fontId="4"/>
  </si>
  <si>
    <t>Pro V1X（特価）2021モデル</t>
  </si>
  <si>
    <t>池浦　真沙子様</t>
    <rPh sb="0" eb="2">
      <t>イケウラ</t>
    </rPh>
    <rPh sb="3" eb="4">
      <t>マ</t>
    </rPh>
    <rPh sb="4" eb="5">
      <t>サ</t>
    </rPh>
    <rPh sb="5" eb="6">
      <t>コ</t>
    </rPh>
    <rPh sb="6" eb="7">
      <t>サマ</t>
    </rPh>
    <phoneticPr fontId="4"/>
  </si>
  <si>
    <t>55分(ビジター)</t>
  </si>
  <si>
    <t>部品</t>
  </si>
  <si>
    <t>テイラーメイドスリーブ</t>
  </si>
  <si>
    <t>CRAZY</t>
  </si>
  <si>
    <t>東野　文也様</t>
    <rPh sb="0" eb="2">
      <t>ヒガシノ</t>
    </rPh>
    <rPh sb="3" eb="5">
      <t>フミヤ</t>
    </rPh>
    <rPh sb="5" eb="6">
      <t>サマ</t>
    </rPh>
    <phoneticPr fontId="4"/>
  </si>
  <si>
    <t>TOUR　BXS</t>
  </si>
  <si>
    <t>山田　正樹様</t>
    <rPh sb="0" eb="2">
      <t>ヤマダ</t>
    </rPh>
    <rPh sb="3" eb="5">
      <t>マサキ</t>
    </rPh>
    <rPh sb="5" eb="6">
      <t>サマ</t>
    </rPh>
    <phoneticPr fontId="4"/>
  </si>
  <si>
    <t>月会費（チケット制）</t>
  </si>
  <si>
    <t>レッスンチケット　1枚</t>
  </si>
  <si>
    <t>中尾　裕磨様</t>
    <rPh sb="0" eb="2">
      <t>ナカオ</t>
    </rPh>
    <rPh sb="3" eb="4">
      <t>ユウ</t>
    </rPh>
    <rPh sb="4" eb="5">
      <t>マ</t>
    </rPh>
    <rPh sb="5" eb="6">
      <t>サマ</t>
    </rPh>
    <phoneticPr fontId="4"/>
  </si>
  <si>
    <t>Tour velvet plus4</t>
  </si>
  <si>
    <t>吉本　敦様</t>
    <rPh sb="0" eb="2">
      <t>ヨシモト</t>
    </rPh>
    <rPh sb="3" eb="4">
      <t>アツシ</t>
    </rPh>
    <rPh sb="4" eb="5">
      <t>サマ</t>
    </rPh>
    <phoneticPr fontId="4"/>
  </si>
  <si>
    <t>山口　真衣様</t>
    <rPh sb="0" eb="2">
      <t>ヤマグチ</t>
    </rPh>
    <rPh sb="3" eb="5">
      <t>マイ</t>
    </rPh>
    <rPh sb="5" eb="6">
      <t>サマ</t>
    </rPh>
    <phoneticPr fontId="4"/>
  </si>
  <si>
    <t>河田　武夫様</t>
    <rPh sb="0" eb="2">
      <t>カワタ</t>
    </rPh>
    <rPh sb="3" eb="5">
      <t>タケオ</t>
    </rPh>
    <rPh sb="5" eb="6">
      <t>サマ</t>
    </rPh>
    <phoneticPr fontId="4"/>
  </si>
  <si>
    <t>坂東　俊哉様</t>
    <rPh sb="0" eb="2">
      <t>バンドウ</t>
    </rPh>
    <rPh sb="3" eb="5">
      <t>トシヤ</t>
    </rPh>
    <rPh sb="5" eb="6">
      <t>サマ</t>
    </rPh>
    <phoneticPr fontId="4"/>
  </si>
  <si>
    <t>その他商品</t>
  </si>
  <si>
    <t>藤田さん</t>
    <rPh sb="0" eb="2">
      <t>フジタ</t>
    </rPh>
    <phoneticPr fontId="4"/>
  </si>
  <si>
    <t>亀井　智彦様</t>
    <rPh sb="0" eb="2">
      <t>カメイ</t>
    </rPh>
    <rPh sb="3" eb="4">
      <t>トモ</t>
    </rPh>
    <rPh sb="4" eb="5">
      <t>ヒコ</t>
    </rPh>
    <rPh sb="5" eb="6">
      <t>サマ</t>
    </rPh>
    <phoneticPr fontId="4"/>
  </si>
  <si>
    <t>USTマミヤ</t>
  </si>
  <si>
    <t>※税込み￥18,700に修正</t>
    <rPh sb="1" eb="3">
      <t>ゼイコ</t>
    </rPh>
    <rPh sb="12" eb="14">
      <t>シュウセイ</t>
    </rPh>
    <phoneticPr fontId="4"/>
  </si>
  <si>
    <t>キャロウェイ スリーブ</t>
  </si>
  <si>
    <t>Sticky evolution 1.8 BL無</t>
  </si>
  <si>
    <t>安保　和之様</t>
    <rPh sb="0" eb="2">
      <t>アボ</t>
    </rPh>
    <rPh sb="3" eb="5">
      <t>カズユキ</t>
    </rPh>
    <rPh sb="5" eb="6">
      <t>サマ</t>
    </rPh>
    <phoneticPr fontId="4"/>
  </si>
  <si>
    <t>スリーブ外し</t>
  </si>
  <si>
    <t>直挿しシャフト 挿し</t>
  </si>
  <si>
    <t>土山　慶子様</t>
    <rPh sb="0" eb="2">
      <t>ツチヤマ</t>
    </rPh>
    <rPh sb="3" eb="5">
      <t>ケイコ</t>
    </rPh>
    <rPh sb="5" eb="6">
      <t>サマ</t>
    </rPh>
    <phoneticPr fontId="4"/>
  </si>
  <si>
    <t>TOUR B JGR</t>
  </si>
  <si>
    <t>村田　守章様</t>
    <rPh sb="5" eb="6">
      <t>サマ</t>
    </rPh>
    <phoneticPr fontId="4"/>
  </si>
  <si>
    <t>田中　健二郎様</t>
    <rPh sb="0" eb="2">
      <t>タナカ</t>
    </rPh>
    <rPh sb="3" eb="6">
      <t>ケンジロウ</t>
    </rPh>
    <rPh sb="6" eb="7">
      <t>サマ</t>
    </rPh>
    <phoneticPr fontId="4"/>
  </si>
  <si>
    <t>駒井　良則様</t>
    <rPh sb="0" eb="2">
      <t>コマイ</t>
    </rPh>
    <rPh sb="3" eb="5">
      <t>ヨシノリ</t>
    </rPh>
    <rPh sb="5" eb="6">
      <t>サマ</t>
    </rPh>
    <phoneticPr fontId="4"/>
  </si>
  <si>
    <t>ヘッド</t>
  </si>
  <si>
    <t>PING G425</t>
  </si>
  <si>
    <t>髙田　康介様</t>
    <rPh sb="0" eb="2">
      <t>タカダ</t>
    </rPh>
    <rPh sb="3" eb="5">
      <t>コウスケ</t>
    </rPh>
    <rPh sb="5" eb="6">
      <t>サマ</t>
    </rPh>
    <phoneticPr fontId="4"/>
  </si>
  <si>
    <t>中嶋　月葉様</t>
    <rPh sb="0" eb="2">
      <t>ナカシマ</t>
    </rPh>
    <rPh sb="3" eb="4">
      <t>ゲツ</t>
    </rPh>
    <rPh sb="4" eb="5">
      <t>ハ</t>
    </rPh>
    <rPh sb="5" eb="6">
      <t>サマ</t>
    </rPh>
    <phoneticPr fontId="4"/>
  </si>
  <si>
    <t>三野宮　秀男様</t>
    <rPh sb="0" eb="3">
      <t>サンノミヤ</t>
    </rPh>
    <rPh sb="4" eb="6">
      <t>ヒデオ</t>
    </rPh>
    <rPh sb="6" eb="7">
      <t>サマ</t>
    </rPh>
    <phoneticPr fontId="4"/>
  </si>
  <si>
    <t>堀古　一男様</t>
    <rPh sb="0" eb="1">
      <t>ホリ</t>
    </rPh>
    <rPh sb="1" eb="2">
      <t>コ</t>
    </rPh>
    <rPh sb="3" eb="5">
      <t>カズオ</t>
    </rPh>
    <rPh sb="5" eb="6">
      <t>サマ</t>
    </rPh>
    <phoneticPr fontId="4"/>
  </si>
  <si>
    <t>吉本　敦</t>
    <rPh sb="0" eb="2">
      <t>ヨシモト</t>
    </rPh>
    <rPh sb="3" eb="4">
      <t>アツシ</t>
    </rPh>
    <phoneticPr fontId="4"/>
  </si>
  <si>
    <t>川口　充志</t>
    <rPh sb="0" eb="2">
      <t>カワグチ</t>
    </rPh>
    <rPh sb="3" eb="4">
      <t>ミツル</t>
    </rPh>
    <rPh sb="4" eb="5">
      <t>ココロザシ</t>
    </rPh>
    <phoneticPr fontId="4"/>
  </si>
  <si>
    <t>現金</t>
  </si>
  <si>
    <t>中井　由美子</t>
    <rPh sb="0" eb="2">
      <t>ナカイ</t>
    </rPh>
    <rPh sb="3" eb="6">
      <t>ユミコ</t>
    </rPh>
    <phoneticPr fontId="4"/>
  </si>
  <si>
    <t>広田　トシ之</t>
    <rPh sb="0" eb="2">
      <t>ヒロタ</t>
    </rPh>
    <rPh sb="5" eb="6">
      <t>ユキ</t>
    </rPh>
    <phoneticPr fontId="4"/>
  </si>
  <si>
    <t>石橋　雅信</t>
    <rPh sb="0" eb="2">
      <t>イシバシ</t>
    </rPh>
    <rPh sb="3" eb="5">
      <t>マサノブ</t>
    </rPh>
    <phoneticPr fontId="4"/>
  </si>
  <si>
    <t>北畠　隆博</t>
    <rPh sb="0" eb="2">
      <t>キタバタケ</t>
    </rPh>
    <rPh sb="3" eb="4">
      <t>タカシ</t>
    </rPh>
    <rPh sb="4" eb="5">
      <t>ヒロ</t>
    </rPh>
    <phoneticPr fontId="4"/>
  </si>
  <si>
    <t>土山　慶子</t>
    <rPh sb="0" eb="2">
      <t>ツチヤマ</t>
    </rPh>
    <rPh sb="3" eb="5">
      <t>ケイコ</t>
    </rPh>
    <phoneticPr fontId="4"/>
  </si>
  <si>
    <t>大西　賢一</t>
    <rPh sb="0" eb="2">
      <t>オオニシ</t>
    </rPh>
    <rPh sb="3" eb="5">
      <t>ケンイチ</t>
    </rPh>
    <phoneticPr fontId="4"/>
  </si>
  <si>
    <t>三谷　賢志</t>
    <rPh sb="0" eb="2">
      <t>ミタニ</t>
    </rPh>
    <rPh sb="3" eb="4">
      <t>カシコ</t>
    </rPh>
    <rPh sb="4" eb="5">
      <t>シ</t>
    </rPh>
    <phoneticPr fontId="4"/>
  </si>
  <si>
    <t>松本　遼季</t>
    <rPh sb="0" eb="2">
      <t>マツモト</t>
    </rPh>
    <rPh sb="3" eb="4">
      <t>リョウ</t>
    </rPh>
    <rPh sb="4" eb="5">
      <t>キ</t>
    </rPh>
    <phoneticPr fontId="4"/>
  </si>
  <si>
    <t>丸岡　修一</t>
    <rPh sb="0" eb="2">
      <t>マルオカ</t>
    </rPh>
    <rPh sb="3" eb="5">
      <t>シュウイチ</t>
    </rPh>
    <phoneticPr fontId="4"/>
  </si>
  <si>
    <t>岡野　行雄</t>
    <rPh sb="0" eb="2">
      <t>オカノ</t>
    </rPh>
    <rPh sb="3" eb="5">
      <t>ユキオ</t>
    </rPh>
    <phoneticPr fontId="4"/>
  </si>
  <si>
    <t>岡野　陽子</t>
    <rPh sb="0" eb="2">
      <t>オカノ</t>
    </rPh>
    <rPh sb="3" eb="5">
      <t>ヨウコ</t>
    </rPh>
    <phoneticPr fontId="4"/>
  </si>
  <si>
    <t>TOUR B XS</t>
  </si>
  <si>
    <t>7/4に返金しすぎたため差額をお支払い</t>
    <rPh sb="4" eb="6">
      <t>ヘンキン</t>
    </rPh>
    <rPh sb="12" eb="14">
      <t>サガク</t>
    </rPh>
    <rPh sb="16" eb="18">
      <t>シハラ</t>
    </rPh>
    <phoneticPr fontId="4"/>
  </si>
  <si>
    <t>堀古　一男</t>
    <rPh sb="0" eb="1">
      <t>ホリ</t>
    </rPh>
    <rPh sb="1" eb="2">
      <t>コ</t>
    </rPh>
    <rPh sb="3" eb="5">
      <t>カズオ</t>
    </rPh>
    <phoneticPr fontId="4"/>
  </si>
  <si>
    <t>北畠　隆博</t>
    <rPh sb="0" eb="2">
      <t>キタバタケ</t>
    </rPh>
    <rPh sb="3" eb="4">
      <t>タカシ</t>
    </rPh>
    <rPh sb="4" eb="5">
      <t>ヒロシ</t>
    </rPh>
    <phoneticPr fontId="4"/>
  </si>
  <si>
    <t>赤井　一隆</t>
    <rPh sb="0" eb="2">
      <t>アカイ</t>
    </rPh>
    <rPh sb="3" eb="4">
      <t>イチ</t>
    </rPh>
    <rPh sb="4" eb="5">
      <t>タカ</t>
    </rPh>
    <phoneticPr fontId="4"/>
  </si>
  <si>
    <t>LOOP</t>
  </si>
  <si>
    <t>【DR】BALDO</t>
  </si>
  <si>
    <t>中川　徹</t>
    <rPh sb="0" eb="2">
      <t>ナカガワ</t>
    </rPh>
    <rPh sb="3" eb="4">
      <t>トオル</t>
    </rPh>
    <phoneticPr fontId="4"/>
  </si>
  <si>
    <t>ビジター打席（一般）</t>
  </si>
  <si>
    <t>花田　泰孝</t>
    <rPh sb="0" eb="2">
      <t>ハナダ</t>
    </rPh>
    <rPh sb="3" eb="5">
      <t>ヤスタカ</t>
    </rPh>
    <phoneticPr fontId="4"/>
  </si>
  <si>
    <t>藤田　泰彦</t>
    <rPh sb="0" eb="2">
      <t>フジタ</t>
    </rPh>
    <rPh sb="3" eb="5">
      <t>ヤスヒコ</t>
    </rPh>
    <phoneticPr fontId="4"/>
  </si>
  <si>
    <t>池内様分含む</t>
    <rPh sb="0" eb="2">
      <t>イケウチ</t>
    </rPh>
    <rPh sb="2" eb="3">
      <t>サマ</t>
    </rPh>
    <rPh sb="3" eb="4">
      <t>ブン</t>
    </rPh>
    <rPh sb="4" eb="5">
      <t>フク</t>
    </rPh>
    <phoneticPr fontId="4"/>
  </si>
  <si>
    <t>坪井　新一</t>
    <rPh sb="0" eb="2">
      <t>ツボイ</t>
    </rPh>
    <rPh sb="3" eb="5">
      <t>シンイチ</t>
    </rPh>
    <phoneticPr fontId="4"/>
  </si>
  <si>
    <t>亀ブルー</t>
  </si>
  <si>
    <t>金山　徳和</t>
    <rPh sb="0" eb="2">
      <t>カナヤマ</t>
    </rPh>
    <rPh sb="3" eb="4">
      <t>トク</t>
    </rPh>
    <rPh sb="4" eb="5">
      <t>カズ</t>
    </rPh>
    <phoneticPr fontId="4"/>
  </si>
  <si>
    <t>安田　義博</t>
    <rPh sb="0" eb="2">
      <t>ヤスダ</t>
    </rPh>
    <rPh sb="3" eb="5">
      <t>ヨシヒロ</t>
    </rPh>
    <phoneticPr fontId="4"/>
  </si>
  <si>
    <t>田渕　一</t>
    <rPh sb="0" eb="2">
      <t>タブチ</t>
    </rPh>
    <rPh sb="3" eb="4">
      <t>ハジメ</t>
    </rPh>
    <phoneticPr fontId="4"/>
  </si>
  <si>
    <t>東野　文也</t>
    <rPh sb="0" eb="2">
      <t>ヒガシノ</t>
    </rPh>
    <rPh sb="3" eb="4">
      <t>ブン</t>
    </rPh>
    <rPh sb="4" eb="5">
      <t>ヤ</t>
    </rPh>
    <phoneticPr fontId="4"/>
  </si>
  <si>
    <t>フォーサリンクス　ウェザー</t>
  </si>
  <si>
    <t>米田　隆治</t>
    <rPh sb="0" eb="2">
      <t>ヨネダ</t>
    </rPh>
    <rPh sb="3" eb="5">
      <t>タカハル</t>
    </rPh>
    <phoneticPr fontId="4"/>
  </si>
  <si>
    <t>西田　勝也</t>
    <rPh sb="0" eb="1">
      <t>ニシ</t>
    </rPh>
    <rPh sb="1" eb="2">
      <t>タ</t>
    </rPh>
    <rPh sb="3" eb="5">
      <t>カツヤ</t>
    </rPh>
    <phoneticPr fontId="4"/>
  </si>
  <si>
    <t>中尾　正</t>
    <rPh sb="0" eb="2">
      <t>ナカオ</t>
    </rPh>
    <rPh sb="3" eb="4">
      <t>タダシ</t>
    </rPh>
    <phoneticPr fontId="4"/>
  </si>
  <si>
    <t>岡本　尚子</t>
    <rPh sb="0" eb="2">
      <t>オカモト</t>
    </rPh>
    <rPh sb="3" eb="5">
      <t>ナオコ</t>
    </rPh>
    <phoneticPr fontId="4"/>
  </si>
  <si>
    <t>その他グリップ</t>
  </si>
  <si>
    <t>その他メーカー</t>
  </si>
  <si>
    <t>鬼塚　隆志</t>
    <rPh sb="0" eb="2">
      <t>オニヅカ</t>
    </rPh>
    <rPh sb="3" eb="4">
      <t>タカシ</t>
    </rPh>
    <rPh sb="4" eb="5">
      <t>シ</t>
    </rPh>
    <phoneticPr fontId="4"/>
  </si>
  <si>
    <t>Ｔ－１ セミミッド</t>
  </si>
  <si>
    <t>中村均</t>
    <rPh sb="0" eb="2">
      <t>ナカムラ</t>
    </rPh>
    <rPh sb="2" eb="3">
      <t>ヒトシ</t>
    </rPh>
    <phoneticPr fontId="4"/>
  </si>
  <si>
    <t>佐守　友博</t>
    <rPh sb="0" eb="2">
      <t>サモリ</t>
    </rPh>
    <rPh sb="3" eb="4">
      <t>トモ</t>
    </rPh>
    <rPh sb="4" eb="5">
      <t>ヒロ</t>
    </rPh>
    <phoneticPr fontId="4"/>
  </si>
  <si>
    <t>ライオンズ由香</t>
    <rPh sb="5" eb="7">
      <t>ユカ</t>
    </rPh>
    <phoneticPr fontId="4"/>
  </si>
  <si>
    <t>REVE</t>
  </si>
  <si>
    <t>本田　千弥</t>
    <rPh sb="0" eb="2">
      <t>ホンダ</t>
    </rPh>
    <rPh sb="3" eb="4">
      <t>セン</t>
    </rPh>
    <rPh sb="4" eb="5">
      <t>ヤ</t>
    </rPh>
    <phoneticPr fontId="4"/>
  </si>
  <si>
    <t>野田　昭吾</t>
    <rPh sb="0" eb="2">
      <t>ノタ</t>
    </rPh>
    <rPh sb="3" eb="4">
      <t>アキラ</t>
    </rPh>
    <rPh sb="4" eb="5">
      <t>ワレ</t>
    </rPh>
    <phoneticPr fontId="4"/>
  </si>
  <si>
    <t>森井　淳司</t>
    <rPh sb="0" eb="2">
      <t>モリイ</t>
    </rPh>
    <rPh sb="3" eb="5">
      <t>ジュンジ</t>
    </rPh>
    <phoneticPr fontId="4"/>
  </si>
  <si>
    <t>天野　真知子</t>
    <rPh sb="0" eb="2">
      <t>アマノ</t>
    </rPh>
    <rPh sb="3" eb="6">
      <t>マチコ</t>
    </rPh>
    <phoneticPr fontId="4"/>
  </si>
  <si>
    <t>TaylorMade ステルスドライバー</t>
  </si>
  <si>
    <t>山田　正樹</t>
    <rPh sb="0" eb="2">
      <t>ヤマダ</t>
    </rPh>
    <rPh sb="3" eb="5">
      <t>マサキ</t>
    </rPh>
    <phoneticPr fontId="4"/>
  </si>
  <si>
    <t>中井　敏</t>
    <rPh sb="0" eb="2">
      <t>ナカイ</t>
    </rPh>
    <rPh sb="3" eb="4">
      <t>トシ</t>
    </rPh>
    <phoneticPr fontId="4"/>
  </si>
  <si>
    <t>俣野　徹</t>
    <rPh sb="0" eb="2">
      <t>マタノ</t>
    </rPh>
    <rPh sb="3" eb="4">
      <t>トオル</t>
    </rPh>
    <phoneticPr fontId="4"/>
  </si>
  <si>
    <t>Tour snsr contour pro140</t>
  </si>
  <si>
    <t>平　美沙子</t>
    <rPh sb="0" eb="1">
      <t>タイラ</t>
    </rPh>
    <rPh sb="2" eb="5">
      <t>ミサコ</t>
    </rPh>
    <phoneticPr fontId="4"/>
  </si>
  <si>
    <t>加藤　玲明</t>
    <rPh sb="0" eb="2">
      <t>カトウ</t>
    </rPh>
    <rPh sb="3" eb="4">
      <t>レイ</t>
    </rPh>
    <rPh sb="4" eb="5">
      <t>メイ</t>
    </rPh>
    <phoneticPr fontId="4"/>
  </si>
  <si>
    <t>松山モデル　13本セット</t>
  </si>
  <si>
    <t>西川　和弘</t>
    <rPh sb="0" eb="2">
      <t>ニシカワ</t>
    </rPh>
    <rPh sb="3" eb="5">
      <t>カズヒロ</t>
    </rPh>
    <phoneticPr fontId="4"/>
  </si>
  <si>
    <t>所　高広</t>
    <rPh sb="0" eb="1">
      <t>トコロ</t>
    </rPh>
    <rPh sb="2" eb="3">
      <t>タカ</t>
    </rPh>
    <rPh sb="3" eb="4">
      <t>ヒロ</t>
    </rPh>
    <phoneticPr fontId="4"/>
  </si>
  <si>
    <t>堂丸　康一</t>
    <rPh sb="0" eb="2">
      <t>ドウマル</t>
    </rPh>
    <rPh sb="3" eb="4">
      <t>コウ</t>
    </rPh>
    <rPh sb="4" eb="5">
      <t>イチ</t>
    </rPh>
    <phoneticPr fontId="4"/>
  </si>
  <si>
    <t>CP2 wrap スタンダードサイズ</t>
  </si>
  <si>
    <t>秦　太久生</t>
    <rPh sb="0" eb="1">
      <t>ハタ</t>
    </rPh>
    <rPh sb="2" eb="3">
      <t>フト</t>
    </rPh>
    <rPh sb="3" eb="4">
      <t>ヒサ</t>
    </rPh>
    <rPh sb="4" eb="5">
      <t>イキル</t>
    </rPh>
    <phoneticPr fontId="4"/>
  </si>
  <si>
    <t>グリップ装着</t>
  </si>
  <si>
    <t>東野　文也</t>
    <rPh sb="0" eb="2">
      <t>ヒガシノ</t>
    </rPh>
    <rPh sb="3" eb="5">
      <t>フミヤ</t>
    </rPh>
    <phoneticPr fontId="4"/>
  </si>
  <si>
    <t>TOUR B X</t>
  </si>
  <si>
    <t>亀井　智彦</t>
    <rPh sb="0" eb="2">
      <t>カメイ</t>
    </rPh>
    <rPh sb="3" eb="5">
      <t>トモヒコ</t>
    </rPh>
    <phoneticPr fontId="4"/>
  </si>
  <si>
    <t>返金</t>
    <rPh sb="0" eb="2">
      <t>ヘンキン</t>
    </rPh>
    <phoneticPr fontId="4"/>
  </si>
  <si>
    <t>再来の方が購入</t>
    <rPh sb="0" eb="2">
      <t>サイライ</t>
    </rPh>
    <rPh sb="3" eb="4">
      <t>カタ</t>
    </rPh>
    <rPh sb="5" eb="7">
      <t>コウニュウ</t>
    </rPh>
    <phoneticPr fontId="4"/>
  </si>
  <si>
    <t>PING G410 （DR・FW）スリーブ</t>
  </si>
  <si>
    <t>X-evolution レッド</t>
  </si>
  <si>
    <t>後藤　徹</t>
    <rPh sb="0" eb="2">
      <t>ゴトウ</t>
    </rPh>
    <rPh sb="3" eb="4">
      <t>トオル</t>
    </rPh>
    <phoneticPr fontId="4"/>
  </si>
  <si>
    <t>和島　浩士</t>
    <rPh sb="0" eb="2">
      <t>ワジマ</t>
    </rPh>
    <rPh sb="3" eb="4">
      <t>ヒロ</t>
    </rPh>
    <rPh sb="4" eb="5">
      <t>シ</t>
    </rPh>
    <phoneticPr fontId="4"/>
  </si>
  <si>
    <t>2名分（和島絢子様）</t>
    <rPh sb="1" eb="2">
      <t>メイ</t>
    </rPh>
    <rPh sb="2" eb="3">
      <t>ブン</t>
    </rPh>
    <rPh sb="4" eb="6">
      <t>ワジマ</t>
    </rPh>
    <rPh sb="6" eb="8">
      <t>アヤコ</t>
    </rPh>
    <rPh sb="8" eb="9">
      <t>サマ</t>
    </rPh>
    <phoneticPr fontId="4"/>
  </si>
  <si>
    <t>紹介プロ：小川うらら</t>
    <rPh sb="0" eb="2">
      <t>ショウカイ</t>
    </rPh>
    <rPh sb="5" eb="7">
      <t>オガワ</t>
    </rPh>
    <phoneticPr fontId="4"/>
  </si>
  <si>
    <t>紹介プロ：山本大介</t>
    <rPh sb="0" eb="2">
      <t>ショウカイ</t>
    </rPh>
    <rPh sb="5" eb="7">
      <t>ヤマモト</t>
    </rPh>
    <rPh sb="7" eb="9">
      <t>ダイスケ</t>
    </rPh>
    <phoneticPr fontId="4"/>
  </si>
  <si>
    <t>紹介プロ：藤田晃規</t>
    <rPh sb="0" eb="2">
      <t>ショウカイ</t>
    </rPh>
    <rPh sb="5" eb="7">
      <t>フジタ</t>
    </rPh>
    <rPh sb="8" eb="9">
      <t>キ</t>
    </rPh>
    <phoneticPr fontId="4"/>
  </si>
  <si>
    <t>不明</t>
    <rPh sb="0" eb="2">
      <t>フメイ</t>
    </rPh>
    <phoneticPr fontId="4"/>
  </si>
  <si>
    <t>その他クラブ</t>
  </si>
  <si>
    <t>チケット制月会費　0.75ケ月</t>
  </si>
  <si>
    <t>練習器具</t>
  </si>
  <si>
    <t>ごるトレ</t>
  </si>
  <si>
    <t>グリップ PERFECT PRO</t>
  </si>
  <si>
    <t>Xソフト レディース ブルー</t>
  </si>
  <si>
    <t>TRPX</t>
  </si>
  <si>
    <t>Ｓ－１　プロトタイプ</t>
  </si>
  <si>
    <t>レッスンチケット　11枚</t>
  </si>
  <si>
    <t>チケット制月会費　1ケ月</t>
  </si>
  <si>
    <t>レギュラー　0.25ケ月</t>
  </si>
  <si>
    <t>55分(メンバー)</t>
  </si>
  <si>
    <t>LTC i-x 2.3 オレンジ</t>
  </si>
  <si>
    <t>レギュラー　0.75ケ月（家族割）</t>
    <rPh sb="10" eb="12">
      <t>カゲツ</t>
    </rPh>
    <rPh sb="13" eb="16">
      <t>カゾクワリ</t>
    </rPh>
    <phoneticPr fontId="4"/>
  </si>
  <si>
    <t>木村　稔</t>
    <rPh sb="0" eb="2">
      <t>キムラ</t>
    </rPh>
    <rPh sb="3" eb="4">
      <t>ミノル</t>
    </rPh>
    <phoneticPr fontId="4"/>
  </si>
  <si>
    <t>大野　秀明</t>
    <rPh sb="0" eb="2">
      <t>オオノ</t>
    </rPh>
    <rPh sb="3" eb="5">
      <t>ヒデアキ</t>
    </rPh>
    <phoneticPr fontId="4"/>
  </si>
  <si>
    <t>木村　稔</t>
    <rPh sb="0" eb="2">
      <t>キムラ</t>
    </rPh>
    <rPh sb="3" eb="4">
      <t>ミノル</t>
    </rPh>
    <phoneticPr fontId="4"/>
  </si>
  <si>
    <t>古川　博庸</t>
    <rPh sb="0" eb="2">
      <t>フルカワ</t>
    </rPh>
    <rPh sb="3" eb="4">
      <t>ヒロ</t>
    </rPh>
    <rPh sb="4" eb="5">
      <t>ヨウ</t>
    </rPh>
    <phoneticPr fontId="4"/>
  </si>
  <si>
    <t>井戸　幹雄</t>
    <rPh sb="0" eb="2">
      <t>イド</t>
    </rPh>
    <rPh sb="3" eb="5">
      <t>ミキオ</t>
    </rPh>
    <phoneticPr fontId="4"/>
  </si>
  <si>
    <t>河村　拓也</t>
    <rPh sb="0" eb="2">
      <t>カワムラ</t>
    </rPh>
    <rPh sb="3" eb="5">
      <t>タクヤ</t>
    </rPh>
    <phoneticPr fontId="4"/>
  </si>
  <si>
    <t>浅賀　孝</t>
    <rPh sb="0" eb="2">
      <t>アサガ</t>
    </rPh>
    <rPh sb="3" eb="4">
      <t>タカシ</t>
    </rPh>
    <phoneticPr fontId="4"/>
  </si>
  <si>
    <t>和島　絢子</t>
    <rPh sb="0" eb="2">
      <t>ワジマ</t>
    </rPh>
    <rPh sb="3" eb="5">
      <t>アヤコ</t>
    </rPh>
    <phoneticPr fontId="4"/>
  </si>
  <si>
    <t>西山　権一</t>
    <rPh sb="0" eb="2">
      <t>ニシヤマ</t>
    </rPh>
    <rPh sb="3" eb="5">
      <t>ケンイチ</t>
    </rPh>
    <phoneticPr fontId="4"/>
  </si>
  <si>
    <t>野田　正明</t>
    <rPh sb="0" eb="2">
      <t>ノダ</t>
    </rPh>
    <rPh sb="3" eb="5">
      <t>マサアキ</t>
    </rPh>
    <phoneticPr fontId="4"/>
  </si>
  <si>
    <t>豊岡　充和</t>
    <rPh sb="0" eb="2">
      <t>トヨオカ</t>
    </rPh>
    <rPh sb="3" eb="4">
      <t>ミツ</t>
    </rPh>
    <rPh sb="4" eb="5">
      <t>ワ</t>
    </rPh>
    <phoneticPr fontId="4"/>
  </si>
  <si>
    <t>西山泰弘様の料金も頂きました。</t>
    <rPh sb="0" eb="2">
      <t>ニシヤマ</t>
    </rPh>
    <rPh sb="2" eb="4">
      <t>ヤスヒロ</t>
    </rPh>
    <rPh sb="4" eb="5">
      <t>サマ</t>
    </rPh>
    <rPh sb="6" eb="8">
      <t>リョウキン</t>
    </rPh>
    <rPh sb="9" eb="10">
      <t>イタダ</t>
    </rPh>
    <phoneticPr fontId="4"/>
  </si>
  <si>
    <t>豊岡　香織</t>
    <rPh sb="0" eb="2">
      <t>トヨオカ</t>
    </rPh>
    <rPh sb="3" eb="5">
      <t>カオリ</t>
    </rPh>
    <phoneticPr fontId="4"/>
  </si>
  <si>
    <t>藤木　勇亮</t>
    <rPh sb="0" eb="2">
      <t>フジキ</t>
    </rPh>
    <rPh sb="3" eb="4">
      <t>イサム</t>
    </rPh>
    <rPh sb="4" eb="5">
      <t>リョウ</t>
    </rPh>
    <phoneticPr fontId="4"/>
  </si>
  <si>
    <t>藤木翔太様の料金も頂きました。</t>
    <phoneticPr fontId="4"/>
  </si>
  <si>
    <t>田中　稜也</t>
    <rPh sb="0" eb="2">
      <t>タナカ</t>
    </rPh>
    <rPh sb="3" eb="4">
      <t>リョウ</t>
    </rPh>
    <phoneticPr fontId="4"/>
  </si>
  <si>
    <t>砂村　智之</t>
    <rPh sb="0" eb="2">
      <t>スナムラ</t>
    </rPh>
    <rPh sb="3" eb="5">
      <t>トモユキ</t>
    </rPh>
    <phoneticPr fontId="4"/>
  </si>
  <si>
    <t>砂村奈緒様の料金も頂きました。</t>
    <rPh sb="0" eb="2">
      <t>スナムラ</t>
    </rPh>
    <rPh sb="2" eb="4">
      <t>ナオ</t>
    </rPh>
    <phoneticPr fontId="4"/>
  </si>
  <si>
    <t>奥田　恭三</t>
    <rPh sb="0" eb="2">
      <t>オクダ</t>
    </rPh>
    <rPh sb="3" eb="5">
      <t>キョウゾウ</t>
    </rPh>
    <phoneticPr fontId="4"/>
  </si>
  <si>
    <t>奥田　恭三</t>
    <phoneticPr fontId="4"/>
  </si>
  <si>
    <t>髙田　康介</t>
    <rPh sb="0" eb="2">
      <t>タカダ</t>
    </rPh>
    <rPh sb="3" eb="5">
      <t>コウスケ</t>
    </rPh>
    <phoneticPr fontId="4"/>
  </si>
  <si>
    <t>文元　達世</t>
    <rPh sb="0" eb="2">
      <t>フミモト</t>
    </rPh>
    <rPh sb="3" eb="4">
      <t>タッ</t>
    </rPh>
    <rPh sb="4" eb="5">
      <t>ヨ</t>
    </rPh>
    <phoneticPr fontId="4"/>
  </si>
  <si>
    <t>東野　文也</t>
    <rPh sb="0" eb="2">
      <t>ヒガシノ</t>
    </rPh>
    <rPh sb="3" eb="5">
      <t>フミヤ</t>
    </rPh>
    <phoneticPr fontId="4"/>
  </si>
  <si>
    <t>文元　達世</t>
    <phoneticPr fontId="4"/>
  </si>
  <si>
    <t>岸田　有弘</t>
    <rPh sb="0" eb="2">
      <t>キシダ</t>
    </rPh>
    <rPh sb="3" eb="5">
      <t>ユウコウ</t>
    </rPh>
    <phoneticPr fontId="4"/>
  </si>
  <si>
    <t>山田　豪</t>
    <rPh sb="0" eb="2">
      <t>ヤマダ</t>
    </rPh>
    <rPh sb="3" eb="4">
      <t>ゴウ</t>
    </rPh>
    <phoneticPr fontId="4"/>
  </si>
  <si>
    <t>泉　竜二</t>
    <rPh sb="0" eb="1">
      <t>イズミ</t>
    </rPh>
    <rPh sb="2" eb="4">
      <t>リュウジ</t>
    </rPh>
    <phoneticPr fontId="4"/>
  </si>
  <si>
    <t>土山　慶子</t>
    <rPh sb="0" eb="2">
      <t>ツチヤマ</t>
    </rPh>
    <rPh sb="3" eb="5">
      <t>ケイコ</t>
    </rPh>
    <phoneticPr fontId="4"/>
  </si>
  <si>
    <t>販売</t>
    <rPh sb="0" eb="2">
      <t>ハンバイ</t>
    </rPh>
    <phoneticPr fontId="4"/>
  </si>
  <si>
    <t>グリップ IOMIC</t>
    <phoneticPr fontId="4"/>
  </si>
  <si>
    <t>mimicビビットピンク×ホワイト(有)</t>
    <rPh sb="18" eb="19">
      <t>ア</t>
    </rPh>
    <phoneticPr fontId="4"/>
  </si>
  <si>
    <t>高尾　弘子</t>
    <rPh sb="0" eb="2">
      <t>タカオ</t>
    </rPh>
    <rPh sb="3" eb="5">
      <t>ヒロコ</t>
    </rPh>
    <phoneticPr fontId="4"/>
  </si>
  <si>
    <t>利用料</t>
    <rPh sb="0" eb="3">
      <t>リヨウリョウ</t>
    </rPh>
    <phoneticPr fontId="4"/>
  </si>
  <si>
    <t>打席利用</t>
    <phoneticPr fontId="4"/>
  </si>
  <si>
    <t>体験利用</t>
    <phoneticPr fontId="4"/>
  </si>
  <si>
    <t>現金</t>
    <rPh sb="0" eb="2">
      <t>ゲンキン</t>
    </rPh>
    <phoneticPr fontId="4"/>
  </si>
  <si>
    <t>小林　祥晃</t>
    <rPh sb="0" eb="2">
      <t>コバヤシ</t>
    </rPh>
    <rPh sb="3" eb="4">
      <t>ヨシ</t>
    </rPh>
    <rPh sb="4" eb="5">
      <t>アキ</t>
    </rPh>
    <phoneticPr fontId="4"/>
  </si>
  <si>
    <t>フィッティング</t>
    <phoneticPr fontId="4"/>
  </si>
  <si>
    <t>110分(ビジター)</t>
    <rPh sb="3" eb="4">
      <t>フン</t>
    </rPh>
    <phoneticPr fontId="4"/>
  </si>
  <si>
    <t>現金</t>
    <rPh sb="0" eb="2">
      <t>ゲンキン</t>
    </rPh>
    <phoneticPr fontId="4"/>
  </si>
  <si>
    <t>山本　真悟</t>
    <rPh sb="0" eb="2">
      <t>ヤマモト</t>
    </rPh>
    <rPh sb="3" eb="5">
      <t>シンゴ</t>
    </rPh>
    <phoneticPr fontId="4"/>
  </si>
  <si>
    <t>55分(ビジター)</t>
    <rPh sb="2" eb="3">
      <t>フン</t>
    </rPh>
    <phoneticPr fontId="4"/>
  </si>
  <si>
    <t>販売</t>
    <rPh sb="0" eb="2">
      <t>ハンバイ</t>
    </rPh>
    <phoneticPr fontId="4"/>
  </si>
  <si>
    <t>【DR】シンカグラファイトLEXIA 6X</t>
    <phoneticPr fontId="4"/>
  </si>
  <si>
    <t>【DR】COBRA LTDx(ヘッド単体)9°</t>
    <rPh sb="18" eb="20">
      <t>タンタイ</t>
    </rPh>
    <phoneticPr fontId="4"/>
  </si>
  <si>
    <t>グリップ CADERO</t>
    <phoneticPr fontId="4"/>
  </si>
  <si>
    <t>2×2グリップUTペンタゴンスター入り 黒</t>
    <rPh sb="17" eb="18">
      <t>イ</t>
    </rPh>
    <rPh sb="20" eb="21">
      <t>クロ</t>
    </rPh>
    <phoneticPr fontId="4"/>
  </si>
  <si>
    <t>岡本　尚子</t>
    <rPh sb="0" eb="2">
      <t>オカモト</t>
    </rPh>
    <rPh sb="3" eb="5">
      <t>ナオコ</t>
    </rPh>
    <phoneticPr fontId="4"/>
  </si>
  <si>
    <t>浅賀　孝</t>
    <rPh sb="0" eb="2">
      <t>アサガ</t>
    </rPh>
    <rPh sb="3" eb="4">
      <t>タカシ</t>
    </rPh>
    <phoneticPr fontId="4"/>
  </si>
  <si>
    <t>村上 雅泰</t>
    <phoneticPr fontId="4"/>
  </si>
  <si>
    <t>土谷　喜輝</t>
    <rPh sb="0" eb="2">
      <t>ツチタニ</t>
    </rPh>
    <rPh sb="3" eb="4">
      <t>キ</t>
    </rPh>
    <rPh sb="4" eb="5">
      <t>テル</t>
    </rPh>
    <phoneticPr fontId="4"/>
  </si>
  <si>
    <t>Sticky Evolution2.3 BL 無</t>
    <phoneticPr fontId="4"/>
  </si>
  <si>
    <t>IX touch イエロー</t>
    <phoneticPr fontId="4"/>
  </si>
  <si>
    <t>釜本　郁弥</t>
    <rPh sb="0" eb="2">
      <t>カマモト</t>
    </rPh>
    <rPh sb="3" eb="5">
      <t>フミヤ</t>
    </rPh>
    <phoneticPr fontId="4"/>
  </si>
  <si>
    <t>利用料</t>
    <rPh sb="0" eb="3">
      <t>リヨウリョウ</t>
    </rPh>
    <phoneticPr fontId="4"/>
  </si>
  <si>
    <t>打席利用</t>
    <phoneticPr fontId="4"/>
  </si>
  <si>
    <t>体験利用</t>
    <phoneticPr fontId="4"/>
  </si>
  <si>
    <t>現金</t>
    <rPh sb="0" eb="2">
      <t>ゲンキン</t>
    </rPh>
    <phoneticPr fontId="4"/>
  </si>
  <si>
    <t>吉川　法生</t>
    <rPh sb="0" eb="2">
      <t>キッカワ</t>
    </rPh>
    <phoneticPr fontId="4"/>
  </si>
  <si>
    <t>販売</t>
    <rPh sb="0" eb="2">
      <t>ハンバイ</t>
    </rPh>
    <phoneticPr fontId="4"/>
  </si>
  <si>
    <t>練習器具</t>
    <phoneticPr fontId="4"/>
  </si>
  <si>
    <t>SKLZ GOLD FLEX</t>
    <phoneticPr fontId="4"/>
  </si>
  <si>
    <t>山崎　慶太</t>
    <rPh sb="0" eb="2">
      <t>ヤマサキ</t>
    </rPh>
    <rPh sb="3" eb="5">
      <t>ケイタ</t>
    </rPh>
    <phoneticPr fontId="4"/>
  </si>
  <si>
    <t>利用料</t>
    <rPh sb="0" eb="3">
      <t>リヨウリョウ</t>
    </rPh>
    <phoneticPr fontId="4"/>
  </si>
  <si>
    <t>打席利用</t>
    <phoneticPr fontId="4"/>
  </si>
  <si>
    <t>体験利用</t>
    <phoneticPr fontId="4"/>
  </si>
  <si>
    <t>現金</t>
    <rPh sb="0" eb="2">
      <t>ゲンキン</t>
    </rPh>
    <phoneticPr fontId="4"/>
  </si>
  <si>
    <t>土山　慶子</t>
    <rPh sb="0" eb="2">
      <t>ツチヤマ</t>
    </rPh>
    <rPh sb="3" eb="5">
      <t>ケイコ</t>
    </rPh>
    <phoneticPr fontId="4"/>
  </si>
  <si>
    <t>販売</t>
    <rPh sb="0" eb="2">
      <t>ハンバイ</t>
    </rPh>
    <phoneticPr fontId="4"/>
  </si>
  <si>
    <t>ボール</t>
    <phoneticPr fontId="4"/>
  </si>
  <si>
    <t>TOUR B JGR</t>
    <phoneticPr fontId="4"/>
  </si>
  <si>
    <t>山田　正樹</t>
    <rPh sb="0" eb="2">
      <t>ヤマダ</t>
    </rPh>
    <rPh sb="3" eb="5">
      <t>マサキ</t>
    </rPh>
    <phoneticPr fontId="4"/>
  </si>
  <si>
    <t>植田　裕介</t>
    <rPh sb="0" eb="2">
      <t>ウエダ</t>
    </rPh>
    <rPh sb="3" eb="5">
      <t>ユウスケ</t>
    </rPh>
    <phoneticPr fontId="4"/>
  </si>
  <si>
    <t>利用料</t>
    <rPh sb="0" eb="3">
      <t>リヨウリョウ</t>
    </rPh>
    <phoneticPr fontId="4"/>
  </si>
  <si>
    <t>フィッティング</t>
    <phoneticPr fontId="4"/>
  </si>
  <si>
    <t>55分(ビジター)</t>
    <rPh sb="2" eb="3">
      <t>フン</t>
    </rPh>
    <phoneticPr fontId="4"/>
  </si>
  <si>
    <t>現金</t>
    <rPh sb="0" eb="2">
      <t>ゲンキン</t>
    </rPh>
    <phoneticPr fontId="4"/>
  </si>
  <si>
    <t>藤田　晃規</t>
    <rPh sb="0" eb="2">
      <t>フジタ</t>
    </rPh>
    <rPh sb="3" eb="4">
      <t>アキ</t>
    </rPh>
    <rPh sb="4" eb="5">
      <t>キ</t>
    </rPh>
    <phoneticPr fontId="4"/>
  </si>
  <si>
    <t>販売</t>
    <rPh sb="0" eb="2">
      <t>ハンバイ</t>
    </rPh>
    <phoneticPr fontId="4"/>
  </si>
  <si>
    <t>グリップTRUE TEMPER</t>
    <phoneticPr fontId="4"/>
  </si>
  <si>
    <t>DYNAMIC GOLD DGIS400 #10</t>
    <phoneticPr fontId="4"/>
  </si>
  <si>
    <t>現金</t>
    <rPh sb="0" eb="2">
      <t>ゲンキン</t>
    </rPh>
    <phoneticPr fontId="4"/>
  </si>
  <si>
    <t>東野　文也</t>
    <rPh sb="0" eb="2">
      <t>ヒガシノ</t>
    </rPh>
    <rPh sb="3" eb="5">
      <t>フミヤ</t>
    </rPh>
    <phoneticPr fontId="4"/>
  </si>
  <si>
    <t>販売</t>
    <rPh sb="0" eb="2">
      <t>ハンバイ</t>
    </rPh>
    <phoneticPr fontId="4"/>
  </si>
  <si>
    <t>ボール</t>
    <phoneticPr fontId="4"/>
  </si>
  <si>
    <t>TOUR B XS(WH)</t>
    <phoneticPr fontId="4"/>
  </si>
  <si>
    <t>現金</t>
    <rPh sb="0" eb="2">
      <t>ゲンキン</t>
    </rPh>
    <phoneticPr fontId="4"/>
  </si>
  <si>
    <t>堀古　一男</t>
    <rPh sb="0" eb="1">
      <t>ホリ</t>
    </rPh>
    <rPh sb="1" eb="2">
      <t>コ</t>
    </rPh>
    <rPh sb="3" eb="5">
      <t>カズオ</t>
    </rPh>
    <phoneticPr fontId="4"/>
  </si>
  <si>
    <t>現金</t>
    <rPh sb="0" eb="2">
      <t>ゲンキン</t>
    </rPh>
    <phoneticPr fontId="4"/>
  </si>
  <si>
    <t>中尾　正</t>
    <rPh sb="0" eb="2">
      <t>ナカオ</t>
    </rPh>
    <rPh sb="3" eb="4">
      <t>タダシ</t>
    </rPh>
    <phoneticPr fontId="4"/>
  </si>
  <si>
    <t>販売</t>
    <rPh sb="0" eb="2">
      <t>ハンバイ</t>
    </rPh>
    <phoneticPr fontId="4"/>
  </si>
  <si>
    <t>練習器具</t>
    <phoneticPr fontId="4"/>
  </si>
  <si>
    <t>現金</t>
    <rPh sb="0" eb="2">
      <t>ゲンキン</t>
    </rPh>
    <phoneticPr fontId="4"/>
  </si>
  <si>
    <t>奥　拓哉</t>
    <rPh sb="0" eb="1">
      <t>オク</t>
    </rPh>
    <rPh sb="2" eb="4">
      <t>タクヤ</t>
    </rPh>
    <phoneticPr fontId="4"/>
  </si>
  <si>
    <t>月会費</t>
    <phoneticPr fontId="4"/>
  </si>
  <si>
    <t>入会金</t>
    <rPh sb="0" eb="3">
      <t>ニュウカイキン</t>
    </rPh>
    <phoneticPr fontId="4"/>
  </si>
  <si>
    <t>片山　大介</t>
    <rPh sb="0" eb="2">
      <t>カタヤマ</t>
    </rPh>
    <rPh sb="3" eb="5">
      <t>ダイスケ</t>
    </rPh>
    <phoneticPr fontId="4"/>
  </si>
  <si>
    <t>利用料</t>
    <rPh sb="0" eb="3">
      <t>リヨウリョウ</t>
    </rPh>
    <phoneticPr fontId="4"/>
  </si>
  <si>
    <t>フィッティング</t>
    <phoneticPr fontId="4"/>
  </si>
  <si>
    <t>芳田　直樹</t>
    <rPh sb="0" eb="2">
      <t>ヨシダ</t>
    </rPh>
    <rPh sb="3" eb="5">
      <t>ナオキ</t>
    </rPh>
    <phoneticPr fontId="4"/>
  </si>
  <si>
    <t>利用料</t>
    <rPh sb="0" eb="3">
      <t>リヨウリョウ</t>
    </rPh>
    <phoneticPr fontId="4"/>
  </si>
  <si>
    <t>打席利用</t>
    <phoneticPr fontId="4"/>
  </si>
  <si>
    <t>体験利用</t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</si>
  <si>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</si>
  <si>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</si>
  <si>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シャフト</t>
    <phoneticPr fontId="4"/>
  </si>
  <si>
    <t>フジクラPLATINUM SPEEDER 5S</t>
    <phoneticPr fontId="4"/>
  </si>
  <si>
    <t>スリーブ</t>
    <phoneticPr fontId="4"/>
  </si>
  <si>
    <t>TAYLORMADE</t>
    <phoneticPr fontId="4"/>
  </si>
  <si>
    <t>グリップ</t>
    <phoneticPr fontId="4"/>
  </si>
  <si>
    <t>sticky evolution 2.3 ブラック（有）</t>
    <phoneticPr fontId="4"/>
  </si>
  <si>
    <t>山口　和久</t>
    <rPh sb="0" eb="2">
      <t>ヤマグチ</t>
    </rPh>
    <rPh sb="3" eb="5">
      <t>カズヒサ</t>
    </rPh>
    <phoneticPr fontId="4"/>
  </si>
  <si>
    <t>フィッティング</t>
    <phoneticPr fontId="4"/>
  </si>
  <si>
    <t>山口　和久</t>
    <rPh sb="0" eb="2">
      <t>ヤマグチ</t>
    </rPh>
    <rPh sb="3" eb="5">
      <t>カズヒサ</t>
    </rPh>
    <phoneticPr fontId="4"/>
  </si>
  <si>
    <t>販売</t>
    <rPh sb="0" eb="2">
      <t>ハンバイ</t>
    </rPh>
    <phoneticPr fontId="4"/>
  </si>
  <si>
    <t>フジクラPLATINUM SPEEDER 3X</t>
  </si>
  <si>
    <t>PING G410</t>
    <phoneticPr fontId="4"/>
  </si>
  <si>
    <t>sticky evolution 2.3 ブラック（無）</t>
    <phoneticPr fontId="4"/>
  </si>
  <si>
    <t>グリップiomic</t>
    <phoneticPr fontId="4"/>
  </si>
  <si>
    <t>現金</t>
    <rPh sb="0" eb="2">
      <t>ゲンキン</t>
    </rPh>
    <phoneticPr fontId="4"/>
  </si>
  <si>
    <t>畑中　達則</t>
    <rPh sb="0" eb="2">
      <t>ハタナカ</t>
    </rPh>
    <rPh sb="3" eb="5">
      <t>タツノリ</t>
    </rPh>
    <phoneticPr fontId="4"/>
  </si>
  <si>
    <t>現金</t>
    <rPh sb="0" eb="2">
      <t>ゲンキン</t>
    </rPh>
    <phoneticPr fontId="4"/>
  </si>
  <si>
    <t>前谷　聡</t>
    <rPh sb="0" eb="2">
      <t>マエタニ</t>
    </rPh>
    <rPh sb="3" eb="4">
      <t>サトシ</t>
    </rPh>
    <phoneticPr fontId="4"/>
  </si>
  <si>
    <t>古賀　勉</t>
    <rPh sb="0" eb="2">
      <t>コガ</t>
    </rPh>
    <rPh sb="3" eb="4">
      <t>ツトム</t>
    </rPh>
    <phoneticPr fontId="4"/>
  </si>
  <si>
    <t>販売</t>
    <rPh sb="0" eb="2">
      <t>ハンバイ</t>
    </rPh>
    <phoneticPr fontId="4"/>
  </si>
  <si>
    <t>練習器具</t>
    <phoneticPr fontId="4"/>
  </si>
  <si>
    <t>SKLZ GOLD FLEX</t>
    <phoneticPr fontId="4"/>
  </si>
  <si>
    <t>土山　珠季</t>
    <rPh sb="0" eb="2">
      <t>ツチヤマ</t>
    </rPh>
    <rPh sb="3" eb="4">
      <t>タマ</t>
    </rPh>
    <rPh sb="4" eb="5">
      <t>キ</t>
    </rPh>
    <phoneticPr fontId="4"/>
  </si>
  <si>
    <t>利用料</t>
    <rPh sb="0" eb="3">
      <t>リヨウリョウ</t>
    </rPh>
    <phoneticPr fontId="4"/>
  </si>
  <si>
    <t>打席利用</t>
    <phoneticPr fontId="4"/>
  </si>
  <si>
    <t>体験利用</t>
    <phoneticPr fontId="4"/>
  </si>
  <si>
    <t>廣濵　匠</t>
    <rPh sb="0" eb="2">
      <t>ヒロハマ</t>
    </rPh>
    <rPh sb="3" eb="4">
      <t>タクミ</t>
    </rPh>
    <phoneticPr fontId="4"/>
  </si>
  <si>
    <t>利用料</t>
    <rPh sb="0" eb="3">
      <t>リヨウリョウ</t>
    </rPh>
    <phoneticPr fontId="4"/>
  </si>
  <si>
    <t>打席利用</t>
    <phoneticPr fontId="4"/>
  </si>
  <si>
    <t>体験利用</t>
    <phoneticPr fontId="4"/>
  </si>
  <si>
    <t>西山　泰弘</t>
    <rPh sb="0" eb="2">
      <t>ニシヤマ</t>
    </rPh>
    <rPh sb="3" eb="4">
      <t>ヤスシ</t>
    </rPh>
    <rPh sb="4" eb="5">
      <t>ヒロ</t>
    </rPh>
    <phoneticPr fontId="4"/>
  </si>
  <si>
    <t>ライト　1ヶ月</t>
    <rPh sb="6" eb="7">
      <t>ゲツ</t>
    </rPh>
    <phoneticPr fontId="4"/>
  </si>
  <si>
    <t>駒木根　昌彦</t>
    <rPh sb="0" eb="3">
      <t>コマキネ</t>
    </rPh>
    <rPh sb="4" eb="6">
      <t>マサヒコ</t>
    </rPh>
    <phoneticPr fontId="4"/>
  </si>
  <si>
    <t>ライト　2ヶ月分</t>
    <rPh sb="6" eb="8">
      <t>ゲツブン</t>
    </rPh>
    <phoneticPr fontId="4"/>
  </si>
  <si>
    <t>未払い分</t>
    <rPh sb="0" eb="2">
      <t>ミハラ</t>
    </rPh>
    <rPh sb="3" eb="4">
      <t>ブン</t>
    </rPh>
    <phoneticPr fontId="4"/>
  </si>
  <si>
    <t>入会金</t>
    <rPh sb="0" eb="3">
      <t>ニュウカイキン</t>
    </rPh>
    <phoneticPr fontId="4"/>
  </si>
  <si>
    <t>レッスンチケット11枚</t>
    <rPh sb="10" eb="11">
      <t>マイ</t>
    </rPh>
    <phoneticPr fontId="4"/>
  </si>
  <si>
    <t>チケット　0.75ケ月</t>
    <phoneticPr fontId="4"/>
  </si>
  <si>
    <t>天野　真知子</t>
    <rPh sb="0" eb="2">
      <t>アマノ</t>
    </rPh>
    <rPh sb="3" eb="6">
      <t>マチコ</t>
    </rPh>
    <phoneticPr fontId="4"/>
  </si>
  <si>
    <t>平具蘭土　来安</t>
    <rPh sb="0" eb="4">
      <t>ヘイグランツチ</t>
    </rPh>
    <rPh sb="5" eb="7">
      <t>ライアン</t>
    </rPh>
    <phoneticPr fontId="4"/>
  </si>
  <si>
    <t>打席利用</t>
    <phoneticPr fontId="4"/>
  </si>
  <si>
    <t>体験利用</t>
    <rPh sb="0" eb="4">
      <t>タイケンリヨウ</t>
    </rPh>
    <phoneticPr fontId="4"/>
  </si>
  <si>
    <t>現金</t>
    <rPh sb="0" eb="2">
      <t>ゲンキン</t>
    </rPh>
    <phoneticPr fontId="4"/>
  </si>
  <si>
    <t>利用料</t>
    <rPh sb="0" eb="3">
      <t>リヨウリョウ</t>
    </rPh>
    <phoneticPr fontId="4"/>
  </si>
  <si>
    <t>レギュラー　0.75ケ月</t>
    <phoneticPr fontId="4"/>
  </si>
  <si>
    <t>坂東　俊哉</t>
    <rPh sb="0" eb="2">
      <t>バンドウ</t>
    </rPh>
    <phoneticPr fontId="4"/>
  </si>
  <si>
    <t>販売</t>
    <rPh sb="0" eb="2">
      <t>ハンバイ</t>
    </rPh>
    <phoneticPr fontId="4"/>
  </si>
  <si>
    <t>スリクソン　Z-STAR XV</t>
    <phoneticPr fontId="4"/>
  </si>
  <si>
    <t>西山　権一</t>
    <rPh sb="0" eb="2">
      <t>ニシヤマ</t>
    </rPh>
    <rPh sb="3" eb="4">
      <t>ケン</t>
    </rPh>
    <rPh sb="4" eb="5">
      <t>イチ</t>
    </rPh>
    <phoneticPr fontId="4"/>
  </si>
  <si>
    <t>タイトリスト　proV1</t>
    <phoneticPr fontId="4"/>
  </si>
  <si>
    <t>喜多　徹</t>
    <rPh sb="0" eb="2">
      <t>キタ</t>
    </rPh>
    <rPh sb="3" eb="4">
      <t>トオル</t>
    </rPh>
    <phoneticPr fontId="4"/>
  </si>
  <si>
    <t>グリップ</t>
    <phoneticPr fontId="4"/>
  </si>
  <si>
    <t>golf pride  tour velvetラバー</t>
    <phoneticPr fontId="4"/>
  </si>
  <si>
    <t>高橋　慶</t>
    <rPh sb="0" eb="2">
      <t>タカハシ</t>
    </rPh>
    <rPh sb="3" eb="4">
      <t>ケイ</t>
    </rPh>
    <phoneticPr fontId="4"/>
  </si>
  <si>
    <t>鶴田　崇介</t>
    <rPh sb="0" eb="2">
      <t>ツルタ</t>
    </rPh>
    <rPh sb="3" eb="4">
      <t>タカシ</t>
    </rPh>
    <rPh sb="4" eb="5">
      <t>スケ</t>
    </rPh>
    <phoneticPr fontId="4"/>
  </si>
  <si>
    <t>福田　潤</t>
    <rPh sb="0" eb="2">
      <t>フクダ</t>
    </rPh>
    <rPh sb="3" eb="4">
      <t>ジュン</t>
    </rPh>
    <phoneticPr fontId="4"/>
  </si>
  <si>
    <t>森井　淳司</t>
    <rPh sb="0" eb="2">
      <t>モリイ</t>
    </rPh>
    <rPh sb="3" eb="5">
      <t>ジュンジ</t>
    </rPh>
    <phoneticPr fontId="4"/>
  </si>
  <si>
    <t>販売</t>
    <rPh sb="0" eb="2">
      <t>ハンバイ</t>
    </rPh>
    <phoneticPr fontId="4"/>
  </si>
  <si>
    <t>グリップ</t>
    <phoneticPr fontId="4"/>
  </si>
  <si>
    <t>iomic LTCi-x2.3オレンジ</t>
    <phoneticPr fontId="4"/>
  </si>
  <si>
    <t>sticky evolution 2.3 ブラック（無）</t>
    <phoneticPr fontId="4"/>
  </si>
  <si>
    <t>東　慎一郎</t>
    <rPh sb="0" eb="1">
      <t>アズマ</t>
    </rPh>
    <rPh sb="2" eb="5">
      <t>シンイチロウ</t>
    </rPh>
    <phoneticPr fontId="4"/>
  </si>
  <si>
    <t>利用料</t>
    <rPh sb="0" eb="3">
      <t>リヨウリョウ</t>
    </rPh>
    <phoneticPr fontId="4"/>
  </si>
  <si>
    <t>フィッティング</t>
    <phoneticPr fontId="4"/>
  </si>
  <si>
    <t>55分(ビジター)</t>
    <rPh sb="2" eb="3">
      <t>フン</t>
    </rPh>
    <phoneticPr fontId="4"/>
  </si>
  <si>
    <t>レギュラー0.5ヶ月分</t>
    <rPh sb="9" eb="11">
      <t>ゲツブン</t>
    </rPh>
    <phoneticPr fontId="4"/>
  </si>
  <si>
    <t>田中　真澄</t>
    <rPh sb="0" eb="2">
      <t>タナカ</t>
    </rPh>
    <rPh sb="3" eb="5">
      <t>マスミ</t>
    </rPh>
    <phoneticPr fontId="4"/>
  </si>
  <si>
    <t>打席利用</t>
    <phoneticPr fontId="4"/>
  </si>
  <si>
    <t>体験利用</t>
    <rPh sb="0" eb="4">
      <t>タイケンリヨウ</t>
    </rPh>
    <phoneticPr fontId="4"/>
  </si>
  <si>
    <t>明石　寿文</t>
    <rPh sb="0" eb="2">
      <t>アカシ</t>
    </rPh>
    <rPh sb="3" eb="5">
      <t>トシフミ</t>
    </rPh>
    <phoneticPr fontId="4"/>
  </si>
  <si>
    <t>55分(会員)</t>
    <rPh sb="2" eb="3">
      <t>フン</t>
    </rPh>
    <rPh sb="4" eb="6">
      <t>カイイン</t>
    </rPh>
    <phoneticPr fontId="4"/>
  </si>
  <si>
    <t>石本　脩真</t>
    <rPh sb="0" eb="2">
      <t>イシモト</t>
    </rPh>
    <rPh sb="3" eb="4">
      <t>シュウ</t>
    </rPh>
    <rPh sb="4" eb="5">
      <t>マ</t>
    </rPh>
    <phoneticPr fontId="4"/>
  </si>
  <si>
    <t>販売</t>
    <rPh sb="0" eb="2">
      <t>ハンバイ</t>
    </rPh>
    <phoneticPr fontId="4"/>
  </si>
  <si>
    <t>タイトリスト　proV1X</t>
    <phoneticPr fontId="4"/>
  </si>
  <si>
    <t>イシカワ　タカヒロ</t>
    <phoneticPr fontId="4"/>
  </si>
  <si>
    <t>販売</t>
    <rPh sb="0" eb="2">
      <t>ハンバイ</t>
    </rPh>
    <phoneticPr fontId="4"/>
  </si>
  <si>
    <t>グリップ</t>
    <phoneticPr fontId="4"/>
  </si>
  <si>
    <t>ビジター</t>
    <phoneticPr fontId="4"/>
  </si>
  <si>
    <t>golf pride MCC</t>
    <phoneticPr fontId="4"/>
  </si>
  <si>
    <t>販売</t>
    <rPh sb="0" eb="2">
      <t>ハンバイ</t>
    </rPh>
    <phoneticPr fontId="4"/>
  </si>
  <si>
    <t>iomic ix touch イエロー(有)</t>
    <rPh sb="20" eb="21">
      <t>アリ</t>
    </rPh>
    <phoneticPr fontId="4"/>
  </si>
  <si>
    <t>iomic Moebius Black1.8LTCスカイブルー(無)</t>
    <rPh sb="32" eb="33">
      <t>ナ</t>
    </rPh>
    <phoneticPr fontId="4"/>
  </si>
  <si>
    <t>戸田　茂之</t>
    <rPh sb="0" eb="2">
      <t>トダ</t>
    </rPh>
    <rPh sb="3" eb="5">
      <t>シゲユキ</t>
    </rPh>
    <phoneticPr fontId="4"/>
  </si>
  <si>
    <t>利用料</t>
    <rPh sb="0" eb="3">
      <t>リヨウリョウ</t>
    </rPh>
    <phoneticPr fontId="4"/>
  </si>
  <si>
    <t>フィッティング</t>
    <phoneticPr fontId="4"/>
  </si>
  <si>
    <t>110分ビジター</t>
    <rPh sb="3" eb="4">
      <t>フン</t>
    </rPh>
    <phoneticPr fontId="4"/>
  </si>
  <si>
    <t>現金</t>
    <rPh sb="0" eb="2">
      <t>ゲンキン</t>
    </rPh>
    <phoneticPr fontId="4"/>
  </si>
  <si>
    <t>東田　康広</t>
    <rPh sb="0" eb="2">
      <t>ヒガシダ</t>
    </rPh>
    <rPh sb="3" eb="5">
      <t>ヤスヒロ</t>
    </rPh>
    <phoneticPr fontId="4"/>
  </si>
  <si>
    <t>シャフト</t>
    <phoneticPr fontId="4"/>
  </si>
  <si>
    <t>VENTUSブラック6X</t>
    <phoneticPr fontId="4"/>
  </si>
  <si>
    <t>グリップ</t>
    <phoneticPr fontId="4"/>
  </si>
  <si>
    <t>perfect pro MCC ALIGN STDホワイト</t>
    <phoneticPr fontId="4"/>
  </si>
  <si>
    <t>奥田　健介</t>
    <rPh sb="0" eb="2">
      <t>オクダ</t>
    </rPh>
    <rPh sb="3" eb="5">
      <t>ケンスケ</t>
    </rPh>
    <phoneticPr fontId="4"/>
  </si>
  <si>
    <t>打席利用</t>
    <phoneticPr fontId="4"/>
  </si>
  <si>
    <t>体験利用</t>
    <rPh sb="0" eb="4">
      <t>タイケンリヨウ</t>
    </rPh>
    <phoneticPr fontId="4"/>
  </si>
  <si>
    <t>堀　裕太</t>
    <rPh sb="0" eb="1">
      <t>ホリ</t>
    </rPh>
    <rPh sb="2" eb="4">
      <t>ユウタ</t>
    </rPh>
    <phoneticPr fontId="4"/>
  </si>
  <si>
    <t>55分ビジター</t>
    <rPh sb="2" eb="3">
      <t>フン</t>
    </rPh>
    <phoneticPr fontId="4"/>
  </si>
  <si>
    <t>販売</t>
    <rPh sb="0" eb="2">
      <t>ハンバイ</t>
    </rPh>
    <phoneticPr fontId="4"/>
  </si>
  <si>
    <t>グローブ</t>
    <phoneticPr fontId="4"/>
  </si>
  <si>
    <t>フォーサリンクレザー23cm</t>
    <phoneticPr fontId="4"/>
  </si>
  <si>
    <t>葛井　啓三</t>
    <rPh sb="0" eb="2">
      <t>カツイ</t>
    </rPh>
    <rPh sb="3" eb="5">
      <t>ケイゾウ</t>
    </rPh>
    <phoneticPr fontId="4"/>
  </si>
  <si>
    <t>販売</t>
    <rPh sb="0" eb="2">
      <t>ハンバイ</t>
    </rPh>
    <phoneticPr fontId="4"/>
  </si>
  <si>
    <t>グリップ</t>
    <phoneticPr fontId="4"/>
  </si>
  <si>
    <t>STM S-1 プロトタイプ</t>
    <phoneticPr fontId="4"/>
  </si>
  <si>
    <t>河端　正典</t>
    <rPh sb="0" eb="2">
      <t>カワバタ</t>
    </rPh>
    <rPh sb="3" eb="5">
      <t>マサノリ</t>
    </rPh>
    <phoneticPr fontId="4"/>
  </si>
  <si>
    <t>利用料</t>
    <rPh sb="0" eb="3">
      <t>リヨウリョウ</t>
    </rPh>
    <phoneticPr fontId="4"/>
  </si>
  <si>
    <t>フィッティング</t>
    <phoneticPr fontId="4"/>
  </si>
  <si>
    <t>ビジター(110分)</t>
    <rPh sb="8" eb="9">
      <t>フン</t>
    </rPh>
    <phoneticPr fontId="4"/>
  </si>
  <si>
    <t>前田　宗貴</t>
    <rPh sb="0" eb="2">
      <t>マエダ</t>
    </rPh>
    <rPh sb="3" eb="5">
      <t>ムネタカ</t>
    </rPh>
    <phoneticPr fontId="4"/>
  </si>
  <si>
    <t>販売</t>
    <rPh sb="0" eb="2">
      <t>ハンバイ</t>
    </rPh>
    <phoneticPr fontId="4"/>
  </si>
  <si>
    <t>フジクラVENTUS BLACK6 60S</t>
    <phoneticPr fontId="4"/>
  </si>
  <si>
    <t>フジクラVENTUS BLACK 7S</t>
    <phoneticPr fontId="4"/>
  </si>
  <si>
    <t>X-evolution レッド</t>
    <phoneticPr fontId="4"/>
  </si>
  <si>
    <t>西村　純子</t>
    <rPh sb="0" eb="2">
      <t>ニシムラ</t>
    </rPh>
    <rPh sb="3" eb="5">
      <t>ジュンコ</t>
    </rPh>
    <phoneticPr fontId="4"/>
  </si>
  <si>
    <t>ビジター(55分)</t>
    <rPh sb="7" eb="8">
      <t>フン</t>
    </rPh>
    <phoneticPr fontId="4"/>
  </si>
  <si>
    <t>現金</t>
    <rPh sb="0" eb="2">
      <t>ゲンキン</t>
    </rPh>
    <phoneticPr fontId="4"/>
  </si>
  <si>
    <t>Arch For Driver 164α-21</t>
    <phoneticPr fontId="4"/>
  </si>
  <si>
    <t>グリップ</t>
    <phoneticPr fontId="4"/>
  </si>
  <si>
    <t>perfect pro Xソフトレディース ブルー</t>
    <phoneticPr fontId="4"/>
  </si>
  <si>
    <t>和田　守</t>
    <rPh sb="0" eb="2">
      <t>ワダ</t>
    </rPh>
    <rPh sb="3" eb="4">
      <t>マモ</t>
    </rPh>
    <phoneticPr fontId="4"/>
  </si>
  <si>
    <t>Arch For Driver 164α-20</t>
    <phoneticPr fontId="4"/>
  </si>
  <si>
    <t>sticky evolution 2.3 ブラック（有）</t>
    <phoneticPr fontId="4"/>
  </si>
  <si>
    <t>TALORMADE</t>
    <phoneticPr fontId="4"/>
  </si>
  <si>
    <t>志野さん紹介</t>
    <rPh sb="0" eb="2">
      <t>シノ</t>
    </rPh>
    <rPh sb="4" eb="6">
      <t>ショウカイ</t>
    </rPh>
    <phoneticPr fontId="4"/>
  </si>
  <si>
    <t>奥田　健介</t>
    <rPh sb="3" eb="5">
      <t>ケンスケ</t>
    </rPh>
    <phoneticPr fontId="4"/>
  </si>
  <si>
    <t>レギュラー0.25ヶ月分</t>
    <rPh sb="10" eb="12">
      <t>ゲツブン</t>
    </rPh>
    <phoneticPr fontId="4"/>
  </si>
  <si>
    <t>レギュラー1ヶ月分</t>
    <rPh sb="7" eb="9">
      <t>ゲツブン</t>
    </rPh>
    <phoneticPr fontId="4"/>
  </si>
  <si>
    <t>グリップ</t>
  </si>
  <si>
    <t>tour snsr contour104</t>
    <phoneticPr fontId="4"/>
  </si>
  <si>
    <t>神崎　二慎</t>
    <rPh sb="0" eb="2">
      <t>カンザキ</t>
    </rPh>
    <rPh sb="3" eb="4">
      <t>ニ</t>
    </rPh>
    <rPh sb="4" eb="5">
      <t>シン</t>
    </rPh>
    <phoneticPr fontId="4"/>
  </si>
  <si>
    <t>利用料</t>
    <rPh sb="0" eb="3">
      <t>リヨウリョウ</t>
    </rPh>
    <phoneticPr fontId="4"/>
  </si>
  <si>
    <t>打席利用</t>
    <phoneticPr fontId="4"/>
  </si>
  <si>
    <t>体験利用</t>
    <rPh sb="0" eb="4">
      <t>タイケンリヨウ</t>
    </rPh>
    <phoneticPr fontId="4"/>
  </si>
  <si>
    <t>シャフト試打</t>
    <rPh sb="4" eb="6">
      <t>シダ</t>
    </rPh>
    <phoneticPr fontId="4"/>
  </si>
  <si>
    <t>現金</t>
    <rPh sb="0" eb="2">
      <t>ゲンキン</t>
    </rPh>
    <phoneticPr fontId="4"/>
  </si>
  <si>
    <t>山口　昌良</t>
    <rPh sb="0" eb="2">
      <t>ヤマグチ</t>
    </rPh>
    <rPh sb="3" eb="5">
      <t>マサヨシ</t>
    </rPh>
    <phoneticPr fontId="4"/>
  </si>
  <si>
    <t>ビジター(夫馬プロ紹介)</t>
    <rPh sb="5" eb="6">
      <t>オット</t>
    </rPh>
    <rPh sb="6" eb="7">
      <t>ウマ</t>
    </rPh>
    <rPh sb="9" eb="11">
      <t>ショウカイ</t>
    </rPh>
    <phoneticPr fontId="4"/>
  </si>
  <si>
    <t>中尾　正</t>
    <rPh sb="0" eb="2">
      <t>ナカオ</t>
    </rPh>
    <rPh sb="3" eb="4">
      <t>タダ</t>
    </rPh>
    <phoneticPr fontId="4"/>
  </si>
  <si>
    <t>ライト1ヶ月分</t>
    <rPh sb="5" eb="7">
      <t>ゲツブン</t>
    </rPh>
    <phoneticPr fontId="4"/>
  </si>
  <si>
    <t>江川　忠範</t>
    <rPh sb="0" eb="2">
      <t>エガワ</t>
    </rPh>
    <rPh sb="3" eb="5">
      <t>タダノリ</t>
    </rPh>
    <phoneticPr fontId="4"/>
  </si>
  <si>
    <t>山田　正樹</t>
    <rPh sb="0" eb="2">
      <t>ヤマダ</t>
    </rPh>
    <rPh sb="3" eb="5">
      <t>マサキ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</si>
  <si>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</si>
  <si>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</si>
  <si>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三菱ケミカルTENSEI PRO ORANGE 1K 50S</t>
    <rPh sb="0" eb="2">
      <t>ミツビシ</t>
    </rPh>
    <phoneticPr fontId="4"/>
  </si>
  <si>
    <t>sticky evolution 2.3 ブラック（有）</t>
    <rPh sb="26" eb="27">
      <t>アリ</t>
    </rPh>
    <phoneticPr fontId="4"/>
  </si>
  <si>
    <t>3回目</t>
    <rPh sb="1" eb="3">
      <t>カイメ</t>
    </rPh>
    <phoneticPr fontId="4"/>
  </si>
  <si>
    <t>竹内　直之</t>
    <rPh sb="0" eb="2">
      <t>タケウチ</t>
    </rPh>
    <rPh sb="3" eb="5">
      <t>ナオユキ</t>
    </rPh>
    <phoneticPr fontId="4"/>
  </si>
  <si>
    <t>販売</t>
    <rPh sb="0" eb="2">
      <t>ハンバイ</t>
    </rPh>
    <phoneticPr fontId="4"/>
  </si>
  <si>
    <t>ドライバー</t>
    <phoneticPr fontId="4"/>
  </si>
  <si>
    <t>グリップ</t>
    <phoneticPr fontId="4"/>
  </si>
  <si>
    <t>フジクラAir Speeder 1FLEX</t>
    <phoneticPr fontId="4"/>
  </si>
  <si>
    <t>BALDO DRIVER SKY DRIVE</t>
    <phoneticPr fontId="4"/>
  </si>
  <si>
    <t>BALDO</t>
    <phoneticPr fontId="4"/>
  </si>
  <si>
    <t>Sticky1.8 lightブラック</t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</si>
  <si>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</si>
  <si>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</si>
  <si>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フジクラDR DIAMOND SPEEDER SPD3 R</t>
    <phoneticPr fontId="4"/>
  </si>
  <si>
    <t>フジクラFW Speeder EVOLUTION VI FW50S</t>
    <phoneticPr fontId="4"/>
  </si>
  <si>
    <t>グリップ</t>
    <phoneticPr fontId="4"/>
  </si>
  <si>
    <t>iomic Sticky1.8super lightブラック</t>
    <phoneticPr fontId="4"/>
  </si>
  <si>
    <t>奥村　智之</t>
    <rPh sb="0" eb="2">
      <t>オクムラ</t>
    </rPh>
    <rPh sb="3" eb="5">
      <t>トモユキ</t>
    </rPh>
    <phoneticPr fontId="4"/>
  </si>
  <si>
    <t>ビジター(55分)(小川うらら紹介)</t>
    <rPh sb="7" eb="8">
      <t>フン</t>
    </rPh>
    <rPh sb="10" eb="12">
      <t>オガワ</t>
    </rPh>
    <rPh sb="15" eb="17">
      <t>ショウカイ</t>
    </rPh>
    <phoneticPr fontId="4"/>
  </si>
  <si>
    <t>廣瀬　真由子</t>
    <rPh sb="0" eb="2">
      <t>ヒロセ</t>
    </rPh>
    <rPh sb="3" eb="6">
      <t>マユコ</t>
    </rPh>
    <phoneticPr fontId="4"/>
  </si>
  <si>
    <t>利用料</t>
    <rPh sb="0" eb="3">
      <t>リヨウリョウ</t>
    </rPh>
    <phoneticPr fontId="4"/>
  </si>
  <si>
    <t>体験利用</t>
    <rPh sb="0" eb="4">
      <t>タイケンリヨウ</t>
    </rPh>
    <phoneticPr fontId="4"/>
  </si>
  <si>
    <t>※下記、廣瀬様のお会計も同時にお支払い</t>
    <rPh sb="1" eb="3">
      <t>カキ</t>
    </rPh>
    <rPh sb="4" eb="7">
      <t>ヒロセサマ</t>
    </rPh>
    <rPh sb="9" eb="11">
      <t>カイケイ</t>
    </rPh>
    <rPh sb="12" eb="14">
      <t>ドウジ</t>
    </rPh>
    <rPh sb="16" eb="18">
      <t>シハラ</t>
    </rPh>
    <phoneticPr fontId="4"/>
  </si>
  <si>
    <t>※上記</t>
    <rPh sb="1" eb="3">
      <t>ジョウキ</t>
    </rPh>
    <phoneticPr fontId="4"/>
  </si>
  <si>
    <t>フジクラDR Speeder EVOLUTION V SPD 757S</t>
    <phoneticPr fontId="4"/>
  </si>
  <si>
    <t>渡邊　慎弥</t>
    <rPh sb="0" eb="2">
      <t>ワタナベ</t>
    </rPh>
    <rPh sb="3" eb="4">
      <t>ツツシ</t>
    </rPh>
    <rPh sb="4" eb="5">
      <t>ヤ</t>
    </rPh>
    <phoneticPr fontId="4"/>
  </si>
  <si>
    <t>利用料</t>
    <rPh sb="0" eb="3">
      <t>リヨウリョウ</t>
    </rPh>
    <phoneticPr fontId="4"/>
  </si>
  <si>
    <t>シャフト試打</t>
    <rPh sb="4" eb="6">
      <t>シダ</t>
    </rPh>
    <phoneticPr fontId="4"/>
  </si>
  <si>
    <t>スタッフ紹介打席</t>
    <rPh sb="4" eb="6">
      <t>ショウカイ</t>
    </rPh>
    <rPh sb="6" eb="8">
      <t>ダセキ</t>
    </rPh>
    <phoneticPr fontId="4"/>
  </si>
  <si>
    <t>東野　文也</t>
    <rPh sb="0" eb="2">
      <t>ヒガシノ</t>
    </rPh>
    <rPh sb="3" eb="5">
      <t>フミヤ</t>
    </rPh>
    <phoneticPr fontId="4"/>
  </si>
  <si>
    <t>販売</t>
    <rPh sb="0" eb="2">
      <t>ハンバイ</t>
    </rPh>
    <phoneticPr fontId="4"/>
  </si>
  <si>
    <t>TOUR B XS</t>
    <phoneticPr fontId="4"/>
  </si>
  <si>
    <t>上田　恭司</t>
    <rPh sb="0" eb="2">
      <t>ウエダ</t>
    </rPh>
    <rPh sb="3" eb="5">
      <t>キョウジ</t>
    </rPh>
    <phoneticPr fontId="4"/>
  </si>
  <si>
    <t>シャフト</t>
    <phoneticPr fontId="4"/>
  </si>
  <si>
    <t>フジクラDR VENYUS BLUE 6 S</t>
    <phoneticPr fontId="4"/>
  </si>
  <si>
    <t>PING G410</t>
    <phoneticPr fontId="4"/>
  </si>
  <si>
    <t>グリップ</t>
    <phoneticPr fontId="4"/>
  </si>
  <si>
    <t>CADERO 2×2グリップUTペンタゴンスター入りblack/red</t>
    <rPh sb="24" eb="25">
      <t>イ</t>
    </rPh>
    <phoneticPr fontId="4"/>
  </si>
  <si>
    <t>タイトリストProV1x</t>
    <phoneticPr fontId="4"/>
  </si>
  <si>
    <t>販売</t>
    <rPh sb="0" eb="2">
      <t>ハンバイ</t>
    </rPh>
    <phoneticPr fontId="4"/>
  </si>
  <si>
    <t>芦田　一憲</t>
    <rPh sb="0" eb="2">
      <t>アシダ</t>
    </rPh>
    <rPh sb="3" eb="4">
      <t>イチ</t>
    </rPh>
    <phoneticPr fontId="4"/>
  </si>
  <si>
    <t>シャフト</t>
    <phoneticPr fontId="4"/>
  </si>
  <si>
    <t>ARCH FW WL-01-22</t>
    <phoneticPr fontId="4"/>
  </si>
  <si>
    <t>TALORMADE</t>
    <phoneticPr fontId="4"/>
  </si>
  <si>
    <t>iomic sticky evolution 2.3 青（有）</t>
    <phoneticPr fontId="4"/>
  </si>
  <si>
    <t>グリップ</t>
    <phoneticPr fontId="4"/>
  </si>
  <si>
    <t>矢倉　得正</t>
    <rPh sb="0" eb="2">
      <t>ヤグラ</t>
    </rPh>
    <rPh sb="3" eb="4">
      <t>トク</t>
    </rPh>
    <rPh sb="4" eb="5">
      <t>マサ</t>
    </rPh>
    <phoneticPr fontId="4"/>
  </si>
  <si>
    <t>販売</t>
    <rPh sb="0" eb="2">
      <t>ハンバイ</t>
    </rPh>
    <phoneticPr fontId="4"/>
  </si>
  <si>
    <t>グリップ</t>
    <phoneticPr fontId="4"/>
  </si>
  <si>
    <t>iomic sticky evolution 2.3 赤（無）</t>
    <rPh sb="27" eb="28">
      <t>アカ</t>
    </rPh>
    <rPh sb="29" eb="30">
      <t>ナ</t>
    </rPh>
    <phoneticPr fontId="4"/>
  </si>
  <si>
    <t>江川　忠範</t>
    <rPh sb="0" eb="2">
      <t>エガワ</t>
    </rPh>
    <rPh sb="3" eb="4">
      <t>タダシ</t>
    </rPh>
    <rPh sb="4" eb="5">
      <t>ハン</t>
    </rPh>
    <phoneticPr fontId="4"/>
  </si>
  <si>
    <t>販売</t>
    <rPh sb="0" eb="2">
      <t>ハンバイ</t>
    </rPh>
    <phoneticPr fontId="4"/>
  </si>
  <si>
    <t>手袋</t>
    <rPh sb="0" eb="2">
      <t>テブクロ</t>
    </rPh>
    <phoneticPr fontId="4"/>
  </si>
  <si>
    <t>ZERO FIT 左手24cm</t>
    <rPh sb="9" eb="11">
      <t>ヒダリテ</t>
    </rPh>
    <phoneticPr fontId="4"/>
  </si>
  <si>
    <t>現金</t>
    <rPh sb="0" eb="2">
      <t>ゲンキン</t>
    </rPh>
    <phoneticPr fontId="4"/>
  </si>
  <si>
    <t>堀古　一男</t>
    <rPh sb="0" eb="1">
      <t>ホリ</t>
    </rPh>
    <rPh sb="1" eb="2">
      <t>コ</t>
    </rPh>
    <rPh sb="3" eb="5">
      <t>カズオ</t>
    </rPh>
    <phoneticPr fontId="4"/>
  </si>
  <si>
    <t>中野　和夫</t>
    <rPh sb="0" eb="2">
      <t>ナカノ</t>
    </rPh>
    <rPh sb="3" eb="5">
      <t>カズオ</t>
    </rPh>
    <phoneticPr fontId="4"/>
  </si>
  <si>
    <t>藤原　利貞</t>
    <rPh sb="0" eb="2">
      <t>フジワラ</t>
    </rPh>
    <rPh sb="3" eb="4">
      <t>トシ</t>
    </rPh>
    <rPh sb="4" eb="5">
      <t>サダ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</si>
  <si>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</si>
  <si>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</si>
  <si>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シャフト</t>
    <phoneticPr fontId="4"/>
  </si>
  <si>
    <t>デザインチューニングDR ZERO XROSS 40S</t>
    <phoneticPr fontId="4"/>
  </si>
  <si>
    <t xml:space="preserve">デザインチューニングFW ZERO FW 45 S </t>
    <phoneticPr fontId="4"/>
  </si>
  <si>
    <t>テイラーメイド　ステルスドライバー 右12°</t>
    <rPh sb="18" eb="19">
      <t>ミギ</t>
    </rPh>
    <phoneticPr fontId="4"/>
  </si>
  <si>
    <t>グリップ</t>
    <phoneticPr fontId="4"/>
  </si>
  <si>
    <t>Golf Pride MCC</t>
    <phoneticPr fontId="4"/>
  </si>
  <si>
    <t>Golf Pride MCC+4ALIGHN STD</t>
    <phoneticPr fontId="4"/>
  </si>
  <si>
    <t>Super stroke mid slim 2.0</t>
    <phoneticPr fontId="4"/>
  </si>
  <si>
    <t>岡﨑　陽介</t>
    <rPh sb="0" eb="2">
      <t>オカザキ</t>
    </rPh>
    <rPh sb="3" eb="5">
      <t>ヨウスケ</t>
    </rPh>
    <phoneticPr fontId="4"/>
  </si>
  <si>
    <t>販売</t>
    <rPh sb="0" eb="2">
      <t>ハンバイ</t>
    </rPh>
    <phoneticPr fontId="4"/>
  </si>
  <si>
    <t>Golf Pride Tour velvet ラバー</t>
    <phoneticPr fontId="4"/>
  </si>
  <si>
    <t>現金</t>
    <rPh sb="0" eb="2">
      <t>ゲンキン</t>
    </rPh>
    <phoneticPr fontId="4"/>
  </si>
  <si>
    <t>高垣　全晴</t>
    <rPh sb="0" eb="2">
      <t>タカガキ</t>
    </rPh>
    <rPh sb="3" eb="4">
      <t>ゼン</t>
    </rPh>
    <rPh sb="4" eb="5">
      <t>ハレ</t>
    </rPh>
    <phoneticPr fontId="4"/>
  </si>
  <si>
    <t>利用料</t>
    <rPh sb="0" eb="3">
      <t>リヨウリョウ</t>
    </rPh>
    <phoneticPr fontId="4"/>
  </si>
  <si>
    <t>体験利用</t>
    <rPh sb="0" eb="4">
      <t>タイケンリヨウ</t>
    </rPh>
    <phoneticPr fontId="4"/>
  </si>
  <si>
    <t>西山　権一</t>
    <rPh sb="0" eb="2">
      <t>ニシヤマ</t>
    </rPh>
    <rPh sb="3" eb="4">
      <t>ケン</t>
    </rPh>
    <rPh sb="4" eb="5">
      <t>イチ</t>
    </rPh>
    <phoneticPr fontId="4"/>
  </si>
  <si>
    <t>ライト　１ヶ月</t>
    <phoneticPr fontId="4"/>
  </si>
  <si>
    <t>レギュラー　１ヶ月</t>
    <phoneticPr fontId="4"/>
  </si>
  <si>
    <t>松原　基貞</t>
    <rPh sb="0" eb="2">
      <t>マツバラ</t>
    </rPh>
    <rPh sb="3" eb="4">
      <t>モト</t>
    </rPh>
    <rPh sb="4" eb="5">
      <t>サダ</t>
    </rPh>
    <phoneticPr fontId="4"/>
  </si>
  <si>
    <t>現金</t>
    <rPh sb="0" eb="2">
      <t>ゲンキン</t>
    </rPh>
    <phoneticPr fontId="4"/>
  </si>
  <si>
    <t>長嶺　勝斗</t>
    <rPh sb="0" eb="2">
      <t>ナガミネ</t>
    </rPh>
    <rPh sb="3" eb="5">
      <t>カツト</t>
    </rPh>
    <phoneticPr fontId="4"/>
  </si>
  <si>
    <t>販売</t>
    <rPh sb="0" eb="2">
      <t>ハンバイ</t>
    </rPh>
    <phoneticPr fontId="4"/>
  </si>
  <si>
    <t>グリップ</t>
    <phoneticPr fontId="4"/>
  </si>
  <si>
    <t>加藤　辰信</t>
    <rPh sb="0" eb="2">
      <t>カトウ</t>
    </rPh>
    <rPh sb="3" eb="5">
      <t>タツノブ</t>
    </rPh>
    <phoneticPr fontId="4"/>
  </si>
  <si>
    <t>シャフト</t>
    <phoneticPr fontId="4"/>
  </si>
  <si>
    <t>デザインチューニングDR ZERO XROSS 40R</t>
    <phoneticPr fontId="4"/>
  </si>
  <si>
    <t>テーラーメイド</t>
    <phoneticPr fontId="4"/>
  </si>
  <si>
    <t>上田　恭司</t>
    <rPh sb="0" eb="2">
      <t>ウエダ</t>
    </rPh>
    <rPh sb="3" eb="5">
      <t>キョウジ</t>
    </rPh>
    <phoneticPr fontId="4"/>
  </si>
  <si>
    <t>フジクラ MCI 90S 39inch</t>
    <phoneticPr fontId="4"/>
  </si>
  <si>
    <t>CADERO 2×2グリップUTペンタゴンスター入りwhite/red</t>
    <phoneticPr fontId="4"/>
  </si>
  <si>
    <t>社長の紹介</t>
    <rPh sb="0" eb="2">
      <t>シャチョウ</t>
    </rPh>
    <rPh sb="3" eb="5">
      <t>ショウカイ</t>
    </rPh>
    <phoneticPr fontId="4"/>
  </si>
  <si>
    <t>堀古　一男</t>
    <rPh sb="0" eb="1">
      <t>ホリ</t>
    </rPh>
    <rPh sb="1" eb="2">
      <t>コ</t>
    </rPh>
    <rPh sb="3" eb="5">
      <t>カズオ</t>
    </rPh>
    <phoneticPr fontId="4"/>
  </si>
  <si>
    <t>販売</t>
    <rPh sb="0" eb="2">
      <t>ハンバイ</t>
    </rPh>
    <phoneticPr fontId="4"/>
  </si>
  <si>
    <t>フォーサリンク レザー 23cm</t>
    <phoneticPr fontId="4"/>
  </si>
  <si>
    <t>現金</t>
    <rPh sb="0" eb="2">
      <t>ゲンキン</t>
    </rPh>
    <phoneticPr fontId="4"/>
  </si>
  <si>
    <t>現金</t>
    <rPh sb="0" eb="2">
      <t>ゲンキン</t>
    </rPh>
    <phoneticPr fontId="4"/>
  </si>
  <si>
    <t>森田　光昭</t>
    <rPh sb="0" eb="2">
      <t>モリタ</t>
    </rPh>
    <rPh sb="3" eb="4">
      <t>ヒカル</t>
    </rPh>
    <phoneticPr fontId="4"/>
  </si>
  <si>
    <t>販売</t>
    <rPh sb="0" eb="2">
      <t>ハンバイ</t>
    </rPh>
    <phoneticPr fontId="4"/>
  </si>
  <si>
    <t>グリップ</t>
    <phoneticPr fontId="4"/>
  </si>
  <si>
    <t>MCC+4 ALIGN STD</t>
    <phoneticPr fontId="4"/>
  </si>
  <si>
    <t>石田　直大</t>
    <rPh sb="0" eb="2">
      <t>イシダ</t>
    </rPh>
    <rPh sb="3" eb="4">
      <t>ナオ</t>
    </rPh>
    <rPh sb="4" eb="5">
      <t>ダイ</t>
    </rPh>
    <phoneticPr fontId="4"/>
  </si>
  <si>
    <t>月森　一延</t>
    <rPh sb="0" eb="2">
      <t>ツキモリ</t>
    </rPh>
    <rPh sb="3" eb="4">
      <t>イチ</t>
    </rPh>
    <rPh sb="4" eb="5">
      <t>ノ</t>
    </rPh>
    <phoneticPr fontId="4"/>
  </si>
  <si>
    <t>販売</t>
    <rPh sb="0" eb="2">
      <t>ハンバイ</t>
    </rPh>
    <phoneticPr fontId="4"/>
  </si>
  <si>
    <t>シャフト</t>
    <phoneticPr fontId="4"/>
  </si>
  <si>
    <t>DR LEXIA 6S</t>
    <phoneticPr fontId="4"/>
  </si>
  <si>
    <t>ヘッド</t>
    <phoneticPr fontId="4"/>
  </si>
  <si>
    <t>ステルスHD 右10.5°</t>
    <rPh sb="7" eb="8">
      <t>ミギ</t>
    </rPh>
    <phoneticPr fontId="4"/>
  </si>
  <si>
    <t>グリップ</t>
    <phoneticPr fontId="4"/>
  </si>
  <si>
    <t>stucky evolution2.3 青 有</t>
    <rPh sb="20" eb="21">
      <t>アオ</t>
    </rPh>
    <rPh sb="22" eb="23">
      <t>アリ</t>
    </rPh>
    <phoneticPr fontId="4"/>
  </si>
  <si>
    <t>中村　均</t>
    <rPh sb="0" eb="2">
      <t>ナカムラ</t>
    </rPh>
    <rPh sb="3" eb="4">
      <t>ヒトシ</t>
    </rPh>
    <phoneticPr fontId="4"/>
  </si>
  <si>
    <t>日本シャフトNS1050 GH35inch(ウェッジ)S</t>
    <rPh sb="0" eb="2">
      <t>ニホン</t>
    </rPh>
    <phoneticPr fontId="4"/>
  </si>
  <si>
    <t>吉川　法生</t>
    <rPh sb="0" eb="2">
      <t>キッカワ</t>
    </rPh>
    <rPh sb="3" eb="4">
      <t>ホウ</t>
    </rPh>
    <rPh sb="4" eb="5">
      <t>セイ</t>
    </rPh>
    <phoneticPr fontId="4"/>
  </si>
  <si>
    <t>販売</t>
    <rPh sb="0" eb="2">
      <t>ハンバイ</t>
    </rPh>
    <phoneticPr fontId="4"/>
  </si>
  <si>
    <t>その他作業</t>
    <rPh sb="2" eb="3">
      <t>タ</t>
    </rPh>
    <rPh sb="3" eb="5">
      <t>サギョウ</t>
    </rPh>
    <phoneticPr fontId="4"/>
  </si>
  <si>
    <t>シャフトカット</t>
    <phoneticPr fontId="4"/>
  </si>
  <si>
    <t>時計</t>
    <rPh sb="0" eb="2">
      <t>トケイ</t>
    </rPh>
    <phoneticPr fontId="4"/>
  </si>
  <si>
    <t>Eagle Vision Watch6(ホワイト)</t>
    <phoneticPr fontId="4"/>
  </si>
  <si>
    <t>現金</t>
    <rPh sb="0" eb="2">
      <t>ゲンキン</t>
    </rPh>
    <phoneticPr fontId="4"/>
  </si>
  <si>
    <t>原田　淳史</t>
    <rPh sb="0" eb="2">
      <t>ハラダ</t>
    </rPh>
    <rPh sb="3" eb="5">
      <t>アツシ</t>
    </rPh>
    <phoneticPr fontId="4"/>
  </si>
  <si>
    <t>西山　権一</t>
    <rPh sb="0" eb="2">
      <t>ニシヤマ</t>
    </rPh>
    <rPh sb="3" eb="4">
      <t>ケン</t>
    </rPh>
    <rPh sb="4" eb="5">
      <t>イチ</t>
    </rPh>
    <phoneticPr fontId="4"/>
  </si>
  <si>
    <t>ZERO FIT 18cm 左</t>
    <rPh sb="14" eb="15">
      <t>ヒダリ</t>
    </rPh>
    <phoneticPr fontId="4"/>
  </si>
  <si>
    <t>再入会</t>
    <rPh sb="0" eb="3">
      <t>サイニュウカイ</t>
    </rPh>
    <phoneticPr fontId="4"/>
  </si>
  <si>
    <t>高砂　行彦</t>
    <rPh sb="0" eb="2">
      <t>タカサゴ</t>
    </rPh>
    <rPh sb="3" eb="4">
      <t>イ</t>
    </rPh>
    <rPh sb="4" eb="5">
      <t>ヒコ</t>
    </rPh>
    <phoneticPr fontId="4"/>
  </si>
  <si>
    <t>計測器</t>
    <rPh sb="0" eb="3">
      <t>ケイソクキ</t>
    </rPh>
    <phoneticPr fontId="4"/>
  </si>
  <si>
    <t>EAGLE VISION WAtch6(ブラック)</t>
    <phoneticPr fontId="4"/>
  </si>
  <si>
    <t>中村　忠夫</t>
    <rPh sb="0" eb="2">
      <t>ナカムラ</t>
    </rPh>
    <rPh sb="3" eb="5">
      <t>タダオ</t>
    </rPh>
    <phoneticPr fontId="4"/>
  </si>
  <si>
    <t>レギュラー　0.75ヶ月</t>
    <phoneticPr fontId="4"/>
  </si>
  <si>
    <t>小林　誠</t>
    <rPh sb="0" eb="2">
      <t>コバヤシ</t>
    </rPh>
    <rPh sb="3" eb="4">
      <t>マコト</t>
    </rPh>
    <phoneticPr fontId="4"/>
  </si>
  <si>
    <t>現金</t>
    <rPh sb="0" eb="2">
      <t>ゲンキン</t>
    </rPh>
    <phoneticPr fontId="4"/>
  </si>
  <si>
    <t>土山　慶子</t>
    <rPh sb="0" eb="2">
      <t>ツチヤマ</t>
    </rPh>
    <rPh sb="3" eb="5">
      <t>ケイコ</t>
    </rPh>
    <phoneticPr fontId="4"/>
  </si>
  <si>
    <t>販売</t>
    <rPh sb="0" eb="2">
      <t>ハンバイ</t>
    </rPh>
    <phoneticPr fontId="4"/>
  </si>
  <si>
    <t>ZERO FIT 20cm 白 左</t>
    <rPh sb="14" eb="15">
      <t>シロ</t>
    </rPh>
    <rPh sb="16" eb="17">
      <t>ヒダリ</t>
    </rPh>
    <phoneticPr fontId="4"/>
  </si>
  <si>
    <t>ZERO FIT 20cm 白 右</t>
    <rPh sb="14" eb="15">
      <t>シロ</t>
    </rPh>
    <rPh sb="16" eb="17">
      <t>ミギ</t>
    </rPh>
    <phoneticPr fontId="4"/>
  </si>
  <si>
    <t>ZERO FIT 20cm 黒 左</t>
    <rPh sb="14" eb="15">
      <t>クロ</t>
    </rPh>
    <rPh sb="16" eb="17">
      <t>ヒダリ</t>
    </rPh>
    <phoneticPr fontId="4"/>
  </si>
  <si>
    <t>ZERO FIT 20cm 黒 右</t>
    <rPh sb="14" eb="15">
      <t>クロ</t>
    </rPh>
    <rPh sb="16" eb="17">
      <t>ミギ</t>
    </rPh>
    <phoneticPr fontId="4"/>
  </si>
  <si>
    <t>三浦　和夫</t>
    <rPh sb="0" eb="2">
      <t>ミウラ</t>
    </rPh>
    <rPh sb="3" eb="5">
      <t>カズオ</t>
    </rPh>
    <phoneticPr fontId="4"/>
  </si>
  <si>
    <t>利用料</t>
    <rPh sb="0" eb="3">
      <t>リヨウリョウ</t>
    </rPh>
    <phoneticPr fontId="4"/>
  </si>
  <si>
    <t>シャフト試打</t>
    <rPh sb="4" eb="6">
      <t>シダ</t>
    </rPh>
    <phoneticPr fontId="4"/>
  </si>
  <si>
    <t>松林　由晃</t>
    <rPh sb="0" eb="2">
      <t>マツバヤシ</t>
    </rPh>
    <rPh sb="3" eb="4">
      <t>ユ</t>
    </rPh>
    <rPh sb="4" eb="5">
      <t>アキラ</t>
    </rPh>
    <phoneticPr fontId="4"/>
  </si>
  <si>
    <t>土山　勝史</t>
    <rPh sb="0" eb="2">
      <t>ツチヤマ</t>
    </rPh>
    <rPh sb="3" eb="4">
      <t>マサル</t>
    </rPh>
    <rPh sb="4" eb="5">
      <t>シ</t>
    </rPh>
    <phoneticPr fontId="4"/>
  </si>
  <si>
    <t>舟元　佐京</t>
    <rPh sb="0" eb="2">
      <t>フナモト</t>
    </rPh>
    <rPh sb="3" eb="5">
      <t>サキョウ</t>
    </rPh>
    <phoneticPr fontId="4"/>
  </si>
  <si>
    <t>土山 慶子様のご家族</t>
    <rPh sb="0" eb="2">
      <t>ツチヤマ</t>
    </rPh>
    <rPh sb="3" eb="5">
      <t>ケイコ</t>
    </rPh>
    <rPh sb="5" eb="6">
      <t>サマ</t>
    </rPh>
    <rPh sb="8" eb="10">
      <t>カゾク</t>
    </rPh>
    <phoneticPr fontId="4"/>
  </si>
  <si>
    <t>松本　洋</t>
    <rPh sb="0" eb="2">
      <t>マツモト</t>
    </rPh>
    <rPh sb="3" eb="4">
      <t>ヨウ</t>
    </rPh>
    <phoneticPr fontId="4"/>
  </si>
  <si>
    <t>現金</t>
    <rPh sb="0" eb="2">
      <t>ゲンキン</t>
    </rPh>
    <phoneticPr fontId="4"/>
  </si>
  <si>
    <t>中西　美沙</t>
    <rPh sb="0" eb="2">
      <t>ナカニシ</t>
    </rPh>
    <rPh sb="3" eb="5">
      <t>ミサ</t>
    </rPh>
    <phoneticPr fontId="4"/>
  </si>
  <si>
    <t>レギュラー　0.75ヶ月</t>
  </si>
  <si>
    <t>ライト会員からレギュラー会員に変更</t>
    <rPh sb="3" eb="5">
      <t>カイイン</t>
    </rPh>
    <rPh sb="12" eb="14">
      <t>カイイン</t>
    </rPh>
    <rPh sb="15" eb="17">
      <t>ヘンコウ</t>
    </rPh>
    <phoneticPr fontId="4"/>
  </si>
  <si>
    <t>平石　喜代一</t>
    <rPh sb="0" eb="2">
      <t>ヒライシ</t>
    </rPh>
    <rPh sb="3" eb="4">
      <t>ヨロコ</t>
    </rPh>
    <rPh sb="4" eb="5">
      <t>ヨ</t>
    </rPh>
    <rPh sb="5" eb="6">
      <t>イチ</t>
    </rPh>
    <phoneticPr fontId="4"/>
  </si>
  <si>
    <t>坂東　俊哉</t>
    <rPh sb="0" eb="2">
      <t>バンドウ</t>
    </rPh>
    <rPh sb="3" eb="5">
      <t>トシヤ</t>
    </rPh>
    <phoneticPr fontId="4"/>
  </si>
  <si>
    <t>グリップ</t>
    <phoneticPr fontId="4"/>
  </si>
  <si>
    <t>perfect pro Xホールド ブラック ラバー</t>
    <phoneticPr fontId="4"/>
  </si>
  <si>
    <t>東田　康弘</t>
    <rPh sb="0" eb="2">
      <t>ヒガシダ</t>
    </rPh>
    <rPh sb="3" eb="5">
      <t>ヤスヒロ</t>
    </rPh>
    <phoneticPr fontId="4"/>
  </si>
  <si>
    <t>販売</t>
    <rPh sb="0" eb="2">
      <t>ハンバイ</t>
    </rPh>
    <phoneticPr fontId="4"/>
  </si>
  <si>
    <t>Z STAR XV(イエロー)</t>
    <phoneticPr fontId="4"/>
  </si>
  <si>
    <t>福元　学</t>
    <rPh sb="0" eb="2">
      <t>フクモト</t>
    </rPh>
    <rPh sb="3" eb="4">
      <t>マナブ</t>
    </rPh>
    <phoneticPr fontId="4"/>
  </si>
  <si>
    <t>Pri V1</t>
    <phoneticPr fontId="4"/>
  </si>
  <si>
    <t>井本　圭一郎</t>
    <rPh sb="0" eb="2">
      <t>イモト</t>
    </rPh>
    <rPh sb="3" eb="6">
      <t>ケイイチロウ</t>
    </rPh>
    <phoneticPr fontId="4"/>
  </si>
  <si>
    <t>ZERO FIT 左 24cm</t>
    <rPh sb="9" eb="10">
      <t>ヒダリ</t>
    </rPh>
    <phoneticPr fontId="4"/>
  </si>
  <si>
    <t>現金</t>
    <rPh sb="0" eb="2">
      <t>ゲンキン</t>
    </rPh>
    <phoneticPr fontId="4"/>
  </si>
  <si>
    <t>シャフト</t>
    <phoneticPr fontId="4"/>
  </si>
  <si>
    <t>フジクラ DR Speeder EVOLUTION IV SPD 569R</t>
    <phoneticPr fontId="4"/>
  </si>
  <si>
    <t>COBRA</t>
    <phoneticPr fontId="4"/>
  </si>
  <si>
    <t>竹下　憲子</t>
    <rPh sb="0" eb="2">
      <t>タケシタ</t>
    </rPh>
    <rPh sb="3" eb="4">
      <t>ケン</t>
    </rPh>
    <rPh sb="4" eb="5">
      <t>コ</t>
    </rPh>
    <phoneticPr fontId="4"/>
  </si>
  <si>
    <t>sticky evolution 1.8 青　（有）</t>
    <rPh sb="21" eb="22">
      <t>アオ</t>
    </rPh>
    <rPh sb="24" eb="25">
      <t>アリ</t>
    </rPh>
    <phoneticPr fontId="4"/>
  </si>
  <si>
    <t>現金</t>
    <rPh sb="0" eb="2">
      <t>ゲンキン</t>
    </rPh>
    <phoneticPr fontId="4"/>
  </si>
  <si>
    <t>山崎　剛司</t>
    <rPh sb="0" eb="2">
      <t>ヤマザキ</t>
    </rPh>
    <rPh sb="3" eb="4">
      <t>タケシ</t>
    </rPh>
    <rPh sb="4" eb="5">
      <t>ツカサ</t>
    </rPh>
    <phoneticPr fontId="4"/>
  </si>
  <si>
    <t>シャフト</t>
    <phoneticPr fontId="4"/>
  </si>
  <si>
    <t>LEXIA 5S</t>
    <phoneticPr fontId="4"/>
  </si>
  <si>
    <t>グリップ</t>
    <phoneticPr fontId="4"/>
  </si>
  <si>
    <t>PING G400</t>
    <phoneticPr fontId="4"/>
  </si>
  <si>
    <t>CP2 PRO スタンダード</t>
    <phoneticPr fontId="4"/>
  </si>
  <si>
    <t>TLAOMADE</t>
    <phoneticPr fontId="4"/>
  </si>
  <si>
    <t>芦田様　お支払い</t>
    <rPh sb="0" eb="2">
      <t>アシダ</t>
    </rPh>
    <rPh sb="2" eb="3">
      <t>サマ</t>
    </rPh>
    <rPh sb="5" eb="7">
      <t>シハラ</t>
    </rPh>
    <phoneticPr fontId="4"/>
  </si>
  <si>
    <t>山口　義典</t>
    <rPh sb="0" eb="2">
      <t>ヤマグチ</t>
    </rPh>
    <rPh sb="3" eb="5">
      <t>ヨシノリ</t>
    </rPh>
    <phoneticPr fontId="4"/>
  </si>
  <si>
    <t>レギュラー　0.25ヶ月</t>
    <phoneticPr fontId="4"/>
  </si>
  <si>
    <t>レギュラー　1ヶ月</t>
    <phoneticPr fontId="4"/>
  </si>
  <si>
    <t>牧瀬　篤正</t>
    <rPh sb="0" eb="2">
      <t>マキセ</t>
    </rPh>
    <rPh sb="3" eb="4">
      <t>アツシ</t>
    </rPh>
    <rPh sb="4" eb="5">
      <t>タダ</t>
    </rPh>
    <phoneticPr fontId="4"/>
  </si>
  <si>
    <t>利用料</t>
    <rPh sb="0" eb="3">
      <t>リヨウリョウ</t>
    </rPh>
    <phoneticPr fontId="4"/>
  </si>
  <si>
    <t>会員ご家族</t>
    <rPh sb="0" eb="2">
      <t>カイイン</t>
    </rPh>
    <rPh sb="3" eb="5">
      <t>カゾク</t>
    </rPh>
    <phoneticPr fontId="4"/>
  </si>
  <si>
    <t>現金</t>
    <phoneticPr fontId="4"/>
  </si>
  <si>
    <t>古川　伸吾</t>
    <rPh sb="0" eb="2">
      <t>フルカワ</t>
    </rPh>
    <rPh sb="3" eb="5">
      <t>シンゴ</t>
    </rPh>
    <phoneticPr fontId="4"/>
  </si>
  <si>
    <t>現金</t>
    <rPh sb="0" eb="2">
      <t>ゲンキン</t>
    </rPh>
    <phoneticPr fontId="4"/>
  </si>
  <si>
    <t>岡野　陽子</t>
    <rPh sb="0" eb="2">
      <t>オカノ</t>
    </rPh>
    <rPh sb="3" eb="5">
      <t>ヨウコ</t>
    </rPh>
    <phoneticPr fontId="4"/>
  </si>
  <si>
    <t>販売</t>
    <rPh sb="0" eb="2">
      <t>ハンバイ</t>
    </rPh>
    <phoneticPr fontId="4"/>
  </si>
  <si>
    <t>現金</t>
    <rPh sb="0" eb="2">
      <t>ゲンキン</t>
    </rPh>
    <phoneticPr fontId="4"/>
  </si>
  <si>
    <t>大磯　宏己</t>
    <phoneticPr fontId="4"/>
  </si>
  <si>
    <t>佐藤　吉博</t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</si>
  <si>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</si>
  <si>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</si>
  <si>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シャフト</t>
    <phoneticPr fontId="4"/>
  </si>
  <si>
    <t>CALLAWAY</t>
    <phoneticPr fontId="4"/>
  </si>
  <si>
    <t>パターキャッチャー</t>
    <phoneticPr fontId="4"/>
  </si>
  <si>
    <t>イルカ</t>
    <phoneticPr fontId="4"/>
  </si>
  <si>
    <t>佐藤　吉博</t>
  </si>
  <si>
    <t>トライファス DR Z2 60X</t>
    <phoneticPr fontId="4"/>
  </si>
  <si>
    <t>トライファス DR βⅡ40X</t>
    <phoneticPr fontId="4"/>
  </si>
  <si>
    <t>TITELIST</t>
    <phoneticPr fontId="4"/>
  </si>
  <si>
    <t>グリップ</t>
    <phoneticPr fontId="4"/>
  </si>
  <si>
    <t>Golf Pride Tour velvetラバー 有</t>
    <rPh sb="26" eb="27">
      <t>アリ</t>
    </rPh>
    <phoneticPr fontId="4"/>
  </si>
  <si>
    <t>iomic sticky evolution2.3 有</t>
    <rPh sb="26" eb="27">
      <t>アリ</t>
    </rPh>
    <phoneticPr fontId="4"/>
  </si>
  <si>
    <t>Golf Pride Tour velvetラバー 有</t>
    <phoneticPr fontId="4"/>
  </si>
  <si>
    <t>藤井　睦</t>
    <rPh sb="0" eb="2">
      <t>フジイ</t>
    </rPh>
    <rPh sb="3" eb="4">
      <t>マコト</t>
    </rPh>
    <phoneticPr fontId="4"/>
  </si>
  <si>
    <t>小野　俊夫</t>
    <rPh sb="0" eb="2">
      <t>オノ</t>
    </rPh>
    <rPh sb="3" eb="5">
      <t>トシオ</t>
    </rPh>
    <phoneticPr fontId="4"/>
  </si>
  <si>
    <t>レギュラー　1ヶ月</t>
  </si>
  <si>
    <t>レギュラー　0.25ヶ月</t>
  </si>
  <si>
    <t>土山　慶子</t>
    <rPh sb="0" eb="2">
      <t>ツチヤマ</t>
    </rPh>
    <rPh sb="3" eb="5">
      <t>ケイコ</t>
    </rPh>
    <phoneticPr fontId="4"/>
  </si>
  <si>
    <t>販売</t>
    <rPh sb="0" eb="2">
      <t>ハンバイ</t>
    </rPh>
    <phoneticPr fontId="4"/>
  </si>
  <si>
    <t>喜田　徹</t>
    <rPh sb="0" eb="2">
      <t>キダ</t>
    </rPh>
    <rPh sb="3" eb="4">
      <t>トオル</t>
    </rPh>
    <phoneticPr fontId="4"/>
  </si>
  <si>
    <t>TOUR B X 白</t>
    <rPh sb="9" eb="10">
      <t>シロ</t>
    </rPh>
    <phoneticPr fontId="4"/>
  </si>
  <si>
    <t>鈴木　一伸</t>
    <rPh sb="0" eb="2">
      <t>スズキ</t>
    </rPh>
    <rPh sb="3" eb="4">
      <t>イチ</t>
    </rPh>
    <rPh sb="4" eb="5">
      <t>ノ</t>
    </rPh>
    <phoneticPr fontId="4"/>
  </si>
  <si>
    <t>現金</t>
    <rPh sb="0" eb="2">
      <t>ゲンキン</t>
    </rPh>
    <phoneticPr fontId="4"/>
  </si>
  <si>
    <t>島本　遼平</t>
    <rPh sb="0" eb="2">
      <t>シマモト</t>
    </rPh>
    <rPh sb="3" eb="5">
      <t>リョウヘイ</t>
    </rPh>
    <phoneticPr fontId="4"/>
  </si>
  <si>
    <t>岡田　海斗</t>
    <rPh sb="0" eb="2">
      <t>オカダ</t>
    </rPh>
    <rPh sb="3" eb="5">
      <t>カイト</t>
    </rPh>
    <phoneticPr fontId="4"/>
  </si>
  <si>
    <t>TOUR B JGR パールホワイト</t>
    <phoneticPr fontId="4"/>
  </si>
  <si>
    <t>赤尾　泰司</t>
    <rPh sb="0" eb="2">
      <t>アカオ</t>
    </rPh>
    <rPh sb="3" eb="4">
      <t>ヤスシ</t>
    </rPh>
    <rPh sb="4" eb="5">
      <t>ツカサ</t>
    </rPh>
    <phoneticPr fontId="4"/>
  </si>
  <si>
    <t>入会金(紹介割)</t>
    <rPh sb="0" eb="3">
      <t>ニュウカイキン</t>
    </rPh>
    <rPh sb="4" eb="6">
      <t>ショウカイ</t>
    </rPh>
    <rPh sb="6" eb="7">
      <t>ワリ</t>
    </rPh>
    <phoneticPr fontId="4"/>
  </si>
  <si>
    <t>パーソナルレッスン</t>
    <phoneticPr fontId="4"/>
  </si>
  <si>
    <t>田渕　一</t>
    <rPh sb="0" eb="2">
      <t>タブチ</t>
    </rPh>
    <rPh sb="3" eb="4">
      <t>イチ</t>
    </rPh>
    <phoneticPr fontId="4"/>
  </si>
  <si>
    <t>現金</t>
    <rPh sb="0" eb="2">
      <t>ゲンキン</t>
    </rPh>
    <phoneticPr fontId="4"/>
  </si>
  <si>
    <t>西山　権一</t>
    <rPh sb="0" eb="2">
      <t>ニシヤマ</t>
    </rPh>
    <rPh sb="3" eb="5">
      <t>ケンイチ</t>
    </rPh>
    <phoneticPr fontId="4"/>
  </si>
  <si>
    <t>販売</t>
    <rPh sb="0" eb="2">
      <t>ハンバイ</t>
    </rPh>
    <phoneticPr fontId="4"/>
  </si>
  <si>
    <t>グリップ</t>
    <phoneticPr fontId="4"/>
  </si>
  <si>
    <t>iomic X-evolution2.3 黄色 (無)</t>
    <rPh sb="21" eb="23">
      <t>キイロ</t>
    </rPh>
    <rPh sb="25" eb="26">
      <t>ナ</t>
    </rPh>
    <phoneticPr fontId="4"/>
  </si>
  <si>
    <t>ZERO FIT 18cm 右</t>
    <rPh sb="14" eb="15">
      <t>ミギ</t>
    </rPh>
    <phoneticPr fontId="4"/>
  </si>
  <si>
    <t>喜田　徹</t>
    <rPh sb="0" eb="2">
      <t>キダ</t>
    </rPh>
    <rPh sb="3" eb="4">
      <t>トオル</t>
    </rPh>
    <phoneticPr fontId="4"/>
  </si>
  <si>
    <t>Golf Pride tour velvet ラバー有</t>
    <rPh sb="26" eb="27">
      <t>ア</t>
    </rPh>
    <phoneticPr fontId="4"/>
  </si>
  <si>
    <t>山田　正樹</t>
    <rPh sb="0" eb="2">
      <t>ヤマダ</t>
    </rPh>
    <rPh sb="3" eb="5">
      <t>マサキ</t>
    </rPh>
    <phoneticPr fontId="4"/>
  </si>
  <si>
    <t>井殿　康和</t>
    <rPh sb="0" eb="2">
      <t>イドノ</t>
    </rPh>
    <rPh sb="3" eb="5">
      <t>ヤスカズ</t>
    </rPh>
    <phoneticPr fontId="4"/>
  </si>
  <si>
    <t>販売</t>
    <rPh sb="0" eb="2">
      <t>ハンバイ</t>
    </rPh>
    <phoneticPr fontId="4"/>
  </si>
  <si>
    <t>パターグリップ</t>
    <phoneticPr fontId="4"/>
  </si>
  <si>
    <t>Golf Pride TOUR SNSR CONTOUR 104cc</t>
    <phoneticPr fontId="4"/>
  </si>
  <si>
    <t>現金</t>
    <rPh sb="0" eb="2">
      <t>ゲンキン</t>
    </rPh>
    <phoneticPr fontId="4"/>
  </si>
  <si>
    <t>グリップ</t>
    <phoneticPr fontId="4"/>
  </si>
  <si>
    <t>iX touch オレンジ</t>
    <phoneticPr fontId="4"/>
  </si>
  <si>
    <t>堀古　一男</t>
    <rPh sb="0" eb="1">
      <t>ホリ</t>
    </rPh>
    <rPh sb="1" eb="2">
      <t>コ</t>
    </rPh>
    <rPh sb="3" eb="5">
      <t>カズオ</t>
    </rPh>
    <phoneticPr fontId="4"/>
  </si>
  <si>
    <t>プラン変更 差額(レギュラーからマスター)</t>
    <rPh sb="3" eb="5">
      <t>ヘンコウ</t>
    </rPh>
    <rPh sb="6" eb="8">
      <t>サガク</t>
    </rPh>
    <phoneticPr fontId="4"/>
  </si>
  <si>
    <t>木村　稔</t>
    <rPh sb="0" eb="2">
      <t>キムラ</t>
    </rPh>
    <rPh sb="3" eb="4">
      <t>ミノル</t>
    </rPh>
    <phoneticPr fontId="4"/>
  </si>
  <si>
    <t>販売</t>
    <rPh sb="0" eb="2">
      <t>ハンバイ</t>
    </rPh>
    <phoneticPr fontId="4"/>
  </si>
  <si>
    <t>ZERO FIT グローブ 白 22cm 左</t>
    <rPh sb="14" eb="15">
      <t>シロ</t>
    </rPh>
    <rPh sb="21" eb="22">
      <t>ヒダリ</t>
    </rPh>
    <phoneticPr fontId="4"/>
  </si>
  <si>
    <t>吉武　徹</t>
    <rPh sb="0" eb="2">
      <t>ヨシタケ</t>
    </rPh>
    <rPh sb="3" eb="4">
      <t>トオル</t>
    </rPh>
    <phoneticPr fontId="4"/>
  </si>
  <si>
    <t>TOUR B XS</t>
    <phoneticPr fontId="4"/>
  </si>
  <si>
    <t>藪ノ　賢次</t>
    <rPh sb="0" eb="1">
      <t>ヤブ</t>
    </rPh>
    <rPh sb="3" eb="4">
      <t>ケン</t>
    </rPh>
    <rPh sb="4" eb="5">
      <t>ツギ</t>
    </rPh>
    <phoneticPr fontId="4"/>
  </si>
  <si>
    <t>現金</t>
    <rPh sb="0" eb="2">
      <t>ゲンキン</t>
    </rPh>
    <phoneticPr fontId="4"/>
  </si>
  <si>
    <t>堀古　一男</t>
    <rPh sb="0" eb="1">
      <t>ホリ</t>
    </rPh>
    <rPh sb="1" eb="2">
      <t>コ</t>
    </rPh>
    <rPh sb="3" eb="5">
      <t>カズオ</t>
    </rPh>
    <phoneticPr fontId="4"/>
  </si>
  <si>
    <t>販売</t>
    <rPh sb="0" eb="2">
      <t>ハンバイ</t>
    </rPh>
    <phoneticPr fontId="4"/>
  </si>
  <si>
    <t>現金</t>
    <rPh sb="0" eb="2">
      <t>ゲンキン</t>
    </rPh>
    <phoneticPr fontId="4"/>
  </si>
  <si>
    <t>赤尾　泰司</t>
    <rPh sb="0" eb="2">
      <t>アカオ</t>
    </rPh>
    <rPh sb="3" eb="4">
      <t>ヤスシ</t>
    </rPh>
    <rPh sb="4" eb="5">
      <t>シ</t>
    </rPh>
    <phoneticPr fontId="4"/>
  </si>
  <si>
    <t>グリップ</t>
    <phoneticPr fontId="4"/>
  </si>
  <si>
    <t>sticky evolution 2.3 青(無)</t>
    <rPh sb="21" eb="22">
      <t>アオ</t>
    </rPh>
    <rPh sb="23" eb="24">
      <t>ナ</t>
    </rPh>
    <phoneticPr fontId="4"/>
  </si>
  <si>
    <t>パーソナルレッスン ビジター 55分</t>
    <rPh sb="17" eb="18">
      <t>フン</t>
    </rPh>
    <phoneticPr fontId="4"/>
  </si>
  <si>
    <t>販売</t>
    <rPh sb="0" eb="2">
      <t>ハンバイ</t>
    </rPh>
    <phoneticPr fontId="4"/>
  </si>
  <si>
    <t>グリップ</t>
    <phoneticPr fontId="4"/>
  </si>
  <si>
    <t>現金</t>
    <rPh sb="0" eb="2">
      <t>ゲンキン</t>
    </rPh>
    <phoneticPr fontId="4"/>
  </si>
  <si>
    <t>喜田　徹</t>
    <rPh sb="0" eb="2">
      <t>キダ</t>
    </rPh>
    <rPh sb="3" eb="4">
      <t>トオル</t>
    </rPh>
    <phoneticPr fontId="4"/>
  </si>
  <si>
    <t>tour B X</t>
    <phoneticPr fontId="4"/>
  </si>
  <si>
    <t>川村　信子</t>
    <rPh sb="0" eb="2">
      <t>カワムラ</t>
    </rPh>
    <rPh sb="3" eb="5">
      <t>ノブコ</t>
    </rPh>
    <phoneticPr fontId="4"/>
  </si>
  <si>
    <t>染谷　啓</t>
    <rPh sb="0" eb="2">
      <t>ソメヤ</t>
    </rPh>
    <rPh sb="3" eb="4">
      <t>ケイ</t>
    </rPh>
    <phoneticPr fontId="4"/>
  </si>
  <si>
    <t>iomic LTC i-x 2.3 オレンジ</t>
    <phoneticPr fontId="4"/>
  </si>
  <si>
    <t>Golf Pride MCC+4 aligh</t>
    <phoneticPr fontId="4"/>
  </si>
  <si>
    <t>村上　雅泰</t>
    <phoneticPr fontId="4"/>
  </si>
  <si>
    <t>スリクソン　Z-STAR XV 現品限り</t>
    <rPh sb="16" eb="18">
      <t>ゲンピン</t>
    </rPh>
    <rPh sb="18" eb="19">
      <t>カギ</t>
    </rPh>
    <phoneticPr fontId="4"/>
  </si>
  <si>
    <t>フォーサリンク レザー 25cm</t>
    <phoneticPr fontId="4"/>
  </si>
  <si>
    <t>ZERO FIT 白 左 23cm</t>
    <rPh sb="9" eb="10">
      <t>シロ</t>
    </rPh>
    <rPh sb="11" eb="12">
      <t>ヒダリ</t>
    </rPh>
    <phoneticPr fontId="4"/>
  </si>
  <si>
    <t>西山　泰弘</t>
    <rPh sb="0" eb="2">
      <t>ニシヤマ</t>
    </rPh>
    <rPh sb="3" eb="5">
      <t>ヤスヒロ</t>
    </rPh>
    <phoneticPr fontId="4"/>
  </si>
  <si>
    <t>中村　均</t>
    <rPh sb="0" eb="2">
      <t>ナカムラ</t>
    </rPh>
    <rPh sb="3" eb="4">
      <t>ヒトシ</t>
    </rPh>
    <phoneticPr fontId="4"/>
  </si>
  <si>
    <t>販売</t>
    <rPh sb="0" eb="2">
      <t>ハンバイ</t>
    </rPh>
    <phoneticPr fontId="4"/>
  </si>
  <si>
    <t>グリップ</t>
    <phoneticPr fontId="4"/>
  </si>
  <si>
    <t>Xホールド ブラック hc ブルー</t>
    <phoneticPr fontId="4"/>
  </si>
  <si>
    <t>坂井　圭太</t>
    <rPh sb="0" eb="2">
      <t>サカイ</t>
    </rPh>
    <rPh sb="3" eb="5">
      <t>ケイタ</t>
    </rPh>
    <phoneticPr fontId="4"/>
  </si>
  <si>
    <t>現金</t>
    <rPh sb="0" eb="2">
      <t>ゲンキン</t>
    </rPh>
    <phoneticPr fontId="4"/>
  </si>
  <si>
    <t>田中　真一</t>
    <rPh sb="0" eb="2">
      <t>タナカ</t>
    </rPh>
    <rPh sb="3" eb="5">
      <t>シンイチ</t>
    </rPh>
    <phoneticPr fontId="4"/>
  </si>
  <si>
    <t>ビジター(55分) 紹介</t>
    <rPh sb="7" eb="8">
      <t>フン</t>
    </rPh>
    <rPh sb="10" eb="12">
      <t>ショウカイ</t>
    </rPh>
    <phoneticPr fontId="4"/>
  </si>
  <si>
    <t>シャフト</t>
    <phoneticPr fontId="4"/>
  </si>
  <si>
    <t>DR PLATINUM SPEEDER 3S</t>
    <phoneticPr fontId="4"/>
  </si>
  <si>
    <t>iomic sticky evolution 1.8 ブラック(有)</t>
    <rPh sb="32" eb="33">
      <t>アリ</t>
    </rPh>
    <phoneticPr fontId="4"/>
  </si>
  <si>
    <t>稲山　裕貴</t>
    <rPh sb="0" eb="2">
      <t>イナヤマ</t>
    </rPh>
    <rPh sb="3" eb="5">
      <t>ユウキ</t>
    </rPh>
    <phoneticPr fontId="4"/>
  </si>
  <si>
    <t xml:space="preserve">ビジター(55分) </t>
    <rPh sb="7" eb="8">
      <t>フン</t>
    </rPh>
    <phoneticPr fontId="4"/>
  </si>
  <si>
    <t>DR LOOP Prototype LT flex S</t>
    <phoneticPr fontId="4"/>
  </si>
  <si>
    <t>PING G410</t>
    <phoneticPr fontId="4"/>
  </si>
  <si>
    <t>エリート TD50Cﾍﾞﾙﾘﾅﾌﾞﾗｯｸ(無)</t>
    <rPh sb="21" eb="22">
      <t>ナシ</t>
    </rPh>
    <phoneticPr fontId="4"/>
  </si>
  <si>
    <t>北川　雄貴</t>
    <rPh sb="0" eb="2">
      <t>キタガワ</t>
    </rPh>
    <rPh sb="3" eb="4">
      <t>ユウ</t>
    </rPh>
    <rPh sb="4" eb="5">
      <t>キ</t>
    </rPh>
    <phoneticPr fontId="4"/>
  </si>
  <si>
    <t>内富　圭一</t>
    <rPh sb="0" eb="2">
      <t>ウチトミ</t>
    </rPh>
    <rPh sb="3" eb="5">
      <t>ケイイチ</t>
    </rPh>
    <phoneticPr fontId="4"/>
  </si>
  <si>
    <t>現金</t>
    <rPh sb="0" eb="2">
      <t>ゲンキン</t>
    </rPh>
    <phoneticPr fontId="4"/>
  </si>
  <si>
    <t>レギュラー　0.5ヶ月</t>
    <phoneticPr fontId="4"/>
  </si>
  <si>
    <t>入会金</t>
    <rPh sb="0" eb="3">
      <t>ニュウカイキン</t>
    </rPh>
    <phoneticPr fontId="4"/>
  </si>
  <si>
    <t>谷口　稔明</t>
    <rPh sb="0" eb="2">
      <t>タニグチ</t>
    </rPh>
    <rPh sb="3" eb="4">
      <t>ミノル</t>
    </rPh>
    <rPh sb="4" eb="5">
      <t>アカ</t>
    </rPh>
    <phoneticPr fontId="4"/>
  </si>
  <si>
    <t>天野　真知子</t>
    <rPh sb="0" eb="2">
      <t>アマノ</t>
    </rPh>
    <rPh sb="3" eb="6">
      <t>マチコ</t>
    </rPh>
    <phoneticPr fontId="4"/>
  </si>
  <si>
    <t>販売</t>
    <rPh sb="0" eb="2">
      <t>ハンバイ</t>
    </rPh>
    <phoneticPr fontId="4"/>
  </si>
  <si>
    <t>グリップ</t>
    <phoneticPr fontId="4"/>
  </si>
  <si>
    <t>iomic sticky ladies</t>
    <phoneticPr fontId="4"/>
  </si>
  <si>
    <t>寺田　圭太</t>
    <rPh sb="0" eb="2">
      <t>テラダ</t>
    </rPh>
    <rPh sb="3" eb="5">
      <t>ケイタ</t>
    </rPh>
    <phoneticPr fontId="4"/>
  </si>
  <si>
    <t>現金</t>
    <rPh sb="0" eb="2">
      <t>ゲンキン</t>
    </rPh>
    <phoneticPr fontId="4"/>
  </si>
  <si>
    <t>シャフト</t>
    <phoneticPr fontId="4"/>
  </si>
  <si>
    <t>グラファイトデザイン DR tour AD pt-6S</t>
    <phoneticPr fontId="4"/>
  </si>
  <si>
    <t>グラファイトデザイン UT tour AD HY-85S</t>
    <phoneticPr fontId="4"/>
  </si>
  <si>
    <t>グラファイトデザイン UT tour AD HY-95S</t>
    <phoneticPr fontId="4"/>
  </si>
  <si>
    <t>COBRA LTDx LS 9°</t>
    <phoneticPr fontId="4"/>
  </si>
  <si>
    <t>利用中、55分→110分になったので差額分頂きました。</t>
    <rPh sb="0" eb="3">
      <t>リヨウチュウ</t>
    </rPh>
    <rPh sb="6" eb="7">
      <t>フン</t>
    </rPh>
    <rPh sb="11" eb="12">
      <t>フン</t>
    </rPh>
    <rPh sb="18" eb="21">
      <t>サガクブン</t>
    </rPh>
    <rPh sb="21" eb="22">
      <t>イタダ</t>
    </rPh>
    <phoneticPr fontId="4"/>
  </si>
  <si>
    <t>レギュラー　1ヶ月</t>
    <phoneticPr fontId="4"/>
  </si>
  <si>
    <t>ポスティングしたチラシ持参のため、入会当月0円</t>
    <rPh sb="11" eb="13">
      <t>ジサン</t>
    </rPh>
    <rPh sb="17" eb="21">
      <t>ニュウカイトウゲツ</t>
    </rPh>
    <rPh sb="22" eb="23">
      <t>エン</t>
    </rPh>
    <phoneticPr fontId="4"/>
  </si>
  <si>
    <t>荒川　直美</t>
    <rPh sb="0" eb="2">
      <t>アラカワ</t>
    </rPh>
    <rPh sb="3" eb="5">
      <t>ナオミ</t>
    </rPh>
    <phoneticPr fontId="4"/>
  </si>
  <si>
    <t>ティーホルダー</t>
    <phoneticPr fontId="4"/>
  </si>
  <si>
    <t>松岡　正紀</t>
    <rPh sb="0" eb="2">
      <t>マツオカ</t>
    </rPh>
    <rPh sb="3" eb="5">
      <t>マサノリ</t>
    </rPh>
    <phoneticPr fontId="4"/>
  </si>
  <si>
    <t>土山　慶子</t>
    <rPh sb="0" eb="2">
      <t>ツチヤマ</t>
    </rPh>
    <rPh sb="3" eb="5">
      <t>ケイコ</t>
    </rPh>
    <phoneticPr fontId="4"/>
  </si>
  <si>
    <t>iomic sticky ultra light ピンク</t>
    <phoneticPr fontId="4"/>
  </si>
  <si>
    <t>寺崎　貴児</t>
    <rPh sb="0" eb="2">
      <t>テラサキ</t>
    </rPh>
    <rPh sb="3" eb="4">
      <t>タカ</t>
    </rPh>
    <rPh sb="4" eb="5">
      <t>ジ</t>
    </rPh>
    <phoneticPr fontId="4"/>
  </si>
  <si>
    <t>利用料</t>
    <rPh sb="0" eb="3">
      <t>リヨウリョウ</t>
    </rPh>
    <phoneticPr fontId="4"/>
  </si>
  <si>
    <t>仲田　尚史</t>
    <rPh sb="0" eb="2">
      <t>ナカタ</t>
    </rPh>
    <rPh sb="3" eb="5">
      <t>ヒサシ</t>
    </rPh>
    <phoneticPr fontId="4"/>
  </si>
  <si>
    <t>社長の紹介(50％off)</t>
    <rPh sb="0" eb="2">
      <t>シャチョウ</t>
    </rPh>
    <rPh sb="3" eb="5">
      <t>ショウカイ</t>
    </rPh>
    <phoneticPr fontId="4"/>
  </si>
  <si>
    <t>木村　稔</t>
    <rPh sb="0" eb="2">
      <t>キムラ</t>
    </rPh>
    <rPh sb="3" eb="4">
      <t>ミノル</t>
    </rPh>
    <phoneticPr fontId="4"/>
  </si>
  <si>
    <t>販売</t>
    <rPh sb="0" eb="2">
      <t>ハンバイ</t>
    </rPh>
    <phoneticPr fontId="4"/>
  </si>
  <si>
    <t>フォーサリンクス 22cm</t>
    <phoneticPr fontId="4"/>
  </si>
  <si>
    <t>山田　正樹</t>
    <rPh sb="0" eb="2">
      <t>ヤマダ</t>
    </rPh>
    <rPh sb="3" eb="5">
      <t>マサキ</t>
    </rPh>
    <phoneticPr fontId="4"/>
  </si>
  <si>
    <t>現金</t>
    <rPh sb="0" eb="2">
      <t>ゲンキン</t>
    </rPh>
    <phoneticPr fontId="4"/>
  </si>
  <si>
    <t>三浦　夕奈</t>
    <rPh sb="0" eb="2">
      <t>ミウラ</t>
    </rPh>
    <rPh sb="3" eb="5">
      <t>ユウナ</t>
    </rPh>
    <phoneticPr fontId="4"/>
  </si>
  <si>
    <t>秋山　孝之</t>
    <rPh sb="0" eb="2">
      <t>アキヤマ</t>
    </rPh>
    <rPh sb="3" eb="5">
      <t>タカユキ</t>
    </rPh>
    <phoneticPr fontId="4"/>
  </si>
  <si>
    <t>休会 事務手数料(3か月)</t>
    <rPh sb="11" eb="12">
      <t>ゲツ</t>
    </rPh>
    <phoneticPr fontId="4"/>
  </si>
  <si>
    <t>フジクラ</t>
    <phoneticPr fontId="4"/>
  </si>
  <si>
    <t>DR PLATINUM SPEEDER 4S</t>
    <phoneticPr fontId="4"/>
  </si>
  <si>
    <t>キャロウェイ</t>
    <phoneticPr fontId="4"/>
  </si>
  <si>
    <t>スリーブ</t>
    <phoneticPr fontId="4"/>
  </si>
  <si>
    <t>グリップ</t>
    <phoneticPr fontId="4"/>
  </si>
  <si>
    <t>iomic sticky evolution 黄色 (有)</t>
    <rPh sb="23" eb="25">
      <t>キイロ</t>
    </rPh>
    <rPh sb="27" eb="28">
      <t>アリ</t>
    </rPh>
    <phoneticPr fontId="4"/>
  </si>
  <si>
    <t>zero fit 左 23cm</t>
    <rPh sb="9" eb="10">
      <t>ヒダリ</t>
    </rPh>
    <phoneticPr fontId="4"/>
  </si>
  <si>
    <t>木下　健太</t>
    <rPh sb="0" eb="2">
      <t>キノシタ</t>
    </rPh>
    <rPh sb="3" eb="5">
      <t>ケンタ</t>
    </rPh>
    <phoneticPr fontId="4"/>
  </si>
  <si>
    <t>櫻井　知布</t>
    <rPh sb="0" eb="2">
      <t>サクライ</t>
    </rPh>
    <rPh sb="3" eb="4">
      <t>シ</t>
    </rPh>
    <rPh sb="4" eb="5">
      <t>ヌノ</t>
    </rPh>
    <phoneticPr fontId="4"/>
  </si>
  <si>
    <t>golf pride MCC・ALIGN</t>
    <phoneticPr fontId="4"/>
  </si>
  <si>
    <t>タイトリスト pro V1x</t>
    <phoneticPr fontId="4"/>
  </si>
  <si>
    <t>入澤　剛</t>
    <rPh sb="0" eb="2">
      <t>イリザワ</t>
    </rPh>
    <rPh sb="3" eb="4">
      <t>ツヨシ</t>
    </rPh>
    <phoneticPr fontId="4"/>
  </si>
  <si>
    <t>大川　詩穏</t>
    <rPh sb="0" eb="2">
      <t>オオカワ</t>
    </rPh>
    <rPh sb="3" eb="4">
      <t>シ</t>
    </rPh>
    <rPh sb="4" eb="5">
      <t>オン</t>
    </rPh>
    <phoneticPr fontId="4"/>
  </si>
  <si>
    <t>利用料</t>
    <rPh sb="0" eb="3">
      <t>リヨウリョウ</t>
    </rPh>
    <phoneticPr fontId="4"/>
  </si>
  <si>
    <t>ビジター(55分) プロ</t>
    <rPh sb="7" eb="8">
      <t>フン</t>
    </rPh>
    <phoneticPr fontId="4"/>
  </si>
  <si>
    <t>シャフト</t>
    <phoneticPr fontId="4"/>
  </si>
  <si>
    <t>DR VENTUS TR 6X</t>
    <phoneticPr fontId="4"/>
  </si>
  <si>
    <t>PING G400</t>
    <phoneticPr fontId="4"/>
  </si>
  <si>
    <t>STM S-1 LIGHT black×berry(有)</t>
    <rPh sb="26" eb="27">
      <t>アリ</t>
    </rPh>
    <phoneticPr fontId="4"/>
  </si>
  <si>
    <t>木下　健太</t>
    <rPh sb="0" eb="2">
      <t>キノシタ</t>
    </rPh>
    <rPh sb="3" eb="5">
      <t>ケンタ</t>
    </rPh>
    <phoneticPr fontId="4"/>
  </si>
  <si>
    <t>販売</t>
    <rPh sb="0" eb="2">
      <t>ハンバイ</t>
    </rPh>
    <phoneticPr fontId="4"/>
  </si>
  <si>
    <t>シャフト</t>
    <phoneticPr fontId="4"/>
  </si>
  <si>
    <t>フジクラ DR VENTUS BLUE 5S</t>
    <phoneticPr fontId="4"/>
  </si>
  <si>
    <t>COBRA DR LTDx (ヘッド単体) 10.5°</t>
    <rPh sb="18" eb="20">
      <t>タンタイ</t>
    </rPh>
    <phoneticPr fontId="4"/>
  </si>
  <si>
    <t>グリップ</t>
    <phoneticPr fontId="4"/>
  </si>
  <si>
    <t>iomic sticy evolution 2.3ブラック(有)</t>
    <rPh sb="30" eb="31">
      <t>アリ</t>
    </rPh>
    <phoneticPr fontId="4"/>
  </si>
  <si>
    <t>岡　一真</t>
    <rPh sb="0" eb="1">
      <t>オカ</t>
    </rPh>
    <rPh sb="2" eb="3">
      <t>イチ</t>
    </rPh>
    <rPh sb="3" eb="4">
      <t>シン</t>
    </rPh>
    <phoneticPr fontId="4"/>
  </si>
  <si>
    <t>三菱ケミカル DR VANQUISH 5S</t>
    <rPh sb="0" eb="2">
      <t>ミツビシ</t>
    </rPh>
    <phoneticPr fontId="4"/>
  </si>
  <si>
    <t>永田　正孝</t>
    <rPh sb="0" eb="2">
      <t>ナガタ</t>
    </rPh>
    <rPh sb="3" eb="5">
      <t>マサタカ</t>
    </rPh>
    <phoneticPr fontId="4"/>
  </si>
  <si>
    <t>川西　勝</t>
    <rPh sb="0" eb="2">
      <t>カワニシ</t>
    </rPh>
    <rPh sb="3" eb="4">
      <t>マサル</t>
    </rPh>
    <phoneticPr fontId="4"/>
  </si>
  <si>
    <t>利用料</t>
    <rPh sb="0" eb="3">
      <t>リヨウリョウ</t>
    </rPh>
    <phoneticPr fontId="4"/>
  </si>
  <si>
    <t>キャンセルフィー</t>
  </si>
  <si>
    <t>キャンセルフィー</t>
    <phoneticPr fontId="4"/>
  </si>
  <si>
    <t>コンペキャンセルフィー</t>
  </si>
  <si>
    <t>コンペキャンセルフィー</t>
    <phoneticPr fontId="4"/>
  </si>
  <si>
    <t>現金</t>
    <rPh sb="0" eb="2">
      <t>ゲンキン</t>
    </rPh>
    <phoneticPr fontId="4"/>
  </si>
  <si>
    <t>岡野　陽子</t>
    <rPh sb="0" eb="2">
      <t>オカノ</t>
    </rPh>
    <rPh sb="3" eb="5">
      <t>ヨウコ</t>
    </rPh>
    <phoneticPr fontId="4"/>
  </si>
  <si>
    <t>スリクソン Z-star</t>
    <phoneticPr fontId="4"/>
  </si>
  <si>
    <t>入佐　仁美</t>
    <rPh sb="0" eb="2">
      <t>イリサ</t>
    </rPh>
    <rPh sb="3" eb="5">
      <t>ヒトミ</t>
    </rPh>
    <phoneticPr fontId="4"/>
  </si>
  <si>
    <t>ビジター(55分)</t>
  </si>
  <si>
    <t>三原　安津美</t>
    <rPh sb="0" eb="2">
      <t>ミハラ</t>
    </rPh>
    <rPh sb="3" eb="4">
      <t>アン</t>
    </rPh>
    <rPh sb="4" eb="5">
      <t>ツ</t>
    </rPh>
    <rPh sb="5" eb="6">
      <t>ウツク</t>
    </rPh>
    <phoneticPr fontId="4"/>
  </si>
  <si>
    <t>東野　文也</t>
    <rPh sb="0" eb="2">
      <t>ヒガシノ</t>
    </rPh>
    <rPh sb="3" eb="5">
      <t>フミヤ</t>
    </rPh>
    <phoneticPr fontId="4"/>
  </si>
  <si>
    <t>スリクソン Z-star XV 現品限り</t>
    <rPh sb="16" eb="18">
      <t>ゲンピン</t>
    </rPh>
    <rPh sb="18" eb="19">
      <t>カギ</t>
    </rPh>
    <phoneticPr fontId="4"/>
  </si>
  <si>
    <t>天野　真知子</t>
    <rPh sb="0" eb="2">
      <t>アマノ</t>
    </rPh>
    <rPh sb="3" eb="6">
      <t>マチコ</t>
    </rPh>
    <phoneticPr fontId="4"/>
  </si>
  <si>
    <t>PL(55分会員)</t>
    <rPh sb="5" eb="6">
      <t>フン</t>
    </rPh>
    <rPh sb="6" eb="8">
      <t>カイイン</t>
    </rPh>
    <phoneticPr fontId="4"/>
  </si>
  <si>
    <t>荒川　直美</t>
    <rPh sb="0" eb="2">
      <t>アラカワ</t>
    </rPh>
    <rPh sb="3" eb="5">
      <t>ナオミ</t>
    </rPh>
    <phoneticPr fontId="4"/>
  </si>
  <si>
    <t>ZERO FIT 19cm 左</t>
    <rPh sb="14" eb="15">
      <t>ヒダリ</t>
    </rPh>
    <phoneticPr fontId="4"/>
  </si>
  <si>
    <t>iomic  LTC i-x 2.3 オレンジ</t>
    <phoneticPr fontId="4"/>
  </si>
  <si>
    <t>堀古　一男</t>
    <rPh sb="0" eb="1">
      <t>ホリ</t>
    </rPh>
    <rPh sb="1" eb="2">
      <t>コ</t>
    </rPh>
    <rPh sb="3" eb="5">
      <t>カズオ</t>
    </rPh>
    <phoneticPr fontId="4"/>
  </si>
  <si>
    <t>茂幾　大樹</t>
    <rPh sb="0" eb="1">
      <t>シゲル</t>
    </rPh>
    <rPh sb="1" eb="2">
      <t>キ</t>
    </rPh>
    <rPh sb="3" eb="5">
      <t>タイキ</t>
    </rPh>
    <phoneticPr fontId="4"/>
  </si>
  <si>
    <t>古賀　純一郎</t>
    <rPh sb="0" eb="2">
      <t>コガ</t>
    </rPh>
    <rPh sb="3" eb="4">
      <t>ジュン</t>
    </rPh>
    <rPh sb="4" eb="5">
      <t>イチ</t>
    </rPh>
    <rPh sb="5" eb="6">
      <t>ロウ</t>
    </rPh>
    <phoneticPr fontId="4"/>
  </si>
  <si>
    <t>柳　孝之</t>
    <rPh sb="0" eb="1">
      <t>ヤナギ</t>
    </rPh>
    <rPh sb="2" eb="4">
      <t>タカユキ</t>
    </rPh>
    <phoneticPr fontId="4"/>
  </si>
  <si>
    <t>販売</t>
    <rPh sb="0" eb="2">
      <t>ハンバイ</t>
    </rPh>
    <phoneticPr fontId="4"/>
  </si>
  <si>
    <t>グリップ</t>
    <phoneticPr fontId="4"/>
  </si>
  <si>
    <t>X-evolution2.3無</t>
    <rPh sb="14" eb="15">
      <t>ナ</t>
    </rPh>
    <phoneticPr fontId="4"/>
  </si>
  <si>
    <t>商品券</t>
    <rPh sb="0" eb="3">
      <t>ショウヒンケン</t>
    </rPh>
    <phoneticPr fontId="4"/>
  </si>
  <si>
    <t>渡部　啓子</t>
    <rPh sb="0" eb="2">
      <t>ワタナベ</t>
    </rPh>
    <rPh sb="3" eb="5">
      <t>ケイコ</t>
    </rPh>
    <phoneticPr fontId="4"/>
  </si>
  <si>
    <t>TEE</t>
    <phoneticPr fontId="4"/>
  </si>
  <si>
    <t>tour tee combo mix</t>
    <phoneticPr fontId="4"/>
  </si>
  <si>
    <t>現金</t>
    <rPh sb="0" eb="2">
      <t>ゲンキン</t>
    </rPh>
    <phoneticPr fontId="4"/>
  </si>
  <si>
    <t>西山　権一</t>
    <rPh sb="0" eb="2">
      <t>ニシヤマ</t>
    </rPh>
    <rPh sb="3" eb="5">
      <t>ケンイチ</t>
    </rPh>
    <phoneticPr fontId="4"/>
  </si>
  <si>
    <t>販売</t>
    <rPh sb="0" eb="2">
      <t>ハンバイ</t>
    </rPh>
    <phoneticPr fontId="4"/>
  </si>
  <si>
    <t>フリップ</t>
    <phoneticPr fontId="4"/>
  </si>
  <si>
    <t>iomic ix touch OR</t>
    <phoneticPr fontId="4"/>
  </si>
  <si>
    <t>ZERO FIT 左 23cm</t>
    <rPh sb="9" eb="10">
      <t>ヒダリ</t>
    </rPh>
    <phoneticPr fontId="4"/>
  </si>
  <si>
    <t>西山　泰弘</t>
    <rPh sb="0" eb="2">
      <t>ニシヤマ</t>
    </rPh>
    <rPh sb="3" eb="5">
      <t>ヤスヒロ</t>
    </rPh>
    <phoneticPr fontId="4"/>
  </si>
  <si>
    <t>いかりホワイト</t>
    <phoneticPr fontId="4"/>
  </si>
  <si>
    <t>中尾　正</t>
    <rPh sb="0" eb="2">
      <t>ナカオ</t>
    </rPh>
    <rPh sb="3" eb="4">
      <t>タダシ</t>
    </rPh>
    <phoneticPr fontId="4"/>
  </si>
  <si>
    <t>TEE</t>
    <phoneticPr fontId="4"/>
  </si>
  <si>
    <t>TOUR tee pro(ブルーグレー)</t>
    <phoneticPr fontId="4"/>
  </si>
  <si>
    <t>喜田　徹</t>
    <rPh sb="0" eb="2">
      <t>キダ</t>
    </rPh>
    <rPh sb="3" eb="4">
      <t>トオル</t>
    </rPh>
    <phoneticPr fontId="4"/>
  </si>
  <si>
    <t>グリップ</t>
    <phoneticPr fontId="4"/>
  </si>
  <si>
    <t>golf pride tour velvet ラバー　有</t>
    <rPh sb="27" eb="28">
      <t>アリ</t>
    </rPh>
    <phoneticPr fontId="4"/>
  </si>
  <si>
    <t>平川　達樹</t>
    <rPh sb="0" eb="2">
      <t>ヒラカワ</t>
    </rPh>
    <rPh sb="3" eb="5">
      <t>タツキ</t>
    </rPh>
    <phoneticPr fontId="4"/>
  </si>
  <si>
    <t>ビジター(110分)</t>
    <phoneticPr fontId="4"/>
  </si>
  <si>
    <t>社長紹介</t>
    <rPh sb="0" eb="2">
      <t>シャチョウ</t>
    </rPh>
    <rPh sb="2" eb="4">
      <t>ショウカイ</t>
    </rPh>
    <phoneticPr fontId="4"/>
  </si>
  <si>
    <t>休会 事務手数料(1か月)</t>
    <rPh sb="11" eb="12">
      <t>ゲツ</t>
    </rPh>
    <phoneticPr fontId="4"/>
  </si>
  <si>
    <t>坪田　尚己</t>
    <rPh sb="0" eb="2">
      <t>ツボタ</t>
    </rPh>
    <rPh sb="3" eb="4">
      <t>ナオ</t>
    </rPh>
    <rPh sb="4" eb="5">
      <t>オノレ</t>
    </rPh>
    <phoneticPr fontId="4"/>
  </si>
  <si>
    <t>東野　文也</t>
    <rPh sb="0" eb="2">
      <t>ヒガシノ</t>
    </rPh>
    <rPh sb="3" eb="5">
      <t>フミヤ</t>
    </rPh>
    <phoneticPr fontId="4"/>
  </si>
  <si>
    <t>月会費</t>
    <phoneticPr fontId="4"/>
  </si>
  <si>
    <t>レギュラー　2ヶ月分</t>
    <rPh sb="9" eb="10">
      <t>フン</t>
    </rPh>
    <phoneticPr fontId="4"/>
  </si>
  <si>
    <t>レギュラー　1ヶ月分</t>
    <rPh sb="9" eb="10">
      <t>フン</t>
    </rPh>
    <phoneticPr fontId="4"/>
  </si>
  <si>
    <t>返金</t>
    <rPh sb="0" eb="2">
      <t>ヘンキン</t>
    </rPh>
    <phoneticPr fontId="4"/>
  </si>
  <si>
    <t>現金</t>
    <rPh sb="0" eb="2">
      <t>ゲンキン</t>
    </rPh>
    <phoneticPr fontId="4"/>
  </si>
  <si>
    <t>打席利用</t>
    <phoneticPr fontId="4"/>
  </si>
  <si>
    <t>11月4日分　もらいすぎのため返金</t>
    <rPh sb="2" eb="3">
      <t>ガツ</t>
    </rPh>
    <rPh sb="4" eb="5">
      <t>ニチ</t>
    </rPh>
    <rPh sb="5" eb="6">
      <t>ブン</t>
    </rPh>
    <rPh sb="15" eb="17">
      <t>ヘンキン</t>
    </rPh>
    <phoneticPr fontId="4"/>
  </si>
  <si>
    <t>会員 泉様が11月4日にお支払い　レジは11月3日ですが</t>
    <rPh sb="0" eb="2">
      <t>カイイン</t>
    </rPh>
    <rPh sb="3" eb="4">
      <t>イズミ</t>
    </rPh>
    <rPh sb="4" eb="5">
      <t>サマ</t>
    </rPh>
    <rPh sb="13" eb="15">
      <t>シハラ</t>
    </rPh>
    <rPh sb="22" eb="23">
      <t>ガツ</t>
    </rPh>
    <rPh sb="24" eb="25">
      <t>ニチ</t>
    </rPh>
    <phoneticPr fontId="4"/>
  </si>
  <si>
    <t>返金</t>
    <rPh sb="0" eb="2">
      <t>ヘンキン</t>
    </rPh>
    <phoneticPr fontId="4"/>
  </si>
  <si>
    <t>杉浦プロ紹介 -5,000円off</t>
    <rPh sb="0" eb="2">
      <t>スギウラ</t>
    </rPh>
    <rPh sb="4" eb="6">
      <t>ショウカイ</t>
    </rPh>
    <rPh sb="13" eb="14">
      <t>エン</t>
    </rPh>
    <phoneticPr fontId="4"/>
  </si>
  <si>
    <t>1,000円券1枚使用</t>
    <rPh sb="5" eb="6">
      <t>エン</t>
    </rPh>
    <rPh sb="6" eb="7">
      <t>ケン</t>
    </rPh>
    <rPh sb="8" eb="9">
      <t>マイ</t>
    </rPh>
    <rPh sb="9" eb="11">
      <t>シヨウ</t>
    </rPh>
    <phoneticPr fontId="4"/>
  </si>
  <si>
    <t>12月分月会費</t>
    <rPh sb="2" eb="3">
      <t>ガツ</t>
    </rPh>
    <rPh sb="3" eb="4">
      <t>ブン</t>
    </rPh>
    <rPh sb="4" eb="5">
      <t>ツキ</t>
    </rPh>
    <rPh sb="5" eb="7">
      <t>カイヒ</t>
    </rPh>
    <phoneticPr fontId="4"/>
  </si>
  <si>
    <t>11、12月分月会費</t>
    <rPh sb="5" eb="6">
      <t>ガツ</t>
    </rPh>
    <rPh sb="6" eb="7">
      <t>ブン</t>
    </rPh>
    <rPh sb="7" eb="8">
      <t>ツキ</t>
    </rPh>
    <rPh sb="8" eb="10">
      <t>カイヒ</t>
    </rPh>
    <phoneticPr fontId="4"/>
  </si>
  <si>
    <t>販売</t>
    <rPh sb="0" eb="2">
      <t>ハンバイ</t>
    </rPh>
    <phoneticPr fontId="4"/>
  </si>
  <si>
    <t>シャフト</t>
    <phoneticPr fontId="4"/>
  </si>
  <si>
    <t>REVE DR IMPACT BORON REVOLVER X 青</t>
    <rPh sb="32" eb="33">
      <t>アオ</t>
    </rPh>
    <phoneticPr fontId="4"/>
  </si>
  <si>
    <t>銀行振込</t>
    <rPh sb="0" eb="2">
      <t>ギンコウ</t>
    </rPh>
    <rPh sb="2" eb="3">
      <t>フ</t>
    </rPh>
    <rPh sb="3" eb="4">
      <t>コ</t>
    </rPh>
    <phoneticPr fontId="4"/>
  </si>
  <si>
    <t>グリップ</t>
    <phoneticPr fontId="4"/>
  </si>
  <si>
    <t>舟元　佐京</t>
    <rPh sb="0" eb="1">
      <t>フネ</t>
    </rPh>
    <rPh sb="1" eb="2">
      <t>モト</t>
    </rPh>
    <rPh sb="3" eb="5">
      <t>サキョウ</t>
    </rPh>
    <phoneticPr fontId="4"/>
  </si>
  <si>
    <t>三菱ケミカル DR KUROKAGE XD 70X</t>
    <phoneticPr fontId="4"/>
  </si>
  <si>
    <t>送料</t>
    <rPh sb="0" eb="2">
      <t>ソウリョウ</t>
    </rPh>
    <phoneticPr fontId="4"/>
  </si>
  <si>
    <t>マスター　0.75ヶ月</t>
  </si>
  <si>
    <t>マスター　0.75ヶ月</t>
    <phoneticPr fontId="4"/>
  </si>
  <si>
    <t>月会費</t>
    <phoneticPr fontId="4"/>
  </si>
  <si>
    <t>月会費(差額)</t>
    <rPh sb="0" eb="1">
      <t>ツキ</t>
    </rPh>
    <rPh sb="1" eb="3">
      <t>カイヒ</t>
    </rPh>
    <rPh sb="4" eb="6">
      <t>サガク</t>
    </rPh>
    <phoneticPr fontId="4"/>
  </si>
  <si>
    <t>レギュラーからマスターにプラン変更</t>
    <rPh sb="15" eb="17">
      <t>ヘンコウ</t>
    </rPh>
    <phoneticPr fontId="4"/>
  </si>
  <si>
    <t>販売</t>
    <rPh sb="0" eb="2">
      <t>ハンバイ</t>
    </rPh>
    <phoneticPr fontId="4"/>
  </si>
  <si>
    <t>土山　慶子</t>
    <rPh sb="0" eb="2">
      <t>ツチヤマ</t>
    </rPh>
    <rPh sb="3" eb="5">
      <t>ケイコ</t>
    </rPh>
    <phoneticPr fontId="4"/>
  </si>
  <si>
    <t>TOUR B JGR</t>
    <phoneticPr fontId="4"/>
  </si>
  <si>
    <t>平川　達樹</t>
    <rPh sb="0" eb="2">
      <t>ヒラカワ</t>
    </rPh>
    <rPh sb="3" eb="5">
      <t>タツキ</t>
    </rPh>
    <phoneticPr fontId="4"/>
  </si>
  <si>
    <t>シャフト</t>
    <phoneticPr fontId="4"/>
  </si>
  <si>
    <t>フジクラ DR DIAMOND SPEEDER SPD6 S</t>
    <phoneticPr fontId="4"/>
  </si>
  <si>
    <t>フジクラ FW DIAMOND SPEEDER SPD7 S</t>
    <phoneticPr fontId="4"/>
  </si>
  <si>
    <t>ZERO FIT 23cm</t>
    <phoneticPr fontId="4"/>
  </si>
  <si>
    <t>グリップ</t>
    <phoneticPr fontId="4"/>
  </si>
  <si>
    <t>エリート Y360S XT ﾏﾘﾝﾌﾞﾙｰ(有)</t>
    <rPh sb="22" eb="23">
      <t>アリ</t>
    </rPh>
    <phoneticPr fontId="4"/>
  </si>
  <si>
    <t>返金</t>
    <rPh sb="0" eb="2">
      <t>ヘンキン</t>
    </rPh>
    <phoneticPr fontId="4"/>
  </si>
  <si>
    <t>BALDO CORSA BRASSEY</t>
    <phoneticPr fontId="4"/>
  </si>
  <si>
    <t>平松　孝太郎</t>
    <rPh sb="0" eb="2">
      <t>ヒラマツ</t>
    </rPh>
    <rPh sb="3" eb="6">
      <t>コウタロウ</t>
    </rPh>
    <phoneticPr fontId="4"/>
  </si>
  <si>
    <t>チケット　0.75ヶ月</t>
    <phoneticPr fontId="4"/>
  </si>
  <si>
    <t>入会金(紹介割)</t>
    <rPh sb="0" eb="3">
      <t>ニュウカイキン</t>
    </rPh>
    <rPh sb="4" eb="7">
      <t>ショウカイワリ</t>
    </rPh>
    <phoneticPr fontId="4"/>
  </si>
  <si>
    <t>レッスンチケット　11枚</t>
    <phoneticPr fontId="4"/>
  </si>
  <si>
    <t>木村　稔</t>
    <rPh sb="0" eb="2">
      <t>キムラ</t>
    </rPh>
    <rPh sb="3" eb="4">
      <t>ミノル</t>
    </rPh>
    <phoneticPr fontId="4"/>
  </si>
  <si>
    <t>販売</t>
    <rPh sb="0" eb="2">
      <t>ハンバイ</t>
    </rPh>
    <phoneticPr fontId="4"/>
  </si>
  <si>
    <t>シャフト</t>
    <phoneticPr fontId="4"/>
  </si>
  <si>
    <t>日本シャフト NSプロIRON 980GH</t>
    <rPh sb="0" eb="2">
      <t>ニホン</t>
    </rPh>
    <phoneticPr fontId="4"/>
  </si>
  <si>
    <t>北村　優奈</t>
    <rPh sb="0" eb="2">
      <t>キタムラ</t>
    </rPh>
    <rPh sb="3" eb="5">
      <t>ユナ</t>
    </rPh>
    <phoneticPr fontId="4"/>
  </si>
  <si>
    <t>利用料</t>
    <rPh sb="0" eb="3">
      <t>リヨウリョウ</t>
    </rPh>
    <phoneticPr fontId="4"/>
  </si>
  <si>
    <t>打席利用</t>
    <phoneticPr fontId="4"/>
  </si>
  <si>
    <t>スタッフ紹介打席</t>
    <rPh sb="4" eb="6">
      <t>ショウカイ</t>
    </rPh>
    <rPh sb="6" eb="8">
      <t>ダセキ</t>
    </rPh>
    <phoneticPr fontId="4"/>
  </si>
  <si>
    <t>現金</t>
    <rPh sb="0" eb="2">
      <t>ゲンキン</t>
    </rPh>
    <phoneticPr fontId="4"/>
  </si>
  <si>
    <t>松本　春香</t>
    <rPh sb="0" eb="2">
      <t>マツモト</t>
    </rPh>
    <rPh sb="3" eb="5">
      <t>ハルカ</t>
    </rPh>
    <phoneticPr fontId="4"/>
  </si>
  <si>
    <t>古賀　純一郎</t>
    <rPh sb="0" eb="2">
      <t>コガ</t>
    </rPh>
    <rPh sb="3" eb="6">
      <t>ジュンイチロウ</t>
    </rPh>
    <phoneticPr fontId="4"/>
  </si>
  <si>
    <t>レギュラー　0.75ヶ月分</t>
    <rPh sb="12" eb="13">
      <t>フン</t>
    </rPh>
    <phoneticPr fontId="4"/>
  </si>
  <si>
    <t>グリップ</t>
    <phoneticPr fontId="4"/>
  </si>
  <si>
    <t>iomic sticky 1.8 super light 青 有</t>
    <rPh sb="29" eb="30">
      <t>アオ</t>
    </rPh>
    <rPh sb="31" eb="32">
      <t>アリ</t>
    </rPh>
    <phoneticPr fontId="4"/>
  </si>
  <si>
    <t>西山　泰弘</t>
    <rPh sb="0" eb="2">
      <t>ニシヤマ</t>
    </rPh>
    <rPh sb="3" eb="5">
      <t>ヤスヒロ</t>
    </rPh>
    <phoneticPr fontId="4"/>
  </si>
  <si>
    <t>坂口　智隆</t>
    <rPh sb="0" eb="2">
      <t>サカグチ</t>
    </rPh>
    <rPh sb="3" eb="5">
      <t>トモタカ</t>
    </rPh>
    <phoneticPr fontId="4"/>
  </si>
  <si>
    <t>天野　真知子</t>
    <rPh sb="0" eb="2">
      <t>アマノ</t>
    </rPh>
    <rPh sb="3" eb="6">
      <t>マチコ</t>
    </rPh>
    <phoneticPr fontId="4"/>
  </si>
  <si>
    <t>上田　充彦</t>
    <rPh sb="0" eb="2">
      <t>ウエダ</t>
    </rPh>
    <rPh sb="3" eb="5">
      <t>ミツヒコ</t>
    </rPh>
    <phoneticPr fontId="4"/>
  </si>
  <si>
    <t>加野　仁紀</t>
    <rPh sb="0" eb="2">
      <t>カノ</t>
    </rPh>
    <rPh sb="3" eb="4">
      <t>ジン</t>
    </rPh>
    <rPh sb="4" eb="5">
      <t>キ</t>
    </rPh>
    <phoneticPr fontId="4"/>
  </si>
  <si>
    <t>ジュエリーエキスパンダー</t>
    <phoneticPr fontId="4"/>
  </si>
  <si>
    <t>岩佐　識</t>
    <rPh sb="0" eb="2">
      <t>イワサ</t>
    </rPh>
    <rPh sb="3" eb="4">
      <t>シキ</t>
    </rPh>
    <phoneticPr fontId="4"/>
  </si>
  <si>
    <t>LIFATH IMS ピンク</t>
    <phoneticPr fontId="4"/>
  </si>
  <si>
    <t>ブリジストン TOUR BXS</t>
    <phoneticPr fontId="4"/>
  </si>
  <si>
    <t>perfect pro tour velvet</t>
    <phoneticPr fontId="4"/>
  </si>
  <si>
    <t>井上　智秀</t>
    <rPh sb="0" eb="2">
      <t>イノウエ</t>
    </rPh>
    <rPh sb="3" eb="4">
      <t>チ</t>
    </rPh>
    <rPh sb="4" eb="5">
      <t>ヒデ</t>
    </rPh>
    <phoneticPr fontId="4"/>
  </si>
  <si>
    <t>ビジター登録プロ紹介(55分)</t>
    <rPh sb="4" eb="6">
      <t>トウロク</t>
    </rPh>
    <rPh sb="8" eb="10">
      <t>ショウカイ</t>
    </rPh>
    <phoneticPr fontId="4"/>
  </si>
  <si>
    <t>フジクラ DR VENTUS BLACK 5 50S</t>
    <phoneticPr fontId="4"/>
  </si>
  <si>
    <t>エリート Y360S XT ﾍﾞﾙﾘﾅﾌﾞﾗｯｸ(有)</t>
    <phoneticPr fontId="4"/>
  </si>
  <si>
    <t>平川　達樹</t>
    <rPh sb="0" eb="2">
      <t>ヒラカワ</t>
    </rPh>
    <rPh sb="3" eb="5">
      <t>タツキ</t>
    </rPh>
    <phoneticPr fontId="4"/>
  </si>
  <si>
    <t>FW 2022 CORSA 5W</t>
    <phoneticPr fontId="4"/>
  </si>
  <si>
    <t>フジクラ DR DIAMOND SPEEDER HB8S</t>
    <phoneticPr fontId="4"/>
  </si>
  <si>
    <t>エリート Y360S XT ﾏﾘﾝﾌﾞﾙｰ(有)</t>
    <phoneticPr fontId="4"/>
  </si>
  <si>
    <t>吉川　法生</t>
    <rPh sb="0" eb="2">
      <t>キッカワ</t>
    </rPh>
    <rPh sb="3" eb="4">
      <t>ホウ</t>
    </rPh>
    <rPh sb="4" eb="5">
      <t>セイ</t>
    </rPh>
    <phoneticPr fontId="4"/>
  </si>
  <si>
    <t>iomic sticky evolution2.3青 有</t>
    <rPh sb="25" eb="26">
      <t>アオ</t>
    </rPh>
    <rPh sb="27" eb="28">
      <t>アリ</t>
    </rPh>
    <phoneticPr fontId="4"/>
  </si>
  <si>
    <t>田渕　一</t>
    <rPh sb="0" eb="2">
      <t>タブチ</t>
    </rPh>
    <rPh sb="3" eb="4">
      <t>ハジメ</t>
    </rPh>
    <phoneticPr fontId="4"/>
  </si>
  <si>
    <t>BALDO</t>
    <phoneticPr fontId="4"/>
  </si>
  <si>
    <t>エリート Y360S XT ﾍﾞﾙﾘﾅﾌﾞﾗｯｸ(無)</t>
    <rPh sb="25" eb="26">
      <t>ナ</t>
    </rPh>
    <phoneticPr fontId="4"/>
  </si>
  <si>
    <t>スリクソン Zｽﾀｰ</t>
    <phoneticPr fontId="4"/>
  </si>
  <si>
    <t>横山　俊介</t>
    <rPh sb="0" eb="2">
      <t>ヨコヤマ</t>
    </rPh>
    <rPh sb="3" eb="5">
      <t>シュンスケ</t>
    </rPh>
    <phoneticPr fontId="4"/>
  </si>
  <si>
    <t>日本シャフト NS1050 GH 35インチ(ウェッジ)S</t>
    <rPh sb="0" eb="2">
      <t>ニホン</t>
    </rPh>
    <phoneticPr fontId="4"/>
  </si>
  <si>
    <t>中村　均</t>
    <rPh sb="0" eb="2">
      <t>ナカムラ</t>
    </rPh>
    <rPh sb="3" eb="4">
      <t>ヒトシ</t>
    </rPh>
    <phoneticPr fontId="4"/>
  </si>
  <si>
    <t>岡野　陽子</t>
    <rPh sb="0" eb="2">
      <t>オカノ</t>
    </rPh>
    <rPh sb="3" eb="5">
      <t>ヨウコ</t>
    </rPh>
    <phoneticPr fontId="4"/>
  </si>
  <si>
    <t>フォーサリンク22cm</t>
    <phoneticPr fontId="4"/>
  </si>
  <si>
    <t>ZERO FIT 22cm</t>
    <phoneticPr fontId="4"/>
  </si>
  <si>
    <t>山口　秀蔵</t>
    <rPh sb="0" eb="2">
      <t>ヤマグチ</t>
    </rPh>
    <rPh sb="3" eb="4">
      <t>ヒデ</t>
    </rPh>
    <rPh sb="4" eb="5">
      <t>クラ</t>
    </rPh>
    <phoneticPr fontId="4"/>
  </si>
  <si>
    <t>小瀬　翔也</t>
    <rPh sb="0" eb="2">
      <t>コセ</t>
    </rPh>
    <rPh sb="3" eb="5">
      <t>ショウヤ</t>
    </rPh>
    <phoneticPr fontId="4"/>
  </si>
  <si>
    <t>ビジター利用</t>
    <rPh sb="4" eb="6">
      <t>リヨウ</t>
    </rPh>
    <phoneticPr fontId="4"/>
  </si>
  <si>
    <t>大黒　雄介</t>
    <rPh sb="0" eb="2">
      <t>ダイコク</t>
    </rPh>
    <rPh sb="3" eb="5">
      <t>ユウスケ</t>
    </rPh>
    <phoneticPr fontId="4"/>
  </si>
  <si>
    <t>和島　浩二</t>
    <rPh sb="0" eb="2">
      <t>ワジマ</t>
    </rPh>
    <rPh sb="3" eb="5">
      <t>コウジ</t>
    </rPh>
    <phoneticPr fontId="4"/>
  </si>
  <si>
    <t>タイトリスト V1</t>
    <phoneticPr fontId="4"/>
  </si>
  <si>
    <t>伊丹　晃</t>
    <rPh sb="0" eb="2">
      <t>イタミ</t>
    </rPh>
    <rPh sb="3" eb="4">
      <t>アキラ</t>
    </rPh>
    <phoneticPr fontId="4"/>
  </si>
  <si>
    <t>三井　翔</t>
    <rPh sb="0" eb="2">
      <t>ミツイ</t>
    </rPh>
    <rPh sb="3" eb="4">
      <t>ショウ</t>
    </rPh>
    <phoneticPr fontId="4"/>
  </si>
  <si>
    <t>藤岡　寛大</t>
    <rPh sb="0" eb="2">
      <t>フジオカ</t>
    </rPh>
    <rPh sb="3" eb="4">
      <t>ヒロ</t>
    </rPh>
    <rPh sb="4" eb="5">
      <t>オオ</t>
    </rPh>
    <phoneticPr fontId="4"/>
  </si>
  <si>
    <t>藤原　久嗣</t>
    <rPh sb="0" eb="2">
      <t>フジワラ</t>
    </rPh>
    <rPh sb="3" eb="5">
      <t>ヒサツグ</t>
    </rPh>
    <phoneticPr fontId="4"/>
  </si>
  <si>
    <t>USTマミヤ DR ATTAS FIT H model</t>
    <phoneticPr fontId="4"/>
  </si>
  <si>
    <t>COBRA LTDx LS 9°</t>
    <phoneticPr fontId="4"/>
  </si>
  <si>
    <t>perfect pro Xホールド ブラック hc ブルー有</t>
    <rPh sb="29" eb="30">
      <t>アリ</t>
    </rPh>
    <phoneticPr fontId="4"/>
  </si>
  <si>
    <t>REVE DR IMPACT BORON REVOLVER X 青</t>
    <phoneticPr fontId="4"/>
  </si>
  <si>
    <t>COBRA LTDx MAX 10.5°</t>
    <phoneticPr fontId="4"/>
  </si>
  <si>
    <t>西山　権一</t>
    <rPh sb="0" eb="2">
      <t>ニシヤマ</t>
    </rPh>
    <rPh sb="3" eb="5">
      <t>ケンイチ</t>
    </rPh>
    <phoneticPr fontId="4"/>
  </si>
  <si>
    <t>タイトリスト proV1</t>
    <phoneticPr fontId="4"/>
  </si>
  <si>
    <t>中尾　正</t>
    <rPh sb="0" eb="2">
      <t>ナカオ</t>
    </rPh>
    <rPh sb="3" eb="4">
      <t>タダシ</t>
    </rPh>
    <phoneticPr fontId="4"/>
  </si>
  <si>
    <t>販売</t>
    <rPh sb="0" eb="2">
      <t>ハンバイ</t>
    </rPh>
    <phoneticPr fontId="4"/>
  </si>
  <si>
    <t>タイトリスト proV1</t>
    <phoneticPr fontId="4"/>
  </si>
  <si>
    <t>三谷　美喜</t>
    <rPh sb="0" eb="2">
      <t>ミタニ</t>
    </rPh>
    <rPh sb="3" eb="4">
      <t>ウツク</t>
    </rPh>
    <rPh sb="4" eb="5">
      <t>ヨロコ</t>
    </rPh>
    <phoneticPr fontId="4"/>
  </si>
  <si>
    <t>ビジター(55分)紹介</t>
    <rPh sb="9" eb="11">
      <t>ショウカイ</t>
    </rPh>
    <phoneticPr fontId="4"/>
  </si>
  <si>
    <t>豊田様からのご紹介</t>
    <rPh sb="0" eb="3">
      <t>トヨダサマ</t>
    </rPh>
    <rPh sb="7" eb="9">
      <t>ショウカイ</t>
    </rPh>
    <phoneticPr fontId="4"/>
  </si>
  <si>
    <t>シャフト</t>
    <phoneticPr fontId="4"/>
  </si>
  <si>
    <t>フジクラ DR SPEEDER EVOLUTION VI SPD351 R2</t>
    <phoneticPr fontId="4"/>
  </si>
  <si>
    <t>グリップ</t>
    <phoneticPr fontId="4"/>
  </si>
  <si>
    <t>iomic sticky evolution2.3赤 有</t>
    <rPh sb="25" eb="26">
      <t>アカ</t>
    </rPh>
    <phoneticPr fontId="4"/>
  </si>
  <si>
    <t>三谷　啓二</t>
    <rPh sb="0" eb="2">
      <t>ミタニ</t>
    </rPh>
    <rPh sb="3" eb="5">
      <t>ケイジ</t>
    </rPh>
    <phoneticPr fontId="4"/>
  </si>
  <si>
    <t>お会計同じ</t>
    <rPh sb="1" eb="3">
      <t>カイケイ</t>
    </rPh>
    <rPh sb="3" eb="4">
      <t>オナ</t>
    </rPh>
    <phoneticPr fontId="4"/>
  </si>
  <si>
    <t>金山　徳和</t>
    <rPh sb="0" eb="2">
      <t>カナヤマ</t>
    </rPh>
    <rPh sb="3" eb="5">
      <t>トクカズ</t>
    </rPh>
    <phoneticPr fontId="4"/>
  </si>
  <si>
    <t>タイトリスト proV1x</t>
    <phoneticPr fontId="4"/>
  </si>
  <si>
    <t>岩見　美樹</t>
    <rPh sb="0" eb="2">
      <t>イワミ</t>
    </rPh>
    <rPh sb="3" eb="5">
      <t>ミキ</t>
    </rPh>
    <phoneticPr fontId="4"/>
  </si>
  <si>
    <t>レギュラー　0.25ヶ月分</t>
    <rPh sb="12" eb="13">
      <t>フン</t>
    </rPh>
    <phoneticPr fontId="4"/>
  </si>
  <si>
    <t>販売</t>
    <rPh sb="0" eb="2">
      <t>ハンバイ</t>
    </rPh>
    <phoneticPr fontId="4"/>
  </si>
  <si>
    <t>シャフト</t>
    <phoneticPr fontId="4"/>
  </si>
  <si>
    <t>フジクラ DR VENTUS TR 5S</t>
    <phoneticPr fontId="4"/>
  </si>
  <si>
    <t>エリート Y360S XT ﾍﾞﾙﾘﾅﾌﾞﾗｯｸ(有)</t>
    <rPh sb="25" eb="26">
      <t>アリ</t>
    </rPh>
    <phoneticPr fontId="4"/>
  </si>
  <si>
    <t>グリップ</t>
    <phoneticPr fontId="4"/>
  </si>
  <si>
    <t>松岡　佑記臣</t>
    <rPh sb="0" eb="2">
      <t>マツオカ</t>
    </rPh>
    <rPh sb="3" eb="4">
      <t>ユウ</t>
    </rPh>
    <rPh sb="4" eb="5">
      <t>キ</t>
    </rPh>
    <rPh sb="5" eb="6">
      <t>ジン</t>
    </rPh>
    <phoneticPr fontId="4"/>
  </si>
  <si>
    <t>販売</t>
    <rPh sb="0" eb="2">
      <t>ハンバイ</t>
    </rPh>
    <phoneticPr fontId="4"/>
  </si>
  <si>
    <t>かわはら</t>
    <phoneticPr fontId="4"/>
  </si>
  <si>
    <t>ZERO FIT</t>
    <phoneticPr fontId="4"/>
  </si>
  <si>
    <t>古川博庸さんの知り合い</t>
    <rPh sb="0" eb="2">
      <t>フルカワ</t>
    </rPh>
    <rPh sb="2" eb="3">
      <t>ヒロ</t>
    </rPh>
    <rPh sb="3" eb="4">
      <t>ヨウ</t>
    </rPh>
    <rPh sb="7" eb="8">
      <t>シ</t>
    </rPh>
    <rPh sb="9" eb="10">
      <t>ア</t>
    </rPh>
    <phoneticPr fontId="4"/>
  </si>
  <si>
    <t>喜田　徹</t>
    <rPh sb="0" eb="2">
      <t>キダ</t>
    </rPh>
    <rPh sb="3" eb="4">
      <t>トオル</t>
    </rPh>
    <phoneticPr fontId="4"/>
  </si>
  <si>
    <t>iomic sticky evolution2.3ブラック(有)</t>
    <rPh sb="30" eb="31">
      <t>アリ</t>
    </rPh>
    <phoneticPr fontId="4"/>
  </si>
  <si>
    <t>現金</t>
    <rPh sb="0" eb="2">
      <t>ゲンキン</t>
    </rPh>
    <phoneticPr fontId="4"/>
  </si>
  <si>
    <t>会員様(55分)</t>
    <rPh sb="0" eb="3">
      <t>カイインサマ</t>
    </rPh>
    <phoneticPr fontId="4"/>
  </si>
  <si>
    <t>COBRA DR LTDx MAX WOMEN'S(ヘッド単体)12°</t>
    <rPh sb="29" eb="31">
      <t>タンタイ</t>
    </rPh>
    <phoneticPr fontId="4"/>
  </si>
  <si>
    <t>藤田　晃規</t>
    <rPh sb="0" eb="2">
      <t>フジタ</t>
    </rPh>
    <rPh sb="3" eb="4">
      <t>アキラ</t>
    </rPh>
    <rPh sb="4" eb="5">
      <t>キ</t>
    </rPh>
    <phoneticPr fontId="4"/>
  </si>
  <si>
    <t>グリップ</t>
    <phoneticPr fontId="4"/>
  </si>
  <si>
    <t>エリート パターグリップ RS74</t>
    <phoneticPr fontId="4"/>
  </si>
  <si>
    <t>笠松　哲司</t>
    <rPh sb="0" eb="2">
      <t>カサマツ</t>
    </rPh>
    <rPh sb="3" eb="5">
      <t>テツジ</t>
    </rPh>
    <phoneticPr fontId="4"/>
  </si>
  <si>
    <t>社長了承済み(レジ未入力)</t>
    <rPh sb="0" eb="2">
      <t>シャチョウ</t>
    </rPh>
    <rPh sb="2" eb="5">
      <t>リョウショウズ</t>
    </rPh>
    <rPh sb="9" eb="12">
      <t>ミニュウリョク</t>
    </rPh>
    <phoneticPr fontId="4"/>
  </si>
  <si>
    <t>小西　健太</t>
    <rPh sb="0" eb="2">
      <t>コニシ</t>
    </rPh>
    <rPh sb="3" eb="5">
      <t>ケンタ</t>
    </rPh>
    <phoneticPr fontId="4"/>
  </si>
  <si>
    <t>ビジター(55分)</t>
    <phoneticPr fontId="4"/>
  </si>
  <si>
    <t>販売</t>
    <rPh sb="0" eb="2">
      <t>ハンバイ</t>
    </rPh>
    <phoneticPr fontId="4"/>
  </si>
  <si>
    <t>シャフト</t>
    <phoneticPr fontId="4"/>
  </si>
  <si>
    <t>三菱ケミカルDR TENSEI PRO ORNGE 1K 5S</t>
    <rPh sb="0" eb="2">
      <t>ミツビシ</t>
    </rPh>
    <phoneticPr fontId="4"/>
  </si>
  <si>
    <t>返金</t>
    <rPh sb="0" eb="2">
      <t>ヘンキン</t>
    </rPh>
    <phoneticPr fontId="4"/>
  </si>
  <si>
    <t>オープンコンペ返金</t>
    <rPh sb="7" eb="9">
      <t>ヘンキン</t>
    </rPh>
    <phoneticPr fontId="4"/>
  </si>
  <si>
    <t>増井　美紀</t>
    <rPh sb="0" eb="2">
      <t>マスイ</t>
    </rPh>
    <rPh sb="3" eb="5">
      <t>ミキ</t>
    </rPh>
    <phoneticPr fontId="4"/>
  </si>
  <si>
    <t>堂丸　康一</t>
    <rPh sb="0" eb="2">
      <t>ドウマル</t>
    </rPh>
    <rPh sb="3" eb="5">
      <t>ヤスカズ</t>
    </rPh>
    <phoneticPr fontId="4"/>
  </si>
  <si>
    <t>販売</t>
    <rPh sb="0" eb="2">
      <t>ハンバイ</t>
    </rPh>
    <phoneticPr fontId="4"/>
  </si>
  <si>
    <t>フォーサリンク 23cm</t>
    <phoneticPr fontId="4"/>
  </si>
  <si>
    <t>現金</t>
    <rPh sb="0" eb="2">
      <t>ゲンキン</t>
    </rPh>
    <phoneticPr fontId="4"/>
  </si>
  <si>
    <t>長田　美紀</t>
    <rPh sb="0" eb="2">
      <t>ナガタ</t>
    </rPh>
    <rPh sb="3" eb="5">
      <t>ミキ</t>
    </rPh>
    <phoneticPr fontId="4"/>
  </si>
  <si>
    <t>社長ご紹介</t>
    <rPh sb="0" eb="2">
      <t>シャチョウ</t>
    </rPh>
    <rPh sb="3" eb="5">
      <t>ショウカイ</t>
    </rPh>
    <phoneticPr fontId="4"/>
  </si>
  <si>
    <t>浮田　美樹子</t>
    <rPh sb="0" eb="2">
      <t>ウキタ</t>
    </rPh>
    <rPh sb="3" eb="6">
      <t>ミキコ</t>
    </rPh>
    <phoneticPr fontId="4"/>
  </si>
  <si>
    <t>松岡　佑記臣</t>
    <rPh sb="0" eb="2">
      <t>マツオカ</t>
    </rPh>
    <rPh sb="3" eb="4">
      <t>ユウ</t>
    </rPh>
    <rPh sb="4" eb="5">
      <t>キ</t>
    </rPh>
    <rPh sb="5" eb="6">
      <t>オミ</t>
    </rPh>
    <phoneticPr fontId="4"/>
  </si>
  <si>
    <t>スミス　由華</t>
    <rPh sb="4" eb="6">
      <t>ユカ</t>
    </rPh>
    <phoneticPr fontId="4"/>
  </si>
  <si>
    <t>スミス　ソフィア</t>
    <phoneticPr fontId="4"/>
  </si>
  <si>
    <t>スミス由華様が一緒にお会計</t>
    <rPh sb="3" eb="4">
      <t>ユ</t>
    </rPh>
    <rPh sb="4" eb="5">
      <t>ハナ</t>
    </rPh>
    <rPh sb="5" eb="6">
      <t>サマ</t>
    </rPh>
    <rPh sb="7" eb="9">
      <t>イッショ</t>
    </rPh>
    <rPh sb="11" eb="13">
      <t>カイケイ</t>
    </rPh>
    <phoneticPr fontId="4"/>
  </si>
  <si>
    <t>パターグリップ</t>
    <phoneticPr fontId="4"/>
  </si>
  <si>
    <t>竹廣　恵</t>
    <rPh sb="0" eb="2">
      <t>タケヒロ</t>
    </rPh>
    <rPh sb="3" eb="4">
      <t>メグミ</t>
    </rPh>
    <phoneticPr fontId="4"/>
  </si>
  <si>
    <t>ビジター(55分)ビジター</t>
  </si>
  <si>
    <t>ビジター打席利用(ご家族会員)</t>
    <rPh sb="4" eb="8">
      <t>ダセキリヨウ</t>
    </rPh>
    <rPh sb="10" eb="12">
      <t>カゾク</t>
    </rPh>
    <rPh sb="12" eb="14">
      <t>カイイン</t>
    </rPh>
    <phoneticPr fontId="4"/>
  </si>
  <si>
    <t>黒田　勝彦</t>
    <rPh sb="0" eb="2">
      <t>クロダ</t>
    </rPh>
    <rPh sb="3" eb="5">
      <t>カツヒコ</t>
    </rPh>
    <phoneticPr fontId="4"/>
  </si>
  <si>
    <t>宮　敏文</t>
    <rPh sb="0" eb="1">
      <t>ミヤ</t>
    </rPh>
    <rPh sb="2" eb="4">
      <t>トシフミ</t>
    </rPh>
    <phoneticPr fontId="4"/>
  </si>
  <si>
    <t>松浦　光徳</t>
    <rPh sb="0" eb="2">
      <t>マツウラ</t>
    </rPh>
    <rPh sb="3" eb="4">
      <t>ヒカリ</t>
    </rPh>
    <rPh sb="4" eb="5">
      <t>トク</t>
    </rPh>
    <phoneticPr fontId="4"/>
  </si>
  <si>
    <t>桐野　純子</t>
    <rPh sb="0" eb="2">
      <t>キリノ</t>
    </rPh>
    <rPh sb="3" eb="5">
      <t>ジュンコ</t>
    </rPh>
    <phoneticPr fontId="4"/>
  </si>
  <si>
    <t>シャフト</t>
    <phoneticPr fontId="4"/>
  </si>
  <si>
    <t>グラファイトデザイン DR tour AD pt-5S</t>
    <phoneticPr fontId="4"/>
  </si>
  <si>
    <t>グリップ</t>
    <phoneticPr fontId="4"/>
  </si>
  <si>
    <t>Golf pride tour velvet</t>
    <phoneticPr fontId="4"/>
  </si>
  <si>
    <t>山田　正樹</t>
    <rPh sb="0" eb="2">
      <t>ヤマダ</t>
    </rPh>
    <rPh sb="3" eb="5">
      <t>マサキ</t>
    </rPh>
    <phoneticPr fontId="4"/>
  </si>
  <si>
    <t>田渕　一</t>
    <rPh sb="0" eb="2">
      <t>タブチ</t>
    </rPh>
    <rPh sb="3" eb="4">
      <t>イチ</t>
    </rPh>
    <phoneticPr fontId="4"/>
  </si>
  <si>
    <t>西山　康弘</t>
    <rPh sb="0" eb="2">
      <t>ニシヤマ</t>
    </rPh>
    <rPh sb="3" eb="5">
      <t>ヤスヒロ</t>
    </rPh>
    <phoneticPr fontId="4"/>
  </si>
  <si>
    <t>坂東　俊哉</t>
    <rPh sb="0" eb="2">
      <t>バンドウ</t>
    </rPh>
    <rPh sb="3" eb="5">
      <t>トシヤ</t>
    </rPh>
    <phoneticPr fontId="4"/>
  </si>
  <si>
    <t>iomic sticky evolution 2.3黄 無</t>
    <rPh sb="26" eb="27">
      <t>オウ</t>
    </rPh>
    <rPh sb="28" eb="29">
      <t>ナ</t>
    </rPh>
    <phoneticPr fontId="4"/>
  </si>
  <si>
    <t>iomic sticky evolution 2.3青 無</t>
    <rPh sb="26" eb="27">
      <t>アオ</t>
    </rPh>
    <rPh sb="28" eb="29">
      <t>ナ</t>
    </rPh>
    <phoneticPr fontId="4"/>
  </si>
  <si>
    <t>iomic sticky evolution 2.3赤 無</t>
    <rPh sb="26" eb="27">
      <t>アカ</t>
    </rPh>
    <rPh sb="28" eb="29">
      <t>ナ</t>
    </rPh>
    <phoneticPr fontId="4"/>
  </si>
  <si>
    <t>橋本　稔</t>
    <rPh sb="0" eb="2">
      <t>ハシモト</t>
    </rPh>
    <rPh sb="3" eb="4">
      <t>ミノル</t>
    </rPh>
    <phoneticPr fontId="4"/>
  </si>
  <si>
    <t>エリート 1speed エボルーション 赤</t>
    <rPh sb="20" eb="21">
      <t>アカ</t>
    </rPh>
    <phoneticPr fontId="4"/>
  </si>
  <si>
    <t>村上　茜</t>
    <rPh sb="0" eb="2">
      <t>ムラカミ</t>
    </rPh>
    <rPh sb="3" eb="4">
      <t>アカネ</t>
    </rPh>
    <phoneticPr fontId="4"/>
  </si>
  <si>
    <t>平崎　博嗣</t>
    <rPh sb="0" eb="2">
      <t>ヒラサキ</t>
    </rPh>
    <rPh sb="3" eb="4">
      <t>ヒロシ</t>
    </rPh>
    <rPh sb="4" eb="5">
      <t>シ</t>
    </rPh>
    <phoneticPr fontId="4"/>
  </si>
  <si>
    <t>レギュラー　0.5ヶ月分</t>
    <rPh sb="11" eb="12">
      <t>フン</t>
    </rPh>
    <phoneticPr fontId="4"/>
  </si>
  <si>
    <t>ポスティングチラシを持参したため、入会当月分返金(1月16日)</t>
    <rPh sb="10" eb="12">
      <t>ジサン</t>
    </rPh>
    <rPh sb="17" eb="19">
      <t>ニュウカイ</t>
    </rPh>
    <rPh sb="19" eb="22">
      <t>トウゲツブン</t>
    </rPh>
    <rPh sb="22" eb="24">
      <t>ヘンキン</t>
    </rPh>
    <rPh sb="26" eb="27">
      <t>ガツ</t>
    </rPh>
    <rPh sb="29" eb="30">
      <t>ニチ</t>
    </rPh>
    <phoneticPr fontId="4"/>
  </si>
  <si>
    <t>三菱ケミカル DR Diamana DF 50S</t>
    <rPh sb="0" eb="2">
      <t>ミツビシ</t>
    </rPh>
    <phoneticPr fontId="4"/>
  </si>
  <si>
    <t>タイトリスト</t>
    <phoneticPr fontId="4"/>
  </si>
  <si>
    <t>返金</t>
    <rPh sb="0" eb="2">
      <t>ヘンキン</t>
    </rPh>
    <phoneticPr fontId="4"/>
  </si>
  <si>
    <t>リピーターフィッティング料金 返金</t>
    <rPh sb="12" eb="14">
      <t>リョウキン</t>
    </rPh>
    <rPh sb="15" eb="17">
      <t>ヘンキン</t>
    </rPh>
    <phoneticPr fontId="4"/>
  </si>
  <si>
    <t>再来(2020/2/26)</t>
    <rPh sb="0" eb="2">
      <t>サイライ</t>
    </rPh>
    <phoneticPr fontId="4"/>
  </si>
  <si>
    <t>宮川　善行</t>
    <rPh sb="0" eb="2">
      <t>ミヤガワ</t>
    </rPh>
    <rPh sb="3" eb="4">
      <t>ゼン</t>
    </rPh>
    <rPh sb="4" eb="5">
      <t>イ</t>
    </rPh>
    <phoneticPr fontId="4"/>
  </si>
  <si>
    <t>ブリヂストン tour B X</t>
    <phoneticPr fontId="4"/>
  </si>
  <si>
    <t>金券</t>
    <rPh sb="0" eb="2">
      <t>キンケン</t>
    </rPh>
    <phoneticPr fontId="4"/>
  </si>
  <si>
    <t>金券1,000円×10枚　残り1,286円現金</t>
    <rPh sb="0" eb="2">
      <t>キンケン</t>
    </rPh>
    <rPh sb="7" eb="8">
      <t>エン</t>
    </rPh>
    <rPh sb="11" eb="12">
      <t>マイ</t>
    </rPh>
    <rPh sb="13" eb="14">
      <t>ノコ</t>
    </rPh>
    <rPh sb="20" eb="21">
      <t>エン</t>
    </rPh>
    <rPh sb="21" eb="23">
      <t>ゲンキン</t>
    </rPh>
    <phoneticPr fontId="4"/>
  </si>
  <si>
    <t>岩見　真一郎</t>
    <rPh sb="0" eb="2">
      <t>イワミ</t>
    </rPh>
    <rPh sb="3" eb="6">
      <t>シンイチロウ</t>
    </rPh>
    <phoneticPr fontId="4"/>
  </si>
  <si>
    <t>石井　貴</t>
    <rPh sb="0" eb="2">
      <t>イシイ</t>
    </rPh>
    <rPh sb="3" eb="4">
      <t>タカシ</t>
    </rPh>
    <phoneticPr fontId="4"/>
  </si>
  <si>
    <t>入会金(ご家族会員)</t>
    <rPh sb="0" eb="3">
      <t>ニュウカイキン</t>
    </rPh>
    <rPh sb="5" eb="7">
      <t>カゾク</t>
    </rPh>
    <rPh sb="7" eb="9">
      <t>カイイン</t>
    </rPh>
    <phoneticPr fontId="4"/>
  </si>
  <si>
    <t>レギュラー家族割　0.5ヶ月分</t>
    <rPh sb="5" eb="8">
      <t>カゾクワリ</t>
    </rPh>
    <rPh sb="14" eb="15">
      <t>フン</t>
    </rPh>
    <phoneticPr fontId="4"/>
  </si>
  <si>
    <t>レギュラー家族割　1ヶ月分</t>
    <rPh sb="5" eb="8">
      <t>カゾクワリ</t>
    </rPh>
    <rPh sb="12" eb="13">
      <t>フン</t>
    </rPh>
    <phoneticPr fontId="4"/>
  </si>
  <si>
    <t>ごるトレ ピンク</t>
    <phoneticPr fontId="4"/>
  </si>
  <si>
    <t>荒木　啓輔</t>
    <rPh sb="0" eb="2">
      <t>アラキ</t>
    </rPh>
    <rPh sb="3" eb="4">
      <t>ケイ</t>
    </rPh>
    <rPh sb="4" eb="5">
      <t>スケ</t>
    </rPh>
    <phoneticPr fontId="4"/>
  </si>
  <si>
    <t>シンカグラファイト DR LEXIA 5S</t>
    <phoneticPr fontId="4"/>
  </si>
  <si>
    <t>シンカグラファイト FW LEXIA Series FW 5S</t>
    <phoneticPr fontId="4"/>
  </si>
  <si>
    <t>フジクラ MCH MCH  60S 白</t>
    <rPh sb="18" eb="19">
      <t>シロ</t>
    </rPh>
    <phoneticPr fontId="4"/>
  </si>
  <si>
    <t>PING DR G430 MAX 10.5°1w</t>
    <phoneticPr fontId="4"/>
  </si>
  <si>
    <t>PING FW G430 3w</t>
    <phoneticPr fontId="4"/>
  </si>
  <si>
    <t>PING FW MAX 5w</t>
    <phoneticPr fontId="4"/>
  </si>
  <si>
    <t>PING UT G430 22°</t>
    <phoneticPr fontId="4"/>
  </si>
  <si>
    <t>PING UT G430 26°</t>
    <phoneticPr fontId="4"/>
  </si>
  <si>
    <t>iomic sticky evolution 2.3黄 有</t>
    <rPh sb="26" eb="27">
      <t>オウ</t>
    </rPh>
    <rPh sb="28" eb="29">
      <t>アリ</t>
    </rPh>
    <phoneticPr fontId="4"/>
  </si>
  <si>
    <t>iomic sticky evolution 2.3青 有</t>
    <rPh sb="26" eb="27">
      <t>アオ</t>
    </rPh>
    <rPh sb="28" eb="29">
      <t>アリ</t>
    </rPh>
    <phoneticPr fontId="4"/>
  </si>
  <si>
    <t>iomic sticky evolution 2.3赤 有</t>
    <rPh sb="26" eb="27">
      <t>アカ</t>
    </rPh>
    <rPh sb="28" eb="29">
      <t>アリ</t>
    </rPh>
    <phoneticPr fontId="4"/>
  </si>
  <si>
    <t>岸本　美帆</t>
    <rPh sb="0" eb="2">
      <t>キシモト</t>
    </rPh>
    <rPh sb="3" eb="5">
      <t>ミホ</t>
    </rPh>
    <phoneticPr fontId="4"/>
  </si>
  <si>
    <t>和田　将秀</t>
    <rPh sb="0" eb="2">
      <t>ワダ</t>
    </rPh>
    <rPh sb="3" eb="4">
      <t>マサ</t>
    </rPh>
    <rPh sb="4" eb="5">
      <t>シュウ</t>
    </rPh>
    <phoneticPr fontId="4"/>
  </si>
  <si>
    <t>CADERO 2×2YT ペンタゴンスター入り black/red</t>
    <rPh sb="21" eb="22">
      <t>イ</t>
    </rPh>
    <phoneticPr fontId="4"/>
  </si>
  <si>
    <t>ブリヂストン tour B X S</t>
    <phoneticPr fontId="4"/>
  </si>
  <si>
    <t>PL(55分ビジター)</t>
    <rPh sb="5" eb="6">
      <t>フン</t>
    </rPh>
    <phoneticPr fontId="4"/>
  </si>
  <si>
    <t>畑野　士朗</t>
    <rPh sb="0" eb="2">
      <t>ハタノ</t>
    </rPh>
    <rPh sb="3" eb="5">
      <t>シロウ</t>
    </rPh>
    <phoneticPr fontId="4"/>
  </si>
  <si>
    <t>販売</t>
    <rPh sb="0" eb="2">
      <t>ハンバイ</t>
    </rPh>
    <phoneticPr fontId="4"/>
  </si>
  <si>
    <t>グリップ</t>
    <phoneticPr fontId="4"/>
  </si>
  <si>
    <t>iomic X-evolution2.3 ブルー (無)</t>
    <phoneticPr fontId="4"/>
  </si>
  <si>
    <t>金券</t>
    <rPh sb="0" eb="2">
      <t>キンケン</t>
    </rPh>
    <phoneticPr fontId="4"/>
  </si>
  <si>
    <t>金券1,000円×1枚</t>
    <rPh sb="0" eb="2">
      <t>キンケン</t>
    </rPh>
    <rPh sb="7" eb="8">
      <t>エン</t>
    </rPh>
    <rPh sb="10" eb="11">
      <t>マイ</t>
    </rPh>
    <phoneticPr fontId="4"/>
  </si>
  <si>
    <t>木村　稔</t>
    <rPh sb="0" eb="2">
      <t>キムラ</t>
    </rPh>
    <rPh sb="3" eb="4">
      <t>ミノル</t>
    </rPh>
    <phoneticPr fontId="4"/>
  </si>
  <si>
    <t>Golf pride MCC</t>
    <phoneticPr fontId="4"/>
  </si>
  <si>
    <t>返金</t>
    <rPh sb="0" eb="2">
      <t>ヘンキン</t>
    </rPh>
    <phoneticPr fontId="4"/>
  </si>
  <si>
    <t>ポスティングチラシ持参入会当月分返金</t>
    <rPh sb="9" eb="11">
      <t>ジサン</t>
    </rPh>
    <rPh sb="11" eb="16">
      <t>ニュウカイトウゲツブン</t>
    </rPh>
    <rPh sb="16" eb="18">
      <t>ヘンキン</t>
    </rPh>
    <phoneticPr fontId="4"/>
  </si>
  <si>
    <t>現金</t>
    <rPh sb="0" eb="2">
      <t>ゲンキン</t>
    </rPh>
    <phoneticPr fontId="4"/>
  </si>
  <si>
    <t>藤井　純子</t>
    <rPh sb="0" eb="2">
      <t>フジイ</t>
    </rPh>
    <rPh sb="3" eb="5">
      <t>ジュンコ</t>
    </rPh>
    <phoneticPr fontId="4"/>
  </si>
  <si>
    <t>tour B JGR</t>
    <phoneticPr fontId="4"/>
  </si>
  <si>
    <t>Golf pride tour velvet</t>
    <phoneticPr fontId="4"/>
  </si>
  <si>
    <t>金券1,000円×5枚　残り791円現金</t>
    <rPh sb="0" eb="2">
      <t>キンケン</t>
    </rPh>
    <rPh sb="7" eb="8">
      <t>エン</t>
    </rPh>
    <rPh sb="10" eb="11">
      <t>マイ</t>
    </rPh>
    <rPh sb="12" eb="13">
      <t>ノコ</t>
    </rPh>
    <rPh sb="17" eb="18">
      <t>エン</t>
    </rPh>
    <rPh sb="18" eb="20">
      <t>ゲンキン</t>
    </rPh>
    <phoneticPr fontId="4"/>
  </si>
  <si>
    <t>上田　恭司</t>
    <rPh sb="0" eb="2">
      <t>ウエダ</t>
    </rPh>
    <rPh sb="3" eb="5">
      <t>キョウジ</t>
    </rPh>
    <phoneticPr fontId="4"/>
  </si>
  <si>
    <t>PING DR G430 LST 9°</t>
    <phoneticPr fontId="4"/>
  </si>
  <si>
    <t>小栗山　麻三希</t>
    <rPh sb="0" eb="3">
      <t>オグリヤマ</t>
    </rPh>
    <rPh sb="4" eb="5">
      <t>アサ</t>
    </rPh>
    <rPh sb="5" eb="6">
      <t>サン</t>
    </rPh>
    <rPh sb="6" eb="7">
      <t>キ</t>
    </rPh>
    <phoneticPr fontId="4"/>
  </si>
  <si>
    <t>平山　沢子</t>
    <rPh sb="0" eb="2">
      <t>ヒラヤマ</t>
    </rPh>
    <rPh sb="3" eb="4">
      <t>サワ</t>
    </rPh>
    <rPh sb="4" eb="5">
      <t>コ</t>
    </rPh>
    <phoneticPr fontId="4"/>
  </si>
  <si>
    <t>販売</t>
    <rPh sb="0" eb="2">
      <t>ハンバイ</t>
    </rPh>
    <phoneticPr fontId="4"/>
  </si>
  <si>
    <t>グリップ</t>
    <phoneticPr fontId="4"/>
  </si>
  <si>
    <t>坂東　俊哉</t>
    <rPh sb="0" eb="2">
      <t>バンドウ</t>
    </rPh>
    <rPh sb="3" eb="5">
      <t>トシヤ</t>
    </rPh>
    <phoneticPr fontId="4"/>
  </si>
  <si>
    <t>perfect pro Xホールド ブラックラバー ブルー</t>
    <phoneticPr fontId="4"/>
  </si>
  <si>
    <t>現金</t>
    <rPh sb="0" eb="2">
      <t>ゲンキン</t>
    </rPh>
    <phoneticPr fontId="4"/>
  </si>
  <si>
    <t>ティー</t>
    <phoneticPr fontId="4"/>
  </si>
  <si>
    <t>tour tee combo</t>
    <phoneticPr fontId="4"/>
  </si>
  <si>
    <t>iomic ix 2.3オレンジ</t>
    <phoneticPr fontId="4"/>
  </si>
  <si>
    <t>東野　文也</t>
    <rPh sb="0" eb="2">
      <t>ヒガシノ</t>
    </rPh>
    <rPh sb="3" eb="5">
      <t>フミヤ</t>
    </rPh>
    <phoneticPr fontId="4"/>
  </si>
  <si>
    <t>tour B XS</t>
    <phoneticPr fontId="4"/>
  </si>
  <si>
    <t>貞光　恵子</t>
    <rPh sb="0" eb="2">
      <t>サダミツ</t>
    </rPh>
    <rPh sb="3" eb="5">
      <t>ケイコ</t>
    </rPh>
    <phoneticPr fontId="4"/>
  </si>
  <si>
    <t>ビジター(55分)</t>
    <phoneticPr fontId="4"/>
  </si>
  <si>
    <t>ビジター(55分)登録プロ紹介</t>
    <rPh sb="9" eb="11">
      <t>トウロク</t>
    </rPh>
    <rPh sb="13" eb="15">
      <t>ショウカイ</t>
    </rPh>
    <phoneticPr fontId="4"/>
  </si>
  <si>
    <t>大野　眞実</t>
    <rPh sb="0" eb="2">
      <t>オオノ</t>
    </rPh>
    <rPh sb="3" eb="4">
      <t>マコト</t>
    </rPh>
    <rPh sb="4" eb="5">
      <t>ミノル</t>
    </rPh>
    <phoneticPr fontId="4"/>
  </si>
  <si>
    <t>チケット制　1ヶ月分</t>
    <rPh sb="4" eb="5">
      <t>セイ</t>
    </rPh>
    <rPh sb="9" eb="10">
      <t>フン</t>
    </rPh>
    <phoneticPr fontId="4"/>
  </si>
  <si>
    <t>チケット制　0.25ヶ月分</t>
    <rPh sb="4" eb="5">
      <t>セイ</t>
    </rPh>
    <rPh sb="12" eb="13">
      <t>フン</t>
    </rPh>
    <phoneticPr fontId="4"/>
  </si>
  <si>
    <t>シャフト</t>
    <phoneticPr fontId="4"/>
  </si>
  <si>
    <t>フジクラ DR PLATINUM SPEEDER 3R</t>
    <phoneticPr fontId="4"/>
  </si>
  <si>
    <t>エリート SX38ベルリナブラック 有</t>
    <rPh sb="18" eb="19">
      <t>アリ</t>
    </rPh>
    <phoneticPr fontId="4"/>
  </si>
  <si>
    <t>iomic sticy evolution 2.3赤(有)</t>
    <rPh sb="25" eb="26">
      <t>アカ</t>
    </rPh>
    <phoneticPr fontId="4"/>
  </si>
  <si>
    <t>Square</t>
    <phoneticPr fontId="4"/>
  </si>
  <si>
    <t>シンカグラファイト IR LEXIA IL7 LT</t>
    <phoneticPr fontId="4"/>
  </si>
  <si>
    <t>シンカグラファイト IR LEXIA IL7 HV</t>
    <phoneticPr fontId="4"/>
  </si>
  <si>
    <t>iomic sticy evolution 2.3青(有)</t>
    <rPh sb="25" eb="26">
      <t>アオ</t>
    </rPh>
    <phoneticPr fontId="4"/>
  </si>
  <si>
    <t>スミス　ソフィア</t>
    <phoneticPr fontId="4"/>
  </si>
  <si>
    <t>ビジター(会員家族)</t>
    <rPh sb="5" eb="7">
      <t>カイイン</t>
    </rPh>
    <rPh sb="7" eb="9">
      <t>カゾク</t>
    </rPh>
    <phoneticPr fontId="4"/>
  </si>
  <si>
    <t>藪　洋亮</t>
    <rPh sb="0" eb="1">
      <t>ヤブ</t>
    </rPh>
    <rPh sb="2" eb="3">
      <t>ヒロシ</t>
    </rPh>
    <rPh sb="3" eb="4">
      <t>リョウ</t>
    </rPh>
    <phoneticPr fontId="4"/>
  </si>
  <si>
    <t>ビジター(110分)</t>
    <phoneticPr fontId="4"/>
  </si>
  <si>
    <t>佐伯　暢生</t>
    <rPh sb="0" eb="2">
      <t>サエキ</t>
    </rPh>
    <rPh sb="3" eb="4">
      <t>ヨウ</t>
    </rPh>
    <rPh sb="4" eb="5">
      <t>イ</t>
    </rPh>
    <phoneticPr fontId="4"/>
  </si>
  <si>
    <t>フジクラ UT DIAMOND SPEEDER HB7 S</t>
    <phoneticPr fontId="4"/>
  </si>
  <si>
    <t>山田　隆之</t>
    <rPh sb="0" eb="2">
      <t>ヤマダ</t>
    </rPh>
    <rPh sb="3" eb="5">
      <t>タカユキ</t>
    </rPh>
    <phoneticPr fontId="4"/>
  </si>
  <si>
    <t>レッスンチケット　11枚</t>
    <phoneticPr fontId="4"/>
  </si>
  <si>
    <t>岸本　百加</t>
    <rPh sb="0" eb="2">
      <t>キシモト</t>
    </rPh>
    <rPh sb="3" eb="5">
      <t>モモカ</t>
    </rPh>
    <phoneticPr fontId="4"/>
  </si>
  <si>
    <t>tr232スミス 由華様のご家族</t>
    <rPh sb="9" eb="11">
      <t>ユカ</t>
    </rPh>
    <rPh sb="11" eb="12">
      <t>サマ</t>
    </rPh>
    <rPh sb="14" eb="16">
      <t>カゾク</t>
    </rPh>
    <phoneticPr fontId="4"/>
  </si>
  <si>
    <t>福井　章義</t>
    <rPh sb="0" eb="2">
      <t>フクイ</t>
    </rPh>
    <rPh sb="3" eb="5">
      <t>アキヨシ</t>
    </rPh>
    <phoneticPr fontId="4"/>
  </si>
  <si>
    <t>ビジター利用(一般)</t>
    <rPh sb="4" eb="6">
      <t>リヨウ</t>
    </rPh>
    <rPh sb="7" eb="9">
      <t>イッパン</t>
    </rPh>
    <phoneticPr fontId="4"/>
  </si>
  <si>
    <t>フォーサリンク レザー</t>
    <phoneticPr fontId="4"/>
  </si>
  <si>
    <t>金券</t>
    <rPh sb="0" eb="2">
      <t>キンケン</t>
    </rPh>
    <phoneticPr fontId="4"/>
  </si>
  <si>
    <t>利用料</t>
    <rPh sb="0" eb="3">
      <t>リヨウリョウ</t>
    </rPh>
    <phoneticPr fontId="4"/>
  </si>
  <si>
    <t>金券1,000円×2枚　残り128円現金</t>
    <rPh sb="0" eb="2">
      <t>キンケン</t>
    </rPh>
    <rPh sb="7" eb="8">
      <t>エン</t>
    </rPh>
    <rPh sb="10" eb="11">
      <t>マイ</t>
    </rPh>
    <rPh sb="12" eb="13">
      <t>ノコ</t>
    </rPh>
    <rPh sb="17" eb="18">
      <t>エン</t>
    </rPh>
    <rPh sb="18" eb="20">
      <t>ゲンキン</t>
    </rPh>
    <phoneticPr fontId="4"/>
  </si>
  <si>
    <t>データ印刷(ビジター)</t>
    <rPh sb="3" eb="5">
      <t>インサツ</t>
    </rPh>
    <phoneticPr fontId="4"/>
  </si>
  <si>
    <t>販売</t>
    <rPh sb="0" eb="2">
      <t>ハンバイ</t>
    </rPh>
    <phoneticPr fontId="4"/>
  </si>
  <si>
    <t>グリップ</t>
    <phoneticPr fontId="4"/>
  </si>
  <si>
    <t>iomic LTC i-x 2.3無</t>
    <rPh sb="17" eb="18">
      <t>ナシ</t>
    </rPh>
    <phoneticPr fontId="4"/>
  </si>
  <si>
    <t>srixon z star</t>
    <phoneticPr fontId="4"/>
  </si>
  <si>
    <t>堀古　一男</t>
    <rPh sb="0" eb="1">
      <t>ホリ</t>
    </rPh>
    <rPh sb="1" eb="2">
      <t>フル</t>
    </rPh>
    <rPh sb="3" eb="5">
      <t>カズオ</t>
    </rPh>
    <phoneticPr fontId="4"/>
  </si>
  <si>
    <t>現金</t>
    <rPh sb="0" eb="2">
      <t>ゲンキン</t>
    </rPh>
    <phoneticPr fontId="4"/>
  </si>
  <si>
    <t>西田　明子</t>
    <rPh sb="0" eb="2">
      <t>ニシダ</t>
    </rPh>
    <rPh sb="3" eb="5">
      <t>アキコ</t>
    </rPh>
    <phoneticPr fontId="4"/>
  </si>
  <si>
    <t>ビジター(55分)</t>
    <phoneticPr fontId="4"/>
  </si>
  <si>
    <t>長田　美紀</t>
    <rPh sb="0" eb="2">
      <t>ナガタ</t>
    </rPh>
    <rPh sb="3" eb="5">
      <t>ミキ</t>
    </rPh>
    <phoneticPr fontId="4"/>
  </si>
  <si>
    <t>シャフト</t>
    <phoneticPr fontId="4"/>
  </si>
  <si>
    <t>トライファス DR Raffina LITE R</t>
    <phoneticPr fontId="4"/>
  </si>
  <si>
    <t>iomic sticky opus lady's</t>
    <phoneticPr fontId="4"/>
  </si>
  <si>
    <t>和島　絢香</t>
    <rPh sb="0" eb="2">
      <t>ワジマ</t>
    </rPh>
    <rPh sb="3" eb="5">
      <t>アヤカ</t>
    </rPh>
    <phoneticPr fontId="4"/>
  </si>
  <si>
    <t>パターグリップ うまい棒 めんたいこ味</t>
    <rPh sb="11" eb="12">
      <t>ボウ</t>
    </rPh>
    <rPh sb="18" eb="19">
      <t>アジ</t>
    </rPh>
    <phoneticPr fontId="4"/>
  </si>
  <si>
    <t>寺坂　雄翔</t>
    <rPh sb="0" eb="2">
      <t>テラサカ</t>
    </rPh>
    <rPh sb="3" eb="4">
      <t>ユウ</t>
    </rPh>
    <rPh sb="4" eb="5">
      <t>ショウ</t>
    </rPh>
    <phoneticPr fontId="4"/>
  </si>
  <si>
    <t>arch DR CA-01 27</t>
    <phoneticPr fontId="4"/>
  </si>
  <si>
    <t>キャロウェイ</t>
    <phoneticPr fontId="4"/>
  </si>
  <si>
    <t>iomic sticky evolution 2.3赤(有)</t>
    <rPh sb="26" eb="27">
      <t>アカ</t>
    </rPh>
    <rPh sb="28" eb="29">
      <t>アリ</t>
    </rPh>
    <phoneticPr fontId="4"/>
  </si>
  <si>
    <t>廣濱　功</t>
    <rPh sb="0" eb="2">
      <t>ヒロハマ</t>
    </rPh>
    <rPh sb="3" eb="4">
      <t>イサオ</t>
    </rPh>
    <phoneticPr fontId="4"/>
  </si>
  <si>
    <t>亀 ホワイト</t>
    <rPh sb="0" eb="1">
      <t>カメ</t>
    </rPh>
    <phoneticPr fontId="4"/>
  </si>
  <si>
    <t>山田　正樹</t>
    <rPh sb="0" eb="2">
      <t>ヤマダ</t>
    </rPh>
    <rPh sb="3" eb="5">
      <t>マサキ</t>
    </rPh>
    <phoneticPr fontId="4"/>
  </si>
  <si>
    <t>丸岡　史弥</t>
    <rPh sb="0" eb="2">
      <t>マルオカ</t>
    </rPh>
    <rPh sb="3" eb="4">
      <t>シ</t>
    </rPh>
    <rPh sb="4" eb="5">
      <t>ヤ</t>
    </rPh>
    <phoneticPr fontId="4"/>
  </si>
  <si>
    <t>岸本　浩延</t>
    <rPh sb="0" eb="2">
      <t>キシモト</t>
    </rPh>
    <rPh sb="3" eb="4">
      <t>ヒロ</t>
    </rPh>
    <rPh sb="4" eb="5">
      <t>ノブ</t>
    </rPh>
    <phoneticPr fontId="4"/>
  </si>
  <si>
    <t>レッスンチケット　11枚</t>
    <phoneticPr fontId="4"/>
  </si>
  <si>
    <t>飯尾　勝</t>
    <rPh sb="0" eb="2">
      <t>イイオ</t>
    </rPh>
    <rPh sb="3" eb="4">
      <t>マサル</t>
    </rPh>
    <phoneticPr fontId="4"/>
  </si>
  <si>
    <t>ビジター(110分)</t>
    <phoneticPr fontId="4"/>
  </si>
  <si>
    <t>三菱ケミカル DR Diamana TB 50 R</t>
    <phoneticPr fontId="4"/>
  </si>
  <si>
    <t>USTマミヤ FW ATTAS EE335 65S</t>
    <phoneticPr fontId="4"/>
  </si>
  <si>
    <t>大野　眞実</t>
    <rPh sb="0" eb="2">
      <t>オオノ</t>
    </rPh>
    <rPh sb="3" eb="5">
      <t>マミ</t>
    </rPh>
    <phoneticPr fontId="4"/>
  </si>
  <si>
    <t>販売</t>
    <rPh sb="0" eb="2">
      <t>ハンバイ</t>
    </rPh>
    <phoneticPr fontId="4"/>
  </si>
  <si>
    <t>シャフト</t>
    <phoneticPr fontId="4"/>
  </si>
  <si>
    <t>USTマミヤ FW ATTAS FW IP BLUE 65S</t>
    <phoneticPr fontId="4"/>
  </si>
  <si>
    <t>USTマミヤ FW ATTAS FW IP BLUE 75S</t>
    <phoneticPr fontId="4"/>
  </si>
  <si>
    <t>振込</t>
  </si>
  <si>
    <t>木村　稔</t>
    <rPh sb="0" eb="2">
      <t>キムラ</t>
    </rPh>
    <rPh sb="3" eb="4">
      <t>ミノル</t>
    </rPh>
    <phoneticPr fontId="4"/>
  </si>
  <si>
    <t>販売</t>
    <rPh sb="0" eb="2">
      <t>ハンバイ</t>
    </rPh>
    <phoneticPr fontId="4"/>
  </si>
  <si>
    <t>グリップ</t>
    <phoneticPr fontId="4"/>
  </si>
  <si>
    <t>CADERO 2×2 UT ペンタゴンスター white/gold</t>
    <phoneticPr fontId="4"/>
  </si>
  <si>
    <t>平山　沢子</t>
    <rPh sb="0" eb="2">
      <t>ヒラヤマ</t>
    </rPh>
    <rPh sb="3" eb="5">
      <t>サワコ</t>
    </rPh>
    <phoneticPr fontId="4"/>
  </si>
  <si>
    <t>月会費</t>
    <phoneticPr fontId="4"/>
  </si>
  <si>
    <t>シャフト</t>
    <phoneticPr fontId="4"/>
  </si>
  <si>
    <t>フジクラ UT Air Speeder Plus 1FLEX</t>
    <phoneticPr fontId="4"/>
  </si>
  <si>
    <t>利用料</t>
    <rPh sb="0" eb="3">
      <t>リヨウリョウ</t>
    </rPh>
    <phoneticPr fontId="4"/>
  </si>
  <si>
    <t>フィッティング</t>
    <phoneticPr fontId="4"/>
  </si>
  <si>
    <t>麻生　貴之</t>
    <rPh sb="0" eb="2">
      <t>アソウ</t>
    </rPh>
    <rPh sb="3" eb="5">
      <t>タカユキ</t>
    </rPh>
    <phoneticPr fontId="4"/>
  </si>
  <si>
    <t>打席利用</t>
    <phoneticPr fontId="4"/>
  </si>
  <si>
    <t>体験利用</t>
    <rPh sb="0" eb="4">
      <t>タイケンリヨウ</t>
    </rPh>
    <phoneticPr fontId="4"/>
  </si>
  <si>
    <t>FW WH-01-27</t>
    <phoneticPr fontId="4"/>
  </si>
  <si>
    <t>ARCH UTM F8</t>
    <phoneticPr fontId="4"/>
  </si>
  <si>
    <t>PING G410</t>
    <phoneticPr fontId="4"/>
  </si>
  <si>
    <t>PING UT</t>
    <phoneticPr fontId="4"/>
  </si>
  <si>
    <t>現金</t>
    <rPh sb="0" eb="2">
      <t>ゲンキン</t>
    </rPh>
    <phoneticPr fontId="4"/>
  </si>
  <si>
    <t>返金</t>
    <rPh sb="0" eb="2">
      <t>ヘンキン</t>
    </rPh>
    <phoneticPr fontId="4"/>
  </si>
  <si>
    <t>1回目 2023年1月28日</t>
    <rPh sb="1" eb="3">
      <t>カイメ</t>
    </rPh>
    <rPh sb="8" eb="9">
      <t>ネン</t>
    </rPh>
    <rPh sb="10" eb="11">
      <t>ガツ</t>
    </rPh>
    <rPh sb="13" eb="14">
      <t>ニチ</t>
    </rPh>
    <phoneticPr fontId="4"/>
  </si>
  <si>
    <t>シンカグラファイト DR LEXIA 6S</t>
    <phoneticPr fontId="4"/>
  </si>
  <si>
    <t>BALDO DRIVER SKY DRIVE Ver.2 9°</t>
    <phoneticPr fontId="4"/>
  </si>
  <si>
    <t>おもり</t>
    <phoneticPr fontId="4"/>
  </si>
  <si>
    <t>BALDO パワープレート</t>
    <phoneticPr fontId="4"/>
  </si>
  <si>
    <t>iomic sticky evolution 2.3ブラック(無)</t>
    <rPh sb="31" eb="32">
      <t>ナシ</t>
    </rPh>
    <phoneticPr fontId="4"/>
  </si>
  <si>
    <t>タイトリスト2023モデルproVix</t>
    <phoneticPr fontId="4"/>
  </si>
  <si>
    <t>米田　涼子</t>
    <rPh sb="0" eb="2">
      <t>ヨネダ</t>
    </rPh>
    <rPh sb="3" eb="5">
      <t>リョウコ</t>
    </rPh>
    <phoneticPr fontId="4"/>
  </si>
  <si>
    <t>ビジター(55分)</t>
    <phoneticPr fontId="4"/>
  </si>
  <si>
    <t>シャフト</t>
    <phoneticPr fontId="4"/>
  </si>
  <si>
    <t>Arch DR For Driver 164α-20</t>
    <phoneticPr fontId="4"/>
  </si>
  <si>
    <t>ARCH FW WL-01-21</t>
    <phoneticPr fontId="4"/>
  </si>
  <si>
    <t>グリップ</t>
    <phoneticPr fontId="4"/>
  </si>
  <si>
    <t>iomic sticky evolution 2.3(有)</t>
    <rPh sb="27" eb="28">
      <t>アリ</t>
    </rPh>
    <phoneticPr fontId="4"/>
  </si>
  <si>
    <t>古賀　勉</t>
    <rPh sb="0" eb="2">
      <t>コガ</t>
    </rPh>
    <rPh sb="3" eb="4">
      <t>ツトム</t>
    </rPh>
    <phoneticPr fontId="4"/>
  </si>
  <si>
    <t>東田</t>
    <rPh sb="0" eb="2">
      <t>ヒガシダ</t>
    </rPh>
    <phoneticPr fontId="4"/>
  </si>
  <si>
    <t>販売</t>
    <rPh sb="0" eb="2">
      <t>ハンバイ</t>
    </rPh>
    <phoneticPr fontId="4"/>
  </si>
  <si>
    <t>ブリジストン TOUR BX</t>
    <phoneticPr fontId="4"/>
  </si>
  <si>
    <t>現金</t>
    <rPh sb="0" eb="2">
      <t>ゲンキン</t>
    </rPh>
    <phoneticPr fontId="4"/>
  </si>
  <si>
    <t>宮脇　若菜</t>
    <rPh sb="0" eb="2">
      <t>ミヤワキ</t>
    </rPh>
    <rPh sb="3" eb="5">
      <t>ワカナ</t>
    </rPh>
    <phoneticPr fontId="4"/>
  </si>
  <si>
    <t>休会 事務手数料　3か月分</t>
    <rPh sb="11" eb="13">
      <t>ゲツブン</t>
    </rPh>
    <phoneticPr fontId="4"/>
  </si>
  <si>
    <t>山内　舞</t>
    <rPh sb="0" eb="2">
      <t>ヤマウチ</t>
    </rPh>
    <rPh sb="3" eb="4">
      <t>マイ</t>
    </rPh>
    <phoneticPr fontId="4"/>
  </si>
  <si>
    <t>iomic X fit 19cm 左</t>
    <rPh sb="17" eb="18">
      <t>ヒダリ</t>
    </rPh>
    <phoneticPr fontId="4"/>
  </si>
  <si>
    <t>iomic X fit 19cm 右</t>
    <rPh sb="17" eb="18">
      <t>ミギ</t>
    </rPh>
    <phoneticPr fontId="4"/>
  </si>
  <si>
    <t>浅尾　雅子</t>
    <rPh sb="0" eb="2">
      <t>アサオ</t>
    </rPh>
    <rPh sb="3" eb="5">
      <t>マサコ</t>
    </rPh>
    <phoneticPr fontId="4"/>
  </si>
  <si>
    <t>iomic mimic1.5有 レモンイエロー×ピンク</t>
    <rPh sb="14" eb="15">
      <t>アリ</t>
    </rPh>
    <phoneticPr fontId="4"/>
  </si>
  <si>
    <t>大野眞実</t>
    <rPh sb="0" eb="2">
      <t>オオノ</t>
    </rPh>
    <rPh sb="2" eb="4">
      <t>マミ</t>
    </rPh>
    <phoneticPr fontId="4"/>
  </si>
  <si>
    <t>レッスンチケット　1枚</t>
    <phoneticPr fontId="4"/>
  </si>
  <si>
    <t>田渕 一</t>
    <rPh sb="0" eb="2">
      <t>タブチ</t>
    </rPh>
    <rPh sb="3" eb="4">
      <t>イチ</t>
    </rPh>
    <phoneticPr fontId="4"/>
  </si>
  <si>
    <t>片山　英樹</t>
    <rPh sb="0" eb="2">
      <t>カタヤマ</t>
    </rPh>
    <rPh sb="3" eb="5">
      <t>ヒデキ</t>
    </rPh>
    <phoneticPr fontId="4"/>
  </si>
  <si>
    <t>三菱ケミカル DR VANQUISH 4 X</t>
    <rPh sb="0" eb="2">
      <t>ミツビシ</t>
    </rPh>
    <phoneticPr fontId="4"/>
  </si>
  <si>
    <t>木下　広光</t>
    <rPh sb="0" eb="2">
      <t>キノシタ</t>
    </rPh>
    <rPh sb="3" eb="4">
      <t>ヒロ</t>
    </rPh>
    <rPh sb="4" eb="5">
      <t>ヒカリ</t>
    </rPh>
    <phoneticPr fontId="4"/>
  </si>
  <si>
    <t>宝塚GCメンバー割引</t>
    <rPh sb="0" eb="2">
      <t>タカラヅカ</t>
    </rPh>
    <rPh sb="8" eb="10">
      <t>ワリビキ</t>
    </rPh>
    <phoneticPr fontId="4"/>
  </si>
  <si>
    <t>別所　武</t>
    <rPh sb="0" eb="2">
      <t>ベッショ</t>
    </rPh>
    <rPh sb="3" eb="4">
      <t>タケシ</t>
    </rPh>
    <phoneticPr fontId="4"/>
  </si>
  <si>
    <t>阪本　宏樹</t>
    <rPh sb="0" eb="2">
      <t>サカモト</t>
    </rPh>
    <rPh sb="3" eb="5">
      <t>ヒロキ</t>
    </rPh>
    <phoneticPr fontId="4"/>
  </si>
  <si>
    <t>販売</t>
    <rPh sb="0" eb="2">
      <t>ハンバイ</t>
    </rPh>
    <phoneticPr fontId="4"/>
  </si>
  <si>
    <t>シャフト</t>
    <phoneticPr fontId="4"/>
  </si>
  <si>
    <t>日本シャフト NS PRO 850GH NEO</t>
    <rPh sb="0" eb="2">
      <t>ニホン</t>
    </rPh>
    <phoneticPr fontId="4"/>
  </si>
  <si>
    <t>現金</t>
    <rPh sb="0" eb="2">
      <t>ゲンキン</t>
    </rPh>
    <phoneticPr fontId="4"/>
  </si>
  <si>
    <t>グリップ</t>
    <phoneticPr fontId="4"/>
  </si>
  <si>
    <t>iomic sticky evolution 2.3 青(有)</t>
    <rPh sb="27" eb="28">
      <t>アオ</t>
    </rPh>
    <rPh sb="29" eb="30">
      <t>アリ</t>
    </rPh>
    <phoneticPr fontId="4"/>
  </si>
  <si>
    <t>スタッフ割引</t>
    <rPh sb="4" eb="6">
      <t>ワリビキ</t>
    </rPh>
    <phoneticPr fontId="4"/>
  </si>
  <si>
    <t>小杉　香</t>
    <rPh sb="0" eb="2">
      <t>コスギ</t>
    </rPh>
    <rPh sb="3" eb="4">
      <t>カオル</t>
    </rPh>
    <phoneticPr fontId="4"/>
  </si>
  <si>
    <t>ウェイト アップ 90</t>
  </si>
  <si>
    <t>ウェイト アップ 90</t>
    <phoneticPr fontId="4"/>
  </si>
  <si>
    <t>中尾　正</t>
    <rPh sb="0" eb="2">
      <t>ナカオ</t>
    </rPh>
    <rPh sb="3" eb="4">
      <t>タダシ</t>
    </rPh>
    <phoneticPr fontId="4"/>
  </si>
  <si>
    <t>フォーサリンク 全天候</t>
    <rPh sb="8" eb="11">
      <t>ゼンテンコウ</t>
    </rPh>
    <phoneticPr fontId="4"/>
  </si>
  <si>
    <t>原田　和哉</t>
    <rPh sb="0" eb="2">
      <t>ハラダ</t>
    </rPh>
    <rPh sb="3" eb="5">
      <t>カズヤ</t>
    </rPh>
    <phoneticPr fontId="4"/>
  </si>
  <si>
    <t>道関　和宏</t>
    <rPh sb="0" eb="2">
      <t>ミチセキ</t>
    </rPh>
    <rPh sb="3" eb="4">
      <t>ワ</t>
    </rPh>
    <phoneticPr fontId="4"/>
  </si>
  <si>
    <t>iomic sticky evolution 2.3赤(無)</t>
    <rPh sb="26" eb="27">
      <t>アカ</t>
    </rPh>
    <rPh sb="28" eb="29">
      <t>ナシ</t>
    </rPh>
    <phoneticPr fontId="4"/>
  </si>
  <si>
    <t>中本　善久</t>
    <rPh sb="0" eb="2">
      <t>ナカモト</t>
    </rPh>
    <rPh sb="3" eb="5">
      <t>ヨシヒサ</t>
    </rPh>
    <phoneticPr fontId="4"/>
  </si>
  <si>
    <t>木下　広光</t>
    <rPh sb="0" eb="2">
      <t>キノシタ</t>
    </rPh>
    <rPh sb="3" eb="4">
      <t>ヒロ</t>
    </rPh>
    <rPh sb="4" eb="5">
      <t>ヒカリ</t>
    </rPh>
    <phoneticPr fontId="4"/>
  </si>
  <si>
    <t>フジクラ DR DIAMOND SPEEDER SPD4 S</t>
    <phoneticPr fontId="4"/>
  </si>
  <si>
    <t>フジクラ FW DIAMOND SPEEDER SPD4 FW S</t>
    <phoneticPr fontId="4"/>
  </si>
  <si>
    <t>フジクラ DR DIAMOND SPEEDER SPD5 FW S</t>
    <phoneticPr fontId="4"/>
  </si>
  <si>
    <t>iomic sticky evolution 1.8 ブルー(無)</t>
    <rPh sb="31" eb="32">
      <t>ナシ</t>
    </rPh>
    <phoneticPr fontId="4"/>
  </si>
  <si>
    <t>BALDO SKY DRIVE Ver.2</t>
    <phoneticPr fontId="4"/>
  </si>
  <si>
    <t>石淵　耕一</t>
    <rPh sb="0" eb="2">
      <t>イシブチ</t>
    </rPh>
    <rPh sb="3" eb="4">
      <t>タガヤ</t>
    </rPh>
    <rPh sb="4" eb="5">
      <t>イチ</t>
    </rPh>
    <phoneticPr fontId="4"/>
  </si>
  <si>
    <t>ビジター利用</t>
    <rPh sb="4" eb="6">
      <t>リヨウ</t>
    </rPh>
    <phoneticPr fontId="4"/>
  </si>
  <si>
    <t>レギュラー1か月分</t>
    <rPh sb="7" eb="9">
      <t>ゲツブン</t>
    </rPh>
    <phoneticPr fontId="4"/>
  </si>
  <si>
    <t>月会費</t>
    <phoneticPr fontId="4"/>
  </si>
  <si>
    <t>八木　純平</t>
    <rPh sb="0" eb="2">
      <t>ヤギ</t>
    </rPh>
    <rPh sb="3" eb="5">
      <t>ジュンペイ</t>
    </rPh>
    <phoneticPr fontId="4"/>
  </si>
  <si>
    <t>山下　真希</t>
    <rPh sb="0" eb="2">
      <t>ヤマシタ</t>
    </rPh>
    <rPh sb="3" eb="5">
      <t>マキ</t>
    </rPh>
    <phoneticPr fontId="4"/>
  </si>
  <si>
    <t>水河　啓美</t>
    <rPh sb="0" eb="2">
      <t>ミズカワ</t>
    </rPh>
    <rPh sb="3" eb="4">
      <t>ケイ</t>
    </rPh>
    <rPh sb="4" eb="5">
      <t>ミ</t>
    </rPh>
    <phoneticPr fontId="4"/>
  </si>
  <si>
    <t>三好　拓哉</t>
    <rPh sb="0" eb="2">
      <t>ミヨシ</t>
    </rPh>
    <rPh sb="3" eb="5">
      <t>タクヤ</t>
    </rPh>
    <phoneticPr fontId="4"/>
  </si>
  <si>
    <t>三原　和哉</t>
    <rPh sb="0" eb="2">
      <t>ミハラ</t>
    </rPh>
    <rPh sb="3" eb="5">
      <t>カズヤ</t>
    </rPh>
    <phoneticPr fontId="4"/>
  </si>
  <si>
    <t>レギュラー0.25か月分</t>
    <rPh sb="10" eb="12">
      <t>ゲツブン</t>
    </rPh>
    <phoneticPr fontId="4"/>
  </si>
  <si>
    <t>荒川　直美</t>
    <rPh sb="0" eb="2">
      <t>アラカワ</t>
    </rPh>
    <rPh sb="3" eb="5">
      <t>ナオミ</t>
    </rPh>
    <phoneticPr fontId="4"/>
  </si>
  <si>
    <t>フォーサリンク ウェザー 19cm 左</t>
    <rPh sb="18" eb="19">
      <t>ヒダリ</t>
    </rPh>
    <phoneticPr fontId="4"/>
  </si>
  <si>
    <t>金山　徳和</t>
    <rPh sb="0" eb="2">
      <t>カナヤマ</t>
    </rPh>
    <rPh sb="3" eb="4">
      <t>トク</t>
    </rPh>
    <rPh sb="4" eb="5">
      <t>ワ</t>
    </rPh>
    <phoneticPr fontId="4"/>
  </si>
  <si>
    <t>販売</t>
    <rPh sb="0" eb="2">
      <t>ハンバイ</t>
    </rPh>
    <phoneticPr fontId="4"/>
  </si>
  <si>
    <t>グリップ</t>
    <phoneticPr fontId="4"/>
  </si>
  <si>
    <t>golf pride VT4S M60R ベルベットプラス4</t>
    <phoneticPr fontId="4"/>
  </si>
  <si>
    <t>現金</t>
    <rPh sb="0" eb="2">
      <t>ゲンキン</t>
    </rPh>
    <phoneticPr fontId="4"/>
  </si>
  <si>
    <t>戸川　順次</t>
    <rPh sb="0" eb="2">
      <t>トガワ</t>
    </rPh>
    <rPh sb="3" eb="5">
      <t>ジュンジ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</si>
  <si>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</si>
  <si>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</si>
  <si>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グリップ</t>
    <phoneticPr fontId="4"/>
  </si>
  <si>
    <t>iomic ix touch オレンジ</t>
    <phoneticPr fontId="4"/>
  </si>
  <si>
    <t>大野　眞実</t>
    <rPh sb="0" eb="2">
      <t>オオノ</t>
    </rPh>
    <rPh sb="3" eb="4">
      <t>マコト</t>
    </rPh>
    <rPh sb="4" eb="5">
      <t>ミノル</t>
    </rPh>
    <phoneticPr fontId="4"/>
  </si>
  <si>
    <t>レッスンチケット　11枚</t>
    <phoneticPr fontId="4"/>
  </si>
  <si>
    <t>エリート X360ラバー 　ﾌﾞﾗｯｸ  (無)</t>
    <phoneticPr fontId="4"/>
  </si>
  <si>
    <t>キャディーバッグ</t>
    <phoneticPr fontId="4"/>
  </si>
  <si>
    <t>上田　恭司</t>
    <rPh sb="0" eb="2">
      <t>ウエダ</t>
    </rPh>
    <rPh sb="3" eb="5">
      <t>キョウジ</t>
    </rPh>
    <phoneticPr fontId="4"/>
  </si>
  <si>
    <t>販売</t>
    <rPh sb="0" eb="2">
      <t>ハンバイ</t>
    </rPh>
    <phoneticPr fontId="4"/>
  </si>
  <si>
    <t>BALDO ｷｬﾃﾞｨｰﾊﾞｯｸﾞ&amp;HDｶﾊﾞｰｾｯﾄ(ﾄﾘｺﾛｰﾙ)</t>
    <phoneticPr fontId="4"/>
  </si>
  <si>
    <t>BALDO ｷｬﾃﾞｨｰﾊﾞｯｸﾞ&amp;HDｶﾊﾞｰｾｯﾄ(ﾎﾜｲﾄ)</t>
    <phoneticPr fontId="4"/>
  </si>
  <si>
    <t>ごるトレ(緑)</t>
    <rPh sb="5" eb="6">
      <t>ミドリ</t>
    </rPh>
    <phoneticPr fontId="4"/>
  </si>
  <si>
    <t>販売</t>
    <rPh sb="0" eb="2">
      <t>ハンバイ</t>
    </rPh>
    <phoneticPr fontId="4"/>
  </si>
  <si>
    <t>タイトリスト pro V1x 2023モデル</t>
    <phoneticPr fontId="4"/>
  </si>
  <si>
    <t>スリクソン Z-STAR XV 現品限り</t>
    <rPh sb="16" eb="18">
      <t>ゲンピン</t>
    </rPh>
    <rPh sb="18" eb="19">
      <t>カギ</t>
    </rPh>
    <phoneticPr fontId="4"/>
  </si>
  <si>
    <t>販売</t>
    <rPh sb="0" eb="2">
      <t>ハンバイ</t>
    </rPh>
    <phoneticPr fontId="4"/>
  </si>
  <si>
    <t>現金</t>
    <rPh sb="0" eb="2">
      <t>ゲンキン</t>
    </rPh>
    <phoneticPr fontId="4"/>
  </si>
  <si>
    <t>逆井　良介</t>
    <rPh sb="0" eb="1">
      <t>サカ</t>
    </rPh>
    <rPh sb="1" eb="2">
      <t>イ</t>
    </rPh>
    <rPh sb="3" eb="5">
      <t>リョウスケ</t>
    </rPh>
    <phoneticPr fontId="4"/>
  </si>
  <si>
    <t>黒石　様</t>
    <rPh sb="0" eb="2">
      <t>クロイシ</t>
    </rPh>
    <rPh sb="3" eb="4">
      <t>サマ</t>
    </rPh>
    <phoneticPr fontId="4"/>
  </si>
  <si>
    <t>キャディーバッグ</t>
  </si>
  <si>
    <t>BALDO ｷｬﾃﾞｨｰﾊﾞｯｸﾞ&amp;HDｶﾊﾞｰｾｯﾄ(ﾁｬｺｰﾙ)</t>
    <phoneticPr fontId="4"/>
  </si>
  <si>
    <t>石田　駿</t>
    <rPh sb="0" eb="2">
      <t>イシダ</t>
    </rPh>
    <rPh sb="3" eb="4">
      <t>シュン</t>
    </rPh>
    <phoneticPr fontId="4"/>
  </si>
  <si>
    <t>富士松　大智</t>
    <rPh sb="0" eb="3">
      <t>フジマツ</t>
    </rPh>
    <rPh sb="4" eb="5">
      <t>オオ</t>
    </rPh>
    <rPh sb="5" eb="6">
      <t>トモ</t>
    </rPh>
    <phoneticPr fontId="4"/>
  </si>
  <si>
    <t>富士松 理奈様の体験料込</t>
    <rPh sb="0" eb="3">
      <t>フジマツ</t>
    </rPh>
    <rPh sb="4" eb="6">
      <t>リナ</t>
    </rPh>
    <rPh sb="6" eb="7">
      <t>サマ</t>
    </rPh>
    <rPh sb="8" eb="10">
      <t>タイケン</t>
    </rPh>
    <rPh sb="10" eb="11">
      <t>リョウ</t>
    </rPh>
    <rPh sb="11" eb="12">
      <t>コミ</t>
    </rPh>
    <phoneticPr fontId="4"/>
  </si>
  <si>
    <t>大野　修一郎</t>
    <rPh sb="0" eb="2">
      <t>オオノ</t>
    </rPh>
    <rPh sb="3" eb="6">
      <t>シュウイチロウ</t>
    </rPh>
    <phoneticPr fontId="4"/>
  </si>
  <si>
    <t>tt017大野眞実様のご家族</t>
    <rPh sb="5" eb="9">
      <t>オオノマミ</t>
    </rPh>
    <rPh sb="9" eb="10">
      <t>サマ</t>
    </rPh>
    <rPh sb="12" eb="14">
      <t>カゾク</t>
    </rPh>
    <phoneticPr fontId="4"/>
  </si>
  <si>
    <t>吉田　一貴</t>
    <rPh sb="0" eb="2">
      <t>ヨシダ</t>
    </rPh>
    <rPh sb="3" eb="5">
      <t>カズタカ</t>
    </rPh>
    <phoneticPr fontId="4"/>
  </si>
  <si>
    <t>新宮　照由</t>
    <rPh sb="0" eb="1">
      <t>アタラ</t>
    </rPh>
    <rPh sb="3" eb="4">
      <t>テ</t>
    </rPh>
    <rPh sb="4" eb="5">
      <t>ユ</t>
    </rPh>
    <phoneticPr fontId="4"/>
  </si>
  <si>
    <t>チケット1か月分</t>
    <rPh sb="6" eb="8">
      <t>ゲツブン</t>
    </rPh>
    <phoneticPr fontId="4"/>
  </si>
  <si>
    <t>スリクソン Z-star</t>
    <phoneticPr fontId="4"/>
  </si>
  <si>
    <t>スリクソン Z-star XV</t>
    <phoneticPr fontId="4"/>
  </si>
  <si>
    <t>スリクソン Z-star 2023</t>
    <phoneticPr fontId="4"/>
  </si>
  <si>
    <t>金券</t>
    <rPh sb="0" eb="2">
      <t>キンケン</t>
    </rPh>
    <phoneticPr fontId="4"/>
  </si>
  <si>
    <t>堂丸　康一</t>
    <rPh sb="0" eb="2">
      <t>ドウマル</t>
    </rPh>
    <rPh sb="3" eb="5">
      <t>コウイチ</t>
    </rPh>
    <phoneticPr fontId="4"/>
  </si>
  <si>
    <t>堀子　一男</t>
    <rPh sb="0" eb="2">
      <t>ホリコ</t>
    </rPh>
    <rPh sb="3" eb="5">
      <t>カズオ</t>
    </rPh>
    <phoneticPr fontId="4"/>
  </si>
  <si>
    <t>五百尾　亮太</t>
    <rPh sb="0" eb="1">
      <t>ゴ</t>
    </rPh>
    <rPh sb="2" eb="3">
      <t>オ</t>
    </rPh>
    <rPh sb="4" eb="6">
      <t>リョウタ</t>
    </rPh>
    <phoneticPr fontId="4"/>
  </si>
  <si>
    <t>吉田　一貴</t>
    <rPh sb="0" eb="2">
      <t>ヨシダ</t>
    </rPh>
    <rPh sb="3" eb="5">
      <t>カズタカ</t>
    </rPh>
    <phoneticPr fontId="4"/>
  </si>
  <si>
    <t>木下　健太</t>
    <rPh sb="0" eb="2">
      <t>キノシタ</t>
    </rPh>
    <rPh sb="3" eb="5">
      <t>ケンタ</t>
    </rPh>
    <phoneticPr fontId="4"/>
  </si>
  <si>
    <t>木下　広光</t>
    <rPh sb="0" eb="2">
      <t>キノシタ</t>
    </rPh>
    <rPh sb="3" eb="4">
      <t>ヒロ</t>
    </rPh>
    <rPh sb="4" eb="5">
      <t>ヒカリ</t>
    </rPh>
    <phoneticPr fontId="4"/>
  </si>
  <si>
    <t>販売</t>
    <rPh sb="0" eb="2">
      <t>ハンバイ</t>
    </rPh>
    <phoneticPr fontId="4"/>
  </si>
  <si>
    <t>パターキャッチャー</t>
    <phoneticPr fontId="4"/>
  </si>
  <si>
    <t>現金</t>
    <rPh sb="0" eb="2">
      <t>ゲンキン</t>
    </rPh>
    <phoneticPr fontId="4"/>
  </si>
  <si>
    <t>野田　修次</t>
    <rPh sb="0" eb="2">
      <t>ノダ</t>
    </rPh>
    <rPh sb="3" eb="5">
      <t>シュウジ</t>
    </rPh>
    <phoneticPr fontId="4"/>
  </si>
  <si>
    <t>ビジター(110分)</t>
    <phoneticPr fontId="4"/>
  </si>
  <si>
    <t>シャフト</t>
    <phoneticPr fontId="4"/>
  </si>
  <si>
    <t>フジクラ UT MCH 70S 白</t>
    <rPh sb="16" eb="17">
      <t>シロ</t>
    </rPh>
    <phoneticPr fontId="4"/>
  </si>
  <si>
    <t>グリップ</t>
    <phoneticPr fontId="4"/>
  </si>
  <si>
    <t>iomic sticky evolution 2.3(有)</t>
    <rPh sb="27" eb="28">
      <t>アリ</t>
    </rPh>
    <phoneticPr fontId="4"/>
  </si>
  <si>
    <t>返金</t>
    <rPh sb="0" eb="2">
      <t>ヘンキン</t>
    </rPh>
    <phoneticPr fontId="4"/>
  </si>
  <si>
    <t>UT PING G430 #4 22°</t>
    <phoneticPr fontId="4"/>
  </si>
  <si>
    <t>UT PING G430 #5 26°</t>
    <phoneticPr fontId="4"/>
  </si>
  <si>
    <t>法人0.75か月分</t>
    <rPh sb="0" eb="2">
      <t>ホウジン</t>
    </rPh>
    <rPh sb="7" eb="9">
      <t>ゲツブン</t>
    </rPh>
    <phoneticPr fontId="4"/>
  </si>
  <si>
    <t>法人 株式会社トガワ(tr239原田様のご紹介)</t>
    <rPh sb="0" eb="2">
      <t>ホウジン</t>
    </rPh>
    <rPh sb="3" eb="7">
      <t>カブシキカイシャ</t>
    </rPh>
    <rPh sb="16" eb="19">
      <t>ハラダサマ</t>
    </rPh>
    <rPh sb="21" eb="23">
      <t>ショウカイ</t>
    </rPh>
    <phoneticPr fontId="4"/>
  </si>
  <si>
    <t>法人 株式会社クレブ</t>
    <rPh sb="0" eb="2">
      <t>ホウジン</t>
    </rPh>
    <rPh sb="3" eb="7">
      <t>カブシキカイシャ</t>
    </rPh>
    <phoneticPr fontId="4"/>
  </si>
  <si>
    <t>土山　慶子</t>
    <rPh sb="0" eb="2">
      <t>ツチヤマ</t>
    </rPh>
    <rPh sb="3" eb="5">
      <t>ケイコ</t>
    </rPh>
    <phoneticPr fontId="4"/>
  </si>
  <si>
    <t>iomic sticky ultra light 34 ミルキーピンク 有</t>
    <rPh sb="36" eb="37">
      <t>アリ</t>
    </rPh>
    <phoneticPr fontId="4"/>
  </si>
  <si>
    <t>坂東　俊哉</t>
    <rPh sb="0" eb="2">
      <t>バンドウ</t>
    </rPh>
    <rPh sb="3" eb="5">
      <t>トシヤ</t>
    </rPh>
    <phoneticPr fontId="4"/>
  </si>
  <si>
    <t>BALDO キャディーバッグ&amp;HDカバーセット(ブルー)</t>
    <phoneticPr fontId="4"/>
  </si>
  <si>
    <t>光平　正人</t>
    <rPh sb="0" eb="2">
      <t>ミツヒラ</t>
    </rPh>
    <rPh sb="3" eb="5">
      <t>マサト</t>
    </rPh>
    <phoneticPr fontId="4"/>
  </si>
  <si>
    <t>永井　秀希</t>
    <rPh sb="0" eb="2">
      <t>ナガイ</t>
    </rPh>
    <rPh sb="3" eb="4">
      <t>シュウ</t>
    </rPh>
    <rPh sb="4" eb="5">
      <t>キ</t>
    </rPh>
    <phoneticPr fontId="4"/>
  </si>
  <si>
    <t>ビジター(55分)</t>
    <phoneticPr fontId="4"/>
  </si>
  <si>
    <t>堂丸　康一</t>
    <rPh sb="0" eb="2">
      <t>ドウマル</t>
    </rPh>
    <rPh sb="3" eb="5">
      <t>コウイチ</t>
    </rPh>
    <phoneticPr fontId="4"/>
  </si>
  <si>
    <t>iomic sticky oversize 3.5</t>
    <phoneticPr fontId="4"/>
  </si>
  <si>
    <t>三菱ケミカル DR TENSEI PRO ORANGE 1K 5S</t>
    <rPh sb="0" eb="2">
      <t>ミツビシ</t>
    </rPh>
    <phoneticPr fontId="4"/>
  </si>
  <si>
    <t>テーラーメイド ステルス 2 HD DR 10.5°</t>
    <phoneticPr fontId="4"/>
  </si>
  <si>
    <t>日本シャフト DR Regio FormulaB+TYPE45 R</t>
    <rPh sb="0" eb="2">
      <t>ニホン</t>
    </rPh>
    <phoneticPr fontId="4"/>
  </si>
  <si>
    <t>村上　雅泰</t>
    <rPh sb="0" eb="2">
      <t>ムラカミ</t>
    </rPh>
    <rPh sb="3" eb="4">
      <t>マサシ</t>
    </rPh>
    <rPh sb="4" eb="5">
      <t>ヤスシ</t>
    </rPh>
    <phoneticPr fontId="4"/>
  </si>
  <si>
    <t>iomic ix touch</t>
    <phoneticPr fontId="4"/>
  </si>
  <si>
    <t>コンポジットテクノ DR Fire Express NX 65S</t>
    <phoneticPr fontId="4"/>
  </si>
  <si>
    <t>グリップ</t>
    <phoneticPr fontId="4"/>
  </si>
  <si>
    <t>新宮　照由</t>
    <rPh sb="0" eb="2">
      <t>ニイミヤ</t>
    </rPh>
    <rPh sb="3" eb="4">
      <t>テ</t>
    </rPh>
    <rPh sb="4" eb="5">
      <t>ヨシ</t>
    </rPh>
    <phoneticPr fontId="4"/>
  </si>
  <si>
    <t>現金</t>
    <rPh sb="0" eb="2">
      <t>ゲンキン</t>
    </rPh>
    <phoneticPr fontId="4"/>
  </si>
  <si>
    <t>今井　敏貢</t>
    <rPh sb="0" eb="2">
      <t>イマイ</t>
    </rPh>
    <rPh sb="3" eb="4">
      <t>トシ</t>
    </rPh>
    <rPh sb="4" eb="5">
      <t>ミツグ</t>
    </rPh>
    <phoneticPr fontId="4"/>
  </si>
  <si>
    <t>販売</t>
    <rPh sb="0" eb="2">
      <t>ハンバイ</t>
    </rPh>
    <phoneticPr fontId="4"/>
  </si>
  <si>
    <t>ZERO FIT</t>
    <phoneticPr fontId="4"/>
  </si>
  <si>
    <t>土山　慶子</t>
    <rPh sb="0" eb="2">
      <t>ツチヤマ</t>
    </rPh>
    <rPh sb="3" eb="5">
      <t>ケイコ</t>
    </rPh>
    <phoneticPr fontId="4"/>
  </si>
  <si>
    <t>木村　稔</t>
    <rPh sb="0" eb="2">
      <t>キムラ</t>
    </rPh>
    <rPh sb="3" eb="4">
      <t>ミノル</t>
    </rPh>
    <phoneticPr fontId="4"/>
  </si>
  <si>
    <t>グリップ</t>
    <phoneticPr fontId="4"/>
  </si>
  <si>
    <t>GOLF PRIDE MCC</t>
    <phoneticPr fontId="4"/>
  </si>
  <si>
    <t>石田　駿</t>
    <rPh sb="0" eb="2">
      <t>イシダ</t>
    </rPh>
    <rPh sb="3" eb="4">
      <t>シュン</t>
    </rPh>
    <phoneticPr fontId="4"/>
  </si>
  <si>
    <t>レギュラー0.75か月分</t>
    <rPh sb="10" eb="12">
      <t>ゲツブン</t>
    </rPh>
    <phoneticPr fontId="4"/>
  </si>
  <si>
    <t>pro V1 2023モデル</t>
    <phoneticPr fontId="4"/>
  </si>
  <si>
    <t>レギュラー0.5か月分</t>
    <rPh sb="9" eb="11">
      <t>ゲツブン</t>
    </rPh>
    <phoneticPr fontId="4"/>
  </si>
  <si>
    <t>現金</t>
    <rPh sb="0" eb="2">
      <t>ゲンキン</t>
    </rPh>
    <phoneticPr fontId="4"/>
  </si>
  <si>
    <t>エリート RS60パターグリップベルリナブラック</t>
    <phoneticPr fontId="4"/>
  </si>
  <si>
    <t>藤田　プロ</t>
    <rPh sb="0" eb="2">
      <t>フジタ</t>
    </rPh>
    <phoneticPr fontId="4"/>
  </si>
  <si>
    <t>大野　健悟</t>
    <rPh sb="0" eb="2">
      <t>オオノ</t>
    </rPh>
    <rPh sb="3" eb="5">
      <t>ケンゴ</t>
    </rPh>
    <phoneticPr fontId="4"/>
  </si>
  <si>
    <t>森尾　道豪</t>
    <rPh sb="0" eb="2">
      <t>モリオ</t>
    </rPh>
    <rPh sb="3" eb="4">
      <t>ミチ</t>
    </rPh>
    <rPh sb="4" eb="5">
      <t>ゴウ</t>
    </rPh>
    <phoneticPr fontId="4"/>
  </si>
  <si>
    <t>徳永　拓也</t>
    <rPh sb="0" eb="2">
      <t>トクナガ</t>
    </rPh>
    <rPh sb="3" eb="5">
      <t>タクヤ</t>
    </rPh>
    <phoneticPr fontId="4"/>
  </si>
  <si>
    <t>満園　俊</t>
    <rPh sb="0" eb="2">
      <t>ミツゾノ</t>
    </rPh>
    <rPh sb="3" eb="4">
      <t>シュン</t>
    </rPh>
    <phoneticPr fontId="4"/>
  </si>
  <si>
    <t>岩見　真一郎</t>
    <rPh sb="0" eb="2">
      <t>イワミ</t>
    </rPh>
    <rPh sb="3" eb="6">
      <t>シンイチロウ</t>
    </rPh>
    <phoneticPr fontId="4"/>
  </si>
  <si>
    <t>タイトリスト V1X</t>
    <phoneticPr fontId="4"/>
  </si>
  <si>
    <t>松田　浩典</t>
    <rPh sb="0" eb="2">
      <t>マツダ</t>
    </rPh>
    <rPh sb="3" eb="4">
      <t>ヒロ</t>
    </rPh>
    <rPh sb="4" eb="5">
      <t>テン</t>
    </rPh>
    <phoneticPr fontId="4"/>
  </si>
  <si>
    <t>金谷　裕大</t>
    <rPh sb="0" eb="2">
      <t>カナタニ</t>
    </rPh>
    <rPh sb="3" eb="4">
      <t>ユウ</t>
    </rPh>
    <rPh sb="4" eb="5">
      <t>オオ</t>
    </rPh>
    <phoneticPr fontId="4"/>
  </si>
  <si>
    <t>ビジター(110分)</t>
    <phoneticPr fontId="4"/>
  </si>
  <si>
    <t>BALDO DR CORSA BC458 10.5° 2022モデル</t>
    <phoneticPr fontId="4"/>
  </si>
  <si>
    <t>BALDO FW 2022 CORSA 右 3W 15°</t>
    <rPh sb="20" eb="21">
      <t>ミギ</t>
    </rPh>
    <phoneticPr fontId="4"/>
  </si>
  <si>
    <t>シャフト</t>
    <phoneticPr fontId="4"/>
  </si>
  <si>
    <t>フジクラ VENTUS BLACK 5 50X</t>
    <phoneticPr fontId="4"/>
  </si>
  <si>
    <t>現金</t>
    <rPh sb="0" eb="2">
      <t>ゲンキン</t>
    </rPh>
    <phoneticPr fontId="4"/>
  </si>
  <si>
    <t>加藤　玲明</t>
    <rPh sb="0" eb="2">
      <t>カトウ</t>
    </rPh>
    <rPh sb="3" eb="4">
      <t>レイ</t>
    </rPh>
    <rPh sb="4" eb="5">
      <t>メイ</t>
    </rPh>
    <phoneticPr fontId="4"/>
  </si>
  <si>
    <t>販売</t>
    <rPh sb="0" eb="2">
      <t>ハンバイ</t>
    </rPh>
    <phoneticPr fontId="4"/>
  </si>
  <si>
    <t>シャフト</t>
    <phoneticPr fontId="4"/>
  </si>
  <si>
    <t>TRPX DR After Burner 401 S</t>
    <phoneticPr fontId="4"/>
  </si>
  <si>
    <t>キャロウェイ PARADYM X DR 10.5°</t>
    <phoneticPr fontId="4"/>
  </si>
  <si>
    <t>東野　文也</t>
    <rPh sb="0" eb="2">
      <t>ヒガシノ</t>
    </rPh>
    <rPh sb="3" eb="5">
      <t>フミヤ</t>
    </rPh>
    <phoneticPr fontId="4"/>
  </si>
  <si>
    <t>ボール</t>
    <phoneticPr fontId="4"/>
  </si>
  <si>
    <t>東田</t>
    <rPh sb="0" eb="2">
      <t>ヒガシダ</t>
    </rPh>
    <phoneticPr fontId="4"/>
  </si>
  <si>
    <t>BALDO &amp; HDカバーセット(シルバー)</t>
    <phoneticPr fontId="4"/>
  </si>
  <si>
    <t>現金</t>
    <rPh sb="0" eb="2">
      <t>ゲンキン</t>
    </rPh>
    <phoneticPr fontId="4"/>
  </si>
  <si>
    <t>田中　博之</t>
    <rPh sb="0" eb="2">
      <t>タナカ</t>
    </rPh>
    <rPh sb="3" eb="5">
      <t>ヒロユキ</t>
    </rPh>
    <phoneticPr fontId="4"/>
  </si>
  <si>
    <t>休会 事務手数料　2か月分</t>
    <rPh sb="11" eb="13">
      <t>ゲツブン</t>
    </rPh>
    <phoneticPr fontId="4"/>
  </si>
  <si>
    <t>堀江　護</t>
    <rPh sb="0" eb="2">
      <t>ホリエ</t>
    </rPh>
    <rPh sb="3" eb="4">
      <t>マモル</t>
    </rPh>
    <phoneticPr fontId="4"/>
  </si>
  <si>
    <t>印南　勇祐</t>
    <rPh sb="0" eb="2">
      <t>インナミ</t>
    </rPh>
    <rPh sb="3" eb="5">
      <t>イサムユウ</t>
    </rPh>
    <phoneticPr fontId="4"/>
  </si>
  <si>
    <t>天野　真知子</t>
    <rPh sb="0" eb="2">
      <t>アマノ</t>
    </rPh>
    <phoneticPr fontId="4"/>
  </si>
  <si>
    <t>グリップ</t>
    <phoneticPr fontId="4"/>
  </si>
  <si>
    <t>iomic i-X touch オレンジ</t>
    <phoneticPr fontId="4"/>
  </si>
  <si>
    <t>古賀　勉</t>
    <rPh sb="0" eb="2">
      <t>コガ</t>
    </rPh>
    <rPh sb="3" eb="4">
      <t>ツトム</t>
    </rPh>
    <phoneticPr fontId="4"/>
  </si>
  <si>
    <t>返金</t>
    <rPh sb="0" eb="2">
      <t>ヘンキン</t>
    </rPh>
    <phoneticPr fontId="4"/>
  </si>
  <si>
    <t>休会手数料 1か月</t>
    <rPh sb="0" eb="5">
      <t>キュウカイテスウリョウ</t>
    </rPh>
    <rPh sb="8" eb="9">
      <t>ゲツ</t>
    </rPh>
    <phoneticPr fontId="4"/>
  </si>
  <si>
    <t>GOLF PRIDE tour velvet</t>
    <phoneticPr fontId="4"/>
  </si>
  <si>
    <t>土山　慶子</t>
    <rPh sb="0" eb="2">
      <t>ツチヤマ</t>
    </rPh>
    <rPh sb="3" eb="5">
      <t>ケイコ</t>
    </rPh>
    <phoneticPr fontId="4"/>
  </si>
  <si>
    <t>練習器具</t>
    <phoneticPr fontId="4"/>
  </si>
  <si>
    <t>エリート 1 Speed</t>
    <phoneticPr fontId="4"/>
  </si>
  <si>
    <t>森　直樹</t>
    <rPh sb="0" eb="1">
      <t>モリ</t>
    </rPh>
    <rPh sb="2" eb="4">
      <t>ナオキ</t>
    </rPh>
    <phoneticPr fontId="4"/>
  </si>
  <si>
    <t>ビジター(110分)</t>
    <phoneticPr fontId="4"/>
  </si>
  <si>
    <t>社長知人</t>
    <rPh sb="0" eb="2">
      <t>シャチョウ</t>
    </rPh>
    <rPh sb="2" eb="4">
      <t>チジン</t>
    </rPh>
    <phoneticPr fontId="4"/>
  </si>
  <si>
    <t>DR DIAMOND SOEEDER SPD4 S</t>
    <phoneticPr fontId="4"/>
  </si>
  <si>
    <t>FW DIAMOND SPEEDER SOD4 FW S</t>
    <phoneticPr fontId="4"/>
  </si>
  <si>
    <t>iomic stick evolution1.8ブルー(無)</t>
    <rPh sb="28" eb="29">
      <t>ナシ</t>
    </rPh>
    <phoneticPr fontId="4"/>
  </si>
  <si>
    <t>若原　康正</t>
    <rPh sb="0" eb="2">
      <t>ワカハラ</t>
    </rPh>
    <rPh sb="3" eb="5">
      <t>ヤスマサ</t>
    </rPh>
    <phoneticPr fontId="4"/>
  </si>
  <si>
    <t>塩入　正章</t>
    <rPh sb="0" eb="2">
      <t>シオイリ</t>
    </rPh>
    <rPh sb="3" eb="5">
      <t>マサアキ</t>
    </rPh>
    <phoneticPr fontId="4"/>
  </si>
  <si>
    <t>ビジター(55分)</t>
    <phoneticPr fontId="4"/>
  </si>
  <si>
    <t>Arch DR For Driver 164α-22</t>
    <phoneticPr fontId="4"/>
  </si>
  <si>
    <t>perfect pro Xソフトレディース ブルー 有</t>
    <rPh sb="26" eb="27">
      <t>アリ</t>
    </rPh>
    <phoneticPr fontId="4"/>
  </si>
  <si>
    <t>薮中　晋</t>
    <rPh sb="0" eb="1">
      <t>ヤブ</t>
    </rPh>
    <rPh sb="1" eb="2">
      <t>ナカ</t>
    </rPh>
    <rPh sb="3" eb="4">
      <t>ススム</t>
    </rPh>
    <phoneticPr fontId="4"/>
  </si>
  <si>
    <t>若原　桂子</t>
    <rPh sb="0" eb="2">
      <t>ワカハラ</t>
    </rPh>
    <rPh sb="3" eb="5">
      <t>ケイコ</t>
    </rPh>
    <phoneticPr fontId="4"/>
  </si>
  <si>
    <t>チケット0.25か月分</t>
    <rPh sb="9" eb="11">
      <t>ゲツブン</t>
    </rPh>
    <phoneticPr fontId="4"/>
  </si>
  <si>
    <t>フジクラ DR ZERO Speeder 1FLEX</t>
    <phoneticPr fontId="4"/>
  </si>
  <si>
    <t>2023 BALDO SKY DRIVE DRIVER 10°</t>
    <phoneticPr fontId="4"/>
  </si>
  <si>
    <t>iomic sticky 1.8 super light 青</t>
    <phoneticPr fontId="4"/>
  </si>
  <si>
    <t>レジ2度打ちによる返金(K-951)</t>
    <rPh sb="3" eb="4">
      <t>ド</t>
    </rPh>
    <rPh sb="4" eb="5">
      <t>ウ</t>
    </rPh>
    <rPh sb="9" eb="11">
      <t>ヘンキン</t>
    </rPh>
    <phoneticPr fontId="4"/>
  </si>
  <si>
    <t>岡本 尚子様のご紹介
まとめてお会計
←返金(K-956)</t>
    <rPh sb="0" eb="2">
      <t>オカモト</t>
    </rPh>
    <rPh sb="3" eb="5">
      <t>ナオコ</t>
    </rPh>
    <rPh sb="5" eb="6">
      <t>サマ</t>
    </rPh>
    <rPh sb="8" eb="10">
      <t>ショウカイ</t>
    </rPh>
    <rPh sb="17" eb="19">
      <t>カイケイ</t>
    </rPh>
    <rPh sb="22" eb="24">
      <t>ヘンキン</t>
    </rPh>
    <phoneticPr fontId="4"/>
  </si>
  <si>
    <t>レッスンチケット　1枚</t>
    <phoneticPr fontId="4"/>
  </si>
  <si>
    <t>Golf Pride tour velvet</t>
    <phoneticPr fontId="4"/>
  </si>
  <si>
    <t>古川博プロ</t>
    <rPh sb="0" eb="3">
      <t>フルカワヒロシ</t>
    </rPh>
    <phoneticPr fontId="4"/>
  </si>
  <si>
    <t>ブリジストン tour BX</t>
  </si>
  <si>
    <t>ブリジストン tour BX</t>
    <phoneticPr fontId="4"/>
  </si>
  <si>
    <t>田口　茂雄</t>
    <rPh sb="0" eb="2">
      <t>タグチ</t>
    </rPh>
    <rPh sb="3" eb="4">
      <t>シゲル</t>
    </rPh>
    <rPh sb="4" eb="5">
      <t>ユウ</t>
    </rPh>
    <phoneticPr fontId="4"/>
  </si>
  <si>
    <t>iomic ビビットピンク×ホワイト1.5有</t>
    <rPh sb="21" eb="22">
      <t>アリ</t>
    </rPh>
    <phoneticPr fontId="4"/>
  </si>
  <si>
    <t>喜田　徹</t>
    <rPh sb="0" eb="2">
      <t>キダ</t>
    </rPh>
    <rPh sb="3" eb="4">
      <t>トオル</t>
    </rPh>
    <phoneticPr fontId="4"/>
  </si>
  <si>
    <t>エリート X360ラバー 　ﾌﾞﾗｯｸ  (有)</t>
    <rPh sb="22" eb="23">
      <t>アリ</t>
    </rPh>
    <phoneticPr fontId="4"/>
  </si>
  <si>
    <t>原田　大雅</t>
    <rPh sb="0" eb="2">
      <t>ハラダ</t>
    </rPh>
    <rPh sb="3" eb="5">
      <t>タイガ</t>
    </rPh>
    <phoneticPr fontId="4"/>
  </si>
  <si>
    <t>間所　伸央</t>
    <rPh sb="0" eb="2">
      <t>マドコロ</t>
    </rPh>
    <rPh sb="3" eb="4">
      <t>ノ</t>
    </rPh>
    <rPh sb="4" eb="5">
      <t>オウ</t>
    </rPh>
    <phoneticPr fontId="4"/>
  </si>
  <si>
    <t>ZERO FIT 23cm</t>
    <phoneticPr fontId="4"/>
  </si>
  <si>
    <t>タイトリスト pro V1 2023モデル</t>
    <phoneticPr fontId="4"/>
  </si>
  <si>
    <t>タイトリスト pro V1 白 2023モデル</t>
    <rPh sb="14" eb="15">
      <t>シロ</t>
    </rPh>
    <phoneticPr fontId="4"/>
  </si>
  <si>
    <t>キャロウェイ</t>
    <phoneticPr fontId="4"/>
  </si>
  <si>
    <t>ZERO FIT 20cm 白 右</t>
    <rPh sb="14" eb="15">
      <t>シロ</t>
    </rPh>
    <rPh sb="16" eb="17">
      <t>ミギ</t>
    </rPh>
    <phoneticPr fontId="4"/>
  </si>
  <si>
    <t>ZERO FIT 20cm 白 左</t>
    <rPh sb="14" eb="15">
      <t>シロ</t>
    </rPh>
    <rPh sb="16" eb="17">
      <t>ヒダリ</t>
    </rPh>
    <phoneticPr fontId="4"/>
  </si>
  <si>
    <t>TOUR B JGR パールピンク</t>
    <phoneticPr fontId="4"/>
  </si>
  <si>
    <t>フジクラ DR PLATINUM SPEEDER 3X</t>
    <phoneticPr fontId="4"/>
  </si>
  <si>
    <t>スリクソン</t>
    <phoneticPr fontId="4"/>
  </si>
  <si>
    <t>iomic sticky evolution 2.3 無</t>
    <rPh sb="27" eb="28">
      <t>ナシ</t>
    </rPh>
    <phoneticPr fontId="4"/>
  </si>
  <si>
    <t>ZERO FIT 23cm 白 左</t>
    <rPh sb="14" eb="15">
      <t>シロ</t>
    </rPh>
    <rPh sb="16" eb="17">
      <t>ヒダリ</t>
    </rPh>
    <phoneticPr fontId="4"/>
  </si>
  <si>
    <t>上田　恭司</t>
    <rPh sb="0" eb="2">
      <t>ウエダ</t>
    </rPh>
    <rPh sb="3" eb="5">
      <t>キョウジ</t>
    </rPh>
    <phoneticPr fontId="4"/>
  </si>
  <si>
    <t>原田　和哉</t>
    <rPh sb="0" eb="2">
      <t>ハラダ</t>
    </rPh>
    <rPh sb="3" eb="5">
      <t>カズヤ</t>
    </rPh>
    <phoneticPr fontId="4"/>
  </si>
  <si>
    <t>PING G410</t>
    <phoneticPr fontId="4"/>
  </si>
  <si>
    <t>iomic sticky evolution 2.3 (無)</t>
    <rPh sb="28" eb="29">
      <t>ナシ</t>
    </rPh>
    <phoneticPr fontId="4"/>
  </si>
  <si>
    <t>堀江　真理子</t>
    <rPh sb="0" eb="2">
      <t>ホリエ</t>
    </rPh>
    <rPh sb="3" eb="6">
      <t>マリコ</t>
    </rPh>
    <phoneticPr fontId="4"/>
  </si>
  <si>
    <t>テーラーメイド</t>
    <phoneticPr fontId="4"/>
  </si>
  <si>
    <t>クラブ</t>
    <phoneticPr fontId="4"/>
  </si>
  <si>
    <t>コブラ</t>
    <phoneticPr fontId="4"/>
  </si>
  <si>
    <t>シンカグラファイト DR LEXIA 4R</t>
    <phoneticPr fontId="4"/>
  </si>
  <si>
    <t>休会 事務手数料</t>
    <phoneticPr fontId="4"/>
  </si>
  <si>
    <t>中家　大樹</t>
    <rPh sb="0" eb="2">
      <t>ナカイエ</t>
    </rPh>
    <rPh sb="3" eb="5">
      <t>ダイキ</t>
    </rPh>
    <phoneticPr fontId="4"/>
  </si>
  <si>
    <t>北川　修</t>
    <rPh sb="0" eb="2">
      <t>キタガワ</t>
    </rPh>
    <rPh sb="3" eb="4">
      <t>オサム</t>
    </rPh>
    <phoneticPr fontId="4"/>
  </si>
  <si>
    <t>iomic LTC i-x 2.3 イエロー</t>
    <phoneticPr fontId="4"/>
  </si>
  <si>
    <t>iomic LTC i-x 2.3 ブルー</t>
    <phoneticPr fontId="4"/>
  </si>
  <si>
    <t>坂東　俊哉</t>
    <rPh sb="0" eb="2">
      <t>バンドウ</t>
    </rPh>
    <rPh sb="3" eb="5">
      <t>トシヤ</t>
    </rPh>
    <phoneticPr fontId="4"/>
  </si>
  <si>
    <t>ブレスレット</t>
    <phoneticPr fontId="4"/>
  </si>
  <si>
    <t>コア フォース</t>
    <phoneticPr fontId="4"/>
  </si>
  <si>
    <t>田渕　一</t>
    <rPh sb="0" eb="2">
      <t>タブチ</t>
    </rPh>
    <rPh sb="3" eb="4">
      <t>ハジメ</t>
    </rPh>
    <phoneticPr fontId="4"/>
  </si>
  <si>
    <t>特例</t>
    <rPh sb="0" eb="2">
      <t>トクレイ</t>
    </rPh>
    <phoneticPr fontId="4"/>
  </si>
  <si>
    <t>杉田　匠</t>
    <rPh sb="0" eb="2">
      <t>スギタ</t>
    </rPh>
    <rPh sb="3" eb="4">
      <t>タクミ</t>
    </rPh>
    <phoneticPr fontId="4"/>
  </si>
  <si>
    <t>販売</t>
    <rPh sb="0" eb="2">
      <t>ハンバイ</t>
    </rPh>
    <phoneticPr fontId="4"/>
  </si>
  <si>
    <t>ZERO FIT 左 白 24cm</t>
    <rPh sb="9" eb="10">
      <t>ヒダリ</t>
    </rPh>
    <rPh sb="11" eb="12">
      <t>シロ</t>
    </rPh>
    <phoneticPr fontId="4"/>
  </si>
  <si>
    <t>現金</t>
    <rPh sb="0" eb="2">
      <t>ゲンキン</t>
    </rPh>
    <phoneticPr fontId="4"/>
  </si>
  <si>
    <t>堀古　一男</t>
    <rPh sb="0" eb="1">
      <t>ホリ</t>
    </rPh>
    <rPh sb="1" eb="2">
      <t>フル</t>
    </rPh>
    <rPh sb="3" eb="5">
      <t>カズオ</t>
    </rPh>
    <phoneticPr fontId="4"/>
  </si>
  <si>
    <t>加藤　玲明</t>
    <rPh sb="0" eb="2">
      <t>カトウ</t>
    </rPh>
    <rPh sb="3" eb="4">
      <t>レイ</t>
    </rPh>
    <rPh sb="4" eb="5">
      <t>メイ</t>
    </rPh>
    <phoneticPr fontId="4"/>
  </si>
  <si>
    <t>シャフト</t>
    <phoneticPr fontId="4"/>
  </si>
  <si>
    <t>TRPX UT UT-7☆☆</t>
    <phoneticPr fontId="4"/>
  </si>
  <si>
    <t>キャロウェイ UT PARADYM X #3 18°(EXCLUSIVE限定)</t>
    <rPh sb="36" eb="38">
      <t>ゲンテイ</t>
    </rPh>
    <phoneticPr fontId="4"/>
  </si>
  <si>
    <t>キャロウェイ UT PARADYM X #4 21°(EXCLUSIVE限定)</t>
    <rPh sb="36" eb="38">
      <t>ゲンテイ</t>
    </rPh>
    <phoneticPr fontId="4"/>
  </si>
  <si>
    <t>キャロウェイ UT PARADYM X #5 24°(EXCLUSIVE限定)</t>
    <rPh sb="36" eb="38">
      <t>ゲンテイ</t>
    </rPh>
    <phoneticPr fontId="4"/>
  </si>
  <si>
    <t>キャロウェイ FW #3HL 16.5</t>
    <phoneticPr fontId="4"/>
  </si>
  <si>
    <t>TRPX DR After Burner 501 S</t>
    <phoneticPr fontId="4"/>
  </si>
  <si>
    <t>キャロウェイ</t>
    <phoneticPr fontId="4"/>
  </si>
  <si>
    <t>フォーサリンク ウェザー 25cm 左</t>
    <phoneticPr fontId="4"/>
  </si>
  <si>
    <t>フジクラ DR VENTUS TR BK 5 X</t>
    <phoneticPr fontId="4"/>
  </si>
  <si>
    <t>グリップ</t>
    <phoneticPr fontId="4"/>
  </si>
  <si>
    <t>iomic sticky evolution 無 赤</t>
    <rPh sb="23" eb="24">
      <t>ナシ</t>
    </rPh>
    <rPh sb="25" eb="26">
      <t>アカ</t>
    </rPh>
    <phoneticPr fontId="4"/>
  </si>
  <si>
    <t>販売</t>
    <rPh sb="0" eb="2">
      <t>ハンバイ</t>
    </rPh>
    <phoneticPr fontId="4"/>
  </si>
  <si>
    <t>フォーサリンクレザー 21cm</t>
    <phoneticPr fontId="4"/>
  </si>
  <si>
    <t>西山　泰弘</t>
    <rPh sb="0" eb="2">
      <t>ニシヤマ</t>
    </rPh>
    <rPh sb="3" eb="5">
      <t>ヤスヒロ</t>
    </rPh>
    <phoneticPr fontId="4"/>
  </si>
  <si>
    <t>現金</t>
    <rPh sb="0" eb="2">
      <t>ゲンキン</t>
    </rPh>
    <phoneticPr fontId="4"/>
  </si>
  <si>
    <t>眞田　昌司</t>
    <rPh sb="0" eb="2">
      <t>サナダ</t>
    </rPh>
    <rPh sb="3" eb="5">
      <t>ショウジ</t>
    </rPh>
    <phoneticPr fontId="4"/>
  </si>
  <si>
    <t>現金</t>
    <rPh sb="0" eb="2">
      <t>ゲンキン</t>
    </rPh>
    <phoneticPr fontId="4"/>
  </si>
  <si>
    <t>大竹　敦子</t>
    <rPh sb="0" eb="2">
      <t>オオタケ</t>
    </rPh>
    <rPh sb="3" eb="5">
      <t>アツコ</t>
    </rPh>
    <phoneticPr fontId="4"/>
  </si>
  <si>
    <t>原田　伸郎</t>
    <rPh sb="0" eb="2">
      <t>ハラダ</t>
    </rPh>
    <rPh sb="3" eb="5">
      <t>ノブロウ</t>
    </rPh>
    <phoneticPr fontId="4"/>
  </si>
  <si>
    <t>販売</t>
    <rPh sb="0" eb="2">
      <t>ハンバイ</t>
    </rPh>
    <phoneticPr fontId="4"/>
  </si>
  <si>
    <t>シャフト</t>
    <phoneticPr fontId="4"/>
  </si>
  <si>
    <t>フジクラ DR  ZERO Speeder 1FLEX</t>
    <phoneticPr fontId="4"/>
  </si>
  <si>
    <t>レギュラー1か月分(4月分)</t>
    <rPh sb="7" eb="9">
      <t>ゲツブン</t>
    </rPh>
    <rPh sb="11" eb="12">
      <t>ガツ</t>
    </rPh>
    <rPh sb="12" eb="13">
      <t>フン</t>
    </rPh>
    <phoneticPr fontId="4"/>
  </si>
  <si>
    <t>レギュラー1か月分(3月分)</t>
    <rPh sb="7" eb="9">
      <t>ゲツブン</t>
    </rPh>
    <rPh sb="11" eb="12">
      <t>ガツ</t>
    </rPh>
    <rPh sb="12" eb="13">
      <t>フン</t>
    </rPh>
    <phoneticPr fontId="4"/>
  </si>
  <si>
    <t>金券/現金</t>
    <rPh sb="0" eb="2">
      <t>キンケン</t>
    </rPh>
    <rPh sb="3" eb="5">
      <t>ゲンキン</t>
    </rPh>
    <phoneticPr fontId="4"/>
  </si>
  <si>
    <t>金券1,000円使用。現金633円使用</t>
    <rPh sb="0" eb="2">
      <t>キンケン</t>
    </rPh>
    <rPh sb="7" eb="8">
      <t>エン</t>
    </rPh>
    <rPh sb="8" eb="10">
      <t>シヨウ</t>
    </rPh>
    <rPh sb="11" eb="13">
      <t>ゲンキン</t>
    </rPh>
    <rPh sb="16" eb="17">
      <t>エン</t>
    </rPh>
    <rPh sb="17" eb="19">
      <t>シヨウ</t>
    </rPh>
    <phoneticPr fontId="4"/>
  </si>
  <si>
    <t>金山　徳和</t>
    <rPh sb="0" eb="2">
      <t>カナヤマ</t>
    </rPh>
    <rPh sb="3" eb="4">
      <t>トク</t>
    </rPh>
    <rPh sb="4" eb="5">
      <t>ワ</t>
    </rPh>
    <phoneticPr fontId="4"/>
  </si>
  <si>
    <t>日本シャフト ZEROS 7</t>
    <rPh sb="0" eb="2">
      <t>ニホン</t>
    </rPh>
    <phoneticPr fontId="4"/>
  </si>
  <si>
    <t>VT4S M60R ベルベットプラス4</t>
    <phoneticPr fontId="4"/>
  </si>
  <si>
    <t>太平サブロー様(芦田 秀嗣様)ご紹介</t>
    <rPh sb="0" eb="2">
      <t>タイヘイ</t>
    </rPh>
    <rPh sb="6" eb="7">
      <t>サマ</t>
    </rPh>
    <rPh sb="8" eb="10">
      <t>アシダ</t>
    </rPh>
    <rPh sb="11" eb="13">
      <t>ヒデツグ</t>
    </rPh>
    <rPh sb="13" eb="14">
      <t>サマ</t>
    </rPh>
    <rPh sb="16" eb="18">
      <t>ショウカイ</t>
    </rPh>
    <phoneticPr fontId="4"/>
  </si>
  <si>
    <t>堀江　真理子</t>
    <rPh sb="0" eb="2">
      <t>ホリエ</t>
    </rPh>
    <rPh sb="3" eb="6">
      <t>マリコ</t>
    </rPh>
    <phoneticPr fontId="4"/>
  </si>
  <si>
    <t>レギュラー1か月分(家族割)</t>
    <rPh sb="7" eb="9">
      <t>ゲツブン</t>
    </rPh>
    <rPh sb="10" eb="13">
      <t>カゾクワリ</t>
    </rPh>
    <phoneticPr fontId="4"/>
  </si>
  <si>
    <t>打席利用</t>
    <phoneticPr fontId="4"/>
  </si>
  <si>
    <t>Sticky Evolution 2.3 BL有</t>
    <phoneticPr fontId="4"/>
  </si>
  <si>
    <t>打席利用</t>
    <rPh sb="0" eb="4">
      <t>ダセキリヨウ</t>
    </rPh>
    <phoneticPr fontId="4"/>
  </si>
  <si>
    <t>試打  無制限</t>
    <phoneticPr fontId="4"/>
  </si>
  <si>
    <t>シャフト</t>
    <phoneticPr fontId="4"/>
  </si>
  <si>
    <t>松本　洋</t>
    <rPh sb="0" eb="2">
      <t>マツモト</t>
    </rPh>
    <rPh sb="3" eb="4">
      <t>ヒロシ</t>
    </rPh>
    <phoneticPr fontId="4"/>
  </si>
  <si>
    <t>フィッティング</t>
    <phoneticPr fontId="4"/>
  </si>
  <si>
    <t>カスタム割引</t>
    <rPh sb="4" eb="6">
      <t>ワリビキ</t>
    </rPh>
    <phoneticPr fontId="4"/>
  </si>
  <si>
    <t>55分（ビジター）</t>
    <rPh sb="2" eb="3">
      <t>フン</t>
    </rPh>
    <phoneticPr fontId="4"/>
  </si>
  <si>
    <t>その他商品</t>
    <rPh sb="2" eb="3">
      <t>タ</t>
    </rPh>
    <rPh sb="3" eb="5">
      <t>ショウヒン</t>
    </rPh>
    <phoneticPr fontId="4"/>
  </si>
  <si>
    <t>ZERO FIT グローブ</t>
    <phoneticPr fontId="4"/>
  </si>
  <si>
    <t>中西  敏彦</t>
    <rPh sb="0" eb="2">
      <t>ナカニシ</t>
    </rPh>
    <rPh sb="4" eb="6">
      <t>トシヒコ</t>
    </rPh>
    <phoneticPr fontId="4"/>
  </si>
  <si>
    <t>REVE IMPACT BORON REVOLVER S</t>
    <phoneticPr fontId="4"/>
  </si>
  <si>
    <t>長谷川　義高</t>
    <rPh sb="0" eb="3">
      <t>ハセガワ</t>
    </rPh>
    <rPh sb="4" eb="6">
      <t>ヨシタカ</t>
    </rPh>
    <phoneticPr fontId="4"/>
  </si>
  <si>
    <t>ARCH WL-01-23</t>
    <phoneticPr fontId="4"/>
  </si>
  <si>
    <t>利用料</t>
    <rPh sb="0" eb="3">
      <t>リヨウリョウ</t>
    </rPh>
    <phoneticPr fontId="4"/>
  </si>
  <si>
    <t>レッスンチケット（1枚）</t>
    <rPh sb="10" eb="11">
      <t>マイ</t>
    </rPh>
    <phoneticPr fontId="4"/>
  </si>
  <si>
    <t>月会費</t>
    <phoneticPr fontId="4"/>
  </si>
  <si>
    <t>レギュラー 0.5か月分</t>
    <rPh sb="10" eb="11">
      <t>ゲツ</t>
    </rPh>
    <rPh sb="11" eb="12">
      <t>ブン</t>
    </rPh>
    <phoneticPr fontId="4"/>
  </si>
  <si>
    <t>永井  ちせ</t>
    <rPh sb="0" eb="2">
      <t>ナガイ</t>
    </rPh>
    <phoneticPr fontId="4"/>
  </si>
  <si>
    <t>フジクラ AIR SPEEDER STANDARD</t>
    <phoneticPr fontId="4"/>
  </si>
  <si>
    <t>BALDO 2023 BALD SKY DRIVE DRIVER 9.5°</t>
    <phoneticPr fontId="4"/>
  </si>
  <si>
    <t>Airペイ</t>
    <phoneticPr fontId="4"/>
  </si>
  <si>
    <t>入会金（紹介割）</t>
    <phoneticPr fontId="4"/>
  </si>
  <si>
    <t>会費</t>
    <rPh sb="0" eb="2">
      <t>カイヒ</t>
    </rPh>
    <phoneticPr fontId="4"/>
  </si>
  <si>
    <t>三菱ケミカル DIAMANA Thump f65 X</t>
    <rPh sb="0" eb="2">
      <t>ミツビシ</t>
    </rPh>
    <phoneticPr fontId="4"/>
  </si>
  <si>
    <t>三菱ケミカル DIAMANA Thump f75 X</t>
    <rPh sb="0" eb="2">
      <t>ミツビシ</t>
    </rPh>
    <phoneticPr fontId="4"/>
  </si>
  <si>
    <t>Sticky Evolution 2.3 BL無</t>
    <rPh sb="23" eb="24">
      <t>ナシ</t>
    </rPh>
    <phoneticPr fontId="4"/>
  </si>
  <si>
    <t>入会金(家族割)</t>
    <rPh sb="0" eb="3">
      <t>ニュウカイキン</t>
    </rPh>
    <rPh sb="4" eb="7">
      <t>カゾクワリ</t>
    </rPh>
    <phoneticPr fontId="4"/>
  </si>
  <si>
    <t>平塚　国宏</t>
    <rPh sb="0" eb="2">
      <t>ヒラツカ</t>
    </rPh>
    <rPh sb="3" eb="4">
      <t>クニ</t>
    </rPh>
    <rPh sb="4" eb="5">
      <t>ヒロ</t>
    </rPh>
    <phoneticPr fontId="4"/>
  </si>
  <si>
    <t>重成　昭</t>
    <rPh sb="0" eb="2">
      <t>シゲナリ</t>
    </rPh>
    <rPh sb="3" eb="4">
      <t>アキラ</t>
    </rPh>
    <phoneticPr fontId="4"/>
  </si>
  <si>
    <t>堀古　修平</t>
    <rPh sb="0" eb="2">
      <t>ホリコ</t>
    </rPh>
    <rPh sb="3" eb="5">
      <t>シュウヘイ</t>
    </rPh>
    <phoneticPr fontId="4"/>
  </si>
  <si>
    <t>山田　正樹</t>
    <rPh sb="0" eb="2">
      <t>ヤマダ</t>
    </rPh>
    <rPh sb="3" eb="5">
      <t>マサキ</t>
    </rPh>
    <phoneticPr fontId="4"/>
  </si>
  <si>
    <t>木下　健太</t>
    <rPh sb="0" eb="2">
      <t>キノシタ</t>
    </rPh>
    <rPh sb="3" eb="5">
      <t>ケンタ</t>
    </rPh>
    <phoneticPr fontId="4"/>
  </si>
  <si>
    <t>井上　貴晶</t>
    <rPh sb="0" eb="2">
      <t>イノウエ</t>
    </rPh>
    <rPh sb="3" eb="5">
      <t>タカアキ</t>
    </rPh>
    <phoneticPr fontId="4"/>
  </si>
  <si>
    <t>野田　優綺</t>
    <rPh sb="0" eb="2">
      <t>ノダ</t>
    </rPh>
    <rPh sb="3" eb="4">
      <t>ユウ</t>
    </rPh>
    <rPh sb="4" eb="5">
      <t>キ</t>
    </rPh>
    <phoneticPr fontId="4"/>
  </si>
  <si>
    <t>川邉隆平</t>
    <rPh sb="0" eb="4">
      <t>カワベリュウヘイ</t>
    </rPh>
    <phoneticPr fontId="4"/>
  </si>
  <si>
    <t>佐藤　繁利</t>
    <rPh sb="3" eb="5">
      <t>シゲトシ</t>
    </rPh>
    <phoneticPr fontId="4"/>
  </si>
  <si>
    <t>4月分 ライト</t>
    <rPh sb="1" eb="3">
      <t>ガツブン</t>
    </rPh>
    <phoneticPr fontId="4"/>
  </si>
  <si>
    <t>Airペイ</t>
    <phoneticPr fontId="4"/>
  </si>
  <si>
    <t>UST マミヤ ATTAS KING ５５</t>
    <phoneticPr fontId="4"/>
  </si>
  <si>
    <t>エリート Y360S XT マリンブルー</t>
    <phoneticPr fontId="4"/>
  </si>
  <si>
    <t>エリート RS74（黒）</t>
    <rPh sb="10" eb="11">
      <t>クロ</t>
    </rPh>
    <phoneticPr fontId="4"/>
  </si>
  <si>
    <t>山下　哲弘</t>
    <rPh sb="0" eb="2">
      <t>ヤマシタ</t>
    </rPh>
    <rPh sb="3" eb="5">
      <t>テツヒロ</t>
    </rPh>
    <phoneticPr fontId="4"/>
  </si>
  <si>
    <t>ボール</t>
    <phoneticPr fontId="4"/>
  </si>
  <si>
    <t>レッスンチケット　11枚</t>
    <phoneticPr fontId="4"/>
  </si>
  <si>
    <t>キャロウェイ</t>
    <phoneticPr fontId="4"/>
  </si>
  <si>
    <t>林　直樹</t>
    <rPh sb="0" eb="1">
      <t>ハヤシ</t>
    </rPh>
    <rPh sb="2" eb="4">
      <t>ナオキ</t>
    </rPh>
    <phoneticPr fontId="4"/>
  </si>
  <si>
    <t>4月分（0.5か月）</t>
    <rPh sb="1" eb="3">
      <t>ガツブン</t>
    </rPh>
    <rPh sb="8" eb="9">
      <t>ゲツ</t>
    </rPh>
    <phoneticPr fontId="4"/>
  </si>
  <si>
    <t>5月分</t>
    <rPh sb="1" eb="3">
      <t>ガツブン</t>
    </rPh>
    <phoneticPr fontId="4"/>
  </si>
  <si>
    <t>TOUR B XS</t>
    <phoneticPr fontId="4"/>
  </si>
  <si>
    <t>pro V1 2023モデル（特価）</t>
    <rPh sb="15" eb="17">
      <t>トッカ</t>
    </rPh>
    <phoneticPr fontId="4"/>
  </si>
  <si>
    <t>湯浅　純也</t>
    <rPh sb="0" eb="2">
      <t>ユアサ</t>
    </rPh>
    <rPh sb="3" eb="5">
      <t>ジュンヤ</t>
    </rPh>
    <phoneticPr fontId="4"/>
  </si>
  <si>
    <t>入会金</t>
    <rPh sb="0" eb="3">
      <t>ニュウカイキン</t>
    </rPh>
    <phoneticPr fontId="4"/>
  </si>
  <si>
    <t>4月分（0.25か月）</t>
    <rPh sb="1" eb="3">
      <t>ガツブン</t>
    </rPh>
    <phoneticPr fontId="4"/>
  </si>
  <si>
    <t>白岩　英雄</t>
    <rPh sb="0" eb="2">
      <t>シライワ</t>
    </rPh>
    <rPh sb="3" eb="5">
      <t>ヒデオ</t>
    </rPh>
    <phoneticPr fontId="4"/>
  </si>
  <si>
    <t>KBS TOUR LITE 95</t>
    <phoneticPr fontId="4"/>
  </si>
  <si>
    <t xml:space="preserve">STM G-REX </t>
    <phoneticPr fontId="4"/>
  </si>
  <si>
    <t>大谷　哲平</t>
    <rPh sb="0" eb="2">
      <t>オオタニ</t>
    </rPh>
    <rPh sb="3" eb="5">
      <t>テッペイ</t>
    </rPh>
    <phoneticPr fontId="4"/>
  </si>
  <si>
    <t>奥田　健介</t>
    <rPh sb="0" eb="2">
      <t>オクダ</t>
    </rPh>
    <rPh sb="3" eb="5">
      <t>ケンスケ</t>
    </rPh>
    <phoneticPr fontId="4"/>
  </si>
  <si>
    <t>フィッティング</t>
    <phoneticPr fontId="4"/>
  </si>
  <si>
    <t>55分（メンバー）</t>
    <rPh sb="2" eb="3">
      <t>フン</t>
    </rPh>
    <phoneticPr fontId="4"/>
  </si>
  <si>
    <t>55分（メンバー）</t>
    <rPh sb="2" eb="3">
      <t>フン</t>
    </rPh>
    <phoneticPr fontId="4"/>
  </si>
  <si>
    <t>古川プロ</t>
    <rPh sb="0" eb="2">
      <t>フルカワ</t>
    </rPh>
    <phoneticPr fontId="4"/>
  </si>
  <si>
    <t>TOUR TEE (PRO)</t>
    <phoneticPr fontId="4"/>
  </si>
  <si>
    <t>レッスンチケット　1枚</t>
    <phoneticPr fontId="4"/>
  </si>
  <si>
    <t>佐野　智</t>
    <rPh sb="0" eb="2">
      <t>サノ</t>
    </rPh>
    <rPh sb="3" eb="4">
      <t>サトシ</t>
    </rPh>
    <phoneticPr fontId="4"/>
  </si>
  <si>
    <t>岡野　陽子</t>
    <rPh sb="0" eb="2">
      <t>オカノ</t>
    </rPh>
    <rPh sb="3" eb="5">
      <t>ヨウコ</t>
    </rPh>
    <phoneticPr fontId="4"/>
  </si>
  <si>
    <t>パーソナルレッスン</t>
    <phoneticPr fontId="4"/>
  </si>
  <si>
    <t>宮崎　定智</t>
    <rPh sb="0" eb="2">
      <t>ミヤザキ</t>
    </rPh>
    <rPh sb="3" eb="5">
      <t>サダトモ</t>
    </rPh>
    <phoneticPr fontId="4"/>
  </si>
  <si>
    <t>エリート Y360S XT ベルリナブラック</t>
    <phoneticPr fontId="4"/>
  </si>
  <si>
    <t>フジクラ Speeder EVOLUTION Ⅵ SPD474 S</t>
    <phoneticPr fontId="4"/>
  </si>
  <si>
    <t>田中　博之</t>
    <rPh sb="0" eb="2">
      <t>タナカ</t>
    </rPh>
    <rPh sb="3" eb="5">
      <t>ヒロユキ</t>
    </rPh>
    <phoneticPr fontId="4"/>
  </si>
  <si>
    <t>河原　元彌</t>
    <rPh sb="0" eb="2">
      <t>カワハラ</t>
    </rPh>
    <rPh sb="3" eb="4">
      <t>モト</t>
    </rPh>
    <rPh sb="4" eb="5">
      <t>ヤ</t>
    </rPh>
    <phoneticPr fontId="4"/>
  </si>
  <si>
    <t>三菱ケミカル TENSEI PRO ORENGE １K 65</t>
    <rPh sb="0" eb="2">
      <t>ミツビシ</t>
    </rPh>
    <phoneticPr fontId="4"/>
  </si>
  <si>
    <t>Tour velvet</t>
    <phoneticPr fontId="4"/>
  </si>
  <si>
    <t>CALLAWAY</t>
    <phoneticPr fontId="4"/>
  </si>
  <si>
    <t>渡邊</t>
    <rPh sb="0" eb="2">
      <t>ワタナベ</t>
    </rPh>
    <phoneticPr fontId="4"/>
  </si>
  <si>
    <t>フジクラ VENTUS TR RD ５R</t>
    <phoneticPr fontId="4"/>
  </si>
  <si>
    <t>TaylorMade ステルス2 ドライバー 10.5</t>
    <phoneticPr fontId="4"/>
  </si>
  <si>
    <t>Square</t>
    <phoneticPr fontId="4"/>
  </si>
  <si>
    <t>販売</t>
    <rPh sb="0" eb="2">
      <t>ハンバイ</t>
    </rPh>
    <phoneticPr fontId="4"/>
  </si>
  <si>
    <t>ZERO FIT 21cm 左</t>
    <rPh sb="14" eb="15">
      <t>ヒダリ</t>
    </rPh>
    <phoneticPr fontId="4"/>
  </si>
  <si>
    <t>ZERO FIT 21cm 右</t>
    <rPh sb="14" eb="15">
      <t>ミギ</t>
    </rPh>
    <phoneticPr fontId="4"/>
  </si>
  <si>
    <t>現金</t>
    <rPh sb="0" eb="2">
      <t>ゲンキン</t>
    </rPh>
    <phoneticPr fontId="4"/>
  </si>
  <si>
    <t>堀古　一男</t>
    <rPh sb="0" eb="1">
      <t>ホリ</t>
    </rPh>
    <rPh sb="1" eb="2">
      <t>フル</t>
    </rPh>
    <rPh sb="3" eb="5">
      <t>カズオ</t>
    </rPh>
    <phoneticPr fontId="4"/>
  </si>
  <si>
    <t>レギュラー4月分（0.25か月）</t>
    <rPh sb="6" eb="8">
      <t>ガツブン</t>
    </rPh>
    <phoneticPr fontId="4"/>
  </si>
  <si>
    <t>レギュラー5月分</t>
    <rPh sb="6" eb="8">
      <t>ガツブン</t>
    </rPh>
    <phoneticPr fontId="4"/>
  </si>
  <si>
    <t>シャフト</t>
    <phoneticPr fontId="4"/>
  </si>
  <si>
    <t>シンカグラファイト DR Zinger5</t>
    <phoneticPr fontId="4"/>
  </si>
  <si>
    <t>渡部　啓子</t>
    <rPh sb="0" eb="2">
      <t>ワタベ</t>
    </rPh>
    <rPh sb="3" eb="5">
      <t>ケイコ</t>
    </rPh>
    <phoneticPr fontId="4"/>
  </si>
  <si>
    <t>利用料</t>
    <rPh sb="0" eb="3">
      <t>リヨウリョウ</t>
    </rPh>
    <phoneticPr fontId="4"/>
  </si>
  <si>
    <t>ラウンドレッスン</t>
    <phoneticPr fontId="4"/>
  </si>
  <si>
    <t>4月27日開催ラウンドレッスン料</t>
    <rPh sb="1" eb="2">
      <t>ガツ</t>
    </rPh>
    <rPh sb="4" eb="5">
      <t>ニチ</t>
    </rPh>
    <rPh sb="5" eb="7">
      <t>カイサイ</t>
    </rPh>
    <rPh sb="15" eb="16">
      <t>リョウ</t>
    </rPh>
    <phoneticPr fontId="4"/>
  </si>
  <si>
    <t>エアレジ未入力</t>
    <rPh sb="4" eb="7">
      <t>ミニュウリョク</t>
    </rPh>
    <phoneticPr fontId="4"/>
  </si>
  <si>
    <t>庄村　綾</t>
    <rPh sb="0" eb="2">
      <t>ショウムラ</t>
    </rPh>
    <rPh sb="3" eb="4">
      <t>アヤ</t>
    </rPh>
    <phoneticPr fontId="4"/>
  </si>
  <si>
    <t>X ソフトレディス ブラック</t>
    <phoneticPr fontId="4"/>
  </si>
  <si>
    <t>Airペイ</t>
    <phoneticPr fontId="4"/>
  </si>
  <si>
    <t>豊田　めぐみ</t>
    <rPh sb="0" eb="2">
      <t>トヨダ</t>
    </rPh>
    <phoneticPr fontId="4"/>
  </si>
  <si>
    <t>桑田　賢</t>
    <phoneticPr fontId="4"/>
  </si>
  <si>
    <t>tr244堀江 護様のご家族</t>
    <rPh sb="5" eb="7">
      <t>ホリエ</t>
    </rPh>
    <rPh sb="8" eb="9">
      <t>マモル</t>
    </rPh>
    <rPh sb="9" eb="10">
      <t>サマ</t>
    </rPh>
    <rPh sb="12" eb="14">
      <t>カゾク</t>
    </rPh>
    <phoneticPr fontId="4"/>
  </si>
  <si>
    <t>ビジター打席利用</t>
    <rPh sb="4" eb="8">
      <t>ダセキリヨウ</t>
    </rPh>
    <phoneticPr fontId="4"/>
  </si>
  <si>
    <t>田島　博久</t>
    <rPh sb="0" eb="2">
      <t>タジマ</t>
    </rPh>
    <rPh sb="3" eb="5">
      <t>ヒロヒサ</t>
    </rPh>
    <phoneticPr fontId="4"/>
  </si>
  <si>
    <t>シャフト</t>
    <phoneticPr fontId="4"/>
  </si>
  <si>
    <t>三菱ケミカル DR VANQUISH4 S</t>
    <rPh sb="0" eb="2">
      <t>ミツビシ</t>
    </rPh>
    <phoneticPr fontId="4"/>
  </si>
  <si>
    <t>再来(2022年10月10日)</t>
    <rPh sb="0" eb="2">
      <t>サイライ</t>
    </rPh>
    <rPh sb="7" eb="8">
      <t>ネン</t>
    </rPh>
    <rPh sb="10" eb="11">
      <t>ガツ</t>
    </rPh>
    <rPh sb="13" eb="14">
      <t>ニチ</t>
    </rPh>
    <phoneticPr fontId="4"/>
  </si>
  <si>
    <t>現金</t>
    <rPh sb="0" eb="2">
      <t>ゲンキン</t>
    </rPh>
    <phoneticPr fontId="4"/>
  </si>
  <si>
    <t>再来(2020年6月25日)</t>
    <rPh sb="0" eb="2">
      <t>サイライ</t>
    </rPh>
    <rPh sb="7" eb="8">
      <t>ネン</t>
    </rPh>
    <rPh sb="9" eb="10">
      <t>ガツ</t>
    </rPh>
    <rPh sb="12" eb="13">
      <t>ニチ</t>
    </rPh>
    <phoneticPr fontId="4"/>
  </si>
  <si>
    <t>レギュラー会員→マスター会員 差額</t>
    <rPh sb="5" eb="7">
      <t>カイイン</t>
    </rPh>
    <rPh sb="12" eb="14">
      <t>カイイン</t>
    </rPh>
    <rPh sb="15" eb="17">
      <t>サガク</t>
    </rPh>
    <phoneticPr fontId="4"/>
  </si>
  <si>
    <t>tr225 北川 雄貴様のご紹介</t>
    <rPh sb="6" eb="8">
      <t>キタガワ</t>
    </rPh>
    <rPh sb="9" eb="11">
      <t>ユウキ</t>
    </rPh>
    <rPh sb="11" eb="12">
      <t>サマ</t>
    </rPh>
    <rPh sb="14" eb="16">
      <t>ショウカイ</t>
    </rPh>
    <phoneticPr fontId="4"/>
  </si>
  <si>
    <t>再来(2023年3月15日)</t>
    <rPh sb="0" eb="2">
      <t>サイライ</t>
    </rPh>
    <rPh sb="7" eb="8">
      <t>ネン</t>
    </rPh>
    <rPh sb="9" eb="10">
      <t>ガツ</t>
    </rPh>
    <rPh sb="12" eb="13">
      <t>ニチ</t>
    </rPh>
    <phoneticPr fontId="4"/>
  </si>
  <si>
    <t>社長のご友人</t>
    <rPh sb="0" eb="2">
      <t>シャチョウ</t>
    </rPh>
    <rPh sb="4" eb="6">
      <t>ユウジン</t>
    </rPh>
    <phoneticPr fontId="4"/>
  </si>
  <si>
    <t>田中　舞香</t>
    <rPh sb="0" eb="2">
      <t>タナカ</t>
    </rPh>
    <rPh sb="3" eb="5">
      <t>マイカ</t>
    </rPh>
    <phoneticPr fontId="4"/>
  </si>
  <si>
    <t>上記の大谷様がまとめてお支払い</t>
    <rPh sb="0" eb="2">
      <t>ジョウキ</t>
    </rPh>
    <rPh sb="3" eb="6">
      <t>オオタニサマ</t>
    </rPh>
    <rPh sb="12" eb="14">
      <t>シハラ</t>
    </rPh>
    <phoneticPr fontId="4"/>
  </si>
  <si>
    <t>藤田プロ</t>
    <rPh sb="0" eb="2">
      <t>フジタ</t>
    </rPh>
    <phoneticPr fontId="4"/>
  </si>
  <si>
    <t>販売</t>
    <rPh sb="0" eb="2">
      <t>ハンバイ</t>
    </rPh>
    <phoneticPr fontId="4"/>
  </si>
  <si>
    <t>三菱ケミカル DR Diamana TB 40 S</t>
  </si>
  <si>
    <t>三菱ケミカル DR Diamana TB 50 S</t>
    <phoneticPr fontId="4"/>
  </si>
  <si>
    <t>岩見　真一郎</t>
    <rPh sb="0" eb="2">
      <t>イワミ</t>
    </rPh>
    <rPh sb="3" eb="6">
      <t>シンイチロウ</t>
    </rPh>
    <phoneticPr fontId="4"/>
  </si>
  <si>
    <t>フォーサリンク ウェザー 23cm</t>
    <phoneticPr fontId="4"/>
  </si>
  <si>
    <t>岡野　慎也</t>
    <rPh sb="0" eb="2">
      <t>オカノ</t>
    </rPh>
    <rPh sb="3" eb="5">
      <t>シンヤ</t>
    </rPh>
    <phoneticPr fontId="4"/>
  </si>
  <si>
    <t>ラウンドレッスン</t>
  </si>
  <si>
    <t>4月28日開催ラウンドレッスン料</t>
    <rPh sb="1" eb="2">
      <t>ガツ</t>
    </rPh>
    <rPh sb="4" eb="5">
      <t>ニチ</t>
    </rPh>
    <rPh sb="5" eb="7">
      <t>カイサイ</t>
    </rPh>
    <rPh sb="15" eb="16">
      <t>リョウ</t>
    </rPh>
    <phoneticPr fontId="4"/>
  </si>
  <si>
    <t>ビジター</t>
    <phoneticPr fontId="4"/>
  </si>
  <si>
    <t>iomic 18cm</t>
    <phoneticPr fontId="4"/>
  </si>
  <si>
    <t>グリップ</t>
    <phoneticPr fontId="4"/>
  </si>
  <si>
    <t>STM S-1 PROTO TYPE ネイビー×ホワイト(有)</t>
    <rPh sb="29" eb="30">
      <t>アリ</t>
    </rPh>
    <phoneticPr fontId="4"/>
  </si>
  <si>
    <t>宮城　智治</t>
    <rPh sb="0" eb="2">
      <t>ミヤギ</t>
    </rPh>
    <rPh sb="3" eb="4">
      <t>トモ</t>
    </rPh>
    <phoneticPr fontId="4"/>
  </si>
  <si>
    <t>三菱ケミカル UT TENSEI CK PRO ORANGE 80 S</t>
    <rPh sb="0" eb="2">
      <t>ミツビシ</t>
    </rPh>
    <phoneticPr fontId="4"/>
  </si>
  <si>
    <t>iomic Sticky Evolution 2.3 BL有</t>
    <phoneticPr fontId="4"/>
  </si>
  <si>
    <t>iomic sticky evolution 2.3 (有)</t>
    <rPh sb="28" eb="29">
      <t>アリ</t>
    </rPh>
    <phoneticPr fontId="4"/>
  </si>
  <si>
    <t>iomic stick evolution 2.3 コーラルレッド(無)</t>
    <rPh sb="34" eb="35">
      <t>ナシ</t>
    </rPh>
    <phoneticPr fontId="4"/>
  </si>
  <si>
    <t>iomic スティングレー M58 無</t>
    <rPh sb="18" eb="19">
      <t>ナシ</t>
    </rPh>
    <phoneticPr fontId="4"/>
  </si>
  <si>
    <t>貝住　大祐</t>
    <rPh sb="0" eb="1">
      <t>カイ</t>
    </rPh>
    <rPh sb="1" eb="2">
      <t>ス</t>
    </rPh>
    <rPh sb="3" eb="5">
      <t>ダイスケ</t>
    </rPh>
    <phoneticPr fontId="4"/>
  </si>
  <si>
    <t>天野真知子</t>
    <rPh sb="0" eb="2">
      <t>アマノ</t>
    </rPh>
    <rPh sb="2" eb="5">
      <t>マチコ</t>
    </rPh>
    <phoneticPr fontId="4"/>
  </si>
  <si>
    <t>長田美紀</t>
    <rPh sb="0" eb="2">
      <t>ナガタ</t>
    </rPh>
    <rPh sb="2" eb="4">
      <t>ミキ</t>
    </rPh>
    <phoneticPr fontId="4"/>
  </si>
  <si>
    <t>西山　泰弘</t>
    <rPh sb="0" eb="2">
      <t>ニシヤマ</t>
    </rPh>
    <rPh sb="3" eb="4">
      <t>タイ</t>
    </rPh>
    <rPh sb="4" eb="5">
      <t>ヒロ</t>
    </rPh>
    <phoneticPr fontId="4"/>
  </si>
  <si>
    <t>海部　和宏
山本　守昭</t>
    <phoneticPr fontId="4"/>
  </si>
  <si>
    <t>打ち間違い</t>
    <rPh sb="0" eb="1">
      <t>ウ</t>
    </rPh>
    <rPh sb="2" eb="4">
      <t>マチガ</t>
    </rPh>
    <phoneticPr fontId="4"/>
  </si>
  <si>
    <t>ライト1ヶ月分（5月分会費）</t>
    <rPh sb="5" eb="7">
      <t>ゲツブン</t>
    </rPh>
    <rPh sb="9" eb="11">
      <t>ガツブン</t>
    </rPh>
    <rPh sb="11" eb="13">
      <t>カイヒ</t>
    </rPh>
    <phoneticPr fontId="4"/>
  </si>
  <si>
    <t>5月分（レギュラー、0.75か月）</t>
    <rPh sb="1" eb="3">
      <t>ガツブン</t>
    </rPh>
    <phoneticPr fontId="4"/>
  </si>
  <si>
    <t>木村　史絵</t>
    <rPh sb="0" eb="2">
      <t>キムラ</t>
    </rPh>
    <rPh sb="3" eb="5">
      <t>フミエ</t>
    </rPh>
    <phoneticPr fontId="4"/>
  </si>
  <si>
    <t>入会金（紹介割）</t>
    <rPh sb="0" eb="3">
      <t>ニュウカイキン</t>
    </rPh>
    <rPh sb="4" eb="7">
      <t>ショウカイワリ</t>
    </rPh>
    <phoneticPr fontId="4"/>
  </si>
  <si>
    <t>中嶋　裕二</t>
    <rPh sb="0" eb="2">
      <t>ナカシマ</t>
    </rPh>
    <rPh sb="3" eb="5">
      <t>ユウジ</t>
    </rPh>
    <phoneticPr fontId="2"/>
  </si>
  <si>
    <t>三好　拓哉</t>
    <rPh sb="0" eb="2">
      <t>ミヨシ</t>
    </rPh>
    <rPh sb="3" eb="5">
      <t>タクヤ</t>
    </rPh>
    <phoneticPr fontId="2"/>
  </si>
  <si>
    <t>ZERO FIT グローブ</t>
    <phoneticPr fontId="4"/>
  </si>
  <si>
    <t>北川　雄貴</t>
    <rPh sb="0" eb="2">
      <t>キタガワ</t>
    </rPh>
    <rPh sb="3" eb="4">
      <t>ユウ</t>
    </rPh>
    <rPh sb="4" eb="5">
      <t>キ</t>
    </rPh>
    <phoneticPr fontId="4"/>
  </si>
  <si>
    <t xml:space="preserve">X ソフトレディス </t>
    <phoneticPr fontId="4"/>
  </si>
  <si>
    <t>金山　熹章　</t>
    <rPh sb="0" eb="2">
      <t>カナヤマ</t>
    </rPh>
    <rPh sb="3" eb="4">
      <t>アブ</t>
    </rPh>
    <rPh sb="4" eb="5">
      <t>ショウ</t>
    </rPh>
    <phoneticPr fontId="4"/>
  </si>
  <si>
    <t>AIR SPEEDER UT STANDERD</t>
    <phoneticPr fontId="4"/>
  </si>
  <si>
    <t>Sticky EVOLUTION 1.8 BL無</t>
    <rPh sb="23" eb="24">
      <t>ナ</t>
    </rPh>
    <phoneticPr fontId="4"/>
  </si>
  <si>
    <t>松本　暁史</t>
    <rPh sb="0" eb="2">
      <t>マツモト</t>
    </rPh>
    <rPh sb="3" eb="4">
      <t>アキ</t>
    </rPh>
    <rPh sb="4" eb="5">
      <t>フミ</t>
    </rPh>
    <phoneticPr fontId="2"/>
  </si>
  <si>
    <t>ビジター（会員家族）</t>
    <rPh sb="5" eb="9">
      <t>カイインカゾク</t>
    </rPh>
    <phoneticPr fontId="4"/>
  </si>
  <si>
    <t>岡本　裕士</t>
    <phoneticPr fontId="4"/>
  </si>
  <si>
    <t>貝住　大祐</t>
    <rPh sb="0" eb="2">
      <t>カイズミ</t>
    </rPh>
    <rPh sb="3" eb="5">
      <t>ダイスケ</t>
    </rPh>
    <phoneticPr fontId="16"/>
  </si>
  <si>
    <t>三菱ケミカル Diamana Thump FW f55 S</t>
    <rPh sb="0" eb="2">
      <t>ミツビシ</t>
    </rPh>
    <phoneticPr fontId="4"/>
  </si>
  <si>
    <t>Sticky EVOLUTION 2.3 BL無</t>
    <rPh sb="23" eb="24">
      <t>ナ</t>
    </rPh>
    <phoneticPr fontId="4"/>
  </si>
  <si>
    <t>PING G430 MAX #3 15</t>
    <phoneticPr fontId="4"/>
  </si>
  <si>
    <t>再来（2023/3/2）</t>
    <rPh sb="0" eb="2">
      <t>サイライ</t>
    </rPh>
    <phoneticPr fontId="4"/>
  </si>
  <si>
    <t>竹原　慎太郎</t>
  </si>
  <si>
    <t>赤松　理充</t>
    <phoneticPr fontId="4"/>
  </si>
  <si>
    <t>社長知人</t>
    <rPh sb="0" eb="2">
      <t>シャチョウ</t>
    </rPh>
    <rPh sb="2" eb="4">
      <t>チジン</t>
    </rPh>
    <phoneticPr fontId="4"/>
  </si>
  <si>
    <t>ARCH DR CA-01 23</t>
    <phoneticPr fontId="4"/>
  </si>
  <si>
    <t>ARCH FW WL-01 23</t>
    <phoneticPr fontId="4"/>
  </si>
  <si>
    <t>ARCH UT L F5</t>
    <phoneticPr fontId="4"/>
  </si>
  <si>
    <t>IX touch イエロー</t>
    <phoneticPr fontId="4"/>
  </si>
  <si>
    <t>田渕　一</t>
    <rPh sb="0" eb="2">
      <t>タブチ</t>
    </rPh>
    <rPh sb="3" eb="4">
      <t>ハジメ</t>
    </rPh>
    <phoneticPr fontId="4"/>
  </si>
  <si>
    <t>今久保　真美</t>
    <rPh sb="0" eb="3">
      <t>イマクボ</t>
    </rPh>
    <rPh sb="4" eb="6">
      <t>マミ</t>
    </rPh>
    <phoneticPr fontId="4"/>
  </si>
  <si>
    <t>会費</t>
    <rPh sb="0" eb="2">
      <t>カイヒ</t>
    </rPh>
    <phoneticPr fontId="4"/>
  </si>
  <si>
    <t>ZERO FIT グローブ 左22</t>
    <rPh sb="14" eb="15">
      <t>ヒダリ</t>
    </rPh>
    <phoneticPr fontId="4"/>
  </si>
  <si>
    <t>ARCH UT  F3</t>
    <phoneticPr fontId="4"/>
  </si>
  <si>
    <t>渡邊</t>
    <rPh sb="0" eb="2">
      <t>ワタナベ</t>
    </rPh>
    <phoneticPr fontId="4"/>
  </si>
  <si>
    <t>フジクラ VENTUS BLUE 6S</t>
    <phoneticPr fontId="4"/>
  </si>
  <si>
    <t>テーラーメイド</t>
    <phoneticPr fontId="4"/>
  </si>
  <si>
    <t>X-EVOLUTION 2.3 ブルー 有</t>
    <rPh sb="20" eb="21">
      <t>アリ</t>
    </rPh>
    <phoneticPr fontId="4"/>
  </si>
  <si>
    <t>原田　和哉</t>
    <rPh sb="0" eb="2">
      <t>ハラダ</t>
    </rPh>
    <rPh sb="3" eb="5">
      <t>カズヤ</t>
    </rPh>
    <phoneticPr fontId="4"/>
  </si>
  <si>
    <t>PING G410 UT</t>
    <phoneticPr fontId="4"/>
  </si>
  <si>
    <t>川邉　隆平</t>
    <rPh sb="0" eb="2">
      <t>カワベ</t>
    </rPh>
    <rPh sb="3" eb="5">
      <t>リュウヘイ</t>
    </rPh>
    <phoneticPr fontId="4"/>
  </si>
  <si>
    <t>木村　稔</t>
    <rPh sb="0" eb="2">
      <t>キムラ</t>
    </rPh>
    <rPh sb="3" eb="4">
      <t>ミノル</t>
    </rPh>
    <phoneticPr fontId="4"/>
  </si>
  <si>
    <t>フォーサリンク ウェザー 22cm</t>
    <phoneticPr fontId="4"/>
  </si>
  <si>
    <t>ZERO FIT グローブ　22</t>
    <phoneticPr fontId="4"/>
  </si>
  <si>
    <t>蟹江　俊郎</t>
    <phoneticPr fontId="4"/>
  </si>
  <si>
    <t>デザインチューニング ZERO XROSS 50X</t>
    <phoneticPr fontId="4"/>
  </si>
  <si>
    <t>LTC i-x 1.8スカイブルー BL無し</t>
    <rPh sb="20" eb="21">
      <t>ナ</t>
    </rPh>
    <phoneticPr fontId="4"/>
  </si>
  <si>
    <t>再来（2022/3/9）</t>
    <rPh sb="0" eb="2">
      <t>サイライ</t>
    </rPh>
    <phoneticPr fontId="4"/>
  </si>
  <si>
    <t>山根　平碁</t>
    <rPh sb="0" eb="2">
      <t>ヤマネ</t>
    </rPh>
    <rPh sb="3" eb="4">
      <t>タイラ</t>
    </rPh>
    <rPh sb="4" eb="5">
      <t>ゴ</t>
    </rPh>
    <phoneticPr fontId="4"/>
  </si>
  <si>
    <t>UST マミヤ DR ATTAS KING 5X</t>
    <phoneticPr fontId="4"/>
  </si>
  <si>
    <t>タイトリスト</t>
    <phoneticPr fontId="4"/>
  </si>
  <si>
    <t>久保　巧</t>
    <rPh sb="0" eb="2">
      <t>クボ</t>
    </rPh>
    <rPh sb="3" eb="4">
      <t>タクミ</t>
    </rPh>
    <phoneticPr fontId="4"/>
  </si>
  <si>
    <t>久保　巧</t>
    <phoneticPr fontId="4"/>
  </si>
  <si>
    <t>上岡　知美</t>
    <rPh sb="0" eb="2">
      <t>ウエオカ</t>
    </rPh>
    <rPh sb="3" eb="5">
      <t>トモミ</t>
    </rPh>
    <phoneticPr fontId="4"/>
  </si>
  <si>
    <t>土谷　喜輝</t>
    <phoneticPr fontId="4"/>
  </si>
  <si>
    <t>TOUR B X</t>
    <phoneticPr fontId="4"/>
  </si>
  <si>
    <t>岡本　裕士</t>
    <rPh sb="0" eb="2">
      <t>オカモト</t>
    </rPh>
    <rPh sb="3" eb="4">
      <t>ユウ</t>
    </rPh>
    <rPh sb="4" eb="5">
      <t>シ</t>
    </rPh>
    <phoneticPr fontId="4"/>
  </si>
  <si>
    <t>フジクラ DR VENTUS TR BK 5S</t>
    <phoneticPr fontId="4"/>
  </si>
  <si>
    <t>Sticky EVOLUTION 2.3 BL有</t>
    <rPh sb="23" eb="24">
      <t>アリ</t>
    </rPh>
    <phoneticPr fontId="4"/>
  </si>
  <si>
    <t>TEE</t>
    <phoneticPr fontId="4"/>
  </si>
  <si>
    <t>TOUR TEE PRO</t>
    <phoneticPr fontId="4"/>
  </si>
  <si>
    <t>ZERO FIT グローブ　23</t>
    <phoneticPr fontId="4"/>
  </si>
  <si>
    <t>タイトリスト PRO V1</t>
    <phoneticPr fontId="4"/>
  </si>
  <si>
    <t>社長</t>
    <rPh sb="0" eb="2">
      <t>シャチョウ</t>
    </rPh>
    <phoneticPr fontId="4"/>
  </si>
  <si>
    <t>ZERO FIT グローブ 19 右2、左3</t>
    <rPh sb="17" eb="18">
      <t>ミギ</t>
    </rPh>
    <rPh sb="20" eb="21">
      <t>ヒダリ</t>
    </rPh>
    <phoneticPr fontId="4"/>
  </si>
  <si>
    <t>計測器</t>
    <rPh sb="0" eb="3">
      <t>ケイソクキ</t>
    </rPh>
    <phoneticPr fontId="4"/>
  </si>
  <si>
    <t>タイトリスト PRO V1X</t>
    <phoneticPr fontId="4"/>
  </si>
  <si>
    <t>大城</t>
    <rPh sb="0" eb="2">
      <t>オオシロ</t>
    </rPh>
    <phoneticPr fontId="4"/>
  </si>
  <si>
    <t>フジクラ DR AIR SPEEDER PLUS 白</t>
    <rPh sb="25" eb="26">
      <t>シロ</t>
    </rPh>
    <phoneticPr fontId="4"/>
  </si>
  <si>
    <t>伊藤　令陽</t>
    <rPh sb="0" eb="2">
      <t>イトウ</t>
    </rPh>
    <rPh sb="3" eb="5">
      <t>レイヨウ</t>
    </rPh>
    <phoneticPr fontId="4"/>
  </si>
  <si>
    <t>UST マミヤ DR ATTAS KING 4S</t>
    <phoneticPr fontId="4"/>
  </si>
  <si>
    <t>110分（ビジター）</t>
    <rPh sb="3" eb="4">
      <t>フン</t>
    </rPh>
    <phoneticPr fontId="4"/>
  </si>
  <si>
    <t>TOUR B JGR</t>
    <phoneticPr fontId="4"/>
  </si>
  <si>
    <t>赤尾　泰司</t>
    <rPh sb="0" eb="2">
      <t>アカオ</t>
    </rPh>
    <rPh sb="3" eb="4">
      <t>ヤスシ</t>
    </rPh>
    <rPh sb="4" eb="5">
      <t>シ</t>
    </rPh>
    <phoneticPr fontId="4"/>
  </si>
  <si>
    <t>IX touch M60 LTC</t>
    <phoneticPr fontId="4"/>
  </si>
  <si>
    <t>民谷　充宏</t>
    <rPh sb="0" eb="2">
      <t>タミヤ</t>
    </rPh>
    <rPh sb="3" eb="5">
      <t>ミツヒロ</t>
    </rPh>
    <phoneticPr fontId="4"/>
  </si>
  <si>
    <t>エリート Y360S XT</t>
    <phoneticPr fontId="4"/>
  </si>
  <si>
    <t>村田　俊彦</t>
    <phoneticPr fontId="4"/>
  </si>
  <si>
    <t>和島　一吉</t>
    <phoneticPr fontId="4"/>
  </si>
  <si>
    <t>入佐　仁美</t>
    <phoneticPr fontId="4"/>
  </si>
  <si>
    <t>フジクラ FW AIR SPEEDER FW STANDERD 白</t>
    <rPh sb="32" eb="33">
      <t>シロ</t>
    </rPh>
    <phoneticPr fontId="4"/>
  </si>
  <si>
    <t>X SOFT LADIE'S ﾃﾞｨｰﾌﾟﾌﾞﾙｰ 有</t>
    <rPh sb="26" eb="27">
      <t>アリ</t>
    </rPh>
    <phoneticPr fontId="4"/>
  </si>
  <si>
    <t>再来（2022/11/24）</t>
    <rPh sb="0" eb="2">
      <t>サイライ</t>
    </rPh>
    <phoneticPr fontId="4"/>
  </si>
  <si>
    <t>エリート １ SPEED エボリューション</t>
    <phoneticPr fontId="4"/>
  </si>
  <si>
    <t>スリーブ装着</t>
    <rPh sb="4" eb="6">
      <t>ソウチャク</t>
    </rPh>
    <phoneticPr fontId="4"/>
  </si>
  <si>
    <t>レギュラー、0.5か月</t>
    <phoneticPr fontId="4"/>
  </si>
  <si>
    <t>レギュラー、１か月</t>
    <phoneticPr fontId="4"/>
  </si>
  <si>
    <t>レギュラー、0.25か月</t>
    <phoneticPr fontId="4"/>
  </si>
  <si>
    <t>上杉　光一</t>
  </si>
  <si>
    <t>上杉　光一</t>
    <rPh sb="0" eb="2">
      <t>ウエスギ</t>
    </rPh>
    <rPh sb="3" eb="5">
      <t>コウイチ</t>
    </rPh>
    <phoneticPr fontId="4"/>
  </si>
  <si>
    <t>フジクラ AIR SPEEDER PLUS</t>
    <phoneticPr fontId="4"/>
  </si>
  <si>
    <t>上杉　光一</t>
    <phoneticPr fontId="4"/>
  </si>
  <si>
    <t>吉村　明日香</t>
    <phoneticPr fontId="4"/>
  </si>
  <si>
    <t>佐野　智</t>
    <phoneticPr fontId="4"/>
  </si>
  <si>
    <t>グローブ</t>
    <phoneticPr fontId="4"/>
  </si>
  <si>
    <t>IOMIC 26</t>
    <phoneticPr fontId="4"/>
  </si>
  <si>
    <t>横山　俊介</t>
    <phoneticPr fontId="4"/>
  </si>
  <si>
    <t>中谷　庄司郎</t>
    <rPh sb="0" eb="2">
      <t>ナカタニ</t>
    </rPh>
    <rPh sb="3" eb="4">
      <t>ショウ</t>
    </rPh>
    <rPh sb="4" eb="5">
      <t>ツカサ</t>
    </rPh>
    <rPh sb="5" eb="6">
      <t>ロウ</t>
    </rPh>
    <phoneticPr fontId="4"/>
  </si>
  <si>
    <t>シャフト</t>
    <phoneticPr fontId="4"/>
  </si>
  <si>
    <t>Arch For Driver 164α 22</t>
    <phoneticPr fontId="4"/>
  </si>
  <si>
    <t>DR PING G430 MAX（10.5）</t>
    <phoneticPr fontId="4"/>
  </si>
  <si>
    <t>フジクラ UT MCH 50R（ホワイト）</t>
    <phoneticPr fontId="4"/>
  </si>
  <si>
    <t>フジクラ Speeder EVOLUTION Ⅶ FW40 R</t>
    <phoneticPr fontId="4"/>
  </si>
  <si>
    <t>FW COBRA（3W、5W、7W）</t>
    <phoneticPr fontId="4"/>
  </si>
  <si>
    <t>UT PING（#4、#5）</t>
    <phoneticPr fontId="4"/>
  </si>
  <si>
    <t>Sticky EVOLUTION</t>
    <phoneticPr fontId="4"/>
  </si>
  <si>
    <t>フジクラ DIAMOND SPEEDER SPD4 S</t>
    <phoneticPr fontId="4"/>
  </si>
  <si>
    <t>フジクラ DIAMOND SPEEDER SPD4 FW S</t>
    <phoneticPr fontId="4"/>
  </si>
  <si>
    <t>フジクラ DIAMOND SPEEDER HB6 S</t>
    <phoneticPr fontId="4"/>
  </si>
  <si>
    <t>DR PING G430 LST（9）</t>
    <phoneticPr fontId="4"/>
  </si>
  <si>
    <t>FW PING G430 MAX（#3、#5、#7）</t>
    <phoneticPr fontId="4"/>
  </si>
  <si>
    <t>UT PING G430 MAX（#4、#5）</t>
    <phoneticPr fontId="4"/>
  </si>
  <si>
    <t>フジクラ DIAMOND SPEEDER SPD7 FW S</t>
    <phoneticPr fontId="4"/>
  </si>
  <si>
    <t>フジクラ DIAMOND SPEEDER SPD6 S</t>
    <phoneticPr fontId="4"/>
  </si>
  <si>
    <t>BALDO ２０２２CORSA FW（3W、7W）</t>
    <phoneticPr fontId="4"/>
  </si>
  <si>
    <t>エリート Y360S XT ベルリナブラック 有</t>
    <rPh sb="23" eb="24">
      <t>アリ</t>
    </rPh>
    <phoneticPr fontId="4"/>
  </si>
  <si>
    <t>岡本　恵子</t>
    <phoneticPr fontId="4"/>
  </si>
  <si>
    <t>Pro V1X（特価）2023モデル</t>
    <phoneticPr fontId="4"/>
  </si>
  <si>
    <t>Airペイ</t>
    <phoneticPr fontId="4"/>
  </si>
  <si>
    <t xml:space="preserve">TOUR B X </t>
    <phoneticPr fontId="4"/>
  </si>
  <si>
    <t>Y360S XT</t>
    <phoneticPr fontId="4"/>
  </si>
  <si>
    <t>親睦コンペ</t>
    <rPh sb="0" eb="2">
      <t>シンボク</t>
    </rPh>
    <phoneticPr fontId="4"/>
  </si>
  <si>
    <t>キャンセル料</t>
    <rPh sb="5" eb="6">
      <t>リョウ</t>
    </rPh>
    <phoneticPr fontId="4"/>
  </si>
  <si>
    <t>花原 秀樹</t>
    <phoneticPr fontId="4"/>
  </si>
  <si>
    <t>参加料</t>
    <rPh sb="0" eb="2">
      <t>サンカ</t>
    </rPh>
    <rPh sb="2" eb="3">
      <t>リョウ</t>
    </rPh>
    <phoneticPr fontId="4"/>
  </si>
  <si>
    <t>若原　康正</t>
    <rPh sb="0" eb="2">
      <t>ワカハラ</t>
    </rPh>
    <rPh sb="3" eb="5">
      <t>ヤスマサ</t>
    </rPh>
    <phoneticPr fontId="4"/>
  </si>
  <si>
    <t>スリーブ</t>
    <phoneticPr fontId="4"/>
  </si>
  <si>
    <t>キャロウェイ</t>
    <phoneticPr fontId="4"/>
  </si>
  <si>
    <t>川原　博文</t>
    <rPh sb="0" eb="2">
      <t>カワハラ</t>
    </rPh>
    <rPh sb="3" eb="5">
      <t>ヒロフミ</t>
    </rPh>
    <phoneticPr fontId="2"/>
  </si>
  <si>
    <t>村田　浩之</t>
    <rPh sb="0" eb="2">
      <t>ムラタ</t>
    </rPh>
    <rPh sb="3" eb="5">
      <t>ヒロユキ</t>
    </rPh>
    <phoneticPr fontId="2"/>
  </si>
  <si>
    <t>タイトリスト PRO V1（5/16購入差額分）</t>
    <rPh sb="18" eb="20">
      <t>コウニュウ</t>
    </rPh>
    <rPh sb="20" eb="23">
      <t>サガクブン</t>
    </rPh>
    <phoneticPr fontId="4"/>
  </si>
  <si>
    <t>内藤　建志</t>
    <rPh sb="0" eb="2">
      <t>ナイトウ</t>
    </rPh>
    <rPh sb="3" eb="4">
      <t>ケン</t>
    </rPh>
    <rPh sb="4" eb="5">
      <t>シ</t>
    </rPh>
    <phoneticPr fontId="4"/>
  </si>
  <si>
    <t>グローブ</t>
    <phoneticPr fontId="4"/>
  </si>
  <si>
    <t>佐藤　信次</t>
    <rPh sb="3" eb="5">
      <t>ノブツグ</t>
    </rPh>
    <phoneticPr fontId="4"/>
  </si>
  <si>
    <t>利用料</t>
    <rPh sb="0" eb="3">
      <t>リヨウリョウ</t>
    </rPh>
    <phoneticPr fontId="4"/>
  </si>
  <si>
    <t>打席利用</t>
    <rPh sb="0" eb="4">
      <t>ダセキリヨウ</t>
    </rPh>
    <phoneticPr fontId="4"/>
  </si>
  <si>
    <t>パーソナルレッスン</t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</si>
  <si>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</si>
  <si>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</si>
  <si>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TOUR TEE MIX</t>
    <phoneticPr fontId="4"/>
  </si>
  <si>
    <t>タイトリスト pro V1</t>
    <phoneticPr fontId="4"/>
  </si>
  <si>
    <t>レギュラー１か月</t>
    <phoneticPr fontId="4"/>
  </si>
  <si>
    <t>ZERO FIT 22cm 左</t>
    <rPh sb="14" eb="15">
      <t>ヒダリ</t>
    </rPh>
    <phoneticPr fontId="4"/>
  </si>
  <si>
    <t>参加者</t>
    <rPh sb="0" eb="3">
      <t>サンカシャ</t>
    </rPh>
    <phoneticPr fontId="4"/>
  </si>
  <si>
    <t>村田　俊彦</t>
    <rPh sb="0" eb="2">
      <t>ムラタ</t>
    </rPh>
    <rPh sb="3" eb="5">
      <t>トシヒコ</t>
    </rPh>
    <phoneticPr fontId="4"/>
  </si>
  <si>
    <t>レギュラー0.75か月</t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</si>
  <si>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</si>
  <si>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</si>
  <si>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フォーサリンクウェザー24cm</t>
    <phoneticPr fontId="4"/>
  </si>
  <si>
    <t>山田　正樹</t>
    <rPh sb="0" eb="2">
      <t>ヤマダ</t>
    </rPh>
    <rPh sb="3" eb="5">
      <t>マサキ</t>
    </rPh>
    <phoneticPr fontId="4"/>
  </si>
  <si>
    <t>現金</t>
    <rPh sb="0" eb="2">
      <t>ゲンキン</t>
    </rPh>
    <phoneticPr fontId="4"/>
  </si>
  <si>
    <t>名山　豊</t>
    <rPh sb="0" eb="2">
      <t>ナヤマ</t>
    </rPh>
    <rPh sb="3" eb="4">
      <t>ユタカ</t>
    </rPh>
    <phoneticPr fontId="4"/>
  </si>
  <si>
    <t>販売</t>
    <rPh sb="0" eb="2">
      <t>ハンバイ</t>
    </rPh>
    <phoneticPr fontId="4"/>
  </si>
  <si>
    <t>シャフト</t>
    <phoneticPr fontId="4"/>
  </si>
  <si>
    <t>USTマミヤ DR The ATTAS V2 4S</t>
    <phoneticPr fontId="4"/>
  </si>
  <si>
    <t>フジクラ DR AIR SPEEDER PLUS 黒</t>
    <rPh sb="25" eb="26">
      <t>クロ</t>
    </rPh>
    <phoneticPr fontId="4"/>
  </si>
  <si>
    <t>スリーブ</t>
    <phoneticPr fontId="4"/>
  </si>
  <si>
    <t>テーラーメイド</t>
    <phoneticPr fontId="4"/>
  </si>
  <si>
    <t>エリート Y360S XT シルバーホワイト無</t>
    <rPh sb="22" eb="23">
      <t>ナ</t>
    </rPh>
    <phoneticPr fontId="4"/>
  </si>
  <si>
    <t>グリップ</t>
    <phoneticPr fontId="4"/>
  </si>
  <si>
    <t>iomic ix-touch2.3 オレンジ</t>
  </si>
  <si>
    <t>iomic ix-touch2.3 オレンジ</t>
    <phoneticPr fontId="4"/>
  </si>
  <si>
    <t>iomic sticky Ultra Light 1.0 ブラック 有</t>
    <rPh sb="34" eb="35">
      <t>アリ</t>
    </rPh>
    <phoneticPr fontId="4"/>
  </si>
  <si>
    <t>エリート RS74 マリンブルー</t>
    <phoneticPr fontId="4"/>
  </si>
  <si>
    <t>北川　修</t>
    <rPh sb="0" eb="2">
      <t>キタガワ</t>
    </rPh>
    <rPh sb="3" eb="4">
      <t>オサム</t>
    </rPh>
    <phoneticPr fontId="4"/>
  </si>
  <si>
    <t>iomic ix オレンジ 有</t>
    <rPh sb="14" eb="15">
      <t>アリ</t>
    </rPh>
    <phoneticPr fontId="4"/>
  </si>
  <si>
    <t>フジクラ FW Speeder EVOLUTION Ⅵ 50S</t>
    <phoneticPr fontId="4"/>
  </si>
  <si>
    <t>PING G410</t>
    <phoneticPr fontId="4"/>
  </si>
  <si>
    <t>iomic sticky evolution2.3レモンイエロー有</t>
    <rPh sb="32" eb="33">
      <t>アリ</t>
    </rPh>
    <phoneticPr fontId="4"/>
  </si>
  <si>
    <t>レッスンチケット　11枚</t>
    <phoneticPr fontId="4"/>
  </si>
  <si>
    <t>村田　浩之</t>
    <rPh sb="0" eb="2">
      <t>ムラタ</t>
    </rPh>
    <rPh sb="3" eb="5">
      <t>ヒロユキ</t>
    </rPh>
    <phoneticPr fontId="4"/>
  </si>
  <si>
    <t>レギュラー0.75か月</t>
    <phoneticPr fontId="4"/>
  </si>
  <si>
    <t>山下　真希</t>
    <rPh sb="0" eb="2">
      <t>ヤマシタ</t>
    </rPh>
    <rPh sb="3" eb="5">
      <t>マキ</t>
    </rPh>
    <phoneticPr fontId="4"/>
  </si>
  <si>
    <t>ZERO FIT 23cm 左</t>
    <rPh sb="14" eb="15">
      <t>ヒダリ</t>
    </rPh>
    <phoneticPr fontId="4"/>
  </si>
  <si>
    <t>福田　裕司</t>
    <rPh sb="0" eb="2">
      <t>フクダ</t>
    </rPh>
    <rPh sb="3" eb="5">
      <t>ユウジ</t>
    </rPh>
    <phoneticPr fontId="4"/>
  </si>
  <si>
    <t>岩見　真一郎</t>
    <rPh sb="0" eb="2">
      <t>イワミ</t>
    </rPh>
    <rPh sb="3" eb="6">
      <t>シンイチロウ</t>
    </rPh>
    <phoneticPr fontId="4"/>
  </si>
  <si>
    <t>レギュラー→マスター移行 差額</t>
    <rPh sb="10" eb="12">
      <t>イコウ</t>
    </rPh>
    <rPh sb="13" eb="15">
      <t>サガク</t>
    </rPh>
    <phoneticPr fontId="4"/>
  </si>
  <si>
    <t>奥田　利之</t>
    <rPh sb="0" eb="2">
      <t>オクダ</t>
    </rPh>
    <rPh sb="3" eb="5">
      <t>トシユキ</t>
    </rPh>
    <phoneticPr fontId="4"/>
  </si>
  <si>
    <t>田渕　一</t>
    <rPh sb="0" eb="2">
      <t>タブチ</t>
    </rPh>
    <rPh sb="3" eb="4">
      <t>ハジメ</t>
    </rPh>
    <phoneticPr fontId="4"/>
  </si>
  <si>
    <t>会費(特例)</t>
    <rPh sb="0" eb="2">
      <t>カイヒ</t>
    </rPh>
    <rPh sb="3" eb="5">
      <t>トクレイ</t>
    </rPh>
    <phoneticPr fontId="4"/>
  </si>
  <si>
    <t>上田　恭司</t>
    <rPh sb="0" eb="2">
      <t>ウエダ</t>
    </rPh>
    <rPh sb="3" eb="5">
      <t>キョウジ</t>
    </rPh>
    <phoneticPr fontId="4"/>
  </si>
  <si>
    <t>Rro V1x</t>
  </si>
  <si>
    <t>パーソナルレッスン55分</t>
    <rPh sb="11" eb="12">
      <t>フン</t>
    </rPh>
    <phoneticPr fontId="4"/>
  </si>
  <si>
    <t>パーソナルレッスン110分</t>
    <rPh sb="12" eb="13">
      <t>フン</t>
    </rPh>
    <phoneticPr fontId="4"/>
  </si>
  <si>
    <t>橋本　正幸</t>
    <rPh sb="0" eb="2">
      <t>ハシモト</t>
    </rPh>
    <rPh sb="3" eb="5">
      <t>マサユキ</t>
    </rPh>
    <phoneticPr fontId="4"/>
  </si>
  <si>
    <t>レギュラー0.5か月</t>
    <phoneticPr fontId="4"/>
  </si>
  <si>
    <t>村田　奈々子</t>
    <rPh sb="3" eb="6">
      <t>ナナコ</t>
    </rPh>
    <phoneticPr fontId="4"/>
  </si>
  <si>
    <t>井上　尚</t>
    <rPh sb="0" eb="2">
      <t>イノウエ</t>
    </rPh>
    <rPh sb="3" eb="4">
      <t>ナオ</t>
    </rPh>
    <phoneticPr fontId="4"/>
  </si>
  <si>
    <t>和島　浩士</t>
    <rPh sb="3" eb="4">
      <t>ヒロシ</t>
    </rPh>
    <rPh sb="4" eb="5">
      <t>シ</t>
    </rPh>
    <phoneticPr fontId="4"/>
  </si>
  <si>
    <t>レギュラー2ヶ月分</t>
    <rPh sb="7" eb="8">
      <t>ゲツ</t>
    </rPh>
    <rPh sb="8" eb="9">
      <t>ブン</t>
    </rPh>
    <phoneticPr fontId="4"/>
  </si>
  <si>
    <t>レギュラー家族割2ヶ月分</t>
    <rPh sb="5" eb="8">
      <t>カゾクワリ</t>
    </rPh>
    <rPh sb="10" eb="11">
      <t>ゲツ</t>
    </rPh>
    <rPh sb="11" eb="12">
      <t>ブン</t>
    </rPh>
    <phoneticPr fontId="4"/>
  </si>
  <si>
    <t>Golf Pride CP2 Pro スタンダード</t>
    <phoneticPr fontId="4"/>
  </si>
  <si>
    <t>木村　稔</t>
    <rPh sb="0" eb="2">
      <t>キムラ</t>
    </rPh>
    <rPh sb="3" eb="4">
      <t>ミノル</t>
    </rPh>
    <phoneticPr fontId="4"/>
  </si>
  <si>
    <t>Pro V1x</t>
  </si>
  <si>
    <t>Pro V1x</t>
    <phoneticPr fontId="4"/>
  </si>
  <si>
    <t>ZERO FIT 22cm 左</t>
    <rPh sb="14" eb="15">
      <t>ヒダリ</t>
    </rPh>
    <phoneticPr fontId="4"/>
  </si>
  <si>
    <t>ZERO FIT 19cm 左</t>
    <rPh sb="14" eb="15">
      <t>ヒダリ</t>
    </rPh>
    <phoneticPr fontId="4"/>
  </si>
  <si>
    <t>戸田　こずえ</t>
    <rPh sb="0" eb="2">
      <t>トダ</t>
    </rPh>
    <phoneticPr fontId="4"/>
  </si>
  <si>
    <t>STM S-1 ブラック×アイボリー有</t>
    <rPh sb="18" eb="19">
      <t>アリ</t>
    </rPh>
    <phoneticPr fontId="4"/>
  </si>
  <si>
    <t>三菱ケミカル DR VANQUISH4 R</t>
    <rPh sb="0" eb="2">
      <t>ミツビシ</t>
    </rPh>
    <phoneticPr fontId="4"/>
  </si>
  <si>
    <t>iomic sticky evolution2.3コーラルレッド無</t>
    <rPh sb="32" eb="33">
      <t>ナシ</t>
    </rPh>
    <phoneticPr fontId="4"/>
  </si>
  <si>
    <t>Golf Pride tour velvet</t>
    <phoneticPr fontId="4"/>
  </si>
  <si>
    <t>レギュラー1か月</t>
    <phoneticPr fontId="4"/>
  </si>
  <si>
    <t>工賃</t>
    <rPh sb="0" eb="2">
      <t>コウチン</t>
    </rPh>
    <phoneticPr fontId="4"/>
  </si>
  <si>
    <t>スリーブ抜き挿し</t>
    <rPh sb="4" eb="5">
      <t>ヌ</t>
    </rPh>
    <rPh sb="6" eb="7">
      <t>サ</t>
    </rPh>
    <phoneticPr fontId="4"/>
  </si>
  <si>
    <t>古川　志野</t>
    <rPh sb="0" eb="2">
      <t>フルカワ</t>
    </rPh>
    <rPh sb="3" eb="5">
      <t>シノ</t>
    </rPh>
    <phoneticPr fontId="4"/>
  </si>
  <si>
    <t>テーラーメイド ステルス</t>
    <phoneticPr fontId="4"/>
  </si>
  <si>
    <t>冨田　雅二</t>
    <rPh sb="0" eb="2">
      <t>トミタ</t>
    </rPh>
    <rPh sb="3" eb="4">
      <t>マサ</t>
    </rPh>
    <rPh sb="4" eb="5">
      <t>フタ</t>
    </rPh>
    <phoneticPr fontId="4"/>
  </si>
  <si>
    <t>BALDO DRIVER CORSA BC 左 438 2022</t>
    <rPh sb="22" eb="23">
      <t>ヒダリ</t>
    </rPh>
    <phoneticPr fontId="4"/>
  </si>
  <si>
    <t>DryJoys SP WMN BOA WHT/SIL/SIL</t>
    <phoneticPr fontId="4"/>
  </si>
  <si>
    <t>古川　博庸</t>
    <rPh sb="0" eb="2">
      <t>フルカワ</t>
    </rPh>
    <rPh sb="3" eb="4">
      <t>ヒロ</t>
    </rPh>
    <rPh sb="4" eb="5">
      <t>ヨウ</t>
    </rPh>
    <phoneticPr fontId="4"/>
  </si>
  <si>
    <t>スパイク</t>
    <phoneticPr fontId="4"/>
  </si>
  <si>
    <t>矢倉　得正</t>
    <rPh sb="0" eb="2">
      <t>ヤグラ</t>
    </rPh>
    <rPh sb="3" eb="5">
      <t>トクマサ</t>
    </rPh>
    <phoneticPr fontId="4"/>
  </si>
  <si>
    <t>Golf Pride tour velvet PLUS4 スタンダード　無</t>
    <rPh sb="36" eb="37">
      <t>ナシ</t>
    </rPh>
    <phoneticPr fontId="4"/>
  </si>
  <si>
    <t>北川　雄貴</t>
    <rPh sb="0" eb="2">
      <t>キタガワ</t>
    </rPh>
    <rPh sb="3" eb="5">
      <t>ユウキ</t>
    </rPh>
    <phoneticPr fontId="4"/>
  </si>
  <si>
    <t>土山　珠季</t>
    <rPh sb="0" eb="2">
      <t>ツチヤマ</t>
    </rPh>
    <rPh sb="3" eb="4">
      <t>タマ</t>
    </rPh>
    <rPh sb="4" eb="5">
      <t>キ</t>
    </rPh>
    <phoneticPr fontId="4"/>
  </si>
  <si>
    <t>ビジター(会員家族)</t>
    <rPh sb="5" eb="9">
      <t>カイインカゾク</t>
    </rPh>
    <phoneticPr fontId="4"/>
  </si>
  <si>
    <t>宇都宮　真生</t>
    <rPh sb="0" eb="3">
      <t>ウツノミヤ</t>
    </rPh>
    <rPh sb="4" eb="5">
      <t>マ</t>
    </rPh>
    <rPh sb="5" eb="6">
      <t>セイ</t>
    </rPh>
    <phoneticPr fontId="4"/>
  </si>
  <si>
    <t>川西　悠汰</t>
    <rPh sb="0" eb="2">
      <t>カワニシ</t>
    </rPh>
    <rPh sb="4" eb="5">
      <t>タ</t>
    </rPh>
    <phoneticPr fontId="4"/>
  </si>
  <si>
    <t>Pro V1</t>
    <phoneticPr fontId="4"/>
  </si>
  <si>
    <t>ライト→マスター移行 差額</t>
    <rPh sb="8" eb="10">
      <t>イコウ</t>
    </rPh>
    <rPh sb="11" eb="13">
      <t>サガク</t>
    </rPh>
    <phoneticPr fontId="4"/>
  </si>
  <si>
    <t>川西　勝</t>
    <rPh sb="0" eb="2">
      <t>カワニシ</t>
    </rPh>
    <rPh sb="3" eb="4">
      <t>マサル</t>
    </rPh>
    <phoneticPr fontId="4"/>
  </si>
  <si>
    <t>ZERO FIT 24cm 左</t>
    <rPh sb="14" eb="15">
      <t>ヒダリ</t>
    </rPh>
    <phoneticPr fontId="4"/>
  </si>
  <si>
    <t>武井　文子</t>
    <rPh sb="0" eb="2">
      <t>タケイ</t>
    </rPh>
    <rPh sb="3" eb="5">
      <t>フミコ</t>
    </rPh>
    <phoneticPr fontId="4"/>
  </si>
  <si>
    <t>古川　武志</t>
    <rPh sb="0" eb="2">
      <t>フルカワ</t>
    </rPh>
    <rPh sb="3" eb="4">
      <t>タケシ</t>
    </rPh>
    <rPh sb="4" eb="5">
      <t>ココロ</t>
    </rPh>
    <phoneticPr fontId="4"/>
  </si>
  <si>
    <t>土山　慶子</t>
    <rPh sb="0" eb="2">
      <t>ツチヤマ</t>
    </rPh>
    <rPh sb="3" eb="5">
      <t>ケイコ</t>
    </rPh>
    <phoneticPr fontId="4"/>
  </si>
  <si>
    <t>ZERO FIT 20cm 左</t>
    <rPh sb="14" eb="15">
      <t>ヒダリ</t>
    </rPh>
    <phoneticPr fontId="4"/>
  </si>
  <si>
    <t>ZERO FIT 20cm 右</t>
    <rPh sb="14" eb="15">
      <t>ミギ</t>
    </rPh>
    <phoneticPr fontId="4"/>
  </si>
  <si>
    <t>tour B JGR ピンク</t>
    <phoneticPr fontId="4"/>
  </si>
  <si>
    <t>休会 事務手数料 2ヶ月分</t>
    <rPh sb="11" eb="13">
      <t>ゲツブン</t>
    </rPh>
    <phoneticPr fontId="4"/>
  </si>
  <si>
    <t>播磨　久美子</t>
    <rPh sb="0" eb="2">
      <t>ハリマ</t>
    </rPh>
    <rPh sb="3" eb="6">
      <t>クミコ</t>
    </rPh>
    <phoneticPr fontId="4"/>
  </si>
  <si>
    <t>レギュラー→マスター移行 差額 6月分</t>
    <rPh sb="10" eb="12">
      <t>イコウ</t>
    </rPh>
    <rPh sb="13" eb="15">
      <t>サガク</t>
    </rPh>
    <rPh sb="17" eb="19">
      <t>ガツブン</t>
    </rPh>
    <phoneticPr fontId="4"/>
  </si>
  <si>
    <t>レギュラー→マスター移行 差額 7月分</t>
    <rPh sb="10" eb="12">
      <t>イコウ</t>
    </rPh>
    <rPh sb="13" eb="15">
      <t>サガク</t>
    </rPh>
    <rPh sb="17" eb="19">
      <t>ガツブン</t>
    </rPh>
    <phoneticPr fontId="4"/>
  </si>
  <si>
    <t>55分（プロ価格）</t>
    <rPh sb="2" eb="3">
      <t>フン</t>
    </rPh>
    <rPh sb="6" eb="8">
      <t>カカク</t>
    </rPh>
    <phoneticPr fontId="4"/>
  </si>
  <si>
    <t>フジクラ DR VENTUS TR BK 6S</t>
    <phoneticPr fontId="4"/>
  </si>
  <si>
    <t>iomic sticky opus black 1.8 ピンク</t>
    <phoneticPr fontId="4"/>
  </si>
  <si>
    <t>(2022/11/20) 割引価格間違い。6月25日に追加差額分頂いています</t>
    <rPh sb="13" eb="17">
      <t>ワリビキカカク</t>
    </rPh>
    <rPh sb="17" eb="19">
      <t>マチガ</t>
    </rPh>
    <rPh sb="22" eb="23">
      <t>ガツ</t>
    </rPh>
    <rPh sb="25" eb="26">
      <t>ニチ</t>
    </rPh>
    <rPh sb="27" eb="29">
      <t>ツイカ</t>
    </rPh>
    <rPh sb="29" eb="32">
      <t>サガクブン</t>
    </rPh>
    <rPh sb="32" eb="33">
      <t>イタダ</t>
    </rPh>
    <phoneticPr fontId="4"/>
  </si>
  <si>
    <t>奥田　健介</t>
    <rPh sb="0" eb="2">
      <t>オクダ</t>
    </rPh>
    <rPh sb="3" eb="5">
      <t>ケンスケ</t>
    </rPh>
    <phoneticPr fontId="4"/>
  </si>
  <si>
    <t>レギュラー0.75か月(再入会)</t>
    <rPh sb="12" eb="15">
      <t>サイニュウカイ</t>
    </rPh>
    <phoneticPr fontId="4"/>
  </si>
  <si>
    <t>tour bxs ホワイト</t>
    <phoneticPr fontId="4"/>
  </si>
  <si>
    <t>エリート Y360S XT マリンブルー有</t>
    <rPh sb="20" eb="21">
      <t>アリ</t>
    </rPh>
    <phoneticPr fontId="4"/>
  </si>
  <si>
    <t>西條　伸一郎</t>
    <rPh sb="0" eb="2">
      <t>サイジョウ</t>
    </rPh>
    <rPh sb="3" eb="6">
      <t>シンイチロウ</t>
    </rPh>
    <phoneticPr fontId="4"/>
  </si>
  <si>
    <t>岩見　美樹</t>
    <rPh sb="0" eb="2">
      <t>イワミ</t>
    </rPh>
    <rPh sb="3" eb="5">
      <t>ミキ</t>
    </rPh>
    <phoneticPr fontId="4"/>
  </si>
  <si>
    <t>TEE</t>
    <phoneticPr fontId="4"/>
  </si>
  <si>
    <t>tour tee MIXカラー</t>
    <phoneticPr fontId="4"/>
  </si>
  <si>
    <t>CADERO 2×2pentagon ホワイト×ブルー有</t>
    <rPh sb="27" eb="28">
      <t>アリ</t>
    </rPh>
    <phoneticPr fontId="4"/>
  </si>
  <si>
    <t>MCIプラクティスアイアン(パープル)</t>
    <phoneticPr fontId="4"/>
  </si>
  <si>
    <t>iomic sticky evolution2.3 コーラルレッド無</t>
    <rPh sb="33" eb="34">
      <t>ナシ</t>
    </rPh>
    <phoneticPr fontId="4"/>
  </si>
  <si>
    <t>フィッティング料追加</t>
    <rPh sb="7" eb="8">
      <t>リョウ</t>
    </rPh>
    <rPh sb="8" eb="10">
      <t>ツイカ</t>
    </rPh>
    <phoneticPr fontId="4"/>
  </si>
  <si>
    <t>6月23日分</t>
    <rPh sb="1" eb="2">
      <t>ガツ</t>
    </rPh>
    <rPh sb="4" eb="6">
      <t>ニチブン</t>
    </rPh>
    <phoneticPr fontId="4"/>
  </si>
  <si>
    <t>若原　康正</t>
    <rPh sb="0" eb="2">
      <t>ワカハラ</t>
    </rPh>
    <rPh sb="3" eb="5">
      <t>ヤスマサ</t>
    </rPh>
    <phoneticPr fontId="4"/>
  </si>
  <si>
    <t>フジクラ DR AIR SPEEDER PLUS 白</t>
    <rPh sb="25" eb="26">
      <t>シロ</t>
    </rPh>
    <phoneticPr fontId="4"/>
  </si>
  <si>
    <t>iomic sticky evolution2.3 ブルー無</t>
    <rPh sb="29" eb="30">
      <t>ナシ</t>
    </rPh>
    <phoneticPr fontId="4"/>
  </si>
  <si>
    <t>キャロウェイ</t>
    <phoneticPr fontId="4"/>
  </si>
  <si>
    <t>山本　滋也</t>
    <rPh sb="0" eb="2">
      <t>ヤマモト</t>
    </rPh>
    <rPh sb="3" eb="5">
      <t>シゲナリ</t>
    </rPh>
    <phoneticPr fontId="4"/>
  </si>
  <si>
    <t>フジクラ DR SPEEDER NX 40 SR</t>
    <phoneticPr fontId="4"/>
  </si>
  <si>
    <t>iomic sticky evolution2.3 ブルー有</t>
    <rPh sb="29" eb="30">
      <t>アリ</t>
    </rPh>
    <phoneticPr fontId="4"/>
  </si>
  <si>
    <t>iomic sticky ultra light 1.0ﾐﾙｷｰﾋﾟﾝｸ有</t>
    <rPh sb="36" eb="37">
      <t>アリ</t>
    </rPh>
    <phoneticPr fontId="4"/>
  </si>
  <si>
    <t>シンカグラファイト UT LOOP SHAFT FOR HYBRID 70S</t>
    <phoneticPr fontId="4"/>
  </si>
  <si>
    <t>再来(2023/1/7)</t>
    <rPh sb="0" eb="2">
      <t>サイライ</t>
    </rPh>
    <phoneticPr fontId="4"/>
  </si>
  <si>
    <t>櫻井常務お知り合い</t>
    <rPh sb="0" eb="4">
      <t>サクライジョウム</t>
    </rPh>
    <rPh sb="5" eb="6">
      <t>シ</t>
    </rPh>
    <rPh sb="7" eb="8">
      <t>ア</t>
    </rPh>
    <phoneticPr fontId="4"/>
  </si>
  <si>
    <t>販売</t>
    <rPh sb="0" eb="2">
      <t>ハンバイ</t>
    </rPh>
    <phoneticPr fontId="4"/>
  </si>
  <si>
    <t>iomic sticky ultra light 1.0 ミルキーピンク 有</t>
    <rPh sb="37" eb="38">
      <t>アリ</t>
    </rPh>
    <phoneticPr fontId="4"/>
  </si>
  <si>
    <t>金券\1,000　残り\633現金</t>
    <rPh sb="0" eb="2">
      <t>キンケン</t>
    </rPh>
    <rPh sb="9" eb="10">
      <t>ノコ</t>
    </rPh>
    <rPh sb="15" eb="17">
      <t>ゲンキン</t>
    </rPh>
    <phoneticPr fontId="4"/>
  </si>
  <si>
    <t>エリート X360 ラバーグリップ M58 有</t>
    <rPh sb="22" eb="23">
      <t>アリ</t>
    </rPh>
    <phoneticPr fontId="4"/>
  </si>
  <si>
    <t>現金</t>
    <rPh sb="0" eb="2">
      <t>ゲンキン</t>
    </rPh>
    <phoneticPr fontId="4"/>
  </si>
  <si>
    <t>レギュラー1か月</t>
  </si>
  <si>
    <t>販売</t>
    <rPh sb="0" eb="2">
      <t>ハンバイ</t>
    </rPh>
    <phoneticPr fontId="4"/>
  </si>
  <si>
    <t>ZERO FIT 25cm 左</t>
    <rPh sb="14" eb="15">
      <t>ヒダリ</t>
    </rPh>
    <phoneticPr fontId="4"/>
  </si>
  <si>
    <t>原田　真帆</t>
    <rPh sb="0" eb="2">
      <t>ハラダ</t>
    </rPh>
    <rPh sb="3" eb="5">
      <t>マホ</t>
    </rPh>
    <phoneticPr fontId="4"/>
  </si>
  <si>
    <t>シャフト</t>
    <phoneticPr fontId="4"/>
  </si>
  <si>
    <t>フジクラ DR PLATINUM SPEEDER 3R</t>
    <phoneticPr fontId="4"/>
  </si>
  <si>
    <t>キャロウェイ PARADYM DR 10.5°</t>
    <phoneticPr fontId="4"/>
  </si>
  <si>
    <t>グリップ</t>
    <phoneticPr fontId="4"/>
  </si>
  <si>
    <t>iomic sticky evolution 2.3ブルー有</t>
    <rPh sb="29" eb="30">
      <t>アリ</t>
    </rPh>
    <phoneticPr fontId="4"/>
  </si>
  <si>
    <t>再来(2020.2.26)</t>
    <rPh sb="0" eb="2">
      <t>サイライ</t>
    </rPh>
    <phoneticPr fontId="4"/>
  </si>
  <si>
    <t>大野　秀朋</t>
    <rPh sb="0" eb="2">
      <t>オオノ</t>
    </rPh>
    <rPh sb="3" eb="5">
      <t>ヒデトモ</t>
    </rPh>
    <phoneticPr fontId="4"/>
  </si>
  <si>
    <t>LA GOLF</t>
    <phoneticPr fontId="4"/>
  </si>
  <si>
    <t>現金</t>
    <rPh sb="0" eb="2">
      <t>ゲンキン</t>
    </rPh>
    <phoneticPr fontId="4"/>
  </si>
  <si>
    <t>駒月　智菜</t>
    <rPh sb="0" eb="1">
      <t>コマ</t>
    </rPh>
    <rPh sb="1" eb="2">
      <t>ツキ</t>
    </rPh>
    <rPh sb="3" eb="5">
      <t>チナ</t>
    </rPh>
    <phoneticPr fontId="4"/>
  </si>
  <si>
    <t>体験利用(LINEクーポン有)</t>
    <rPh sb="0" eb="4">
      <t>タイケンリヨウ</t>
    </rPh>
    <rPh sb="13" eb="14">
      <t>アリ</t>
    </rPh>
    <phoneticPr fontId="4"/>
  </si>
  <si>
    <t>三村　一雄</t>
    <rPh sb="0" eb="2">
      <t>ミムラ</t>
    </rPh>
    <rPh sb="3" eb="4">
      <t>イチ</t>
    </rPh>
    <rPh sb="4" eb="5">
      <t>ユウ</t>
    </rPh>
    <phoneticPr fontId="4"/>
  </si>
  <si>
    <t>社長お知り合い</t>
    <rPh sb="0" eb="2">
      <t>シャチョウ</t>
    </rPh>
    <rPh sb="3" eb="4">
      <t>シ</t>
    </rPh>
    <rPh sb="5" eb="6">
      <t>ア</t>
    </rPh>
    <phoneticPr fontId="4"/>
  </si>
  <si>
    <t>西山　泰弘</t>
    <rPh sb="0" eb="2">
      <t>ニシヤマ</t>
    </rPh>
    <rPh sb="3" eb="4">
      <t>ヤス</t>
    </rPh>
    <rPh sb="4" eb="5">
      <t>ヒロ</t>
    </rPh>
    <phoneticPr fontId="4"/>
  </si>
  <si>
    <t>フジクラ DR AIR SPEEDER X-PLUS 白</t>
    <rPh sb="27" eb="28">
      <t>シロ</t>
    </rPh>
    <phoneticPr fontId="4"/>
  </si>
  <si>
    <t>STM S-1 light midnight 有</t>
    <rPh sb="23" eb="24">
      <t>アリ</t>
    </rPh>
    <phoneticPr fontId="4"/>
  </si>
  <si>
    <t>マスター1か月</t>
    <phoneticPr fontId="4"/>
  </si>
  <si>
    <t>現金、金券</t>
    <rPh sb="0" eb="2">
      <t>ゲンキン</t>
    </rPh>
    <rPh sb="3" eb="5">
      <t>キンケン</t>
    </rPh>
    <phoneticPr fontId="4"/>
  </si>
  <si>
    <t>ヘッド</t>
    <phoneticPr fontId="4"/>
  </si>
  <si>
    <t>工賃</t>
    <rPh sb="0" eb="2">
      <t>コウチン</t>
    </rPh>
    <phoneticPr fontId="4"/>
  </si>
  <si>
    <t>振込</t>
    <rPh sb="0" eb="2">
      <t>フリコミ</t>
    </rPh>
    <phoneticPr fontId="4"/>
  </si>
  <si>
    <t>BALDO DRIVER SKY DRIVE</t>
    <phoneticPr fontId="4"/>
  </si>
  <si>
    <t>古賀　勉</t>
    <rPh sb="0" eb="2">
      <t>コガ</t>
    </rPh>
    <rPh sb="3" eb="4">
      <t>ツトム</t>
    </rPh>
    <phoneticPr fontId="4"/>
  </si>
  <si>
    <t>赤尾　泰司</t>
    <rPh sb="0" eb="2">
      <t>アカオ</t>
    </rPh>
    <rPh sb="3" eb="4">
      <t>タイ</t>
    </rPh>
    <rPh sb="4" eb="5">
      <t>ツカサ</t>
    </rPh>
    <phoneticPr fontId="4"/>
  </si>
  <si>
    <t>販売</t>
    <rPh sb="0" eb="2">
      <t>ハンバイ</t>
    </rPh>
    <phoneticPr fontId="4"/>
  </si>
  <si>
    <t>エリート 1SPEED</t>
    <phoneticPr fontId="4"/>
  </si>
  <si>
    <t>宮崎　樹里</t>
    <rPh sb="0" eb="2">
      <t>ミヤザキ</t>
    </rPh>
    <rPh sb="3" eb="5">
      <t>ジュリ</t>
    </rPh>
    <phoneticPr fontId="4"/>
  </si>
  <si>
    <t>現金</t>
    <rPh sb="0" eb="2">
      <t>ゲンキン</t>
    </rPh>
    <phoneticPr fontId="4"/>
  </si>
  <si>
    <t>S-1ブラック×アイボリー　(有)</t>
    <rPh sb="15" eb="16">
      <t>アリ</t>
    </rPh>
    <phoneticPr fontId="4"/>
  </si>
  <si>
    <t>レギュラー0.75か月</t>
    <phoneticPr fontId="4"/>
  </si>
  <si>
    <t>薮ノ　健次</t>
    <rPh sb="0" eb="1">
      <t>ヤブ</t>
    </rPh>
    <rPh sb="3" eb="5">
      <t>ケンジ</t>
    </rPh>
    <phoneticPr fontId="4"/>
  </si>
  <si>
    <t>REVE DR IMPACT BORON REVOLVER X</t>
    <phoneticPr fontId="4"/>
  </si>
  <si>
    <t>古川　志野</t>
    <rPh sb="0" eb="2">
      <t>フルカワ</t>
    </rPh>
    <rPh sb="3" eb="5">
      <t>シノ</t>
    </rPh>
    <phoneticPr fontId="4"/>
  </si>
  <si>
    <t>フジクラ FW DIAMOND SPEEDER SPD R2</t>
    <phoneticPr fontId="4"/>
  </si>
  <si>
    <t>CADERO 2×2 LADIES WH×G</t>
    <phoneticPr fontId="4"/>
  </si>
  <si>
    <t>今久保　真美</t>
    <rPh sb="0" eb="3">
      <t>イマクボ</t>
    </rPh>
    <rPh sb="4" eb="6">
      <t>マミ</t>
    </rPh>
    <phoneticPr fontId="4"/>
  </si>
  <si>
    <t>上岡　知美</t>
    <rPh sb="0" eb="2">
      <t>ウエオカ</t>
    </rPh>
    <rPh sb="3" eb="5">
      <t>トモミ</t>
    </rPh>
    <phoneticPr fontId="4"/>
  </si>
  <si>
    <t>タイトリスト pro V1</t>
    <phoneticPr fontId="4"/>
  </si>
  <si>
    <t>7月 月会費 差額</t>
    <rPh sb="1" eb="2">
      <t>ガツ</t>
    </rPh>
    <rPh sb="3" eb="6">
      <t>ツキカイヒ</t>
    </rPh>
    <rPh sb="7" eb="9">
      <t>サガク</t>
    </rPh>
    <phoneticPr fontId="4"/>
  </si>
  <si>
    <t>柳井　祥吾</t>
    <rPh sb="0" eb="2">
      <t>ヤナイ</t>
    </rPh>
    <rPh sb="3" eb="4">
      <t>ショウ</t>
    </rPh>
    <rPh sb="4" eb="5">
      <t>ゴ</t>
    </rPh>
    <phoneticPr fontId="4"/>
  </si>
  <si>
    <t>フィッティング料</t>
    <rPh sb="7" eb="8">
      <t>リョウ</t>
    </rPh>
    <phoneticPr fontId="4"/>
  </si>
  <si>
    <t>現金</t>
    <rPh sb="0" eb="2">
      <t>ゲンキン</t>
    </rPh>
    <phoneticPr fontId="4"/>
  </si>
  <si>
    <t>岡野　陽子</t>
    <rPh sb="0" eb="2">
      <t>オカノ</t>
    </rPh>
    <rPh sb="3" eb="5">
      <t>ヨウコ</t>
    </rPh>
    <phoneticPr fontId="4"/>
  </si>
  <si>
    <t>販売</t>
    <rPh sb="0" eb="2">
      <t>ハンバイ</t>
    </rPh>
    <phoneticPr fontId="4"/>
  </si>
  <si>
    <t>あかねちゃん</t>
    <phoneticPr fontId="4"/>
  </si>
  <si>
    <t>オニヤンマ君</t>
    <rPh sb="5" eb="6">
      <t>クン</t>
    </rPh>
    <phoneticPr fontId="4"/>
  </si>
  <si>
    <t>山口　義典</t>
    <rPh sb="0" eb="2">
      <t>ヤマグチ</t>
    </rPh>
    <rPh sb="3" eb="4">
      <t>ヨシ</t>
    </rPh>
    <rPh sb="4" eb="5">
      <t>ノリ</t>
    </rPh>
    <phoneticPr fontId="4"/>
  </si>
  <si>
    <t>販売</t>
    <rPh sb="0" eb="2">
      <t>ハンバイ</t>
    </rPh>
    <phoneticPr fontId="4"/>
  </si>
  <si>
    <t>iomic sticky evolution2.3 有 ブルー</t>
    <rPh sb="26" eb="27">
      <t>アリ</t>
    </rPh>
    <phoneticPr fontId="4"/>
  </si>
  <si>
    <t>現金</t>
    <rPh sb="0" eb="2">
      <t>ゲンキン</t>
    </rPh>
    <phoneticPr fontId="4"/>
  </si>
  <si>
    <t>CADERO 2×2 PENTAGON スター ホワイト×レッド 有</t>
    <rPh sb="33" eb="34">
      <t>アリ</t>
    </rPh>
    <phoneticPr fontId="4"/>
  </si>
  <si>
    <t>ブリヂストン tour b xs</t>
    <phoneticPr fontId="4"/>
  </si>
  <si>
    <t>奥村　徳之</t>
    <rPh sb="0" eb="2">
      <t>オクムラ</t>
    </rPh>
    <rPh sb="3" eb="5">
      <t>トクユキ</t>
    </rPh>
    <phoneticPr fontId="4"/>
  </si>
  <si>
    <t>LINEクーポン500円引</t>
    <rPh sb="11" eb="12">
      <t>エン</t>
    </rPh>
    <rPh sb="12" eb="13">
      <t>イン</t>
    </rPh>
    <phoneticPr fontId="4"/>
  </si>
  <si>
    <t>藤原　裕</t>
    <rPh sb="0" eb="2">
      <t>フジワラ</t>
    </rPh>
    <rPh sb="3" eb="4">
      <t>ユタカ</t>
    </rPh>
    <phoneticPr fontId="4"/>
  </si>
  <si>
    <t>レギュラー0.75か月</t>
    <phoneticPr fontId="4"/>
  </si>
  <si>
    <t>中村　均</t>
    <rPh sb="0" eb="2">
      <t>ナカムラ</t>
    </rPh>
    <rPh sb="3" eb="4">
      <t>ヒトシ</t>
    </rPh>
    <phoneticPr fontId="4"/>
  </si>
  <si>
    <t>グリップ</t>
    <phoneticPr fontId="4"/>
  </si>
  <si>
    <t>perfect pro X-HOLD BLACK HALF CORD有 ブルー</t>
    <rPh sb="34" eb="35">
      <t>アリ</t>
    </rPh>
    <phoneticPr fontId="4"/>
  </si>
  <si>
    <t>小栗山　麻三希</t>
    <rPh sb="0" eb="3">
      <t>オグリヤマ</t>
    </rPh>
    <rPh sb="4" eb="5">
      <t>マ</t>
    </rPh>
    <rPh sb="5" eb="6">
      <t>サン</t>
    </rPh>
    <rPh sb="6" eb="7">
      <t>ノゾミ</t>
    </rPh>
    <phoneticPr fontId="4"/>
  </si>
  <si>
    <t>岩見　美樹</t>
    <rPh sb="0" eb="2">
      <t>イワミ</t>
    </rPh>
    <rPh sb="3" eb="5">
      <t>ミキ</t>
    </rPh>
    <phoneticPr fontId="4"/>
  </si>
  <si>
    <t>タイトリスト pro V1x イエロー</t>
    <phoneticPr fontId="4"/>
  </si>
  <si>
    <t>三ツ矢　雅俊</t>
    <rPh sb="0" eb="1">
      <t>ミ</t>
    </rPh>
    <rPh sb="2" eb="3">
      <t>ヤ</t>
    </rPh>
    <rPh sb="4" eb="6">
      <t>マサトシ</t>
    </rPh>
    <phoneticPr fontId="4"/>
  </si>
  <si>
    <t>現金</t>
    <rPh sb="0" eb="2">
      <t>ゲンキン</t>
    </rPh>
    <phoneticPr fontId="4"/>
  </si>
  <si>
    <t>室星　直嗣</t>
    <rPh sb="0" eb="2">
      <t>ムロホシ</t>
    </rPh>
    <rPh sb="3" eb="5">
      <t>ナオツグ</t>
    </rPh>
    <phoneticPr fontId="4"/>
  </si>
  <si>
    <t>北畠　隆博</t>
    <rPh sb="0" eb="2">
      <t>キタバタケ</t>
    </rPh>
    <rPh sb="3" eb="4">
      <t>リュウ</t>
    </rPh>
    <rPh sb="4" eb="5">
      <t>ヒロ</t>
    </rPh>
    <phoneticPr fontId="4"/>
  </si>
  <si>
    <t>レギュラー1か月</t>
    <phoneticPr fontId="4"/>
  </si>
  <si>
    <t>レギュラー0.5か月</t>
    <phoneticPr fontId="4"/>
  </si>
  <si>
    <t>再入会</t>
    <rPh sb="0" eb="3">
      <t>サイニュウカイ</t>
    </rPh>
    <phoneticPr fontId="4"/>
  </si>
  <si>
    <t>平松　孝太郎</t>
    <rPh sb="0" eb="2">
      <t>ヒラマツ</t>
    </rPh>
    <rPh sb="3" eb="6">
      <t>コウタロウ</t>
    </rPh>
    <phoneticPr fontId="4"/>
  </si>
  <si>
    <t>練習チケット　11枚</t>
    <rPh sb="0" eb="2">
      <t>レンシュウ</t>
    </rPh>
    <phoneticPr fontId="4"/>
  </si>
  <si>
    <t>岩見　貴敏</t>
    <rPh sb="0" eb="2">
      <t>イワミ</t>
    </rPh>
    <rPh sb="3" eb="5">
      <t>タカトシ</t>
    </rPh>
    <phoneticPr fontId="4"/>
  </si>
  <si>
    <t>販売</t>
    <rPh sb="0" eb="2">
      <t>ハンバイ</t>
    </rPh>
    <phoneticPr fontId="4"/>
  </si>
  <si>
    <t>ZERO FIT 19cm 右</t>
    <rPh sb="14" eb="15">
      <t>ミギ</t>
    </rPh>
    <phoneticPr fontId="4"/>
  </si>
  <si>
    <t>日本シャフト IR NSモーダス3 S-120 #4 40</t>
    <rPh sb="0" eb="2">
      <t>ニホン</t>
    </rPh>
    <phoneticPr fontId="4"/>
  </si>
  <si>
    <t>佐々木　知巳</t>
    <rPh sb="0" eb="3">
      <t>ササキ</t>
    </rPh>
    <rPh sb="4" eb="6">
      <t>トモミ</t>
    </rPh>
    <phoneticPr fontId="4"/>
  </si>
  <si>
    <t>田中　維知子</t>
    <rPh sb="0" eb="2">
      <t>タナカ</t>
    </rPh>
    <rPh sb="3" eb="4">
      <t>イ</t>
    </rPh>
    <rPh sb="4" eb="6">
      <t>サトコ</t>
    </rPh>
    <phoneticPr fontId="4"/>
  </si>
  <si>
    <t>COBRA RAD SPEED 5W 試打現品</t>
    <rPh sb="19" eb="21">
      <t>シダ</t>
    </rPh>
    <rPh sb="21" eb="23">
      <t>ゲンピン</t>
    </rPh>
    <phoneticPr fontId="4"/>
  </si>
  <si>
    <t>COBRA</t>
    <phoneticPr fontId="4"/>
  </si>
  <si>
    <t>ウェイト</t>
    <phoneticPr fontId="4"/>
  </si>
  <si>
    <t>PING G430 14g</t>
    <phoneticPr fontId="4"/>
  </si>
  <si>
    <t>タイトリスト proV1x 白</t>
    <rPh sb="14" eb="15">
      <t>シロ</t>
    </rPh>
    <phoneticPr fontId="4"/>
  </si>
  <si>
    <t>タイトリスト proV1x 黄</t>
    <rPh sb="14" eb="15">
      <t>キ</t>
    </rPh>
    <phoneticPr fontId="4"/>
  </si>
  <si>
    <t>高岡　克史</t>
    <rPh sb="0" eb="2">
      <t>タカオカ</t>
    </rPh>
    <rPh sb="3" eb="4">
      <t>カツ</t>
    </rPh>
    <rPh sb="4" eb="5">
      <t>フミ</t>
    </rPh>
    <phoneticPr fontId="4"/>
  </si>
  <si>
    <t>マスター0.25か月</t>
  </si>
  <si>
    <t>マスター0.25か月</t>
    <phoneticPr fontId="4"/>
  </si>
  <si>
    <t>マスター1か月</t>
  </si>
  <si>
    <t>マスター1か月</t>
    <phoneticPr fontId="4"/>
  </si>
  <si>
    <t>小野　雅也</t>
    <rPh sb="0" eb="2">
      <t>オノ</t>
    </rPh>
    <rPh sb="3" eb="5">
      <t>マサヤ</t>
    </rPh>
    <phoneticPr fontId="4"/>
  </si>
  <si>
    <t>マスター0.25か月 家族割</t>
    <rPh sb="11" eb="14">
      <t>カゾクワリ</t>
    </rPh>
    <phoneticPr fontId="4"/>
  </si>
  <si>
    <t>マスター1か月 家族割</t>
    <rPh sb="8" eb="11">
      <t>カゾクワリ</t>
    </rPh>
    <phoneticPr fontId="4"/>
  </si>
  <si>
    <t>tm043小野知佳子様の分も一緒にお支払い</t>
    <rPh sb="5" eb="7">
      <t>オノ</t>
    </rPh>
    <rPh sb="7" eb="8">
      <t>シ</t>
    </rPh>
    <rPh sb="9" eb="10">
      <t>コ</t>
    </rPh>
    <rPh sb="10" eb="11">
      <t>サマ</t>
    </rPh>
    <rPh sb="12" eb="13">
      <t>ブン</t>
    </rPh>
    <rPh sb="14" eb="16">
      <t>イッショ</t>
    </rPh>
    <rPh sb="18" eb="20">
      <t>シハラ</t>
    </rPh>
    <phoneticPr fontId="4"/>
  </si>
  <si>
    <t>寺坂　雄翔</t>
    <rPh sb="0" eb="2">
      <t>テラサカ</t>
    </rPh>
    <rPh sb="3" eb="4">
      <t>オス</t>
    </rPh>
    <rPh sb="4" eb="5">
      <t>ショウ</t>
    </rPh>
    <phoneticPr fontId="4"/>
  </si>
  <si>
    <t>山田　正樹</t>
    <rPh sb="0" eb="2">
      <t>ヤマダ</t>
    </rPh>
    <rPh sb="3" eb="5">
      <t>マサキ</t>
    </rPh>
    <phoneticPr fontId="4"/>
  </si>
  <si>
    <t>レッスンチケット　1枚</t>
    <phoneticPr fontId="4"/>
  </si>
  <si>
    <t>レギュラー0.25か月</t>
    <phoneticPr fontId="4"/>
  </si>
  <si>
    <t>纐纈　欣樹</t>
    <rPh sb="0" eb="2">
      <t>コウケツ</t>
    </rPh>
    <phoneticPr fontId="4"/>
  </si>
  <si>
    <t>販売</t>
    <rPh sb="0" eb="2">
      <t>ハンバイ</t>
    </rPh>
    <phoneticPr fontId="4"/>
  </si>
  <si>
    <t>GOL トレ</t>
    <phoneticPr fontId="4"/>
  </si>
  <si>
    <t>岡川　幸司</t>
    <rPh sb="0" eb="2">
      <t>オカガワ</t>
    </rPh>
    <rPh sb="3" eb="5">
      <t>コウジ</t>
    </rPh>
    <phoneticPr fontId="4"/>
  </si>
  <si>
    <t>戸川　順次</t>
    <rPh sb="0" eb="2">
      <t>トガワ</t>
    </rPh>
    <rPh sb="3" eb="5">
      <t>ジュンジ</t>
    </rPh>
    <phoneticPr fontId="4"/>
  </si>
  <si>
    <t>タイトリスト proV1 黄</t>
    <rPh sb="13" eb="14">
      <t>キ</t>
    </rPh>
    <phoneticPr fontId="4"/>
  </si>
  <si>
    <t>タイトリスト proV1x 黄</t>
    <rPh sb="14" eb="15">
      <t>キ</t>
    </rPh>
    <phoneticPr fontId="4"/>
  </si>
  <si>
    <t>iomic ix touch オレンジ</t>
    <phoneticPr fontId="4"/>
  </si>
  <si>
    <t>現金</t>
    <rPh sb="0" eb="2">
      <t>ゲンキン</t>
    </rPh>
    <phoneticPr fontId="4"/>
  </si>
  <si>
    <t>山中　良夫</t>
    <rPh sb="0" eb="2">
      <t>ヤマナカ</t>
    </rPh>
    <rPh sb="3" eb="4">
      <t>ヨ</t>
    </rPh>
    <rPh sb="4" eb="5">
      <t>オット</t>
    </rPh>
    <phoneticPr fontId="4"/>
  </si>
  <si>
    <t>フジクラ DR AIR SPEEDER PLUS 白</t>
    <rPh sb="25" eb="26">
      <t>シロ</t>
    </rPh>
    <phoneticPr fontId="4"/>
  </si>
  <si>
    <t>BALDO 568 DRIVER HEAD SHALLOW</t>
    <phoneticPr fontId="4"/>
  </si>
  <si>
    <t>sticky evolution 2.3 有</t>
    <rPh sb="21" eb="22">
      <t>アリ</t>
    </rPh>
    <phoneticPr fontId="4"/>
  </si>
  <si>
    <t>Airレジでは「会員家族」となってますが、正しくは「体験利用」</t>
    <rPh sb="8" eb="12">
      <t>カイインカゾク</t>
    </rPh>
    <rPh sb="21" eb="22">
      <t>タダ</t>
    </rPh>
    <rPh sb="26" eb="30">
      <t>タイケンリヨウ</t>
    </rPh>
    <phoneticPr fontId="4"/>
  </si>
  <si>
    <t>BALDO</t>
    <phoneticPr fontId="4"/>
  </si>
  <si>
    <t>ヘッドカバー</t>
    <phoneticPr fontId="4"/>
  </si>
  <si>
    <t>BALDO FW</t>
    <phoneticPr fontId="4"/>
  </si>
  <si>
    <t>山口　昭人</t>
    <rPh sb="0" eb="2">
      <t>ヤマグチ</t>
    </rPh>
    <rPh sb="3" eb="5">
      <t>アキト</t>
    </rPh>
    <phoneticPr fontId="4"/>
  </si>
  <si>
    <t>古川　志野</t>
    <rPh sb="0" eb="2">
      <t>フルカワ</t>
    </rPh>
    <rPh sb="3" eb="5">
      <t>シノ</t>
    </rPh>
    <phoneticPr fontId="4"/>
  </si>
  <si>
    <t>ZERO FIT 19cm 左 白</t>
    <rPh sb="14" eb="15">
      <t>ヒダリ</t>
    </rPh>
    <rPh sb="16" eb="17">
      <t>シロ</t>
    </rPh>
    <phoneticPr fontId="4"/>
  </si>
  <si>
    <t>松井　友美</t>
    <rPh sb="0" eb="2">
      <t>マツイ</t>
    </rPh>
    <rPh sb="3" eb="5">
      <t>トモミ</t>
    </rPh>
    <phoneticPr fontId="4"/>
  </si>
  <si>
    <t>工賃</t>
    <rPh sb="0" eb="2">
      <t>コウチン</t>
    </rPh>
    <phoneticPr fontId="4"/>
  </si>
  <si>
    <t>持込</t>
    <rPh sb="0" eb="2">
      <t>モチコミ</t>
    </rPh>
    <phoneticPr fontId="4"/>
  </si>
  <si>
    <t>スリーブ外し</t>
    <rPh sb="4" eb="5">
      <t>ハズ</t>
    </rPh>
    <phoneticPr fontId="4"/>
  </si>
  <si>
    <t>浮田　美樹子</t>
    <rPh sb="0" eb="2">
      <t>ウキタ</t>
    </rPh>
    <rPh sb="3" eb="6">
      <t>ミキコ</t>
    </rPh>
    <phoneticPr fontId="4"/>
  </si>
  <si>
    <t>岩見　貴敏</t>
    <rPh sb="0" eb="2">
      <t>イワミ</t>
    </rPh>
    <rPh sb="3" eb="4">
      <t>キ</t>
    </rPh>
    <rPh sb="4" eb="5">
      <t>トシ</t>
    </rPh>
    <phoneticPr fontId="4"/>
  </si>
  <si>
    <t>練習チケット　11枚</t>
    <rPh sb="0" eb="2">
      <t>レンシュウ</t>
    </rPh>
    <phoneticPr fontId="4"/>
  </si>
  <si>
    <t>チケット制1か月</t>
    <rPh sb="4" eb="5">
      <t>セイ</t>
    </rPh>
    <phoneticPr fontId="4"/>
  </si>
  <si>
    <t>西山　権一</t>
    <rPh sb="0" eb="2">
      <t>ニシヤマ</t>
    </rPh>
    <rPh sb="3" eb="5">
      <t>ケンイチ</t>
    </rPh>
    <phoneticPr fontId="4"/>
  </si>
  <si>
    <t>タイトリスト proV1 白</t>
    <rPh sb="13" eb="14">
      <t>シロ</t>
    </rPh>
    <phoneticPr fontId="4"/>
  </si>
  <si>
    <t>八木　純平</t>
    <rPh sb="0" eb="2">
      <t>ヤギ</t>
    </rPh>
    <rPh sb="3" eb="5">
      <t>ジュンペイ</t>
    </rPh>
    <phoneticPr fontId="4"/>
  </si>
  <si>
    <t>藤田プロ</t>
    <rPh sb="0" eb="2">
      <t>フジタ</t>
    </rPh>
    <phoneticPr fontId="4"/>
  </si>
  <si>
    <t>販売</t>
    <rPh sb="0" eb="2">
      <t>ハンバイ</t>
    </rPh>
    <phoneticPr fontId="4"/>
  </si>
  <si>
    <t>ソケット</t>
    <phoneticPr fontId="4"/>
  </si>
  <si>
    <t>IA-13</t>
    <phoneticPr fontId="4"/>
  </si>
  <si>
    <t>現金</t>
    <rPh sb="0" eb="2">
      <t>ゲンキン</t>
    </rPh>
    <phoneticPr fontId="4"/>
  </si>
  <si>
    <t>井上</t>
    <rPh sb="0" eb="2">
      <t>イノウエ</t>
    </rPh>
    <phoneticPr fontId="4"/>
  </si>
  <si>
    <t>tc012(株)トガワ</t>
    <rPh sb="5" eb="8">
      <t>カブシキガイシャ</t>
    </rPh>
    <phoneticPr fontId="4"/>
  </si>
  <si>
    <t>川村　恒康</t>
    <rPh sb="0" eb="2">
      <t>カワムラ</t>
    </rPh>
    <rPh sb="3" eb="5">
      <t>ツネヤス</t>
    </rPh>
    <phoneticPr fontId="4"/>
  </si>
  <si>
    <t>澤田　貴広</t>
    <rPh sb="0" eb="2">
      <t>サワダ</t>
    </rPh>
    <rPh sb="3" eb="5">
      <t>タカヒロ</t>
    </rPh>
    <phoneticPr fontId="4"/>
  </si>
  <si>
    <t>AIR SPEEDER FW PLUS 白</t>
    <rPh sb="20" eb="21">
      <t>シロ</t>
    </rPh>
    <phoneticPr fontId="4"/>
  </si>
  <si>
    <t>ヘッド</t>
    <phoneticPr fontId="4"/>
  </si>
  <si>
    <t>BALDO CORSA FW 3W</t>
    <phoneticPr fontId="4"/>
  </si>
  <si>
    <t>BALDO FW</t>
    <phoneticPr fontId="4"/>
  </si>
  <si>
    <t>スリーブ</t>
    <phoneticPr fontId="4"/>
  </si>
  <si>
    <t>BALDO</t>
    <phoneticPr fontId="4"/>
  </si>
  <si>
    <t>7月23日分の返金</t>
    <rPh sb="1" eb="2">
      <t>ガツ</t>
    </rPh>
    <rPh sb="4" eb="5">
      <t>ニチ</t>
    </rPh>
    <rPh sb="5" eb="6">
      <t>ブン</t>
    </rPh>
    <rPh sb="7" eb="9">
      <t>ヘンキン</t>
    </rPh>
    <phoneticPr fontId="4"/>
  </si>
  <si>
    <t>松田　博文</t>
    <rPh sb="0" eb="2">
      <t>マツダ</t>
    </rPh>
    <rPh sb="3" eb="5">
      <t>ヒロフミ</t>
    </rPh>
    <phoneticPr fontId="4"/>
  </si>
  <si>
    <t>高村　堅二</t>
    <rPh sb="0" eb="2">
      <t>タカムラ</t>
    </rPh>
    <rPh sb="3" eb="5">
      <t>ケンジ</t>
    </rPh>
    <phoneticPr fontId="4"/>
  </si>
  <si>
    <t>岩見　真一郎</t>
    <rPh sb="0" eb="2">
      <t>イワミ</t>
    </rPh>
    <rPh sb="3" eb="6">
      <t>シンイチロウ</t>
    </rPh>
    <phoneticPr fontId="4"/>
  </si>
  <si>
    <t>販売</t>
    <rPh sb="0" eb="2">
      <t>ハンバイ</t>
    </rPh>
    <phoneticPr fontId="4"/>
  </si>
  <si>
    <t>ZERO FIT 左</t>
    <rPh sb="9" eb="10">
      <t>ヒダリ</t>
    </rPh>
    <phoneticPr fontId="4"/>
  </si>
  <si>
    <t>ティ</t>
    <phoneticPr fontId="4"/>
  </si>
  <si>
    <t>フジクラ DR DIAMOND SPEEDER SPD4 S</t>
    <phoneticPr fontId="4"/>
  </si>
  <si>
    <t>ヘッド</t>
    <phoneticPr fontId="4"/>
  </si>
  <si>
    <t>PARADYM X DR 10.5°</t>
    <phoneticPr fontId="4"/>
  </si>
  <si>
    <t>有尾　清二郎</t>
    <rPh sb="0" eb="2">
      <t>アリオ</t>
    </rPh>
    <rPh sb="3" eb="6">
      <t>セイジロウ</t>
    </rPh>
    <phoneticPr fontId="4"/>
  </si>
  <si>
    <t>CADERO 2×2 PENTAGONｽﾀｰ入り 有</t>
    <rPh sb="22" eb="23">
      <t>イ</t>
    </rPh>
    <rPh sb="25" eb="26">
      <t>アリ</t>
    </rPh>
    <phoneticPr fontId="4"/>
  </si>
  <si>
    <t>STM T-1 セミミッド 有</t>
    <rPh sb="14" eb="15">
      <t>アリ</t>
    </rPh>
    <phoneticPr fontId="4"/>
  </si>
  <si>
    <t>販売</t>
    <rPh sb="0" eb="2">
      <t>ハンバイ</t>
    </rPh>
    <phoneticPr fontId="4"/>
  </si>
  <si>
    <t>川原　博文</t>
    <rPh sb="0" eb="2">
      <t>カワハラ</t>
    </rPh>
    <rPh sb="3" eb="5">
      <t>ヒロフミ</t>
    </rPh>
    <phoneticPr fontId="4"/>
  </si>
  <si>
    <t>フジクラ DR AIR SPEEDER STANDARD 白</t>
    <rPh sb="29" eb="30">
      <t>シロ</t>
    </rPh>
    <phoneticPr fontId="4"/>
  </si>
  <si>
    <t>iomic sticky evolution1.8ブルー無</t>
    <rPh sb="28" eb="29">
      <t>ナシ</t>
    </rPh>
    <phoneticPr fontId="4"/>
  </si>
  <si>
    <t>現金</t>
    <rPh sb="0" eb="2">
      <t>ゲンキン</t>
    </rPh>
    <phoneticPr fontId="4"/>
  </si>
  <si>
    <t>堂丸　康一</t>
    <rPh sb="0" eb="1">
      <t>ドウ</t>
    </rPh>
    <rPh sb="1" eb="2">
      <t>マル</t>
    </rPh>
    <rPh sb="3" eb="5">
      <t>コウイチ</t>
    </rPh>
    <phoneticPr fontId="4"/>
  </si>
  <si>
    <t>iomic sticky OVER 3.5無 ブラック</t>
    <rPh sb="21" eb="22">
      <t>ナシ</t>
    </rPh>
    <phoneticPr fontId="4"/>
  </si>
  <si>
    <t>REVE DR IMPACT BORON REVOLVER S 黒</t>
    <rPh sb="32" eb="33">
      <t>クロ</t>
    </rPh>
    <phoneticPr fontId="4"/>
  </si>
  <si>
    <t>スリーブ</t>
    <phoneticPr fontId="4"/>
  </si>
  <si>
    <t>キャロウェイ</t>
    <phoneticPr fontId="4"/>
  </si>
  <si>
    <t>iomic sticky evolution2.3ブルー無</t>
    <rPh sb="28" eb="29">
      <t>ナシ</t>
    </rPh>
    <phoneticPr fontId="4"/>
  </si>
  <si>
    <t>野田　優綺</t>
    <rPh sb="0" eb="2">
      <t>ノダ</t>
    </rPh>
    <rPh sb="3" eb="4">
      <t>ヤサ</t>
    </rPh>
    <rPh sb="4" eb="5">
      <t>アヤ</t>
    </rPh>
    <phoneticPr fontId="4"/>
  </si>
  <si>
    <t>北川　雄貴</t>
    <rPh sb="0" eb="2">
      <t>キタガワ</t>
    </rPh>
    <rPh sb="3" eb="5">
      <t>ユウキ</t>
    </rPh>
    <phoneticPr fontId="4"/>
  </si>
  <si>
    <t>北川様がまとめてお支払い</t>
    <rPh sb="0" eb="3">
      <t>キタガワサマ</t>
    </rPh>
    <rPh sb="9" eb="11">
      <t>シハラ</t>
    </rPh>
    <phoneticPr fontId="4"/>
  </si>
  <si>
    <t>春山　智也</t>
    <rPh sb="0" eb="2">
      <t>ハルヤマ</t>
    </rPh>
    <rPh sb="3" eb="5">
      <t>トモヤ</t>
    </rPh>
    <phoneticPr fontId="4"/>
  </si>
  <si>
    <t>吉本　奈緒美</t>
    <rPh sb="0" eb="2">
      <t>ヨシモト</t>
    </rPh>
    <rPh sb="3" eb="6">
      <t>ナオミ</t>
    </rPh>
    <phoneticPr fontId="4"/>
  </si>
  <si>
    <t>金券</t>
    <rPh sb="0" eb="2">
      <t>キンケン</t>
    </rPh>
    <phoneticPr fontId="4"/>
  </si>
  <si>
    <t>フジクラ DR DIAMOND SPEEDER SPD3 SR</t>
    <phoneticPr fontId="4"/>
  </si>
  <si>
    <t>PING G430</t>
    <phoneticPr fontId="4"/>
  </si>
  <si>
    <t>グリップ</t>
    <phoneticPr fontId="4"/>
  </si>
  <si>
    <t>iomic sticky ultra light34</t>
    <phoneticPr fontId="4"/>
  </si>
  <si>
    <t>金券\50,000 残りAirペイ</t>
    <rPh sb="0" eb="2">
      <t>キンケン</t>
    </rPh>
    <rPh sb="10" eb="11">
      <t>ノコ</t>
    </rPh>
    <phoneticPr fontId="4"/>
  </si>
  <si>
    <t>レギュラー0.75か月</t>
    <phoneticPr fontId="4"/>
  </si>
  <si>
    <t>石田　駿</t>
    <rPh sb="0" eb="2">
      <t>イシダ</t>
    </rPh>
    <rPh sb="3" eb="4">
      <t>シュン</t>
    </rPh>
    <phoneticPr fontId="4"/>
  </si>
  <si>
    <t>ZERO FIT 23cm 左</t>
    <rPh sb="14" eb="15">
      <t>ヒダリ</t>
    </rPh>
    <phoneticPr fontId="4"/>
  </si>
  <si>
    <t>岡本　尚子</t>
    <rPh sb="0" eb="2">
      <t>オカモト</t>
    </rPh>
    <rPh sb="3" eb="5">
      <t>ナオコ</t>
    </rPh>
    <phoneticPr fontId="4"/>
  </si>
  <si>
    <t>フジクラ DR AOR SPEEDER X-PLUS 黒</t>
    <rPh sb="27" eb="28">
      <t>クロ</t>
    </rPh>
    <phoneticPr fontId="4"/>
  </si>
  <si>
    <t>PING G410</t>
    <phoneticPr fontId="4"/>
  </si>
  <si>
    <t>perfect pro X SOFT LADIES有</t>
    <rPh sb="25" eb="26">
      <t>アリ</t>
    </rPh>
    <phoneticPr fontId="4"/>
  </si>
  <si>
    <t>北川　修</t>
    <rPh sb="0" eb="2">
      <t>キタガワ</t>
    </rPh>
    <rPh sb="3" eb="4">
      <t>オサム</t>
    </rPh>
    <phoneticPr fontId="4"/>
  </si>
  <si>
    <t>iomic ix ブルー 有</t>
    <rPh sb="13" eb="14">
      <t>アリ</t>
    </rPh>
    <phoneticPr fontId="4"/>
  </si>
  <si>
    <t>レギュラー0.75か月</t>
  </si>
  <si>
    <t>武井　淳子</t>
    <rPh sb="0" eb="2">
      <t>タケイ</t>
    </rPh>
    <rPh sb="3" eb="5">
      <t>ジュンコ</t>
    </rPh>
    <phoneticPr fontId="4"/>
  </si>
  <si>
    <t>原田　和哉</t>
    <rPh sb="0" eb="2">
      <t>ハラダ</t>
    </rPh>
    <rPh sb="3" eb="5">
      <t>カズヤ</t>
    </rPh>
    <phoneticPr fontId="4"/>
  </si>
  <si>
    <t>レギュラー→マスター差額</t>
    <rPh sb="10" eb="12">
      <t>サガク</t>
    </rPh>
    <phoneticPr fontId="4"/>
  </si>
  <si>
    <t>山口　昭人</t>
    <rPh sb="0" eb="2">
      <t>ヤマグチ</t>
    </rPh>
    <rPh sb="3" eb="5">
      <t>アキヒト</t>
    </rPh>
    <phoneticPr fontId="4"/>
  </si>
  <si>
    <t>チケット0.75か月</t>
    <phoneticPr fontId="4"/>
  </si>
  <si>
    <t>販売</t>
    <rPh sb="0" eb="2">
      <t>ハンバイ</t>
    </rPh>
    <phoneticPr fontId="4"/>
  </si>
  <si>
    <t>CADERO 2×2 PENTAGON ｽﾀｰ入り ﾌﾞﾗｯｸ×ﾚｯﾄﾞ有</t>
    <rPh sb="23" eb="24">
      <t>イ</t>
    </rPh>
    <rPh sb="36" eb="37">
      <t>アリ</t>
    </rPh>
    <phoneticPr fontId="4"/>
  </si>
  <si>
    <t>LA GOLF</t>
    <phoneticPr fontId="4"/>
  </si>
  <si>
    <t>原田　大雅</t>
    <rPh sb="0" eb="2">
      <t>ハラダ</t>
    </rPh>
    <rPh sb="3" eb="5">
      <t>タイガ</t>
    </rPh>
    <phoneticPr fontId="4"/>
  </si>
  <si>
    <t>家族利用</t>
    <rPh sb="0" eb="4">
      <t>カゾクリヨウ</t>
    </rPh>
    <phoneticPr fontId="4"/>
  </si>
  <si>
    <t>tm044原田和哉様のご家族</t>
    <rPh sb="5" eb="7">
      <t>ハラダ</t>
    </rPh>
    <rPh sb="7" eb="9">
      <t>カズヤ</t>
    </rPh>
    <rPh sb="9" eb="10">
      <t>サマ</t>
    </rPh>
    <rPh sb="12" eb="14">
      <t>カゾク</t>
    </rPh>
    <phoneticPr fontId="4"/>
  </si>
  <si>
    <t>現金</t>
    <rPh sb="0" eb="2">
      <t>ゲンキン</t>
    </rPh>
    <phoneticPr fontId="4"/>
  </si>
  <si>
    <t>フジクラ DR DIAMOND SPEEDER SPD5 S</t>
    <phoneticPr fontId="4"/>
  </si>
  <si>
    <t>ヘッド</t>
    <phoneticPr fontId="4"/>
  </si>
  <si>
    <t>BALDO DR CORSA438 2021 10.5°</t>
    <phoneticPr fontId="4"/>
  </si>
  <si>
    <t>STM T-1セミミッド ブラック有</t>
    <rPh sb="17" eb="18">
      <t>アリ</t>
    </rPh>
    <phoneticPr fontId="4"/>
  </si>
  <si>
    <t>中窪　亮博</t>
    <rPh sb="0" eb="2">
      <t>ナカクボ</t>
    </rPh>
    <rPh sb="3" eb="4">
      <t>リョウ</t>
    </rPh>
    <rPh sb="4" eb="5">
      <t>ヒロ</t>
    </rPh>
    <phoneticPr fontId="4"/>
  </si>
  <si>
    <t>ZERO FIT 24cm 左</t>
    <rPh sb="14" eb="15">
      <t>ヒダリ</t>
    </rPh>
    <phoneticPr fontId="4"/>
  </si>
  <si>
    <t>山本　鐘徳</t>
    <rPh sb="0" eb="2">
      <t>ヤマモト</t>
    </rPh>
    <rPh sb="3" eb="4">
      <t>カネ</t>
    </rPh>
    <rPh sb="4" eb="5">
      <t>トク</t>
    </rPh>
    <phoneticPr fontId="4"/>
  </si>
  <si>
    <t>レギュラー0.25か月</t>
  </si>
  <si>
    <t>レギュラー0.25か月</t>
    <phoneticPr fontId="4"/>
  </si>
  <si>
    <t>レギュラー1か月</t>
    <phoneticPr fontId="4"/>
  </si>
  <si>
    <t>藤田　プロ</t>
    <rPh sb="0" eb="2">
      <t>フジタ</t>
    </rPh>
    <phoneticPr fontId="4"/>
  </si>
  <si>
    <t>パターグリップ RS60</t>
    <phoneticPr fontId="4"/>
  </si>
  <si>
    <t>奥田　利之</t>
    <rPh sb="0" eb="2">
      <t>オクダ</t>
    </rPh>
    <rPh sb="3" eb="5">
      <t>トシユキ</t>
    </rPh>
    <phoneticPr fontId="4"/>
  </si>
  <si>
    <t>日高　弘道</t>
    <rPh sb="0" eb="2">
      <t>ヒダカ</t>
    </rPh>
    <rPh sb="3" eb="5">
      <t>ヒロミチ</t>
    </rPh>
    <phoneticPr fontId="4"/>
  </si>
  <si>
    <t>マスター0.25か月</t>
    <phoneticPr fontId="4"/>
  </si>
  <si>
    <t>マスター1か月</t>
    <phoneticPr fontId="4"/>
  </si>
  <si>
    <t>パターグリップ TOUR SNSR PRO 104cc</t>
    <phoneticPr fontId="4"/>
  </si>
  <si>
    <t>坂井　将敬</t>
    <rPh sb="0" eb="2">
      <t>サカイ</t>
    </rPh>
    <rPh sb="3" eb="5">
      <t>ショウケイ</t>
    </rPh>
    <phoneticPr fontId="4"/>
  </si>
  <si>
    <t>社長</t>
    <rPh sb="0" eb="2">
      <t>シャチョウ</t>
    </rPh>
    <phoneticPr fontId="4"/>
  </si>
  <si>
    <t>タイトリストPRO V1X</t>
  </si>
  <si>
    <t>タイトリストPRO V1X</t>
    <phoneticPr fontId="4"/>
  </si>
  <si>
    <t>エリート Y360S XT ﾍﾞﾙﾘﾅﾌﾞﾗｯｸ有</t>
    <rPh sb="24" eb="25">
      <t>アリ</t>
    </rPh>
    <phoneticPr fontId="4"/>
  </si>
  <si>
    <t>松田　隆兵</t>
    <rPh sb="0" eb="2">
      <t>マツダ</t>
    </rPh>
    <rPh sb="3" eb="4">
      <t>リュウ</t>
    </rPh>
    <rPh sb="4" eb="5">
      <t>ヘイ</t>
    </rPh>
    <phoneticPr fontId="4"/>
  </si>
  <si>
    <t>金山　徳和</t>
    <rPh sb="0" eb="2">
      <t>カナヤマ</t>
    </rPh>
    <rPh sb="3" eb="4">
      <t>トク</t>
    </rPh>
    <phoneticPr fontId="4"/>
  </si>
  <si>
    <t>GOLF PRIDE MCCスタンダード ホワイト 有</t>
    <rPh sb="26" eb="27">
      <t>アリ</t>
    </rPh>
    <phoneticPr fontId="4"/>
  </si>
  <si>
    <t>土山　慶子</t>
    <rPh sb="0" eb="2">
      <t>ツチヤマ</t>
    </rPh>
    <rPh sb="3" eb="5">
      <t>ケイコ</t>
    </rPh>
    <phoneticPr fontId="4"/>
  </si>
  <si>
    <t>ブリヂストン JGRパールホワイト</t>
    <phoneticPr fontId="4"/>
  </si>
  <si>
    <t>ブリヂストン tour b xホワイト</t>
  </si>
  <si>
    <t>ブリヂストン tour b xホワイト</t>
    <phoneticPr fontId="4"/>
  </si>
  <si>
    <t>ブリヂストン tour b xsイエロー</t>
    <phoneticPr fontId="4"/>
  </si>
  <si>
    <t>STM S-1プロトタイプ</t>
    <phoneticPr fontId="4"/>
  </si>
  <si>
    <t>宮崎　聖子</t>
    <rPh sb="0" eb="2">
      <t>ミヤザキ</t>
    </rPh>
    <rPh sb="3" eb="5">
      <t>セイコ</t>
    </rPh>
    <phoneticPr fontId="4"/>
  </si>
  <si>
    <t>スタッフ 宮崎さんのご家族</t>
    <rPh sb="5" eb="7">
      <t>ミヤザキ</t>
    </rPh>
    <rPh sb="11" eb="13">
      <t>カゾク</t>
    </rPh>
    <phoneticPr fontId="4"/>
  </si>
  <si>
    <t>小林　涼聖</t>
    <rPh sb="0" eb="2">
      <t>コバヤシ</t>
    </rPh>
    <rPh sb="3" eb="4">
      <t>スズ</t>
    </rPh>
    <rPh sb="4" eb="5">
      <t>ヒジリ</t>
    </rPh>
    <phoneticPr fontId="4"/>
  </si>
  <si>
    <t>松井　啓輔</t>
    <rPh sb="0" eb="2">
      <t>マツイ</t>
    </rPh>
    <rPh sb="3" eb="5">
      <t>ケイスケ</t>
    </rPh>
    <phoneticPr fontId="4"/>
  </si>
  <si>
    <t>古川プロ</t>
    <rPh sb="0" eb="2">
      <t>フルカワ</t>
    </rPh>
    <phoneticPr fontId="4"/>
  </si>
  <si>
    <t>ZERO FIT 19cm 左</t>
    <rPh sb="14" eb="15">
      <t>ヒダリ</t>
    </rPh>
    <phoneticPr fontId="4"/>
  </si>
  <si>
    <t>坂平　達哉</t>
    <rPh sb="0" eb="2">
      <t>サカヒラ</t>
    </rPh>
    <rPh sb="3" eb="5">
      <t>タツヤ</t>
    </rPh>
    <phoneticPr fontId="4"/>
  </si>
  <si>
    <t>上岡　直和</t>
    <rPh sb="0" eb="2">
      <t>ウエオカ</t>
    </rPh>
    <rPh sb="3" eb="5">
      <t>ナオカズ</t>
    </rPh>
    <phoneticPr fontId="4"/>
  </si>
  <si>
    <t>CADERO 2×2 PENTAGON M60B/SILVER</t>
    <phoneticPr fontId="4"/>
  </si>
  <si>
    <t>アイアンソケット OI-10</t>
    <phoneticPr fontId="4"/>
  </si>
  <si>
    <t>井殿プロ</t>
    <rPh sb="0" eb="2">
      <t>イドノ</t>
    </rPh>
    <phoneticPr fontId="4"/>
  </si>
  <si>
    <t>坂東　俊哉</t>
    <rPh sb="0" eb="2">
      <t>バンドウ</t>
    </rPh>
    <rPh sb="3" eb="4">
      <t>トシ</t>
    </rPh>
    <rPh sb="4" eb="5">
      <t>ヤ</t>
    </rPh>
    <phoneticPr fontId="4"/>
  </si>
  <si>
    <t>perfect pro X HOLD BLACK RUBBER 有</t>
    <rPh sb="32" eb="33">
      <t>アリ</t>
    </rPh>
    <phoneticPr fontId="4"/>
  </si>
  <si>
    <t>田中　弘章</t>
    <rPh sb="0" eb="2">
      <t>タナカ</t>
    </rPh>
    <rPh sb="3" eb="5">
      <t>ヒロシショウ</t>
    </rPh>
    <phoneticPr fontId="4"/>
  </si>
  <si>
    <t>XXIO XX12 NV</t>
    <phoneticPr fontId="4"/>
  </si>
  <si>
    <t>XXIO HC W XX12 FW</t>
    <phoneticPr fontId="4"/>
  </si>
  <si>
    <t>吉川　法生</t>
    <rPh sb="0" eb="2">
      <t>キッカワ</t>
    </rPh>
    <rPh sb="3" eb="4">
      <t>ホウ</t>
    </rPh>
    <rPh sb="4" eb="5">
      <t>セイ</t>
    </rPh>
    <phoneticPr fontId="4"/>
  </si>
  <si>
    <t>iomic sticky evolution2.3 イエロー有</t>
    <rPh sb="30" eb="31">
      <t>アリ</t>
    </rPh>
    <phoneticPr fontId="4"/>
  </si>
  <si>
    <t>販売</t>
    <rPh sb="0" eb="2">
      <t>ハンバイ</t>
    </rPh>
    <phoneticPr fontId="4"/>
  </si>
  <si>
    <t>iomic sticky evolution1.8 ブルー無</t>
    <rPh sb="29" eb="30">
      <t>ナシ</t>
    </rPh>
    <phoneticPr fontId="4"/>
  </si>
  <si>
    <t>丁子谷　彰敏</t>
    <rPh sb="0" eb="3">
      <t>チョウシタニ</t>
    </rPh>
    <rPh sb="4" eb="6">
      <t>アキトシ</t>
    </rPh>
    <phoneticPr fontId="4"/>
  </si>
  <si>
    <t>木下　正重</t>
    <rPh sb="0" eb="2">
      <t>キノシタ</t>
    </rPh>
    <rPh sb="3" eb="4">
      <t>タダシ</t>
    </rPh>
    <rPh sb="4" eb="5">
      <t>シゲル</t>
    </rPh>
    <phoneticPr fontId="4"/>
  </si>
  <si>
    <t>現金</t>
    <rPh sb="0" eb="2">
      <t>ゲンキン</t>
    </rPh>
    <phoneticPr fontId="4"/>
  </si>
  <si>
    <t>TOUR B XS 白</t>
    <rPh sb="10" eb="11">
      <t>シロ</t>
    </rPh>
    <phoneticPr fontId="4"/>
  </si>
  <si>
    <t>宮﨑さん</t>
    <rPh sb="0" eb="2">
      <t>ミヤザキ</t>
    </rPh>
    <phoneticPr fontId="4"/>
  </si>
  <si>
    <t>olympic UT 01 series 80UT S</t>
    <phoneticPr fontId="4"/>
  </si>
  <si>
    <t>ヘッド</t>
    <phoneticPr fontId="4"/>
  </si>
  <si>
    <t>テーラーメイド ステルス2 UT #3 #4 #5</t>
    <phoneticPr fontId="4"/>
  </si>
  <si>
    <t>エリート Y360S XT ﾍﾞﾙﾘﾅﾌﾞﾗｯｸ有</t>
    <rPh sb="24" eb="25">
      <t>アリ</t>
    </rPh>
    <phoneticPr fontId="4"/>
  </si>
  <si>
    <t>宮﨑　聖子</t>
    <rPh sb="0" eb="2">
      <t>ミヤザキ</t>
    </rPh>
    <rPh sb="3" eb="5">
      <t>セイコ</t>
    </rPh>
    <phoneticPr fontId="4"/>
  </si>
  <si>
    <t>シンカグラファイト FW LOOP Prototype Five R</t>
    <phoneticPr fontId="4"/>
  </si>
  <si>
    <t>BALDO 2022 CORSA FW 5W,7W</t>
    <phoneticPr fontId="4"/>
  </si>
  <si>
    <t>キャロウェイ DR PARADYM X 10.5°</t>
    <phoneticPr fontId="4"/>
  </si>
  <si>
    <t>ZERO FIT 左 25cm</t>
    <rPh sb="9" eb="10">
      <t>ヒダリ</t>
    </rPh>
    <phoneticPr fontId="4"/>
  </si>
  <si>
    <t>山本　伸</t>
    <rPh sb="0" eb="2">
      <t>ヤマモト</t>
    </rPh>
    <rPh sb="3" eb="4">
      <t>シン</t>
    </rPh>
    <phoneticPr fontId="4"/>
  </si>
  <si>
    <t>フィッティング料 (登録プロ紹介)</t>
    <rPh sb="7" eb="8">
      <t>リョウ</t>
    </rPh>
    <rPh sb="10" eb="12">
      <t>トウロク</t>
    </rPh>
    <rPh sb="14" eb="16">
      <t>ショウカイ</t>
    </rPh>
    <phoneticPr fontId="4"/>
  </si>
  <si>
    <t>グラファイトデザイン DR Tour AD PT-5 S</t>
    <phoneticPr fontId="4"/>
  </si>
  <si>
    <t>PING G430 HL SFT 10.5°</t>
    <phoneticPr fontId="4"/>
  </si>
  <si>
    <t>南　聡次</t>
    <rPh sb="0" eb="1">
      <t>ミナミ</t>
    </rPh>
    <rPh sb="2" eb="4">
      <t>サトシツギ</t>
    </rPh>
    <phoneticPr fontId="4"/>
  </si>
  <si>
    <t>大村　喜代美</t>
    <rPh sb="0" eb="2">
      <t>オオムラ</t>
    </rPh>
    <rPh sb="3" eb="6">
      <t>キヨミ</t>
    </rPh>
    <phoneticPr fontId="4"/>
  </si>
  <si>
    <t>フジクラ UT AIR SPEEDER STANDARD 白</t>
    <rPh sb="29" eb="30">
      <t>シロ</t>
    </rPh>
    <phoneticPr fontId="4"/>
  </si>
  <si>
    <t>フジクラ DR AIR SPEEDER STANDARD 白</t>
    <rPh sb="29" eb="30">
      <t>シロ</t>
    </rPh>
    <phoneticPr fontId="4"/>
  </si>
  <si>
    <t>PING G430 UT  #5 26°</t>
    <phoneticPr fontId="4"/>
  </si>
  <si>
    <t>PING G430 DR SFT 10.5°</t>
    <phoneticPr fontId="4"/>
  </si>
  <si>
    <t>sticky ultra light34 ブラック</t>
    <phoneticPr fontId="4"/>
  </si>
  <si>
    <t>大村　泰隆</t>
    <rPh sb="0" eb="2">
      <t>オオムラ</t>
    </rPh>
    <rPh sb="3" eb="5">
      <t>ヤスタカ</t>
    </rPh>
    <phoneticPr fontId="4"/>
  </si>
  <si>
    <t>大村　泰隆様がまとめてお会計</t>
    <rPh sb="5" eb="6">
      <t>サマ</t>
    </rPh>
    <rPh sb="12" eb="14">
      <t>カイケイ</t>
    </rPh>
    <phoneticPr fontId="4"/>
  </si>
  <si>
    <t>新井　龍昇</t>
    <rPh sb="0" eb="2">
      <t>アライ</t>
    </rPh>
    <rPh sb="3" eb="4">
      <t>タツ</t>
    </rPh>
    <rPh sb="4" eb="5">
      <t>ノボル</t>
    </rPh>
    <phoneticPr fontId="4"/>
  </si>
  <si>
    <t>田中　亮介</t>
    <rPh sb="0" eb="2">
      <t>タナカ</t>
    </rPh>
    <rPh sb="3" eb="5">
      <t>リョウスケ</t>
    </rPh>
    <phoneticPr fontId="4"/>
  </si>
  <si>
    <t>田中　つぐみ</t>
    <rPh sb="0" eb="2">
      <t>タナカ</t>
    </rPh>
    <phoneticPr fontId="4"/>
  </si>
  <si>
    <t>レギュラー1か月(家族割)</t>
    <rPh sb="9" eb="12">
      <t>カゾクワリ</t>
    </rPh>
    <phoneticPr fontId="4"/>
  </si>
  <si>
    <t>田中　亮介様がまとめてお支払い</t>
    <rPh sb="5" eb="6">
      <t>サマ</t>
    </rPh>
    <rPh sb="12" eb="14">
      <t>シハラ</t>
    </rPh>
    <phoneticPr fontId="4"/>
  </si>
  <si>
    <t>水原　玉枝</t>
    <rPh sb="0" eb="2">
      <t>ミズハラ</t>
    </rPh>
    <rPh sb="3" eb="5">
      <t>タマエ</t>
    </rPh>
    <phoneticPr fontId="4"/>
  </si>
  <si>
    <t>販売</t>
    <rPh sb="0" eb="2">
      <t>ハンバイ</t>
    </rPh>
    <phoneticPr fontId="4"/>
  </si>
  <si>
    <t>フジクラ DR DIAMOND SPEEDER SPD3 R</t>
    <phoneticPr fontId="4"/>
  </si>
  <si>
    <t>ヘッド</t>
    <phoneticPr fontId="4"/>
  </si>
  <si>
    <t>BALDO 2023SKY DRIVE DRIVER 11°</t>
    <phoneticPr fontId="4"/>
  </si>
  <si>
    <t>iomic sticky ultra light</t>
    <phoneticPr fontId="4"/>
  </si>
  <si>
    <t>古川プロ</t>
    <rPh sb="0" eb="2">
      <t>フルカワ</t>
    </rPh>
    <phoneticPr fontId="4"/>
  </si>
  <si>
    <t>販売</t>
    <rPh sb="0" eb="2">
      <t>ハンバイ</t>
    </rPh>
    <phoneticPr fontId="4"/>
  </si>
  <si>
    <t>ZARO FIT 23cm 左</t>
    <rPh sb="14" eb="15">
      <t>ヒダリ</t>
    </rPh>
    <phoneticPr fontId="4"/>
  </si>
  <si>
    <t>SRIXON Z STAR XV イエロー</t>
    <phoneticPr fontId="4"/>
  </si>
  <si>
    <t>TOUR TEE PRO</t>
    <phoneticPr fontId="4"/>
  </si>
  <si>
    <t>レギュラー0.75か月</t>
    <phoneticPr fontId="4"/>
  </si>
  <si>
    <t>ライト1か月</t>
    <phoneticPr fontId="4"/>
  </si>
  <si>
    <t>現金</t>
    <rPh sb="0" eb="2">
      <t>ゲンキン</t>
    </rPh>
    <phoneticPr fontId="4"/>
  </si>
  <si>
    <t>宮本　一史</t>
    <rPh sb="0" eb="2">
      <t>ミヤモト</t>
    </rPh>
    <rPh sb="3" eb="5">
      <t>カズフミ</t>
    </rPh>
    <phoneticPr fontId="4"/>
  </si>
  <si>
    <t>トゥールテンパー スチールファイバー i110cwX#5 39</t>
    <phoneticPr fontId="4"/>
  </si>
  <si>
    <t>iomic sticky evolution2.3 ﾚｯﾄﾞ有</t>
    <rPh sb="30" eb="31">
      <t>アリ</t>
    </rPh>
    <phoneticPr fontId="4"/>
  </si>
  <si>
    <t>iomic i X touch オレンジ</t>
    <phoneticPr fontId="4"/>
  </si>
  <si>
    <t>土谷　あや子</t>
    <rPh sb="0" eb="2">
      <t>ツチタニ</t>
    </rPh>
    <rPh sb="5" eb="6">
      <t>コ</t>
    </rPh>
    <phoneticPr fontId="4"/>
  </si>
  <si>
    <t>レギュラー1か月 家族割</t>
    <rPh sb="9" eb="12">
      <t>カゾクワリ</t>
    </rPh>
    <phoneticPr fontId="4"/>
  </si>
  <si>
    <t>CADERO ペンタゴン スター入 有</t>
    <rPh sb="16" eb="17">
      <t>イ</t>
    </rPh>
    <rPh sb="18" eb="19">
      <t>アリ</t>
    </rPh>
    <phoneticPr fontId="4"/>
  </si>
  <si>
    <t>加工</t>
    <rPh sb="0" eb="2">
      <t>カコウ</t>
    </rPh>
    <phoneticPr fontId="4"/>
  </si>
  <si>
    <t>ハドラスコーティング</t>
    <phoneticPr fontId="4"/>
  </si>
  <si>
    <t>ドライバーヘッド加工</t>
    <rPh sb="8" eb="10">
      <t>カコウ</t>
    </rPh>
    <phoneticPr fontId="4"/>
  </si>
  <si>
    <t>近藤　一弥</t>
    <rPh sb="0" eb="2">
      <t>コンドウ</t>
    </rPh>
    <rPh sb="3" eb="4">
      <t>イチ</t>
    </rPh>
    <rPh sb="4" eb="5">
      <t>ヤ</t>
    </rPh>
    <phoneticPr fontId="4"/>
  </si>
  <si>
    <t>近藤　楓花</t>
    <rPh sb="0" eb="2">
      <t>コンドウ</t>
    </rPh>
    <rPh sb="3" eb="5">
      <t>フウカ</t>
    </rPh>
    <phoneticPr fontId="4"/>
  </si>
  <si>
    <t>現金</t>
    <rPh sb="0" eb="2">
      <t>ゲンキン</t>
    </rPh>
    <phoneticPr fontId="4"/>
  </si>
  <si>
    <t>近藤一弥様がまとめてお支払い
(LINEクーポン500円引×2)</t>
    <rPh sb="0" eb="2">
      <t>コンドウ</t>
    </rPh>
    <rPh sb="2" eb="3">
      <t>イチ</t>
    </rPh>
    <rPh sb="3" eb="4">
      <t>ヤ</t>
    </rPh>
    <rPh sb="4" eb="5">
      <t>サマ</t>
    </rPh>
    <rPh sb="11" eb="13">
      <t>シハラ</t>
    </rPh>
    <phoneticPr fontId="4"/>
  </si>
  <si>
    <t>レギュラー0.75か月 家族割</t>
    <rPh sb="12" eb="15">
      <t>カゾクワリ</t>
    </rPh>
    <phoneticPr fontId="4"/>
  </si>
  <si>
    <t>近藤一弥様がまとめてお支払い</t>
    <phoneticPr fontId="4"/>
  </si>
  <si>
    <t>販売</t>
    <rPh sb="0" eb="2">
      <t>ハンバイ</t>
    </rPh>
    <phoneticPr fontId="4"/>
  </si>
  <si>
    <t>フォーサリンクウェザー</t>
    <phoneticPr fontId="4"/>
  </si>
  <si>
    <t>スリーブ</t>
    <phoneticPr fontId="4"/>
  </si>
  <si>
    <t>PING G410 UT</t>
    <phoneticPr fontId="4"/>
  </si>
  <si>
    <t>タイトリスト PRO V1 イエロー</t>
    <phoneticPr fontId="4"/>
  </si>
  <si>
    <t>エリート X360 ラバーM58 無</t>
    <rPh sb="17" eb="18">
      <t>ナシ</t>
    </rPh>
    <phoneticPr fontId="4"/>
  </si>
  <si>
    <t>距離計測器</t>
    <rPh sb="0" eb="5">
      <t>キョリケイソクキ</t>
    </rPh>
    <phoneticPr fontId="4"/>
  </si>
  <si>
    <t>Fine Caddia J1000 ブラック</t>
    <phoneticPr fontId="4"/>
  </si>
  <si>
    <t>金券</t>
    <rPh sb="0" eb="2">
      <t>キンケン</t>
    </rPh>
    <phoneticPr fontId="4"/>
  </si>
  <si>
    <t>金券(\1,000×19枚=\19,000) 残り\7,910現金</t>
    <rPh sb="0" eb="2">
      <t>キンケン</t>
    </rPh>
    <rPh sb="12" eb="13">
      <t>マイ</t>
    </rPh>
    <rPh sb="23" eb="24">
      <t>ノコ</t>
    </rPh>
    <rPh sb="31" eb="33">
      <t>ゲンキン</t>
    </rPh>
    <phoneticPr fontId="4"/>
  </si>
  <si>
    <t>三菱ケミカル DR Diamana PD 60S</t>
    <rPh sb="0" eb="2">
      <t>ミツビシ</t>
    </rPh>
    <phoneticPr fontId="4"/>
  </si>
  <si>
    <t>テーラーメイド</t>
    <phoneticPr fontId="4"/>
  </si>
  <si>
    <t>GOLF PRIDE tour velvet無</t>
    <rPh sb="22" eb="23">
      <t>ナシ</t>
    </rPh>
    <phoneticPr fontId="4"/>
  </si>
  <si>
    <t>廣瀬　康人</t>
    <rPh sb="0" eb="2">
      <t>ヒロセ</t>
    </rPh>
    <rPh sb="3" eb="5">
      <t>ヤスヒト</t>
    </rPh>
    <phoneticPr fontId="4"/>
  </si>
  <si>
    <t>前田　修</t>
    <rPh sb="0" eb="2">
      <t>マエダ</t>
    </rPh>
    <rPh sb="3" eb="4">
      <t>シュウ</t>
    </rPh>
    <phoneticPr fontId="4"/>
  </si>
  <si>
    <t>齋藤　方俊</t>
    <rPh sb="0" eb="2">
      <t>サイトウ</t>
    </rPh>
    <rPh sb="3" eb="4">
      <t>カタ</t>
    </rPh>
    <rPh sb="4" eb="5">
      <t>シュン</t>
    </rPh>
    <phoneticPr fontId="4"/>
  </si>
  <si>
    <t>レギュラー0.75か月</t>
    <phoneticPr fontId="4"/>
  </si>
  <si>
    <t>山中　英樹</t>
    <rPh sb="0" eb="2">
      <t>ヤマナカ</t>
    </rPh>
    <rPh sb="3" eb="5">
      <t>ヒデキ</t>
    </rPh>
    <phoneticPr fontId="4"/>
  </si>
  <si>
    <t>ZERO FIT21cm 左</t>
    <rPh sb="13" eb="14">
      <t>ヒダリ</t>
    </rPh>
    <phoneticPr fontId="4"/>
  </si>
  <si>
    <t>iomic i X touch オレンジ</t>
  </si>
  <si>
    <t>西山　泰弘</t>
    <rPh sb="0" eb="2">
      <t>ニシヤマ</t>
    </rPh>
    <rPh sb="3" eb="4">
      <t>タイ</t>
    </rPh>
    <phoneticPr fontId="4"/>
  </si>
  <si>
    <t>西山　権一</t>
    <rPh sb="0" eb="2">
      <t>ニシヤマ</t>
    </rPh>
    <rPh sb="3" eb="5">
      <t>ケンイチ</t>
    </rPh>
    <phoneticPr fontId="4"/>
  </si>
  <si>
    <t>iomic i X touch ブラック×オレンジ</t>
    <phoneticPr fontId="4"/>
  </si>
  <si>
    <t>藤田プロ</t>
    <rPh sb="0" eb="2">
      <t>フジタ</t>
    </rPh>
    <phoneticPr fontId="4"/>
  </si>
  <si>
    <t>キャロウェイ FW用 CA-A4 2nd</t>
    <rPh sb="9" eb="10">
      <t>ヨウ</t>
    </rPh>
    <phoneticPr fontId="4"/>
  </si>
  <si>
    <t>隈下　秀子</t>
    <rPh sb="0" eb="2">
      <t>クマシタ</t>
    </rPh>
    <rPh sb="3" eb="5">
      <t>ヒデコ</t>
    </rPh>
    <phoneticPr fontId="4"/>
  </si>
  <si>
    <t>パター</t>
    <phoneticPr fontId="4"/>
  </si>
  <si>
    <t>オデッセイ TRI-BEAM #7 34インチ</t>
    <phoneticPr fontId="4"/>
  </si>
  <si>
    <t>販売</t>
    <rPh sb="0" eb="2">
      <t>ハンバイ</t>
    </rPh>
    <phoneticPr fontId="4"/>
  </si>
  <si>
    <t>タイトリスト PRO V1</t>
    <phoneticPr fontId="4"/>
  </si>
  <si>
    <t>濱田　哲平</t>
    <rPh sb="0" eb="2">
      <t>ハマダ</t>
    </rPh>
    <rPh sb="3" eb="5">
      <t>テッペイ</t>
    </rPh>
    <phoneticPr fontId="4"/>
  </si>
  <si>
    <t>岩見　美樹</t>
    <rPh sb="0" eb="2">
      <t>イワミ</t>
    </rPh>
    <rPh sb="3" eb="5">
      <t>ミキ</t>
    </rPh>
    <phoneticPr fontId="4"/>
  </si>
  <si>
    <t>ZERO FIT 19cm 左</t>
    <rPh sb="14" eb="15">
      <t>ヒダリ</t>
    </rPh>
    <phoneticPr fontId="4"/>
  </si>
  <si>
    <t>ZERO FIT 19cm 右</t>
    <rPh sb="14" eb="15">
      <t>ミギ</t>
    </rPh>
    <phoneticPr fontId="4"/>
  </si>
  <si>
    <t>iomic sticky evolution1.8 ブルー無</t>
    <rPh sb="29" eb="30">
      <t>ナ</t>
    </rPh>
    <phoneticPr fontId="4"/>
  </si>
  <si>
    <t>工賃</t>
    <rPh sb="0" eb="2">
      <t>コウチン</t>
    </rPh>
    <phoneticPr fontId="4"/>
  </si>
  <si>
    <t>特別作業</t>
    <rPh sb="0" eb="4">
      <t>トクベツサギョウ</t>
    </rPh>
    <phoneticPr fontId="4"/>
  </si>
  <si>
    <t>浅見　友晶</t>
    <rPh sb="0" eb="2">
      <t>アサミ</t>
    </rPh>
    <rPh sb="3" eb="4">
      <t>トモ</t>
    </rPh>
    <rPh sb="4" eb="5">
      <t>アキラ</t>
    </rPh>
    <phoneticPr fontId="4"/>
  </si>
  <si>
    <t>現金</t>
    <rPh sb="0" eb="2">
      <t>ゲンキン</t>
    </rPh>
    <phoneticPr fontId="4"/>
  </si>
  <si>
    <t>小谷　伸</t>
    <rPh sb="0" eb="2">
      <t>コタニ</t>
    </rPh>
    <rPh sb="3" eb="4">
      <t>シン</t>
    </rPh>
    <phoneticPr fontId="4"/>
  </si>
  <si>
    <t>ZERO FIT 25cm 左</t>
    <rPh sb="14" eb="15">
      <t>ヒダリ</t>
    </rPh>
    <phoneticPr fontId="4"/>
  </si>
  <si>
    <t>SRIXON Z STAR XV</t>
  </si>
  <si>
    <t>STM S-1 Proto</t>
    <phoneticPr fontId="4"/>
  </si>
  <si>
    <t>中村　明日香</t>
    <rPh sb="0" eb="2">
      <t>ナカムラ</t>
    </rPh>
    <rPh sb="3" eb="6">
      <t>アスカ</t>
    </rPh>
    <phoneticPr fontId="4"/>
  </si>
  <si>
    <t>家族利用</t>
    <rPh sb="0" eb="4">
      <t>カゾクリヨウ</t>
    </rPh>
    <phoneticPr fontId="4"/>
  </si>
  <si>
    <t>tm042小野様ご家族</t>
    <rPh sb="5" eb="8">
      <t>オノサマ</t>
    </rPh>
    <rPh sb="9" eb="11">
      <t>カゾク</t>
    </rPh>
    <phoneticPr fontId="4"/>
  </si>
  <si>
    <t>藤田プロ</t>
    <rPh sb="0" eb="2">
      <t>フジタ</t>
    </rPh>
    <phoneticPr fontId="4"/>
  </si>
  <si>
    <t>エリート パターグリップ RS60</t>
    <phoneticPr fontId="4"/>
  </si>
  <si>
    <t>CADERO PENTAGON スター入り</t>
    <rPh sb="19" eb="20">
      <t>イ</t>
    </rPh>
    <phoneticPr fontId="4"/>
  </si>
  <si>
    <t>満園　俊</t>
    <rPh sb="0" eb="2">
      <t>ミツゾノ</t>
    </rPh>
    <rPh sb="3" eb="4">
      <t>シュン</t>
    </rPh>
    <phoneticPr fontId="4"/>
  </si>
  <si>
    <t>グリップ</t>
    <phoneticPr fontId="4"/>
  </si>
  <si>
    <t>GOLF PRIDE Tour Velvet 有</t>
    <rPh sb="23" eb="24">
      <t>ア</t>
    </rPh>
    <phoneticPr fontId="4"/>
  </si>
  <si>
    <t>竹下　憲子</t>
    <rPh sb="0" eb="2">
      <t>タケシタ</t>
    </rPh>
    <rPh sb="3" eb="4">
      <t>ケン</t>
    </rPh>
    <rPh sb="4" eb="5">
      <t>コ</t>
    </rPh>
    <phoneticPr fontId="4"/>
  </si>
  <si>
    <t>フジクラ FW AIR SPEEDER STANDARD 白</t>
    <rPh sb="29" eb="30">
      <t>シロ</t>
    </rPh>
    <phoneticPr fontId="4"/>
  </si>
  <si>
    <t>iomic sticky evolutio2.3 ブルー無</t>
    <rPh sb="28" eb="29">
      <t>ナ</t>
    </rPh>
    <phoneticPr fontId="4"/>
  </si>
  <si>
    <t>エリート パターグリップ GeRON #N1</t>
    <phoneticPr fontId="4"/>
  </si>
  <si>
    <t>岩見　真一郎</t>
    <rPh sb="0" eb="2">
      <t>イワミ</t>
    </rPh>
    <rPh sb="3" eb="6">
      <t>シンイチロウ</t>
    </rPh>
    <phoneticPr fontId="4"/>
  </si>
  <si>
    <t>小谷　寛樹</t>
    <rPh sb="0" eb="2">
      <t>コタニ</t>
    </rPh>
    <rPh sb="3" eb="4">
      <t>カン</t>
    </rPh>
    <rPh sb="4" eb="5">
      <t>キ</t>
    </rPh>
    <phoneticPr fontId="4"/>
  </si>
  <si>
    <t>レギュラー0.25か月</t>
    <phoneticPr fontId="4"/>
  </si>
  <si>
    <t>レギュラー1か月</t>
    <phoneticPr fontId="4"/>
  </si>
  <si>
    <t>俣野　徹</t>
    <rPh sb="0" eb="2">
      <t>マタノ</t>
    </rPh>
    <rPh sb="3" eb="4">
      <t>トオル</t>
    </rPh>
    <phoneticPr fontId="4"/>
  </si>
  <si>
    <t>iomic sticky evolutio2.3 ﾚｯﾄﾞ無</t>
    <rPh sb="29" eb="30">
      <t>ナ</t>
    </rPh>
    <phoneticPr fontId="4"/>
  </si>
  <si>
    <t>金券 \2,000
現金 \158</t>
    <rPh sb="0" eb="2">
      <t>キンケン</t>
    </rPh>
    <rPh sb="10" eb="12">
      <t>ゲンキン</t>
    </rPh>
    <phoneticPr fontId="4"/>
  </si>
  <si>
    <t>ZERO FIT 24cm 右</t>
    <rPh sb="14" eb="15">
      <t>ミギ</t>
    </rPh>
    <phoneticPr fontId="4"/>
  </si>
  <si>
    <t>金券 \3,000　　現金 \366</t>
    <rPh sb="0" eb="2">
      <t>キンケン</t>
    </rPh>
    <rPh sb="11" eb="13">
      <t>ゲンキン</t>
    </rPh>
    <phoneticPr fontId="4"/>
  </si>
  <si>
    <t>宮﨑さん</t>
    <rPh sb="0" eb="2">
      <t>ミヤザキ</t>
    </rPh>
    <phoneticPr fontId="4"/>
  </si>
  <si>
    <t>9月9日の差額分</t>
    <rPh sb="1" eb="2">
      <t>ガツ</t>
    </rPh>
    <rPh sb="5" eb="8">
      <t>サガクブン</t>
    </rPh>
    <phoneticPr fontId="4"/>
  </si>
  <si>
    <t>パター</t>
  </si>
  <si>
    <t>オデッセイ TRI-BEAM #7 34インチ(差額分)</t>
    <rPh sb="24" eb="27">
      <t>サガクブン</t>
    </rPh>
    <phoneticPr fontId="4"/>
  </si>
  <si>
    <t>直挿しシャフト抜き</t>
    <rPh sb="0" eb="1">
      <t>ナオ</t>
    </rPh>
    <rPh sb="1" eb="2">
      <t>サ</t>
    </rPh>
    <rPh sb="7" eb="8">
      <t>ヌ</t>
    </rPh>
    <phoneticPr fontId="4"/>
  </si>
  <si>
    <t>直挿しシャフト挿し</t>
    <rPh sb="0" eb="1">
      <t>ナオ</t>
    </rPh>
    <rPh sb="1" eb="2">
      <t>サ</t>
    </rPh>
    <rPh sb="7" eb="8">
      <t>サ</t>
    </rPh>
    <phoneticPr fontId="4"/>
  </si>
  <si>
    <t>ZERO FIT 24cm 左</t>
    <rPh sb="14" eb="15">
      <t>ヒダリ</t>
    </rPh>
    <phoneticPr fontId="4"/>
  </si>
  <si>
    <t>山代　知彦</t>
    <rPh sb="0" eb="2">
      <t>ヤマシロ</t>
    </rPh>
    <rPh sb="3" eb="4">
      <t>シ</t>
    </rPh>
    <phoneticPr fontId="4"/>
  </si>
  <si>
    <t>所　高広</t>
    <rPh sb="0" eb="1">
      <t>トコロ</t>
    </rPh>
    <rPh sb="2" eb="3">
      <t>タカ</t>
    </rPh>
    <rPh sb="3" eb="4">
      <t>ヒロ</t>
    </rPh>
    <phoneticPr fontId="4"/>
  </si>
  <si>
    <t>10月分月会費 チケット→レギュラー差額</t>
    <rPh sb="2" eb="4">
      <t>ガツブン</t>
    </rPh>
    <rPh sb="4" eb="7">
      <t>ツキカイヒ</t>
    </rPh>
    <rPh sb="18" eb="20">
      <t>サガク</t>
    </rPh>
    <phoneticPr fontId="4"/>
  </si>
  <si>
    <t>ヘッド</t>
    <phoneticPr fontId="4"/>
  </si>
  <si>
    <t>BALDO UT #3 20°</t>
    <phoneticPr fontId="4"/>
  </si>
  <si>
    <t>BALDO UT #5 26°</t>
    <phoneticPr fontId="4"/>
  </si>
  <si>
    <t>フジクラ MCH 70S BLACK</t>
    <phoneticPr fontId="4"/>
  </si>
  <si>
    <t>フジクラ MCH 80S BLACK</t>
    <phoneticPr fontId="4"/>
  </si>
  <si>
    <t>GOLF PRIDE Tour Vevet 無</t>
    <rPh sb="22" eb="23">
      <t>ナシ</t>
    </rPh>
    <phoneticPr fontId="4"/>
  </si>
  <si>
    <t>BALDO UT用</t>
    <rPh sb="8" eb="9">
      <t>ヨウ</t>
    </rPh>
    <phoneticPr fontId="4"/>
  </si>
  <si>
    <t>鳳山　義一</t>
    <rPh sb="0" eb="1">
      <t>ホウ</t>
    </rPh>
    <rPh sb="1" eb="2">
      <t>ヤマ</t>
    </rPh>
    <rPh sb="3" eb="4">
      <t>ヨシ</t>
    </rPh>
    <rPh sb="4" eb="5">
      <t>イチ</t>
    </rPh>
    <phoneticPr fontId="4"/>
  </si>
  <si>
    <t>ビジター利用</t>
    <rPh sb="4" eb="6">
      <t>リヨウ</t>
    </rPh>
    <phoneticPr fontId="4"/>
  </si>
  <si>
    <t>打席利用</t>
    <rPh sb="0" eb="4">
      <t>ダセキリヨウ</t>
    </rPh>
    <phoneticPr fontId="4"/>
  </si>
  <si>
    <t>鳳山　佑二</t>
    <rPh sb="0" eb="1">
      <t>ホウ</t>
    </rPh>
    <rPh sb="1" eb="2">
      <t>ヤマ</t>
    </rPh>
    <rPh sb="3" eb="5">
      <t>ユウジ</t>
    </rPh>
    <phoneticPr fontId="4"/>
  </si>
  <si>
    <t>鳳山　義一様がまとめてお支払い
LINEクーポン500円引×2</t>
    <rPh sb="5" eb="6">
      <t>サマ</t>
    </rPh>
    <rPh sb="12" eb="14">
      <t>シハラ</t>
    </rPh>
    <phoneticPr fontId="4"/>
  </si>
  <si>
    <t>阪上　文子</t>
    <rPh sb="0" eb="2">
      <t>サカウエ</t>
    </rPh>
    <rPh sb="3" eb="5">
      <t>フミコ</t>
    </rPh>
    <phoneticPr fontId="4"/>
  </si>
  <si>
    <t>シンカグラファイト DR LOOP BUBBLE LIGHT EV SR</t>
    <phoneticPr fontId="4"/>
  </si>
  <si>
    <t>Perfecy pro X HOLD BLACK HALF CORD 有</t>
    <rPh sb="35" eb="36">
      <t>アリ</t>
    </rPh>
    <phoneticPr fontId="4"/>
  </si>
  <si>
    <t>キャディーバック</t>
    <phoneticPr fontId="4"/>
  </si>
  <si>
    <t>BALDO チャコール(ヘッドカバーなし)</t>
    <phoneticPr fontId="4"/>
  </si>
  <si>
    <t>エリート スティング M58ブラック有</t>
    <rPh sb="18" eb="19">
      <t>アリ</t>
    </rPh>
    <phoneticPr fontId="4"/>
  </si>
  <si>
    <t>坂東　和秀</t>
    <rPh sb="0" eb="2">
      <t>バンドウ</t>
    </rPh>
    <rPh sb="3" eb="5">
      <t>カズヒデ</t>
    </rPh>
    <phoneticPr fontId="4"/>
  </si>
  <si>
    <t>グローブ</t>
    <phoneticPr fontId="4"/>
  </si>
  <si>
    <t>ZERO FIT 22cm左</t>
    <rPh sb="13" eb="14">
      <t>ヒダリ</t>
    </rPh>
    <phoneticPr fontId="4"/>
  </si>
  <si>
    <t>中村　均</t>
    <rPh sb="0" eb="2">
      <t>ナカムラ</t>
    </rPh>
    <rPh sb="3" eb="4">
      <t>ヒトシ</t>
    </rPh>
    <phoneticPr fontId="4"/>
  </si>
  <si>
    <t>tour B JGR ピンク</t>
  </si>
  <si>
    <t>三浦　克樹</t>
    <rPh sb="0" eb="2">
      <t>ミウラ</t>
    </rPh>
    <rPh sb="3" eb="5">
      <t>カツキ</t>
    </rPh>
    <phoneticPr fontId="4"/>
  </si>
  <si>
    <t>エリート Y360S XT ﾍﾞﾙﾘﾅﾌﾞﾗｯｸ無</t>
    <rPh sb="24" eb="25">
      <t>ナシ</t>
    </rPh>
    <phoneticPr fontId="4"/>
  </si>
  <si>
    <t>iomic sticky oversize 無 ブラック</t>
    <rPh sb="22" eb="23">
      <t>ナシ</t>
    </rPh>
    <phoneticPr fontId="4"/>
  </si>
  <si>
    <t>ボール</t>
    <phoneticPr fontId="4"/>
  </si>
  <si>
    <t>タイトリスト PRO V1X</t>
    <phoneticPr fontId="4"/>
  </si>
  <si>
    <t>販売</t>
    <rPh sb="0" eb="2">
      <t>ハンバイ</t>
    </rPh>
    <phoneticPr fontId="4"/>
  </si>
  <si>
    <t>フジクラ DR SPEEDER NX 50 S</t>
    <phoneticPr fontId="4"/>
  </si>
  <si>
    <t>スリーブ</t>
    <phoneticPr fontId="4"/>
  </si>
  <si>
    <t>テーラーメイド</t>
    <phoneticPr fontId="4"/>
  </si>
  <si>
    <t>CADERO 2×2 PENTAGON ホワイト×ブルー</t>
    <phoneticPr fontId="4"/>
  </si>
  <si>
    <t>再来日(2021.6.2)</t>
    <rPh sb="0" eb="3">
      <t>サイライビ</t>
    </rPh>
    <phoneticPr fontId="4"/>
  </si>
  <si>
    <t>永井　真三</t>
    <rPh sb="0" eb="2">
      <t>ナガイ</t>
    </rPh>
    <rPh sb="3" eb="5">
      <t>シンゾウ</t>
    </rPh>
    <phoneticPr fontId="4"/>
  </si>
  <si>
    <t>振込</t>
    <rPh sb="0" eb="2">
      <t>フリコミ</t>
    </rPh>
    <phoneticPr fontId="4"/>
  </si>
  <si>
    <t xml:space="preserve">  阪上　文子</t>
    <rPh sb="2" eb="4">
      <t>サカウエ</t>
    </rPh>
    <rPh sb="5" eb="7">
      <t>フミコ</t>
    </rPh>
    <phoneticPr fontId="4"/>
  </si>
  <si>
    <t>販売</t>
    <rPh sb="0" eb="2">
      <t>ハンバイ</t>
    </rPh>
    <phoneticPr fontId="4"/>
  </si>
  <si>
    <t>CRAZY DR ARROW SR ｼﾙﾊﾞｰﾎﾜｲﾄ</t>
    <phoneticPr fontId="4"/>
  </si>
  <si>
    <t>ヘッド</t>
    <phoneticPr fontId="4"/>
  </si>
  <si>
    <t>COBRA DR AERO JET MAX WNS RH 12°</t>
    <phoneticPr fontId="4"/>
  </si>
  <si>
    <t>sticky lady'sﾐﾙｷｰﾋﾟﾝｸ有</t>
    <rPh sb="21" eb="22">
      <t>アリ</t>
    </rPh>
    <phoneticPr fontId="4"/>
  </si>
  <si>
    <t>中村　明日香</t>
    <rPh sb="0" eb="2">
      <t>ナカムラ</t>
    </rPh>
    <rPh sb="3" eb="6">
      <t>アスカ</t>
    </rPh>
    <phoneticPr fontId="4"/>
  </si>
  <si>
    <t>打席利用(家族利用)2コマ</t>
    <rPh sb="0" eb="4">
      <t>ダセキリヨウ</t>
    </rPh>
    <rPh sb="5" eb="9">
      <t>カゾクリヨウ</t>
    </rPh>
    <phoneticPr fontId="4"/>
  </si>
  <si>
    <t>中嶋　祐二</t>
    <rPh sb="0" eb="2">
      <t>ナカシマ</t>
    </rPh>
    <rPh sb="3" eb="5">
      <t>ユウジ</t>
    </rPh>
    <phoneticPr fontId="4"/>
  </si>
  <si>
    <t>レギュラー0.75か月</t>
    <phoneticPr fontId="4"/>
  </si>
  <si>
    <t>グリップ</t>
    <phoneticPr fontId="4"/>
  </si>
  <si>
    <t>CADERO 2×2 PENTAGONスター入り WH/RD 有</t>
    <rPh sb="22" eb="23">
      <t>イ</t>
    </rPh>
    <rPh sb="31" eb="32">
      <t>アリ</t>
    </rPh>
    <phoneticPr fontId="4"/>
  </si>
  <si>
    <t>現金</t>
    <rPh sb="0" eb="2">
      <t>ゲンキン</t>
    </rPh>
    <phoneticPr fontId="4"/>
  </si>
  <si>
    <t>佐藤　裕志</t>
    <rPh sb="0" eb="2">
      <t>サトウ</t>
    </rPh>
    <rPh sb="3" eb="5">
      <t>ヒロシシ</t>
    </rPh>
    <phoneticPr fontId="4"/>
  </si>
  <si>
    <t>販売</t>
    <rPh sb="0" eb="2">
      <t>ハンバイ</t>
    </rPh>
    <phoneticPr fontId="4"/>
  </si>
  <si>
    <t>Arch DR CA-01 24</t>
    <phoneticPr fontId="4"/>
  </si>
  <si>
    <t>FW Arch WL-01-24</t>
    <phoneticPr fontId="4"/>
  </si>
  <si>
    <t>iomic sticky evolution2.3有 ブルー</t>
    <rPh sb="25" eb="26">
      <t>アリ</t>
    </rPh>
    <phoneticPr fontId="4"/>
  </si>
  <si>
    <t>小池　博之</t>
    <rPh sb="0" eb="2">
      <t>コイケ</t>
    </rPh>
    <rPh sb="3" eb="5">
      <t>ヒロユキ</t>
    </rPh>
    <phoneticPr fontId="4"/>
  </si>
  <si>
    <t>夏目　瑠衣</t>
    <rPh sb="0" eb="2">
      <t>ナツメ</t>
    </rPh>
    <rPh sb="3" eb="5">
      <t>ルイ</t>
    </rPh>
    <phoneticPr fontId="4"/>
  </si>
  <si>
    <t>LINEクーポン500円引
小池様がまとめてお支払い</t>
    <rPh sb="11" eb="12">
      <t>エン</t>
    </rPh>
    <rPh sb="12" eb="13">
      <t>イン</t>
    </rPh>
    <rPh sb="14" eb="17">
      <t>コイケサマ</t>
    </rPh>
    <rPh sb="23" eb="25">
      <t>シハラ</t>
    </rPh>
    <phoneticPr fontId="4"/>
  </si>
  <si>
    <t>グローブ</t>
    <phoneticPr fontId="4"/>
  </si>
  <si>
    <t>上岡　知美</t>
    <rPh sb="0" eb="2">
      <t>ウエオカ</t>
    </rPh>
    <rPh sb="3" eb="5">
      <t>トモミ</t>
    </rPh>
    <phoneticPr fontId="4"/>
  </si>
  <si>
    <t>ZERO FIT 白</t>
    <rPh sb="9" eb="10">
      <t>シロ</t>
    </rPh>
    <phoneticPr fontId="4"/>
  </si>
  <si>
    <t>古川　志野</t>
    <rPh sb="0" eb="2">
      <t>フルカワ</t>
    </rPh>
    <rPh sb="3" eb="5">
      <t>シノ</t>
    </rPh>
    <phoneticPr fontId="4"/>
  </si>
  <si>
    <t>ボール</t>
    <phoneticPr fontId="4"/>
  </si>
  <si>
    <t>キャロウェイ CHROME SOFT</t>
    <phoneticPr fontId="4"/>
  </si>
  <si>
    <t>TEE</t>
    <phoneticPr fontId="4"/>
  </si>
  <si>
    <t>Tour Pro ショートティ</t>
    <phoneticPr fontId="4"/>
  </si>
  <si>
    <t>Y360S XT</t>
    <phoneticPr fontId="4"/>
  </si>
  <si>
    <t>伊賀　順平</t>
    <rPh sb="0" eb="2">
      <t>イガ</t>
    </rPh>
    <rPh sb="3" eb="5">
      <t>ジュンペイ</t>
    </rPh>
    <phoneticPr fontId="4"/>
  </si>
  <si>
    <t>レッスンチケット　2枚</t>
    <phoneticPr fontId="4"/>
  </si>
  <si>
    <t>Golf Pride Tour velvet</t>
    <phoneticPr fontId="4"/>
  </si>
  <si>
    <t>iomic sticky soft 2.6 プラチナムグレー有</t>
    <rPh sb="30" eb="31">
      <t>アリ</t>
    </rPh>
    <phoneticPr fontId="4"/>
  </si>
  <si>
    <t>北川　修</t>
    <rPh sb="0" eb="2">
      <t>キタガワ</t>
    </rPh>
    <rPh sb="3" eb="4">
      <t>オサム</t>
    </rPh>
    <phoneticPr fontId="4"/>
  </si>
  <si>
    <t>iomic X-evolution 2.6 スカイブルー無</t>
    <rPh sb="28" eb="29">
      <t>ナシ</t>
    </rPh>
    <phoneticPr fontId="4"/>
  </si>
  <si>
    <t>スリーブ</t>
    <phoneticPr fontId="4"/>
  </si>
  <si>
    <t>PING G410</t>
    <phoneticPr fontId="4"/>
  </si>
  <si>
    <t>日本シャフト NSプロ IRON850 GH S 7I用</t>
    <rPh sb="0" eb="2">
      <t>ニホン</t>
    </rPh>
    <rPh sb="27" eb="28">
      <t>ヨウ</t>
    </rPh>
    <phoneticPr fontId="4"/>
  </si>
  <si>
    <t>下坂　輝基</t>
    <rPh sb="0" eb="2">
      <t>シモサカ</t>
    </rPh>
    <rPh sb="3" eb="5">
      <t>テルモト</t>
    </rPh>
    <phoneticPr fontId="4"/>
  </si>
  <si>
    <t>岩見　真一郎</t>
    <rPh sb="0" eb="2">
      <t>イワミ</t>
    </rPh>
    <rPh sb="3" eb="6">
      <t>シンイチロウ</t>
    </rPh>
    <phoneticPr fontId="4"/>
  </si>
  <si>
    <t>タイトリスト Pro V1X</t>
    <phoneticPr fontId="4"/>
  </si>
  <si>
    <t>レギュラー0.5か月</t>
  </si>
  <si>
    <t>レギュラー0.5か月</t>
    <phoneticPr fontId="4"/>
  </si>
  <si>
    <t>別所　武</t>
    <rPh sb="0" eb="2">
      <t>ベッショ</t>
    </rPh>
    <rPh sb="3" eb="4">
      <t>タケシ</t>
    </rPh>
    <phoneticPr fontId="4"/>
  </si>
  <si>
    <t>藤田プロ</t>
    <rPh sb="0" eb="2">
      <t>フジタ</t>
    </rPh>
    <phoneticPr fontId="4"/>
  </si>
  <si>
    <t>日本シャフト NSプロ パター160gブラック9.4 7H</t>
    <rPh sb="0" eb="2">
      <t>ニホン</t>
    </rPh>
    <phoneticPr fontId="4"/>
  </si>
  <si>
    <t>エリート GeRON TYPE #N1 ﾍﾞﾙﾘﾅﾌﾞﾗｯｸ</t>
    <phoneticPr fontId="4"/>
  </si>
  <si>
    <t>濱田　哲平</t>
    <rPh sb="0" eb="2">
      <t>ハマダ</t>
    </rPh>
    <rPh sb="3" eb="5">
      <t>テッペイ</t>
    </rPh>
    <phoneticPr fontId="4"/>
  </si>
  <si>
    <t>iomic sticky evolution2.3無 ブルー</t>
    <rPh sb="25" eb="26">
      <t>ナ</t>
    </rPh>
    <phoneticPr fontId="4"/>
  </si>
  <si>
    <t>西山　泰弘</t>
    <rPh sb="0" eb="2">
      <t>ニシヤマ</t>
    </rPh>
    <rPh sb="3" eb="5">
      <t>ヤスヒロ</t>
    </rPh>
    <phoneticPr fontId="4"/>
  </si>
  <si>
    <t>千木良　恒平</t>
    <rPh sb="0" eb="1">
      <t>セン</t>
    </rPh>
    <rPh sb="1" eb="2">
      <t>キ</t>
    </rPh>
    <rPh sb="2" eb="3">
      <t>ヨ</t>
    </rPh>
    <rPh sb="4" eb="6">
      <t>コウヘイ</t>
    </rPh>
    <phoneticPr fontId="4"/>
  </si>
  <si>
    <t>フィッティング料(登録プロ紹介)</t>
    <rPh sb="7" eb="8">
      <t>リョウ</t>
    </rPh>
    <rPh sb="9" eb="11">
      <t>トウロク</t>
    </rPh>
    <rPh sb="13" eb="15">
      <t>ショウカイ</t>
    </rPh>
    <phoneticPr fontId="4"/>
  </si>
  <si>
    <t>藤田プロの紹介</t>
    <rPh sb="0" eb="2">
      <t>フジタ</t>
    </rPh>
    <rPh sb="5" eb="7">
      <t>ショウカイ</t>
    </rPh>
    <phoneticPr fontId="4"/>
  </si>
  <si>
    <t>エリート Y360SHﾍﾞﾙﾘﾅﾌﾞﾗｯｸ有</t>
    <rPh sb="21" eb="22">
      <t>アリ</t>
    </rPh>
    <phoneticPr fontId="4"/>
  </si>
  <si>
    <t>STM T series T1</t>
    <phoneticPr fontId="4"/>
  </si>
  <si>
    <t>フジクラ DR VENTUS BLUE5 S</t>
    <phoneticPr fontId="4"/>
  </si>
  <si>
    <t>CADERO ヌンチャク サイズM ゼブラカラー UTRDタイプ</t>
    <phoneticPr fontId="4"/>
  </si>
  <si>
    <t>CADERO 2×2UTペンタゴンB/SILVER</t>
    <phoneticPr fontId="4"/>
  </si>
  <si>
    <t>キャロウェイ</t>
    <phoneticPr fontId="4"/>
  </si>
  <si>
    <t>中村　均</t>
    <rPh sb="0" eb="2">
      <t>ナカムラ</t>
    </rPh>
    <rPh sb="3" eb="4">
      <t>ヒトシ</t>
    </rPh>
    <phoneticPr fontId="4"/>
  </si>
  <si>
    <t>iomic sticky evolution 2.3無</t>
    <rPh sb="26" eb="27">
      <t>ナシ</t>
    </rPh>
    <phoneticPr fontId="4"/>
  </si>
  <si>
    <t>田村　俊浩</t>
    <rPh sb="0" eb="2">
      <t>タムラ</t>
    </rPh>
    <rPh sb="3" eb="5">
      <t>トシヒロ</t>
    </rPh>
    <phoneticPr fontId="4"/>
  </si>
  <si>
    <t>オリムピック DR 03β premium series 65D X</t>
    <phoneticPr fontId="4"/>
  </si>
  <si>
    <t>テーラーメイド</t>
    <phoneticPr fontId="4"/>
  </si>
  <si>
    <t>iomic Xソフト レディース</t>
    <phoneticPr fontId="4"/>
  </si>
  <si>
    <t>原田　和哉</t>
    <rPh sb="0" eb="2">
      <t>ハラダ</t>
    </rPh>
    <rPh sb="3" eb="5">
      <t>カズヤ</t>
    </rPh>
    <phoneticPr fontId="4"/>
  </si>
  <si>
    <t>工賃</t>
    <rPh sb="0" eb="2">
      <t>コウチン</t>
    </rPh>
    <phoneticPr fontId="4"/>
  </si>
  <si>
    <t>スリーブ抜き</t>
    <rPh sb="4" eb="5">
      <t>ヌ</t>
    </rPh>
    <phoneticPr fontId="4"/>
  </si>
  <si>
    <t>スリーブ装着</t>
    <rPh sb="4" eb="6">
      <t>ソウチャク</t>
    </rPh>
    <phoneticPr fontId="4"/>
  </si>
  <si>
    <t>レギュラー1か月</t>
    <phoneticPr fontId="4"/>
  </si>
  <si>
    <t>tr294夏目様の分もお支払い</t>
    <rPh sb="5" eb="7">
      <t>ナツメ</t>
    </rPh>
    <rPh sb="7" eb="8">
      <t>サマ</t>
    </rPh>
    <rPh sb="9" eb="10">
      <t>ブン</t>
    </rPh>
    <rPh sb="12" eb="14">
      <t>シハラ</t>
    </rPh>
    <phoneticPr fontId="4"/>
  </si>
  <si>
    <t>エリート TD50C ベルリナブラック有</t>
    <rPh sb="19" eb="20">
      <t>アリ</t>
    </rPh>
    <phoneticPr fontId="4"/>
  </si>
  <si>
    <t>奥　健太</t>
    <rPh sb="0" eb="1">
      <t>オク</t>
    </rPh>
    <rPh sb="2" eb="4">
      <t>ケンタ</t>
    </rPh>
    <phoneticPr fontId="4"/>
  </si>
  <si>
    <t>高野　真也</t>
    <rPh sb="0" eb="2">
      <t>タカノ</t>
    </rPh>
    <rPh sb="3" eb="5">
      <t>シンヤ</t>
    </rPh>
    <phoneticPr fontId="4"/>
  </si>
  <si>
    <t>エリート パターグリップ RS74</t>
    <phoneticPr fontId="4"/>
  </si>
  <si>
    <t>レギュラー2か月(9月10月分)</t>
    <rPh sb="10" eb="11">
      <t>ガツ</t>
    </rPh>
    <rPh sb="13" eb="14">
      <t>ガツ</t>
    </rPh>
    <rPh sb="14" eb="15">
      <t>ブン</t>
    </rPh>
    <phoneticPr fontId="4"/>
  </si>
  <si>
    <t>レギュラー11月分</t>
    <rPh sb="7" eb="9">
      <t>ガツブン</t>
    </rPh>
    <phoneticPr fontId="4"/>
  </si>
  <si>
    <t>タイトリスト Pro V1</t>
    <phoneticPr fontId="4"/>
  </si>
  <si>
    <t>タイトリスト Pro V1x</t>
    <phoneticPr fontId="4"/>
  </si>
  <si>
    <t>オリムピック UT 01 series 90UT S</t>
    <phoneticPr fontId="4"/>
  </si>
  <si>
    <t>iomic sticky evolution 2.3有</t>
    <rPh sb="26" eb="27">
      <t>アリ</t>
    </rPh>
    <phoneticPr fontId="4"/>
  </si>
  <si>
    <t>吉岡　明彦</t>
    <rPh sb="0" eb="2">
      <t>ヨシオカ</t>
    </rPh>
    <rPh sb="3" eb="5">
      <t>アキヒコ</t>
    </rPh>
    <phoneticPr fontId="4"/>
  </si>
  <si>
    <t>USTマミヤ DR ATTAS FIT H model H-100</t>
    <phoneticPr fontId="4"/>
  </si>
  <si>
    <t>エリート TD50C ネイビー 無</t>
    <rPh sb="16" eb="17">
      <t>ナシ</t>
    </rPh>
    <phoneticPr fontId="4"/>
  </si>
  <si>
    <t>庄村　綾</t>
    <rPh sb="0" eb="2">
      <t>ショウムラ</t>
    </rPh>
    <rPh sb="3" eb="4">
      <t>アヤ</t>
    </rPh>
    <phoneticPr fontId="4"/>
  </si>
  <si>
    <t>岩見　美樹</t>
    <rPh sb="0" eb="2">
      <t>イワミ</t>
    </rPh>
    <rPh sb="3" eb="5">
      <t>ミキ</t>
    </rPh>
    <phoneticPr fontId="4"/>
  </si>
  <si>
    <t>渡邊　勝巳</t>
    <rPh sb="0" eb="2">
      <t>ワタナベ</t>
    </rPh>
    <rPh sb="3" eb="5">
      <t>カツミ</t>
    </rPh>
    <phoneticPr fontId="4"/>
  </si>
  <si>
    <t>渡邊　志乃</t>
    <rPh sb="0" eb="2">
      <t>ワタナベ</t>
    </rPh>
    <rPh sb="3" eb="5">
      <t>シノ</t>
    </rPh>
    <phoneticPr fontId="4"/>
  </si>
  <si>
    <t>LINEクーポン500円引
渡邊勝巳様がまとめてお支払い</t>
    <rPh sb="11" eb="12">
      <t>エン</t>
    </rPh>
    <rPh sb="12" eb="13">
      <t>イン</t>
    </rPh>
    <rPh sb="18" eb="19">
      <t>サマ</t>
    </rPh>
    <rPh sb="25" eb="27">
      <t>シハラ</t>
    </rPh>
    <phoneticPr fontId="4"/>
  </si>
  <si>
    <t>iomic sticky Opus Lady's pink</t>
    <phoneticPr fontId="4"/>
  </si>
  <si>
    <t>スミス　由華</t>
    <rPh sb="4" eb="6">
      <t>ユカ</t>
    </rPh>
    <phoneticPr fontId="4"/>
  </si>
  <si>
    <t>グリップ装着</t>
    <rPh sb="4" eb="6">
      <t>ソウチャク</t>
    </rPh>
    <phoneticPr fontId="4"/>
  </si>
  <si>
    <t>その他特別作業</t>
    <rPh sb="2" eb="3">
      <t>タ</t>
    </rPh>
    <rPh sb="3" eb="5">
      <t>トクベツ</t>
    </rPh>
    <rPh sb="5" eb="7">
      <t>サギョウ</t>
    </rPh>
    <phoneticPr fontId="4"/>
  </si>
  <si>
    <t>渡部　啓子</t>
    <rPh sb="0" eb="2">
      <t>ワタナベ</t>
    </rPh>
    <rPh sb="3" eb="5">
      <t>ケイコ</t>
    </rPh>
    <phoneticPr fontId="4"/>
  </si>
  <si>
    <t>iomic mimic1.5 コーラルレッド/ホワイト有</t>
    <rPh sb="27" eb="28">
      <t>アリ</t>
    </rPh>
    <phoneticPr fontId="4"/>
  </si>
  <si>
    <t>宮崎　定智</t>
    <rPh sb="0" eb="2">
      <t>ミヤザキ</t>
    </rPh>
    <rPh sb="3" eb="5">
      <t>サダトモ</t>
    </rPh>
    <phoneticPr fontId="4"/>
  </si>
  <si>
    <t>黒田　貴恵</t>
    <rPh sb="0" eb="2">
      <t>クロダ</t>
    </rPh>
    <rPh sb="3" eb="5">
      <t>キエ</t>
    </rPh>
    <phoneticPr fontId="4"/>
  </si>
  <si>
    <t>KGUスクール登録料</t>
    <rPh sb="7" eb="9">
      <t>トウロク</t>
    </rPh>
    <rPh sb="9" eb="10">
      <t>リョウ</t>
    </rPh>
    <phoneticPr fontId="4"/>
  </si>
  <si>
    <t>能登原　眞知子</t>
    <rPh sb="0" eb="3">
      <t>ノトハラ</t>
    </rPh>
    <rPh sb="4" eb="7">
      <t>マチコ</t>
    </rPh>
    <phoneticPr fontId="4"/>
  </si>
  <si>
    <t>フジクラ DR ZERO Speeder 1FLEX</t>
    <phoneticPr fontId="4"/>
  </si>
  <si>
    <t>iomic sticky ultra light1.8有 ブラック</t>
    <rPh sb="27" eb="28">
      <t>アリ</t>
    </rPh>
    <phoneticPr fontId="4"/>
  </si>
  <si>
    <t>志野さんのご紹介</t>
    <rPh sb="0" eb="2">
      <t>シノ</t>
    </rPh>
    <rPh sb="6" eb="8">
      <t>ショウカイ</t>
    </rPh>
    <phoneticPr fontId="4"/>
  </si>
  <si>
    <t>PING G400</t>
    <phoneticPr fontId="4"/>
  </si>
  <si>
    <t>吉益　隆樹</t>
    <rPh sb="0" eb="2">
      <t>ヨシマス</t>
    </rPh>
    <rPh sb="3" eb="5">
      <t>タカキ</t>
    </rPh>
    <phoneticPr fontId="4"/>
  </si>
  <si>
    <t>スリクソン Z STAR XV</t>
    <phoneticPr fontId="4"/>
  </si>
  <si>
    <t>叺田　本気</t>
    <rPh sb="0" eb="2">
      <t>カマスダ</t>
    </rPh>
    <rPh sb="3" eb="5">
      <t>ホンキ</t>
    </rPh>
    <phoneticPr fontId="4"/>
  </si>
  <si>
    <t>上田　豊</t>
    <rPh sb="0" eb="2">
      <t>ウエダ</t>
    </rPh>
    <rPh sb="3" eb="4">
      <t>ユタカ</t>
    </rPh>
    <phoneticPr fontId="4"/>
  </si>
  <si>
    <t>宮本　鷹平</t>
    <rPh sb="0" eb="2">
      <t>ミヤモト</t>
    </rPh>
    <rPh sb="3" eb="4">
      <t>タカ</t>
    </rPh>
    <rPh sb="4" eb="5">
      <t>ヘイ</t>
    </rPh>
    <phoneticPr fontId="4"/>
  </si>
  <si>
    <t>新名　清澄</t>
    <rPh sb="0" eb="2">
      <t>シンミョウ</t>
    </rPh>
    <rPh sb="3" eb="5">
      <t>キヨスミ</t>
    </rPh>
    <phoneticPr fontId="4"/>
  </si>
  <si>
    <t>シンカグラファイト FW LEXIA L Series 4R</t>
    <phoneticPr fontId="4"/>
  </si>
  <si>
    <t>フジクラ UT AIR SPEEDERX-PLUS 白</t>
    <phoneticPr fontId="4"/>
  </si>
  <si>
    <t>iomic sticky Lady's</t>
    <phoneticPr fontId="4"/>
  </si>
  <si>
    <t>返金</t>
    <rPh sb="0" eb="2">
      <t>ヘンキン</t>
    </rPh>
    <phoneticPr fontId="4"/>
  </si>
  <si>
    <t>再来(2023年9月24日)</t>
    <rPh sb="0" eb="2">
      <t>サイライ</t>
    </rPh>
    <rPh sb="7" eb="8">
      <t>ネン</t>
    </rPh>
    <rPh sb="9" eb="10">
      <t>ガツ</t>
    </rPh>
    <rPh sb="12" eb="13">
      <t>ニチ</t>
    </rPh>
    <phoneticPr fontId="4"/>
  </si>
  <si>
    <t>奥田　恭三</t>
    <rPh sb="0" eb="2">
      <t>オクダ</t>
    </rPh>
    <rPh sb="3" eb="5">
      <t>キョウゾウ</t>
    </rPh>
    <phoneticPr fontId="4"/>
  </si>
  <si>
    <t>シンカグラファイト UT LOOP SHAFT FOR HYBRID 80S</t>
    <phoneticPr fontId="4"/>
  </si>
  <si>
    <t>金谷　英治</t>
    <rPh sb="0" eb="2">
      <t>カナヤ</t>
    </rPh>
    <rPh sb="3" eb="5">
      <t>エイジ</t>
    </rPh>
    <phoneticPr fontId="4"/>
  </si>
  <si>
    <t>フィッティング料(会員様)</t>
    <rPh sb="7" eb="8">
      <t>リョウ</t>
    </rPh>
    <rPh sb="9" eb="12">
      <t>カイインサマ</t>
    </rPh>
    <phoneticPr fontId="4"/>
  </si>
  <si>
    <t>フジクラ DR SPEEDER NX BLACK 40</t>
    <phoneticPr fontId="4"/>
  </si>
  <si>
    <t>GOLF PRIDE Tour velvet</t>
  </si>
  <si>
    <t>GOLF PRIDE Tour velvet</t>
    <phoneticPr fontId="4"/>
  </si>
  <si>
    <t>再来(2023年3月18日)</t>
    <rPh sb="0" eb="2">
      <t>サイライ</t>
    </rPh>
    <rPh sb="7" eb="8">
      <t>ネン</t>
    </rPh>
    <rPh sb="9" eb="10">
      <t>ガツ</t>
    </rPh>
    <rPh sb="12" eb="13">
      <t>ニチ</t>
    </rPh>
    <phoneticPr fontId="4"/>
  </si>
  <si>
    <t>天野　真知子</t>
    <rPh sb="0" eb="2">
      <t>アマノ</t>
    </rPh>
    <rPh sb="3" eb="6">
      <t>マチコ</t>
    </rPh>
    <phoneticPr fontId="4"/>
  </si>
  <si>
    <t>パターグリップ Super Stroke TRAXION TOUR</t>
    <phoneticPr fontId="4"/>
  </si>
  <si>
    <t>宮本　鷹平</t>
    <rPh sb="0" eb="2">
      <t>ミヤモト</t>
    </rPh>
    <rPh sb="3" eb="5">
      <t>タカヘイ</t>
    </rPh>
    <phoneticPr fontId="4"/>
  </si>
  <si>
    <t>フルフィッティング料(会員様)</t>
    <rPh sb="9" eb="10">
      <t>リョウ</t>
    </rPh>
    <rPh sb="11" eb="14">
      <t>カイインサマ</t>
    </rPh>
    <phoneticPr fontId="4"/>
  </si>
  <si>
    <t>フジクラ DR AIR SPEEDER PLUS 白</t>
    <rPh sb="25" eb="26">
      <t>シロ</t>
    </rPh>
    <phoneticPr fontId="4"/>
  </si>
  <si>
    <t>フジクラ FW AIR SPEEDER PLUS 白</t>
    <rPh sb="25" eb="26">
      <t>シロ</t>
    </rPh>
    <phoneticPr fontId="4"/>
  </si>
  <si>
    <t>フジクラ UT AIR SPEEDER PLUS 白</t>
    <rPh sb="25" eb="26">
      <t>シロ</t>
    </rPh>
    <phoneticPr fontId="4"/>
  </si>
  <si>
    <t>川上　佳孝</t>
    <rPh sb="0" eb="2">
      <t>カワカミ</t>
    </rPh>
    <rPh sb="3" eb="5">
      <t>ヨシタカ</t>
    </rPh>
    <phoneticPr fontId="4"/>
  </si>
  <si>
    <t>染谷　啓</t>
    <rPh sb="0" eb="2">
      <t>ソメヤ</t>
    </rPh>
    <rPh sb="3" eb="4">
      <t>ケイ</t>
    </rPh>
    <phoneticPr fontId="4"/>
  </si>
  <si>
    <t>岸本　美帆</t>
    <rPh sb="0" eb="2">
      <t>キシモト</t>
    </rPh>
    <rPh sb="3" eb="5">
      <t>ミホ</t>
    </rPh>
    <phoneticPr fontId="4"/>
  </si>
  <si>
    <t>参加料</t>
    <rPh sb="0" eb="3">
      <t>サンカリョウ</t>
    </rPh>
    <phoneticPr fontId="4"/>
  </si>
  <si>
    <t>ラウンドレッスン</t>
    <phoneticPr fontId="4"/>
  </si>
  <si>
    <t>2023年10月30日の参加料</t>
    <rPh sb="4" eb="5">
      <t>ネン</t>
    </rPh>
    <rPh sb="7" eb="8">
      <t>ガツ</t>
    </rPh>
    <rPh sb="10" eb="11">
      <t>ニチ</t>
    </rPh>
    <rPh sb="12" eb="15">
      <t>サンカリョウ</t>
    </rPh>
    <phoneticPr fontId="4"/>
  </si>
  <si>
    <t>日本シャフト NSプロ ゼロス7R</t>
    <rPh sb="0" eb="2">
      <t>ニホン</t>
    </rPh>
    <phoneticPr fontId="4"/>
  </si>
  <si>
    <t>iomic sticky evolution2.3 無 レモンイエロー</t>
    <rPh sb="26" eb="27">
      <t>ナシ</t>
    </rPh>
    <phoneticPr fontId="4"/>
  </si>
  <si>
    <t>和島　絢子</t>
    <rPh sb="3" eb="5">
      <t>アヤコ</t>
    </rPh>
    <phoneticPr fontId="4"/>
  </si>
  <si>
    <t>柳澤　興平</t>
    <rPh sb="0" eb="2">
      <t>ヤナギサワ</t>
    </rPh>
    <rPh sb="3" eb="4">
      <t>コウ</t>
    </rPh>
    <rPh sb="4" eb="5">
      <t>タイラ</t>
    </rPh>
    <phoneticPr fontId="4"/>
  </si>
  <si>
    <t>賀光　良太</t>
    <rPh sb="0" eb="1">
      <t>ガ</t>
    </rPh>
    <rPh sb="1" eb="2">
      <t>ヒカ</t>
    </rPh>
    <rPh sb="3" eb="5">
      <t>リョウタ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</si>
  <si>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</si>
  <si>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</si>
  <si>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Arch DR Natural 9 ROSSO 26</t>
    <phoneticPr fontId="4"/>
  </si>
  <si>
    <t>長田　美樹</t>
    <rPh sb="0" eb="2">
      <t>ナガタ</t>
    </rPh>
    <rPh sb="3" eb="5">
      <t>ミキ</t>
    </rPh>
    <phoneticPr fontId="4"/>
  </si>
  <si>
    <t>成田　隼二</t>
    <rPh sb="0" eb="2">
      <t>ナリタ</t>
    </rPh>
    <rPh sb="3" eb="4">
      <t>ハヤブサ</t>
    </rPh>
    <rPh sb="4" eb="5">
      <t>ニ</t>
    </rPh>
    <phoneticPr fontId="4"/>
  </si>
  <si>
    <t>iomic sticky evolution2.3 有 コーラルレッド</t>
    <rPh sb="26" eb="27">
      <t>アリ</t>
    </rPh>
    <phoneticPr fontId="4"/>
  </si>
  <si>
    <t>SINK FIT PISTOL ブラック×ブルー 120g</t>
    <phoneticPr fontId="4"/>
  </si>
  <si>
    <t>片岡　徹夫</t>
    <rPh sb="0" eb="2">
      <t>カタオカ</t>
    </rPh>
    <rPh sb="3" eb="5">
      <t>テツオ</t>
    </rPh>
    <phoneticPr fontId="4"/>
  </si>
  <si>
    <t>GOLD FLEX</t>
    <phoneticPr fontId="4"/>
  </si>
  <si>
    <t>Arch DR Natural 9 ROSSO 21</t>
    <phoneticPr fontId="4"/>
  </si>
  <si>
    <t>チケット0.75か月</t>
    <phoneticPr fontId="4"/>
  </si>
  <si>
    <t>政田　秀治</t>
    <rPh sb="0" eb="2">
      <t>マサダ</t>
    </rPh>
    <rPh sb="3" eb="5">
      <t>ヒデジ</t>
    </rPh>
    <phoneticPr fontId="4"/>
  </si>
  <si>
    <t>タイトリスト PRO V1x</t>
    <phoneticPr fontId="4"/>
  </si>
  <si>
    <t>Arch DR Natural 9 ROSSO 25</t>
    <phoneticPr fontId="4"/>
  </si>
  <si>
    <t>iomic sticky evolution2.3有 コーラルレッド</t>
    <rPh sb="25" eb="26">
      <t>アリ</t>
    </rPh>
    <phoneticPr fontId="4"/>
  </si>
  <si>
    <t>ZERO FIT 20cm 左右 白</t>
    <rPh sb="14" eb="16">
      <t>サユウ</t>
    </rPh>
    <rPh sb="17" eb="18">
      <t>シロ</t>
    </rPh>
    <phoneticPr fontId="4"/>
  </si>
  <si>
    <t>タイトリスト PRO V1x 白</t>
    <rPh sb="15" eb="16">
      <t>シロ</t>
    </rPh>
    <phoneticPr fontId="4"/>
  </si>
  <si>
    <t>野口　大介</t>
    <rPh sb="0" eb="2">
      <t>ノグチ</t>
    </rPh>
    <rPh sb="3" eb="5">
      <t>ダイスケ</t>
    </rPh>
    <phoneticPr fontId="4"/>
  </si>
  <si>
    <t>山口　高司</t>
    <rPh sb="0" eb="2">
      <t>ヤマグチ</t>
    </rPh>
    <rPh sb="3" eb="4">
      <t>タカ</t>
    </rPh>
    <rPh sb="4" eb="5">
      <t>ツカサ</t>
    </rPh>
    <phoneticPr fontId="4"/>
  </si>
  <si>
    <t>試打</t>
    <rPh sb="0" eb="2">
      <t>シダ</t>
    </rPh>
    <phoneticPr fontId="4"/>
  </si>
  <si>
    <t>山口　萌子</t>
    <rPh sb="0" eb="2">
      <t>ヤマグチ</t>
    </rPh>
    <rPh sb="3" eb="5">
      <t>モエコ</t>
    </rPh>
    <phoneticPr fontId="4"/>
  </si>
  <si>
    <t>蟹江　俊郎</t>
    <rPh sb="0" eb="2">
      <t>カニエ</t>
    </rPh>
    <rPh sb="3" eb="5">
      <t>トシロウ</t>
    </rPh>
    <phoneticPr fontId="4"/>
  </si>
  <si>
    <t>Arch FW WH-01-26</t>
    <phoneticPr fontId="4"/>
  </si>
  <si>
    <t>Arch UT U T M F8</t>
    <phoneticPr fontId="4"/>
  </si>
  <si>
    <t>COBRA FW AERO JET 5W</t>
    <phoneticPr fontId="4"/>
  </si>
  <si>
    <t>iomic iXx 1.8 ﾗｲﾄﾌﾞﾙｰ 有</t>
    <rPh sb="22" eb="23">
      <t>アリ</t>
    </rPh>
    <phoneticPr fontId="4"/>
  </si>
  <si>
    <t>リピーターフィッティング料返金</t>
    <rPh sb="12" eb="15">
      <t>リョウヘンキン</t>
    </rPh>
    <phoneticPr fontId="4"/>
  </si>
  <si>
    <t>レギュラーからマスタープラン変更</t>
    <rPh sb="14" eb="16">
      <t>ヘンコウ</t>
    </rPh>
    <phoneticPr fontId="4"/>
  </si>
  <si>
    <t>STM S-1 Light black × berry 有</t>
    <rPh sb="28" eb="29">
      <t>アリ</t>
    </rPh>
    <phoneticPr fontId="4"/>
  </si>
  <si>
    <t>日本シャフト IR NSプロ ゼロス6 35.0inch</t>
    <rPh sb="0" eb="2">
      <t>ニホン</t>
    </rPh>
    <phoneticPr fontId="4"/>
  </si>
  <si>
    <t>iomic sticky evolution 1.8有 ブルー</t>
    <rPh sb="26" eb="27">
      <t>アリ</t>
    </rPh>
    <phoneticPr fontId="4"/>
  </si>
  <si>
    <t>瀧瀬　遥葵</t>
    <rPh sb="0" eb="2">
      <t>タキセ</t>
    </rPh>
    <rPh sb="3" eb="5">
      <t>ハルカアオイ</t>
    </rPh>
    <phoneticPr fontId="4"/>
  </si>
  <si>
    <t>iomic sticky evolution 2.3無 ブルー</t>
    <rPh sb="26" eb="27">
      <t>ナシ</t>
    </rPh>
    <phoneticPr fontId="4"/>
  </si>
  <si>
    <t>ダンロップ Zx series</t>
    <phoneticPr fontId="4"/>
  </si>
  <si>
    <t>芦田　一憲</t>
    <rPh sb="0" eb="2">
      <t>アシダ</t>
    </rPh>
    <rPh sb="3" eb="4">
      <t>イチ</t>
    </rPh>
    <rPh sb="4" eb="5">
      <t>ノリ</t>
    </rPh>
    <phoneticPr fontId="4"/>
  </si>
  <si>
    <t>シンカグラファイト UT LOOP SHAFT FOR HYBRID 70SR</t>
    <phoneticPr fontId="4"/>
  </si>
  <si>
    <t>iomic sticky evolution 1.8無 ブルー</t>
    <rPh sb="26" eb="27">
      <t>ナシ</t>
    </rPh>
    <phoneticPr fontId="4"/>
  </si>
  <si>
    <t>児玉　武史</t>
    <rPh sb="0" eb="2">
      <t>コダマ</t>
    </rPh>
    <rPh sb="3" eb="4">
      <t>タケシ</t>
    </rPh>
    <rPh sb="4" eb="5">
      <t>シ</t>
    </rPh>
    <phoneticPr fontId="4"/>
  </si>
  <si>
    <t>堀　充樹</t>
    <rPh sb="0" eb="1">
      <t>ホリ</t>
    </rPh>
    <rPh sb="2" eb="3">
      <t>ジュウ</t>
    </rPh>
    <rPh sb="3" eb="4">
      <t>キ</t>
    </rPh>
    <phoneticPr fontId="4"/>
  </si>
  <si>
    <t>山根　誉</t>
    <rPh sb="0" eb="2">
      <t>ヤマネ</t>
    </rPh>
    <rPh sb="3" eb="4">
      <t>ホマレ</t>
    </rPh>
    <phoneticPr fontId="4"/>
  </si>
  <si>
    <t>大山　浩史</t>
    <rPh sb="0" eb="2">
      <t>オオヤマ</t>
    </rPh>
    <rPh sb="3" eb="4">
      <t>ヒロ</t>
    </rPh>
    <rPh sb="4" eb="5">
      <t>シ</t>
    </rPh>
    <phoneticPr fontId="4"/>
  </si>
  <si>
    <t>松井　隆</t>
    <rPh sb="0" eb="2">
      <t>マツイ</t>
    </rPh>
    <rPh sb="3" eb="4">
      <t>タカシ</t>
    </rPh>
    <phoneticPr fontId="4"/>
  </si>
  <si>
    <t>滝澤　里菜</t>
    <rPh sb="0" eb="2">
      <t>タキザワ</t>
    </rPh>
    <rPh sb="3" eb="5">
      <t>リナ</t>
    </rPh>
    <phoneticPr fontId="4"/>
  </si>
  <si>
    <t>フィッティング料(プロ紹介)</t>
    <rPh sb="7" eb="8">
      <t>リョウ</t>
    </rPh>
    <rPh sb="11" eb="13">
      <t>ショウカイ</t>
    </rPh>
    <phoneticPr fontId="4"/>
  </si>
  <si>
    <t>フルフィッティング料(プロ紹介)</t>
    <rPh sb="9" eb="10">
      <t>リョウ</t>
    </rPh>
    <rPh sb="13" eb="15">
      <t>ショウカイ</t>
    </rPh>
    <phoneticPr fontId="4"/>
  </si>
  <si>
    <t>GOLF PRIDE TOUR velvet 有</t>
    <rPh sb="23" eb="24">
      <t>アリ</t>
    </rPh>
    <phoneticPr fontId="4"/>
  </si>
  <si>
    <t>榎本プロ紹介</t>
    <rPh sb="0" eb="2">
      <t>エノモト</t>
    </rPh>
    <rPh sb="4" eb="6">
      <t>ショウカイ</t>
    </rPh>
    <phoneticPr fontId="4"/>
  </si>
  <si>
    <t>吉野　勲</t>
    <rPh sb="0" eb="2">
      <t>ヨシノ</t>
    </rPh>
    <rPh sb="3" eb="4">
      <t>イサオ</t>
    </rPh>
    <phoneticPr fontId="4"/>
  </si>
  <si>
    <t>棚田　恵太</t>
    <rPh sb="0" eb="2">
      <t>タナダ</t>
    </rPh>
    <rPh sb="3" eb="5">
      <t>ケイタ</t>
    </rPh>
    <phoneticPr fontId="4"/>
  </si>
  <si>
    <t>望月　洋平</t>
    <rPh sb="0" eb="2">
      <t>モチヅキ</t>
    </rPh>
    <rPh sb="3" eb="5">
      <t>ヨウヘイ</t>
    </rPh>
    <phoneticPr fontId="4"/>
  </si>
  <si>
    <t>LINEクーポン500円引</t>
  </si>
  <si>
    <t>榎本プロ紹介　LINEクーポン500円引</t>
    <rPh sb="0" eb="2">
      <t>エノモト</t>
    </rPh>
    <rPh sb="4" eb="6">
      <t>ショウカイ</t>
    </rPh>
    <phoneticPr fontId="4"/>
  </si>
  <si>
    <t>岩見　涼太</t>
    <rPh sb="0" eb="2">
      <t>イワミ</t>
    </rPh>
    <rPh sb="3" eb="4">
      <t>リョウ</t>
    </rPh>
    <rPh sb="4" eb="5">
      <t>タ</t>
    </rPh>
    <phoneticPr fontId="4"/>
  </si>
  <si>
    <t>2023年11月20日の参加料</t>
    <rPh sb="4" eb="5">
      <t>ネン</t>
    </rPh>
    <rPh sb="7" eb="8">
      <t>ガツ</t>
    </rPh>
    <rPh sb="10" eb="11">
      <t>ニチ</t>
    </rPh>
    <rPh sb="12" eb="15">
      <t>サンカリョウ</t>
    </rPh>
    <phoneticPr fontId="4"/>
  </si>
  <si>
    <t>シンカグラファイト UT LOOP Six TS TR</t>
    <phoneticPr fontId="4"/>
  </si>
  <si>
    <t>フジクラ DR SPD NX GREEN 50S</t>
    <phoneticPr fontId="4"/>
  </si>
  <si>
    <t>エリート Y360S XT ﾍﾞﾙﾘﾅﾌﾞﾗｯｸ 無</t>
    <rPh sb="25" eb="26">
      <t>ナシ</t>
    </rPh>
    <phoneticPr fontId="4"/>
  </si>
  <si>
    <t>中西　祐二</t>
    <rPh sb="0" eb="2">
      <t>ナカニシ</t>
    </rPh>
    <rPh sb="3" eb="5">
      <t>ユウジ</t>
    </rPh>
    <phoneticPr fontId="4"/>
  </si>
  <si>
    <t>山副　達彦</t>
    <rPh sb="0" eb="2">
      <t>ヤマゾエ</t>
    </rPh>
    <rPh sb="3" eb="5">
      <t>タツヒコ</t>
    </rPh>
    <phoneticPr fontId="4"/>
  </si>
  <si>
    <t>鳥居　颯太</t>
    <rPh sb="0" eb="2">
      <t>トリイ</t>
    </rPh>
    <rPh sb="3" eb="5">
      <t>ソウタ</t>
    </rPh>
    <phoneticPr fontId="4"/>
  </si>
  <si>
    <t>鳥居　剛史</t>
    <rPh sb="0" eb="2">
      <t>トリイ</t>
    </rPh>
    <rPh sb="3" eb="4">
      <t>ゴウ</t>
    </rPh>
    <rPh sb="4" eb="5">
      <t>シ</t>
    </rPh>
    <phoneticPr fontId="4"/>
  </si>
  <si>
    <t>LINEクーポン500円引×2
鳥居　剛史様がまとめてお支払い</t>
    <rPh sb="21" eb="22">
      <t>サマ</t>
    </rPh>
    <rPh sb="28" eb="30">
      <t>シハラ</t>
    </rPh>
    <phoneticPr fontId="4"/>
  </si>
  <si>
    <t>和島　浩士</t>
    <rPh sb="0" eb="2">
      <t>ワジマ</t>
    </rPh>
    <rPh sb="3" eb="5">
      <t>コウジ</t>
    </rPh>
    <phoneticPr fontId="4"/>
  </si>
  <si>
    <t>iomic sticky evolution 1.8 無 ブルー</t>
    <rPh sb="27" eb="28">
      <t>ナシ</t>
    </rPh>
    <phoneticPr fontId="4"/>
  </si>
  <si>
    <t>宮川　善行</t>
    <rPh sb="0" eb="2">
      <t>ミヤガワ</t>
    </rPh>
    <rPh sb="3" eb="5">
      <t>ヨシユキ</t>
    </rPh>
    <phoneticPr fontId="4"/>
  </si>
  <si>
    <t>iomic sticky evolution 2.3 無 ブルー</t>
    <rPh sb="27" eb="28">
      <t>ナシ</t>
    </rPh>
    <phoneticPr fontId="4"/>
  </si>
  <si>
    <t>町田　達彦</t>
    <rPh sb="0" eb="2">
      <t>マチダ</t>
    </rPh>
    <rPh sb="3" eb="5">
      <t>タツヒコ</t>
    </rPh>
    <phoneticPr fontId="4"/>
  </si>
  <si>
    <t>COBRA DR AERO JET MAX RH 10.5°</t>
    <phoneticPr fontId="4"/>
  </si>
  <si>
    <t>鈴木　史郎</t>
    <rPh sb="0" eb="2">
      <t>スズキ</t>
    </rPh>
    <rPh sb="3" eb="5">
      <t>シロウ</t>
    </rPh>
    <phoneticPr fontId="4"/>
  </si>
  <si>
    <t>岡本　郁也</t>
    <rPh sb="0" eb="2">
      <t>オカモト</t>
    </rPh>
    <rPh sb="3" eb="5">
      <t>イクヤ</t>
    </rPh>
    <phoneticPr fontId="4"/>
  </si>
  <si>
    <t>CADERO 2×2PENTAGON スター入り ﾌﾞﾗｯｸ×ﾚｯﾄﾞ有</t>
    <rPh sb="22" eb="23">
      <t>イ</t>
    </rPh>
    <rPh sb="35" eb="36">
      <t>アリ</t>
    </rPh>
    <phoneticPr fontId="4"/>
  </si>
  <si>
    <t>CADERO 2×2PENTAGON スター入り ﾌﾞﾗｯｸ×ｼﾙﾊﾞｰ有</t>
    <rPh sb="22" eb="23">
      <t>イ</t>
    </rPh>
    <rPh sb="36" eb="37">
      <t>アリ</t>
    </rPh>
    <phoneticPr fontId="4"/>
  </si>
  <si>
    <t>井上　光博</t>
    <rPh sb="0" eb="2">
      <t>イノウエ</t>
    </rPh>
    <rPh sb="3" eb="4">
      <t>ヒカリ</t>
    </rPh>
    <phoneticPr fontId="4"/>
  </si>
  <si>
    <t>iomic sticky2.3 soft M60 プラチナムグレー</t>
    <phoneticPr fontId="4"/>
  </si>
  <si>
    <t>株式会社トガワ(法人会員)</t>
    <rPh sb="0" eb="4">
      <t>カブシキカイシャ</t>
    </rPh>
    <rPh sb="8" eb="12">
      <t>ホウジンカイイン</t>
    </rPh>
    <phoneticPr fontId="4"/>
  </si>
  <si>
    <t>奥　秀之</t>
    <rPh sb="0" eb="1">
      <t>オク</t>
    </rPh>
    <rPh sb="2" eb="4">
      <t>ヒデユキ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</si>
  <si>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</si>
  <si>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</si>
  <si>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ZERO FIT 白 19cm 左</t>
    <rPh sb="9" eb="10">
      <t>シロ</t>
    </rPh>
    <rPh sb="16" eb="17">
      <t>ヒダリ</t>
    </rPh>
    <phoneticPr fontId="4"/>
  </si>
  <si>
    <t>藤田プロ</t>
    <rPh sb="0" eb="2">
      <t>フジタ</t>
    </rPh>
    <phoneticPr fontId="4"/>
  </si>
  <si>
    <t>トゥールテンパー DGI S400 テーパー 37.0inch</t>
    <phoneticPr fontId="4"/>
  </si>
  <si>
    <t>冨川　美香子</t>
    <rPh sb="0" eb="2">
      <t>トミカワ</t>
    </rPh>
    <rPh sb="3" eb="6">
      <t>ミカコ</t>
    </rPh>
    <phoneticPr fontId="4"/>
  </si>
  <si>
    <t>GOLF PRIDE TOUR VELVET 無</t>
    <rPh sb="23" eb="24">
      <t>ナシ</t>
    </rPh>
    <phoneticPr fontId="4"/>
  </si>
  <si>
    <t>岩見　美樹</t>
    <rPh sb="0" eb="2">
      <t>イワミ</t>
    </rPh>
    <rPh sb="3" eb="5">
      <t>ミキ</t>
    </rPh>
    <phoneticPr fontId="4"/>
  </si>
  <si>
    <t>パターグリップ</t>
    <phoneticPr fontId="4"/>
  </si>
  <si>
    <t>RS74 ｼﾙﾊﾞｰﾎﾜｲﾄ</t>
    <phoneticPr fontId="4"/>
  </si>
  <si>
    <t>谷川　愛</t>
    <rPh sb="0" eb="2">
      <t>タニガワ</t>
    </rPh>
    <rPh sb="3" eb="4">
      <t>アイ</t>
    </rPh>
    <phoneticPr fontId="4"/>
  </si>
  <si>
    <t>タイトリスト PRO V1</t>
    <phoneticPr fontId="4"/>
  </si>
  <si>
    <t>古川プロ</t>
    <rPh sb="0" eb="2">
      <t>フルカワ</t>
    </rPh>
    <phoneticPr fontId="4"/>
  </si>
  <si>
    <t>販売</t>
    <rPh sb="0" eb="2">
      <t>ハンバイ</t>
    </rPh>
    <phoneticPr fontId="4"/>
  </si>
  <si>
    <t>日本シャフト NS PRO 950GH R 35.0inch</t>
    <rPh sb="0" eb="2">
      <t>ニホン</t>
    </rPh>
    <phoneticPr fontId="4"/>
  </si>
  <si>
    <t>担当スタッフ</t>
    <rPh sb="0" eb="2">
      <t>タントウ</t>
    </rPh>
    <phoneticPr fontId="4"/>
  </si>
  <si>
    <t>会員</t>
    <rPh sb="0" eb="2">
      <t>カイイン</t>
    </rPh>
    <phoneticPr fontId="4"/>
  </si>
  <si>
    <t>コンペ参加料</t>
    <rPh sb="3" eb="6">
      <t>サンカリョウ</t>
    </rPh>
    <phoneticPr fontId="4"/>
  </si>
  <si>
    <t>エアレジ未登録</t>
    <rPh sb="4" eb="7">
      <t>ミトウロク</t>
    </rPh>
    <phoneticPr fontId="4"/>
  </si>
  <si>
    <t>11/17に2本返品</t>
    <rPh sb="7" eb="8">
      <t>ホン</t>
    </rPh>
    <rPh sb="8" eb="10">
      <t>ヘンピン</t>
    </rPh>
    <phoneticPr fontId="4"/>
  </si>
  <si>
    <t>返品</t>
    <rPh sb="0" eb="1">
      <t>ヘン</t>
    </rPh>
    <rPh sb="1" eb="2">
      <t>シナ</t>
    </rPh>
    <phoneticPr fontId="4"/>
  </si>
  <si>
    <t>11/11会計分、返品されました</t>
    <rPh sb="5" eb="8">
      <t>カイケイブン</t>
    </rPh>
    <rPh sb="9" eb="11">
      <t>ヘンピン</t>
    </rPh>
    <phoneticPr fontId="4"/>
  </si>
  <si>
    <t>吉田　一貴</t>
    <rPh sb="0" eb="2">
      <t>ヨシダ</t>
    </rPh>
    <rPh sb="3" eb="4">
      <t>イチ</t>
    </rPh>
    <rPh sb="4" eb="5">
      <t>タカシ</t>
    </rPh>
    <phoneticPr fontId="4"/>
  </si>
  <si>
    <t>BALDO DRIVER SKY DRIVE 10.5°</t>
    <phoneticPr fontId="4"/>
  </si>
  <si>
    <t>レッスンチケット　11枚</t>
    <phoneticPr fontId="4"/>
  </si>
  <si>
    <t>ボール</t>
    <phoneticPr fontId="4"/>
  </si>
  <si>
    <t>シャフト</t>
    <phoneticPr fontId="4"/>
  </si>
  <si>
    <t>COBRA FW AERO JET 3W</t>
    <phoneticPr fontId="4"/>
  </si>
  <si>
    <t>ヘッド</t>
    <phoneticPr fontId="4"/>
  </si>
  <si>
    <t>PING UT G430 5UT</t>
    <phoneticPr fontId="4"/>
  </si>
  <si>
    <t>グリップ</t>
    <phoneticPr fontId="4"/>
  </si>
  <si>
    <t>タイトリスト PRO V1</t>
    <phoneticPr fontId="4"/>
  </si>
  <si>
    <t>ティ</t>
    <phoneticPr fontId="4"/>
  </si>
  <si>
    <t>TOUR TEE LIMITED EDITION</t>
    <phoneticPr fontId="4"/>
  </si>
  <si>
    <t>ブリヂストン TOUR B JGR パールピンク</t>
    <phoneticPr fontId="4"/>
  </si>
  <si>
    <t>USTマミヤ DR ATTAS KING 4S</t>
    <phoneticPr fontId="4"/>
  </si>
  <si>
    <t>スリーブ</t>
    <phoneticPr fontId="4"/>
  </si>
  <si>
    <t>シンカグラファイト UT LOOP SHAFT FOR HYBRID 70SR</t>
    <phoneticPr fontId="4"/>
  </si>
  <si>
    <t>フジクラ DR VENTUS BLUE 5 R</t>
    <phoneticPr fontId="4"/>
  </si>
  <si>
    <t>レギュラー1か月</t>
    <phoneticPr fontId="4"/>
  </si>
  <si>
    <t>グローブ</t>
    <phoneticPr fontId="4"/>
  </si>
  <si>
    <t>GOLF PRIDE TOUR SNSR CONTOUR PRO 104cc グレー</t>
    <phoneticPr fontId="4"/>
  </si>
  <si>
    <t>LINEクーポン500円引</t>
    <phoneticPr fontId="4"/>
  </si>
  <si>
    <t>BAHAMA EMILLID BAHAMA CV11 PRO 11°</t>
    <phoneticPr fontId="4"/>
  </si>
  <si>
    <t>グラファイトデザイン UT Tour AD DI-85 S</t>
    <phoneticPr fontId="4"/>
  </si>
  <si>
    <t>レギュラー1か月</t>
    <phoneticPr fontId="4"/>
  </si>
  <si>
    <t>レギュラー0.25か月</t>
    <phoneticPr fontId="4"/>
  </si>
  <si>
    <t>マスター1か月</t>
    <phoneticPr fontId="4"/>
  </si>
  <si>
    <t>COBRA DR AERO JET MAX RH 9°</t>
    <phoneticPr fontId="4"/>
  </si>
  <si>
    <t>タイトリスト PRO V1x</t>
    <phoneticPr fontId="4"/>
  </si>
  <si>
    <t>GOLF PRIDE TOUR VELVET</t>
    <phoneticPr fontId="4"/>
  </si>
  <si>
    <t>ZERO FIT 24cm</t>
    <phoneticPr fontId="4"/>
  </si>
  <si>
    <t>オリムピック DR 07 Premium series D-6 X</t>
    <phoneticPr fontId="4"/>
  </si>
  <si>
    <t>井殿</t>
    <rPh sb="0" eb="2">
      <t>イドノ</t>
    </rPh>
    <phoneticPr fontId="4"/>
  </si>
  <si>
    <t>古川</t>
    <rPh sb="0" eb="2">
      <t>フルカワ</t>
    </rPh>
    <phoneticPr fontId="4"/>
  </si>
  <si>
    <t>榎本</t>
    <rPh sb="0" eb="2">
      <t>エノモト</t>
    </rPh>
    <phoneticPr fontId="4"/>
  </si>
  <si>
    <t>不明</t>
    <rPh sb="0" eb="2">
      <t>フメイ</t>
    </rPh>
    <phoneticPr fontId="4"/>
  </si>
  <si>
    <t>藤田</t>
    <rPh sb="0" eb="2">
      <t>フジタ</t>
    </rPh>
    <phoneticPr fontId="4"/>
  </si>
  <si>
    <t>会員家族</t>
    <rPh sb="0" eb="2">
      <t>カイイン</t>
    </rPh>
    <rPh sb="2" eb="4">
      <t>カゾク</t>
    </rPh>
    <phoneticPr fontId="4"/>
  </si>
  <si>
    <t>TEE</t>
    <phoneticPr fontId="4"/>
  </si>
  <si>
    <t>TOUR TEE</t>
    <phoneticPr fontId="4"/>
  </si>
  <si>
    <t>土谷　あや子</t>
    <rPh sb="0" eb="2">
      <t>ツチタニ</t>
    </rPh>
    <rPh sb="5" eb="6">
      <t>コ</t>
    </rPh>
    <phoneticPr fontId="4"/>
  </si>
  <si>
    <t>販売</t>
    <rPh sb="0" eb="2">
      <t>ハンバイ</t>
    </rPh>
    <phoneticPr fontId="4"/>
  </si>
  <si>
    <t>グローブ</t>
    <phoneticPr fontId="4"/>
  </si>
  <si>
    <t>ZERO FIT 23cm 左</t>
    <rPh sb="14" eb="15">
      <t>ヒダリ</t>
    </rPh>
    <phoneticPr fontId="4"/>
  </si>
  <si>
    <t>iomic sticky2.3 soft M60 プラチナムグレー</t>
  </si>
  <si>
    <t>現金</t>
    <rPh sb="0" eb="2">
      <t>ゲンキン</t>
    </rPh>
    <phoneticPr fontId="4"/>
  </si>
  <si>
    <t>ウェイトアップ</t>
    <phoneticPr fontId="4"/>
  </si>
  <si>
    <t>上岡　知美</t>
    <rPh sb="0" eb="2">
      <t>ウエオカ</t>
    </rPh>
    <rPh sb="3" eb="5">
      <t>トモミ</t>
    </rPh>
    <phoneticPr fontId="4"/>
  </si>
  <si>
    <t>販売</t>
    <rPh sb="0" eb="2">
      <t>ハンバイ</t>
    </rPh>
    <phoneticPr fontId="4"/>
  </si>
  <si>
    <t>グローブ</t>
    <phoneticPr fontId="4"/>
  </si>
  <si>
    <t>ZERO FIT 白</t>
    <rPh sb="9" eb="10">
      <t>シロ</t>
    </rPh>
    <phoneticPr fontId="4"/>
  </si>
  <si>
    <t>現金</t>
    <rPh sb="0" eb="2">
      <t>ゲンキン</t>
    </rPh>
    <phoneticPr fontId="4"/>
  </si>
  <si>
    <t>藤田プロ</t>
    <rPh sb="0" eb="2">
      <t>フジタ</t>
    </rPh>
    <phoneticPr fontId="4"/>
  </si>
  <si>
    <t>キャロウェイ</t>
  </si>
  <si>
    <t>キャロウェイ</t>
    <phoneticPr fontId="4"/>
  </si>
  <si>
    <t>スリーブ</t>
  </si>
  <si>
    <t>スリーブ</t>
    <phoneticPr fontId="4"/>
  </si>
  <si>
    <t>iomic sticky evolution 2.3 ブルー 無</t>
    <rPh sb="31" eb="32">
      <t>ナシ</t>
    </rPh>
    <phoneticPr fontId="4"/>
  </si>
  <si>
    <t>加藤　玲明</t>
    <rPh sb="0" eb="2">
      <t>カトウ</t>
    </rPh>
    <rPh sb="3" eb="4">
      <t>レイ</t>
    </rPh>
    <rPh sb="4" eb="5">
      <t>メイ</t>
    </rPh>
    <phoneticPr fontId="4"/>
  </si>
  <si>
    <t>ヘッド</t>
    <phoneticPr fontId="4"/>
  </si>
  <si>
    <t>キャロウェイ DR PARADYM 10.5°</t>
    <phoneticPr fontId="4"/>
  </si>
  <si>
    <t>フジクラ DR DIAMOND SPEEDER SPD4 S</t>
    <phoneticPr fontId="4"/>
  </si>
  <si>
    <t>パター</t>
    <phoneticPr fontId="4"/>
  </si>
  <si>
    <t>BALDO TT MILLED PUTTER MONZA2 ロングネック</t>
    <phoneticPr fontId="4"/>
  </si>
  <si>
    <t>iomic sticky evolution 2.3ブルー 有</t>
    <rPh sb="30" eb="31">
      <t>アリ</t>
    </rPh>
    <phoneticPr fontId="4"/>
  </si>
  <si>
    <t>奥田　利之</t>
    <rPh sb="0" eb="2">
      <t>オクダ</t>
    </rPh>
    <rPh sb="3" eb="5">
      <t>トシユキ</t>
    </rPh>
    <phoneticPr fontId="4"/>
  </si>
  <si>
    <t>冨川　晃太郎</t>
    <rPh sb="0" eb="2">
      <t>トミガワ</t>
    </rPh>
    <rPh sb="3" eb="4">
      <t>アキラ</t>
    </rPh>
    <rPh sb="4" eb="6">
      <t>タロウ</t>
    </rPh>
    <phoneticPr fontId="4"/>
  </si>
  <si>
    <t>参加料</t>
    <rPh sb="0" eb="3">
      <t>サンカリョウ</t>
    </rPh>
    <phoneticPr fontId="4"/>
  </si>
  <si>
    <t>コンペ</t>
  </si>
  <si>
    <t>コンペ</t>
    <phoneticPr fontId="4"/>
  </si>
  <si>
    <t>コンペキャンセルフィー</t>
    <phoneticPr fontId="4"/>
  </si>
  <si>
    <t>チケット2か月分</t>
    <rPh sb="7" eb="8">
      <t>ブン</t>
    </rPh>
    <phoneticPr fontId="4"/>
  </si>
  <si>
    <t>松田　博文</t>
    <rPh sb="0" eb="2">
      <t>マツダ</t>
    </rPh>
    <rPh sb="3" eb="5">
      <t>ヒロフミ</t>
    </rPh>
    <phoneticPr fontId="4"/>
  </si>
  <si>
    <t>岩見　美樹</t>
    <rPh sb="0" eb="2">
      <t>イワミ</t>
    </rPh>
    <rPh sb="3" eb="5">
      <t>ミキ</t>
    </rPh>
    <phoneticPr fontId="4"/>
  </si>
  <si>
    <t>ブリジストン TOUR B JGR MATTE RED</t>
    <phoneticPr fontId="4"/>
  </si>
  <si>
    <t>送料</t>
    <rPh sb="0" eb="2">
      <t>ソウリョウ</t>
    </rPh>
    <phoneticPr fontId="4"/>
  </si>
  <si>
    <t>12月4日納品分の送料</t>
    <rPh sb="2" eb="3">
      <t>ガツ</t>
    </rPh>
    <rPh sb="4" eb="5">
      <t>ニチ</t>
    </rPh>
    <rPh sb="5" eb="8">
      <t>ノウヒンブン</t>
    </rPh>
    <rPh sb="9" eb="11">
      <t>ソウリョウ</t>
    </rPh>
    <phoneticPr fontId="4"/>
  </si>
  <si>
    <t>タイトリスト PRO V1x 白</t>
    <rPh sb="15" eb="16">
      <t>シロ</t>
    </rPh>
    <phoneticPr fontId="4"/>
  </si>
  <si>
    <t>iomic sticky evolution 2.3 コーラルレッド 無</t>
    <rPh sb="35" eb="36">
      <t>ナシ</t>
    </rPh>
    <phoneticPr fontId="4"/>
  </si>
  <si>
    <t>奥　秀之</t>
    <rPh sb="0" eb="1">
      <t>オク</t>
    </rPh>
    <rPh sb="2" eb="4">
      <t>ヒデユキ</t>
    </rPh>
    <phoneticPr fontId="4"/>
  </si>
  <si>
    <t>渡邉　廣文</t>
    <rPh sb="0" eb="2">
      <t>ワタナベ</t>
    </rPh>
    <rPh sb="3" eb="4">
      <t>ヒロシ</t>
    </rPh>
    <rPh sb="4" eb="5">
      <t>ブン</t>
    </rPh>
    <phoneticPr fontId="4"/>
  </si>
  <si>
    <t>フジクラ DR SPD NX GREEN 60S</t>
    <phoneticPr fontId="4"/>
  </si>
  <si>
    <t>フジクラ DR VENTUS TR 5S</t>
    <phoneticPr fontId="4"/>
  </si>
  <si>
    <t>STM G-Rex</t>
    <phoneticPr fontId="4"/>
  </si>
  <si>
    <t>宮本　鷹平</t>
    <rPh sb="0" eb="2">
      <t>ミヤモト</t>
    </rPh>
    <rPh sb="3" eb="4">
      <t>タカ</t>
    </rPh>
    <rPh sb="4" eb="5">
      <t>ヘイ</t>
    </rPh>
    <phoneticPr fontId="4"/>
  </si>
  <si>
    <t>GOLF PRIDE TOUR VELVET 無</t>
    <rPh sb="23" eb="24">
      <t>ナシ</t>
    </rPh>
    <phoneticPr fontId="4"/>
  </si>
  <si>
    <t>土井　啓雄</t>
    <rPh sb="0" eb="2">
      <t>ドイ</t>
    </rPh>
    <rPh sb="3" eb="4">
      <t>ケイ</t>
    </rPh>
    <rPh sb="4" eb="5">
      <t>オ</t>
    </rPh>
    <phoneticPr fontId="4"/>
  </si>
  <si>
    <t>フジクラ DR SPD NX BLACK 50S</t>
    <phoneticPr fontId="4"/>
  </si>
  <si>
    <t>ZERO FIT 23cm 左 白</t>
    <rPh sb="14" eb="15">
      <t>ヒダリ</t>
    </rPh>
    <rPh sb="16" eb="17">
      <t>シロ</t>
    </rPh>
    <phoneticPr fontId="4"/>
  </si>
  <si>
    <t>澤原 延樹</t>
    <rPh sb="0" eb="2">
      <t>サワハラ</t>
    </rPh>
    <rPh sb="3" eb="5">
      <t>ノブキ</t>
    </rPh>
    <phoneticPr fontId="2"/>
  </si>
  <si>
    <t>澤原 智子</t>
    <rPh sb="0" eb="2">
      <t>サワハラ</t>
    </rPh>
    <rPh sb="3" eb="5">
      <t>トモコ</t>
    </rPh>
    <phoneticPr fontId="2"/>
  </si>
  <si>
    <t>登録料</t>
    <rPh sb="0" eb="3">
      <t>トウロクリョウ</t>
    </rPh>
    <phoneticPr fontId="4"/>
  </si>
  <si>
    <t>KGU</t>
  </si>
  <si>
    <t>KGU</t>
    <phoneticPr fontId="4"/>
  </si>
  <si>
    <t>KGU初心者スクール 登録料</t>
    <rPh sb="3" eb="6">
      <t>ショシンシャ</t>
    </rPh>
    <rPh sb="11" eb="14">
      <t>トウロクリョウ</t>
    </rPh>
    <phoneticPr fontId="4"/>
  </si>
  <si>
    <t>北川　瑞貴</t>
    <rPh sb="0" eb="2">
      <t>キタガワ</t>
    </rPh>
    <rPh sb="3" eb="5">
      <t>ミズキ</t>
    </rPh>
    <phoneticPr fontId="4"/>
  </si>
  <si>
    <t>ZERO FIT 左</t>
    <rPh sb="9" eb="10">
      <t>ヒダリ</t>
    </rPh>
    <phoneticPr fontId="4"/>
  </si>
  <si>
    <t>iomic sticky evolution 2.3 コーラルレッド 有</t>
    <rPh sb="35" eb="36">
      <t>アリ</t>
    </rPh>
    <phoneticPr fontId="4"/>
  </si>
  <si>
    <t>上田　恭司</t>
    <rPh sb="0" eb="2">
      <t>ウエダ</t>
    </rPh>
    <rPh sb="3" eb="5">
      <t>キョウジ</t>
    </rPh>
    <phoneticPr fontId="4"/>
  </si>
  <si>
    <t>タイトリスト PRO V1x</t>
    <phoneticPr fontId="4"/>
  </si>
  <si>
    <t>権東　久喜</t>
    <rPh sb="0" eb="2">
      <t>ゴンドウ</t>
    </rPh>
    <rPh sb="3" eb="5">
      <t>ヒサキ</t>
    </rPh>
    <phoneticPr fontId="4"/>
  </si>
  <si>
    <t>上田　愛子</t>
    <rPh sb="0" eb="2">
      <t>ウエダ</t>
    </rPh>
    <rPh sb="3" eb="5">
      <t>アイコ</t>
    </rPh>
    <phoneticPr fontId="4"/>
  </si>
  <si>
    <t>レギュラー0.25か月</t>
    <phoneticPr fontId="4"/>
  </si>
  <si>
    <t>石本　脩真</t>
  </si>
  <si>
    <t>石川　美由紀</t>
    <rPh sb="0" eb="2">
      <t>イシカワ</t>
    </rPh>
    <rPh sb="3" eb="6">
      <t>ミユキ</t>
    </rPh>
    <phoneticPr fontId="4"/>
  </si>
  <si>
    <t>西﨑 香織</t>
    <rPh sb="0" eb="1">
      <t>ニシ</t>
    </rPh>
    <rPh sb="1" eb="2">
      <t>サキ</t>
    </rPh>
    <rPh sb="3" eb="5">
      <t>カオリ</t>
    </rPh>
    <phoneticPr fontId="2"/>
  </si>
  <si>
    <t>浦里　繫樹</t>
    <rPh sb="0" eb="2">
      <t>ウラザト</t>
    </rPh>
    <rPh sb="3" eb="4">
      <t>カカ</t>
    </rPh>
    <rPh sb="4" eb="5">
      <t>キ</t>
    </rPh>
    <phoneticPr fontId="4"/>
  </si>
  <si>
    <t>Arch Natural 9 ROSSO 23</t>
    <phoneticPr fontId="4"/>
  </si>
  <si>
    <t>土山　珠季</t>
    <rPh sb="0" eb="2">
      <t>ツチヤマ</t>
    </rPh>
    <rPh sb="3" eb="4">
      <t>タマ</t>
    </rPh>
    <rPh sb="4" eb="5">
      <t>キ</t>
    </rPh>
    <phoneticPr fontId="4"/>
  </si>
  <si>
    <t>体験利用(家族利用)</t>
    <rPh sb="0" eb="4">
      <t>タイケンリヨウ</t>
    </rPh>
    <rPh sb="5" eb="9">
      <t>カゾクリヨウ</t>
    </rPh>
    <phoneticPr fontId="4"/>
  </si>
  <si>
    <t>古川　志野</t>
    <rPh sb="0" eb="2">
      <t>フルカワ</t>
    </rPh>
    <rPh sb="3" eb="5">
      <t>シノ</t>
    </rPh>
    <phoneticPr fontId="4"/>
  </si>
  <si>
    <t xml:space="preserve">ZERO FIT </t>
    <phoneticPr fontId="4"/>
  </si>
  <si>
    <t>宮坂　月子</t>
    <rPh sb="0" eb="2">
      <t>ミヤサカ</t>
    </rPh>
    <rPh sb="3" eb="5">
      <t>ツキコ</t>
    </rPh>
    <phoneticPr fontId="4"/>
  </si>
  <si>
    <t>三菱ケミカル DR VANQUISH 4R</t>
    <rPh sb="0" eb="2">
      <t>ミツビシ</t>
    </rPh>
    <phoneticPr fontId="4"/>
  </si>
  <si>
    <t>平岡　史生</t>
    <rPh sb="0" eb="2">
      <t>ヒラオカ</t>
    </rPh>
    <rPh sb="3" eb="5">
      <t>フミイキル</t>
    </rPh>
    <phoneticPr fontId="4"/>
  </si>
  <si>
    <t>藤澤　恵子</t>
    <rPh sb="0" eb="2">
      <t>フジサワ</t>
    </rPh>
    <rPh sb="3" eb="5">
      <t>メグミコ</t>
    </rPh>
    <phoneticPr fontId="4"/>
  </si>
  <si>
    <t>2023年12月21日の参加料</t>
    <rPh sb="4" eb="5">
      <t>ネン</t>
    </rPh>
    <rPh sb="7" eb="8">
      <t>ガツ</t>
    </rPh>
    <rPh sb="10" eb="11">
      <t>ニチ</t>
    </rPh>
    <rPh sb="12" eb="15">
      <t>サンカリョウ</t>
    </rPh>
    <phoneticPr fontId="4"/>
  </si>
  <si>
    <t>古川</t>
    <rPh sb="0" eb="2">
      <t>フルカワ</t>
    </rPh>
    <phoneticPr fontId="4"/>
  </si>
  <si>
    <t>藤田</t>
    <rPh sb="0" eb="2">
      <t>フジタ</t>
    </rPh>
    <phoneticPr fontId="4"/>
  </si>
  <si>
    <t>井殿</t>
    <rPh sb="0" eb="2">
      <t>イドノ</t>
    </rPh>
    <phoneticPr fontId="4"/>
  </si>
  <si>
    <t>大関　誠</t>
    <rPh sb="0" eb="2">
      <t>オオゼキ</t>
    </rPh>
    <rPh sb="3" eb="4">
      <t>マコト</t>
    </rPh>
    <phoneticPr fontId="4"/>
  </si>
  <si>
    <t>休会 事務手数料 3ヶ月</t>
    <rPh sb="11" eb="12">
      <t>ゲツ</t>
    </rPh>
    <phoneticPr fontId="4"/>
  </si>
  <si>
    <t>現金</t>
    <rPh sb="0" eb="2">
      <t>ゲンキン</t>
    </rPh>
    <phoneticPr fontId="4"/>
  </si>
  <si>
    <t>iomic X-Opus Black ブラック×グリーン 有</t>
    <rPh sb="29" eb="30">
      <t>アリ</t>
    </rPh>
    <phoneticPr fontId="4"/>
  </si>
  <si>
    <t>ヘッド</t>
    <phoneticPr fontId="4"/>
  </si>
  <si>
    <t>BALDO DR SKY DRIVE Ver,1(試打現品)</t>
    <rPh sb="25" eb="27">
      <t>シダ</t>
    </rPh>
    <rPh sb="27" eb="29">
      <t>ゲンピン</t>
    </rPh>
    <phoneticPr fontId="4"/>
  </si>
  <si>
    <t>BALDO FW 2022 CORSA 右 5W</t>
    <rPh sb="20" eb="21">
      <t>ミギ</t>
    </rPh>
    <phoneticPr fontId="4"/>
  </si>
  <si>
    <t>BALDO UT 2022 CORSA 右 24°</t>
    <rPh sb="20" eb="21">
      <t>ミギ</t>
    </rPh>
    <phoneticPr fontId="4"/>
  </si>
  <si>
    <t>BALDO UT 2022 CORSA 右 27°</t>
    <rPh sb="20" eb="21">
      <t>ミギ</t>
    </rPh>
    <phoneticPr fontId="4"/>
  </si>
  <si>
    <t>BALDO DR用</t>
    <rPh sb="8" eb="9">
      <t>ヨウ</t>
    </rPh>
    <phoneticPr fontId="4"/>
  </si>
  <si>
    <t>BALDO FW用</t>
    <rPh sb="8" eb="9">
      <t>ヨウ</t>
    </rPh>
    <phoneticPr fontId="4"/>
  </si>
  <si>
    <t>BALDO UT用</t>
    <rPh sb="8" eb="9">
      <t>ヨウ</t>
    </rPh>
    <phoneticPr fontId="4"/>
  </si>
  <si>
    <t>ヘッドカバー</t>
    <phoneticPr fontId="4"/>
  </si>
  <si>
    <t>フジクラ DR SPD NX GREEN 40S</t>
    <phoneticPr fontId="4"/>
  </si>
  <si>
    <t>フジクラ UT MCH MCH 60S</t>
    <phoneticPr fontId="4"/>
  </si>
  <si>
    <t>フィッティング料 会員様</t>
    <rPh sb="7" eb="8">
      <t>リョウ</t>
    </rPh>
    <rPh sb="9" eb="12">
      <t>カイインサマ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</si>
  <si>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</si>
  <si>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</si>
  <si>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GOLF PRIDE TOUR VELVET</t>
    <phoneticPr fontId="4"/>
  </si>
  <si>
    <t>エリート スティングレー M58</t>
    <phoneticPr fontId="4"/>
  </si>
  <si>
    <t>販売</t>
    <rPh sb="0" eb="2">
      <t>ハンバイ</t>
    </rPh>
    <phoneticPr fontId="4"/>
  </si>
  <si>
    <t>タイトリスト PRO V1</t>
    <phoneticPr fontId="4"/>
  </si>
  <si>
    <t>現金</t>
    <rPh sb="0" eb="2">
      <t>ゲンキン</t>
    </rPh>
    <phoneticPr fontId="4"/>
  </si>
  <si>
    <t>松田　博文</t>
    <rPh sb="0" eb="2">
      <t>マツダ</t>
    </rPh>
    <rPh sb="3" eb="5">
      <t>ヒロフミ</t>
    </rPh>
    <phoneticPr fontId="4"/>
  </si>
  <si>
    <t>シンカグラファイト DR Zinger6</t>
    <phoneticPr fontId="4"/>
  </si>
  <si>
    <t>古川プロ</t>
    <rPh sb="0" eb="2">
      <t>フルカワ</t>
    </rPh>
    <phoneticPr fontId="4"/>
  </si>
  <si>
    <t>TEE</t>
    <phoneticPr fontId="4"/>
  </si>
  <si>
    <t xml:space="preserve">TOR TEE </t>
    <phoneticPr fontId="4"/>
  </si>
  <si>
    <t>オリムピック DR 07 Premium series D-5 S</t>
    <phoneticPr fontId="4"/>
  </si>
  <si>
    <t>キャロウェイ</t>
    <phoneticPr fontId="4"/>
  </si>
  <si>
    <t>iomic sticky evolution 2.3 ブルー 有</t>
    <rPh sb="31" eb="32">
      <t>アリ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</si>
  <si>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</si>
  <si>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</si>
  <si>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iomic X-evolution 2.3 ﾚｯﾄﾞ有</t>
    <rPh sb="26" eb="27">
      <t>アリ</t>
    </rPh>
    <phoneticPr fontId="4"/>
  </si>
  <si>
    <t>土山　慶子</t>
    <rPh sb="0" eb="2">
      <t>ツチヤマ</t>
    </rPh>
    <rPh sb="3" eb="5">
      <t>ケイコ</t>
    </rPh>
    <phoneticPr fontId="4"/>
  </si>
  <si>
    <t>ブリジストン TOUR B JGR ピンク</t>
    <phoneticPr fontId="4"/>
  </si>
  <si>
    <t>GGG-S028 ホワイト 24</t>
    <phoneticPr fontId="4"/>
  </si>
  <si>
    <t>卜部　凡夫</t>
    <rPh sb="0" eb="2">
      <t>ウラベ</t>
    </rPh>
    <rPh sb="3" eb="5">
      <t>ボンオット</t>
    </rPh>
    <phoneticPr fontId="4"/>
  </si>
  <si>
    <t>上田　恭司</t>
    <rPh sb="0" eb="2">
      <t>ウエダ</t>
    </rPh>
    <rPh sb="3" eb="5">
      <t>キョウジ</t>
    </rPh>
    <phoneticPr fontId="4"/>
  </si>
  <si>
    <t>販売</t>
    <rPh sb="0" eb="2">
      <t>ハンバイ</t>
    </rPh>
    <phoneticPr fontId="4"/>
  </si>
  <si>
    <t>タイトリスト PRO V1x</t>
    <phoneticPr fontId="4"/>
  </si>
  <si>
    <t>現金</t>
    <rPh sb="0" eb="2">
      <t>ゲンキン</t>
    </rPh>
    <phoneticPr fontId="4"/>
  </si>
  <si>
    <t>iomic sticky2.3 soft M60 プラチナムグレー</t>
    <phoneticPr fontId="4"/>
  </si>
  <si>
    <t>仕入元を教えてください</t>
    <rPh sb="0" eb="2">
      <t>シイレ</t>
    </rPh>
    <rPh sb="2" eb="3">
      <t>モト</t>
    </rPh>
    <rPh sb="4" eb="5">
      <t>オシ</t>
    </rPh>
    <phoneticPr fontId="4"/>
  </si>
  <si>
    <t>返金</t>
    <rPh sb="0" eb="2">
      <t>ヘンキン</t>
    </rPh>
    <phoneticPr fontId="4"/>
  </si>
  <si>
    <t>ラインクーポン提示分相当</t>
    <rPh sb="7" eb="9">
      <t>テイジ</t>
    </rPh>
    <rPh sb="9" eb="10">
      <t>ブン</t>
    </rPh>
    <rPh sb="10" eb="12">
      <t>ソウトウ</t>
    </rPh>
    <phoneticPr fontId="4"/>
  </si>
  <si>
    <t>Square</t>
    <phoneticPr fontId="4"/>
  </si>
  <si>
    <t>Square</t>
    <phoneticPr fontId="4"/>
  </si>
  <si>
    <t>合計：318,142円
金券\10,000支払い
squareにて\308,142</t>
    <rPh sb="0" eb="2">
      <t>ゴウケイ</t>
    </rPh>
    <rPh sb="10" eb="11">
      <t>エン</t>
    </rPh>
    <rPh sb="12" eb="14">
      <t>キンケン</t>
    </rPh>
    <rPh sb="21" eb="23">
      <t>シハラ</t>
    </rPh>
    <phoneticPr fontId="4"/>
  </si>
  <si>
    <t>児玉武史</t>
  </si>
  <si>
    <t>現金</t>
    <rPh sb="0" eb="2">
      <t>ゲンキン</t>
    </rPh>
    <phoneticPr fontId="4"/>
  </si>
  <si>
    <t>引落ミスによる返金</t>
    <rPh sb="0" eb="2">
      <t>ヒキオトシ</t>
    </rPh>
    <rPh sb="7" eb="9">
      <t>ヘンキン</t>
    </rPh>
    <phoneticPr fontId="4"/>
  </si>
  <si>
    <t>割引率　社長了解済</t>
    <rPh sb="0" eb="3">
      <t>ワリビキリツ</t>
    </rPh>
    <rPh sb="4" eb="6">
      <t>シャチョウ</t>
    </rPh>
    <rPh sb="6" eb="8">
      <t>リョウカイ</t>
    </rPh>
    <rPh sb="8" eb="9">
      <t>スミ</t>
    </rPh>
    <phoneticPr fontId="4"/>
  </si>
  <si>
    <t>エアレジ未登録だが要記入</t>
    <rPh sb="4" eb="7">
      <t>ミトウロク</t>
    </rPh>
    <rPh sb="9" eb="10">
      <t>ヨウ</t>
    </rPh>
    <rPh sb="10" eb="12">
      <t>キニュウ</t>
    </rPh>
    <phoneticPr fontId="4"/>
  </si>
  <si>
    <t>LINEクーポン500円引　未記入</t>
    <rPh sb="14" eb="17">
      <t>ミキニュウ</t>
    </rPh>
    <phoneticPr fontId="4"/>
  </si>
  <si>
    <t>エアレジはラインクーポン3,300円利用になっている</t>
    <rPh sb="17" eb="18">
      <t>エン</t>
    </rPh>
    <rPh sb="18" eb="20">
      <t>リヨウ</t>
    </rPh>
    <phoneticPr fontId="4"/>
  </si>
  <si>
    <t>川邉　隆平</t>
    <rPh sb="0" eb="2">
      <t>カワベ</t>
    </rPh>
    <rPh sb="3" eb="5">
      <t>リュウヘイ</t>
    </rPh>
    <phoneticPr fontId="4"/>
  </si>
  <si>
    <t>休会 事務手数料 1ヶ月</t>
    <rPh sb="11" eb="12">
      <t>ゲツ</t>
    </rPh>
    <phoneticPr fontId="4"/>
  </si>
  <si>
    <t>現金</t>
    <rPh sb="0" eb="2">
      <t>ゲンキン</t>
    </rPh>
    <phoneticPr fontId="4"/>
  </si>
  <si>
    <t>松田　隆兵</t>
    <phoneticPr fontId="4"/>
  </si>
  <si>
    <t>販売</t>
    <rPh sb="0" eb="2">
      <t>ハンバイ</t>
    </rPh>
    <phoneticPr fontId="4"/>
  </si>
  <si>
    <t>iomic sticky evolution 2.3 無</t>
    <rPh sb="27" eb="28">
      <t>ナ</t>
    </rPh>
    <phoneticPr fontId="4"/>
  </si>
  <si>
    <t>iomic X-evolution 2.3 無レッド</t>
    <rPh sb="22" eb="23">
      <t>ナ</t>
    </rPh>
    <phoneticPr fontId="4"/>
  </si>
  <si>
    <t>小谷　寛樹</t>
    <rPh sb="0" eb="2">
      <t>コタニ</t>
    </rPh>
    <rPh sb="3" eb="4">
      <t>カン</t>
    </rPh>
    <rPh sb="4" eb="5">
      <t>キ</t>
    </rPh>
    <phoneticPr fontId="4"/>
  </si>
  <si>
    <t>sticky evolution 2.3 無</t>
    <rPh sb="21" eb="22">
      <t>ナ</t>
    </rPh>
    <phoneticPr fontId="4"/>
  </si>
  <si>
    <t>岩見　真一郎</t>
    <rPh sb="0" eb="2">
      <t>イワミ</t>
    </rPh>
    <rPh sb="3" eb="6">
      <t>シンイチロウ</t>
    </rPh>
    <phoneticPr fontId="4"/>
  </si>
  <si>
    <t>タイトリスト PRO V1</t>
    <phoneticPr fontId="4"/>
  </si>
  <si>
    <t>民谷　充宏</t>
    <rPh sb="0" eb="1">
      <t>タミ</t>
    </rPh>
    <rPh sb="1" eb="2">
      <t>タニ</t>
    </rPh>
    <rPh sb="3" eb="5">
      <t>ミツヒロ</t>
    </rPh>
    <phoneticPr fontId="4"/>
  </si>
  <si>
    <t>齋藤　友則</t>
    <rPh sb="0" eb="2">
      <t>サイトウ</t>
    </rPh>
    <rPh sb="3" eb="5">
      <t>トモノリ</t>
    </rPh>
    <phoneticPr fontId="4"/>
  </si>
  <si>
    <t>ブリジストン TOUR Bx</t>
    <phoneticPr fontId="4"/>
  </si>
  <si>
    <t>齊藤　友則</t>
    <rPh sb="0" eb="2">
      <t>サイトウ</t>
    </rPh>
    <rPh sb="3" eb="5">
      <t>トモノリ</t>
    </rPh>
    <phoneticPr fontId="4"/>
  </si>
  <si>
    <t>デザインチューニング DR ZERO XROSS 50S</t>
    <phoneticPr fontId="4"/>
  </si>
  <si>
    <t>グリップ</t>
    <phoneticPr fontId="4"/>
  </si>
  <si>
    <t>iomic sticky evolition2.3 有 ブルー</t>
    <rPh sb="26" eb="27">
      <t>ア</t>
    </rPh>
    <phoneticPr fontId="4"/>
  </si>
  <si>
    <t>販売</t>
    <rPh sb="0" eb="2">
      <t>ハンバイ</t>
    </rPh>
    <phoneticPr fontId="4"/>
  </si>
  <si>
    <t>グリップ</t>
    <phoneticPr fontId="4"/>
  </si>
  <si>
    <t>GOLF PRIDE TOUR VELVET無</t>
    <rPh sb="22" eb="23">
      <t>ナ</t>
    </rPh>
    <phoneticPr fontId="4"/>
  </si>
  <si>
    <t>現金</t>
    <rPh sb="0" eb="2">
      <t>ゲンキン</t>
    </rPh>
    <phoneticPr fontId="4"/>
  </si>
  <si>
    <t>足立　久美子</t>
    <rPh sb="0" eb="2">
      <t>アダチ</t>
    </rPh>
    <rPh sb="3" eb="6">
      <t>クミコ</t>
    </rPh>
    <phoneticPr fontId="4"/>
  </si>
  <si>
    <t>レギュラー0.5か月</t>
    <phoneticPr fontId="4"/>
  </si>
  <si>
    <t>レギュラー1か月</t>
    <phoneticPr fontId="4"/>
  </si>
  <si>
    <t>西山　権一</t>
    <rPh sb="0" eb="2">
      <t>ニシヤマ</t>
    </rPh>
    <rPh sb="3" eb="4">
      <t>ケン</t>
    </rPh>
    <rPh sb="4" eb="5">
      <t>イチ</t>
    </rPh>
    <phoneticPr fontId="4"/>
  </si>
  <si>
    <t>タイトリスト PRO V1</t>
    <phoneticPr fontId="4"/>
  </si>
  <si>
    <t>前谷　聡</t>
    <rPh sb="0" eb="2">
      <t>マエタニ</t>
    </rPh>
    <rPh sb="3" eb="4">
      <t>サトシ</t>
    </rPh>
    <phoneticPr fontId="4"/>
  </si>
  <si>
    <t>濱田　哲平</t>
    <rPh sb="0" eb="2">
      <t>ハマダ</t>
    </rPh>
    <rPh sb="3" eb="5">
      <t>テッペイ</t>
    </rPh>
    <phoneticPr fontId="4"/>
  </si>
  <si>
    <t>長岡　由剛</t>
    <rPh sb="0" eb="2">
      <t>ナガオカ</t>
    </rPh>
    <rPh sb="3" eb="4">
      <t>ヨシ</t>
    </rPh>
    <rPh sb="4" eb="5">
      <t>ゴウ</t>
    </rPh>
    <phoneticPr fontId="4"/>
  </si>
  <si>
    <t>ティーホルダー</t>
    <phoneticPr fontId="4"/>
  </si>
  <si>
    <t>ニコちゃん ピンク</t>
    <phoneticPr fontId="4"/>
  </si>
  <si>
    <t>永田　隆充</t>
    <rPh sb="0" eb="2">
      <t>ナガタ</t>
    </rPh>
    <rPh sb="3" eb="4">
      <t>タカ</t>
    </rPh>
    <rPh sb="4" eb="5">
      <t>ミツル</t>
    </rPh>
    <phoneticPr fontId="4"/>
  </si>
  <si>
    <t>土山　慶子</t>
    <rPh sb="0" eb="2">
      <t>ツチヤマ</t>
    </rPh>
    <rPh sb="3" eb="5">
      <t>ケイコ</t>
    </rPh>
    <phoneticPr fontId="4"/>
  </si>
  <si>
    <t>ZERO FIT 20cm</t>
    <phoneticPr fontId="4"/>
  </si>
  <si>
    <t>北川　修</t>
    <rPh sb="0" eb="2">
      <t>キタガワ</t>
    </rPh>
    <rPh sb="3" eb="4">
      <t>オサム</t>
    </rPh>
    <phoneticPr fontId="4"/>
  </si>
  <si>
    <t>利用料</t>
    <rPh sb="0" eb="3">
      <t>リヨウリョウ</t>
    </rPh>
    <phoneticPr fontId="4"/>
  </si>
  <si>
    <t>ラウンドレッスン</t>
    <phoneticPr fontId="4"/>
  </si>
  <si>
    <t>1月13日参加費</t>
    <rPh sb="1" eb="2">
      <t>ガツ</t>
    </rPh>
    <rPh sb="4" eb="5">
      <t>ニチ</t>
    </rPh>
    <rPh sb="5" eb="8">
      <t>サンカヒ</t>
    </rPh>
    <phoneticPr fontId="4"/>
  </si>
  <si>
    <t>岩見　真一郎</t>
    <rPh sb="0" eb="2">
      <t>イワミ</t>
    </rPh>
    <rPh sb="3" eb="6">
      <t>シンイチロウ</t>
    </rPh>
    <phoneticPr fontId="4"/>
  </si>
  <si>
    <t>岡﨑　陽介</t>
    <rPh sb="0" eb="2">
      <t>オカザキ</t>
    </rPh>
    <rPh sb="3" eb="5">
      <t>ヨウスケ</t>
    </rPh>
    <phoneticPr fontId="4"/>
  </si>
  <si>
    <t>ブリヂストン TOUR Bx</t>
    <phoneticPr fontId="4"/>
  </si>
  <si>
    <t>奥西　一貴</t>
    <rPh sb="0" eb="2">
      <t>オクニシ</t>
    </rPh>
    <rPh sb="3" eb="4">
      <t>イチ</t>
    </rPh>
    <rPh sb="4" eb="5">
      <t>キ</t>
    </rPh>
    <phoneticPr fontId="4"/>
  </si>
  <si>
    <t>松田　博文</t>
    <rPh sb="0" eb="2">
      <t>マツダ</t>
    </rPh>
    <rPh sb="3" eb="5">
      <t>ヒロフミ</t>
    </rPh>
    <phoneticPr fontId="4"/>
  </si>
  <si>
    <t>日本シャフト NSプロ WOOD 850FW S</t>
    <rPh sb="0" eb="2">
      <t>ニホン</t>
    </rPh>
    <phoneticPr fontId="4"/>
  </si>
  <si>
    <t>デザインチューニング FW ZERO FW 75S</t>
    <phoneticPr fontId="4"/>
  </si>
  <si>
    <t>植竹　明人</t>
    <rPh sb="0" eb="2">
      <t>ウエタケ</t>
    </rPh>
    <rPh sb="3" eb="5">
      <t>アキト</t>
    </rPh>
    <phoneticPr fontId="4"/>
  </si>
  <si>
    <t>中里　伸也</t>
    <rPh sb="0" eb="2">
      <t>ナカザト</t>
    </rPh>
    <rPh sb="3" eb="5">
      <t>シンヤ</t>
    </rPh>
    <phoneticPr fontId="4"/>
  </si>
  <si>
    <t>(再来2019.5.18)</t>
    <rPh sb="1" eb="3">
      <t>サイライ</t>
    </rPh>
    <phoneticPr fontId="4"/>
  </si>
  <si>
    <t>Arch DR For Driver 164α-22</t>
    <phoneticPr fontId="4"/>
  </si>
  <si>
    <t>ヘッド</t>
    <phoneticPr fontId="4"/>
  </si>
  <si>
    <t>エミリッドバハマ DR CV11 PRO10°</t>
    <phoneticPr fontId="4"/>
  </si>
  <si>
    <t>iomic sticky evolution2.3ブルー 有</t>
    <rPh sb="29" eb="30">
      <t>ア</t>
    </rPh>
    <phoneticPr fontId="4"/>
  </si>
  <si>
    <t>返金</t>
    <rPh sb="0" eb="2">
      <t>ヘンキン</t>
    </rPh>
    <phoneticPr fontId="4"/>
  </si>
  <si>
    <t>フィッティング再来</t>
    <rPh sb="7" eb="9">
      <t>サイライ</t>
    </rPh>
    <phoneticPr fontId="4"/>
  </si>
  <si>
    <t>原田　剛</t>
    <rPh sb="0" eb="2">
      <t>ハラダ</t>
    </rPh>
    <rPh sb="3" eb="4">
      <t>ゴウ</t>
    </rPh>
    <phoneticPr fontId="4"/>
  </si>
  <si>
    <t>中村　慎一郎</t>
    <rPh sb="0" eb="2">
      <t>ナカムラ</t>
    </rPh>
    <rPh sb="3" eb="6">
      <t>シンイチロウ</t>
    </rPh>
    <phoneticPr fontId="4"/>
  </si>
  <si>
    <t>古川　志野</t>
    <rPh sb="0" eb="2">
      <t>フルカワ</t>
    </rPh>
    <rPh sb="3" eb="5">
      <t>シノ</t>
    </rPh>
    <phoneticPr fontId="4"/>
  </si>
  <si>
    <t>CADERO 2×2PTG DUO For LADY WH×GPK有</t>
    <rPh sb="33" eb="34">
      <t>ア</t>
    </rPh>
    <phoneticPr fontId="4"/>
  </si>
  <si>
    <t>宮﨑　定智</t>
    <rPh sb="0" eb="2">
      <t>ミヤザキ</t>
    </rPh>
    <rPh sb="3" eb="5">
      <t>サダトモ</t>
    </rPh>
    <phoneticPr fontId="4"/>
  </si>
  <si>
    <t>ZERO FIT 23cm</t>
    <phoneticPr fontId="4"/>
  </si>
  <si>
    <t>桑門　心</t>
    <rPh sb="0" eb="2">
      <t>クワカド</t>
    </rPh>
    <rPh sb="3" eb="4">
      <t>ココロ</t>
    </rPh>
    <phoneticPr fontId="4"/>
  </si>
  <si>
    <t>iomic sticky evolution 2.3 無 レッド</t>
    <rPh sb="27" eb="28">
      <t>ナ</t>
    </rPh>
    <phoneticPr fontId="4"/>
  </si>
  <si>
    <t>iomic sticky evolution 2.3 有 レッド</t>
    <rPh sb="27" eb="28">
      <t>ア</t>
    </rPh>
    <phoneticPr fontId="4"/>
  </si>
  <si>
    <t>鳥居　剛史</t>
    <rPh sb="0" eb="2">
      <t>トリイ</t>
    </rPh>
    <rPh sb="3" eb="4">
      <t>ツヨシ</t>
    </rPh>
    <rPh sb="4" eb="5">
      <t>シ</t>
    </rPh>
    <phoneticPr fontId="4"/>
  </si>
  <si>
    <t>ZERO FIT 19cm</t>
    <phoneticPr fontId="4"/>
  </si>
  <si>
    <t>レギュラー0.25か月</t>
    <phoneticPr fontId="4"/>
  </si>
  <si>
    <t>GOLF PRIDE MCC・ALIGN スタンダード 有</t>
    <rPh sb="28" eb="29">
      <t>ア</t>
    </rPh>
    <phoneticPr fontId="4"/>
  </si>
  <si>
    <t>淵崎　和樹</t>
    <rPh sb="0" eb="2">
      <t>フチサキ</t>
    </rPh>
    <rPh sb="3" eb="5">
      <t>カズキ</t>
    </rPh>
    <phoneticPr fontId="4"/>
  </si>
  <si>
    <t>松永　健太</t>
    <rPh sb="0" eb="2">
      <t>マツナガ</t>
    </rPh>
    <rPh sb="3" eb="5">
      <t>ケンタ</t>
    </rPh>
    <phoneticPr fontId="4"/>
  </si>
  <si>
    <t>レギュラー→マスタープラン変更 差額</t>
    <rPh sb="13" eb="15">
      <t>ヘンコウ</t>
    </rPh>
    <rPh sb="16" eb="18">
      <t>サガク</t>
    </rPh>
    <phoneticPr fontId="4"/>
  </si>
  <si>
    <t>フジクラ DR VENTUS TR 5S</t>
    <phoneticPr fontId="4"/>
  </si>
  <si>
    <t>XXIO</t>
    <phoneticPr fontId="4"/>
  </si>
  <si>
    <t>GOLF PRIDE TOUR VELVET 無</t>
    <rPh sb="23" eb="24">
      <t>ナ</t>
    </rPh>
    <phoneticPr fontId="4"/>
  </si>
  <si>
    <t>上田　恭司</t>
    <rPh sb="0" eb="2">
      <t>ウエダ</t>
    </rPh>
    <rPh sb="3" eb="5">
      <t>キョウジ</t>
    </rPh>
    <phoneticPr fontId="4"/>
  </si>
  <si>
    <t>CADEROヌンチャク ゼブラ Mサイズ UTRDタイプ</t>
    <phoneticPr fontId="4"/>
  </si>
  <si>
    <t>亀井　義則</t>
    <rPh sb="0" eb="2">
      <t>カメイ</t>
    </rPh>
    <rPh sb="3" eb="5">
      <t>ヨシノリ</t>
    </rPh>
    <phoneticPr fontId="4"/>
  </si>
  <si>
    <t>中山　美奈</t>
    <rPh sb="0" eb="2">
      <t>ナカヤマ</t>
    </rPh>
    <rPh sb="3" eb="4">
      <t>ミ</t>
    </rPh>
    <rPh sb="4" eb="5">
      <t>ナ</t>
    </rPh>
    <phoneticPr fontId="4"/>
  </si>
  <si>
    <t>フィッティング料(プロ料金)</t>
    <rPh sb="7" eb="8">
      <t>リョウ</t>
    </rPh>
    <rPh sb="11" eb="13">
      <t>リョウキン</t>
    </rPh>
    <phoneticPr fontId="4"/>
  </si>
  <si>
    <t>山口　義典</t>
    <rPh sb="0" eb="2">
      <t>ヤマグチ</t>
    </rPh>
    <rPh sb="3" eb="5">
      <t>ヨシノリ</t>
    </rPh>
    <phoneticPr fontId="4"/>
  </si>
  <si>
    <t>TEE</t>
    <phoneticPr fontId="4"/>
  </si>
  <si>
    <t>TOUR TEE</t>
    <phoneticPr fontId="4"/>
  </si>
  <si>
    <t>日本シャフト モーダス3 ハイブリッド</t>
    <rPh sb="0" eb="2">
      <t>ニホン</t>
    </rPh>
    <phoneticPr fontId="4"/>
  </si>
  <si>
    <t>和島　浩二</t>
    <rPh sb="0" eb="2">
      <t>ワジマ</t>
    </rPh>
    <rPh sb="3" eb="5">
      <t>コウジ</t>
    </rPh>
    <phoneticPr fontId="4"/>
  </si>
  <si>
    <t>iomic sticky evolution 2.3 無 ブルー</t>
    <rPh sb="27" eb="28">
      <t>ナ</t>
    </rPh>
    <phoneticPr fontId="4"/>
  </si>
  <si>
    <t>iomic sticky evolution 2.3 有 ブルー</t>
    <rPh sb="27" eb="28">
      <t>ア</t>
    </rPh>
    <phoneticPr fontId="4"/>
  </si>
  <si>
    <t>中元　信行</t>
    <rPh sb="0" eb="2">
      <t>ナカモト</t>
    </rPh>
    <rPh sb="3" eb="4">
      <t>シン</t>
    </rPh>
    <rPh sb="4" eb="5">
      <t>イ</t>
    </rPh>
    <phoneticPr fontId="4"/>
  </si>
  <si>
    <t>前田　卓也</t>
    <rPh sb="0" eb="2">
      <t>マエダ</t>
    </rPh>
    <rPh sb="3" eb="5">
      <t>タクヤ</t>
    </rPh>
    <phoneticPr fontId="4"/>
  </si>
  <si>
    <t>大橋　慎哉</t>
    <rPh sb="0" eb="2">
      <t>オオハシ</t>
    </rPh>
    <rPh sb="3" eb="4">
      <t>シン</t>
    </rPh>
    <rPh sb="4" eb="5">
      <t>ヤ</t>
    </rPh>
    <phoneticPr fontId="4"/>
  </si>
  <si>
    <t>Arch DR WD-01 25</t>
    <phoneticPr fontId="4"/>
  </si>
  <si>
    <t>DR AERO JET LS RH 9°</t>
    <phoneticPr fontId="4"/>
  </si>
  <si>
    <t>iomic LTC Ixx1.8 ﾗｲﾄﾌﾞﾙｰ</t>
    <phoneticPr fontId="4"/>
  </si>
  <si>
    <t>前回2023.11.8</t>
    <rPh sb="0" eb="2">
      <t>ゼンカイ</t>
    </rPh>
    <phoneticPr fontId="4"/>
  </si>
  <si>
    <t>スリーブ</t>
    <phoneticPr fontId="4"/>
  </si>
  <si>
    <t>キャロウェイ</t>
    <phoneticPr fontId="4"/>
  </si>
  <si>
    <t>間所　伸央</t>
    <rPh sb="0" eb="2">
      <t>マドコロ</t>
    </rPh>
    <rPh sb="3" eb="4">
      <t>シン</t>
    </rPh>
    <rPh sb="4" eb="5">
      <t>オウ</t>
    </rPh>
    <phoneticPr fontId="4"/>
  </si>
  <si>
    <t>今重　功輝</t>
    <rPh sb="0" eb="2">
      <t>イマシゲ</t>
    </rPh>
    <rPh sb="3" eb="4">
      <t>イサオ</t>
    </rPh>
    <rPh sb="4" eb="5">
      <t>テル</t>
    </rPh>
    <phoneticPr fontId="4"/>
  </si>
  <si>
    <t>加納　久美</t>
    <rPh sb="0" eb="2">
      <t>カノウ</t>
    </rPh>
    <rPh sb="3" eb="5">
      <t>クミ</t>
    </rPh>
    <phoneticPr fontId="4"/>
  </si>
  <si>
    <t>吉田　一貴</t>
    <rPh sb="0" eb="2">
      <t>ヨシダ</t>
    </rPh>
    <rPh sb="3" eb="5">
      <t>カズキ</t>
    </rPh>
    <phoneticPr fontId="4"/>
  </si>
  <si>
    <t>コブラ</t>
    <phoneticPr fontId="4"/>
  </si>
  <si>
    <t>エリート X360 ラバー レッド 有</t>
    <rPh sb="18" eb="19">
      <t>ア</t>
    </rPh>
    <phoneticPr fontId="4"/>
  </si>
  <si>
    <t>原田　和哉</t>
    <rPh sb="0" eb="2">
      <t>ハラダ</t>
    </rPh>
    <rPh sb="3" eb="5">
      <t>カズヤ</t>
    </rPh>
    <phoneticPr fontId="4"/>
  </si>
  <si>
    <t>エリート Y360S XT ｼﾙﾊﾞｰﾎﾜｲﾄ　有</t>
    <rPh sb="24" eb="25">
      <t>ア</t>
    </rPh>
    <phoneticPr fontId="4"/>
  </si>
  <si>
    <t>小谷　寛樹</t>
    <rPh sb="0" eb="2">
      <t>コタニ</t>
    </rPh>
    <rPh sb="3" eb="4">
      <t>ヒロシ</t>
    </rPh>
    <rPh sb="4" eb="5">
      <t>キ</t>
    </rPh>
    <phoneticPr fontId="4"/>
  </si>
  <si>
    <t>前田　卓也</t>
    <rPh sb="0" eb="2">
      <t>マエダ</t>
    </rPh>
    <rPh sb="3" eb="5">
      <t>タクヤ</t>
    </rPh>
    <phoneticPr fontId="4"/>
  </si>
  <si>
    <t>平岡　理子</t>
    <rPh sb="0" eb="2">
      <t>ヒラオカ</t>
    </rPh>
    <rPh sb="3" eb="5">
      <t>リコ</t>
    </rPh>
    <phoneticPr fontId="4"/>
  </si>
  <si>
    <t>REVE DR IMPACT BORON REVOLVER S 青</t>
    <rPh sb="32" eb="33">
      <t>アオ</t>
    </rPh>
    <phoneticPr fontId="4"/>
  </si>
  <si>
    <t>PING G410</t>
    <phoneticPr fontId="4"/>
  </si>
  <si>
    <t>前回2024.1.20</t>
    <rPh sb="0" eb="2">
      <t>ゼンカイ</t>
    </rPh>
    <phoneticPr fontId="4"/>
  </si>
  <si>
    <t>1月29日参加費</t>
    <rPh sb="1" eb="2">
      <t>ガツ</t>
    </rPh>
    <rPh sb="4" eb="5">
      <t>ニチ</t>
    </rPh>
    <rPh sb="5" eb="8">
      <t>サンカヒ</t>
    </rPh>
    <phoneticPr fontId="4"/>
  </si>
  <si>
    <t>金券\5,000　Airペイ\11,500</t>
    <rPh sb="0" eb="2">
      <t>キンケン</t>
    </rPh>
    <phoneticPr fontId="4"/>
  </si>
  <si>
    <t>ブリヂストン TOUR BX 白</t>
    <rPh sb="15" eb="16">
      <t>シロ</t>
    </rPh>
    <phoneticPr fontId="4"/>
  </si>
  <si>
    <t>小椋　寿希也</t>
    <rPh sb="0" eb="1">
      <t>チイ</t>
    </rPh>
    <rPh sb="1" eb="2">
      <t>リョウ</t>
    </rPh>
    <rPh sb="3" eb="4">
      <t>コトブキ</t>
    </rPh>
    <rPh sb="4" eb="5">
      <t>ノゾミ</t>
    </rPh>
    <rPh sb="5" eb="6">
      <t>ヤ</t>
    </rPh>
    <phoneticPr fontId="4"/>
  </si>
  <si>
    <t>レギュラー家族割1か月</t>
    <rPh sb="5" eb="8">
      <t>カゾクワリ</t>
    </rPh>
    <phoneticPr fontId="4"/>
  </si>
  <si>
    <t>中村　均</t>
    <rPh sb="0" eb="2">
      <t>ナカムラ</t>
    </rPh>
    <rPh sb="3" eb="4">
      <t>ヒトシ</t>
    </rPh>
    <phoneticPr fontId="4"/>
  </si>
  <si>
    <t>perfect pro X HOLD HALF CORD ブルー 有</t>
    <rPh sb="33" eb="34">
      <t>ア</t>
    </rPh>
    <phoneticPr fontId="4"/>
  </si>
  <si>
    <t>永田　一城</t>
    <rPh sb="0" eb="2">
      <t>ナガタ</t>
    </rPh>
    <rPh sb="3" eb="4">
      <t>イチ</t>
    </rPh>
    <rPh sb="4" eb="5">
      <t>シロ</t>
    </rPh>
    <phoneticPr fontId="4"/>
  </si>
  <si>
    <t>河村　茂樹</t>
    <rPh sb="0" eb="2">
      <t>カワムラ</t>
    </rPh>
    <rPh sb="3" eb="5">
      <t>シゲキ</t>
    </rPh>
    <phoneticPr fontId="4"/>
  </si>
  <si>
    <t>松井　拓</t>
    <rPh sb="0" eb="2">
      <t>マツイ</t>
    </rPh>
    <rPh sb="3" eb="4">
      <t>タク</t>
    </rPh>
    <phoneticPr fontId="4"/>
  </si>
  <si>
    <t>笹川　寛</t>
    <rPh sb="0" eb="2">
      <t>ササガワ</t>
    </rPh>
    <rPh sb="3" eb="4">
      <t>ヒロシ</t>
    </rPh>
    <phoneticPr fontId="4"/>
  </si>
  <si>
    <t>iomic sticky evolution 1.8 ブルー有</t>
    <rPh sb="30" eb="31">
      <t>ア</t>
    </rPh>
    <phoneticPr fontId="4"/>
  </si>
  <si>
    <t>BL無に変更</t>
    <rPh sb="2" eb="3">
      <t>ナ</t>
    </rPh>
    <rPh sb="4" eb="6">
      <t>ヘンコウ</t>
    </rPh>
    <phoneticPr fontId="4"/>
  </si>
  <si>
    <t>岩見　真一郎</t>
    <rPh sb="0" eb="2">
      <t>イワミ</t>
    </rPh>
    <rPh sb="3" eb="6">
      <t>シンイチロウ</t>
    </rPh>
    <phoneticPr fontId="4"/>
  </si>
  <si>
    <t>販売</t>
    <rPh sb="0" eb="2">
      <t>ハンバイ</t>
    </rPh>
    <phoneticPr fontId="4"/>
  </si>
  <si>
    <t>タイトリスト PRO V1</t>
    <phoneticPr fontId="4"/>
  </si>
  <si>
    <t>藤田プロ</t>
    <rPh sb="0" eb="2">
      <t>フジタ</t>
    </rPh>
    <phoneticPr fontId="4"/>
  </si>
  <si>
    <t>iomic sticky evolution 2.3 レッド無</t>
    <rPh sb="30" eb="31">
      <t>ナ</t>
    </rPh>
    <phoneticPr fontId="4"/>
  </si>
  <si>
    <t>現金</t>
    <rPh sb="0" eb="2">
      <t>ゲンキン</t>
    </rPh>
    <phoneticPr fontId="4"/>
  </si>
  <si>
    <t>井殿</t>
    <rPh sb="0" eb="2">
      <t>イドノ</t>
    </rPh>
    <phoneticPr fontId="4"/>
  </si>
  <si>
    <t>藤田</t>
    <rPh sb="0" eb="2">
      <t>フジタ</t>
    </rPh>
    <phoneticPr fontId="4"/>
  </si>
  <si>
    <t>古川</t>
    <rPh sb="0" eb="2">
      <t>フルカワ</t>
    </rPh>
    <phoneticPr fontId="4"/>
  </si>
  <si>
    <t>金額修正しました　5,500円→5,000円税抜き</t>
    <rPh sb="0" eb="2">
      <t>キンガク</t>
    </rPh>
    <rPh sb="2" eb="4">
      <t>シュウセイ</t>
    </rPh>
    <rPh sb="14" eb="15">
      <t>エン</t>
    </rPh>
    <rPh sb="21" eb="22">
      <t>エン</t>
    </rPh>
    <rPh sb="22" eb="24">
      <t>ゼイヌ</t>
    </rPh>
    <phoneticPr fontId="4"/>
  </si>
  <si>
    <t>紹介者の名前を記入してください</t>
    <rPh sb="0" eb="3">
      <t>ショウカイシャ</t>
    </rPh>
    <rPh sb="4" eb="6">
      <t>ナマエ</t>
    </rPh>
    <rPh sb="7" eb="9">
      <t>キニュウ</t>
    </rPh>
    <phoneticPr fontId="4"/>
  </si>
  <si>
    <t>エアレジ登録なし</t>
    <rPh sb="4" eb="6">
      <t>トウロク</t>
    </rPh>
    <phoneticPr fontId="4"/>
  </si>
  <si>
    <t>吉川　正規</t>
    <rPh sb="0" eb="2">
      <t>ヨシカワ</t>
    </rPh>
    <rPh sb="3" eb="4">
      <t>マサ</t>
    </rPh>
    <phoneticPr fontId="4"/>
  </si>
  <si>
    <t>ヘッド</t>
    <phoneticPr fontId="4"/>
  </si>
  <si>
    <t>FIRE　RR-B　6X</t>
    <phoneticPr fontId="4"/>
  </si>
  <si>
    <t>Xラバー　ブルー　BL有</t>
    <rPh sb="11" eb="12">
      <t>アリ</t>
    </rPh>
    <phoneticPr fontId="4"/>
  </si>
  <si>
    <t>バルド　2022モデル　458　10°　試打現品</t>
    <rPh sb="20" eb="22">
      <t>シダ</t>
    </rPh>
    <rPh sb="22" eb="24">
      <t>ゲンピン</t>
    </rPh>
    <phoneticPr fontId="4"/>
  </si>
  <si>
    <t>追記しました</t>
    <rPh sb="0" eb="2">
      <t>ツイキ</t>
    </rPh>
    <phoneticPr fontId="4"/>
  </si>
  <si>
    <t>榎本プロ</t>
    <rPh sb="0" eb="2">
      <t>エノモト</t>
    </rPh>
    <phoneticPr fontId="4"/>
  </si>
  <si>
    <t>宮本　真理</t>
    <rPh sb="0" eb="2">
      <t>ミヤモト</t>
    </rPh>
    <rPh sb="3" eb="5">
      <t>マリ</t>
    </rPh>
    <phoneticPr fontId="4"/>
  </si>
  <si>
    <t>レギュラー家族割0.75か月</t>
    <rPh sb="5" eb="7">
      <t>カゾク</t>
    </rPh>
    <rPh sb="7" eb="8">
      <t>ワリ</t>
    </rPh>
    <phoneticPr fontId="4"/>
  </si>
  <si>
    <t>tr282宮本一史様のご家族</t>
    <rPh sb="5" eb="7">
      <t>ミヤモト</t>
    </rPh>
    <rPh sb="7" eb="8">
      <t>イチ</t>
    </rPh>
    <rPh sb="8" eb="9">
      <t>シ</t>
    </rPh>
    <rPh sb="9" eb="10">
      <t>サマ</t>
    </rPh>
    <rPh sb="12" eb="14">
      <t>カゾク</t>
    </rPh>
    <phoneticPr fontId="4"/>
  </si>
  <si>
    <t>澤田　規晶</t>
    <rPh sb="0" eb="2">
      <t>サワダ</t>
    </rPh>
    <rPh sb="3" eb="4">
      <t>キ</t>
    </rPh>
    <rPh sb="4" eb="5">
      <t>アキ</t>
    </rPh>
    <phoneticPr fontId="4"/>
  </si>
  <si>
    <t>フィッティング料</t>
  </si>
  <si>
    <t>社長のご紹介</t>
    <rPh sb="0" eb="2">
      <t>シャチョウ</t>
    </rPh>
    <rPh sb="4" eb="6">
      <t>ショウカイ</t>
    </rPh>
    <phoneticPr fontId="4"/>
  </si>
  <si>
    <t>販売</t>
    <rPh sb="0" eb="2">
      <t>ハンバイ</t>
    </rPh>
    <phoneticPr fontId="4"/>
  </si>
  <si>
    <t>ZERO FIT 左 24cm</t>
    <rPh sb="9" eb="10">
      <t>ヒダリ</t>
    </rPh>
    <phoneticPr fontId="4"/>
  </si>
  <si>
    <t>現金</t>
    <rPh sb="0" eb="2">
      <t>ゲンキン</t>
    </rPh>
    <phoneticPr fontId="4"/>
  </si>
  <si>
    <t>原田　剛</t>
    <rPh sb="0" eb="2">
      <t>ハラダ</t>
    </rPh>
    <rPh sb="3" eb="4">
      <t>ゴウ</t>
    </rPh>
    <phoneticPr fontId="4"/>
  </si>
  <si>
    <t>タイトリスト PRO V1x 白</t>
    <rPh sb="15" eb="16">
      <t>シロ</t>
    </rPh>
    <phoneticPr fontId="4"/>
  </si>
  <si>
    <t>レギュラー0.75か月</t>
    <phoneticPr fontId="4"/>
  </si>
  <si>
    <t>宮﨑　宏治</t>
    <rPh sb="0" eb="2">
      <t>ミヤザキ</t>
    </rPh>
    <rPh sb="3" eb="4">
      <t>ヒロ</t>
    </rPh>
    <rPh sb="4" eb="5">
      <t>ジ</t>
    </rPh>
    <phoneticPr fontId="4"/>
  </si>
  <si>
    <t>利用料</t>
  </si>
  <si>
    <t>LINEクーポン500円引×2
宮﨑宏治様がまとめてお支払い</t>
    <rPh sb="16" eb="18">
      <t>ミヤザキ</t>
    </rPh>
    <rPh sb="18" eb="19">
      <t>ヒロ</t>
    </rPh>
    <rPh sb="19" eb="20">
      <t>ジ</t>
    </rPh>
    <rPh sb="20" eb="21">
      <t>サマ</t>
    </rPh>
    <rPh sb="27" eb="29">
      <t>シハラ</t>
    </rPh>
    <phoneticPr fontId="4"/>
  </si>
  <si>
    <t>児玉　留美</t>
    <rPh sb="0" eb="2">
      <t>コダマ</t>
    </rPh>
    <rPh sb="3" eb="5">
      <t>ルミ</t>
    </rPh>
    <phoneticPr fontId="4"/>
  </si>
  <si>
    <t>フジクラ DR DIAMOND SPEEDER SPD6 SR</t>
    <phoneticPr fontId="4"/>
  </si>
  <si>
    <t>テーラーメイド</t>
  </si>
  <si>
    <t>テーラーメイド</t>
    <phoneticPr fontId="4"/>
  </si>
  <si>
    <t>iomic iXx cord2.3ブラック×ブルー有</t>
    <rPh sb="25" eb="26">
      <t>ア</t>
    </rPh>
    <phoneticPr fontId="4"/>
  </si>
  <si>
    <t>小谷　伸</t>
    <rPh sb="0" eb="2">
      <t>コタニ</t>
    </rPh>
    <rPh sb="3" eb="4">
      <t>ノ</t>
    </rPh>
    <phoneticPr fontId="4"/>
  </si>
  <si>
    <t>シンカグラファイト FW Six TS SX</t>
    <phoneticPr fontId="4"/>
  </si>
  <si>
    <t>GOLF PRIDE TOUR VELVET 無</t>
    <rPh sb="23" eb="24">
      <t>ナシ</t>
    </rPh>
    <phoneticPr fontId="4"/>
  </si>
  <si>
    <t>返金</t>
    <rPh sb="0" eb="2">
      <t>ヘンキン</t>
    </rPh>
    <phoneticPr fontId="4"/>
  </si>
  <si>
    <t>リピーターフィッティング料返金</t>
    <rPh sb="12" eb="15">
      <t>リョウヘンキン</t>
    </rPh>
    <phoneticPr fontId="4"/>
  </si>
  <si>
    <t>再来(2023.9.10)</t>
    <rPh sb="0" eb="2">
      <t>サイライ</t>
    </rPh>
    <phoneticPr fontId="4"/>
  </si>
  <si>
    <t>松山モデル 13本セット</t>
    <rPh sb="0" eb="2">
      <t>マツヤマ</t>
    </rPh>
    <rPh sb="8" eb="9">
      <t>ホン</t>
    </rPh>
    <phoneticPr fontId="4"/>
  </si>
  <si>
    <t>日本シャフト IR</t>
    <rPh sb="0" eb="2">
      <t>ニホン</t>
    </rPh>
    <phoneticPr fontId="4"/>
  </si>
  <si>
    <t>グリップ</t>
    <phoneticPr fontId="4"/>
  </si>
  <si>
    <t>パターグリップ Super Stroke PISTOL GT TOUR ﾎﾜｲﾄ/ｼﾙﾊﾞｰ</t>
    <phoneticPr fontId="4"/>
  </si>
  <si>
    <t>Arch DR Natural 9 NERO 25</t>
    <phoneticPr fontId="4"/>
  </si>
  <si>
    <t>小椋　寿希也</t>
    <rPh sb="0" eb="1">
      <t>チイ</t>
    </rPh>
    <rPh sb="1" eb="2">
      <t>リョウ</t>
    </rPh>
    <rPh sb="3" eb="5">
      <t>コトブキノゾミ</t>
    </rPh>
    <rPh sb="5" eb="6">
      <t>ヤ</t>
    </rPh>
    <phoneticPr fontId="4"/>
  </si>
  <si>
    <t>レギュラー1か月</t>
    <phoneticPr fontId="4"/>
  </si>
  <si>
    <t>小山　駿</t>
    <rPh sb="0" eb="2">
      <t>コヤマ</t>
    </rPh>
    <rPh sb="3" eb="4">
      <t>シュン</t>
    </rPh>
    <phoneticPr fontId="4"/>
  </si>
  <si>
    <t>奥田　健介</t>
    <rPh sb="0" eb="2">
      <t>オクダ</t>
    </rPh>
    <rPh sb="3" eb="5">
      <t>ケンスケ</t>
    </rPh>
    <phoneticPr fontId="4"/>
  </si>
  <si>
    <t>iomic sticky evolution 2.3 ブルー 有</t>
    <rPh sb="31" eb="32">
      <t>ア</t>
    </rPh>
    <phoneticPr fontId="4"/>
  </si>
  <si>
    <t>フジクラ Air Speeder　UT  1FLEX</t>
    <phoneticPr fontId="4"/>
  </si>
  <si>
    <t>廃盤シャフト</t>
    <rPh sb="0" eb="2">
      <t>ハイバン</t>
    </rPh>
    <phoneticPr fontId="4"/>
  </si>
  <si>
    <t>フジクラ UT AIR SPEEDER STANDARD</t>
    <phoneticPr fontId="4"/>
  </si>
  <si>
    <t>パターキャッチャー</t>
    <phoneticPr fontId="4"/>
  </si>
  <si>
    <t>永田　一城</t>
    <rPh sb="0" eb="2">
      <t>ナガタ</t>
    </rPh>
    <rPh sb="3" eb="4">
      <t>イチ</t>
    </rPh>
    <rPh sb="4" eb="5">
      <t>シロ</t>
    </rPh>
    <phoneticPr fontId="4"/>
  </si>
  <si>
    <t>(株)トガワ</t>
    <rPh sb="0" eb="3">
      <t>カブシキガイシャ</t>
    </rPh>
    <phoneticPr fontId="4"/>
  </si>
  <si>
    <t>圓井　康弘</t>
    <rPh sb="0" eb="1">
      <t>マル</t>
    </rPh>
    <rPh sb="1" eb="2">
      <t>イ</t>
    </rPh>
    <rPh sb="3" eb="5">
      <t>ヤスヒロ</t>
    </rPh>
    <phoneticPr fontId="4"/>
  </si>
  <si>
    <t>フルフィッティング料</t>
    <phoneticPr fontId="4"/>
  </si>
  <si>
    <t>住地ゴルフご紹介</t>
    <rPh sb="0" eb="1">
      <t>ス</t>
    </rPh>
    <rPh sb="1" eb="2">
      <t>チ</t>
    </rPh>
    <rPh sb="6" eb="8">
      <t>ショウカイ</t>
    </rPh>
    <phoneticPr fontId="4"/>
  </si>
  <si>
    <t>フジクラ DR AIR SPEEDER X-PLUS 黒</t>
    <rPh sb="27" eb="28">
      <t>クロ</t>
    </rPh>
    <phoneticPr fontId="4"/>
  </si>
  <si>
    <t>ヘッド</t>
    <phoneticPr fontId="4"/>
  </si>
  <si>
    <t>キャロウェイ PARADYM X 10.5°</t>
    <phoneticPr fontId="4"/>
  </si>
  <si>
    <t>iomic sticky evolution 2.3 ブルー 無</t>
    <rPh sb="31" eb="32">
      <t>ナシ</t>
    </rPh>
    <phoneticPr fontId="4"/>
  </si>
  <si>
    <t>大林　将浩</t>
    <rPh sb="0" eb="2">
      <t>オオバヤシ</t>
    </rPh>
    <rPh sb="3" eb="4">
      <t>ショウ</t>
    </rPh>
    <rPh sb="4" eb="5">
      <t>コウ</t>
    </rPh>
    <phoneticPr fontId="4"/>
  </si>
  <si>
    <t>フィッティング料(登録プロ紹介)</t>
    <rPh sb="9" eb="11">
      <t>トウロク</t>
    </rPh>
    <rPh sb="13" eb="15">
      <t>ショウカイ</t>
    </rPh>
    <phoneticPr fontId="4"/>
  </si>
  <si>
    <t>寺村　聡</t>
    <rPh sb="0" eb="2">
      <t>テラムラ</t>
    </rPh>
    <rPh sb="3" eb="4">
      <t>サトシ</t>
    </rPh>
    <phoneticPr fontId="4"/>
  </si>
  <si>
    <t>吉田　敦</t>
    <rPh sb="0" eb="2">
      <t>ヨシダ</t>
    </rPh>
    <rPh sb="3" eb="4">
      <t>アツシ</t>
    </rPh>
    <phoneticPr fontId="4"/>
  </si>
  <si>
    <t>パターグリップ Super Stroke</t>
    <phoneticPr fontId="4"/>
  </si>
  <si>
    <t>REVE DR IMPACT BORON REVOLVER X 黒</t>
    <rPh sb="32" eb="33">
      <t>クロ</t>
    </rPh>
    <phoneticPr fontId="4"/>
  </si>
  <si>
    <t>PING G410</t>
  </si>
  <si>
    <t>REVE DR IMPACT BORON X 青</t>
    <rPh sb="23" eb="24">
      <t>アオ</t>
    </rPh>
    <phoneticPr fontId="4"/>
  </si>
  <si>
    <t>USTマミヤ UT ATTAS EZ 350 85S</t>
    <phoneticPr fontId="4"/>
  </si>
  <si>
    <t>PING G410 UT用</t>
    <rPh sb="12" eb="13">
      <t>ヨウ</t>
    </rPh>
    <phoneticPr fontId="4"/>
  </si>
  <si>
    <t>上野　年彦</t>
    <rPh sb="0" eb="2">
      <t>ウエノ</t>
    </rPh>
    <rPh sb="3" eb="5">
      <t>トシヒコ</t>
    </rPh>
    <phoneticPr fontId="4"/>
  </si>
  <si>
    <t>レギュラー0.5か月</t>
    <phoneticPr fontId="4"/>
  </si>
  <si>
    <t>伊藤　航大</t>
    <rPh sb="0" eb="2">
      <t>イトウ</t>
    </rPh>
    <rPh sb="3" eb="5">
      <t>コウダイ</t>
    </rPh>
    <phoneticPr fontId="4"/>
  </si>
  <si>
    <t>岩根　みなみ</t>
    <rPh sb="0" eb="2">
      <t>イワネ</t>
    </rPh>
    <phoneticPr fontId="4"/>
  </si>
  <si>
    <t>鈴木　貴博</t>
    <rPh sb="0" eb="2">
      <t>スズキ</t>
    </rPh>
    <rPh sb="3" eb="5">
      <t>タカヒロ</t>
    </rPh>
    <phoneticPr fontId="4"/>
  </si>
  <si>
    <t>西山　裕一</t>
    <rPh sb="0" eb="2">
      <t>ニシヤマ</t>
    </rPh>
    <rPh sb="3" eb="5">
      <t>ユウイチ</t>
    </rPh>
    <phoneticPr fontId="4"/>
  </si>
  <si>
    <t>西山　権一</t>
    <rPh sb="0" eb="2">
      <t>ニシヤマ</t>
    </rPh>
    <rPh sb="3" eb="5">
      <t>ケンイチ</t>
    </rPh>
    <phoneticPr fontId="4"/>
  </si>
  <si>
    <t>タイトリスト PRO V1</t>
    <phoneticPr fontId="4"/>
  </si>
  <si>
    <t>スリーブ</t>
    <phoneticPr fontId="4"/>
  </si>
  <si>
    <t>PING G410</t>
    <phoneticPr fontId="4"/>
  </si>
  <si>
    <t>レッスンチケット　11枚</t>
    <phoneticPr fontId="4"/>
  </si>
  <si>
    <t>GOLF PRIDE スティングレー M58 ブラック無</t>
    <rPh sb="27" eb="28">
      <t>ナシ</t>
    </rPh>
    <phoneticPr fontId="4"/>
  </si>
  <si>
    <t>大花　俊介</t>
    <rPh sb="0" eb="2">
      <t>オオハナ</t>
    </rPh>
    <rPh sb="3" eb="5">
      <t>シュンスケ</t>
    </rPh>
    <phoneticPr fontId="4"/>
  </si>
  <si>
    <t>佐藤　信次</t>
    <rPh sb="0" eb="2">
      <t>サトウ</t>
    </rPh>
    <rPh sb="3" eb="5">
      <t>シンジ</t>
    </rPh>
    <phoneticPr fontId="4"/>
  </si>
  <si>
    <t>USTマミヤ DR LIN-Q BLUE EX 5S</t>
    <phoneticPr fontId="4"/>
  </si>
  <si>
    <t>PING G430 MAX 10K 10.5°</t>
    <phoneticPr fontId="4"/>
  </si>
  <si>
    <t>ブリヂストン TOUR BX 白</t>
    <rPh sb="15" eb="16">
      <t>シロ</t>
    </rPh>
    <phoneticPr fontId="4"/>
  </si>
  <si>
    <t>ブリヂストン TOUR BXs 白</t>
    <rPh sb="16" eb="17">
      <t>シロ</t>
    </rPh>
    <phoneticPr fontId="4"/>
  </si>
  <si>
    <t>販売</t>
    <rPh sb="0" eb="2">
      <t>ハンバイ</t>
    </rPh>
    <phoneticPr fontId="4"/>
  </si>
  <si>
    <t>キャロウェイ</t>
    <phoneticPr fontId="4"/>
  </si>
  <si>
    <t>古田　諒</t>
    <rPh sb="0" eb="2">
      <t>フルタ</t>
    </rPh>
    <rPh sb="3" eb="4">
      <t>リョウ</t>
    </rPh>
    <phoneticPr fontId="4"/>
  </si>
  <si>
    <t>唐木田　妃菜</t>
    <rPh sb="0" eb="3">
      <t>カラキダ</t>
    </rPh>
    <rPh sb="4" eb="5">
      <t>ヒ</t>
    </rPh>
    <rPh sb="5" eb="6">
      <t>ナ</t>
    </rPh>
    <phoneticPr fontId="4"/>
  </si>
  <si>
    <t>X-evolition 2.3 ブルー 無</t>
    <rPh sb="20" eb="21">
      <t>ナシ</t>
    </rPh>
    <phoneticPr fontId="4"/>
  </si>
  <si>
    <t>日本シャフト IR 105S #7 38.5inch</t>
    <rPh sb="0" eb="2">
      <t>ニホン</t>
    </rPh>
    <phoneticPr fontId="4"/>
  </si>
  <si>
    <t>京治　慎</t>
    <rPh sb="0" eb="2">
      <t>ケイジ</t>
    </rPh>
    <rPh sb="3" eb="4">
      <t>シン</t>
    </rPh>
    <phoneticPr fontId="4"/>
  </si>
  <si>
    <t>現金</t>
    <rPh sb="0" eb="2">
      <t>ゲンキン</t>
    </rPh>
    <phoneticPr fontId="4"/>
  </si>
  <si>
    <t>レギュラー1か月</t>
    <phoneticPr fontId="4"/>
  </si>
  <si>
    <t>藤田プロ</t>
    <rPh sb="0" eb="2">
      <t>フジタ</t>
    </rPh>
    <phoneticPr fontId="4"/>
  </si>
  <si>
    <t>コンポジットテクノ PT130</t>
    <phoneticPr fontId="4"/>
  </si>
  <si>
    <t>グリップ</t>
    <phoneticPr fontId="4"/>
  </si>
  <si>
    <t>パターグリップ RS60 ベルリナブラック</t>
    <phoneticPr fontId="4"/>
  </si>
  <si>
    <t>タイトリスト PRO V1x</t>
    <phoneticPr fontId="4"/>
  </si>
  <si>
    <t>中川　徹</t>
    <rPh sb="0" eb="2">
      <t>ナカガワ</t>
    </rPh>
    <rPh sb="3" eb="4">
      <t>テツ</t>
    </rPh>
    <phoneticPr fontId="4"/>
  </si>
  <si>
    <t>ビジター利用</t>
    <rPh sb="4" eb="6">
      <t>リヨウ</t>
    </rPh>
    <phoneticPr fontId="4"/>
  </si>
  <si>
    <t>松岡　堅二</t>
    <rPh sb="0" eb="2">
      <t>マツオカ</t>
    </rPh>
    <rPh sb="3" eb="4">
      <t>カタ</t>
    </rPh>
    <rPh sb="4" eb="5">
      <t>ニ</t>
    </rPh>
    <phoneticPr fontId="4"/>
  </si>
  <si>
    <t>奥田　健介</t>
    <rPh sb="0" eb="2">
      <t>オクダ</t>
    </rPh>
    <rPh sb="3" eb="5">
      <t>ケンスケ</t>
    </rPh>
    <phoneticPr fontId="4"/>
  </si>
  <si>
    <t>レギュラー0.25か月</t>
    <phoneticPr fontId="4"/>
  </si>
  <si>
    <t>北川　修</t>
    <rPh sb="0" eb="2">
      <t>キタガワ</t>
    </rPh>
    <rPh sb="3" eb="4">
      <t>オサム</t>
    </rPh>
    <phoneticPr fontId="4"/>
  </si>
  <si>
    <t>X-Opus Black 2.3 ブラック×グリーン</t>
  </si>
  <si>
    <t>X-Grip ブルー</t>
  </si>
  <si>
    <t>樽谷　清孝</t>
    <rPh sb="0" eb="2">
      <t>タルタニ</t>
    </rPh>
    <rPh sb="3" eb="5">
      <t>キヨタカ</t>
    </rPh>
    <phoneticPr fontId="4"/>
  </si>
  <si>
    <t>ヘッド</t>
    <phoneticPr fontId="4"/>
  </si>
  <si>
    <t>コブラ DR AERO JET MAX RH 12°</t>
    <phoneticPr fontId="4"/>
  </si>
  <si>
    <t>上野　賢吾</t>
    <rPh sb="0" eb="2">
      <t>ウエノ</t>
    </rPh>
    <rPh sb="3" eb="5">
      <t>ケンゴ</t>
    </rPh>
    <phoneticPr fontId="4"/>
  </si>
  <si>
    <t>現金</t>
    <rPh sb="0" eb="2">
      <t>ゲンキン</t>
    </rPh>
    <phoneticPr fontId="4"/>
  </si>
  <si>
    <t>吉井　仁</t>
    <rPh sb="0" eb="2">
      <t>ヨシイ</t>
    </rPh>
    <rPh sb="3" eb="4">
      <t>ヒトシ</t>
    </rPh>
    <phoneticPr fontId="4"/>
  </si>
  <si>
    <t>LINEクーポン500円引。社長お知り合い</t>
    <rPh sb="14" eb="16">
      <t>シャチョウ</t>
    </rPh>
    <rPh sb="17" eb="18">
      <t>シ</t>
    </rPh>
    <rPh sb="19" eb="20">
      <t>ア</t>
    </rPh>
    <phoneticPr fontId="4"/>
  </si>
  <si>
    <t>フィッティング料(会員様)</t>
    <rPh sb="9" eb="12">
      <t>カイインサマ</t>
    </rPh>
    <phoneticPr fontId="4"/>
  </si>
  <si>
    <t>根岸　里佳</t>
    <rPh sb="0" eb="2">
      <t>ネギシ</t>
    </rPh>
    <rPh sb="3" eb="4">
      <t>サト</t>
    </rPh>
    <rPh sb="4" eb="5">
      <t>カ</t>
    </rPh>
    <phoneticPr fontId="4"/>
  </si>
  <si>
    <t>小坪　勇人</t>
    <rPh sb="0" eb="2">
      <t>コツボ</t>
    </rPh>
    <rPh sb="3" eb="5">
      <t>ハヤト</t>
    </rPh>
    <phoneticPr fontId="4"/>
  </si>
  <si>
    <t>京治　慎</t>
    <rPh sb="0" eb="2">
      <t>ケイジ</t>
    </rPh>
    <rPh sb="3" eb="4">
      <t>シン</t>
    </rPh>
    <phoneticPr fontId="4"/>
  </si>
  <si>
    <t>北川　雄貴</t>
    <rPh sb="0" eb="2">
      <t>キタガワ</t>
    </rPh>
    <rPh sb="3" eb="5">
      <t>ユウキ</t>
    </rPh>
    <phoneticPr fontId="4"/>
  </si>
  <si>
    <t>販売</t>
    <rPh sb="0" eb="2">
      <t>ハンバイ</t>
    </rPh>
    <phoneticPr fontId="4"/>
  </si>
  <si>
    <t>ティーホルダー</t>
    <phoneticPr fontId="4"/>
  </si>
  <si>
    <t>TEE</t>
    <phoneticPr fontId="4"/>
  </si>
  <si>
    <t>TOUR TEE</t>
    <phoneticPr fontId="4"/>
  </si>
  <si>
    <t>iomic iX touch ブルー</t>
    <phoneticPr fontId="4"/>
  </si>
  <si>
    <t>金券</t>
    <rPh sb="0" eb="2">
      <t>キンケン</t>
    </rPh>
    <phoneticPr fontId="4"/>
  </si>
  <si>
    <t>中村　瑞代</t>
    <rPh sb="0" eb="2">
      <t>ナカムラ</t>
    </rPh>
    <rPh sb="3" eb="5">
      <t>ミズヨ</t>
    </rPh>
    <phoneticPr fontId="4"/>
  </si>
  <si>
    <t>原田　和哉</t>
    <rPh sb="0" eb="2">
      <t>ハラダ</t>
    </rPh>
    <rPh sb="3" eb="5">
      <t>カズヤ</t>
    </rPh>
    <phoneticPr fontId="4"/>
  </si>
  <si>
    <t>日本シャフト IR モーダス3 TOUR 115S</t>
    <rPh sb="0" eb="2">
      <t>ニホン</t>
    </rPh>
    <phoneticPr fontId="4"/>
  </si>
  <si>
    <t>GOLF PRIDE TOUR VELVET 無</t>
    <rPh sb="23" eb="24">
      <t>ナシ</t>
    </rPh>
    <phoneticPr fontId="4"/>
  </si>
  <si>
    <t>高田　知樹</t>
    <rPh sb="0" eb="2">
      <t>タカダ</t>
    </rPh>
    <rPh sb="3" eb="5">
      <t>トモキ</t>
    </rPh>
    <phoneticPr fontId="4"/>
  </si>
  <si>
    <t>PING G410 UT用</t>
    <rPh sb="12" eb="13">
      <t>ヨウ</t>
    </rPh>
    <phoneticPr fontId="4"/>
  </si>
  <si>
    <t>蘆田　伍市</t>
    <rPh sb="0" eb="2">
      <t>アシダ</t>
    </rPh>
    <rPh sb="3" eb="4">
      <t>ゴ</t>
    </rPh>
    <rPh sb="4" eb="5">
      <t>イチ</t>
    </rPh>
    <phoneticPr fontId="4"/>
  </si>
  <si>
    <t>伊藤　安耶</t>
    <rPh sb="0" eb="2">
      <t>イトウ</t>
    </rPh>
    <rPh sb="3" eb="4">
      <t>ヤス</t>
    </rPh>
    <rPh sb="4" eb="5">
      <t>ヤ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</si>
  <si>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</si>
  <si>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</si>
  <si>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シンカグラファイト DR LEXIA 4R</t>
    <phoneticPr fontId="4"/>
  </si>
  <si>
    <t>iomic sticky opus lady's ﾐﾝﾄｸﾞﾘｰﾝ×ﾎﾜｲﾄ 有</t>
    <rPh sb="39" eb="40">
      <t>ア</t>
    </rPh>
    <phoneticPr fontId="4"/>
  </si>
  <si>
    <t>返金</t>
    <rPh sb="0" eb="2">
      <t>ヘンキン</t>
    </rPh>
    <phoneticPr fontId="4"/>
  </si>
  <si>
    <t>フィッティング料 一部返金</t>
    <rPh sb="7" eb="8">
      <t>リョウ</t>
    </rPh>
    <rPh sb="9" eb="13">
      <t>イチブヘンキン</t>
    </rPh>
    <phoneticPr fontId="4"/>
  </si>
  <si>
    <t>perfet pro X HOLD BLACK RUBBER ｽｶｲﾌﾞﾙｰ 有</t>
    <rPh sb="39" eb="40">
      <t>ア</t>
    </rPh>
    <phoneticPr fontId="4"/>
  </si>
  <si>
    <t>古川　志野</t>
    <rPh sb="0" eb="2">
      <t>フルカワ</t>
    </rPh>
    <rPh sb="3" eb="5">
      <t>シノ</t>
    </rPh>
    <phoneticPr fontId="4"/>
  </si>
  <si>
    <t>エリート SX 38</t>
    <phoneticPr fontId="4"/>
  </si>
  <si>
    <t>ZERO FIT 19cm 左</t>
    <rPh sb="14" eb="15">
      <t>ヒダリ</t>
    </rPh>
    <phoneticPr fontId="4"/>
  </si>
  <si>
    <t>岩見　真一郎</t>
    <rPh sb="0" eb="2">
      <t>イワミ</t>
    </rPh>
    <rPh sb="3" eb="6">
      <t>シンイチロウ</t>
    </rPh>
    <phoneticPr fontId="4"/>
  </si>
  <si>
    <t>タイトリスト PRO V1</t>
    <phoneticPr fontId="4"/>
  </si>
  <si>
    <t>iomic sticky soft 2.6 プラチナムグレー有</t>
    <phoneticPr fontId="4"/>
  </si>
  <si>
    <t>\20,000 金券(金券紛失)
残り\504 現金</t>
    <rPh sb="8" eb="10">
      <t>キンケン</t>
    </rPh>
    <rPh sb="11" eb="13">
      <t>キンケン</t>
    </rPh>
    <rPh sb="13" eb="15">
      <t>フンシツ</t>
    </rPh>
    <rPh sb="17" eb="18">
      <t>ノコ</t>
    </rPh>
    <rPh sb="24" eb="26">
      <t>ゲンキン</t>
    </rPh>
    <phoneticPr fontId="4"/>
  </si>
  <si>
    <t>古川プロ</t>
    <rPh sb="0" eb="2">
      <t>フルカワ</t>
    </rPh>
    <phoneticPr fontId="4"/>
  </si>
  <si>
    <t>井殿プロ</t>
    <rPh sb="0" eb="2">
      <t>イドノ</t>
    </rPh>
    <phoneticPr fontId="4"/>
  </si>
  <si>
    <t>藤田プロ</t>
    <rPh sb="0" eb="2">
      <t>フジタ</t>
    </rPh>
    <phoneticPr fontId="4"/>
  </si>
  <si>
    <t>上野　賢吾</t>
    <rPh sb="0" eb="2">
      <t>ウエノ</t>
    </rPh>
    <rPh sb="3" eb="5">
      <t>ケンゴ</t>
    </rPh>
    <phoneticPr fontId="4"/>
  </si>
  <si>
    <t>現金</t>
    <rPh sb="0" eb="2">
      <t>ゲンキン</t>
    </rPh>
    <phoneticPr fontId="4"/>
  </si>
  <si>
    <t>西﨑　香織</t>
    <rPh sb="0" eb="2">
      <t>ニシザキ</t>
    </rPh>
    <rPh sb="3" eb="5">
      <t>カオリ</t>
    </rPh>
    <phoneticPr fontId="4"/>
  </si>
  <si>
    <t>KGUからの入会のため2,000円OFF</t>
    <rPh sb="6" eb="8">
      <t>ニュウカイ</t>
    </rPh>
    <rPh sb="16" eb="17">
      <t>エン</t>
    </rPh>
    <phoneticPr fontId="4"/>
  </si>
  <si>
    <t>吉井　典子</t>
    <rPh sb="0" eb="2">
      <t>ヨシイ</t>
    </rPh>
    <rPh sb="3" eb="5">
      <t>ノリコ</t>
    </rPh>
    <phoneticPr fontId="4"/>
  </si>
  <si>
    <t>販売</t>
    <rPh sb="0" eb="2">
      <t>ハンバイ</t>
    </rPh>
    <phoneticPr fontId="4"/>
  </si>
  <si>
    <t>フジクラ DR PLATINUM SPEEDER 3S</t>
    <phoneticPr fontId="4"/>
  </si>
  <si>
    <t>フィッティング料</t>
    <phoneticPr fontId="4"/>
  </si>
  <si>
    <t>TRPX DR Air SR</t>
    <phoneticPr fontId="4"/>
  </si>
  <si>
    <t>CADERO 2×2 PENTAGON スター入 ﾎﾜｲﾄ×ﾌﾞﾙｰ</t>
    <rPh sb="23" eb="24">
      <t>イ</t>
    </rPh>
    <phoneticPr fontId="4"/>
  </si>
  <si>
    <t>吉井　仁</t>
    <rPh sb="0" eb="2">
      <t>ヨシイ</t>
    </rPh>
    <rPh sb="3" eb="4">
      <t>ジン</t>
    </rPh>
    <phoneticPr fontId="4"/>
  </si>
  <si>
    <t>西山　権一</t>
    <rPh sb="0" eb="2">
      <t>ニシヤマ</t>
    </rPh>
    <rPh sb="3" eb="5">
      <t>ケンイチ</t>
    </rPh>
    <phoneticPr fontId="4"/>
  </si>
  <si>
    <t>販売</t>
    <rPh sb="0" eb="2">
      <t>ハンバイ</t>
    </rPh>
    <phoneticPr fontId="4"/>
  </si>
  <si>
    <t>タイトリスト PRO V1</t>
    <phoneticPr fontId="4"/>
  </si>
  <si>
    <t>現金</t>
    <rPh sb="0" eb="2">
      <t>ゲンキン</t>
    </rPh>
    <phoneticPr fontId="4"/>
  </si>
  <si>
    <t>2月14日参加費</t>
    <rPh sb="1" eb="2">
      <t>ガツ</t>
    </rPh>
    <rPh sb="4" eb="5">
      <t>ニチ</t>
    </rPh>
    <rPh sb="5" eb="8">
      <t>サンカヒ</t>
    </rPh>
    <phoneticPr fontId="4"/>
  </si>
  <si>
    <t>STM G-Rex</t>
    <phoneticPr fontId="4"/>
  </si>
  <si>
    <t>iomic iX touch 有 ブラック×オレンジ</t>
    <rPh sb="15" eb="16">
      <t>アリ</t>
    </rPh>
    <phoneticPr fontId="4"/>
  </si>
  <si>
    <t>iomic sticky evolution 2.3 無 ブルー</t>
    <rPh sb="27" eb="28">
      <t>ナシ</t>
    </rPh>
    <phoneticPr fontId="4"/>
  </si>
  <si>
    <t>ブリヂストン TOUR Bx</t>
    <phoneticPr fontId="4"/>
  </si>
  <si>
    <t>ヘッド</t>
    <phoneticPr fontId="4"/>
  </si>
  <si>
    <t>BALDO DRIVER SKY DRIVE</t>
    <phoneticPr fontId="4"/>
  </si>
  <si>
    <t>iomic sticky super light1.8有 ﾌﾞﾗｯｸ</t>
    <rPh sb="27" eb="28">
      <t>アリ</t>
    </rPh>
    <phoneticPr fontId="4"/>
  </si>
  <si>
    <t>仲谷　帝音</t>
    <rPh sb="0" eb="2">
      <t>ナカタニ</t>
    </rPh>
    <rPh sb="3" eb="4">
      <t>テイ</t>
    </rPh>
    <rPh sb="4" eb="5">
      <t>オト</t>
    </rPh>
    <phoneticPr fontId="4"/>
  </si>
  <si>
    <t>山下　優之</t>
    <rPh sb="0" eb="2">
      <t>ヤマシタ</t>
    </rPh>
    <rPh sb="3" eb="4">
      <t>ヤサ</t>
    </rPh>
    <rPh sb="4" eb="5">
      <t>ユキ</t>
    </rPh>
    <phoneticPr fontId="4"/>
  </si>
  <si>
    <t>フジクラ DR AIR SPEEDER PLUS 黒</t>
    <rPh sb="25" eb="26">
      <t>クロ</t>
    </rPh>
    <phoneticPr fontId="4"/>
  </si>
  <si>
    <t>三菱ケミカル UT TENSEI CK PRO ORANGE 7S</t>
    <rPh sb="0" eb="2">
      <t>ミツビシ</t>
    </rPh>
    <phoneticPr fontId="4"/>
  </si>
  <si>
    <t>iomic sticky .8super light ﾌﾞﾗｯｸ</t>
    <phoneticPr fontId="4"/>
  </si>
  <si>
    <t>タイトリスト PRO V1x</t>
    <phoneticPr fontId="4"/>
  </si>
  <si>
    <t>三菱ケミカル DR TENSEI PRO ORANGE 1K 6S</t>
    <rPh sb="0" eb="2">
      <t>ミツビシ</t>
    </rPh>
    <phoneticPr fontId="4"/>
  </si>
  <si>
    <t>テーラーメイド</t>
    <phoneticPr fontId="4"/>
  </si>
  <si>
    <t xml:space="preserve">ZERO FIT </t>
    <phoneticPr fontId="4"/>
  </si>
  <si>
    <t>GOLF PRIDE TOUR VELVET</t>
    <phoneticPr fontId="4"/>
  </si>
  <si>
    <t>ZERO FIT 24cm</t>
    <phoneticPr fontId="4"/>
  </si>
  <si>
    <t>小原　宏之</t>
    <rPh sb="0" eb="2">
      <t>コハラ</t>
    </rPh>
    <rPh sb="3" eb="5">
      <t>ヒロユキ</t>
    </rPh>
    <phoneticPr fontId="4"/>
  </si>
  <si>
    <t>レギュラー0.75か月</t>
    <phoneticPr fontId="4"/>
  </si>
  <si>
    <t>タイトリスト PRO V1x</t>
  </si>
  <si>
    <t>辻本　龍晃</t>
    <rPh sb="0" eb="2">
      <t>ツジモト</t>
    </rPh>
    <rPh sb="3" eb="4">
      <t>タツ</t>
    </rPh>
    <rPh sb="4" eb="5">
      <t>アキ</t>
    </rPh>
    <phoneticPr fontId="4"/>
  </si>
  <si>
    <t>現金</t>
    <rPh sb="0" eb="2">
      <t>ゲンキン</t>
    </rPh>
    <phoneticPr fontId="4"/>
  </si>
  <si>
    <t>小川　剛志</t>
    <rPh sb="0" eb="2">
      <t>オガワ</t>
    </rPh>
    <rPh sb="3" eb="5">
      <t>ツヨシ</t>
    </rPh>
    <phoneticPr fontId="4"/>
  </si>
  <si>
    <t>横山　光雄</t>
    <rPh sb="0" eb="2">
      <t>ヨコヤマ</t>
    </rPh>
    <rPh sb="3" eb="5">
      <t>ミツオ</t>
    </rPh>
    <phoneticPr fontId="4"/>
  </si>
  <si>
    <t>販売</t>
    <rPh sb="0" eb="2">
      <t>ハンバイ</t>
    </rPh>
    <phoneticPr fontId="4"/>
  </si>
  <si>
    <t>三菱ケミカル DR VANQUISH 4S</t>
    <rPh sb="0" eb="2">
      <t>ミツビシ</t>
    </rPh>
    <phoneticPr fontId="4"/>
  </si>
  <si>
    <t>iomic sticky evolution 2.3 ブルー 有</t>
    <rPh sb="31" eb="32">
      <t>アリ</t>
    </rPh>
    <phoneticPr fontId="4"/>
  </si>
  <si>
    <t>永間　祐介</t>
    <rPh sb="0" eb="1">
      <t>ナガ</t>
    </rPh>
    <rPh sb="1" eb="2">
      <t>マ</t>
    </rPh>
    <rPh sb="3" eb="5">
      <t>ユウスケ</t>
    </rPh>
    <phoneticPr fontId="4"/>
  </si>
  <si>
    <t>CADERO 2×2ペンタゴン ブラック×レッド 有</t>
    <rPh sb="25" eb="26">
      <t>アリ</t>
    </rPh>
    <phoneticPr fontId="4"/>
  </si>
  <si>
    <t>返金</t>
    <rPh sb="0" eb="2">
      <t>ヘンキン</t>
    </rPh>
    <phoneticPr fontId="4"/>
  </si>
  <si>
    <t>上田　恭司</t>
    <rPh sb="0" eb="2">
      <t>ウエダ</t>
    </rPh>
    <rPh sb="3" eb="5">
      <t>キョウジ</t>
    </rPh>
    <phoneticPr fontId="4"/>
  </si>
  <si>
    <t>iomic sticky evolution 2.3 コーラルレッド 有</t>
    <rPh sb="35" eb="36">
      <t>アリ</t>
    </rPh>
    <phoneticPr fontId="4"/>
  </si>
  <si>
    <t>藤田プロ</t>
    <rPh sb="0" eb="2">
      <t>フジタ</t>
    </rPh>
    <phoneticPr fontId="4"/>
  </si>
  <si>
    <t>ヘッド</t>
    <phoneticPr fontId="4"/>
  </si>
  <si>
    <t>テーラーメイド DR Qi 10 MAX 10.5°</t>
    <phoneticPr fontId="4"/>
  </si>
  <si>
    <t>西山　権一</t>
    <rPh sb="0" eb="2">
      <t>ニシヤマ</t>
    </rPh>
    <rPh sb="3" eb="5">
      <t>ケンイチ</t>
    </rPh>
    <phoneticPr fontId="4"/>
  </si>
  <si>
    <t>ボール</t>
    <phoneticPr fontId="4"/>
  </si>
  <si>
    <t>タイトリスト PRO V1</t>
    <phoneticPr fontId="4"/>
  </si>
  <si>
    <t>STM G-Rex 有</t>
    <rPh sb="10" eb="11">
      <t>アリ</t>
    </rPh>
    <phoneticPr fontId="4"/>
  </si>
  <si>
    <t>パターグリップ RS74</t>
    <phoneticPr fontId="4"/>
  </si>
  <si>
    <t>中村　慎一郎</t>
    <rPh sb="0" eb="2">
      <t>ナカムラ</t>
    </rPh>
    <rPh sb="3" eb="6">
      <t>シンイチロウ</t>
    </rPh>
    <phoneticPr fontId="4"/>
  </si>
  <si>
    <t>レギュラー1か月</t>
    <phoneticPr fontId="4"/>
  </si>
  <si>
    <t>入澤　剛</t>
    <rPh sb="0" eb="2">
      <t>イリサワ</t>
    </rPh>
    <rPh sb="3" eb="4">
      <t>ゴウ</t>
    </rPh>
    <phoneticPr fontId="4"/>
  </si>
  <si>
    <t>3月11日参加費</t>
    <rPh sb="1" eb="2">
      <t>ガツ</t>
    </rPh>
    <rPh sb="4" eb="5">
      <t>ニチ</t>
    </rPh>
    <rPh sb="5" eb="8">
      <t>サンカヒ</t>
    </rPh>
    <phoneticPr fontId="4"/>
  </si>
  <si>
    <t>藤原　知広</t>
    <rPh sb="0" eb="2">
      <t>フジワラ</t>
    </rPh>
    <rPh sb="3" eb="5">
      <t>トモヒロ</t>
    </rPh>
    <phoneticPr fontId="4"/>
  </si>
  <si>
    <t>小瀬　翔也</t>
    <rPh sb="0" eb="2">
      <t>コセ</t>
    </rPh>
    <rPh sb="3" eb="5">
      <t>ショウヤ</t>
    </rPh>
    <phoneticPr fontId="4"/>
  </si>
  <si>
    <t>ビジター利用</t>
    <rPh sb="4" eb="6">
      <t>リヨウ</t>
    </rPh>
    <phoneticPr fontId="4"/>
  </si>
  <si>
    <t>松田　隆兵</t>
    <rPh sb="0" eb="2">
      <t>マツダ</t>
    </rPh>
    <rPh sb="3" eb="4">
      <t>タカ</t>
    </rPh>
    <rPh sb="4" eb="5">
      <t>ヘイ</t>
    </rPh>
    <phoneticPr fontId="4"/>
  </si>
  <si>
    <t>榎本プロ</t>
    <rPh sb="0" eb="2">
      <t>エノモト</t>
    </rPh>
    <phoneticPr fontId="4"/>
  </si>
  <si>
    <t>日本シャフト IR モーダス3 TOUR 125</t>
    <rPh sb="0" eb="2">
      <t>ニホン</t>
    </rPh>
    <phoneticPr fontId="4"/>
  </si>
  <si>
    <t>黒木　康平</t>
    <rPh sb="0" eb="2">
      <t>クロキ</t>
    </rPh>
    <rPh sb="3" eb="5">
      <t>コウヘイ</t>
    </rPh>
    <phoneticPr fontId="4"/>
  </si>
  <si>
    <t>松村　千代勝</t>
    <rPh sb="0" eb="2">
      <t>マツムラ</t>
    </rPh>
    <rPh sb="3" eb="6">
      <t>チヨカツ</t>
    </rPh>
    <phoneticPr fontId="4"/>
  </si>
  <si>
    <t>三菱ケミカル DR VANQUISH S</t>
    <rPh sb="0" eb="2">
      <t>ミツビシ</t>
    </rPh>
    <phoneticPr fontId="4"/>
  </si>
  <si>
    <t>PING G410</t>
    <phoneticPr fontId="4"/>
  </si>
  <si>
    <t>テーラーメイド</t>
    <phoneticPr fontId="4"/>
  </si>
  <si>
    <t>藤田　寛</t>
    <rPh sb="0" eb="2">
      <t>フジタ</t>
    </rPh>
    <rPh sb="3" eb="4">
      <t>ヒロシ</t>
    </rPh>
    <phoneticPr fontId="4"/>
  </si>
  <si>
    <t>レギュラー0.5か月</t>
    <phoneticPr fontId="4"/>
  </si>
  <si>
    <t>宮下　正規</t>
    <rPh sb="0" eb="2">
      <t>ミヤシタ</t>
    </rPh>
    <rPh sb="3" eb="4">
      <t>タダシ</t>
    </rPh>
    <rPh sb="4" eb="5">
      <t>キ</t>
    </rPh>
    <phoneticPr fontId="4"/>
  </si>
  <si>
    <t>チケット1か月</t>
    <phoneticPr fontId="4"/>
  </si>
  <si>
    <t>伊藤　安耶</t>
    <rPh sb="0" eb="2">
      <t>イトウ</t>
    </rPh>
    <rPh sb="3" eb="4">
      <t>ヤス</t>
    </rPh>
    <rPh sb="4" eb="5">
      <t>ヤ</t>
    </rPh>
    <phoneticPr fontId="4"/>
  </si>
  <si>
    <t>iomic sticky opus ladies</t>
  </si>
  <si>
    <t>iomic sticky opus ladies</t>
    <phoneticPr fontId="4"/>
  </si>
  <si>
    <t>中井　学</t>
    <rPh sb="0" eb="2">
      <t>ナカイ</t>
    </rPh>
    <rPh sb="3" eb="4">
      <t>マナブ</t>
    </rPh>
    <phoneticPr fontId="4"/>
  </si>
  <si>
    <t>福本　智博</t>
    <rPh sb="0" eb="2">
      <t>フクモト</t>
    </rPh>
    <rPh sb="3" eb="5">
      <t>トモヒロ</t>
    </rPh>
    <phoneticPr fontId="4"/>
  </si>
  <si>
    <t>フルフィッティング料(登録プロ紹介)</t>
    <rPh sb="11" eb="13">
      <t>トウロク</t>
    </rPh>
    <rPh sb="15" eb="17">
      <t>ショウカイ</t>
    </rPh>
    <phoneticPr fontId="4"/>
  </si>
  <si>
    <t>LINEクーポン500円引</t>
    <phoneticPr fontId="4"/>
  </si>
  <si>
    <t>高崎プロ　LINEクーポン500円引</t>
    <rPh sb="0" eb="2">
      <t>タカサキ</t>
    </rPh>
    <phoneticPr fontId="4"/>
  </si>
  <si>
    <t>土谷　喜輝</t>
    <rPh sb="0" eb="2">
      <t>ツチタニ</t>
    </rPh>
    <rPh sb="3" eb="4">
      <t>キ</t>
    </rPh>
    <rPh sb="4" eb="5">
      <t>カガヤ</t>
    </rPh>
    <phoneticPr fontId="4"/>
  </si>
  <si>
    <t>ブリヂストン TOUR Bx 白</t>
    <rPh sb="15" eb="16">
      <t>シロ</t>
    </rPh>
    <phoneticPr fontId="4"/>
  </si>
  <si>
    <t>レギュラー2か月分</t>
    <rPh sb="8" eb="9">
      <t>ブン</t>
    </rPh>
    <phoneticPr fontId="4"/>
  </si>
  <si>
    <t>河合　慈英</t>
    <rPh sb="0" eb="2">
      <t>カワイ</t>
    </rPh>
    <phoneticPr fontId="4"/>
  </si>
  <si>
    <t>三菱ケミカル DR Diamana ZF60X</t>
    <rPh sb="0" eb="2">
      <t>ミツビシ</t>
    </rPh>
    <phoneticPr fontId="4"/>
  </si>
  <si>
    <t>三菱ケミカル DR Diamana ZF70X</t>
    <rPh sb="0" eb="2">
      <t>ミツビシ</t>
    </rPh>
    <phoneticPr fontId="4"/>
  </si>
  <si>
    <t>タイトリスト</t>
    <phoneticPr fontId="4"/>
  </si>
  <si>
    <t>オリムピック DR 07 Premium series D-5 X</t>
    <phoneticPr fontId="4"/>
  </si>
  <si>
    <t>iomic sticky soft 2.6 プラチナムグレー有</t>
  </si>
  <si>
    <t>グリップ</t>
    <phoneticPr fontId="4"/>
  </si>
  <si>
    <t>山田　圭子</t>
    <rPh sb="0" eb="2">
      <t>ヤマダ</t>
    </rPh>
    <rPh sb="3" eb="5">
      <t>ケイコ</t>
    </rPh>
    <phoneticPr fontId="4"/>
  </si>
  <si>
    <t>村上　貴康</t>
    <rPh sb="0" eb="2">
      <t>ムラカミ</t>
    </rPh>
    <rPh sb="3" eb="5">
      <t>タカヤス</t>
    </rPh>
    <phoneticPr fontId="4"/>
  </si>
  <si>
    <t>北　秀実</t>
    <rPh sb="0" eb="1">
      <t>キタ</t>
    </rPh>
    <rPh sb="2" eb="4">
      <t>ヒデミ</t>
    </rPh>
    <phoneticPr fontId="4"/>
  </si>
  <si>
    <t>古川プロ</t>
    <rPh sb="0" eb="2">
      <t>フルカワ</t>
    </rPh>
    <phoneticPr fontId="4"/>
  </si>
  <si>
    <t>タイトリスト LEFTDASH</t>
    <phoneticPr fontId="4"/>
  </si>
  <si>
    <t>原田　和哉</t>
    <rPh sb="0" eb="2">
      <t>ハラダ</t>
    </rPh>
    <rPh sb="3" eb="5">
      <t>カズヤ</t>
    </rPh>
    <phoneticPr fontId="4"/>
  </si>
  <si>
    <t>GOLF PRIDE TOUR VELVET 無</t>
    <rPh sb="23" eb="24">
      <t>ナシ</t>
    </rPh>
    <phoneticPr fontId="4"/>
  </si>
  <si>
    <t>仲　直樹</t>
    <rPh sb="0" eb="1">
      <t>ナカ</t>
    </rPh>
    <rPh sb="2" eb="4">
      <t>ナオキ</t>
    </rPh>
    <phoneticPr fontId="4"/>
  </si>
  <si>
    <t>杉田　匠</t>
    <rPh sb="0" eb="2">
      <t>スギタ</t>
    </rPh>
    <rPh sb="3" eb="4">
      <t>タクミ</t>
    </rPh>
    <phoneticPr fontId="4"/>
  </si>
  <si>
    <t>パターマット</t>
    <phoneticPr fontId="4"/>
  </si>
  <si>
    <t>Arch DR Natural 9 NERO 27</t>
    <phoneticPr fontId="4"/>
  </si>
  <si>
    <t>キャロウェイ DR PARADYM Ai SMOKE ♦♦♦10.5°</t>
    <phoneticPr fontId="4"/>
  </si>
  <si>
    <t>キャロウェイ FW PARADYM Ai SMOKE ♦♦♦#3.#5</t>
    <phoneticPr fontId="4"/>
  </si>
  <si>
    <t>iomic 松山モデル 13本セット</t>
    <rPh sb="6" eb="8">
      <t>マツヤマ</t>
    </rPh>
    <rPh sb="14" eb="15">
      <t>ホン</t>
    </rPh>
    <phoneticPr fontId="4"/>
  </si>
  <si>
    <t>山本　幸路</t>
    <rPh sb="0" eb="2">
      <t>ヤマモト</t>
    </rPh>
    <rPh sb="3" eb="4">
      <t>シアワ</t>
    </rPh>
    <rPh sb="4" eb="5">
      <t>ロ</t>
    </rPh>
    <phoneticPr fontId="4"/>
  </si>
  <si>
    <t>perfet pro X LINE CORD ブラック</t>
    <phoneticPr fontId="4"/>
  </si>
  <si>
    <t>野村</t>
    <rPh sb="0" eb="2">
      <t>ノムラ</t>
    </rPh>
    <phoneticPr fontId="4"/>
  </si>
  <si>
    <t>CADERO 2×2ペンタゴン ホワイト×グリーン</t>
    <phoneticPr fontId="4"/>
  </si>
  <si>
    <t>工賃</t>
    <rPh sb="0" eb="2">
      <t>コウチン</t>
    </rPh>
    <phoneticPr fontId="4"/>
  </si>
  <si>
    <t>山口　義典</t>
    <rPh sb="0" eb="2">
      <t>ヤマグチ</t>
    </rPh>
    <rPh sb="3" eb="5">
      <t>ヨシノリ</t>
    </rPh>
    <phoneticPr fontId="4"/>
  </si>
  <si>
    <t>タイトリスト TOUR SOFT 白</t>
    <rPh sb="17" eb="18">
      <t>シロ</t>
    </rPh>
    <phoneticPr fontId="4"/>
  </si>
  <si>
    <t>坂東　俊哉</t>
    <rPh sb="0" eb="2">
      <t>バンドウ</t>
    </rPh>
    <rPh sb="3" eb="4">
      <t>トシ</t>
    </rPh>
    <rPh sb="4" eb="5">
      <t>ヤ</t>
    </rPh>
    <phoneticPr fontId="4"/>
  </si>
  <si>
    <t>販売</t>
    <rPh sb="0" eb="2">
      <t>ハンバイ</t>
    </rPh>
    <phoneticPr fontId="4"/>
  </si>
  <si>
    <t>スリクソン Z STAR XV 白</t>
    <rPh sb="16" eb="17">
      <t>シロ</t>
    </rPh>
    <phoneticPr fontId="4"/>
  </si>
  <si>
    <t>現金</t>
    <rPh sb="0" eb="2">
      <t>ゲンキン</t>
    </rPh>
    <phoneticPr fontId="4"/>
  </si>
  <si>
    <t>松村　良佑</t>
    <rPh sb="0" eb="2">
      <t>マツムラ</t>
    </rPh>
    <rPh sb="3" eb="4">
      <t>ヨ</t>
    </rPh>
    <rPh sb="4" eb="5">
      <t>ユウ</t>
    </rPh>
    <phoneticPr fontId="4"/>
  </si>
  <si>
    <t>牧野　祐司</t>
    <rPh sb="0" eb="2">
      <t>マキノ</t>
    </rPh>
    <rPh sb="3" eb="5">
      <t>ユウジ</t>
    </rPh>
    <phoneticPr fontId="4"/>
  </si>
  <si>
    <t>土谷　喜輝</t>
    <phoneticPr fontId="4"/>
  </si>
  <si>
    <t>ヘッド</t>
    <phoneticPr fontId="4"/>
  </si>
  <si>
    <t>PING G430 MAX 10K 10.5°</t>
    <phoneticPr fontId="4"/>
  </si>
  <si>
    <t>杉本　健太郎</t>
    <rPh sb="0" eb="2">
      <t>スギモト</t>
    </rPh>
    <rPh sb="3" eb="6">
      <t>ケンタロウ</t>
    </rPh>
    <phoneticPr fontId="4"/>
  </si>
  <si>
    <t>フジクラ DR PLATINUM SPEEDER 3X</t>
    <phoneticPr fontId="4"/>
  </si>
  <si>
    <t>PING G430 MAX 10.5°</t>
    <phoneticPr fontId="4"/>
  </si>
  <si>
    <t>岩佐　識</t>
    <rPh sb="0" eb="2">
      <t>イワサ</t>
    </rPh>
    <rPh sb="3" eb="4">
      <t>シキ</t>
    </rPh>
    <phoneticPr fontId="4"/>
  </si>
  <si>
    <t>フィッティング料(会員様)</t>
    <rPh sb="9" eb="12">
      <t>カイインサマ</t>
    </rPh>
    <phoneticPr fontId="4"/>
  </si>
  <si>
    <t>西山　権一</t>
    <rPh sb="0" eb="2">
      <t>ニシヤマ</t>
    </rPh>
    <rPh sb="3" eb="4">
      <t>ケン</t>
    </rPh>
    <rPh sb="4" eb="5">
      <t>イチ</t>
    </rPh>
    <phoneticPr fontId="4"/>
  </si>
  <si>
    <t>タイトリスト LEFTDASH</t>
    <phoneticPr fontId="4"/>
  </si>
  <si>
    <t>キャロウェイ</t>
    <phoneticPr fontId="4"/>
  </si>
  <si>
    <t>古田　直也</t>
    <rPh sb="0" eb="2">
      <t>フルタ</t>
    </rPh>
    <rPh sb="3" eb="5">
      <t>ナオヤ</t>
    </rPh>
    <phoneticPr fontId="4"/>
  </si>
  <si>
    <t>USTマミヤ DR ATTAS FIT M model M-400</t>
    <phoneticPr fontId="4"/>
  </si>
  <si>
    <t>GOLF PRIDE MCC TEAMS スタンダード</t>
    <phoneticPr fontId="4"/>
  </si>
  <si>
    <t>上田　恭司</t>
    <rPh sb="0" eb="2">
      <t>ウエダ</t>
    </rPh>
    <rPh sb="3" eb="5">
      <t>キョウジ</t>
    </rPh>
    <phoneticPr fontId="4"/>
  </si>
  <si>
    <t>キャロウェイ DR  PARADYM Ai SMOKE ♦♦♦ 10.5°</t>
    <phoneticPr fontId="4"/>
  </si>
  <si>
    <t>フルフィッティング料</t>
    <phoneticPr fontId="4"/>
  </si>
  <si>
    <t>山本　修</t>
    <rPh sb="0" eb="2">
      <t>ヤマモト</t>
    </rPh>
    <rPh sb="3" eb="4">
      <t>オサム</t>
    </rPh>
    <phoneticPr fontId="4"/>
  </si>
  <si>
    <t>GOLF PRIDE TOUR VELVET 無</t>
    <rPh sb="23" eb="24">
      <t>ナシ</t>
    </rPh>
    <phoneticPr fontId="4"/>
  </si>
  <si>
    <t>エリート スティングレーM58</t>
    <phoneticPr fontId="4"/>
  </si>
  <si>
    <t>Arch FW WH-01-22</t>
    <phoneticPr fontId="4"/>
  </si>
  <si>
    <t>GOLF PRIDE TOUR VELVET LIGHT 無</t>
    <rPh sb="29" eb="30">
      <t>ナシ</t>
    </rPh>
    <phoneticPr fontId="4"/>
  </si>
  <si>
    <t>シンカグラファイト DR LOOP Prototype LT SX</t>
    <phoneticPr fontId="4"/>
  </si>
  <si>
    <t>キャロウェイ PARADYM DR Ai SMOKE MAX ♦♦♦ 10.5°</t>
    <phoneticPr fontId="4"/>
  </si>
  <si>
    <t>吉田　一貴</t>
    <rPh sb="0" eb="2">
      <t>ヨシダ</t>
    </rPh>
    <rPh sb="3" eb="5">
      <t>カズキ</t>
    </rPh>
    <phoneticPr fontId="4"/>
  </si>
  <si>
    <t>販売</t>
    <rPh sb="0" eb="2">
      <t>ハンバイ</t>
    </rPh>
    <phoneticPr fontId="4"/>
  </si>
  <si>
    <t>アクシスゴルフ Z5 58° バウンス10</t>
    <phoneticPr fontId="4"/>
  </si>
  <si>
    <t>日本シャフト モーダス 3 システム TOUR125</t>
    <rPh sb="0" eb="2">
      <t>ニホン</t>
    </rPh>
    <phoneticPr fontId="4"/>
  </si>
  <si>
    <t>iomic LTC Ixx1.8 ブラック 無</t>
    <rPh sb="22" eb="23">
      <t>ナシ</t>
    </rPh>
    <phoneticPr fontId="4"/>
  </si>
  <si>
    <t>タイトリスト LEFTDASH</t>
    <phoneticPr fontId="4"/>
  </si>
  <si>
    <t>Arch DR Natural 9 NERO 25</t>
    <phoneticPr fontId="4"/>
  </si>
  <si>
    <t>sticky evolution 2.3 有 ブルー</t>
    <rPh sb="21" eb="22">
      <t>アリ</t>
    </rPh>
    <phoneticPr fontId="4"/>
  </si>
  <si>
    <t>キャロウェイ</t>
    <phoneticPr fontId="4"/>
  </si>
  <si>
    <t>タイトリスト PRO V1 白</t>
    <rPh sb="14" eb="15">
      <t>シロ</t>
    </rPh>
    <phoneticPr fontId="4"/>
  </si>
  <si>
    <t>古川プロ</t>
    <rPh sb="0" eb="2">
      <t>フルカワ</t>
    </rPh>
    <phoneticPr fontId="4"/>
  </si>
  <si>
    <t>井殿プロ</t>
    <rPh sb="0" eb="2">
      <t>イドノ</t>
    </rPh>
    <phoneticPr fontId="4"/>
  </si>
  <si>
    <t>藤田プロ</t>
    <rPh sb="0" eb="2">
      <t>フジタ</t>
    </rPh>
    <phoneticPr fontId="4"/>
  </si>
  <si>
    <t>山下　実桜</t>
    <rPh sb="0" eb="2">
      <t>ヤマシタ</t>
    </rPh>
    <rPh sb="3" eb="4">
      <t>ジツ</t>
    </rPh>
    <rPh sb="4" eb="5">
      <t>サクラ</t>
    </rPh>
    <phoneticPr fontId="4"/>
  </si>
  <si>
    <t>販売</t>
    <rPh sb="0" eb="2">
      <t>ハンバイ</t>
    </rPh>
    <phoneticPr fontId="4"/>
  </si>
  <si>
    <t>ニコちゃん</t>
    <phoneticPr fontId="4"/>
  </si>
  <si>
    <t>現金</t>
    <rPh sb="0" eb="2">
      <t>ゲンキン</t>
    </rPh>
    <phoneticPr fontId="4"/>
  </si>
  <si>
    <t>タイトリスト TOUER SOFT 黄</t>
    <rPh sb="18" eb="19">
      <t>キ</t>
    </rPh>
    <phoneticPr fontId="4"/>
  </si>
  <si>
    <t>STM G-Rex 有</t>
    <rPh sb="10" eb="11">
      <t>アリ</t>
    </rPh>
    <phoneticPr fontId="4"/>
  </si>
  <si>
    <t>田中　弘章</t>
    <rPh sb="0" eb="2">
      <t>タナカ</t>
    </rPh>
    <rPh sb="3" eb="5">
      <t>ヒロシショウ</t>
    </rPh>
    <phoneticPr fontId="4"/>
  </si>
  <si>
    <t>XXIO DR RED GRIP</t>
    <phoneticPr fontId="4"/>
  </si>
  <si>
    <t>エリート 1SPEED グリーン</t>
    <phoneticPr fontId="4"/>
  </si>
  <si>
    <t>販売</t>
    <rPh sb="0" eb="2">
      <t>ハンバイ</t>
    </rPh>
    <phoneticPr fontId="4"/>
  </si>
  <si>
    <t>ヘッド</t>
    <phoneticPr fontId="4"/>
  </si>
  <si>
    <t>PING DR G430 MAX 10K 10.5°</t>
    <phoneticPr fontId="4"/>
  </si>
  <si>
    <t>フィッティング料</t>
    <phoneticPr fontId="4"/>
  </si>
  <si>
    <t>販売</t>
    <rPh sb="0" eb="2">
      <t>ハンバイ</t>
    </rPh>
    <phoneticPr fontId="4"/>
  </si>
  <si>
    <t>デザインチューニング DR ZERO XROSS 40S</t>
    <phoneticPr fontId="4"/>
  </si>
  <si>
    <t>iomic sticky 1.8無 プラチナムグレー</t>
    <rPh sb="16" eb="17">
      <t>ナシ</t>
    </rPh>
    <phoneticPr fontId="4"/>
  </si>
  <si>
    <t>古川プロ</t>
    <rPh sb="0" eb="2">
      <t>フルカワ</t>
    </rPh>
    <phoneticPr fontId="4"/>
  </si>
  <si>
    <t>藤田プロ</t>
    <rPh sb="0" eb="2">
      <t>フジタ</t>
    </rPh>
    <phoneticPr fontId="4"/>
  </si>
  <si>
    <t>小野　周平</t>
    <rPh sb="0" eb="2">
      <t>オノ</t>
    </rPh>
    <rPh sb="3" eb="5">
      <t>シュウヘイ</t>
    </rPh>
    <phoneticPr fontId="4"/>
  </si>
  <si>
    <t>小杉　香</t>
    <rPh sb="0" eb="2">
      <t>コスギ</t>
    </rPh>
    <rPh sb="3" eb="4">
      <t>カオリ</t>
    </rPh>
    <phoneticPr fontId="4"/>
  </si>
  <si>
    <t>エアレジ【誤】ゴルフウィング クーポン　【正】LINEクーポン500円引</t>
    <rPh sb="5" eb="6">
      <t>アヤマ</t>
    </rPh>
    <rPh sb="21" eb="22">
      <t>タダ</t>
    </rPh>
    <phoneticPr fontId="4"/>
  </si>
  <si>
    <t>大原　智雄</t>
    <rPh sb="0" eb="2">
      <t>オオハラ</t>
    </rPh>
    <rPh sb="3" eb="5">
      <t>トモオス</t>
    </rPh>
    <phoneticPr fontId="4"/>
  </si>
  <si>
    <t>フルフィッティング料</t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</si>
  <si>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</si>
  <si>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</si>
  <si>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フジクラ DR PLATINUM SPEEDER 3S</t>
    <phoneticPr fontId="4"/>
  </si>
  <si>
    <t>iomic sticky evolution 2.3 有 ブルー</t>
    <rPh sb="27" eb="28">
      <t>アリ</t>
    </rPh>
    <phoneticPr fontId="4"/>
  </si>
  <si>
    <t>井殿プロ</t>
    <rPh sb="0" eb="2">
      <t>イドノ</t>
    </rPh>
    <phoneticPr fontId="4"/>
  </si>
  <si>
    <t>テーラーメイド</t>
    <phoneticPr fontId="4"/>
  </si>
  <si>
    <t>社長ご紹介</t>
    <rPh sb="0" eb="2">
      <t>シャチョウ</t>
    </rPh>
    <rPh sb="3" eb="5">
      <t>ショウカイ</t>
    </rPh>
    <phoneticPr fontId="4"/>
  </si>
  <si>
    <t>LINEクーポン500円引
スタッフ卜部さんのご紹介</t>
    <rPh sb="18" eb="20">
      <t>ウラベ</t>
    </rPh>
    <rPh sb="24" eb="26">
      <t>ショウカイ</t>
    </rPh>
    <phoneticPr fontId="4"/>
  </si>
  <si>
    <t>フルフィッティング料(スタッフ紹介)</t>
    <rPh sb="15" eb="17">
      <t>ショウカイ</t>
    </rPh>
    <phoneticPr fontId="4"/>
  </si>
  <si>
    <t>古川プロ</t>
    <rPh sb="0" eb="2">
      <t>フルカワ</t>
    </rPh>
    <phoneticPr fontId="4"/>
  </si>
  <si>
    <t>北　秀実</t>
    <rPh sb="0" eb="1">
      <t>キタ</t>
    </rPh>
    <rPh sb="2" eb="3">
      <t>ヒデ</t>
    </rPh>
    <rPh sb="3" eb="4">
      <t>ミ</t>
    </rPh>
    <phoneticPr fontId="4"/>
  </si>
  <si>
    <t>現金</t>
    <rPh sb="0" eb="2">
      <t>ゲンキン</t>
    </rPh>
    <phoneticPr fontId="4"/>
  </si>
  <si>
    <t>加藤　辰信</t>
    <rPh sb="0" eb="2">
      <t>カトウ</t>
    </rPh>
    <rPh sb="3" eb="5">
      <t>タツノブ</t>
    </rPh>
    <phoneticPr fontId="4"/>
  </si>
  <si>
    <t>大原　康介</t>
    <rPh sb="0" eb="2">
      <t>オオハラ</t>
    </rPh>
    <rPh sb="3" eb="5">
      <t>コウスケ</t>
    </rPh>
    <phoneticPr fontId="4"/>
  </si>
  <si>
    <t>フルフィッティング料</t>
  </si>
  <si>
    <t>販売</t>
    <rPh sb="0" eb="2">
      <t>ハンバイ</t>
    </rPh>
    <phoneticPr fontId="4"/>
  </si>
  <si>
    <t>シンカグラファイト DR LEXIA 6S</t>
    <phoneticPr fontId="4"/>
  </si>
  <si>
    <t>シンカグラファイト FW LEXIA L Series 6S</t>
    <phoneticPr fontId="4"/>
  </si>
  <si>
    <t>CADERO 2×2 PENTAGON ブラック×シルバー</t>
  </si>
  <si>
    <t>CADERO 2×2 PENTAGON ブラック×シルバー</t>
    <phoneticPr fontId="4"/>
  </si>
  <si>
    <t>出水　允</t>
    <rPh sb="0" eb="2">
      <t>デミズ</t>
    </rPh>
    <rPh sb="3" eb="4">
      <t>ミツル</t>
    </rPh>
    <phoneticPr fontId="4"/>
  </si>
  <si>
    <t>タイトリスト LEFT DASH</t>
    <phoneticPr fontId="4"/>
  </si>
  <si>
    <t>シンカグラファイト DR LEXIA 4R</t>
    <phoneticPr fontId="4"/>
  </si>
  <si>
    <t>シンカグラファイト FW LEXIA L series 4R</t>
    <phoneticPr fontId="4"/>
  </si>
  <si>
    <t>シンカグラファイト UT LEXIA HL5</t>
    <phoneticPr fontId="4"/>
  </si>
  <si>
    <t>ヘッド</t>
    <phoneticPr fontId="4"/>
  </si>
  <si>
    <t>キャロウェイ DR用</t>
    <rPh sb="9" eb="10">
      <t>ヨウ</t>
    </rPh>
    <phoneticPr fontId="4"/>
  </si>
  <si>
    <t>キャロウェイ FW用</t>
    <rPh sb="9" eb="10">
      <t>ヨウ</t>
    </rPh>
    <phoneticPr fontId="4"/>
  </si>
  <si>
    <t>藤田プロ</t>
    <rPh sb="0" eb="2">
      <t>フジタ</t>
    </rPh>
    <phoneticPr fontId="4"/>
  </si>
  <si>
    <t>柳　孝之</t>
    <rPh sb="0" eb="1">
      <t>ヤナギ</t>
    </rPh>
    <rPh sb="2" eb="4">
      <t>タカユキ</t>
    </rPh>
    <phoneticPr fontId="4"/>
  </si>
  <si>
    <t>iomic  sticky evolution 2.3 コーラルレッド 有</t>
    <rPh sb="36" eb="37">
      <t>アリ</t>
    </rPh>
    <phoneticPr fontId="4"/>
  </si>
  <si>
    <t>iomic X-evolution 2.3ブルー 無</t>
    <rPh sb="25" eb="26">
      <t>ナシ</t>
    </rPh>
    <phoneticPr fontId="4"/>
  </si>
  <si>
    <t>徳丸　翔</t>
    <rPh sb="0" eb="2">
      <t>トクマル</t>
    </rPh>
    <rPh sb="3" eb="4">
      <t>ショウ</t>
    </rPh>
    <phoneticPr fontId="4"/>
  </si>
  <si>
    <t>フジクラ DR DIAMOND SPEEDER SPD4 R</t>
    <phoneticPr fontId="4"/>
  </si>
  <si>
    <t>iomic iX touch 2.0 ブラック×オレンジ</t>
    <phoneticPr fontId="4"/>
  </si>
  <si>
    <t>perfect pro X HOLD BLACK RUBBER レッド有</t>
  </si>
  <si>
    <t>perfect pro X HOLD BLACK RUBBER レッド有</t>
    <phoneticPr fontId="4"/>
  </si>
  <si>
    <t>猪原　良</t>
    <rPh sb="0" eb="2">
      <t>イノハラ</t>
    </rPh>
    <rPh sb="3" eb="4">
      <t>ヨシ</t>
    </rPh>
    <phoneticPr fontId="4"/>
  </si>
  <si>
    <t>和島　絢子</t>
    <rPh sb="0" eb="2">
      <t>ワジマ</t>
    </rPh>
    <rPh sb="3" eb="5">
      <t>アヤコ</t>
    </rPh>
    <phoneticPr fontId="4"/>
  </si>
  <si>
    <t>ラッピンググリップ</t>
    <phoneticPr fontId="4"/>
  </si>
  <si>
    <t>西山　権一</t>
    <rPh sb="0" eb="2">
      <t>ニシヤマ</t>
    </rPh>
    <rPh sb="3" eb="4">
      <t>ケン</t>
    </rPh>
    <rPh sb="4" eb="5">
      <t>イチ</t>
    </rPh>
    <phoneticPr fontId="4"/>
  </si>
  <si>
    <t>タイトリスト PRO V1</t>
    <phoneticPr fontId="4"/>
  </si>
  <si>
    <t>戸田　こずえ</t>
    <rPh sb="0" eb="2">
      <t>トダ</t>
    </rPh>
    <phoneticPr fontId="4"/>
  </si>
  <si>
    <t>2024年4月14日の参加料</t>
    <rPh sb="4" eb="5">
      <t>ネン</t>
    </rPh>
    <rPh sb="6" eb="7">
      <t>ガツ</t>
    </rPh>
    <rPh sb="9" eb="10">
      <t>ニチ</t>
    </rPh>
    <rPh sb="11" eb="14">
      <t>サンカリョウ</t>
    </rPh>
    <phoneticPr fontId="4"/>
  </si>
  <si>
    <t>レギュラー0.75か月</t>
    <phoneticPr fontId="4"/>
  </si>
  <si>
    <t>販売</t>
    <rPh sb="0" eb="2">
      <t>ハンバイ</t>
    </rPh>
    <phoneticPr fontId="4"/>
  </si>
  <si>
    <t>CADERO 2×2 PENTAGON ブラック×レッド 有</t>
    <rPh sb="29" eb="30">
      <t>アリ</t>
    </rPh>
    <phoneticPr fontId="4"/>
  </si>
  <si>
    <t>現金</t>
    <rPh sb="0" eb="2">
      <t>ゲンキン</t>
    </rPh>
    <phoneticPr fontId="4"/>
  </si>
  <si>
    <t>ZERO FIT 左 23cm</t>
    <rPh sb="9" eb="10">
      <t>ヒダリ</t>
    </rPh>
    <phoneticPr fontId="4"/>
  </si>
  <si>
    <t>小寺山　里美</t>
    <rPh sb="0" eb="3">
      <t>コテラヤマ</t>
    </rPh>
    <rPh sb="4" eb="6">
      <t>サトミ</t>
    </rPh>
    <phoneticPr fontId="4"/>
  </si>
  <si>
    <t>八木　純平</t>
    <rPh sb="0" eb="2">
      <t>ヤギ</t>
    </rPh>
    <rPh sb="3" eb="5">
      <t>ジュンペイ</t>
    </rPh>
    <phoneticPr fontId="4"/>
  </si>
  <si>
    <t>現金</t>
    <rPh sb="0" eb="2">
      <t>ゲンキン</t>
    </rPh>
    <phoneticPr fontId="4"/>
  </si>
  <si>
    <t>今井　龍吾</t>
    <rPh sb="0" eb="2">
      <t>イマイ</t>
    </rPh>
    <rPh sb="3" eb="4">
      <t>リュウ</t>
    </rPh>
    <rPh sb="4" eb="5">
      <t>ゴ</t>
    </rPh>
    <phoneticPr fontId="4"/>
  </si>
  <si>
    <t>販売</t>
    <rPh sb="0" eb="2">
      <t>ハンバイ</t>
    </rPh>
    <phoneticPr fontId="4"/>
  </si>
  <si>
    <t>タイトリスト TOUR SOFT イエロー</t>
    <phoneticPr fontId="4"/>
  </si>
  <si>
    <t>水河　啓美</t>
    <rPh sb="0" eb="2">
      <t>ミズカワ</t>
    </rPh>
    <rPh sb="3" eb="4">
      <t>ケイ</t>
    </rPh>
    <rPh sb="4" eb="5">
      <t>ミ</t>
    </rPh>
    <phoneticPr fontId="4"/>
  </si>
  <si>
    <t>STM S-1 Light black×berry 有</t>
    <rPh sb="26" eb="27">
      <t>アリ</t>
    </rPh>
    <phoneticPr fontId="4"/>
  </si>
  <si>
    <t>フジクラ DR VENTUS TR 5X</t>
    <phoneticPr fontId="4"/>
  </si>
  <si>
    <t>三菱ケミカル UT TENSEI CK PRO ORANGE 8S</t>
    <rPh sb="0" eb="2">
      <t>ミツビシ</t>
    </rPh>
    <phoneticPr fontId="4"/>
  </si>
  <si>
    <t>フィッティング料</t>
    <phoneticPr fontId="4"/>
  </si>
  <si>
    <t>返金</t>
    <rPh sb="0" eb="2">
      <t>ヘンキン</t>
    </rPh>
    <phoneticPr fontId="4"/>
  </si>
  <si>
    <t>フィッテイング料返金</t>
    <rPh sb="7" eb="8">
      <t>リョウ</t>
    </rPh>
    <rPh sb="8" eb="10">
      <t>ヘンキン</t>
    </rPh>
    <phoneticPr fontId="4"/>
  </si>
  <si>
    <t>perfect pro X SOFT LADIES ディープブルー 有</t>
    <rPh sb="34" eb="35">
      <t>アリ</t>
    </rPh>
    <phoneticPr fontId="4"/>
  </si>
  <si>
    <t>土山　慶子</t>
    <rPh sb="0" eb="2">
      <t>ツチヤマ</t>
    </rPh>
    <rPh sb="3" eb="5">
      <t>ケイコ</t>
    </rPh>
    <phoneticPr fontId="4"/>
  </si>
  <si>
    <t>和島　将志</t>
    <rPh sb="3" eb="5">
      <t>マサシ</t>
    </rPh>
    <phoneticPr fontId="4"/>
  </si>
  <si>
    <t>法人1か月</t>
    <rPh sb="0" eb="2">
      <t>ホウジン</t>
    </rPh>
    <phoneticPr fontId="4"/>
  </si>
  <si>
    <t>タイトリスト VELOCITY</t>
    <phoneticPr fontId="4"/>
  </si>
  <si>
    <t>岩見　美樹</t>
    <rPh sb="0" eb="2">
      <t>イワミ</t>
    </rPh>
    <rPh sb="3" eb="5">
      <t>ミキ</t>
    </rPh>
    <phoneticPr fontId="4"/>
  </si>
  <si>
    <t>ZERO FIT 19cm 左右</t>
    <rPh sb="14" eb="16">
      <t>サユウ</t>
    </rPh>
    <phoneticPr fontId="4"/>
  </si>
  <si>
    <t>タイトリスト V1x</t>
    <phoneticPr fontId="4"/>
  </si>
  <si>
    <t>鷹見　伴枝</t>
    <rPh sb="0" eb="1">
      <t>タカ</t>
    </rPh>
    <rPh sb="1" eb="2">
      <t>ミ</t>
    </rPh>
    <rPh sb="3" eb="4">
      <t>バン</t>
    </rPh>
    <rPh sb="4" eb="5">
      <t>エ</t>
    </rPh>
    <phoneticPr fontId="4"/>
  </si>
  <si>
    <t>山田　正樹</t>
    <rPh sb="0" eb="2">
      <t>ヤマダ</t>
    </rPh>
    <rPh sb="3" eb="5">
      <t>マサキ</t>
    </rPh>
    <phoneticPr fontId="4"/>
  </si>
  <si>
    <t>レッスンチケット　1枚</t>
    <phoneticPr fontId="4"/>
  </si>
  <si>
    <t>濱田　憲孝</t>
    <rPh sb="0" eb="2">
      <t>ハマダ</t>
    </rPh>
    <rPh sb="3" eb="4">
      <t>ケン</t>
    </rPh>
    <rPh sb="4" eb="5">
      <t>タカ</t>
    </rPh>
    <phoneticPr fontId="4"/>
  </si>
  <si>
    <t>レギュラー0.25か月</t>
    <phoneticPr fontId="4"/>
  </si>
  <si>
    <t>レギュラー1か月</t>
    <phoneticPr fontId="4"/>
  </si>
  <si>
    <t>白川　耕由</t>
    <rPh sb="0" eb="1">
      <t>シロ</t>
    </rPh>
    <rPh sb="3" eb="4">
      <t>コウ</t>
    </rPh>
    <rPh sb="4" eb="5">
      <t>ヨシ</t>
    </rPh>
    <phoneticPr fontId="4"/>
  </si>
  <si>
    <t>古川プロ</t>
    <rPh sb="0" eb="2">
      <t>フルカワ</t>
    </rPh>
    <phoneticPr fontId="4"/>
  </si>
  <si>
    <t>社長</t>
    <rPh sb="0" eb="2">
      <t>シャチョウ</t>
    </rPh>
    <phoneticPr fontId="4"/>
  </si>
  <si>
    <t>ブリヂストン TOUR Bxs イエロー</t>
    <phoneticPr fontId="4"/>
  </si>
  <si>
    <t>タイトリスト TOUR SOFT</t>
    <phoneticPr fontId="4"/>
  </si>
  <si>
    <t>廣濵　功</t>
    <rPh sb="0" eb="2">
      <t>ヒロハマ</t>
    </rPh>
    <rPh sb="3" eb="4">
      <t>イサオ</t>
    </rPh>
    <phoneticPr fontId="4"/>
  </si>
  <si>
    <t>家族利用</t>
    <rPh sb="0" eb="4">
      <t>カゾクリヨウ</t>
    </rPh>
    <phoneticPr fontId="4"/>
  </si>
  <si>
    <t>井倉　由紀</t>
    <rPh sb="0" eb="2">
      <t>イグラ</t>
    </rPh>
    <rPh sb="3" eb="5">
      <t>ユキ</t>
    </rPh>
    <phoneticPr fontId="4"/>
  </si>
  <si>
    <t>児玉　武史</t>
  </si>
  <si>
    <t>古川　志野</t>
    <rPh sb="0" eb="2">
      <t>フルカワ</t>
    </rPh>
    <rPh sb="3" eb="5">
      <t>シノ</t>
    </rPh>
    <phoneticPr fontId="4"/>
  </si>
  <si>
    <t>ZERO FIT 19cm 左</t>
    <rPh sb="14" eb="15">
      <t>ヒダリ</t>
    </rPh>
    <phoneticPr fontId="4"/>
  </si>
  <si>
    <t>亀ホワイト</t>
    <rPh sb="0" eb="1">
      <t>カメ</t>
    </rPh>
    <phoneticPr fontId="4"/>
  </si>
  <si>
    <t>タイトリスト PRO V1x 白</t>
    <rPh sb="15" eb="16">
      <t>シロ</t>
    </rPh>
    <phoneticPr fontId="4"/>
  </si>
  <si>
    <t>岩見　真一郎</t>
    <rPh sb="0" eb="2">
      <t>イワミ</t>
    </rPh>
    <rPh sb="3" eb="6">
      <t>シンイチロウ</t>
    </rPh>
    <phoneticPr fontId="4"/>
  </si>
  <si>
    <t>ZERO FIT 22cm 白</t>
    <rPh sb="14" eb="15">
      <t>シロ</t>
    </rPh>
    <phoneticPr fontId="4"/>
  </si>
  <si>
    <t>古川　博庸</t>
    <rPh sb="0" eb="2">
      <t>フルカワ</t>
    </rPh>
    <rPh sb="3" eb="4">
      <t>ヒロ</t>
    </rPh>
    <rPh sb="4" eb="5">
      <t>ヨウ</t>
    </rPh>
    <phoneticPr fontId="4"/>
  </si>
  <si>
    <t>鳥居　剛</t>
    <rPh sb="0" eb="2">
      <t>トリイ</t>
    </rPh>
    <rPh sb="3" eb="4">
      <t>ゴウ</t>
    </rPh>
    <phoneticPr fontId="4"/>
  </si>
  <si>
    <t>ZERO FIT 25cm 左</t>
    <rPh sb="14" eb="15">
      <t>ヒダリ</t>
    </rPh>
    <phoneticPr fontId="4"/>
  </si>
  <si>
    <t>藤田　寛</t>
    <rPh sb="0" eb="2">
      <t>フジタ</t>
    </rPh>
    <rPh sb="3" eb="4">
      <t>ヒロシ</t>
    </rPh>
    <phoneticPr fontId="4"/>
  </si>
  <si>
    <t>米田　傑</t>
    <rPh sb="0" eb="2">
      <t>ヨネダ</t>
    </rPh>
    <rPh sb="3" eb="4">
      <t>スグル</t>
    </rPh>
    <phoneticPr fontId="4"/>
  </si>
  <si>
    <t>フジクラ VENTUS TR BK 5X</t>
    <phoneticPr fontId="4"/>
  </si>
  <si>
    <t>iomic LTC Grip Moebuis</t>
    <phoneticPr fontId="4"/>
  </si>
  <si>
    <t>COBRA</t>
    <phoneticPr fontId="4"/>
  </si>
  <si>
    <t>塩満　孝春</t>
    <rPh sb="0" eb="2">
      <t>シオミツ</t>
    </rPh>
    <rPh sb="3" eb="5">
      <t>タカハル</t>
    </rPh>
    <phoneticPr fontId="4"/>
  </si>
  <si>
    <t>藤田プロ</t>
    <rPh sb="0" eb="2">
      <t>フジタ</t>
    </rPh>
    <phoneticPr fontId="4"/>
  </si>
  <si>
    <t>奥嶋　卓也</t>
    <rPh sb="0" eb="2">
      <t>オクジマ</t>
    </rPh>
    <rPh sb="3" eb="5">
      <t>タクヤ</t>
    </rPh>
    <phoneticPr fontId="4"/>
  </si>
  <si>
    <t>フルフィッティング料</t>
    <phoneticPr fontId="4"/>
  </si>
  <si>
    <t>福本　正美</t>
    <rPh sb="0" eb="2">
      <t>フクモト</t>
    </rPh>
    <rPh sb="3" eb="4">
      <t>タダ</t>
    </rPh>
    <rPh sb="4" eb="5">
      <t>ウツク</t>
    </rPh>
    <phoneticPr fontId="4"/>
  </si>
  <si>
    <t>池内　正行</t>
    <rPh sb="0" eb="2">
      <t>イケウチ</t>
    </rPh>
    <rPh sb="3" eb="5">
      <t>マサユキ</t>
    </rPh>
    <phoneticPr fontId="4"/>
  </si>
  <si>
    <t>西村　淑子</t>
    <rPh sb="0" eb="2">
      <t>ニシムラ</t>
    </rPh>
    <rPh sb="3" eb="5">
      <t>ヨシコ</t>
    </rPh>
    <phoneticPr fontId="4"/>
  </si>
  <si>
    <t>西村　啓三</t>
    <rPh sb="0" eb="2">
      <t>ニシムラ</t>
    </rPh>
    <rPh sb="3" eb="5">
      <t>ケイゾウ</t>
    </rPh>
    <phoneticPr fontId="4"/>
  </si>
  <si>
    <t>販売</t>
    <rPh sb="0" eb="2">
      <t>ハンバイ</t>
    </rPh>
    <phoneticPr fontId="4"/>
  </si>
  <si>
    <t>シンカグラファイト DR LEXIA 4R</t>
    <phoneticPr fontId="4"/>
  </si>
  <si>
    <t>ヘッド</t>
    <phoneticPr fontId="4"/>
  </si>
  <si>
    <t>キャロウェイ DR PARADYM Ai SMOKE MAX D 10.5°</t>
    <phoneticPr fontId="4"/>
  </si>
  <si>
    <t>井殿プロ</t>
    <rPh sb="0" eb="2">
      <t>イドノ</t>
    </rPh>
    <phoneticPr fontId="4"/>
  </si>
  <si>
    <t>北川　修</t>
    <rPh sb="0" eb="2">
      <t>キタガワ</t>
    </rPh>
    <rPh sb="3" eb="4">
      <t>オサム</t>
    </rPh>
    <phoneticPr fontId="4"/>
  </si>
  <si>
    <t>2024年4月27日の参加料</t>
    <rPh sb="4" eb="5">
      <t>ネン</t>
    </rPh>
    <rPh sb="6" eb="7">
      <t>ガツ</t>
    </rPh>
    <rPh sb="9" eb="10">
      <t>ニチ</t>
    </rPh>
    <rPh sb="11" eb="14">
      <t>サンカリョウ</t>
    </rPh>
    <phoneticPr fontId="4"/>
  </si>
  <si>
    <t>現金</t>
    <rPh sb="0" eb="2">
      <t>ゲンキン</t>
    </rPh>
    <phoneticPr fontId="4"/>
  </si>
  <si>
    <t>宍戸　友紀</t>
    <rPh sb="0" eb="2">
      <t>シシド</t>
    </rPh>
    <rPh sb="3" eb="5">
      <t>ユキ</t>
    </rPh>
    <phoneticPr fontId="4"/>
  </si>
  <si>
    <t>松田　隆平</t>
    <rPh sb="0" eb="2">
      <t>マツダ</t>
    </rPh>
    <rPh sb="3" eb="5">
      <t>リュウヘイ</t>
    </rPh>
    <phoneticPr fontId="4"/>
  </si>
  <si>
    <t>古川プロ</t>
    <rPh sb="0" eb="2">
      <t>フルカワ</t>
    </rPh>
    <phoneticPr fontId="4"/>
  </si>
  <si>
    <t>販売</t>
    <rPh sb="0" eb="2">
      <t>ハンバイ</t>
    </rPh>
    <phoneticPr fontId="4"/>
  </si>
  <si>
    <t>ヘッド</t>
    <phoneticPr fontId="4"/>
  </si>
  <si>
    <t>キャロウェイ DR PARADYM ♦♦♦10.5°</t>
    <phoneticPr fontId="4"/>
  </si>
  <si>
    <t>清川　要治</t>
    <rPh sb="0" eb="2">
      <t>キヨカワ</t>
    </rPh>
    <rPh sb="3" eb="4">
      <t>ヨウ</t>
    </rPh>
    <rPh sb="4" eb="5">
      <t>オサム</t>
    </rPh>
    <phoneticPr fontId="4"/>
  </si>
  <si>
    <t>販売</t>
    <rPh sb="0" eb="2">
      <t>ハンバイ</t>
    </rPh>
    <phoneticPr fontId="4"/>
  </si>
  <si>
    <t>フジクラ UT DIAMOND SPEEDER HB 7S</t>
    <phoneticPr fontId="4"/>
  </si>
  <si>
    <t>振込</t>
    <rPh sb="0" eb="2">
      <t>フリコミ</t>
    </rPh>
    <phoneticPr fontId="4"/>
  </si>
  <si>
    <t>\50,000分クーポン使用</t>
    <rPh sb="7" eb="8">
      <t>ブン</t>
    </rPh>
    <rPh sb="12" eb="14">
      <t>シヨウ</t>
    </rPh>
    <phoneticPr fontId="4"/>
  </si>
  <si>
    <t>西村啓三様がまとめてお支払い</t>
    <rPh sb="4" eb="5">
      <t>サマ</t>
    </rPh>
    <rPh sb="11" eb="13">
      <t>シハラ</t>
    </rPh>
    <phoneticPr fontId="4"/>
  </si>
  <si>
    <t>エアレジ入力無し</t>
    <rPh sb="4" eb="6">
      <t>ニュウリョク</t>
    </rPh>
    <rPh sb="6" eb="7">
      <t>ナシ</t>
    </rPh>
    <phoneticPr fontId="4"/>
  </si>
  <si>
    <t>桑原　将志</t>
    <rPh sb="0" eb="2">
      <t>クワハラ</t>
    </rPh>
    <rPh sb="3" eb="5">
      <t>マサシ</t>
    </rPh>
    <phoneticPr fontId="4"/>
  </si>
  <si>
    <t>レギュラー0.75か月</t>
    <phoneticPr fontId="4"/>
  </si>
  <si>
    <t>販売</t>
    <rPh sb="0" eb="2">
      <t>ハンバイ</t>
    </rPh>
    <phoneticPr fontId="4"/>
  </si>
  <si>
    <t>iomic sticky evolution 2.3 レモンイエロー 有</t>
    <rPh sb="35" eb="36">
      <t>アリ</t>
    </rPh>
    <phoneticPr fontId="4"/>
  </si>
  <si>
    <t>ZERO FIT 24cm 左 白</t>
    <rPh sb="14" eb="15">
      <t>ヒダリ</t>
    </rPh>
    <rPh sb="16" eb="17">
      <t>シロ</t>
    </rPh>
    <phoneticPr fontId="4"/>
  </si>
  <si>
    <t>レギュラー会員からマスター会員の差額</t>
    <rPh sb="5" eb="7">
      <t>カイイン</t>
    </rPh>
    <rPh sb="13" eb="15">
      <t>カイイン</t>
    </rPh>
    <rPh sb="16" eb="18">
      <t>サガク</t>
    </rPh>
    <phoneticPr fontId="4"/>
  </si>
  <si>
    <t>今村　拓望</t>
    <rPh sb="0" eb="2">
      <t>イマムラ</t>
    </rPh>
    <phoneticPr fontId="4"/>
  </si>
  <si>
    <t>宮崎　定智</t>
    <rPh sb="0" eb="2">
      <t>ミヤザキ</t>
    </rPh>
    <rPh sb="3" eb="4">
      <t>サダ</t>
    </rPh>
    <rPh sb="4" eb="5">
      <t>トモ</t>
    </rPh>
    <phoneticPr fontId="4"/>
  </si>
  <si>
    <t>GOLF PRIDE TOUR VELVET なし</t>
    <phoneticPr fontId="4"/>
  </si>
  <si>
    <t>児玉　武史</t>
    <phoneticPr fontId="4"/>
  </si>
  <si>
    <t>ZERO FIT 21cm 左 白</t>
    <rPh sb="14" eb="15">
      <t>ヒダリ</t>
    </rPh>
    <rPh sb="16" eb="17">
      <t>シロ</t>
    </rPh>
    <phoneticPr fontId="4"/>
  </si>
  <si>
    <t>村上　梨理香</t>
    <rPh sb="0" eb="2">
      <t>ムラカミ</t>
    </rPh>
    <rPh sb="3" eb="6">
      <t>ナシリカ</t>
    </rPh>
    <phoneticPr fontId="4"/>
  </si>
  <si>
    <t>間所　伸央</t>
    <phoneticPr fontId="4"/>
  </si>
  <si>
    <t>練習チケット11枚</t>
    <rPh sb="0" eb="2">
      <t>レンシュウ</t>
    </rPh>
    <rPh sb="8" eb="9">
      <t>マイ</t>
    </rPh>
    <phoneticPr fontId="4"/>
  </si>
  <si>
    <t>道関　和宏</t>
    <rPh sb="0" eb="1">
      <t>ミチ</t>
    </rPh>
    <rPh sb="1" eb="2">
      <t>セキ</t>
    </rPh>
    <rPh sb="3" eb="5">
      <t>カズヒロ</t>
    </rPh>
    <phoneticPr fontId="4"/>
  </si>
  <si>
    <t>IOMIC x evolution 2.3 レッド 有</t>
    <rPh sb="26" eb="27">
      <t>アリ</t>
    </rPh>
    <phoneticPr fontId="4"/>
  </si>
  <si>
    <t>吉田　龍藏</t>
    <rPh sb="0" eb="2">
      <t>ヨシダ</t>
    </rPh>
    <rPh sb="3" eb="4">
      <t>リュウ</t>
    </rPh>
    <rPh sb="4" eb="5">
      <t>クラ</t>
    </rPh>
    <phoneticPr fontId="4"/>
  </si>
  <si>
    <t>エリート RS74 クラシックレッド</t>
    <phoneticPr fontId="4"/>
  </si>
  <si>
    <t>レギュラー1か月分</t>
    <rPh sb="8" eb="9">
      <t>ブン</t>
    </rPh>
    <phoneticPr fontId="4"/>
  </si>
  <si>
    <t>ライト2か月</t>
    <phoneticPr fontId="4"/>
  </si>
  <si>
    <t>IOMIC 差額</t>
    <rPh sb="6" eb="8">
      <t>サガク</t>
    </rPh>
    <phoneticPr fontId="4"/>
  </si>
  <si>
    <t>石本　脩真</t>
    <phoneticPr fontId="4"/>
  </si>
  <si>
    <t>高橋　寧子</t>
    <rPh sb="0" eb="2">
      <t>タカハシ</t>
    </rPh>
    <rPh sb="3" eb="5">
      <t>ヤスコ</t>
    </rPh>
    <phoneticPr fontId="4"/>
  </si>
  <si>
    <t>perfect pro X HOLD BLACK RUBBER　ﾚｯﾄﾞ (有)</t>
    <phoneticPr fontId="4"/>
  </si>
  <si>
    <t>ZERO FIT 20cm 左 黒</t>
    <rPh sb="14" eb="15">
      <t>ヒダリ</t>
    </rPh>
    <rPh sb="16" eb="17">
      <t>クロ</t>
    </rPh>
    <phoneticPr fontId="4"/>
  </si>
  <si>
    <t>藤原　令子</t>
    <rPh sb="0" eb="2">
      <t>フジワラ</t>
    </rPh>
    <rPh sb="3" eb="5">
      <t>レイコ</t>
    </rPh>
    <phoneticPr fontId="4"/>
  </si>
  <si>
    <t>TOUR TEE ORIGINAL MIX カラー</t>
    <phoneticPr fontId="4"/>
  </si>
  <si>
    <t>タイトリスト VELOCITY 白</t>
    <rPh sb="16" eb="17">
      <t>シロ</t>
    </rPh>
    <phoneticPr fontId="4"/>
  </si>
  <si>
    <t>中村　寿光鈴</t>
    <rPh sb="0" eb="2">
      <t>ナカムラ</t>
    </rPh>
    <rPh sb="3" eb="5">
      <t>コトブキヒカリ</t>
    </rPh>
    <rPh sb="5" eb="6">
      <t>スズ</t>
    </rPh>
    <phoneticPr fontId="4"/>
  </si>
  <si>
    <t>フジクラ DR VENTUS TR BK 5S</t>
  </si>
  <si>
    <t>長谷川　佳子</t>
    <rPh sb="0" eb="3">
      <t>ハセガワ</t>
    </rPh>
    <rPh sb="4" eb="6">
      <t>ケイコ</t>
    </rPh>
    <phoneticPr fontId="4"/>
  </si>
  <si>
    <t>花原　秀樹</t>
    <rPh sb="0" eb="2">
      <t>ハナハラ</t>
    </rPh>
    <rPh sb="3" eb="5">
      <t>ヒデキ</t>
    </rPh>
    <phoneticPr fontId="4"/>
  </si>
  <si>
    <t>松田　猛</t>
    <rPh sb="3" eb="4">
      <t>タケル</t>
    </rPh>
    <phoneticPr fontId="4"/>
  </si>
  <si>
    <t>高木　政宏</t>
    <rPh sb="0" eb="2">
      <t>タカギ</t>
    </rPh>
    <rPh sb="3" eb="4">
      <t>マサ</t>
    </rPh>
    <rPh sb="4" eb="5">
      <t>ヒロ</t>
    </rPh>
    <phoneticPr fontId="4"/>
  </si>
  <si>
    <t>池田　伸次</t>
    <rPh sb="0" eb="2">
      <t>イケダ</t>
    </rPh>
    <rPh sb="3" eb="4">
      <t>ノ</t>
    </rPh>
    <rPh sb="4" eb="5">
      <t>ツギ</t>
    </rPh>
    <phoneticPr fontId="4"/>
  </si>
  <si>
    <t>キャロウェイ PARADYM DR Ai SMOKE MAX D 10.5°</t>
    <phoneticPr fontId="4"/>
  </si>
  <si>
    <t>REVE DR RAVER ASSAULT ATTACK 50S 黒</t>
    <rPh sb="33" eb="34">
      <t>クロ</t>
    </rPh>
    <phoneticPr fontId="4"/>
  </si>
  <si>
    <t>岩井　譜三</t>
    <rPh sb="0" eb="2">
      <t>イワイ</t>
    </rPh>
    <rPh sb="3" eb="4">
      <t>フ</t>
    </rPh>
    <rPh sb="4" eb="5">
      <t>サン</t>
    </rPh>
    <phoneticPr fontId="4"/>
  </si>
  <si>
    <t>片岡　大</t>
    <rPh sb="0" eb="2">
      <t>カタオカ</t>
    </rPh>
    <rPh sb="3" eb="4">
      <t>オオ</t>
    </rPh>
    <phoneticPr fontId="4"/>
  </si>
  <si>
    <t>コンペ景品</t>
    <rPh sb="3" eb="5">
      <t>ケイヒン</t>
    </rPh>
    <phoneticPr fontId="4"/>
  </si>
  <si>
    <t>Arch DR Natural 9 ROSSO 23</t>
    <phoneticPr fontId="4"/>
  </si>
  <si>
    <t xml:space="preserve">エリート </t>
    <phoneticPr fontId="4"/>
  </si>
  <si>
    <t>福山　優希</t>
    <rPh sb="0" eb="2">
      <t>フクヤマ</t>
    </rPh>
    <rPh sb="3" eb="4">
      <t>ユウ</t>
    </rPh>
    <rPh sb="4" eb="5">
      <t>キ</t>
    </rPh>
    <phoneticPr fontId="4"/>
  </si>
  <si>
    <t>参加費</t>
    <rPh sb="0" eb="3">
      <t>サンカヒ</t>
    </rPh>
    <phoneticPr fontId="4"/>
  </si>
  <si>
    <t>コンペ参加費(5月14日開催)</t>
    <rPh sb="3" eb="6">
      <t>サンカヒ</t>
    </rPh>
    <rPh sb="8" eb="9">
      <t>ガツ</t>
    </rPh>
    <rPh sb="11" eb="12">
      <t>ニチ</t>
    </rPh>
    <rPh sb="12" eb="14">
      <t>カイサイ</t>
    </rPh>
    <phoneticPr fontId="4"/>
  </si>
  <si>
    <t>高永　兼司</t>
    <rPh sb="0" eb="2">
      <t>タカナガ</t>
    </rPh>
    <rPh sb="3" eb="5">
      <t>ケンジ</t>
    </rPh>
    <phoneticPr fontId="4"/>
  </si>
  <si>
    <t>GADERO 2×2 PENTAGON ブラック×レッド 有</t>
    <rPh sb="29" eb="30">
      <t>アリ</t>
    </rPh>
    <phoneticPr fontId="4"/>
  </si>
  <si>
    <t>フジクラ FW DIAMOND SPEEDER SPD 5 S 試打現行</t>
    <rPh sb="32" eb="36">
      <t>シダゲンコウ</t>
    </rPh>
    <phoneticPr fontId="4"/>
  </si>
  <si>
    <t>フジクラ DR DIAMOND SPEEDER SPD 5 S</t>
    <phoneticPr fontId="4"/>
  </si>
  <si>
    <t>フジクラ UT DIAMOND SPEEDER HB 6 S</t>
    <phoneticPr fontId="4"/>
  </si>
  <si>
    <t>フジクラ UT DIAMOND SPEEDER HB 7 S</t>
  </si>
  <si>
    <t>オリムピック DR 27 series 47D SR 試打現行</t>
    <rPh sb="27" eb="31">
      <t>シダゲンコウ</t>
    </rPh>
    <phoneticPr fontId="4"/>
  </si>
  <si>
    <t>福本　正美</t>
    <rPh sb="0" eb="2">
      <t>フクモト</t>
    </rPh>
    <rPh sb="3" eb="5">
      <t>マサミ</t>
    </rPh>
    <phoneticPr fontId="4"/>
  </si>
  <si>
    <t>perfect pro X HOLD RUBBER ブラック 無</t>
    <rPh sb="31" eb="32">
      <t>ナシ</t>
    </rPh>
    <phoneticPr fontId="4"/>
  </si>
  <si>
    <t>IOMIC iX touch オレンジ 有</t>
    <rPh sb="20" eb="21">
      <t>アリ</t>
    </rPh>
    <phoneticPr fontId="4"/>
  </si>
  <si>
    <t>和島　浩士</t>
    <rPh sb="0" eb="2">
      <t>ワジマ</t>
    </rPh>
    <rPh sb="3" eb="4">
      <t>ヒロシ</t>
    </rPh>
    <rPh sb="4" eb="5">
      <t>シ</t>
    </rPh>
    <phoneticPr fontId="4"/>
  </si>
  <si>
    <t>Super Stroke パターグリップ</t>
    <phoneticPr fontId="4"/>
  </si>
  <si>
    <t>タイトリスト PRO V1X 白</t>
    <rPh sb="15" eb="16">
      <t>シロ</t>
    </rPh>
    <phoneticPr fontId="4"/>
  </si>
  <si>
    <t xml:space="preserve">TOUR TEE </t>
    <phoneticPr fontId="4"/>
  </si>
  <si>
    <t>1万円分は金券。残り1,110円はAirペイ</t>
    <rPh sb="1" eb="3">
      <t>マンエン</t>
    </rPh>
    <rPh sb="3" eb="4">
      <t>ブン</t>
    </rPh>
    <rPh sb="5" eb="7">
      <t>キンケン</t>
    </rPh>
    <rPh sb="8" eb="9">
      <t>ノコ</t>
    </rPh>
    <rPh sb="15" eb="16">
      <t>エン</t>
    </rPh>
    <phoneticPr fontId="4"/>
  </si>
  <si>
    <t>西脇　俊文</t>
    <rPh sb="0" eb="2">
      <t>ニシワキ</t>
    </rPh>
    <rPh sb="3" eb="5">
      <t>トシフミ</t>
    </rPh>
    <phoneticPr fontId="4"/>
  </si>
  <si>
    <t>BALDO 2024 TT DRIVER GT3 シャロー 10.0°</t>
    <phoneticPr fontId="4"/>
  </si>
  <si>
    <t>シンカグラファイト UT LEXIA UT5</t>
    <phoneticPr fontId="4"/>
  </si>
  <si>
    <t>キャロウェイ IR FORGED STAR</t>
    <phoneticPr fontId="4"/>
  </si>
  <si>
    <t>タイトリスト LEFT DASH 白</t>
    <rPh sb="17" eb="18">
      <t>シロ</t>
    </rPh>
    <phoneticPr fontId="4"/>
  </si>
  <si>
    <t>中川　浩二</t>
    <rPh sb="0" eb="2">
      <t>ナカガワ</t>
    </rPh>
    <rPh sb="3" eb="5">
      <t>コウジ</t>
    </rPh>
    <phoneticPr fontId="4"/>
  </si>
  <si>
    <t>2024年6月4日の参加料</t>
    <rPh sb="4" eb="5">
      <t>ネン</t>
    </rPh>
    <rPh sb="6" eb="7">
      <t>ガツ</t>
    </rPh>
    <rPh sb="8" eb="9">
      <t>ニチ</t>
    </rPh>
    <rPh sb="10" eb="13">
      <t>サンカリョウ</t>
    </rPh>
    <phoneticPr fontId="4"/>
  </si>
  <si>
    <t>ブリヂストン TOUR BX 黄</t>
    <rPh sb="15" eb="16">
      <t>キ</t>
    </rPh>
    <phoneticPr fontId="4"/>
  </si>
  <si>
    <t>エリート スティングレーM58 ブラック 無</t>
    <rPh sb="21" eb="22">
      <t>ナシ</t>
    </rPh>
    <phoneticPr fontId="4"/>
  </si>
  <si>
    <t>TOUR TEE PLUS</t>
    <phoneticPr fontId="4"/>
  </si>
  <si>
    <t>PING G410 レフティー用</t>
    <rPh sb="15" eb="16">
      <t>ヨウ</t>
    </rPh>
    <phoneticPr fontId="4"/>
  </si>
  <si>
    <t>伊藤　成泰</t>
    <rPh sb="0" eb="2">
      <t>イトウ</t>
    </rPh>
    <rPh sb="3" eb="5">
      <t>ナリヤス</t>
    </rPh>
    <phoneticPr fontId="4"/>
  </si>
  <si>
    <t>藤田プロ紹介</t>
    <rPh sb="0" eb="2">
      <t>フジタ</t>
    </rPh>
    <rPh sb="4" eb="6">
      <t>ショウカイ</t>
    </rPh>
    <phoneticPr fontId="4"/>
  </si>
  <si>
    <t>田邉　真由美</t>
    <rPh sb="0" eb="2">
      <t>タナベ</t>
    </rPh>
    <rPh sb="3" eb="6">
      <t>マユミ</t>
    </rPh>
    <phoneticPr fontId="4"/>
  </si>
  <si>
    <t>住地ゴルフご紹介</t>
    <rPh sb="0" eb="2">
      <t>ジュウチ</t>
    </rPh>
    <rPh sb="6" eb="8">
      <t>ショウカイ</t>
    </rPh>
    <phoneticPr fontId="4"/>
  </si>
  <si>
    <t>株式会社トガワ</t>
    <rPh sb="0" eb="4">
      <t>カブシキカイシャ</t>
    </rPh>
    <phoneticPr fontId="4"/>
  </si>
  <si>
    <t>植原　由佳</t>
    <rPh sb="0" eb="2">
      <t>ウエハラ</t>
    </rPh>
    <rPh sb="3" eb="5">
      <t>ユカ</t>
    </rPh>
    <phoneticPr fontId="4"/>
  </si>
  <si>
    <t>髙村　淳子</t>
    <rPh sb="0" eb="1">
      <t>タカ</t>
    </rPh>
    <rPh sb="1" eb="2">
      <t>ムラ</t>
    </rPh>
    <rPh sb="3" eb="5">
      <t>ジュンコ</t>
    </rPh>
    <phoneticPr fontId="4"/>
  </si>
  <si>
    <t>佐々木　昭尋</t>
    <rPh sb="0" eb="3">
      <t>ササキ</t>
    </rPh>
    <rPh sb="4" eb="5">
      <t>アキラ</t>
    </rPh>
    <rPh sb="5" eb="6">
      <t>ヒロ</t>
    </rPh>
    <phoneticPr fontId="4"/>
  </si>
  <si>
    <t>美馬　士勇斗</t>
    <rPh sb="0" eb="2">
      <t>ミマ</t>
    </rPh>
    <rPh sb="3" eb="4">
      <t>シ</t>
    </rPh>
    <rPh sb="4" eb="5">
      <t>イサム</t>
    </rPh>
    <rPh sb="5" eb="6">
      <t>ト</t>
    </rPh>
    <phoneticPr fontId="4"/>
  </si>
  <si>
    <t>松田　猛</t>
    <rPh sb="0" eb="2">
      <t>マツダ</t>
    </rPh>
    <rPh sb="3" eb="4">
      <t>タケル</t>
    </rPh>
    <phoneticPr fontId="4"/>
  </si>
  <si>
    <t>合原　眞紀</t>
    <rPh sb="0" eb="2">
      <t>アイハラ</t>
    </rPh>
    <rPh sb="3" eb="4">
      <t>マ</t>
    </rPh>
    <rPh sb="4" eb="5">
      <t>キ</t>
    </rPh>
    <phoneticPr fontId="4"/>
  </si>
  <si>
    <t>今久保　真美</t>
    <rPh sb="0" eb="1">
      <t>イマ</t>
    </rPh>
    <rPh sb="1" eb="3">
      <t>クボ</t>
    </rPh>
    <rPh sb="4" eb="6">
      <t>マミ</t>
    </rPh>
    <phoneticPr fontId="4"/>
  </si>
  <si>
    <t>TOUR TEE MINI</t>
    <phoneticPr fontId="4"/>
  </si>
  <si>
    <t>本村　奏澄</t>
    <rPh sb="0" eb="2">
      <t>モトムラ</t>
    </rPh>
    <rPh sb="3" eb="4">
      <t>カナ</t>
    </rPh>
    <rPh sb="4" eb="5">
      <t>ス</t>
    </rPh>
    <phoneticPr fontId="4"/>
  </si>
  <si>
    <t>秋和　隆男</t>
    <phoneticPr fontId="4"/>
  </si>
  <si>
    <t>体験利用無料券利用</t>
    <rPh sb="0" eb="4">
      <t>タイケンリヨウ</t>
    </rPh>
    <rPh sb="4" eb="6">
      <t>ムリョウ</t>
    </rPh>
    <rPh sb="6" eb="7">
      <t>ケン</t>
    </rPh>
    <rPh sb="7" eb="9">
      <t>リヨウ</t>
    </rPh>
    <phoneticPr fontId="4"/>
  </si>
  <si>
    <t>和島　将志</t>
    <rPh sb="0" eb="2">
      <t>ワジマ</t>
    </rPh>
    <rPh sb="3" eb="5">
      <t>マサシ</t>
    </rPh>
    <phoneticPr fontId="4"/>
  </si>
  <si>
    <t>卜部　凡夫</t>
    <rPh sb="0" eb="2">
      <t>ウラベ</t>
    </rPh>
    <rPh sb="3" eb="5">
      <t>ボンプ</t>
    </rPh>
    <phoneticPr fontId="4"/>
  </si>
  <si>
    <t>Y360S XT シルバーホワイト 有</t>
    <rPh sb="18" eb="19">
      <t>アリ</t>
    </rPh>
    <phoneticPr fontId="4"/>
  </si>
  <si>
    <t>Y360S XT シルバーホワイト 無</t>
    <rPh sb="18" eb="19">
      <t>ナシ</t>
    </rPh>
    <phoneticPr fontId="4"/>
  </si>
  <si>
    <t>京治　慎</t>
    <rPh sb="0" eb="1">
      <t>キョウ</t>
    </rPh>
    <rPh sb="1" eb="2">
      <t>ジ</t>
    </rPh>
    <rPh sb="3" eb="4">
      <t>シン</t>
    </rPh>
    <phoneticPr fontId="4"/>
  </si>
  <si>
    <t>ハドラスコーティング</t>
  </si>
  <si>
    <t>ウッド用 3本セット</t>
    <rPh sb="3" eb="4">
      <t>ヨウ</t>
    </rPh>
    <rPh sb="6" eb="7">
      <t>ホン</t>
    </rPh>
    <phoneticPr fontId="4"/>
  </si>
  <si>
    <t>浅田　裕美子</t>
    <rPh sb="0" eb="2">
      <t>アサダ</t>
    </rPh>
    <rPh sb="3" eb="6">
      <t>ユミコ</t>
    </rPh>
    <phoneticPr fontId="4"/>
  </si>
  <si>
    <t>髙岡　克史</t>
    <rPh sb="0" eb="1">
      <t>タカ</t>
    </rPh>
    <rPh sb="1" eb="2">
      <t>オカ</t>
    </rPh>
    <rPh sb="3" eb="5">
      <t>カツフミ</t>
    </rPh>
    <phoneticPr fontId="4"/>
  </si>
  <si>
    <t>金券\1,000×5枚
残り現金\1,050</t>
    <rPh sb="0" eb="2">
      <t>キンケン</t>
    </rPh>
    <rPh sb="10" eb="11">
      <t>マイ</t>
    </rPh>
    <rPh sb="12" eb="13">
      <t>ノコ</t>
    </rPh>
    <rPh sb="14" eb="16">
      <t>ゲンキン</t>
    </rPh>
    <phoneticPr fontId="4"/>
  </si>
  <si>
    <t>井本　圭一郎</t>
    <rPh sb="0" eb="2">
      <t>イモト</t>
    </rPh>
    <phoneticPr fontId="4"/>
  </si>
  <si>
    <t>橋　正幸</t>
    <rPh sb="0" eb="1">
      <t>ハシ</t>
    </rPh>
    <rPh sb="2" eb="4">
      <t>マサユキ</t>
    </rPh>
    <phoneticPr fontId="4"/>
  </si>
  <si>
    <t>マスター0.5か月</t>
    <phoneticPr fontId="4"/>
  </si>
  <si>
    <t>小林　あゆみ</t>
    <rPh sb="0" eb="2">
      <t>コバヤシ</t>
    </rPh>
    <phoneticPr fontId="4"/>
  </si>
  <si>
    <t>Airレジ未入力</t>
    <rPh sb="5" eb="8">
      <t>ミニュウリョク</t>
    </rPh>
    <phoneticPr fontId="4"/>
  </si>
  <si>
    <t>フィッティング料返金</t>
    <rPh sb="8" eb="10">
      <t>ヘンキン</t>
    </rPh>
    <phoneticPr fontId="4"/>
  </si>
  <si>
    <t>ハドラスコーティング ウッド3本セット</t>
    <rPh sb="15" eb="16">
      <t>ホン</t>
    </rPh>
    <phoneticPr fontId="4"/>
  </si>
  <si>
    <t>山本　明香</t>
    <rPh sb="0" eb="2">
      <t>ヤマモト</t>
    </rPh>
    <rPh sb="3" eb="4">
      <t>アカ</t>
    </rPh>
    <rPh sb="4" eb="5">
      <t>カオル</t>
    </rPh>
    <phoneticPr fontId="4"/>
  </si>
  <si>
    <t>木下　昌重</t>
    <rPh sb="0" eb="2">
      <t>キノシタ</t>
    </rPh>
    <rPh sb="3" eb="4">
      <t>マサ</t>
    </rPh>
    <rPh sb="4" eb="5">
      <t>オモ</t>
    </rPh>
    <phoneticPr fontId="4"/>
  </si>
  <si>
    <t>坂上　研二</t>
    <rPh sb="0" eb="2">
      <t>サカウエ</t>
    </rPh>
    <rPh sb="3" eb="5">
      <t>ケンジ</t>
    </rPh>
    <phoneticPr fontId="4"/>
  </si>
  <si>
    <t>ブッシュネル ピンシーカー A1 スロープジョルト</t>
    <phoneticPr fontId="4"/>
  </si>
  <si>
    <t>ハドラスコーティング ドライバー</t>
    <phoneticPr fontId="4"/>
  </si>
  <si>
    <t>本村　紅音</t>
    <rPh sb="0" eb="2">
      <t>モトムラ</t>
    </rPh>
    <rPh sb="3" eb="5">
      <t>アカネ</t>
    </rPh>
    <phoneticPr fontId="4"/>
  </si>
  <si>
    <t>小椋　明日香</t>
    <rPh sb="0" eb="2">
      <t>オグラ</t>
    </rPh>
    <rPh sb="3" eb="6">
      <t>アスカ</t>
    </rPh>
    <phoneticPr fontId="4"/>
  </si>
  <si>
    <t>平井　一郎</t>
    <rPh sb="0" eb="2">
      <t>ヒライ</t>
    </rPh>
    <rPh sb="3" eb="5">
      <t>イチロウ</t>
    </rPh>
    <phoneticPr fontId="4"/>
  </si>
  <si>
    <t>崎岡　英子</t>
    <rPh sb="0" eb="2">
      <t>サキオカ</t>
    </rPh>
    <rPh sb="3" eb="5">
      <t>エイコ</t>
    </rPh>
    <phoneticPr fontId="4"/>
  </si>
  <si>
    <t>崎岡　良一</t>
    <rPh sb="0" eb="2">
      <t>サキオカ</t>
    </rPh>
    <rPh sb="3" eb="5">
      <t>リョウイチ</t>
    </rPh>
    <phoneticPr fontId="4"/>
  </si>
  <si>
    <t>崎岡良一様がまとめてお支払い</t>
    <rPh sb="4" eb="5">
      <t>サマ</t>
    </rPh>
    <rPh sb="11" eb="13">
      <t>シハラ</t>
    </rPh>
    <phoneticPr fontId="4"/>
  </si>
  <si>
    <t>再来(2024年5月16日)</t>
    <rPh sb="0" eb="2">
      <t>サイライ</t>
    </rPh>
    <rPh sb="7" eb="8">
      <t>ネン</t>
    </rPh>
    <rPh sb="9" eb="10">
      <t>ガツ</t>
    </rPh>
    <rPh sb="12" eb="13">
      <t>ニチ</t>
    </rPh>
    <phoneticPr fontId="4"/>
  </si>
  <si>
    <t>再来(2024年5月12日)</t>
    <rPh sb="0" eb="2">
      <t>サイライ</t>
    </rPh>
    <rPh sb="7" eb="8">
      <t>ネン</t>
    </rPh>
    <rPh sb="9" eb="10">
      <t>ガツ</t>
    </rPh>
    <rPh sb="12" eb="13">
      <t>ニチ</t>
    </rPh>
    <phoneticPr fontId="4"/>
  </si>
  <si>
    <t>辻上　翔眞</t>
    <phoneticPr fontId="4"/>
  </si>
  <si>
    <t>Airレジではゴルフウィング クーポン
ですが、【正】LINEクーポン500円引です</t>
    <rPh sb="25" eb="26">
      <t>タダ</t>
    </rPh>
    <rPh sb="38" eb="39">
      <t>エン</t>
    </rPh>
    <rPh sb="39" eb="40">
      <t>イン</t>
    </rPh>
    <phoneticPr fontId="4"/>
  </si>
  <si>
    <t>Airレジではsticky evolution 1.8
ですが、2.3が【正】です</t>
    <rPh sb="37" eb="38">
      <t>タダ</t>
    </rPh>
    <phoneticPr fontId="4"/>
  </si>
  <si>
    <t>石田　和義</t>
    <rPh sb="0" eb="2">
      <t>イシダ</t>
    </rPh>
    <rPh sb="3" eb="5">
      <t>カズヨシ</t>
    </rPh>
    <phoneticPr fontId="4"/>
  </si>
  <si>
    <t>三村　淳司</t>
    <rPh sb="0" eb="2">
      <t>ミムラ</t>
    </rPh>
    <rPh sb="3" eb="5">
      <t>ジュンツカサ</t>
    </rPh>
    <phoneticPr fontId="4"/>
  </si>
  <si>
    <t>宝塚GCメンバー</t>
    <rPh sb="0" eb="2">
      <t>タカラヅカ</t>
    </rPh>
    <phoneticPr fontId="4"/>
  </si>
  <si>
    <t>再来(2024.5.17)</t>
    <rPh sb="0" eb="2">
      <t>サイライ</t>
    </rPh>
    <phoneticPr fontId="4"/>
  </si>
  <si>
    <t>山下　昌子</t>
    <rPh sb="0" eb="2">
      <t>ヤマシタ</t>
    </rPh>
    <rPh sb="3" eb="5">
      <t>マサコ</t>
    </rPh>
    <phoneticPr fontId="4"/>
  </si>
  <si>
    <t>木内　啓文</t>
    <rPh sb="0" eb="2">
      <t>キウチ</t>
    </rPh>
    <rPh sb="3" eb="5">
      <t>ヒロフミ</t>
    </rPh>
    <phoneticPr fontId="4"/>
  </si>
  <si>
    <t>本村　紅音</t>
    <rPh sb="0" eb="2">
      <t>モトムラ</t>
    </rPh>
    <rPh sb="3" eb="5">
      <t>アカネ</t>
    </rPh>
    <phoneticPr fontId="2"/>
  </si>
  <si>
    <t>本村　奏澄</t>
    <rPh sb="0" eb="2">
      <t>モトムラ</t>
    </rPh>
    <rPh sb="3" eb="4">
      <t>カナ</t>
    </rPh>
    <rPh sb="4" eb="5">
      <t>ス</t>
    </rPh>
    <phoneticPr fontId="2"/>
  </si>
  <si>
    <t>マスター家族割1か月</t>
    <rPh sb="4" eb="7">
      <t>カゾクワリ</t>
    </rPh>
    <phoneticPr fontId="4"/>
  </si>
  <si>
    <t>澤田　とし子</t>
    <rPh sb="0" eb="2">
      <t>サワダ</t>
    </rPh>
    <phoneticPr fontId="4"/>
  </si>
  <si>
    <t>澤田　規晶</t>
    <rPh sb="0" eb="2">
      <t>サワダ</t>
    </rPh>
    <rPh sb="3" eb="4">
      <t>キ</t>
    </rPh>
    <rPh sb="4" eb="5">
      <t>アキラ</t>
    </rPh>
    <phoneticPr fontId="4"/>
  </si>
  <si>
    <t>澤田　規晶様がまとめてお会計</t>
    <rPh sb="5" eb="6">
      <t>サマ</t>
    </rPh>
    <rPh sb="12" eb="14">
      <t>カイケイ</t>
    </rPh>
    <phoneticPr fontId="4"/>
  </si>
  <si>
    <t>葛井　啓三</t>
    <rPh sb="0" eb="2">
      <t>クズイ</t>
    </rPh>
    <rPh sb="3" eb="5">
      <t>ケイゾウ</t>
    </rPh>
    <phoneticPr fontId="4"/>
  </si>
  <si>
    <t>iX touch 2.0 ブラック×スカイブルー 無</t>
    <phoneticPr fontId="4"/>
  </si>
  <si>
    <t>濵戸　裕昭</t>
    <phoneticPr fontId="4"/>
  </si>
  <si>
    <t>野上　祐一</t>
    <rPh sb="0" eb="2">
      <t>ノガミ</t>
    </rPh>
    <rPh sb="3" eb="5">
      <t>ユウイチ</t>
    </rPh>
    <phoneticPr fontId="4"/>
  </si>
  <si>
    <t>パラソル</t>
    <phoneticPr fontId="4"/>
  </si>
  <si>
    <t>村上　梨理香</t>
    <rPh sb="0" eb="2">
      <t>ムラカミ</t>
    </rPh>
    <phoneticPr fontId="4"/>
  </si>
  <si>
    <t>マスター　0.75ケ月</t>
  </si>
  <si>
    <t>レギュラー家族割　0.75ケ月</t>
  </si>
  <si>
    <t>KGUスクール登録料</t>
  </si>
  <si>
    <t>ウッド3本セット</t>
  </si>
  <si>
    <t>会費　田渕様</t>
  </si>
  <si>
    <t>販売</t>
    <rPh sb="0" eb="2">
      <t>ハンバイ</t>
    </rPh>
    <phoneticPr fontId="4"/>
  </si>
  <si>
    <t>ヘッドカバー</t>
    <phoneticPr fontId="4"/>
  </si>
  <si>
    <t>マスター家族割　0.25ケ月</t>
  </si>
  <si>
    <t>マスター家族割　1ケ月</t>
  </si>
  <si>
    <t>レギュラー家族割　0.25ケ月</t>
  </si>
  <si>
    <t>レギュラー家族割　1ケ月</t>
  </si>
  <si>
    <t>販売</t>
    <rPh sb="0" eb="2">
      <t>ハンバイ</t>
    </rPh>
    <phoneticPr fontId="4"/>
  </si>
  <si>
    <t>土山　慶子</t>
    <rPh sb="0" eb="2">
      <t>ツチヤマ</t>
    </rPh>
    <rPh sb="3" eb="5">
      <t>ケイコ</t>
    </rPh>
    <phoneticPr fontId="4"/>
  </si>
  <si>
    <t>本村　彩歌</t>
    <rPh sb="0" eb="2">
      <t>モトムラ</t>
    </rPh>
    <rPh sb="3" eb="5">
      <t>アヤカ</t>
    </rPh>
    <phoneticPr fontId="4"/>
  </si>
  <si>
    <t>ヘッド</t>
    <phoneticPr fontId="4"/>
  </si>
  <si>
    <t>ウエイト</t>
    <phoneticPr fontId="4"/>
  </si>
  <si>
    <t>TEE</t>
    <phoneticPr fontId="4"/>
  </si>
  <si>
    <t>蟹江　俊郎</t>
    <rPh sb="0" eb="2">
      <t>カニエ</t>
    </rPh>
    <rPh sb="3" eb="5">
      <t>トシロウ</t>
    </rPh>
    <phoneticPr fontId="4"/>
  </si>
  <si>
    <t>木原　正道</t>
    <rPh sb="0" eb="2">
      <t>キハラ</t>
    </rPh>
    <rPh sb="3" eb="5">
      <t>マサミチ</t>
    </rPh>
    <phoneticPr fontId="4"/>
  </si>
  <si>
    <t>瀧瀬　遥葵</t>
    <rPh sb="0" eb="2">
      <t>タキセ</t>
    </rPh>
    <rPh sb="3" eb="4">
      <t>ハルカ</t>
    </rPh>
    <rPh sb="4" eb="5">
      <t>アオイ</t>
    </rPh>
    <phoneticPr fontId="4"/>
  </si>
  <si>
    <t>川原　博文</t>
    <rPh sb="0" eb="2">
      <t>カワハラ</t>
    </rPh>
    <rPh sb="3" eb="5">
      <t>ヒロフミ</t>
    </rPh>
    <phoneticPr fontId="4"/>
  </si>
  <si>
    <t>現金</t>
    <rPh sb="0" eb="2">
      <t>ゲンキン</t>
    </rPh>
    <phoneticPr fontId="4"/>
  </si>
  <si>
    <t>梅木　南月</t>
    <rPh sb="0" eb="2">
      <t>ウメキ</t>
    </rPh>
    <rPh sb="3" eb="5">
      <t>ミナミツキ</t>
    </rPh>
    <phoneticPr fontId="4"/>
  </si>
  <si>
    <t>久保田　ひとみ</t>
    <rPh sb="0" eb="3">
      <t>クボタ</t>
    </rPh>
    <phoneticPr fontId="4"/>
  </si>
  <si>
    <t>返金</t>
    <rPh sb="0" eb="2">
      <t>ヘンキン</t>
    </rPh>
    <phoneticPr fontId="4"/>
  </si>
  <si>
    <t>リピーターフィッティング料返金</t>
    <rPh sb="12" eb="15">
      <t>リョウヘンキン</t>
    </rPh>
    <phoneticPr fontId="4"/>
  </si>
  <si>
    <t>近藤　友一朗</t>
    <rPh sb="0" eb="2">
      <t>コンドウ</t>
    </rPh>
    <rPh sb="3" eb="4">
      <t>トモ</t>
    </rPh>
    <rPh sb="4" eb="6">
      <t>イチロウ</t>
    </rPh>
    <phoneticPr fontId="4"/>
  </si>
  <si>
    <t>再来(2023.11.11)</t>
    <rPh sb="0" eb="2">
      <t>サイライ</t>
    </rPh>
    <phoneticPr fontId="4"/>
  </si>
  <si>
    <t>坂東　俊哉</t>
    <rPh sb="0" eb="2">
      <t>バンドウ</t>
    </rPh>
    <rPh sb="3" eb="5">
      <t>トシヤ</t>
    </rPh>
    <phoneticPr fontId="4"/>
  </si>
  <si>
    <t>所　高広</t>
    <rPh sb="0" eb="1">
      <t>トコロ</t>
    </rPh>
    <rPh sb="2" eb="4">
      <t>タカヒロ</t>
    </rPh>
    <phoneticPr fontId="4"/>
  </si>
  <si>
    <t>2024.5.5</t>
    <phoneticPr fontId="4"/>
  </si>
  <si>
    <t>福山　優希</t>
    <rPh sb="0" eb="2">
      <t>フクヤマ</t>
    </rPh>
    <rPh sb="3" eb="4">
      <t>ユウ</t>
    </rPh>
    <rPh sb="4" eb="5">
      <t>キ</t>
    </rPh>
    <phoneticPr fontId="4"/>
  </si>
  <si>
    <t>再来(2024/3/16)</t>
    <rPh sb="0" eb="2">
      <t>サイライ</t>
    </rPh>
    <phoneticPr fontId="4"/>
  </si>
  <si>
    <t>原田　侑真</t>
    <rPh sb="0" eb="2">
      <t>ハラダ</t>
    </rPh>
    <rPh sb="3" eb="5">
      <t>ユウマ</t>
    </rPh>
    <phoneticPr fontId="4"/>
  </si>
  <si>
    <t>宮坂　月子</t>
    <rPh sb="0" eb="2">
      <t>ミヤサカ</t>
    </rPh>
    <rPh sb="3" eb="5">
      <t>ツキコ</t>
    </rPh>
    <phoneticPr fontId="4"/>
  </si>
  <si>
    <t>桑門　心</t>
    <rPh sb="0" eb="2">
      <t>クワカド</t>
    </rPh>
    <rPh sb="3" eb="4">
      <t>ココロ</t>
    </rPh>
    <phoneticPr fontId="4"/>
  </si>
  <si>
    <t>鳥居　剛</t>
    <rPh sb="0" eb="2">
      <t>トリイ</t>
    </rPh>
    <rPh sb="3" eb="4">
      <t>ツヨシ</t>
    </rPh>
    <phoneticPr fontId="4"/>
  </si>
  <si>
    <t>八木　純平</t>
    <rPh sb="0" eb="2">
      <t>ヤギ</t>
    </rPh>
    <rPh sb="3" eb="5">
      <t>ジュンペイ</t>
    </rPh>
    <phoneticPr fontId="4"/>
  </si>
  <si>
    <t>植田　麻未</t>
    <rPh sb="0" eb="2">
      <t>ウエダ</t>
    </rPh>
    <rPh sb="3" eb="5">
      <t>マミ</t>
    </rPh>
    <phoneticPr fontId="4"/>
  </si>
  <si>
    <t>2024/7/3分　再来(2021.7.16)</t>
    <rPh sb="8" eb="9">
      <t>ブン</t>
    </rPh>
    <rPh sb="10" eb="12">
      <t>サイライ</t>
    </rPh>
    <phoneticPr fontId="4"/>
  </si>
  <si>
    <t>亀井　智彦</t>
    <rPh sb="0" eb="2">
      <t>カメイ</t>
    </rPh>
    <rPh sb="3" eb="4">
      <t>トモ</t>
    </rPh>
    <rPh sb="4" eb="5">
      <t>ヒコ</t>
    </rPh>
    <phoneticPr fontId="4"/>
  </si>
  <si>
    <t>フルフィッティング料</t>
    <phoneticPr fontId="4"/>
  </si>
  <si>
    <t>小池　優季史</t>
    <rPh sb="0" eb="2">
      <t>コイケ</t>
    </rPh>
    <rPh sb="3" eb="4">
      <t>ヤサ</t>
    </rPh>
    <rPh sb="5" eb="6">
      <t>シ</t>
    </rPh>
    <phoneticPr fontId="4"/>
  </si>
  <si>
    <t>AirレジはV1になってますが、LEFT DASHが正しいです</t>
    <rPh sb="26" eb="27">
      <t>タダ</t>
    </rPh>
    <phoneticPr fontId="4"/>
  </si>
  <si>
    <t>宍戸　友紀</t>
    <rPh sb="0" eb="2">
      <t>シシド</t>
    </rPh>
    <rPh sb="3" eb="5">
      <t>ユキ</t>
    </rPh>
    <phoneticPr fontId="4"/>
  </si>
  <si>
    <t>中井　浩二朗</t>
    <rPh sb="0" eb="2">
      <t>ナカイ</t>
    </rPh>
    <rPh sb="3" eb="5">
      <t>コウジ</t>
    </rPh>
    <rPh sb="5" eb="6">
      <t>ロウ</t>
    </rPh>
    <phoneticPr fontId="4"/>
  </si>
  <si>
    <t>手塚　智也</t>
    <rPh sb="0" eb="2">
      <t>テヅカ</t>
    </rPh>
    <rPh sb="3" eb="5">
      <t>トモヤ</t>
    </rPh>
    <phoneticPr fontId="4"/>
  </si>
  <si>
    <t>パーソナルレッスン</t>
    <phoneticPr fontId="4"/>
  </si>
  <si>
    <t>種村　泰一</t>
    <rPh sb="0" eb="2">
      <t>タネムラ</t>
    </rPh>
    <rPh sb="3" eb="5">
      <t>ヤスイチ</t>
    </rPh>
    <phoneticPr fontId="4"/>
  </si>
  <si>
    <t>井上　雅也</t>
    <rPh sb="0" eb="2">
      <t>イノウエ</t>
    </rPh>
    <rPh sb="3" eb="5">
      <t>マサヤ</t>
    </rPh>
    <phoneticPr fontId="4"/>
  </si>
  <si>
    <t>田中　一義</t>
    <rPh sb="0" eb="2">
      <t>タナカ</t>
    </rPh>
    <rPh sb="3" eb="4">
      <t>イチ</t>
    </rPh>
    <phoneticPr fontId="4"/>
  </si>
  <si>
    <t>スワンズ サングラス</t>
    <phoneticPr fontId="4"/>
  </si>
  <si>
    <t>ブリーフィング ゴルフ ハット</t>
    <phoneticPr fontId="4"/>
  </si>
  <si>
    <t>サングラス</t>
    <phoneticPr fontId="4"/>
  </si>
  <si>
    <t>帽子</t>
    <rPh sb="0" eb="2">
      <t>ボウシ</t>
    </rPh>
    <phoneticPr fontId="4"/>
  </si>
  <si>
    <t>金券20,000円分、残り7,390円現金</t>
    <rPh sb="0" eb="2">
      <t>キンケン</t>
    </rPh>
    <rPh sb="8" eb="10">
      <t>エンブン</t>
    </rPh>
    <rPh sb="11" eb="12">
      <t>ノコ</t>
    </rPh>
    <rPh sb="18" eb="19">
      <t>エン</t>
    </rPh>
    <rPh sb="19" eb="21">
      <t>ゲンキン</t>
    </rPh>
    <phoneticPr fontId="4"/>
  </si>
  <si>
    <t>柚木　誠司</t>
    <rPh sb="0" eb="2">
      <t>ユノキ</t>
    </rPh>
    <rPh sb="3" eb="5">
      <t>セイジ</t>
    </rPh>
    <phoneticPr fontId="4"/>
  </si>
  <si>
    <t>白谷　浩二</t>
    <rPh sb="0" eb="2">
      <t>シロタニ</t>
    </rPh>
    <rPh sb="3" eb="5">
      <t>コウジ</t>
    </rPh>
    <phoneticPr fontId="4"/>
  </si>
  <si>
    <t>再来(2022.7.30)</t>
    <rPh sb="0" eb="2">
      <t>サイライ</t>
    </rPh>
    <phoneticPr fontId="4"/>
  </si>
  <si>
    <t>𠮷川　正規</t>
    <rPh sb="0" eb="3">
      <t>ヨシカワ</t>
    </rPh>
    <rPh sb="4" eb="5">
      <t>タダシ</t>
    </rPh>
    <rPh sb="5" eb="6">
      <t>キ</t>
    </rPh>
    <phoneticPr fontId="4"/>
  </si>
  <si>
    <t>遠山　智一</t>
    <rPh sb="0" eb="2">
      <t>トオヤマ</t>
    </rPh>
    <rPh sb="3" eb="5">
      <t>トモカズ</t>
    </rPh>
    <phoneticPr fontId="4"/>
  </si>
  <si>
    <t>テイラーメイドスリーブ</t>
    <phoneticPr fontId="4"/>
  </si>
  <si>
    <t>シューズ</t>
    <phoneticPr fontId="4"/>
  </si>
  <si>
    <t>ベルト</t>
    <phoneticPr fontId="4"/>
  </si>
  <si>
    <t>TOUR TEE COMBO</t>
    <phoneticPr fontId="4"/>
  </si>
  <si>
    <t>FJ Traditions MEN WHT/WHT/NVY</t>
  </si>
  <si>
    <t>FJ Traditions MEN BLK/BLK/BLK</t>
  </si>
  <si>
    <t>Elite Black/WHT M/L ASIA</t>
  </si>
  <si>
    <t>Elite WHT/Black M/L ASIA</t>
  </si>
  <si>
    <t>TOUR Buckle Belt Bik Jpn</t>
  </si>
  <si>
    <t>藤田プロ</t>
    <rPh sb="0" eb="2">
      <t>フジタ</t>
    </rPh>
    <phoneticPr fontId="4"/>
  </si>
  <si>
    <t>古川プロ</t>
    <rPh sb="0" eb="2">
      <t>フルカワ</t>
    </rPh>
    <phoneticPr fontId="4"/>
  </si>
  <si>
    <t>井殿プロ</t>
    <rPh sb="0" eb="2">
      <t>イドノ</t>
    </rPh>
    <phoneticPr fontId="4"/>
  </si>
  <si>
    <t>メーカー名</t>
    <rPh sb="4" eb="5">
      <t>メイ</t>
    </rPh>
    <phoneticPr fontId="4"/>
  </si>
  <si>
    <t>種類</t>
    <rPh sb="0" eb="2">
      <t>シュルイ</t>
    </rPh>
    <phoneticPr fontId="4"/>
  </si>
  <si>
    <t>PING</t>
    <phoneticPr fontId="4"/>
  </si>
  <si>
    <t>G410 ウェイト</t>
    <phoneticPr fontId="4"/>
  </si>
  <si>
    <t>BALDO</t>
    <phoneticPr fontId="4"/>
  </si>
  <si>
    <t>2024 CADDIE BAG RAVEN BLACK</t>
    <phoneticPr fontId="4"/>
  </si>
  <si>
    <t>タイトリスト</t>
    <phoneticPr fontId="4"/>
  </si>
  <si>
    <t>Vokey SM10 Ni Custom Wedge</t>
    <phoneticPr fontId="4"/>
  </si>
  <si>
    <t>perfect pro</t>
  </si>
  <si>
    <t>perfect pro</t>
    <phoneticPr fontId="4"/>
  </si>
  <si>
    <t>GOLF PRIDE</t>
  </si>
  <si>
    <t>エリート</t>
  </si>
  <si>
    <t>エリート</t>
    <phoneticPr fontId="4"/>
  </si>
  <si>
    <t>GOLF PRIDE</t>
    <phoneticPr fontId="4"/>
  </si>
  <si>
    <t>IOMIC</t>
    <phoneticPr fontId="4"/>
  </si>
  <si>
    <t>STM</t>
    <phoneticPr fontId="4"/>
  </si>
  <si>
    <t>sticky evolution 2.3 ブルー 有</t>
    <rPh sb="25" eb="26">
      <t>アリ</t>
    </rPh>
    <phoneticPr fontId="4"/>
  </si>
  <si>
    <t>sticky SUPER LIGHT 1.8 有 ブラック</t>
    <rPh sb="23" eb="24">
      <t>アリ</t>
    </rPh>
    <phoneticPr fontId="4"/>
  </si>
  <si>
    <t>LTC i-Xx1.8 M60 ライトブルー 有</t>
    <rPh sb="23" eb="24">
      <t>アリ</t>
    </rPh>
    <phoneticPr fontId="4"/>
  </si>
  <si>
    <t>iX series iX SA 無 ブラック</t>
    <rPh sb="16" eb="17">
      <t>ナシ</t>
    </rPh>
    <phoneticPr fontId="4"/>
  </si>
  <si>
    <t>sticky Ultra Light34 ピンク</t>
    <phoneticPr fontId="4"/>
  </si>
  <si>
    <t>sticky evolution 2.3 BL有</t>
    <phoneticPr fontId="4"/>
  </si>
  <si>
    <t>ALIGHN PLUS4 スタンダード 有</t>
    <rPh sb="20" eb="21">
      <t>アリ</t>
    </rPh>
    <phoneticPr fontId="4"/>
  </si>
  <si>
    <t>MCC・ALIGN スタンダード 有</t>
    <rPh sb="17" eb="18">
      <t>アリ</t>
    </rPh>
    <phoneticPr fontId="4"/>
  </si>
  <si>
    <t>MCC アライン スタンダード 白</t>
    <rPh sb="16" eb="17">
      <t>シロ</t>
    </rPh>
    <phoneticPr fontId="4"/>
  </si>
  <si>
    <t>TOUR VELVET 無</t>
    <rPh sb="12" eb="13">
      <t>ナ</t>
    </rPh>
    <phoneticPr fontId="4"/>
  </si>
  <si>
    <t>MCC plus4 ALIGN  STD 有</t>
    <rPh sb="21" eb="22">
      <t>アリ</t>
    </rPh>
    <phoneticPr fontId="4"/>
  </si>
  <si>
    <t>TOUR VELVET 無</t>
    <phoneticPr fontId="4"/>
  </si>
  <si>
    <t>sticky 1.8 super light ブラック有</t>
    <rPh sb="27" eb="28">
      <t>アリ</t>
    </rPh>
    <phoneticPr fontId="4"/>
  </si>
  <si>
    <t>sticky evolution 2.3 BL 無</t>
    <phoneticPr fontId="4"/>
  </si>
  <si>
    <t>X HOLD BLACK RUBBER スカイブルー 有</t>
    <rPh sb="27" eb="28">
      <t>アリ</t>
    </rPh>
    <phoneticPr fontId="4"/>
  </si>
  <si>
    <t>X HOLD BLACK RUBBER ブルー 有</t>
    <phoneticPr fontId="4"/>
  </si>
  <si>
    <t>X HOLD BLACK RUBBER イエロー 有</t>
    <phoneticPr fontId="4"/>
  </si>
  <si>
    <t>X SOFT LADIE'S ブラック 有</t>
    <rPh sb="20" eb="21">
      <t>アリ</t>
    </rPh>
    <phoneticPr fontId="4"/>
  </si>
  <si>
    <t>X LINE RUBBER ブラック 有</t>
    <rPh sb="19" eb="20">
      <t>アリ</t>
    </rPh>
    <phoneticPr fontId="4"/>
  </si>
  <si>
    <t>X ホールド ブラック ハーフコード ブルー 有</t>
    <rPh sb="23" eb="24">
      <t>アリ</t>
    </rPh>
    <phoneticPr fontId="4"/>
  </si>
  <si>
    <t>Xホールド ブラックラバー レッド 有</t>
    <rPh sb="18" eb="19">
      <t>アリ</t>
    </rPh>
    <phoneticPr fontId="4"/>
  </si>
  <si>
    <t>T-1 セミミッド ブラック 有</t>
    <rPh sb="15" eb="16">
      <t>アリ</t>
    </rPh>
    <phoneticPr fontId="4"/>
  </si>
  <si>
    <t>M-3 LIGHT ブラック×イエロー 有</t>
    <rPh sb="20" eb="21">
      <t>アリ</t>
    </rPh>
    <phoneticPr fontId="4"/>
  </si>
  <si>
    <t>G-REX  有</t>
    <rPh sb="7" eb="8">
      <t>アリ</t>
    </rPh>
    <phoneticPr fontId="4"/>
  </si>
  <si>
    <t>SX38 ベルリナブラック 有</t>
    <rPh sb="14" eb="15">
      <t>アリ</t>
    </rPh>
    <phoneticPr fontId="4"/>
  </si>
  <si>
    <t>Y360S XT ベルリナブラック 有</t>
    <rPh sb="18" eb="19">
      <t>アリ</t>
    </rPh>
    <phoneticPr fontId="4"/>
  </si>
  <si>
    <t>TD50C マリンブルー 有</t>
    <rPh sb="13" eb="14">
      <t>アリ</t>
    </rPh>
    <phoneticPr fontId="4"/>
  </si>
  <si>
    <t>ZERO FIT</t>
    <phoneticPr fontId="4"/>
  </si>
  <si>
    <t>フットジョイ</t>
    <phoneticPr fontId="4"/>
  </si>
  <si>
    <t>フォーサリンク</t>
    <phoneticPr fontId="4"/>
  </si>
  <si>
    <t>全天候型 22cm 白</t>
    <rPh sb="0" eb="4">
      <t>ゼンテンコウガタ</t>
    </rPh>
    <rPh sb="10" eb="11">
      <t>シロ</t>
    </rPh>
    <phoneticPr fontId="4"/>
  </si>
  <si>
    <t>MEN'S ピュアタッチ 左 24cm</t>
    <rPh sb="13" eb="14">
      <t>ヒダリ</t>
    </rPh>
    <phoneticPr fontId="4"/>
  </si>
  <si>
    <t>20cm 白 左</t>
    <rPh sb="5" eb="6">
      <t>シロ</t>
    </rPh>
    <rPh sb="7" eb="8">
      <t>ヒダリ</t>
    </rPh>
    <phoneticPr fontId="4"/>
  </si>
  <si>
    <t>20cm 白 右</t>
    <rPh sb="5" eb="6">
      <t>シロ</t>
    </rPh>
    <rPh sb="7" eb="8">
      <t>ミギ</t>
    </rPh>
    <phoneticPr fontId="4"/>
  </si>
  <si>
    <t>22cm 白 左</t>
    <phoneticPr fontId="4"/>
  </si>
  <si>
    <t>23cm 白 左</t>
    <phoneticPr fontId="4"/>
  </si>
  <si>
    <t>20cm 白 左</t>
    <phoneticPr fontId="4"/>
  </si>
  <si>
    <t>19cm 白 左</t>
    <phoneticPr fontId="4"/>
  </si>
  <si>
    <t>三菱ケミカル</t>
    <rPh sb="0" eb="2">
      <t>ミツビシ</t>
    </rPh>
    <phoneticPr fontId="4"/>
  </si>
  <si>
    <t>フジクラ</t>
    <phoneticPr fontId="4"/>
  </si>
  <si>
    <t>日本シャフト</t>
    <rPh sb="0" eb="2">
      <t>ニホン</t>
    </rPh>
    <phoneticPr fontId="4"/>
  </si>
  <si>
    <t>シンカグラファイト</t>
    <phoneticPr fontId="4"/>
  </si>
  <si>
    <t>Arch</t>
    <phoneticPr fontId="4"/>
  </si>
  <si>
    <t>DR Regio Formula B + TYPE75X</t>
    <phoneticPr fontId="4"/>
  </si>
  <si>
    <t>FW Regio TYPE80X</t>
    <phoneticPr fontId="4"/>
  </si>
  <si>
    <t>IR テーパーX100 38.5inch</t>
    <phoneticPr fontId="4"/>
  </si>
  <si>
    <t>DR Natural 9 ROSSO 25</t>
    <phoneticPr fontId="4"/>
  </si>
  <si>
    <t>DR Natural 9 ROSSO 24</t>
    <phoneticPr fontId="4"/>
  </si>
  <si>
    <t>DR Natural 9 NERO 25</t>
    <phoneticPr fontId="4"/>
  </si>
  <si>
    <t>IR ゼロス 7 R</t>
    <phoneticPr fontId="4"/>
  </si>
  <si>
    <t>DR Zinger 6 白</t>
    <rPh sb="12" eb="13">
      <t>シロ</t>
    </rPh>
    <phoneticPr fontId="4"/>
  </si>
  <si>
    <t>DR Diamana WB 73X</t>
    <phoneticPr fontId="4"/>
  </si>
  <si>
    <t>DR TENSEI PRO ORANGE 1K 5S</t>
    <phoneticPr fontId="4"/>
  </si>
  <si>
    <t>DR TENSEI PRO ORANGE 1K 6S</t>
    <phoneticPr fontId="4"/>
  </si>
  <si>
    <t>UT TENSEI PRO 1K Hybrid series 80 S</t>
    <phoneticPr fontId="4"/>
  </si>
  <si>
    <t>DR VAQUISH 4 R</t>
    <phoneticPr fontId="4"/>
  </si>
  <si>
    <t>DR TENSEI PRO BLUE 1K 60 S</t>
    <phoneticPr fontId="4"/>
  </si>
  <si>
    <t>DR AIR SPEEDER PLUS 白</t>
    <rPh sb="20" eb="21">
      <t>シロ</t>
    </rPh>
    <phoneticPr fontId="4"/>
  </si>
  <si>
    <t>DR VENTUS TR BK 5S</t>
    <phoneticPr fontId="4"/>
  </si>
  <si>
    <t>DR VENTUS BLUE 7S</t>
    <phoneticPr fontId="4"/>
  </si>
  <si>
    <t>UT MCH 60R</t>
    <phoneticPr fontId="4"/>
  </si>
  <si>
    <t>DR PLATINUM SPEEDER 3X</t>
    <phoneticPr fontId="4"/>
  </si>
  <si>
    <t>DR 24 VENTUS BLACK 6 X</t>
    <phoneticPr fontId="4"/>
  </si>
  <si>
    <t>DR ZERO Speeder 1FLEX</t>
    <phoneticPr fontId="4"/>
  </si>
  <si>
    <t>DR DIAMOND SPEEDER 4 S</t>
    <phoneticPr fontId="4"/>
  </si>
  <si>
    <t>FW AIR SPEEDER PLUS 白</t>
    <rPh sb="20" eb="21">
      <t>シロ</t>
    </rPh>
    <phoneticPr fontId="4"/>
  </si>
  <si>
    <t>DR DIAMOND SPEEDER 5 X</t>
    <phoneticPr fontId="4"/>
  </si>
  <si>
    <t>FW DIAMOND SPEEDER 6 X</t>
    <phoneticPr fontId="4"/>
  </si>
  <si>
    <t>FW DIAMOND SPEEDER 5 X</t>
    <phoneticPr fontId="4"/>
  </si>
  <si>
    <t>DR VENTUS BLACK 5 50 X</t>
    <phoneticPr fontId="4"/>
  </si>
  <si>
    <t>キャロウェイ</t>
    <phoneticPr fontId="4"/>
  </si>
  <si>
    <t>コブラ</t>
    <phoneticPr fontId="4"/>
  </si>
  <si>
    <t>テーラーメイド</t>
    <phoneticPr fontId="4"/>
  </si>
  <si>
    <t>RS60 ベルリナブラック</t>
    <phoneticPr fontId="4"/>
  </si>
  <si>
    <t>RS74 白</t>
    <rPh sb="5" eb="6">
      <t>シロ</t>
    </rPh>
    <phoneticPr fontId="4"/>
  </si>
  <si>
    <t>パラソル 大</t>
    <rPh sb="5" eb="6">
      <t>ダイ</t>
    </rPh>
    <phoneticPr fontId="4"/>
  </si>
  <si>
    <t>DR G430 LST 9.0°</t>
    <phoneticPr fontId="4"/>
  </si>
  <si>
    <t>FW G430 MAX #3 15°</t>
    <phoneticPr fontId="4"/>
  </si>
  <si>
    <t>FW G430 MAX #5 18°</t>
    <phoneticPr fontId="4"/>
  </si>
  <si>
    <t>FW G430 MAX #7 21°</t>
    <phoneticPr fontId="4"/>
  </si>
  <si>
    <t>2022 CORSA UT 24°</t>
    <phoneticPr fontId="4"/>
  </si>
  <si>
    <t>2022 CORSA UT 27°</t>
    <phoneticPr fontId="4"/>
  </si>
  <si>
    <t>DR PARADYM Ai SMOKE ♦♦♦ 10.5°</t>
    <phoneticPr fontId="4"/>
  </si>
  <si>
    <t>G410 （DR・FW）スリーブ</t>
    <phoneticPr fontId="4"/>
  </si>
  <si>
    <t>IRON 9点セット</t>
    <rPh sb="6" eb="7">
      <t>テン</t>
    </rPh>
    <phoneticPr fontId="4"/>
  </si>
  <si>
    <t>ブリヂストン</t>
    <phoneticPr fontId="4"/>
  </si>
  <si>
    <t>PRO V1 白</t>
    <rPh sb="7" eb="8">
      <t>シロ</t>
    </rPh>
    <phoneticPr fontId="4"/>
  </si>
  <si>
    <t>PRO V1x 白</t>
    <rPh sb="8" eb="9">
      <t>シロ</t>
    </rPh>
    <phoneticPr fontId="4"/>
  </si>
  <si>
    <t>TOUR SOFT 黄色</t>
    <rPh sb="10" eb="12">
      <t>キイロ</t>
    </rPh>
    <phoneticPr fontId="4"/>
  </si>
  <si>
    <t>VELOCITY 緑</t>
    <rPh sb="9" eb="10">
      <t>ミドリ</t>
    </rPh>
    <phoneticPr fontId="4"/>
  </si>
  <si>
    <t>LEFT DASH</t>
    <phoneticPr fontId="4"/>
  </si>
  <si>
    <t>JGRパールホワイト</t>
    <phoneticPr fontId="4"/>
  </si>
  <si>
    <t>BX コーポレートカラー</t>
    <phoneticPr fontId="4"/>
  </si>
  <si>
    <t>PRO V1x 白 ダブルナンバー</t>
    <rPh sb="8" eb="9">
      <t>シロ</t>
    </rPh>
    <phoneticPr fontId="4"/>
  </si>
  <si>
    <t>TOUR BXS パールホワイト</t>
    <phoneticPr fontId="4"/>
  </si>
  <si>
    <t>TOUR BX 白</t>
    <rPh sb="8" eb="9">
      <t>シロ</t>
    </rPh>
    <phoneticPr fontId="4"/>
  </si>
  <si>
    <t>LEFT DASH 白</t>
    <rPh sb="10" eb="11">
      <t>シロ</t>
    </rPh>
    <phoneticPr fontId="4"/>
  </si>
  <si>
    <t>VELOCITY 白</t>
    <rPh sb="9" eb="10">
      <t>シロ</t>
    </rPh>
    <phoneticPr fontId="4"/>
  </si>
  <si>
    <t>TOUR SOFT 白</t>
    <rPh sb="10" eb="11">
      <t>シロ</t>
    </rPh>
    <phoneticPr fontId="4"/>
  </si>
  <si>
    <t>柳　孝之</t>
    <rPh sb="0" eb="1">
      <t>ヤナギ</t>
    </rPh>
    <rPh sb="2" eb="4">
      <t>タカユキ</t>
    </rPh>
    <phoneticPr fontId="4"/>
  </si>
  <si>
    <t>販売</t>
    <rPh sb="0" eb="2">
      <t>ハンバイ</t>
    </rPh>
    <phoneticPr fontId="4"/>
  </si>
  <si>
    <t>IOMIC</t>
  </si>
  <si>
    <t>IOMIC</t>
    <phoneticPr fontId="4"/>
  </si>
  <si>
    <t>X- evolution 2.3 有 ブルー</t>
    <rPh sb="17" eb="18">
      <t>アリ</t>
    </rPh>
    <phoneticPr fontId="4"/>
  </si>
  <si>
    <t>土岐　久美子</t>
  </si>
  <si>
    <t>中辻　昴</t>
    <phoneticPr fontId="4"/>
  </si>
  <si>
    <t>レギュラー　1ケ月</t>
  </si>
  <si>
    <t>レギュラー　1ケ月</t>
    <phoneticPr fontId="4"/>
  </si>
  <si>
    <t>現金</t>
    <rPh sb="0" eb="2">
      <t>ゲンキン</t>
    </rPh>
    <phoneticPr fontId="4"/>
  </si>
  <si>
    <t>鬼塚　隆志</t>
    <rPh sb="0" eb="2">
      <t>オニヅカ</t>
    </rPh>
    <rPh sb="3" eb="5">
      <t>リュウココロザシ</t>
    </rPh>
    <phoneticPr fontId="4"/>
  </si>
  <si>
    <t>エリート</t>
    <phoneticPr fontId="4"/>
  </si>
  <si>
    <t>スティングレー M60 ブラック 無</t>
    <rPh sb="17" eb="18">
      <t>ナシ</t>
    </rPh>
    <phoneticPr fontId="4"/>
  </si>
  <si>
    <t>sticky oversize 3.5 有 ブラック</t>
    <rPh sb="20" eb="21">
      <t>アリ</t>
    </rPh>
    <phoneticPr fontId="4"/>
  </si>
  <si>
    <t>椎葉　さくら</t>
    <rPh sb="0" eb="2">
      <t>シイバ</t>
    </rPh>
    <phoneticPr fontId="4"/>
  </si>
  <si>
    <t>フルフィッティング料</t>
    <phoneticPr fontId="4"/>
  </si>
  <si>
    <t>簗本　一裕</t>
    <phoneticPr fontId="4"/>
  </si>
  <si>
    <t>20周年記念 Xハード 有</t>
    <phoneticPr fontId="4"/>
  </si>
  <si>
    <t>Arch</t>
    <phoneticPr fontId="4"/>
  </si>
  <si>
    <t>DR For Driver 164α-25</t>
    <phoneticPr fontId="4"/>
  </si>
  <si>
    <t>UT U T M F6</t>
    <phoneticPr fontId="4"/>
  </si>
  <si>
    <t>ヘッド</t>
    <phoneticPr fontId="4"/>
  </si>
  <si>
    <t>PING</t>
    <phoneticPr fontId="4"/>
  </si>
  <si>
    <t>DR G430 MAX 10K 10.5°</t>
    <phoneticPr fontId="4"/>
  </si>
  <si>
    <t>UT G430 #4 22°</t>
    <phoneticPr fontId="4"/>
  </si>
  <si>
    <t>sticky evolution 2.3 コーラルレッド 有</t>
    <rPh sb="29" eb="30">
      <t>アリ</t>
    </rPh>
    <phoneticPr fontId="4"/>
  </si>
  <si>
    <t>岸田　有弘</t>
    <rPh sb="0" eb="2">
      <t>キシダ</t>
    </rPh>
    <rPh sb="3" eb="5">
      <t>アリヒロ</t>
    </rPh>
    <phoneticPr fontId="4"/>
  </si>
  <si>
    <t>IR 950GH 39.0inch</t>
    <phoneticPr fontId="4"/>
  </si>
  <si>
    <t>Y360SH ベルリナブラック 有</t>
    <rPh sb="16" eb="17">
      <t>アリ</t>
    </rPh>
    <phoneticPr fontId="4"/>
  </si>
  <si>
    <t>VELOCITY 白</t>
    <rPh sb="9" eb="10">
      <t>シロ</t>
    </rPh>
    <phoneticPr fontId="4"/>
  </si>
  <si>
    <t>吉見　嶺</t>
    <rPh sb="0" eb="2">
      <t>ヨシミ</t>
    </rPh>
    <rPh sb="3" eb="4">
      <t>レイ</t>
    </rPh>
    <phoneticPr fontId="4"/>
  </si>
  <si>
    <t>澤　ゆう貴</t>
    <rPh sb="0" eb="1">
      <t>サワ</t>
    </rPh>
    <rPh sb="4" eb="5">
      <t>タカシ</t>
    </rPh>
    <phoneticPr fontId="4"/>
  </si>
  <si>
    <t>福山　英次</t>
    <rPh sb="0" eb="2">
      <t>フクヤマ</t>
    </rPh>
    <rPh sb="3" eb="5">
      <t>エイジ</t>
    </rPh>
    <phoneticPr fontId="4"/>
  </si>
  <si>
    <t>上野　年彦</t>
    <rPh sb="0" eb="2">
      <t>ウエノ</t>
    </rPh>
    <rPh sb="3" eb="5">
      <t>トシヒコ</t>
    </rPh>
    <phoneticPr fontId="4"/>
  </si>
  <si>
    <t>FW AIR SPEEDER PLUS 白</t>
    <phoneticPr fontId="4"/>
  </si>
  <si>
    <t>フジクラ</t>
    <phoneticPr fontId="4"/>
  </si>
  <si>
    <t>sticky evolution 2.3 ブルー 有</t>
    <rPh sb="25" eb="26">
      <t>アリ</t>
    </rPh>
    <phoneticPr fontId="4"/>
  </si>
  <si>
    <t>福山　英次</t>
    <rPh sb="0" eb="2">
      <t>フクヤマ</t>
    </rPh>
    <rPh sb="3" eb="5">
      <t>エイジ</t>
    </rPh>
    <phoneticPr fontId="4"/>
  </si>
  <si>
    <t>シンカグラファイト</t>
    <phoneticPr fontId="4"/>
  </si>
  <si>
    <t>DR LEXIA 4R</t>
    <phoneticPr fontId="4"/>
  </si>
  <si>
    <t>FW LEXIA L series 5S</t>
    <phoneticPr fontId="4"/>
  </si>
  <si>
    <t>sticky evolution 1.8 ブルー 有</t>
    <rPh sb="25" eb="26">
      <t>アリ</t>
    </rPh>
    <phoneticPr fontId="4"/>
  </si>
  <si>
    <t>藤田プロ</t>
    <rPh sb="0" eb="2">
      <t>フジタ</t>
    </rPh>
    <phoneticPr fontId="4"/>
  </si>
  <si>
    <t>井殿プロ</t>
    <rPh sb="0" eb="2">
      <t>イドノ</t>
    </rPh>
    <phoneticPr fontId="4"/>
  </si>
  <si>
    <t>忠海　雅一</t>
    <rPh sb="0" eb="1">
      <t>チュウ</t>
    </rPh>
    <rPh sb="1" eb="2">
      <t>ウミ</t>
    </rPh>
    <rPh sb="3" eb="5">
      <t>マサカズ</t>
    </rPh>
    <phoneticPr fontId="4"/>
  </si>
  <si>
    <t>現金</t>
    <rPh sb="0" eb="2">
      <t>ゲンキン</t>
    </rPh>
    <phoneticPr fontId="4"/>
  </si>
  <si>
    <t>芦田　一憲</t>
    <rPh sb="0" eb="2">
      <t>アシダ</t>
    </rPh>
    <rPh sb="3" eb="4">
      <t>イチ</t>
    </rPh>
    <rPh sb="4" eb="5">
      <t>ノリ</t>
    </rPh>
    <phoneticPr fontId="4"/>
  </si>
  <si>
    <t>販売</t>
    <rPh sb="0" eb="2">
      <t>ハンバイ</t>
    </rPh>
    <phoneticPr fontId="4"/>
  </si>
  <si>
    <t>IR LEXIA IL7 LT #5</t>
    <phoneticPr fontId="4"/>
  </si>
  <si>
    <t>IR LEXIA IL7 LT #6</t>
  </si>
  <si>
    <t>IR LEXIA IL7 LT #7</t>
  </si>
  <si>
    <t>IR LEXIA IL7 HV #8</t>
    <phoneticPr fontId="4"/>
  </si>
  <si>
    <t>IR LEXIA IL7 HV #9</t>
  </si>
  <si>
    <t>IR LEXIA IL7 HV #P</t>
    <phoneticPr fontId="4"/>
  </si>
  <si>
    <t>IOMIC</t>
    <phoneticPr fontId="4"/>
  </si>
  <si>
    <t>岩見　美樹</t>
    <rPh sb="0" eb="2">
      <t>イワミ</t>
    </rPh>
    <rPh sb="3" eb="5">
      <t>ミキ</t>
    </rPh>
    <phoneticPr fontId="4"/>
  </si>
  <si>
    <t>クレイジー</t>
    <phoneticPr fontId="4"/>
  </si>
  <si>
    <t>DR CRAZY ARROW SR</t>
    <phoneticPr fontId="4"/>
  </si>
  <si>
    <t>ヘッド</t>
    <phoneticPr fontId="4"/>
  </si>
  <si>
    <t>古川プロ</t>
    <rPh sb="0" eb="2">
      <t>フルカワ</t>
    </rPh>
    <phoneticPr fontId="4"/>
  </si>
  <si>
    <t>ＫＧＵ金券2,000円使用</t>
    <rPh sb="3" eb="5">
      <t>キンケン</t>
    </rPh>
    <rPh sb="10" eb="11">
      <t>エン</t>
    </rPh>
    <rPh sb="11" eb="13">
      <t>シヨウ</t>
    </rPh>
    <phoneticPr fontId="4"/>
  </si>
  <si>
    <t>KGU金券\2,000　現金2,445</t>
    <rPh sb="3" eb="5">
      <t>キンケン</t>
    </rPh>
    <rPh sb="12" eb="14">
      <t>ゲンキン</t>
    </rPh>
    <phoneticPr fontId="4"/>
  </si>
  <si>
    <t>現金</t>
    <rPh sb="0" eb="2">
      <t>ゲンキン</t>
    </rPh>
    <phoneticPr fontId="4"/>
  </si>
  <si>
    <t>再来(2024/1/21)</t>
    <rPh sb="0" eb="2">
      <t>サイライ</t>
    </rPh>
    <phoneticPr fontId="4"/>
  </si>
  <si>
    <t>シューズ</t>
  </si>
  <si>
    <t>法人　1ケ月</t>
  </si>
  <si>
    <t>販売</t>
    <rPh sb="0" eb="2">
      <t>ハンバイ</t>
    </rPh>
    <phoneticPr fontId="4"/>
  </si>
  <si>
    <t>ボール</t>
    <phoneticPr fontId="4"/>
  </si>
  <si>
    <t>グローブ</t>
    <phoneticPr fontId="4"/>
  </si>
  <si>
    <t>シャフト</t>
    <phoneticPr fontId="4"/>
  </si>
  <si>
    <t>グリップ</t>
    <phoneticPr fontId="4"/>
  </si>
  <si>
    <t>スリーブ</t>
    <phoneticPr fontId="4"/>
  </si>
  <si>
    <t>ハドラスコーティング</t>
    <phoneticPr fontId="4"/>
  </si>
  <si>
    <t>ZERO FIT</t>
    <phoneticPr fontId="4"/>
  </si>
  <si>
    <t>IOMIC</t>
    <phoneticPr fontId="4"/>
  </si>
  <si>
    <t>三菱ケミカル</t>
    <rPh sb="0" eb="2">
      <t>ミツビシ</t>
    </rPh>
    <phoneticPr fontId="4"/>
  </si>
  <si>
    <t>CADERO</t>
    <phoneticPr fontId="4"/>
  </si>
  <si>
    <t>Arch</t>
    <phoneticPr fontId="4"/>
  </si>
  <si>
    <t>社長</t>
    <rPh sb="0" eb="2">
      <t>シャチョウ</t>
    </rPh>
    <phoneticPr fontId="4"/>
  </si>
  <si>
    <t>植田　麻未</t>
    <rPh sb="0" eb="2">
      <t>ウエダ</t>
    </rPh>
    <rPh sb="3" eb="5">
      <t>マミ</t>
    </rPh>
    <phoneticPr fontId="4"/>
  </si>
  <si>
    <t>20cm 右 白</t>
    <rPh sb="5" eb="6">
      <t>ミギ</t>
    </rPh>
    <rPh sb="7" eb="8">
      <t>シロ</t>
    </rPh>
    <phoneticPr fontId="4"/>
  </si>
  <si>
    <t>現金</t>
    <rPh sb="0" eb="2">
      <t>ゲンキン</t>
    </rPh>
    <phoneticPr fontId="4"/>
  </si>
  <si>
    <t>LEFT DASH 白</t>
    <rPh sb="10" eb="11">
      <t>シロ</t>
    </rPh>
    <phoneticPr fontId="4"/>
  </si>
  <si>
    <t>TOUR SOFT 白</t>
    <rPh sb="10" eb="11">
      <t>シロ</t>
    </rPh>
    <phoneticPr fontId="4"/>
  </si>
  <si>
    <t>ビジター</t>
    <phoneticPr fontId="4"/>
  </si>
  <si>
    <t>Pro V1X 白</t>
    <rPh sb="8" eb="9">
      <t>シロ</t>
    </rPh>
    <phoneticPr fontId="4"/>
  </si>
  <si>
    <t>田中　亮介</t>
    <rPh sb="0" eb="2">
      <t>タナカ</t>
    </rPh>
    <rPh sb="3" eb="5">
      <t>リョウスケ</t>
    </rPh>
    <phoneticPr fontId="4"/>
  </si>
  <si>
    <t>TOUR B X 白</t>
    <rPh sb="9" eb="10">
      <t>シロ</t>
    </rPh>
    <phoneticPr fontId="4"/>
  </si>
  <si>
    <t>TOUR B XS 白</t>
    <rPh sb="10" eb="11">
      <t>シロ</t>
    </rPh>
    <phoneticPr fontId="4"/>
  </si>
  <si>
    <t>TOUR B XS 黄</t>
    <rPh sb="10" eb="11">
      <t>キ</t>
    </rPh>
    <phoneticPr fontId="4"/>
  </si>
  <si>
    <t>土岐　久美子</t>
    <phoneticPr fontId="4"/>
  </si>
  <si>
    <t>再来(2024.07.25)</t>
    <rPh sb="0" eb="2">
      <t>サイライ</t>
    </rPh>
    <phoneticPr fontId="4"/>
  </si>
  <si>
    <t>伊藤　慎太郎</t>
    <rPh sb="0" eb="2">
      <t>イトウ</t>
    </rPh>
    <rPh sb="3" eb="6">
      <t>シンタロウ</t>
    </rPh>
    <phoneticPr fontId="4"/>
  </si>
  <si>
    <t>奥　健太</t>
    <rPh sb="0" eb="1">
      <t>オク</t>
    </rPh>
    <rPh sb="2" eb="4">
      <t>ケンタ</t>
    </rPh>
    <phoneticPr fontId="4"/>
  </si>
  <si>
    <t>レギュラー　2ヶ月分</t>
    <rPh sb="9" eb="10">
      <t>ブン</t>
    </rPh>
    <phoneticPr fontId="4"/>
  </si>
  <si>
    <t>淡　浩人</t>
    <rPh sb="0" eb="1">
      <t>アワ</t>
    </rPh>
    <rPh sb="2" eb="4">
      <t>ヒロヒト</t>
    </rPh>
    <phoneticPr fontId="4"/>
  </si>
  <si>
    <t>株式会社ト紅スチール</t>
    <rPh sb="0" eb="4">
      <t>カブシキカイシャ</t>
    </rPh>
    <rPh sb="5" eb="6">
      <t>ベニ</t>
    </rPh>
    <phoneticPr fontId="4"/>
  </si>
  <si>
    <t>井原　望</t>
    <rPh sb="0" eb="2">
      <t>イハラ</t>
    </rPh>
    <rPh sb="3" eb="4">
      <t>ノゾ</t>
    </rPh>
    <phoneticPr fontId="4"/>
  </si>
  <si>
    <t>増田　雅輝</t>
    <rPh sb="0" eb="2">
      <t>マスダ</t>
    </rPh>
    <rPh sb="3" eb="4">
      <t>マサ</t>
    </rPh>
    <rPh sb="4" eb="5">
      <t>テル</t>
    </rPh>
    <phoneticPr fontId="4"/>
  </si>
  <si>
    <t>小谷　寛樹</t>
    <rPh sb="0" eb="2">
      <t>コタニ</t>
    </rPh>
    <rPh sb="3" eb="5">
      <t>ヒロキ</t>
    </rPh>
    <phoneticPr fontId="4"/>
  </si>
  <si>
    <t>千神　華澄</t>
    <rPh sb="0" eb="1">
      <t>セン</t>
    </rPh>
    <rPh sb="1" eb="2">
      <t>カミ</t>
    </rPh>
    <rPh sb="3" eb="4">
      <t>ハナ</t>
    </rPh>
    <rPh sb="4" eb="5">
      <t>ス</t>
    </rPh>
    <phoneticPr fontId="4"/>
  </si>
  <si>
    <t>千神　遼斗</t>
    <rPh sb="0" eb="1">
      <t>セン</t>
    </rPh>
    <rPh sb="1" eb="2">
      <t>カミ</t>
    </rPh>
    <rPh sb="3" eb="4">
      <t>リョウ</t>
    </rPh>
    <rPh sb="4" eb="5">
      <t>ト</t>
    </rPh>
    <phoneticPr fontId="4"/>
  </si>
  <si>
    <t>宮下　正規</t>
    <rPh sb="0" eb="2">
      <t>ミヤシタ</t>
    </rPh>
    <rPh sb="3" eb="4">
      <t>タダシ</t>
    </rPh>
    <rPh sb="4" eb="5">
      <t>キ</t>
    </rPh>
    <phoneticPr fontId="4"/>
  </si>
  <si>
    <t>渡部　啓子</t>
    <rPh sb="0" eb="2">
      <t>ワタナベ</t>
    </rPh>
    <rPh sb="3" eb="5">
      <t>ケイコ</t>
    </rPh>
    <phoneticPr fontId="4"/>
  </si>
  <si>
    <t>20cm 黒 左</t>
    <rPh sb="5" eb="6">
      <t>クロ</t>
    </rPh>
    <rPh sb="7" eb="8">
      <t>ヒダリ</t>
    </rPh>
    <phoneticPr fontId="4"/>
  </si>
  <si>
    <t>岩見　美樹</t>
    <rPh sb="0" eb="2">
      <t>イワミ</t>
    </rPh>
    <rPh sb="3" eb="5">
      <t>ミキ</t>
    </rPh>
    <phoneticPr fontId="4"/>
  </si>
  <si>
    <t>19cm 白 右</t>
    <rPh sb="7" eb="8">
      <t>ミギ</t>
    </rPh>
    <phoneticPr fontId="4"/>
  </si>
  <si>
    <t>25cm 白 左</t>
    <rPh sb="5" eb="6">
      <t>シロ</t>
    </rPh>
    <rPh sb="7" eb="8">
      <t>ヒダリ</t>
    </rPh>
    <phoneticPr fontId="4"/>
  </si>
  <si>
    <t>20cm 白 左</t>
    <rPh sb="5" eb="6">
      <t>シロ</t>
    </rPh>
    <rPh sb="7" eb="8">
      <t>ヒダリ</t>
    </rPh>
    <phoneticPr fontId="4"/>
  </si>
  <si>
    <t>20cm 白 右</t>
    <rPh sb="5" eb="6">
      <t>シロ</t>
    </rPh>
    <rPh sb="7" eb="8">
      <t>ミギ</t>
    </rPh>
    <phoneticPr fontId="4"/>
  </si>
  <si>
    <t>大橋　慎也</t>
    <rPh sb="0" eb="2">
      <t>オオハシ</t>
    </rPh>
    <rPh sb="3" eb="5">
      <t>シンヤ</t>
    </rPh>
    <phoneticPr fontId="4"/>
  </si>
  <si>
    <t>VELOCITY  白</t>
    <rPh sb="10" eb="11">
      <t>シロ</t>
    </rPh>
    <phoneticPr fontId="4"/>
  </si>
  <si>
    <t>現金</t>
    <rPh sb="0" eb="2">
      <t>ゲンキン</t>
    </rPh>
    <phoneticPr fontId="4"/>
  </si>
  <si>
    <t>梁本　一裕</t>
    <rPh sb="0" eb="2">
      <t>ヤナモト</t>
    </rPh>
    <rPh sb="3" eb="4">
      <t>イチ</t>
    </rPh>
    <rPh sb="4" eb="5">
      <t>ヒロ</t>
    </rPh>
    <phoneticPr fontId="4"/>
  </si>
  <si>
    <t>福山　英次</t>
    <rPh sb="0" eb="2">
      <t>フクヤマ</t>
    </rPh>
    <rPh sb="3" eb="5">
      <t>エイジ</t>
    </rPh>
    <phoneticPr fontId="4"/>
  </si>
  <si>
    <t>Sticky Evolution 2.3 BL有 ブルー</t>
    <phoneticPr fontId="4"/>
  </si>
  <si>
    <t>塩谷　將規</t>
    <rPh sb="0" eb="2">
      <t>シオタニ</t>
    </rPh>
    <rPh sb="3" eb="4">
      <t>マサ</t>
    </rPh>
    <rPh sb="4" eb="5">
      <t>ノリ</t>
    </rPh>
    <phoneticPr fontId="4"/>
  </si>
  <si>
    <t>社長承認済</t>
    <rPh sb="0" eb="2">
      <t>シャチョウ</t>
    </rPh>
    <rPh sb="2" eb="5">
      <t>ショウニンズ</t>
    </rPh>
    <phoneticPr fontId="4"/>
  </si>
  <si>
    <t>中村　亮太</t>
    <rPh sb="0" eb="2">
      <t>ナカムラ</t>
    </rPh>
    <rPh sb="3" eb="5">
      <t>リョウタ</t>
    </rPh>
    <phoneticPr fontId="4"/>
  </si>
  <si>
    <t>体験利用</t>
    <rPh sb="0" eb="4">
      <t>タイケンリヨウ</t>
    </rPh>
    <phoneticPr fontId="4"/>
  </si>
  <si>
    <t>DR TENSEI Pro White 1K 50S</t>
    <phoneticPr fontId="4"/>
  </si>
  <si>
    <t>Sticky Evolution2.3 BL 無 ブルー</t>
    <phoneticPr fontId="4"/>
  </si>
  <si>
    <t>X360 ラバーM58 無 ブラック</t>
    <rPh sb="12" eb="13">
      <t>ナシ</t>
    </rPh>
    <phoneticPr fontId="4"/>
  </si>
  <si>
    <t>スティングレーM58 無 ブラック</t>
    <rPh sb="11" eb="12">
      <t>ナシ</t>
    </rPh>
    <phoneticPr fontId="4"/>
  </si>
  <si>
    <t>原田　大雅</t>
    <rPh sb="0" eb="2">
      <t>ハラダ</t>
    </rPh>
    <rPh sb="3" eb="5">
      <t>タイガ</t>
    </rPh>
    <phoneticPr fontId="4"/>
  </si>
  <si>
    <t>2×2 UT ペンタゴン スター入 有 ﾌﾞﾗｯｸ×ｼﾙﾊﾞｰ</t>
    <phoneticPr fontId="4"/>
  </si>
  <si>
    <t xml:space="preserve">LAMKIN </t>
    <phoneticPr fontId="4"/>
  </si>
  <si>
    <t>パターグリップ ﾌﾞﾗｯｸ×ﾌﾞﾙｰ</t>
    <phoneticPr fontId="4"/>
  </si>
  <si>
    <t>西原　三芳子</t>
    <rPh sb="0" eb="2">
      <t>ニシハラ</t>
    </rPh>
    <rPh sb="3" eb="4">
      <t>サン</t>
    </rPh>
    <rPh sb="4" eb="5">
      <t>ヨシ</t>
    </rPh>
    <rPh sb="5" eb="6">
      <t>コ</t>
    </rPh>
    <phoneticPr fontId="4"/>
  </si>
  <si>
    <t>和島　将志</t>
    <rPh sb="0" eb="2">
      <t>ワジマ</t>
    </rPh>
    <rPh sb="3" eb="5">
      <t>マサシ</t>
    </rPh>
    <phoneticPr fontId="4"/>
  </si>
  <si>
    <t xml:space="preserve">Y360S XT 有 マリンブルー </t>
    <rPh sb="9" eb="10">
      <t>アリ</t>
    </rPh>
    <phoneticPr fontId="4"/>
  </si>
  <si>
    <t>松本　洋</t>
    <rPh sb="0" eb="2">
      <t>マツモト</t>
    </rPh>
    <rPh sb="3" eb="4">
      <t>ヨウ</t>
    </rPh>
    <phoneticPr fontId="4"/>
  </si>
  <si>
    <t>DR Natural 9 ROSSO 25</t>
    <phoneticPr fontId="4"/>
  </si>
  <si>
    <t>Sticky Evolution 2.3 BL有 コーラルレッド</t>
    <phoneticPr fontId="4"/>
  </si>
  <si>
    <t>返金</t>
    <rPh sb="0" eb="2">
      <t>ヘンキン</t>
    </rPh>
    <phoneticPr fontId="4"/>
  </si>
  <si>
    <t>フィッティング再来</t>
    <rPh sb="7" eb="9">
      <t>サイライ</t>
    </rPh>
    <phoneticPr fontId="4"/>
  </si>
  <si>
    <t>小橋　正弥</t>
    <rPh sb="0" eb="2">
      <t>コバシ</t>
    </rPh>
    <rPh sb="3" eb="4">
      <t>タダ</t>
    </rPh>
    <rPh sb="4" eb="5">
      <t>ヤ</t>
    </rPh>
    <phoneticPr fontId="4"/>
  </si>
  <si>
    <t>tl056小橋一好様会員</t>
    <rPh sb="5" eb="7">
      <t>コバシ</t>
    </rPh>
    <rPh sb="7" eb="9">
      <t>カズヨシ</t>
    </rPh>
    <rPh sb="9" eb="10">
      <t>サマ</t>
    </rPh>
    <rPh sb="10" eb="12">
      <t>カイイン</t>
    </rPh>
    <phoneticPr fontId="4"/>
  </si>
  <si>
    <t>山田　健二</t>
    <rPh sb="0" eb="2">
      <t>ヤマダ</t>
    </rPh>
    <rPh sb="3" eb="5">
      <t>ケンジ</t>
    </rPh>
    <phoneticPr fontId="4"/>
  </si>
  <si>
    <t>新田　隆次</t>
    <rPh sb="0" eb="2">
      <t>ニッタ</t>
    </rPh>
    <rPh sb="3" eb="4">
      <t>タカシ</t>
    </rPh>
    <rPh sb="4" eb="5">
      <t>ジ</t>
    </rPh>
    <phoneticPr fontId="4"/>
  </si>
  <si>
    <t>岩見　真一郎</t>
    <rPh sb="0" eb="2">
      <t>イワミ</t>
    </rPh>
    <rPh sb="3" eb="6">
      <t>シンイチロウ</t>
    </rPh>
    <phoneticPr fontId="4"/>
  </si>
  <si>
    <t>LEFT DASH 白</t>
    <rPh sb="10" eb="11">
      <t>シロ</t>
    </rPh>
    <phoneticPr fontId="4"/>
  </si>
  <si>
    <t>23cm 左 白</t>
    <rPh sb="5" eb="6">
      <t>ヒダリ</t>
    </rPh>
    <rPh sb="7" eb="8">
      <t>シロ</t>
    </rPh>
    <phoneticPr fontId="4"/>
  </si>
  <si>
    <t>TOUR B XS 黄</t>
    <rPh sb="10" eb="11">
      <t>キ</t>
    </rPh>
    <phoneticPr fontId="4"/>
  </si>
  <si>
    <t>TOUR SOFT 白</t>
    <rPh sb="10" eb="11">
      <t>シロ</t>
    </rPh>
    <phoneticPr fontId="4"/>
  </si>
  <si>
    <t>販売</t>
    <rPh sb="0" eb="2">
      <t>ハンバイ</t>
    </rPh>
    <phoneticPr fontId="4"/>
  </si>
  <si>
    <t>VELOCITY 白</t>
    <rPh sb="9" eb="10">
      <t>シロ</t>
    </rPh>
    <phoneticPr fontId="4"/>
  </si>
  <si>
    <t>寺尾　勝</t>
    <rPh sb="0" eb="2">
      <t>テラオ</t>
    </rPh>
    <rPh sb="3" eb="4">
      <t>マサル</t>
    </rPh>
    <phoneticPr fontId="4"/>
  </si>
  <si>
    <t>ZERO FIT</t>
    <phoneticPr fontId="4"/>
  </si>
  <si>
    <t>25cm 左 白</t>
    <rPh sb="5" eb="6">
      <t>ヒダリ</t>
    </rPh>
    <rPh sb="7" eb="8">
      <t>シロ</t>
    </rPh>
    <phoneticPr fontId="4"/>
  </si>
  <si>
    <t>井殿プロ</t>
    <rPh sb="0" eb="2">
      <t>イドノ</t>
    </rPh>
    <phoneticPr fontId="4"/>
  </si>
  <si>
    <t>奥田　健介</t>
    <rPh sb="0" eb="2">
      <t>オクダ</t>
    </rPh>
    <rPh sb="3" eb="5">
      <t>ケンスケ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</si>
  <si>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</si>
  <si>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</si>
  <si>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PRO V1 白</t>
    <rPh sb="7" eb="8">
      <t>シロ</t>
    </rPh>
    <phoneticPr fontId="4"/>
  </si>
  <si>
    <t>現金</t>
    <rPh sb="0" eb="2">
      <t>ゲンキン</t>
    </rPh>
    <phoneticPr fontId="4"/>
  </si>
  <si>
    <t>植田　麻未</t>
    <rPh sb="0" eb="2">
      <t>ウエダ</t>
    </rPh>
    <rPh sb="3" eb="5">
      <t>マミ</t>
    </rPh>
    <phoneticPr fontId="4"/>
  </si>
  <si>
    <t>チケット制月会費</t>
    <rPh sb="4" eb="5">
      <t>セイ</t>
    </rPh>
    <rPh sb="5" eb="8">
      <t>ツキカイヒ</t>
    </rPh>
    <phoneticPr fontId="4"/>
  </si>
  <si>
    <t>レッスンチケット　11枚</t>
    <phoneticPr fontId="4"/>
  </si>
  <si>
    <t>植田　昌克</t>
    <rPh sb="0" eb="2">
      <t>ウエダ</t>
    </rPh>
    <rPh sb="3" eb="5">
      <t>マサカツ</t>
    </rPh>
    <phoneticPr fontId="4"/>
  </si>
  <si>
    <t>塩谷　将規</t>
    <rPh sb="0" eb="2">
      <t>シオヤ</t>
    </rPh>
    <rPh sb="3" eb="4">
      <t>ショウ</t>
    </rPh>
    <rPh sb="4" eb="5">
      <t>キ</t>
    </rPh>
    <phoneticPr fontId="4"/>
  </si>
  <si>
    <t>販売</t>
    <rPh sb="0" eb="2">
      <t>ハンバイ</t>
    </rPh>
    <phoneticPr fontId="4"/>
  </si>
  <si>
    <t>三菱ケミカル</t>
    <rPh sb="0" eb="2">
      <t>ミツビシ</t>
    </rPh>
    <phoneticPr fontId="4"/>
  </si>
  <si>
    <t>DR用</t>
    <rPh sb="2" eb="3">
      <t>ヨウ</t>
    </rPh>
    <phoneticPr fontId="4"/>
  </si>
  <si>
    <t>IOMIC</t>
    <phoneticPr fontId="4"/>
  </si>
  <si>
    <t>Sticky Evolution 2.3 BL有 ブルー</t>
    <phoneticPr fontId="4"/>
  </si>
  <si>
    <t>石原　立</t>
    <rPh sb="0" eb="2">
      <t>イシハラ</t>
    </rPh>
    <rPh sb="3" eb="4">
      <t>タチ</t>
    </rPh>
    <phoneticPr fontId="4"/>
  </si>
  <si>
    <t>入会金</t>
    <rPh sb="0" eb="3">
      <t>ニュウカイキン</t>
    </rPh>
    <phoneticPr fontId="4"/>
  </si>
  <si>
    <t>北　秀実</t>
    <rPh sb="0" eb="1">
      <t>キタ</t>
    </rPh>
    <rPh sb="2" eb="3">
      <t>ヒデ</t>
    </rPh>
    <rPh sb="3" eb="4">
      <t>ミ</t>
    </rPh>
    <phoneticPr fontId="4"/>
  </si>
  <si>
    <t>ZERO FIT</t>
    <phoneticPr fontId="4"/>
  </si>
  <si>
    <t>23cm 左 白</t>
    <rPh sb="5" eb="6">
      <t>ヒダリ</t>
    </rPh>
    <rPh sb="7" eb="8">
      <t>シロ</t>
    </rPh>
    <phoneticPr fontId="4"/>
  </si>
  <si>
    <t>TOUR BXS コーポレートカラー</t>
    <phoneticPr fontId="4"/>
  </si>
  <si>
    <t>安藤　充</t>
    <rPh sb="0" eb="2">
      <t>アンドウ</t>
    </rPh>
    <rPh sb="3" eb="4">
      <t>ミツル</t>
    </rPh>
    <phoneticPr fontId="4"/>
  </si>
  <si>
    <t>川端　淑一</t>
    <phoneticPr fontId="4"/>
  </si>
  <si>
    <t>川端　柚茉</t>
    <rPh sb="3" eb="4">
      <t>ユ</t>
    </rPh>
    <rPh sb="4" eb="5">
      <t>マツ</t>
    </rPh>
    <phoneticPr fontId="4"/>
  </si>
  <si>
    <t>スティングレー M58 ブラック 無</t>
    <rPh sb="17" eb="18">
      <t>ナシ</t>
    </rPh>
    <phoneticPr fontId="4"/>
  </si>
  <si>
    <t>安田　寛</t>
    <rPh sb="0" eb="2">
      <t>ヤスダ</t>
    </rPh>
    <rPh sb="3" eb="4">
      <t>ユタカ</t>
    </rPh>
    <phoneticPr fontId="4"/>
  </si>
  <si>
    <t>TOUR SOFT イエロー</t>
    <phoneticPr fontId="4"/>
  </si>
  <si>
    <t>Arch</t>
    <phoneticPr fontId="4"/>
  </si>
  <si>
    <t>FW WL-01-26</t>
    <phoneticPr fontId="4"/>
  </si>
  <si>
    <t>GOLF PRIDE</t>
    <phoneticPr fontId="4"/>
  </si>
  <si>
    <t>MCC スタンダード ホワイト 無</t>
    <rPh sb="16" eb="17">
      <t>ナシ</t>
    </rPh>
    <phoneticPr fontId="4"/>
  </si>
  <si>
    <t>返金</t>
    <rPh sb="0" eb="2">
      <t>ヘンキン</t>
    </rPh>
    <phoneticPr fontId="4"/>
  </si>
  <si>
    <t>ドライバー</t>
    <phoneticPr fontId="4"/>
  </si>
  <si>
    <t>TEE</t>
    <phoneticPr fontId="4"/>
  </si>
  <si>
    <t>TOUR TEE PRO BLACK SPINE</t>
    <phoneticPr fontId="4"/>
  </si>
  <si>
    <t>TOUR TEE PRO LIMMITED EDITION</t>
    <phoneticPr fontId="4"/>
  </si>
  <si>
    <t>PRO V1X</t>
    <phoneticPr fontId="4"/>
  </si>
  <si>
    <t>24cm 左 白</t>
    <rPh sb="5" eb="6">
      <t>ヒダリ</t>
    </rPh>
    <rPh sb="7" eb="8">
      <t>シロ</t>
    </rPh>
    <phoneticPr fontId="4"/>
  </si>
  <si>
    <t>岩見　美樹</t>
    <rPh sb="0" eb="2">
      <t>イワミ</t>
    </rPh>
    <rPh sb="3" eb="5">
      <t>ミキ</t>
    </rPh>
    <phoneticPr fontId="4"/>
  </si>
  <si>
    <t>DR AIR SPEEDER STANDARD 白</t>
    <rPh sb="24" eb="25">
      <t>シロ</t>
    </rPh>
    <phoneticPr fontId="4"/>
  </si>
  <si>
    <t>金券</t>
    <rPh sb="0" eb="2">
      <t>キンケン</t>
    </rPh>
    <phoneticPr fontId="4"/>
  </si>
  <si>
    <t>\7,000は金券　残り\128は現金</t>
    <rPh sb="7" eb="9">
      <t>キンケン</t>
    </rPh>
    <rPh sb="10" eb="11">
      <t>ノコ</t>
    </rPh>
    <rPh sb="17" eb="19">
      <t>ゲンキン</t>
    </rPh>
    <phoneticPr fontId="4"/>
  </si>
  <si>
    <t>参加者</t>
    <rPh sb="0" eb="3">
      <t>サンカシャ</t>
    </rPh>
    <phoneticPr fontId="4"/>
  </si>
  <si>
    <t>参加費</t>
    <rPh sb="0" eb="3">
      <t>サンカヒ</t>
    </rPh>
    <phoneticPr fontId="4"/>
  </si>
  <si>
    <t>第5回親睦コンペ参加料</t>
    <rPh sb="0" eb="1">
      <t>ダイ</t>
    </rPh>
    <rPh sb="2" eb="3">
      <t>カイ</t>
    </rPh>
    <rPh sb="3" eb="5">
      <t>シンボク</t>
    </rPh>
    <rPh sb="8" eb="11">
      <t>サンカリョウ</t>
    </rPh>
    <phoneticPr fontId="4"/>
  </si>
  <si>
    <t>(株)トガワ</t>
    <rPh sb="0" eb="3">
      <t>カブシキガイシャ</t>
    </rPh>
    <phoneticPr fontId="4"/>
  </si>
  <si>
    <t>PRO V1 白</t>
    <rPh sb="7" eb="8">
      <t>シロ</t>
    </rPh>
    <phoneticPr fontId="4"/>
  </si>
  <si>
    <t>岩見　美樹</t>
    <rPh sb="0" eb="2">
      <t>イワミ</t>
    </rPh>
    <rPh sb="3" eb="5">
      <t>ミキ</t>
    </rPh>
    <phoneticPr fontId="4"/>
  </si>
  <si>
    <t>販売</t>
    <rPh sb="0" eb="2">
      <t>ハンバイ</t>
    </rPh>
    <phoneticPr fontId="4"/>
  </si>
  <si>
    <t>GOLF PRIDE</t>
    <phoneticPr fontId="4"/>
  </si>
  <si>
    <t>\5,000は金券　残り\500は現金</t>
    <rPh sb="7" eb="9">
      <t>キンケン</t>
    </rPh>
    <rPh sb="10" eb="11">
      <t>ノコ</t>
    </rPh>
    <rPh sb="17" eb="19">
      <t>ゲンキン</t>
    </rPh>
    <phoneticPr fontId="4"/>
  </si>
  <si>
    <t>北　秀実</t>
    <rPh sb="0" eb="1">
      <t>キタ</t>
    </rPh>
    <rPh sb="2" eb="4">
      <t>ヒデミ</t>
    </rPh>
    <phoneticPr fontId="4"/>
  </si>
  <si>
    <t>シンカグラファイト</t>
    <phoneticPr fontId="4"/>
  </si>
  <si>
    <t>ヘッド</t>
    <phoneticPr fontId="4"/>
  </si>
  <si>
    <t>DR DARKSPEED X 10.5°</t>
    <phoneticPr fontId="4"/>
  </si>
  <si>
    <t>perfect pro</t>
    <phoneticPr fontId="4"/>
  </si>
  <si>
    <t>X ラインラバー ブラック 有</t>
    <rPh sb="14" eb="15">
      <t>アリ</t>
    </rPh>
    <phoneticPr fontId="4"/>
  </si>
  <si>
    <t>現金</t>
    <rPh sb="0" eb="2">
      <t>ゲンキン</t>
    </rPh>
    <phoneticPr fontId="4"/>
  </si>
  <si>
    <t>コンペ景品</t>
    <rPh sb="3" eb="5">
      <t>ケイヒン</t>
    </rPh>
    <phoneticPr fontId="4"/>
  </si>
  <si>
    <t>ZERO FIT</t>
    <phoneticPr fontId="4"/>
  </si>
  <si>
    <t>19cm 左 白</t>
    <rPh sb="5" eb="6">
      <t>ヒダリ</t>
    </rPh>
    <rPh sb="7" eb="8">
      <t>シロ</t>
    </rPh>
    <phoneticPr fontId="4"/>
  </si>
  <si>
    <t>福山　洋子</t>
    <phoneticPr fontId="4"/>
  </si>
  <si>
    <t>山中　祥司</t>
  </si>
  <si>
    <t>山中　祥司</t>
    <phoneticPr fontId="4"/>
  </si>
  <si>
    <t>110分(ビジター)</t>
    <phoneticPr fontId="4"/>
  </si>
  <si>
    <t>55分(ビジター)</t>
    <phoneticPr fontId="4"/>
  </si>
  <si>
    <t>VELOCITY グリーン</t>
    <phoneticPr fontId="4"/>
  </si>
  <si>
    <t>DR LEXIA 5S</t>
    <phoneticPr fontId="4"/>
  </si>
  <si>
    <t>古川プロ</t>
    <rPh sb="0" eb="2">
      <t>フルカワ</t>
    </rPh>
    <phoneticPr fontId="4"/>
  </si>
  <si>
    <t>藤田プロ</t>
    <rPh sb="0" eb="2">
      <t>フジタ</t>
    </rPh>
    <phoneticPr fontId="4"/>
  </si>
  <si>
    <t>福山　英次</t>
    <rPh sb="3" eb="5">
      <t>エイジ</t>
    </rPh>
    <phoneticPr fontId="4"/>
  </si>
  <si>
    <t>マスター家族割　１ヶ月</t>
    <rPh sb="4" eb="7">
      <t>カゾクワリ</t>
    </rPh>
    <phoneticPr fontId="4"/>
  </si>
  <si>
    <t>TOUR VELVET 無</t>
    <rPh sb="12" eb="13">
      <t>ナシ</t>
    </rPh>
    <phoneticPr fontId="4"/>
  </si>
  <si>
    <t>\2,000金券　残り\14,500Airペイ</t>
    <rPh sb="6" eb="8">
      <t>キンケン</t>
    </rPh>
    <rPh sb="9" eb="10">
      <t>ノコ</t>
    </rPh>
    <phoneticPr fontId="4"/>
  </si>
  <si>
    <t>プラン変更 レギュラーからマスター　</t>
    <rPh sb="3" eb="5">
      <t>ヘンコウ</t>
    </rPh>
    <phoneticPr fontId="4"/>
  </si>
  <si>
    <t>福武　采実</t>
    <rPh sb="0" eb="2">
      <t>フクタケ</t>
    </rPh>
    <rPh sb="3" eb="4">
      <t>サイ</t>
    </rPh>
    <rPh sb="4" eb="5">
      <t>ミ</t>
    </rPh>
    <phoneticPr fontId="4"/>
  </si>
  <si>
    <t>USTマミヤ</t>
    <phoneticPr fontId="4"/>
  </si>
  <si>
    <t>Y360S SH ベルリナブラック 有</t>
    <rPh sb="18" eb="19">
      <t>アリ</t>
    </rPh>
    <phoneticPr fontId="4"/>
  </si>
  <si>
    <t>Y360S SH ベルリナブラック 無</t>
    <rPh sb="18" eb="19">
      <t>ナシ</t>
    </rPh>
    <phoneticPr fontId="4"/>
  </si>
  <si>
    <t>iX series iXx 2.3 M60 無 ライトブルー</t>
    <rPh sb="22" eb="23">
      <t>ナシ</t>
    </rPh>
    <phoneticPr fontId="2"/>
  </si>
  <si>
    <t>iX series iXx 2.3 M60 無 レモンイエロー</t>
    <rPh sb="22" eb="23">
      <t>ナシ</t>
    </rPh>
    <phoneticPr fontId="2"/>
  </si>
  <si>
    <t>川端　柚茉</t>
    <rPh sb="0" eb="2">
      <t>カワバタ</t>
    </rPh>
    <rPh sb="3" eb="4">
      <t>ユ</t>
    </rPh>
    <rPh sb="4" eb="5">
      <t>マツ</t>
    </rPh>
    <phoneticPr fontId="4"/>
  </si>
  <si>
    <t>DR AIR SPEEDER STANDARD 黒</t>
    <rPh sb="24" eb="25">
      <t>クロ</t>
    </rPh>
    <phoneticPr fontId="4"/>
  </si>
  <si>
    <t>sticky evolution 1.8 有 ブルー</t>
    <rPh sb="21" eb="22">
      <t>アリ</t>
    </rPh>
    <phoneticPr fontId="4"/>
  </si>
  <si>
    <t>スティングレー M58 無 ブラック</t>
    <rPh sb="12" eb="13">
      <t>ナシ</t>
    </rPh>
    <phoneticPr fontId="4"/>
  </si>
  <si>
    <t>TOUR BXS 白</t>
    <rPh sb="9" eb="10">
      <t>シロ</t>
    </rPh>
    <phoneticPr fontId="4"/>
  </si>
  <si>
    <t>池谷　渓大</t>
    <rPh sb="0" eb="2">
      <t>イケタニ</t>
    </rPh>
    <rPh sb="3" eb="4">
      <t>ケイ</t>
    </rPh>
    <rPh sb="4" eb="5">
      <t>オオ</t>
    </rPh>
    <phoneticPr fontId="4"/>
  </si>
  <si>
    <t>平田　卓</t>
    <rPh sb="0" eb="2">
      <t>ヒラタ</t>
    </rPh>
    <rPh sb="3" eb="4">
      <t>タク</t>
    </rPh>
    <phoneticPr fontId="4"/>
  </si>
  <si>
    <t>加藤　怜明</t>
    <rPh sb="0" eb="2">
      <t>カトウ</t>
    </rPh>
    <rPh sb="3" eb="4">
      <t>レイ</t>
    </rPh>
    <rPh sb="4" eb="5">
      <t>メイ</t>
    </rPh>
    <phoneticPr fontId="4"/>
  </si>
  <si>
    <t>REVER ASSAUlT ATTACK 50S 黒</t>
    <rPh sb="25" eb="26">
      <t>クロ</t>
    </rPh>
    <phoneticPr fontId="4"/>
  </si>
  <si>
    <t>木本　秀巳</t>
    <rPh sb="0" eb="2">
      <t>キモト</t>
    </rPh>
    <rPh sb="3" eb="5">
      <t>ヒデミ</t>
    </rPh>
    <phoneticPr fontId="4"/>
  </si>
  <si>
    <t>レギュラー　0.75ヶ月</t>
    <phoneticPr fontId="4"/>
  </si>
  <si>
    <t>若林　あや</t>
    <rPh sb="0" eb="2">
      <t>ワカバヤシ</t>
    </rPh>
    <phoneticPr fontId="4"/>
  </si>
  <si>
    <t>Y360S XT ベルリナブラック 無</t>
    <rPh sb="18" eb="19">
      <t>ナシ</t>
    </rPh>
    <phoneticPr fontId="4"/>
  </si>
  <si>
    <t>スティングレー M58 ブラック 有</t>
    <rPh sb="17" eb="18">
      <t>アリ</t>
    </rPh>
    <phoneticPr fontId="4"/>
  </si>
  <si>
    <t>練習器具</t>
    <rPh sb="0" eb="4">
      <t>レンシュウキグ</t>
    </rPh>
    <phoneticPr fontId="4"/>
  </si>
  <si>
    <t>I PLANE Pro</t>
    <phoneticPr fontId="4"/>
  </si>
  <si>
    <t>髙砂　行彦</t>
    <rPh sb="0" eb="1">
      <t>タカ</t>
    </rPh>
    <rPh sb="1" eb="2">
      <t>スナ</t>
    </rPh>
    <rPh sb="3" eb="5">
      <t>ユキヒコ</t>
    </rPh>
    <phoneticPr fontId="4"/>
  </si>
  <si>
    <t>\10,000金券　\2,100Airペイ</t>
    <rPh sb="7" eb="9">
      <t>キンケン</t>
    </rPh>
    <phoneticPr fontId="4"/>
  </si>
  <si>
    <t>吉田　咲笑</t>
    <rPh sb="0" eb="2">
      <t>ヨシダ</t>
    </rPh>
    <rPh sb="3" eb="4">
      <t>サ</t>
    </rPh>
    <rPh sb="4" eb="5">
      <t>ワラ</t>
    </rPh>
    <phoneticPr fontId="4"/>
  </si>
  <si>
    <t>110分(ビジター)</t>
    <phoneticPr fontId="4"/>
  </si>
  <si>
    <t>IR MAX 80</t>
    <phoneticPr fontId="4"/>
  </si>
  <si>
    <t>小脇　謙治</t>
    <rPh sb="0" eb="2">
      <t>コワキ</t>
    </rPh>
    <rPh sb="3" eb="5">
      <t>ケンジ</t>
    </rPh>
    <phoneticPr fontId="4"/>
  </si>
  <si>
    <t>2×2 PENTAGON スター入 ブラック×シルバー 有</t>
    <rPh sb="16" eb="17">
      <t>イ</t>
    </rPh>
    <rPh sb="28" eb="29">
      <t>アリ</t>
    </rPh>
    <phoneticPr fontId="4"/>
  </si>
  <si>
    <t>津村　慎太郎</t>
    <rPh sb="0" eb="2">
      <t>ツムラ</t>
    </rPh>
    <rPh sb="3" eb="6">
      <t>シンタロウ</t>
    </rPh>
    <phoneticPr fontId="4"/>
  </si>
  <si>
    <t>小瀬　翔也</t>
    <rPh sb="0" eb="2">
      <t>コセ</t>
    </rPh>
    <rPh sb="3" eb="4">
      <t>ショウ</t>
    </rPh>
    <rPh sb="4" eb="5">
      <t>ナリ</t>
    </rPh>
    <phoneticPr fontId="4"/>
  </si>
  <si>
    <t>RS70 ベルリナブラック</t>
    <phoneticPr fontId="4"/>
  </si>
  <si>
    <t>レギュラー 家族割 0.75ヶ月分</t>
    <rPh sb="6" eb="9">
      <t>カゾクワリ</t>
    </rPh>
    <rPh sb="15" eb="16">
      <t>ゲツ</t>
    </rPh>
    <rPh sb="16" eb="17">
      <t>ブン</t>
    </rPh>
    <phoneticPr fontId="4"/>
  </si>
  <si>
    <t>G410 DR用</t>
    <rPh sb="7" eb="8">
      <t>ヨウ</t>
    </rPh>
    <phoneticPr fontId="4"/>
  </si>
  <si>
    <t>sticky soft 1.8 プラチナムグレー 有</t>
    <phoneticPr fontId="4"/>
  </si>
  <si>
    <t>sticky evolution 2.3 無 コーラルレッド</t>
    <rPh sb="21" eb="22">
      <t>ナ</t>
    </rPh>
    <phoneticPr fontId="4"/>
  </si>
  <si>
    <t>タイトリスト</t>
  </si>
  <si>
    <t>TOUR TEE PLUS</t>
  </si>
  <si>
    <t>フォーサリンク</t>
  </si>
  <si>
    <t>20周年記念 MIMIC 有</t>
    <rPh sb="2" eb="4">
      <t>シュウネン</t>
    </rPh>
    <phoneticPr fontId="4"/>
  </si>
  <si>
    <t>岡部　正和</t>
    <rPh sb="0" eb="2">
      <t>オカベ</t>
    </rPh>
    <rPh sb="3" eb="5">
      <t>マサカズ</t>
    </rPh>
    <phoneticPr fontId="4"/>
  </si>
  <si>
    <t>佐々木　貴朗</t>
    <rPh sb="0" eb="3">
      <t>ササキ</t>
    </rPh>
    <rPh sb="4" eb="6">
      <t>キロウ</t>
    </rPh>
    <phoneticPr fontId="4"/>
  </si>
  <si>
    <t>田中　珠欄</t>
    <rPh sb="0" eb="2">
      <t>タナカ</t>
    </rPh>
    <rPh sb="3" eb="4">
      <t>タマ</t>
    </rPh>
    <rPh sb="4" eb="5">
      <t>ラン</t>
    </rPh>
    <phoneticPr fontId="4"/>
  </si>
  <si>
    <t>sticky evolution 2.3 無 ブルー</t>
    <rPh sb="21" eb="22">
      <t>ナ</t>
    </rPh>
    <phoneticPr fontId="4"/>
  </si>
  <si>
    <t>Sticky Super Ultra Light ブラック 有</t>
    <phoneticPr fontId="4"/>
  </si>
  <si>
    <t>DR TENSEI Pro White 1K 50S</t>
  </si>
  <si>
    <t>金券4,000円分残りAirペイ</t>
    <rPh sb="0" eb="2">
      <t>キンケン</t>
    </rPh>
    <rPh sb="7" eb="9">
      <t>エンブン</t>
    </rPh>
    <rPh sb="9" eb="10">
      <t>ノコ</t>
    </rPh>
    <phoneticPr fontId="4"/>
  </si>
  <si>
    <t>賀光　良太</t>
    <phoneticPr fontId="4"/>
  </si>
  <si>
    <t>マスター　１ヶ月</t>
    <phoneticPr fontId="4"/>
  </si>
  <si>
    <t>新名　清澄</t>
    <phoneticPr fontId="4"/>
  </si>
  <si>
    <t>DR The ATTAS V2 4 S</t>
    <phoneticPr fontId="4"/>
  </si>
  <si>
    <t>FW ATTAS EZ 3 5 0 75S</t>
    <phoneticPr fontId="4"/>
  </si>
  <si>
    <t>金券　4000円分使用？</t>
    <rPh sb="0" eb="2">
      <t>キンケン</t>
    </rPh>
    <rPh sb="7" eb="9">
      <t>エンブン</t>
    </rPh>
    <rPh sb="9" eb="11">
      <t>シヨウ</t>
    </rPh>
    <phoneticPr fontId="4"/>
  </si>
  <si>
    <t>55分(ビジター)</t>
    <phoneticPr fontId="4"/>
  </si>
  <si>
    <t>DR DIAMOND SPEEDER 4 R</t>
    <phoneticPr fontId="4"/>
  </si>
  <si>
    <t>55分(メンバー)</t>
    <phoneticPr fontId="4"/>
  </si>
  <si>
    <t>DR DARKSPEED MAX 10.5°</t>
    <phoneticPr fontId="4"/>
  </si>
  <si>
    <t>FW Natural 9 ROSSO 26</t>
    <phoneticPr fontId="4"/>
  </si>
  <si>
    <t>DR WD-01 FLEX 27</t>
    <phoneticPr fontId="4"/>
  </si>
  <si>
    <t>REVE</t>
    <phoneticPr fontId="4"/>
  </si>
  <si>
    <t>DR PARADYM Ai SMOKE Ti 340 MINI 13.5°</t>
    <phoneticPr fontId="4"/>
  </si>
  <si>
    <t>DR SPD NX BLACK 40 R</t>
    <phoneticPr fontId="4"/>
  </si>
  <si>
    <t>住地ゴルフご紹介 LINEクーポン500円引</t>
    <rPh sb="0" eb="2">
      <t>ジュウチ</t>
    </rPh>
    <rPh sb="6" eb="8">
      <t>ショウカイ</t>
    </rPh>
    <phoneticPr fontId="4"/>
  </si>
  <si>
    <t>KBS</t>
    <phoneticPr fontId="4"/>
  </si>
  <si>
    <t>CADERO</t>
    <phoneticPr fontId="4"/>
  </si>
  <si>
    <t>レギュラー　１ヶ月</t>
    <phoneticPr fontId="4"/>
  </si>
  <si>
    <t>三浦　夕奈</t>
    <phoneticPr fontId="4"/>
  </si>
  <si>
    <t>UT AIR SPEEDER UT PLUS 黒</t>
    <phoneticPr fontId="4"/>
  </si>
  <si>
    <t>FW LEXIA L series 4R</t>
    <phoneticPr fontId="4"/>
  </si>
  <si>
    <t>25cm 白 左</t>
    <phoneticPr fontId="4"/>
  </si>
  <si>
    <t>河村　誠司</t>
    <phoneticPr fontId="4"/>
  </si>
  <si>
    <t>吉本　翔吾</t>
    <phoneticPr fontId="4"/>
  </si>
  <si>
    <t>クラブ</t>
    <phoneticPr fontId="4"/>
  </si>
  <si>
    <t>ウェッジ SM10 60° バンス8°Mグラインド</t>
    <phoneticPr fontId="4"/>
  </si>
  <si>
    <t>GeRON #N1 マリンブルー</t>
    <phoneticPr fontId="4"/>
  </si>
  <si>
    <t>全天候型 21cm 白</t>
    <rPh sb="0" eb="4">
      <t>ゼンテンコウガタ</t>
    </rPh>
    <rPh sb="10" eb="11">
      <t>シロ</t>
    </rPh>
    <phoneticPr fontId="4"/>
  </si>
  <si>
    <t>TOUR TEE</t>
  </si>
  <si>
    <t>スティングレーM58</t>
  </si>
  <si>
    <t>グラファイトデザイン</t>
    <phoneticPr fontId="4"/>
  </si>
  <si>
    <t>2024年10月8日の参加料</t>
    <rPh sb="4" eb="5">
      <t>ネン</t>
    </rPh>
    <rPh sb="7" eb="8">
      <t>ガツ</t>
    </rPh>
    <rPh sb="9" eb="10">
      <t>ニチ</t>
    </rPh>
    <rPh sb="11" eb="14">
      <t>サンカリョウ</t>
    </rPh>
    <phoneticPr fontId="4"/>
  </si>
  <si>
    <t>再来(2024.7.4)</t>
    <rPh sb="0" eb="2">
      <t>サイライ</t>
    </rPh>
    <phoneticPr fontId="4"/>
  </si>
  <si>
    <t>野村　一貴</t>
    <rPh sb="0" eb="2">
      <t>ノムラ</t>
    </rPh>
    <rPh sb="3" eb="5">
      <t>カズキ</t>
    </rPh>
    <phoneticPr fontId="4"/>
  </si>
  <si>
    <t>松尾　裕之</t>
    <rPh sb="0" eb="2">
      <t>マツオ</t>
    </rPh>
    <rPh sb="3" eb="5">
      <t>ヒロユキ</t>
    </rPh>
    <phoneticPr fontId="4"/>
  </si>
  <si>
    <t>DR DARLSPEED LS 9.0°</t>
    <phoneticPr fontId="4"/>
  </si>
  <si>
    <t>IR MAX 80 38.0inch S</t>
    <phoneticPr fontId="4"/>
  </si>
  <si>
    <t>Tour velvet 無</t>
    <rPh sb="12" eb="13">
      <t>ナシ</t>
    </rPh>
    <phoneticPr fontId="4"/>
  </si>
  <si>
    <t>DR Natural 9 NERO 27</t>
    <phoneticPr fontId="4"/>
  </si>
  <si>
    <t>FW Natural 9 NERO 27</t>
    <phoneticPr fontId="4"/>
  </si>
  <si>
    <t>X-evolution ブルー 無</t>
    <rPh sb="16" eb="17">
      <t>ナシ</t>
    </rPh>
    <phoneticPr fontId="4"/>
  </si>
  <si>
    <t>再来(2024.9.7)</t>
    <rPh sb="0" eb="2">
      <t>サイライ</t>
    </rPh>
    <phoneticPr fontId="4"/>
  </si>
  <si>
    <t>再来(2023.6/26)</t>
    <rPh sb="0" eb="2">
      <t>サイライ</t>
    </rPh>
    <phoneticPr fontId="4"/>
  </si>
  <si>
    <t>Tour velvet 有</t>
    <rPh sb="12" eb="13">
      <t>アリ</t>
    </rPh>
    <phoneticPr fontId="4"/>
  </si>
  <si>
    <t>TOUR SOFT 緑</t>
    <rPh sb="10" eb="11">
      <t>ミドリ</t>
    </rPh>
    <phoneticPr fontId="4"/>
  </si>
  <si>
    <t>VELOCITY 黄色</t>
    <rPh sb="9" eb="11">
      <t>キイロ</t>
    </rPh>
    <phoneticPr fontId="4"/>
  </si>
  <si>
    <t>レギュラー　0.5ケ月</t>
    <phoneticPr fontId="4"/>
  </si>
  <si>
    <t>谷後　衣花</t>
    <rPh sb="0" eb="2">
      <t>タニゴ</t>
    </rPh>
    <rPh sb="3" eb="4">
      <t>コロモ</t>
    </rPh>
    <rPh sb="4" eb="5">
      <t>ハナ</t>
    </rPh>
    <phoneticPr fontId="4"/>
  </si>
  <si>
    <t>UT Tour AD U-65 S</t>
    <phoneticPr fontId="4"/>
  </si>
  <si>
    <t>UT Tour AD DI-95 S</t>
    <phoneticPr fontId="4"/>
  </si>
  <si>
    <t>忠海　雅一</t>
    <rPh sb="0" eb="1">
      <t>タダシ</t>
    </rPh>
    <rPh sb="1" eb="2">
      <t>ウミ</t>
    </rPh>
    <rPh sb="3" eb="5">
      <t>マサカズ</t>
    </rPh>
    <phoneticPr fontId="4"/>
  </si>
  <si>
    <t>勝村　孟典</t>
    <rPh sb="0" eb="2">
      <t>カツムラ</t>
    </rPh>
    <rPh sb="3" eb="5">
      <t>タケノリ</t>
    </rPh>
    <phoneticPr fontId="4"/>
  </si>
  <si>
    <t>レギュラー　0.25ケ月</t>
    <phoneticPr fontId="4"/>
  </si>
  <si>
    <t>super stroke</t>
    <phoneticPr fontId="4"/>
  </si>
  <si>
    <t>ZENERGY TOUR 3.0 ブルー/ホワイト</t>
    <phoneticPr fontId="4"/>
  </si>
  <si>
    <t>呉　丁南</t>
    <rPh sb="0" eb="1">
      <t>クレ</t>
    </rPh>
    <rPh sb="2" eb="3">
      <t>チョウ</t>
    </rPh>
    <rPh sb="3" eb="4">
      <t>ミナミ</t>
    </rPh>
    <phoneticPr fontId="4"/>
  </si>
  <si>
    <t>三宅　亜季</t>
    <rPh sb="0" eb="2">
      <t>ミヤケ</t>
    </rPh>
    <rPh sb="3" eb="5">
      <t>アキ</t>
    </rPh>
    <phoneticPr fontId="4"/>
  </si>
  <si>
    <t>まとめてお支払い</t>
    <rPh sb="5" eb="7">
      <t>シハラ</t>
    </rPh>
    <phoneticPr fontId="4"/>
  </si>
  <si>
    <t>I-Classic Putter ブラック</t>
    <phoneticPr fontId="4"/>
  </si>
  <si>
    <t>Pro V1 白</t>
    <rPh sb="7" eb="8">
      <t>シロ</t>
    </rPh>
    <phoneticPr fontId="4"/>
  </si>
  <si>
    <t>LEFTDASH</t>
    <phoneticPr fontId="4"/>
  </si>
  <si>
    <t>会員様ではないが、間違えて会員様価格の料金にした</t>
    <rPh sb="0" eb="3">
      <t>カイインサマ</t>
    </rPh>
    <rPh sb="9" eb="11">
      <t>マチガ</t>
    </rPh>
    <rPh sb="13" eb="18">
      <t>カイインサマカカク</t>
    </rPh>
    <rPh sb="19" eb="21">
      <t>リョウキン</t>
    </rPh>
    <phoneticPr fontId="4"/>
  </si>
  <si>
    <t>LINEクーポン500円引ですが、間違えてカスタム割引にした</t>
    <rPh sb="11" eb="12">
      <t>エン</t>
    </rPh>
    <rPh sb="12" eb="13">
      <t>イン</t>
    </rPh>
    <rPh sb="17" eb="19">
      <t>マチガ</t>
    </rPh>
    <rPh sb="25" eb="27">
      <t>ワリビキ</t>
    </rPh>
    <phoneticPr fontId="4"/>
  </si>
  <si>
    <t>再来(2023/10/30)</t>
    <rPh sb="0" eb="2">
      <t>サイライ</t>
    </rPh>
    <phoneticPr fontId="4"/>
  </si>
  <si>
    <t>再来(2024.07.04)</t>
    <rPh sb="0" eb="2">
      <t>サイライ</t>
    </rPh>
    <phoneticPr fontId="4"/>
  </si>
  <si>
    <t>DR REVER ASSAULT ATTACK 50X 青色</t>
    <rPh sb="28" eb="30">
      <t>アオイロ</t>
    </rPh>
    <phoneticPr fontId="4"/>
  </si>
  <si>
    <t>iX touch 2.0 ブラック×スカイブルー 有</t>
    <rPh sb="25" eb="26">
      <t>アリ</t>
    </rPh>
    <phoneticPr fontId="4"/>
  </si>
  <si>
    <t>Waoww</t>
    <phoneticPr fontId="4"/>
  </si>
  <si>
    <t>DR BANG 11°</t>
    <phoneticPr fontId="4"/>
  </si>
  <si>
    <t>DR ATTAS COOOL 4 X</t>
    <phoneticPr fontId="4"/>
  </si>
  <si>
    <t>MCC +4 ALIGN ミッドサイズ 有</t>
    <rPh sb="20" eb="21">
      <t>アリ</t>
    </rPh>
    <phoneticPr fontId="4"/>
  </si>
  <si>
    <t>再来(2020.7.19)</t>
    <rPh sb="0" eb="2">
      <t>サイライ</t>
    </rPh>
    <phoneticPr fontId="4"/>
  </si>
  <si>
    <t>赤松　理充</t>
    <rPh sb="0" eb="2">
      <t>アカマツ</t>
    </rPh>
    <rPh sb="3" eb="4">
      <t>リ</t>
    </rPh>
    <rPh sb="4" eb="5">
      <t>ミツ</t>
    </rPh>
    <phoneticPr fontId="4"/>
  </si>
  <si>
    <t>販売</t>
    <rPh sb="0" eb="2">
      <t>ハンバイ</t>
    </rPh>
    <phoneticPr fontId="4"/>
  </si>
  <si>
    <t>Arch</t>
    <phoneticPr fontId="4"/>
  </si>
  <si>
    <t>DR Natural 9 ROSSO 24</t>
    <phoneticPr fontId="4"/>
  </si>
  <si>
    <t>ヘッド</t>
    <phoneticPr fontId="4"/>
  </si>
  <si>
    <t>Waoww</t>
    <phoneticPr fontId="4"/>
  </si>
  <si>
    <t>BANG 11°</t>
    <phoneticPr fontId="4"/>
  </si>
  <si>
    <t>sticky evolution 2.3 無 ブルー</t>
    <rPh sb="21" eb="22">
      <t>ナシ</t>
    </rPh>
    <phoneticPr fontId="4"/>
  </si>
  <si>
    <t>sticky evolution 2.3 無 コーラルレッド</t>
    <rPh sb="21" eb="22">
      <t>ナシ</t>
    </rPh>
    <phoneticPr fontId="4"/>
  </si>
  <si>
    <t>振込</t>
    <rPh sb="0" eb="2">
      <t>フリコミ</t>
    </rPh>
    <phoneticPr fontId="4"/>
  </si>
  <si>
    <t>Pro V1x 白</t>
    <rPh sb="8" eb="9">
      <t>シロ</t>
    </rPh>
    <phoneticPr fontId="4"/>
  </si>
  <si>
    <t>児玉　桃</t>
    <rPh sb="0" eb="2">
      <t>コダマ</t>
    </rPh>
    <rPh sb="3" eb="4">
      <t>モモ</t>
    </rPh>
    <phoneticPr fontId="4"/>
  </si>
  <si>
    <t>55分(ビジター)</t>
    <phoneticPr fontId="4"/>
  </si>
  <si>
    <t>現金</t>
    <rPh sb="0" eb="2">
      <t>ゲンキン</t>
    </rPh>
    <phoneticPr fontId="4"/>
  </si>
  <si>
    <t>児玉　武史</t>
    <rPh sb="0" eb="2">
      <t>コダマ</t>
    </rPh>
    <rPh sb="3" eb="5">
      <t>タケシ</t>
    </rPh>
    <phoneticPr fontId="4"/>
  </si>
  <si>
    <t>修理</t>
    <rPh sb="0" eb="2">
      <t>シュウリ</t>
    </rPh>
    <phoneticPr fontId="4"/>
  </si>
  <si>
    <t>チケット　1ケ月</t>
    <phoneticPr fontId="4"/>
  </si>
  <si>
    <t>iXx cord 2.3 ブラック×ブルー 有</t>
    <rPh sb="22" eb="23">
      <t>アリ</t>
    </rPh>
    <phoneticPr fontId="4"/>
  </si>
  <si>
    <t>IR ゼロス 7 35inch</t>
    <phoneticPr fontId="4"/>
  </si>
  <si>
    <t>Y360S XT マリンブルー 有</t>
    <rPh sb="16" eb="17">
      <t>アリ</t>
    </rPh>
    <phoneticPr fontId="4"/>
  </si>
  <si>
    <t>スコッティキャメロン 修理費</t>
    <rPh sb="11" eb="14">
      <t>シュウリヒ</t>
    </rPh>
    <phoneticPr fontId="4"/>
  </si>
  <si>
    <t>ヤマト運輸</t>
    <rPh sb="3" eb="5">
      <t>ウンユ</t>
    </rPh>
    <phoneticPr fontId="4"/>
  </si>
  <si>
    <t>藤島　一廣</t>
    <rPh sb="0" eb="2">
      <t>フジシマ</t>
    </rPh>
    <rPh sb="3" eb="5">
      <t>カズヒロ</t>
    </rPh>
    <phoneticPr fontId="4"/>
  </si>
  <si>
    <t>川口　昌彦</t>
    <rPh sb="0" eb="2">
      <t>カワグチ</t>
    </rPh>
    <rPh sb="3" eb="4">
      <t>マサ</t>
    </rPh>
    <rPh sb="4" eb="5">
      <t>ヒコ</t>
    </rPh>
    <phoneticPr fontId="4"/>
  </si>
  <si>
    <t>UT ATTAS EZ 350 85S</t>
    <phoneticPr fontId="4"/>
  </si>
  <si>
    <t>DR Diamana BB 63 SR</t>
    <phoneticPr fontId="4"/>
  </si>
  <si>
    <t>DR BANG 10°</t>
    <phoneticPr fontId="4"/>
  </si>
  <si>
    <t>UT G430 #5</t>
    <phoneticPr fontId="4"/>
  </si>
  <si>
    <t>田中　弘章</t>
    <rPh sb="0" eb="2">
      <t>タナカ</t>
    </rPh>
    <rPh sb="3" eb="4">
      <t>ヒロ</t>
    </rPh>
    <rPh sb="4" eb="5">
      <t>ショウ</t>
    </rPh>
    <phoneticPr fontId="4"/>
  </si>
  <si>
    <t>古川プロ</t>
    <rPh sb="0" eb="2">
      <t>フルカワ</t>
    </rPh>
    <phoneticPr fontId="4"/>
  </si>
  <si>
    <t>販売</t>
    <rPh sb="0" eb="2">
      <t>ハンバイ</t>
    </rPh>
    <phoneticPr fontId="4"/>
  </si>
  <si>
    <t>ZERO FIT</t>
    <phoneticPr fontId="4"/>
  </si>
  <si>
    <t>20cm 右 黒</t>
    <rPh sb="5" eb="6">
      <t>ミギ</t>
    </rPh>
    <rPh sb="7" eb="8">
      <t>クロ</t>
    </rPh>
    <phoneticPr fontId="4"/>
  </si>
  <si>
    <t>現金</t>
    <rPh sb="0" eb="2">
      <t>ゲンキン</t>
    </rPh>
    <phoneticPr fontId="4"/>
  </si>
  <si>
    <t>藤島　一廣</t>
    <phoneticPr fontId="4"/>
  </si>
  <si>
    <t>DR VENTUS TR RD 5 S</t>
    <phoneticPr fontId="4"/>
  </si>
  <si>
    <t>DR用</t>
    <rPh sb="2" eb="3">
      <t>ヨウ</t>
    </rPh>
    <phoneticPr fontId="4"/>
  </si>
  <si>
    <t>IOMIC</t>
    <phoneticPr fontId="4"/>
  </si>
  <si>
    <t>X-evolution コーラルレッド 無</t>
    <phoneticPr fontId="4"/>
  </si>
  <si>
    <t>藤田プロ</t>
    <rPh sb="0" eb="2">
      <t>フジタ</t>
    </rPh>
    <phoneticPr fontId="4"/>
  </si>
  <si>
    <t>福本　優子</t>
    <rPh sb="0" eb="2">
      <t>フクモト</t>
    </rPh>
    <rPh sb="3" eb="5">
      <t>ユウコ</t>
    </rPh>
    <phoneticPr fontId="4"/>
  </si>
  <si>
    <t>55分(ビジター)</t>
    <phoneticPr fontId="4"/>
  </si>
  <si>
    <t>浅尾　雅子</t>
    <rPh sb="0" eb="2">
      <t>アサオ</t>
    </rPh>
    <rPh sb="3" eb="5">
      <t>マサコ</t>
    </rPh>
    <phoneticPr fontId="4"/>
  </si>
  <si>
    <t>販売</t>
    <rPh sb="0" eb="2">
      <t>ハンバイ</t>
    </rPh>
    <phoneticPr fontId="4"/>
  </si>
  <si>
    <t>IOMIC</t>
    <phoneticPr fontId="4"/>
  </si>
  <si>
    <t>sticky lady's ミルキーピンク 有</t>
    <rPh sb="22" eb="23">
      <t>アリ</t>
    </rPh>
    <phoneticPr fontId="4"/>
  </si>
  <si>
    <t>mimic 1.5 レモンイエロー×ピンク 有</t>
    <rPh sb="22" eb="23">
      <t>アリ</t>
    </rPh>
    <phoneticPr fontId="4"/>
  </si>
  <si>
    <t>PRO V1x 白</t>
    <rPh sb="8" eb="9">
      <t>シロ</t>
    </rPh>
    <phoneticPr fontId="4"/>
  </si>
  <si>
    <t>スリクソン</t>
    <phoneticPr fontId="4"/>
  </si>
  <si>
    <t>Z-SART XV 白</t>
    <rPh sb="10" eb="11">
      <t>シロ</t>
    </rPh>
    <phoneticPr fontId="4"/>
  </si>
  <si>
    <t>TOUR B X 白</t>
    <rPh sb="9" eb="10">
      <t>シロ</t>
    </rPh>
    <phoneticPr fontId="4"/>
  </si>
  <si>
    <t>Sticky1.8 super light ブラック</t>
  </si>
  <si>
    <t>休会手数料</t>
  </si>
  <si>
    <t>2024年11月5日の参加料</t>
    <rPh sb="4" eb="5">
      <t>ネン</t>
    </rPh>
    <rPh sb="7" eb="8">
      <t>ガツ</t>
    </rPh>
    <rPh sb="9" eb="10">
      <t>ニチ</t>
    </rPh>
    <rPh sb="11" eb="14">
      <t>サンカリョウ</t>
    </rPh>
    <phoneticPr fontId="4"/>
  </si>
  <si>
    <t>2024年10月8日の参加料</t>
    <phoneticPr fontId="4"/>
  </si>
  <si>
    <t>福山　英次</t>
    <rPh sb="0" eb="2">
      <t>フクヤマ</t>
    </rPh>
    <rPh sb="3" eb="5">
      <t>ヒデツグ</t>
    </rPh>
    <phoneticPr fontId="4"/>
  </si>
  <si>
    <t>福山洋子様の分もお支払い</t>
    <rPh sb="0" eb="2">
      <t>フクヤマ</t>
    </rPh>
    <rPh sb="2" eb="4">
      <t>ヨウコ</t>
    </rPh>
    <rPh sb="4" eb="5">
      <t>サマ</t>
    </rPh>
    <rPh sb="6" eb="7">
      <t>ブン</t>
    </rPh>
    <rPh sb="9" eb="11">
      <t>シハラ</t>
    </rPh>
    <phoneticPr fontId="4"/>
  </si>
  <si>
    <t>ヤウ カ ワイ</t>
    <phoneticPr fontId="4"/>
  </si>
  <si>
    <t>清水　謙次</t>
    <rPh sb="0" eb="2">
      <t>シミズ</t>
    </rPh>
    <rPh sb="3" eb="5">
      <t>ケンジ</t>
    </rPh>
    <phoneticPr fontId="4"/>
  </si>
  <si>
    <t>本田　貴司</t>
    <rPh sb="0" eb="2">
      <t>ホンダ</t>
    </rPh>
    <rPh sb="3" eb="4">
      <t>タカシ</t>
    </rPh>
    <rPh sb="4" eb="5">
      <t>ツカサ</t>
    </rPh>
    <phoneticPr fontId="4"/>
  </si>
  <si>
    <t>新里　和哉</t>
    <rPh sb="0" eb="2">
      <t>シンザト</t>
    </rPh>
    <rPh sb="3" eb="5">
      <t>カズヤ</t>
    </rPh>
    <phoneticPr fontId="4"/>
  </si>
  <si>
    <t>藤井　浩二</t>
    <rPh sb="0" eb="2">
      <t>フジイ</t>
    </rPh>
    <rPh sb="3" eb="5">
      <t>コウジ</t>
    </rPh>
    <phoneticPr fontId="4"/>
  </si>
  <si>
    <t>宮崎　聖子</t>
    <rPh sb="0" eb="2">
      <t>ミヤザキ</t>
    </rPh>
    <rPh sb="3" eb="5">
      <t>セイコ</t>
    </rPh>
    <phoneticPr fontId="4"/>
  </si>
  <si>
    <t>19cm 左 白</t>
    <rPh sb="5" eb="6">
      <t>ヒダリ</t>
    </rPh>
    <rPh sb="7" eb="8">
      <t>シロ</t>
    </rPh>
    <phoneticPr fontId="4"/>
  </si>
  <si>
    <t>小脇　謙治</t>
    <rPh sb="0" eb="2">
      <t>コワキ</t>
    </rPh>
    <rPh sb="3" eb="5">
      <t>ケンジ</t>
    </rPh>
    <phoneticPr fontId="4"/>
  </si>
  <si>
    <t>Xホールド ブラックラバー レッド 有</t>
    <rPh sb="18" eb="19">
      <t>アリ</t>
    </rPh>
    <phoneticPr fontId="4"/>
  </si>
  <si>
    <t>福島　一輝</t>
    <rPh sb="0" eb="2">
      <t>フクシマ</t>
    </rPh>
    <rPh sb="3" eb="5">
      <t>カズキ</t>
    </rPh>
    <phoneticPr fontId="4"/>
  </si>
  <si>
    <t>亀井　義則</t>
    <rPh sb="0" eb="2">
      <t>カメイ</t>
    </rPh>
    <rPh sb="3" eb="5">
      <t>ヨシノリ</t>
    </rPh>
    <phoneticPr fontId="4"/>
  </si>
  <si>
    <t>IR MCI プラスティック プラス パープル</t>
    <phoneticPr fontId="4"/>
  </si>
  <si>
    <t>ヘッド</t>
    <phoneticPr fontId="4"/>
  </si>
  <si>
    <t>クアトロ β #7</t>
    <phoneticPr fontId="4"/>
  </si>
  <si>
    <t>奥田　健介</t>
    <rPh sb="0" eb="2">
      <t>オクダ</t>
    </rPh>
    <rPh sb="3" eb="5">
      <t>ケンスケ</t>
    </rPh>
    <phoneticPr fontId="4"/>
  </si>
  <si>
    <t>前田　實</t>
    <rPh sb="0" eb="2">
      <t>マエダ</t>
    </rPh>
    <rPh sb="3" eb="4">
      <t>ミノル</t>
    </rPh>
    <phoneticPr fontId="4"/>
  </si>
  <si>
    <t>向谷</t>
    <rPh sb="0" eb="1">
      <t>ム</t>
    </rPh>
    <phoneticPr fontId="4"/>
  </si>
  <si>
    <t>TOUR ABILITY TRAVIL 95 S</t>
    <phoneticPr fontId="4"/>
  </si>
  <si>
    <t>LTC i-Xx1.8 M60 コーラルレッド 無</t>
    <rPh sb="24" eb="25">
      <t>ナシ</t>
    </rPh>
    <phoneticPr fontId="4"/>
  </si>
  <si>
    <t>DR TOUR AD VF 40 S</t>
    <phoneticPr fontId="4"/>
  </si>
  <si>
    <t>DR SELESTE 25</t>
    <phoneticPr fontId="4"/>
  </si>
  <si>
    <t>Waoww BANG 10°</t>
    <phoneticPr fontId="4"/>
  </si>
  <si>
    <t>販売</t>
    <rPh sb="0" eb="2">
      <t>ハンバイ</t>
    </rPh>
    <phoneticPr fontId="4"/>
  </si>
  <si>
    <t>シンカグラファイト</t>
    <phoneticPr fontId="4"/>
  </si>
  <si>
    <t>DR Zinger 4 黒</t>
    <rPh sb="12" eb="13">
      <t>クロ</t>
    </rPh>
    <phoneticPr fontId="4"/>
  </si>
  <si>
    <t>キャロウェイ</t>
    <phoneticPr fontId="4"/>
  </si>
  <si>
    <t>DR用</t>
    <rPh sb="2" eb="3">
      <t>ヨウ</t>
    </rPh>
    <phoneticPr fontId="4"/>
  </si>
  <si>
    <t>TOUR VELVET 無</t>
    <rPh sb="12" eb="13">
      <t>ナシ</t>
    </rPh>
    <phoneticPr fontId="4"/>
  </si>
  <si>
    <t>TOUR SOFT 白</t>
    <rPh sb="10" eb="11">
      <t>シロ</t>
    </rPh>
    <phoneticPr fontId="4"/>
  </si>
  <si>
    <t>現金</t>
    <rPh sb="0" eb="2">
      <t>ゲンキン</t>
    </rPh>
    <phoneticPr fontId="4"/>
  </si>
  <si>
    <t>古賀　優実</t>
    <rPh sb="0" eb="2">
      <t>コガ</t>
    </rPh>
    <rPh sb="3" eb="4">
      <t>ヤサ</t>
    </rPh>
    <rPh sb="4" eb="5">
      <t>ジツ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</si>
  <si>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</si>
  <si>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</si>
  <si>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VELOCITY 白</t>
    <rPh sb="9" eb="10">
      <t>シロ</t>
    </rPh>
    <phoneticPr fontId="4"/>
  </si>
  <si>
    <t>田中　厳至</t>
    <rPh sb="0" eb="2">
      <t>タナカ</t>
    </rPh>
    <rPh sb="3" eb="4">
      <t>キビ</t>
    </rPh>
    <rPh sb="4" eb="5">
      <t>イタル</t>
    </rPh>
    <phoneticPr fontId="4"/>
  </si>
  <si>
    <t>55分(ビジター)</t>
    <phoneticPr fontId="4"/>
  </si>
  <si>
    <t>DR TENSEI Pro White 1K 50X</t>
    <phoneticPr fontId="4"/>
  </si>
  <si>
    <t>ヘッド</t>
    <phoneticPr fontId="4"/>
  </si>
  <si>
    <t>PING</t>
    <phoneticPr fontId="4"/>
  </si>
  <si>
    <t>DR G430 LST 9°</t>
    <phoneticPr fontId="4"/>
  </si>
  <si>
    <t>TOUR VELVET PLUS4 スタンダード 無</t>
    <rPh sb="25" eb="26">
      <t>ナシ</t>
    </rPh>
    <phoneticPr fontId="4"/>
  </si>
  <si>
    <t>FW LEXIA L series 6S</t>
    <phoneticPr fontId="4"/>
  </si>
  <si>
    <t>現金</t>
    <rPh sb="0" eb="2">
      <t>ゲンキン</t>
    </rPh>
    <phoneticPr fontId="4"/>
  </si>
  <si>
    <t>2024年11月11日の参加料</t>
    <rPh sb="4" eb="5">
      <t>ネン</t>
    </rPh>
    <rPh sb="7" eb="8">
      <t>ガツ</t>
    </rPh>
    <rPh sb="10" eb="11">
      <t>ニチ</t>
    </rPh>
    <rPh sb="12" eb="15">
      <t>サンカリョウ</t>
    </rPh>
    <phoneticPr fontId="4"/>
  </si>
  <si>
    <t>55分(ビジター)</t>
    <phoneticPr fontId="4"/>
  </si>
  <si>
    <t>販売</t>
    <rPh sb="0" eb="2">
      <t>ハンバイ</t>
    </rPh>
    <phoneticPr fontId="4"/>
  </si>
  <si>
    <t>Arch</t>
    <phoneticPr fontId="4"/>
  </si>
  <si>
    <t>FW Natural 9 ROSSO 24</t>
    <phoneticPr fontId="4"/>
  </si>
  <si>
    <t>UT U T M F8</t>
    <phoneticPr fontId="4"/>
  </si>
  <si>
    <t>IOMIC</t>
    <phoneticPr fontId="4"/>
  </si>
  <si>
    <t>LTC i-Xx1.8 M60 ライトブルー 有</t>
    <rPh sb="23" eb="24">
      <t>アリ</t>
    </rPh>
    <phoneticPr fontId="4"/>
  </si>
  <si>
    <t>ヘッド</t>
    <phoneticPr fontId="4"/>
  </si>
  <si>
    <t>Waoww</t>
    <phoneticPr fontId="4"/>
  </si>
  <si>
    <t>DR BANG 10°</t>
    <phoneticPr fontId="4"/>
  </si>
  <si>
    <t>20周年記念 iX touch 有 13本セット</t>
    <rPh sb="16" eb="17">
      <t>アリ</t>
    </rPh>
    <rPh sb="20" eb="21">
      <t>ホン</t>
    </rPh>
    <phoneticPr fontId="4"/>
  </si>
  <si>
    <t>DR BANG 11°</t>
    <phoneticPr fontId="4"/>
  </si>
  <si>
    <t>山本　鐘徳</t>
    <rPh sb="0" eb="2">
      <t>ヤマモト</t>
    </rPh>
    <rPh sb="3" eb="4">
      <t>ショウ</t>
    </rPh>
    <rPh sb="4" eb="5">
      <t>トク</t>
    </rPh>
    <phoneticPr fontId="4"/>
  </si>
  <si>
    <t>IX touch オレンジ 有</t>
    <rPh sb="14" eb="15">
      <t>アリ</t>
    </rPh>
    <phoneticPr fontId="4"/>
  </si>
  <si>
    <t>笠原　滉基</t>
    <phoneticPr fontId="4"/>
  </si>
  <si>
    <t>澤田　規晶</t>
    <rPh sb="0" eb="2">
      <t>サワダ</t>
    </rPh>
    <rPh sb="3" eb="4">
      <t>キ</t>
    </rPh>
    <rPh sb="4" eb="5">
      <t>アキラ</t>
    </rPh>
    <phoneticPr fontId="4"/>
  </si>
  <si>
    <t>DR SELESTE 26</t>
    <phoneticPr fontId="4"/>
  </si>
  <si>
    <t>澤田　とし子</t>
    <rPh sb="0" eb="2">
      <t>サワダ</t>
    </rPh>
    <rPh sb="5" eb="6">
      <t>コ</t>
    </rPh>
    <phoneticPr fontId="4"/>
  </si>
  <si>
    <t>再来(2024.10.2)</t>
    <phoneticPr fontId="4"/>
  </si>
  <si>
    <t>再来(2023.4.20)</t>
    <rPh sb="0" eb="2">
      <t>サイライ</t>
    </rPh>
    <phoneticPr fontId="4"/>
  </si>
  <si>
    <t>再来(2020.12.24)</t>
    <phoneticPr fontId="4"/>
  </si>
  <si>
    <t>再来(2024.2.1)</t>
    <phoneticPr fontId="4"/>
  </si>
  <si>
    <t>11月17日\1,320現金で返金</t>
    <rPh sb="2" eb="3">
      <t>ガツ</t>
    </rPh>
    <rPh sb="5" eb="6">
      <t>ニチ</t>
    </rPh>
    <rPh sb="12" eb="14">
      <t>ゲンキン</t>
    </rPh>
    <rPh sb="15" eb="17">
      <t>ヘンキン</t>
    </rPh>
    <phoneticPr fontId="4"/>
  </si>
  <si>
    <t>AirレジではArchのシャフトになっているが、LEXIAが【正】
\2,310現金で返金</t>
    <rPh sb="31" eb="32">
      <t>タダ</t>
    </rPh>
    <rPh sb="40" eb="42">
      <t>ゲンキン</t>
    </rPh>
    <rPh sb="43" eb="45">
      <t>ヘンキン</t>
    </rPh>
    <phoneticPr fontId="4"/>
  </si>
  <si>
    <t>山本　鐘徳</t>
    <rPh sb="0" eb="2">
      <t>ヤマモト</t>
    </rPh>
    <rPh sb="3" eb="5">
      <t>ショウトク</t>
    </rPh>
    <phoneticPr fontId="4"/>
  </si>
  <si>
    <t>販売</t>
    <rPh sb="0" eb="2">
      <t>ハンバイ</t>
    </rPh>
    <phoneticPr fontId="4"/>
  </si>
  <si>
    <t>練習器具</t>
    <rPh sb="0" eb="4">
      <t>レンシュウキグ</t>
    </rPh>
    <phoneticPr fontId="4"/>
  </si>
  <si>
    <t>三角先生</t>
    <rPh sb="0" eb="4">
      <t>サンカクセンセイ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</si>
  <si>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</si>
  <si>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</si>
  <si>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ヘッド</t>
    <phoneticPr fontId="4"/>
  </si>
  <si>
    <t>Waoww</t>
    <phoneticPr fontId="4"/>
  </si>
  <si>
    <t>IOMIC</t>
    <phoneticPr fontId="4"/>
  </si>
  <si>
    <t>Sticky Ultra Light 1.0 ミルキーピンク (有)</t>
    <phoneticPr fontId="4"/>
  </si>
  <si>
    <t>古川プロ</t>
    <rPh sb="0" eb="2">
      <t>フルカワ</t>
    </rPh>
    <phoneticPr fontId="4"/>
  </si>
  <si>
    <t>藤田プロ</t>
    <rPh sb="0" eb="2">
      <t>フジタ</t>
    </rPh>
    <phoneticPr fontId="4"/>
  </si>
  <si>
    <t>販売</t>
    <rPh sb="0" eb="2">
      <t>ハンバイ</t>
    </rPh>
    <phoneticPr fontId="4"/>
  </si>
  <si>
    <t>Z-star XV 白</t>
    <rPh sb="10" eb="11">
      <t>シロ</t>
    </rPh>
    <phoneticPr fontId="4"/>
  </si>
  <si>
    <t>蔵本　治孝</t>
    <rPh sb="0" eb="2">
      <t>クラモト</t>
    </rPh>
    <rPh sb="3" eb="5">
      <t>ハルタカ</t>
    </rPh>
    <phoneticPr fontId="4"/>
  </si>
  <si>
    <t>現金</t>
    <rPh sb="0" eb="2">
      <t>ゲンキン</t>
    </rPh>
    <phoneticPr fontId="4"/>
  </si>
  <si>
    <t>奥田　健介</t>
    <rPh sb="0" eb="2">
      <t>オクダ</t>
    </rPh>
    <rPh sb="3" eb="5">
      <t>ケンスケ</t>
    </rPh>
    <phoneticPr fontId="4"/>
  </si>
  <si>
    <t>DR Zinger 4 黒</t>
    <rPh sb="12" eb="13">
      <t>クロ</t>
    </rPh>
    <phoneticPr fontId="4"/>
  </si>
  <si>
    <t>PING</t>
    <phoneticPr fontId="4"/>
  </si>
  <si>
    <t>DR用 G410</t>
    <rPh sb="2" eb="3">
      <t>ヨウ</t>
    </rPh>
    <phoneticPr fontId="4"/>
  </si>
  <si>
    <t>IOMIC</t>
    <phoneticPr fontId="4"/>
  </si>
  <si>
    <t>sticky soft 1.8 プラチナムグレー 有</t>
  </si>
  <si>
    <t>ZERO FIT</t>
    <phoneticPr fontId="4"/>
  </si>
  <si>
    <t>筒井　良一</t>
    <rPh sb="0" eb="2">
      <t>ツツイ</t>
    </rPh>
    <rPh sb="3" eb="5">
      <t>リョウイチ</t>
    </rPh>
    <phoneticPr fontId="4"/>
  </si>
  <si>
    <t>55分(ビジター)</t>
    <phoneticPr fontId="4"/>
  </si>
  <si>
    <t>REVE</t>
    <phoneticPr fontId="4"/>
  </si>
  <si>
    <t>DR RAVER ASSAULT ATTACK 50X 黒</t>
    <rPh sb="28" eb="29">
      <t>クロ</t>
    </rPh>
    <phoneticPr fontId="4"/>
  </si>
  <si>
    <t>TOUR VELVET 無</t>
    <rPh sb="12" eb="13">
      <t>ナシ</t>
    </rPh>
    <phoneticPr fontId="4"/>
  </si>
  <si>
    <t>大仲　世紘</t>
    <rPh sb="0" eb="2">
      <t>オオナカ</t>
    </rPh>
    <rPh sb="3" eb="4">
      <t>ヨ</t>
    </rPh>
    <rPh sb="4" eb="5">
      <t>ヒロ</t>
    </rPh>
    <phoneticPr fontId="4"/>
  </si>
  <si>
    <t>井殿プロ</t>
    <rPh sb="0" eb="2">
      <t>イドノ</t>
    </rPh>
    <phoneticPr fontId="4"/>
  </si>
  <si>
    <t>藤田プロ</t>
    <rPh sb="0" eb="2">
      <t>フジタ</t>
    </rPh>
    <phoneticPr fontId="4"/>
  </si>
  <si>
    <t>Arch</t>
    <phoneticPr fontId="4"/>
  </si>
  <si>
    <t>DR For Driver 164α-20</t>
    <phoneticPr fontId="4"/>
  </si>
  <si>
    <t>ヘッド</t>
    <phoneticPr fontId="4"/>
  </si>
  <si>
    <t>Waoww</t>
    <phoneticPr fontId="4"/>
  </si>
  <si>
    <t>DR BANG 11°</t>
    <phoneticPr fontId="4"/>
  </si>
  <si>
    <t>55分(メンバー)</t>
    <phoneticPr fontId="4"/>
  </si>
  <si>
    <t>DR DARKSPEED MAX WOMENS 12.0°</t>
    <phoneticPr fontId="4"/>
  </si>
  <si>
    <t>PRO V1 白</t>
    <phoneticPr fontId="4"/>
  </si>
  <si>
    <t>石橋　雅信</t>
    <rPh sb="0" eb="2">
      <t>イシバシ</t>
    </rPh>
    <rPh sb="3" eb="5">
      <t>マサノブ</t>
    </rPh>
    <phoneticPr fontId="4"/>
  </si>
  <si>
    <t>110分(ビジター)</t>
    <phoneticPr fontId="4"/>
  </si>
  <si>
    <t>販売</t>
    <rPh sb="0" eb="2">
      <t>ハンバイ</t>
    </rPh>
    <phoneticPr fontId="4"/>
  </si>
  <si>
    <t>DR PLATINUM SPEEDER 4S</t>
    <phoneticPr fontId="4"/>
  </si>
  <si>
    <t>Arch</t>
    <phoneticPr fontId="4"/>
  </si>
  <si>
    <t>FW WL-01-25</t>
    <phoneticPr fontId="4"/>
  </si>
  <si>
    <t>MCC+4 ALIGH STANDARD 有</t>
    <rPh sb="21" eb="22">
      <t>アリ</t>
    </rPh>
    <phoneticPr fontId="4"/>
  </si>
  <si>
    <t>藤田プロ</t>
    <rPh sb="0" eb="2">
      <t>フジタ</t>
    </rPh>
    <phoneticPr fontId="4"/>
  </si>
  <si>
    <t>前田　修</t>
    <rPh sb="0" eb="2">
      <t>マエダ</t>
    </rPh>
    <rPh sb="3" eb="4">
      <t>オサム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</si>
  <si>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</si>
  <si>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</si>
  <si>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TOUR VELVET 無</t>
    <rPh sb="12" eb="13">
      <t>ナシ</t>
    </rPh>
    <phoneticPr fontId="4"/>
  </si>
  <si>
    <t>コンポジットテクノ</t>
    <phoneticPr fontId="4"/>
  </si>
  <si>
    <t>DR Fire Express RR-B 4 SP</t>
    <phoneticPr fontId="4"/>
  </si>
  <si>
    <t>IOMIC</t>
    <phoneticPr fontId="4"/>
  </si>
  <si>
    <t>竹下　憲子</t>
    <rPh sb="0" eb="2">
      <t>タケシタ</t>
    </rPh>
    <rPh sb="3" eb="4">
      <t>ケン</t>
    </rPh>
    <rPh sb="4" eb="5">
      <t>コ</t>
    </rPh>
    <phoneticPr fontId="4"/>
  </si>
  <si>
    <t>PRO V1x 白 ダブルナンバー</t>
    <rPh sb="8" eb="9">
      <t>シロ</t>
    </rPh>
    <phoneticPr fontId="4"/>
  </si>
  <si>
    <t>TOUR Bx 白</t>
    <rPh sb="8" eb="9">
      <t>シロ</t>
    </rPh>
    <phoneticPr fontId="4"/>
  </si>
  <si>
    <t>志野さん</t>
    <rPh sb="0" eb="2">
      <t>シノ</t>
    </rPh>
    <phoneticPr fontId="4"/>
  </si>
  <si>
    <t>ヘッド</t>
    <phoneticPr fontId="4"/>
  </si>
  <si>
    <t>Waoww</t>
    <phoneticPr fontId="4"/>
  </si>
  <si>
    <t>DR BANG 11°</t>
    <phoneticPr fontId="4"/>
  </si>
  <si>
    <t>井殿プロ</t>
    <rPh sb="0" eb="2">
      <t>イドノ</t>
    </rPh>
    <phoneticPr fontId="4"/>
  </si>
  <si>
    <t>販売</t>
    <rPh sb="0" eb="2">
      <t>ハンバイ</t>
    </rPh>
    <phoneticPr fontId="4"/>
  </si>
  <si>
    <t>PRO V1x 白 ダブルナンバー</t>
    <rPh sb="8" eb="9">
      <t>シロ</t>
    </rPh>
    <phoneticPr fontId="4"/>
  </si>
  <si>
    <t>仕立　和博</t>
    <rPh sb="0" eb="2">
      <t>シタテ</t>
    </rPh>
    <rPh sb="3" eb="5">
      <t>カズヒロ</t>
    </rPh>
    <phoneticPr fontId="4"/>
  </si>
  <si>
    <t>55分(ビジター)</t>
    <phoneticPr fontId="4"/>
  </si>
  <si>
    <t>Arch</t>
    <phoneticPr fontId="4"/>
  </si>
  <si>
    <t>DR For Driver 164α-22</t>
    <phoneticPr fontId="4"/>
  </si>
  <si>
    <t>ヘッド</t>
    <phoneticPr fontId="4"/>
  </si>
  <si>
    <t>Waoww</t>
    <phoneticPr fontId="4"/>
  </si>
  <si>
    <t>DR Fire Express RR-B 4 SP</t>
  </si>
  <si>
    <t>廃盤商品の為、試打シャフトを販売したので差額の返金処理（11/25会計分より）</t>
    <rPh sb="0" eb="4">
      <t>ハイバンショウヒン</t>
    </rPh>
    <rPh sb="5" eb="6">
      <t>タメ</t>
    </rPh>
    <rPh sb="7" eb="9">
      <t>シダ</t>
    </rPh>
    <rPh sb="14" eb="16">
      <t>ハンバイ</t>
    </rPh>
    <rPh sb="20" eb="22">
      <t>サガク</t>
    </rPh>
    <rPh sb="23" eb="25">
      <t>ヘンキン</t>
    </rPh>
    <rPh sb="25" eb="27">
      <t>ショリ</t>
    </rPh>
    <rPh sb="33" eb="35">
      <t>カイケイ</t>
    </rPh>
    <rPh sb="35" eb="36">
      <t>ブン</t>
    </rPh>
    <phoneticPr fontId="4"/>
  </si>
  <si>
    <t>現金</t>
    <rPh sb="0" eb="2">
      <t>ゲンキン</t>
    </rPh>
    <phoneticPr fontId="4"/>
  </si>
  <si>
    <t>コンポジットテクノ</t>
  </si>
  <si>
    <t>販売</t>
    <rPh sb="0" eb="2">
      <t>ハンバイ</t>
    </rPh>
    <phoneticPr fontId="4"/>
  </si>
  <si>
    <t>IOMIC</t>
    <phoneticPr fontId="4"/>
  </si>
  <si>
    <t>現金</t>
    <rPh sb="0" eb="2">
      <t>ゲンキン</t>
    </rPh>
    <phoneticPr fontId="4"/>
  </si>
  <si>
    <t>大濱　義弘</t>
    <phoneticPr fontId="4"/>
  </si>
  <si>
    <t>三菱ケミカル</t>
    <rPh sb="0" eb="2">
      <t>ミツビシ</t>
    </rPh>
    <phoneticPr fontId="4"/>
  </si>
  <si>
    <t>DR Dianama ZF 40 R2</t>
    <phoneticPr fontId="4"/>
  </si>
  <si>
    <t>FW Dianama Thump f55 S</t>
    <phoneticPr fontId="4"/>
  </si>
  <si>
    <t>FW Dianama Thump f75 S</t>
    <phoneticPr fontId="4"/>
  </si>
  <si>
    <t>ヘッド</t>
    <phoneticPr fontId="4"/>
  </si>
  <si>
    <t>BALDO</t>
    <phoneticPr fontId="4"/>
  </si>
  <si>
    <t>DR 2024 TT DRIVER GT1 420 10°</t>
    <phoneticPr fontId="4"/>
  </si>
  <si>
    <t>FW 2022 CORSA 右 3W</t>
    <rPh sb="14" eb="15">
      <t>ミギ</t>
    </rPh>
    <phoneticPr fontId="4"/>
  </si>
  <si>
    <t>FW 2022 CORSA 右 5W</t>
    <rPh sb="14" eb="15">
      <t>ミギ</t>
    </rPh>
    <phoneticPr fontId="4"/>
  </si>
  <si>
    <t>UT 2022 CORSA 右 21°</t>
    <rPh sb="14" eb="15">
      <t>ミギ</t>
    </rPh>
    <phoneticPr fontId="4"/>
  </si>
  <si>
    <t>UT 2022 CORSA 右 24°</t>
    <rPh sb="14" eb="15">
      <t>ミギ</t>
    </rPh>
    <phoneticPr fontId="4"/>
  </si>
  <si>
    <t>sticky evolution 2.3 有 レモンイエロー</t>
    <phoneticPr fontId="4"/>
  </si>
  <si>
    <t>110分(ビジター)</t>
    <phoneticPr fontId="4"/>
  </si>
  <si>
    <t>振込</t>
    <rPh sb="0" eb="2">
      <t>フリコミ</t>
    </rPh>
    <phoneticPr fontId="4"/>
  </si>
  <si>
    <t>古川プロ</t>
    <rPh sb="0" eb="2">
      <t>フルカワ</t>
    </rPh>
    <phoneticPr fontId="4"/>
  </si>
  <si>
    <t>現金</t>
    <rPh sb="0" eb="2">
      <t>ゲンキン</t>
    </rPh>
    <phoneticPr fontId="4"/>
  </si>
  <si>
    <t>猪原　良</t>
    <rPh sb="0" eb="2">
      <t>イノハラ</t>
    </rPh>
    <rPh sb="3" eb="4">
      <t>リョウ</t>
    </rPh>
    <phoneticPr fontId="4"/>
  </si>
  <si>
    <t>55分(メンバー)</t>
    <phoneticPr fontId="4"/>
  </si>
  <si>
    <t>松田　隆宏</t>
    <rPh sb="0" eb="2">
      <t>マツダ</t>
    </rPh>
    <rPh sb="3" eb="5">
      <t>タカヒロ</t>
    </rPh>
    <phoneticPr fontId="4"/>
  </si>
  <si>
    <t>55分(ビジター)</t>
    <phoneticPr fontId="4"/>
  </si>
  <si>
    <t>販売</t>
    <rPh sb="0" eb="2">
      <t>ハンバイ</t>
    </rPh>
    <phoneticPr fontId="4"/>
  </si>
  <si>
    <t>日本シャフト</t>
    <rPh sb="0" eb="2">
      <t>ニホン</t>
    </rPh>
    <phoneticPr fontId="4"/>
  </si>
  <si>
    <t>DR Regio Formula B+ 55S</t>
    <phoneticPr fontId="4"/>
  </si>
  <si>
    <t>IOMIC</t>
    <phoneticPr fontId="4"/>
  </si>
  <si>
    <t>sticky evolution 2.3 有 レモンイエロー</t>
  </si>
  <si>
    <t>藤田プロ</t>
    <rPh sb="0" eb="2">
      <t>フジタ</t>
    </rPh>
    <phoneticPr fontId="4"/>
  </si>
  <si>
    <t>蔵本治孝</t>
  </si>
  <si>
    <t>利用料</t>
    <rPh sb="0" eb="3">
      <t>リヨウリョウ</t>
    </rPh>
    <phoneticPr fontId="1"/>
  </si>
  <si>
    <t>SBペイメント</t>
    <phoneticPr fontId="4"/>
  </si>
  <si>
    <t>エアレジ入力なし</t>
    <rPh sb="4" eb="6">
      <t>ニュウリョク</t>
    </rPh>
    <phoneticPr fontId="4"/>
  </si>
  <si>
    <t>現金</t>
    <rPh sb="0" eb="2">
      <t>ゲンキン</t>
    </rPh>
    <phoneticPr fontId="1"/>
  </si>
  <si>
    <t>酒井　豊</t>
    <rPh sb="0" eb="2">
      <t>サカイ</t>
    </rPh>
    <rPh sb="3" eb="4">
      <t>ユタカ</t>
    </rPh>
    <phoneticPr fontId="4"/>
  </si>
  <si>
    <t>コンペ参加者</t>
    <rPh sb="3" eb="6">
      <t>サンカシャ</t>
    </rPh>
    <phoneticPr fontId="1"/>
  </si>
  <si>
    <t>コンペ参加料</t>
    <rPh sb="3" eb="6">
      <t>サンカリョウ</t>
    </rPh>
    <phoneticPr fontId="1"/>
  </si>
  <si>
    <t>松田　一輝</t>
    <rPh sb="0" eb="2">
      <t>マツダ</t>
    </rPh>
    <rPh sb="3" eb="5">
      <t>カズテル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</si>
  <si>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</si>
  <si>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</si>
  <si>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IOMIC</t>
    <phoneticPr fontId="4"/>
  </si>
  <si>
    <t>sticky evolution 2.3 有 ブルー</t>
    <phoneticPr fontId="4"/>
  </si>
  <si>
    <t>Arch</t>
    <phoneticPr fontId="4"/>
  </si>
  <si>
    <t>DR Natural 9 CELESTE 26</t>
    <phoneticPr fontId="4"/>
  </si>
  <si>
    <t>CADERO</t>
    <phoneticPr fontId="4"/>
  </si>
  <si>
    <t>2×2  UT ペンタゴンスター入り  White/Blue</t>
    <phoneticPr fontId="4"/>
  </si>
  <si>
    <t>VOKEY SM10 wedge Mグラインド 58°</t>
    <phoneticPr fontId="4"/>
  </si>
  <si>
    <t>ZERO FIT</t>
    <phoneticPr fontId="4"/>
  </si>
  <si>
    <t>24cm 左 黒</t>
    <rPh sb="5" eb="6">
      <t>ヒダリ</t>
    </rPh>
    <rPh sb="7" eb="8">
      <t>クロ</t>
    </rPh>
    <phoneticPr fontId="4"/>
  </si>
  <si>
    <t>TEE</t>
    <phoneticPr fontId="4"/>
  </si>
  <si>
    <t>レベルコ</t>
    <phoneticPr fontId="4"/>
  </si>
  <si>
    <t>トルネードティ</t>
    <phoneticPr fontId="4"/>
  </si>
  <si>
    <t>金券</t>
    <rPh sb="0" eb="2">
      <t>キンケン</t>
    </rPh>
    <phoneticPr fontId="4"/>
  </si>
  <si>
    <t>金券\10,000　現金\1,088</t>
    <rPh sb="0" eb="2">
      <t>キンケン</t>
    </rPh>
    <rPh sb="10" eb="12">
      <t>ゲンキン</t>
    </rPh>
    <phoneticPr fontId="4"/>
  </si>
  <si>
    <t>澤田　規晶</t>
    <rPh sb="0" eb="2">
      <t>サワダ</t>
    </rPh>
    <rPh sb="3" eb="4">
      <t>キ</t>
    </rPh>
    <rPh sb="4" eb="5">
      <t>アキラ</t>
    </rPh>
    <phoneticPr fontId="4"/>
  </si>
  <si>
    <t>Y360S XT シルバーホワイト 無</t>
    <rPh sb="18" eb="19">
      <t>ナシ</t>
    </rPh>
    <phoneticPr fontId="4"/>
  </si>
  <si>
    <t>Y360S XT シルバーホワイト 有</t>
    <rPh sb="18" eb="19">
      <t>アリ</t>
    </rPh>
    <phoneticPr fontId="4"/>
  </si>
  <si>
    <t>谷川　愛</t>
    <rPh sb="0" eb="2">
      <t>タニガワ</t>
    </rPh>
    <rPh sb="3" eb="4">
      <t>アイ</t>
    </rPh>
    <phoneticPr fontId="4"/>
  </si>
  <si>
    <t>TOUR SOFT 白</t>
    <rPh sb="10" eb="11">
      <t>シロ</t>
    </rPh>
    <phoneticPr fontId="4"/>
  </si>
  <si>
    <t>TOUR TEE COMBO BLACK SPINE</t>
    <phoneticPr fontId="4"/>
  </si>
  <si>
    <t>DR PLATINUM SPEEDER 3S</t>
    <phoneticPr fontId="4"/>
  </si>
  <si>
    <t>FW DIAMOND SPEEDER SPD 4S</t>
    <phoneticPr fontId="4"/>
  </si>
  <si>
    <t>試打シャフトを販売したため</t>
    <rPh sb="0" eb="2">
      <t>シダ</t>
    </rPh>
    <rPh sb="7" eb="9">
      <t>ハンバイ</t>
    </rPh>
    <phoneticPr fontId="4"/>
  </si>
  <si>
    <t>前原　脩人</t>
    <rPh sb="0" eb="2">
      <t>マエバラ</t>
    </rPh>
    <rPh sb="3" eb="5">
      <t>シュウト</t>
    </rPh>
    <phoneticPr fontId="4"/>
  </si>
  <si>
    <t>山下　真希</t>
    <rPh sb="0" eb="2">
      <t>ヤマシタ</t>
    </rPh>
    <rPh sb="3" eb="5">
      <t>マキ</t>
    </rPh>
    <phoneticPr fontId="4"/>
  </si>
  <si>
    <t>グラファイトデザイン</t>
    <phoneticPr fontId="4"/>
  </si>
  <si>
    <t>DR TOUR AD VF 50 X</t>
    <phoneticPr fontId="4"/>
  </si>
  <si>
    <t>DR用</t>
    <rPh sb="2" eb="3">
      <t>ヨウ</t>
    </rPh>
    <phoneticPr fontId="4"/>
  </si>
  <si>
    <t>sticky evolution 2.3 無 ブルー</t>
    <rPh sb="21" eb="22">
      <t>ナシ</t>
    </rPh>
    <phoneticPr fontId="4"/>
  </si>
  <si>
    <t>TOUR SOFT 黄色</t>
    <rPh sb="10" eb="12">
      <t>キイロ</t>
    </rPh>
    <phoneticPr fontId="4"/>
  </si>
  <si>
    <t>松本　瑶</t>
    <rPh sb="0" eb="2">
      <t>マツモト</t>
    </rPh>
    <phoneticPr fontId="4"/>
  </si>
  <si>
    <t>DR TENSEI Pro White 1K 50X</t>
    <phoneticPr fontId="4"/>
  </si>
  <si>
    <t>TOUR VELVET 無</t>
    <rPh sb="12" eb="13">
      <t>ナシ</t>
    </rPh>
    <phoneticPr fontId="4"/>
  </si>
  <si>
    <t>藤田プロ</t>
    <rPh sb="0" eb="2">
      <t>フジタ</t>
    </rPh>
    <phoneticPr fontId="4"/>
  </si>
  <si>
    <t>井殿プロ</t>
    <rPh sb="0" eb="2">
      <t>イドノ</t>
    </rPh>
    <phoneticPr fontId="4"/>
  </si>
  <si>
    <t>販売</t>
    <rPh sb="0" eb="2">
      <t>ハンバイ</t>
    </rPh>
    <phoneticPr fontId="4"/>
  </si>
  <si>
    <t>ブリヂストン</t>
    <phoneticPr fontId="4"/>
  </si>
  <si>
    <t>TOUR B JGR パールホワイト</t>
  </si>
  <si>
    <t>延安　伸二</t>
    <phoneticPr fontId="4"/>
  </si>
  <si>
    <t>レギュラー　1ケ月</t>
    <phoneticPr fontId="4"/>
  </si>
  <si>
    <t>IOMIC</t>
    <phoneticPr fontId="4"/>
  </si>
  <si>
    <t>sticky soft 2.3 プラチナムグレー 有</t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</si>
  <si>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</si>
  <si>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</si>
  <si>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IOMIC</t>
    <phoneticPr fontId="4"/>
  </si>
  <si>
    <t>sticky evolution 2.3 無 コーラルレッド</t>
    <rPh sb="21" eb="22">
      <t>ナシ</t>
    </rPh>
    <phoneticPr fontId="4"/>
  </si>
  <si>
    <t>シャフト内訳</t>
    <rPh sb="4" eb="6">
      <t>ウチワケ</t>
    </rPh>
    <phoneticPr fontId="4"/>
  </si>
  <si>
    <t>会員orビジター</t>
    <rPh sb="0" eb="2">
      <t>カイイン</t>
    </rPh>
    <phoneticPr fontId="4"/>
  </si>
  <si>
    <t>会員</t>
    <rPh sb="0" eb="2">
      <t>カイイン</t>
    </rPh>
    <phoneticPr fontId="4"/>
  </si>
  <si>
    <t>ビジター</t>
    <phoneticPr fontId="4"/>
  </si>
  <si>
    <t>スタッフ</t>
    <phoneticPr fontId="4"/>
  </si>
  <si>
    <t>永田　明美</t>
    <rPh sb="0" eb="2">
      <t>ナガタ</t>
    </rPh>
    <rPh sb="3" eb="5">
      <t>アケミ</t>
    </rPh>
    <phoneticPr fontId="4"/>
  </si>
  <si>
    <t>原　剛</t>
    <rPh sb="0" eb="1">
      <t>ハラ</t>
    </rPh>
    <rPh sb="2" eb="3">
      <t>ゴウ</t>
    </rPh>
    <phoneticPr fontId="4"/>
  </si>
  <si>
    <t>販売</t>
    <rPh sb="0" eb="2">
      <t>ハンバイ</t>
    </rPh>
    <phoneticPr fontId="4"/>
  </si>
  <si>
    <t>DR DIAMOND SPEEDER 5S</t>
    <phoneticPr fontId="4"/>
  </si>
  <si>
    <t>現金</t>
    <rPh sb="0" eb="2">
      <t>ゲンキン</t>
    </rPh>
    <phoneticPr fontId="4"/>
  </si>
  <si>
    <t>レギュラー　1ケ月</t>
    <phoneticPr fontId="4"/>
  </si>
  <si>
    <t>志野さん了承済み</t>
    <rPh sb="0" eb="2">
      <t>シノ</t>
    </rPh>
    <rPh sb="4" eb="7">
      <t>リョウショウズ</t>
    </rPh>
    <phoneticPr fontId="4"/>
  </si>
  <si>
    <t>井殿プロ</t>
    <rPh sb="0" eb="2">
      <t>イドノ</t>
    </rPh>
    <phoneticPr fontId="4"/>
  </si>
  <si>
    <t>北　秀実</t>
    <rPh sb="0" eb="1">
      <t>キタ</t>
    </rPh>
    <rPh sb="2" eb="3">
      <t>ヒデ</t>
    </rPh>
    <rPh sb="3" eb="4">
      <t>ミ</t>
    </rPh>
    <phoneticPr fontId="4"/>
  </si>
  <si>
    <t>ZERO FIT</t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</si>
  <si>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</si>
  <si>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</si>
  <si>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ZERO FIT</t>
  </si>
  <si>
    <t>現金</t>
    <rPh sb="0" eb="2">
      <t>ゲンキン</t>
    </rPh>
    <phoneticPr fontId="4"/>
  </si>
  <si>
    <t>佐守　友博</t>
    <rPh sb="0" eb="2">
      <t>サモリ</t>
    </rPh>
    <rPh sb="3" eb="5">
      <t>トモヒロ</t>
    </rPh>
    <phoneticPr fontId="4"/>
  </si>
  <si>
    <t>ZERO FIT</t>
    <phoneticPr fontId="4"/>
  </si>
  <si>
    <t>20cm 右 白</t>
    <rPh sb="5" eb="6">
      <t>ミギ</t>
    </rPh>
    <rPh sb="7" eb="8">
      <t>シロ</t>
    </rPh>
    <phoneticPr fontId="4"/>
  </si>
  <si>
    <t>20cm 左 白</t>
    <rPh sb="5" eb="6">
      <t>ヒダリ</t>
    </rPh>
    <rPh sb="7" eb="8">
      <t>シロ</t>
    </rPh>
    <phoneticPr fontId="4"/>
  </si>
  <si>
    <t>19cm 右 白</t>
    <rPh sb="5" eb="6">
      <t>ミギ</t>
    </rPh>
    <rPh sb="7" eb="8">
      <t>シロ</t>
    </rPh>
    <phoneticPr fontId="4"/>
  </si>
  <si>
    <t>木下　佳香</t>
    <rPh sb="0" eb="2">
      <t>キノシタ</t>
    </rPh>
    <rPh sb="3" eb="4">
      <t>ヨシ</t>
    </rPh>
    <rPh sb="4" eb="5">
      <t>カオル</t>
    </rPh>
    <phoneticPr fontId="4"/>
  </si>
  <si>
    <t>ビジター</t>
  </si>
  <si>
    <t>レギュラー家族割　1ケ月</t>
    <rPh sb="5" eb="8">
      <t>カゾクワリ</t>
    </rPh>
    <phoneticPr fontId="4"/>
  </si>
  <si>
    <t>練習器具</t>
    <rPh sb="0" eb="4">
      <t>レンシュウキグ</t>
    </rPh>
    <phoneticPr fontId="4"/>
  </si>
  <si>
    <t>SPEED PLANE</t>
    <phoneticPr fontId="4"/>
  </si>
  <si>
    <t>奥田　健介</t>
    <rPh sb="0" eb="2">
      <t>オクダ</t>
    </rPh>
    <rPh sb="3" eb="5">
      <t>ケンスケ</t>
    </rPh>
    <phoneticPr fontId="4"/>
  </si>
  <si>
    <t>1 SPEED SRIVER</t>
  </si>
  <si>
    <t>1 SPEED SRIVER</t>
    <phoneticPr fontId="4"/>
  </si>
  <si>
    <t>古川　志野</t>
    <rPh sb="0" eb="2">
      <t>フルカワ</t>
    </rPh>
    <rPh sb="3" eb="5">
      <t>シノ</t>
    </rPh>
    <phoneticPr fontId="4"/>
  </si>
  <si>
    <t>その他</t>
    <rPh sb="2" eb="3">
      <t>タ</t>
    </rPh>
    <phoneticPr fontId="4"/>
  </si>
  <si>
    <t>未記入</t>
    <rPh sb="0" eb="3">
      <t>ミキニュウ</t>
    </rPh>
    <phoneticPr fontId="4"/>
  </si>
  <si>
    <t>福山　英次</t>
    <rPh sb="0" eb="2">
      <t>フクヤマ</t>
    </rPh>
    <rPh sb="3" eb="5">
      <t>エイジ</t>
    </rPh>
    <phoneticPr fontId="4"/>
  </si>
  <si>
    <t>IOMIC</t>
    <phoneticPr fontId="4"/>
  </si>
  <si>
    <t>土谷　喜輝</t>
    <rPh sb="0" eb="2">
      <t>ツチタニ</t>
    </rPh>
    <phoneticPr fontId="4"/>
  </si>
  <si>
    <t>金券</t>
    <rPh sb="0" eb="2">
      <t>キンケン</t>
    </rPh>
    <phoneticPr fontId="4"/>
  </si>
  <si>
    <t>金券\14,000　残り現金\850</t>
    <rPh sb="0" eb="2">
      <t>キンケン</t>
    </rPh>
    <rPh sb="10" eb="11">
      <t>ノコ</t>
    </rPh>
    <rPh sb="12" eb="14">
      <t>ゲンキン</t>
    </rPh>
    <phoneticPr fontId="4"/>
  </si>
  <si>
    <t>建畑　誠</t>
    <rPh sb="0" eb="1">
      <t>ケン</t>
    </rPh>
    <rPh sb="1" eb="2">
      <t>ハタ</t>
    </rPh>
    <rPh sb="3" eb="4">
      <t>マコト</t>
    </rPh>
    <phoneticPr fontId="4"/>
  </si>
  <si>
    <t>会員</t>
    <rPh sb="0" eb="2">
      <t>カイイン</t>
    </rPh>
    <phoneticPr fontId="4"/>
  </si>
  <si>
    <t>練習器具</t>
    <rPh sb="0" eb="4">
      <t>レンシュウキグ</t>
    </rPh>
    <phoneticPr fontId="4"/>
  </si>
  <si>
    <t>1 SPEED HEAVY HITTER クリアーレッド</t>
    <phoneticPr fontId="4"/>
  </si>
  <si>
    <t>藤田プロ</t>
    <rPh sb="0" eb="2">
      <t>フジタ</t>
    </rPh>
    <phoneticPr fontId="4"/>
  </si>
  <si>
    <t>井殿プロ</t>
    <rPh sb="0" eb="2">
      <t>イドノ</t>
    </rPh>
    <phoneticPr fontId="4"/>
  </si>
  <si>
    <t>再来(2021年10月2日)</t>
    <rPh sb="0" eb="2">
      <t>サイライ</t>
    </rPh>
    <rPh sb="7" eb="8">
      <t>ネン</t>
    </rPh>
    <rPh sb="10" eb="11">
      <t>ガツ</t>
    </rPh>
    <rPh sb="12" eb="13">
      <t>ニチ</t>
    </rPh>
    <phoneticPr fontId="4"/>
  </si>
  <si>
    <t>古賀　勉</t>
    <rPh sb="0" eb="2">
      <t>コガ</t>
    </rPh>
    <rPh sb="3" eb="4">
      <t>ツトム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</si>
  <si>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</si>
  <si>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</si>
  <si>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練習器具</t>
    <rPh sb="0" eb="4">
      <t>レンシュウキグ</t>
    </rPh>
    <phoneticPr fontId="4"/>
  </si>
  <si>
    <t>SPEED PLANE</t>
    <phoneticPr fontId="4"/>
  </si>
  <si>
    <t>村尾　健一</t>
    <rPh sb="0" eb="2">
      <t>ムラオ</t>
    </rPh>
    <rPh sb="3" eb="5">
      <t>ケンイチ</t>
    </rPh>
    <phoneticPr fontId="4"/>
  </si>
  <si>
    <t>会員</t>
    <rPh sb="0" eb="2">
      <t>カイイン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</si>
  <si>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</si>
  <si>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</si>
  <si>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LEFT DASH</t>
    <phoneticPr fontId="4"/>
  </si>
  <si>
    <t>V1x 白</t>
    <rPh sb="4" eb="5">
      <t>シロ</t>
    </rPh>
    <phoneticPr fontId="4"/>
  </si>
  <si>
    <t>マスター　1ケ月</t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</si>
  <si>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</si>
  <si>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</si>
  <si>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IOMIC</t>
    <phoneticPr fontId="4"/>
  </si>
  <si>
    <t>sticky soft 2.3 ブラック 有</t>
    <phoneticPr fontId="4"/>
  </si>
  <si>
    <t>現金</t>
    <rPh sb="0" eb="2">
      <t>ゲンキン</t>
    </rPh>
    <phoneticPr fontId="4"/>
  </si>
  <si>
    <t>X360 ラバー ブラック 有</t>
    <rPh sb="14" eb="15">
      <t>アリ</t>
    </rPh>
    <phoneticPr fontId="4"/>
  </si>
  <si>
    <t>会員</t>
    <rPh sb="0" eb="2">
      <t>カイイン</t>
    </rPh>
    <phoneticPr fontId="4"/>
  </si>
  <si>
    <t>sticky soft 2.3 ブラック 有</t>
  </si>
  <si>
    <t>販売</t>
    <rPh sb="0" eb="2">
      <t>ハンバイ</t>
    </rPh>
    <phoneticPr fontId="4"/>
  </si>
  <si>
    <t>RS74 ベルリナブラック</t>
    <phoneticPr fontId="4"/>
  </si>
  <si>
    <t>RS74 シルバーホワイト</t>
    <phoneticPr fontId="4"/>
  </si>
  <si>
    <t>金券</t>
    <rPh sb="0" eb="2">
      <t>キンケン</t>
    </rPh>
    <phoneticPr fontId="4"/>
  </si>
  <si>
    <t>金券\5,000　Airペイ\6,550</t>
    <rPh sb="0" eb="2">
      <t>キンケン</t>
    </rPh>
    <phoneticPr fontId="4"/>
  </si>
  <si>
    <t>ヒートラブ 速暖 クルーネック ブラック M</t>
    <phoneticPr fontId="4"/>
  </si>
  <si>
    <t>販売</t>
    <rPh sb="0" eb="2">
      <t>ハンバイ</t>
    </rPh>
    <phoneticPr fontId="4"/>
  </si>
  <si>
    <t>ウェア</t>
    <phoneticPr fontId="4"/>
  </si>
  <si>
    <t>現金</t>
    <rPh sb="0" eb="2">
      <t>ゲンキン</t>
    </rPh>
    <phoneticPr fontId="4"/>
  </si>
  <si>
    <t>会員</t>
    <rPh sb="0" eb="2">
      <t>カイイン</t>
    </rPh>
    <phoneticPr fontId="4"/>
  </si>
  <si>
    <t>尾上　勇介</t>
    <rPh sb="0" eb="2">
      <t>オノウエ</t>
    </rPh>
    <rPh sb="3" eb="4">
      <t>イサム</t>
    </rPh>
    <rPh sb="4" eb="5">
      <t>カイ</t>
    </rPh>
    <phoneticPr fontId="4"/>
  </si>
  <si>
    <t>現金</t>
    <rPh sb="0" eb="2">
      <t>ゲンキン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</si>
  <si>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</si>
  <si>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</si>
  <si>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TOUR SOFT 黄色</t>
    <rPh sb="10" eb="12">
      <t>キイロ</t>
    </rPh>
    <phoneticPr fontId="4"/>
  </si>
  <si>
    <t>現金</t>
    <rPh sb="0" eb="2">
      <t>ゲンキン</t>
    </rPh>
    <phoneticPr fontId="4"/>
  </si>
  <si>
    <t>尾田　清</t>
    <rPh sb="0" eb="2">
      <t>オダ</t>
    </rPh>
    <rPh sb="3" eb="4">
      <t>キヨシ</t>
    </rPh>
    <phoneticPr fontId="4"/>
  </si>
  <si>
    <t>利用料</t>
    <rPh sb="0" eb="3">
      <t>リヨウリョウ</t>
    </rPh>
    <phoneticPr fontId="4"/>
  </si>
  <si>
    <t>フィッティング</t>
    <phoneticPr fontId="4"/>
  </si>
  <si>
    <t>Square</t>
    <phoneticPr fontId="4"/>
  </si>
  <si>
    <t>Airペイ</t>
    <phoneticPr fontId="4"/>
  </si>
  <si>
    <t>Diamana Thump f55 S</t>
    <phoneticPr fontId="4"/>
  </si>
  <si>
    <t>24 VENTUS BL 5S</t>
    <phoneticPr fontId="4"/>
  </si>
  <si>
    <t>北垣　香奈</t>
    <rPh sb="0" eb="2">
      <t>キタガキ</t>
    </rPh>
    <rPh sb="3" eb="5">
      <t>カナ</t>
    </rPh>
    <phoneticPr fontId="4"/>
  </si>
  <si>
    <t>IOMIC</t>
    <phoneticPr fontId="4"/>
  </si>
  <si>
    <t>DR用</t>
    <rPh sb="0" eb="3">
      <t>drヨウ</t>
    </rPh>
    <phoneticPr fontId="4"/>
  </si>
  <si>
    <t>会員</t>
    <rPh sb="0" eb="2">
      <t>カイイン</t>
    </rPh>
    <phoneticPr fontId="4"/>
  </si>
  <si>
    <t>現金</t>
    <rPh sb="0" eb="2">
      <t>ゲンキン</t>
    </rPh>
    <phoneticPr fontId="4"/>
  </si>
  <si>
    <t>チケット　1ケ月</t>
    <phoneticPr fontId="4"/>
  </si>
  <si>
    <t>柏原　直生</t>
    <rPh sb="0" eb="2">
      <t>カシワハラ</t>
    </rPh>
    <rPh sb="3" eb="4">
      <t>ナオ</t>
    </rPh>
    <rPh sb="4" eb="5">
      <t>ショウ</t>
    </rPh>
    <phoneticPr fontId="4"/>
  </si>
  <si>
    <t>岡本　茂樹</t>
    <rPh sb="0" eb="2">
      <t>オカモト</t>
    </rPh>
    <rPh sb="3" eb="5">
      <t>シゲキ</t>
    </rPh>
    <phoneticPr fontId="4"/>
  </si>
  <si>
    <t>SBペイメント</t>
  </si>
  <si>
    <t>SBペイメント</t>
    <phoneticPr fontId="4"/>
  </si>
  <si>
    <t>レッスンチケット　1枚</t>
    <phoneticPr fontId="4"/>
  </si>
  <si>
    <t>西尾　武晃</t>
    <rPh sb="0" eb="2">
      <t>ニシオ</t>
    </rPh>
    <rPh sb="3" eb="4">
      <t>タケシ</t>
    </rPh>
    <rPh sb="4" eb="5">
      <t>アキラ</t>
    </rPh>
    <phoneticPr fontId="4"/>
  </si>
  <si>
    <t>現金</t>
    <rPh sb="0" eb="2">
      <t>ゲンキン</t>
    </rPh>
    <phoneticPr fontId="4"/>
  </si>
  <si>
    <t>井殿プロ</t>
    <rPh sb="0" eb="2">
      <t>イドノ</t>
    </rPh>
    <phoneticPr fontId="4"/>
  </si>
  <si>
    <t>イオンスポーツ</t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</si>
  <si>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</si>
  <si>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</si>
  <si>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IOMIC</t>
    <phoneticPr fontId="4"/>
  </si>
  <si>
    <t>レギュラー　0.5ケ月</t>
    <phoneticPr fontId="4"/>
  </si>
  <si>
    <t>丸山　剛</t>
    <rPh sb="0" eb="2">
      <t>マルヤマ</t>
    </rPh>
    <rPh sb="3" eb="4">
      <t>ゴウ</t>
    </rPh>
    <phoneticPr fontId="4"/>
  </si>
  <si>
    <t>現金</t>
    <rPh sb="0" eb="2">
      <t>ゲンキン</t>
    </rPh>
    <phoneticPr fontId="4"/>
  </si>
  <si>
    <t>田中　瞭汰</t>
    <rPh sb="0" eb="2">
      <t>タナカ</t>
    </rPh>
    <rPh sb="3" eb="4">
      <t>リョウ</t>
    </rPh>
    <rPh sb="4" eb="5">
      <t>タ</t>
    </rPh>
    <phoneticPr fontId="4"/>
  </si>
  <si>
    <t>55分(ビジター)</t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</si>
  <si>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</si>
  <si>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</si>
  <si>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IOMIC</t>
    <phoneticPr fontId="4"/>
  </si>
  <si>
    <t>X-evolution 2.3 レッド 有</t>
    <rPh sb="20" eb="21">
      <t>アリ</t>
    </rPh>
    <phoneticPr fontId="4"/>
  </si>
  <si>
    <t>宮川　晃一</t>
    <rPh sb="0" eb="2">
      <t>ミヤガワ</t>
    </rPh>
    <rPh sb="3" eb="5">
      <t>コウイチ</t>
    </rPh>
    <phoneticPr fontId="4"/>
  </si>
  <si>
    <t>吉田　一貴</t>
    <rPh sb="0" eb="2">
      <t>ヨシダ</t>
    </rPh>
    <rPh sb="3" eb="4">
      <t>ハジメ</t>
    </rPh>
    <rPh sb="4" eb="5">
      <t>タカ</t>
    </rPh>
    <phoneticPr fontId="4"/>
  </si>
  <si>
    <t>会員</t>
    <rPh sb="0" eb="2">
      <t>カイイン</t>
    </rPh>
    <phoneticPr fontId="4"/>
  </si>
  <si>
    <t>月会費</t>
    <phoneticPr fontId="4"/>
  </si>
  <si>
    <t>月会費（定額制）</t>
    <phoneticPr fontId="4"/>
  </si>
  <si>
    <t>担当プロ</t>
    <rPh sb="0" eb="2">
      <t>タントウ</t>
    </rPh>
    <phoneticPr fontId="4"/>
  </si>
  <si>
    <t>和島　浩士</t>
    <rPh sb="0" eb="2">
      <t>ワジマ</t>
    </rPh>
    <rPh sb="3" eb="4">
      <t>ヒロシ</t>
    </rPh>
    <phoneticPr fontId="4"/>
  </si>
  <si>
    <t>会員</t>
    <rPh sb="0" eb="2">
      <t>カイイン</t>
    </rPh>
    <phoneticPr fontId="4"/>
  </si>
  <si>
    <t>ボール</t>
    <phoneticPr fontId="4"/>
  </si>
  <si>
    <t>タイトリスト</t>
    <phoneticPr fontId="4"/>
  </si>
  <si>
    <t>V1 白</t>
    <rPh sb="3" eb="4">
      <t>シロ</t>
    </rPh>
    <phoneticPr fontId="4"/>
  </si>
  <si>
    <t>販売</t>
    <rPh sb="0" eb="2">
      <t>ハンバイ</t>
    </rPh>
    <phoneticPr fontId="4"/>
  </si>
  <si>
    <t>sticky Opus Lady`s 18.7 ﾐﾝﾄｸﾞﾘｰﾝ×ﾎﾜｲﾄ 有</t>
    <rPh sb="38" eb="39">
      <t>アリ</t>
    </rPh>
    <phoneticPr fontId="4"/>
  </si>
  <si>
    <t>Square</t>
    <phoneticPr fontId="4"/>
  </si>
  <si>
    <t>滋野 尚</t>
    <rPh sb="0" eb="2">
      <t>シゲノ</t>
    </rPh>
    <rPh sb="3" eb="4">
      <t>タカシ</t>
    </rPh>
    <phoneticPr fontId="4"/>
  </si>
  <si>
    <t>Lucky Star M60 ブラック 有</t>
    <rPh sb="20" eb="21">
      <t>アリ</t>
    </rPh>
    <phoneticPr fontId="4"/>
  </si>
  <si>
    <t>振込</t>
    <rPh sb="0" eb="2">
      <t>フリコミ</t>
    </rPh>
    <phoneticPr fontId="4"/>
  </si>
  <si>
    <t>スリーブ</t>
    <phoneticPr fontId="4"/>
  </si>
  <si>
    <t>Diamana PD 50 S</t>
    <phoneticPr fontId="4"/>
  </si>
  <si>
    <t>宮川　晃一</t>
    <rPh sb="0" eb="2">
      <t>ミヤガワ</t>
    </rPh>
    <rPh sb="3" eb="5">
      <t>コウイチ</t>
    </rPh>
    <phoneticPr fontId="4"/>
  </si>
  <si>
    <t>ビジター</t>
    <phoneticPr fontId="4"/>
  </si>
  <si>
    <t>シャフト</t>
    <phoneticPr fontId="4"/>
  </si>
  <si>
    <t>シンカグラファイト</t>
    <phoneticPr fontId="4"/>
  </si>
  <si>
    <t>Zinger 5 黒</t>
    <rPh sb="9" eb="10">
      <t>クロ</t>
    </rPh>
    <phoneticPr fontId="4"/>
  </si>
  <si>
    <t>G410</t>
    <phoneticPr fontId="4"/>
  </si>
  <si>
    <t>グリップ</t>
    <phoneticPr fontId="4"/>
  </si>
  <si>
    <t>Tour Velvet 無</t>
    <rPh sb="12" eb="13">
      <t>ナ</t>
    </rPh>
    <phoneticPr fontId="4"/>
  </si>
  <si>
    <t>池内　正行</t>
    <rPh sb="0" eb="2">
      <t>イケウチ</t>
    </rPh>
    <rPh sb="3" eb="5">
      <t>マサユキ</t>
    </rPh>
    <phoneticPr fontId="4"/>
  </si>
  <si>
    <t>会員</t>
    <rPh sb="0" eb="2">
      <t>カイイン</t>
    </rPh>
    <phoneticPr fontId="4"/>
  </si>
  <si>
    <t>チケット　1ケ月</t>
    <phoneticPr fontId="4"/>
  </si>
  <si>
    <t>振込</t>
    <rPh sb="0" eb="2">
      <t>フリコミ</t>
    </rPh>
    <phoneticPr fontId="4"/>
  </si>
  <si>
    <t>CAP-O-ET16BKFR</t>
  </si>
  <si>
    <t>FC-O-ET18BK</t>
  </si>
  <si>
    <t>送料</t>
    <rPh sb="0" eb="2">
      <t>ソウリョウ</t>
    </rPh>
    <phoneticPr fontId="4"/>
  </si>
  <si>
    <t>キャップ</t>
    <phoneticPr fontId="4"/>
  </si>
  <si>
    <t>現金</t>
    <rPh sb="0" eb="2">
      <t>ゲンキン</t>
    </rPh>
    <phoneticPr fontId="4"/>
  </si>
  <si>
    <t>現金</t>
    <rPh sb="0" eb="2">
      <t>ゲンキン</t>
    </rPh>
    <phoneticPr fontId="4"/>
  </si>
  <si>
    <t>社長紹介</t>
    <rPh sb="0" eb="4">
      <t>シャチョウショウカイ</t>
    </rPh>
    <phoneticPr fontId="4"/>
  </si>
  <si>
    <t>販売</t>
    <rPh sb="0" eb="2">
      <t>ハンバイ</t>
    </rPh>
    <phoneticPr fontId="4"/>
  </si>
  <si>
    <t>DR Zinger 5 黒</t>
    <rPh sb="12" eb="13">
      <t>クロ</t>
    </rPh>
    <phoneticPr fontId="4"/>
  </si>
  <si>
    <t>吉井　剛仁</t>
    <rPh sb="0" eb="2">
      <t>ヨシイ</t>
    </rPh>
    <rPh sb="3" eb="4">
      <t>ツヨシ</t>
    </rPh>
    <rPh sb="4" eb="5">
      <t>ジン</t>
    </rPh>
    <phoneticPr fontId="4"/>
  </si>
  <si>
    <t>全て返金</t>
    <rPh sb="0" eb="1">
      <t>スベ</t>
    </rPh>
    <rPh sb="2" eb="4">
      <t>ヘンキン</t>
    </rPh>
    <phoneticPr fontId="4"/>
  </si>
  <si>
    <t>田中　博之</t>
    <rPh sb="0" eb="2">
      <t>タナカ</t>
    </rPh>
    <rPh sb="3" eb="5">
      <t>ヒロユキ</t>
    </rPh>
    <phoneticPr fontId="4"/>
  </si>
  <si>
    <t>グリップ</t>
    <phoneticPr fontId="4"/>
  </si>
  <si>
    <t>X HOLD BLACK RUBBER Eグリーン（有）</t>
    <rPh sb="26" eb="27">
      <t>ア</t>
    </rPh>
    <phoneticPr fontId="4"/>
  </si>
  <si>
    <t>安徳　大樹</t>
    <rPh sb="0" eb="2">
      <t>アントク</t>
    </rPh>
    <rPh sb="3" eb="5">
      <t>ダイキ</t>
    </rPh>
    <phoneticPr fontId="4"/>
  </si>
  <si>
    <t>チケット　1ケ月</t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</si>
  <si>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</si>
  <si>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</si>
  <si>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Z-STAR ♦ 白</t>
    <rPh sb="9" eb="10">
      <t>シロ</t>
    </rPh>
    <phoneticPr fontId="4"/>
  </si>
  <si>
    <t>会員</t>
    <rPh sb="0" eb="2">
      <t>カイイン</t>
    </rPh>
    <phoneticPr fontId="4"/>
  </si>
  <si>
    <t>DR ATTAS COOOL 4 S</t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</si>
  <si>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</si>
  <si>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</si>
  <si>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sticky soft 2.3 ブラック 有</t>
    <phoneticPr fontId="4"/>
  </si>
  <si>
    <t>現金</t>
    <rPh sb="0" eb="2">
      <t>ゲンキン</t>
    </rPh>
    <phoneticPr fontId="4"/>
  </si>
  <si>
    <t>佐々木　利幸</t>
    <rPh sb="0" eb="3">
      <t>ササキ</t>
    </rPh>
    <rPh sb="4" eb="6">
      <t>トシユキ</t>
    </rPh>
    <phoneticPr fontId="4"/>
  </si>
  <si>
    <t>ビジター</t>
    <phoneticPr fontId="4"/>
  </si>
  <si>
    <t>天野　真知子</t>
    <rPh sb="0" eb="2">
      <t>アマノ</t>
    </rPh>
    <rPh sb="3" eb="6">
      <t>マチコ</t>
    </rPh>
    <phoneticPr fontId="4"/>
  </si>
  <si>
    <t>月会費</t>
    <phoneticPr fontId="4"/>
  </si>
  <si>
    <t>月会費（定額制）</t>
    <phoneticPr fontId="4"/>
  </si>
  <si>
    <t>レギュラー　１か月　（１２月分）</t>
    <rPh sb="8" eb="9">
      <t>ゲツ</t>
    </rPh>
    <rPh sb="13" eb="15">
      <t>ガツブン</t>
    </rPh>
    <phoneticPr fontId="4"/>
  </si>
  <si>
    <t>レギュラー　１か月　（１月分）</t>
    <rPh sb="8" eb="9">
      <t>ゲツ</t>
    </rPh>
    <rPh sb="12" eb="14">
      <t>ガツブン</t>
    </rPh>
    <phoneticPr fontId="4"/>
  </si>
  <si>
    <t>上田　豊</t>
    <rPh sb="0" eb="2">
      <t>ウエダ</t>
    </rPh>
    <rPh sb="3" eb="4">
      <t>ユタカ</t>
    </rPh>
    <phoneticPr fontId="4"/>
  </si>
  <si>
    <t>井殿プロ</t>
    <rPh sb="0" eb="2">
      <t>イドノ</t>
    </rPh>
    <phoneticPr fontId="4"/>
  </si>
  <si>
    <t>古川プロ</t>
    <rPh sb="0" eb="2">
      <t>フルカワ</t>
    </rPh>
    <phoneticPr fontId="4"/>
  </si>
  <si>
    <t>藤田プロ</t>
    <rPh sb="0" eb="2">
      <t>フジタ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</si>
  <si>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</si>
  <si>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</si>
  <si>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ZERO FIT</t>
    <phoneticPr fontId="4"/>
  </si>
  <si>
    <t>19cm 左 白</t>
    <rPh sb="5" eb="6">
      <t>ヒダリ</t>
    </rPh>
    <phoneticPr fontId="4"/>
  </si>
  <si>
    <t>岩見　美樹</t>
    <rPh sb="0" eb="2">
      <t>イワミ</t>
    </rPh>
    <rPh sb="3" eb="5">
      <t>ミキ</t>
    </rPh>
    <phoneticPr fontId="4"/>
  </si>
  <si>
    <t>19cm 右 白</t>
    <rPh sb="5" eb="6">
      <t>ミギ</t>
    </rPh>
    <phoneticPr fontId="4"/>
  </si>
  <si>
    <t>鬼塚　隆志</t>
    <rPh sb="0" eb="2">
      <t>オニヅカ</t>
    </rPh>
    <rPh sb="3" eb="4">
      <t>リュウ</t>
    </rPh>
    <rPh sb="4" eb="5">
      <t>ココロザシ</t>
    </rPh>
    <phoneticPr fontId="4"/>
  </si>
  <si>
    <t>ボール</t>
    <phoneticPr fontId="4"/>
  </si>
  <si>
    <t>スリクソン</t>
    <phoneticPr fontId="4"/>
  </si>
  <si>
    <t>Z- STAR ♦ 白</t>
    <rPh sb="10" eb="11">
      <t>シロ</t>
    </rPh>
    <phoneticPr fontId="4"/>
  </si>
  <si>
    <t>距離計</t>
    <rPh sb="0" eb="3">
      <t>キョリケイ</t>
    </rPh>
    <phoneticPr fontId="4"/>
  </si>
  <si>
    <t>EAGLE VISION WATCH ACE</t>
    <phoneticPr fontId="4"/>
  </si>
  <si>
    <t>現金</t>
    <rPh sb="0" eb="2">
      <t>ゲンキン</t>
    </rPh>
    <phoneticPr fontId="4"/>
  </si>
  <si>
    <t>山脇　研郎</t>
    <rPh sb="0" eb="2">
      <t>ヤマワキ</t>
    </rPh>
    <rPh sb="3" eb="4">
      <t>ケン</t>
    </rPh>
    <rPh sb="4" eb="5">
      <t>ロウ</t>
    </rPh>
    <phoneticPr fontId="4"/>
  </si>
  <si>
    <t>1 SPEED DRIVER</t>
    <phoneticPr fontId="4"/>
  </si>
  <si>
    <t>丸山　剛</t>
    <rPh sb="0" eb="2">
      <t>マルヤマ</t>
    </rPh>
    <rPh sb="3" eb="4">
      <t>ツヨシ</t>
    </rPh>
    <phoneticPr fontId="4"/>
  </si>
  <si>
    <t>レギュラー　１か月　（2月分）</t>
    <rPh sb="8" eb="9">
      <t>ゲツ</t>
    </rPh>
    <rPh sb="12" eb="14">
      <t>ガツブン</t>
    </rPh>
    <phoneticPr fontId="4"/>
  </si>
  <si>
    <t>安田　徹</t>
    <rPh sb="0" eb="2">
      <t>ヤスダ</t>
    </rPh>
    <rPh sb="3" eb="4">
      <t>トオル</t>
    </rPh>
    <phoneticPr fontId="4"/>
  </si>
  <si>
    <t>DIAMOND SPEEDER 3 R</t>
    <phoneticPr fontId="4"/>
  </si>
  <si>
    <t>レギュラー家族割　１か月　（2月分）</t>
    <rPh sb="5" eb="8">
      <t>カゾクワリ</t>
    </rPh>
    <rPh sb="11" eb="12">
      <t>ゲツ</t>
    </rPh>
    <rPh sb="15" eb="17">
      <t>ガツブン</t>
    </rPh>
    <phoneticPr fontId="4"/>
  </si>
  <si>
    <t>パイソン 80g 100g</t>
    <phoneticPr fontId="4"/>
  </si>
  <si>
    <t>山野　眞成</t>
    <rPh sb="0" eb="2">
      <t>ヤマノ</t>
    </rPh>
    <rPh sb="3" eb="4">
      <t>マコト</t>
    </rPh>
    <rPh sb="4" eb="5">
      <t>シゲル</t>
    </rPh>
    <phoneticPr fontId="1"/>
  </si>
  <si>
    <t>山川　浩司</t>
    <rPh sb="0" eb="2">
      <t>ヤマカワ</t>
    </rPh>
    <rPh sb="3" eb="4">
      <t>ヒロシ</t>
    </rPh>
    <rPh sb="4" eb="5">
      <t>ツカサ</t>
    </rPh>
    <phoneticPr fontId="1"/>
  </si>
  <si>
    <t>永島　健人</t>
    <rPh sb="0" eb="2">
      <t>ナガシマ</t>
    </rPh>
    <rPh sb="3" eb="5">
      <t>ケント</t>
    </rPh>
    <phoneticPr fontId="1"/>
  </si>
  <si>
    <t>山野様がまとめてお支払い
社長のご紹介</t>
    <rPh sb="0" eb="3">
      <t>ヤマノサマ</t>
    </rPh>
    <rPh sb="9" eb="11">
      <t>シハラ</t>
    </rPh>
    <rPh sb="13" eb="15">
      <t>シャチョウ</t>
    </rPh>
    <rPh sb="17" eb="19">
      <t>ショウカイ</t>
    </rPh>
    <phoneticPr fontId="4"/>
  </si>
  <si>
    <t>DR PLATINUM SPEEDER 4S</t>
  </si>
  <si>
    <t>DR VENTUS TR BK 6X</t>
  </si>
  <si>
    <t>DR VANQUISH 5X</t>
  </si>
  <si>
    <t>TOUR VELVET PLUS4 スタンダード 無</t>
  </si>
  <si>
    <t>TOUR VELVET PLUS4 スタンダード 無</t>
    <phoneticPr fontId="4"/>
  </si>
  <si>
    <t>山野様がまとめてお支払い</t>
    <phoneticPr fontId="4"/>
  </si>
  <si>
    <t>卜部　凡夫</t>
    <rPh sb="0" eb="2">
      <t>ウラベ</t>
    </rPh>
    <rPh sb="3" eb="4">
      <t>ボン</t>
    </rPh>
    <rPh sb="4" eb="5">
      <t>オット</t>
    </rPh>
    <phoneticPr fontId="4"/>
  </si>
  <si>
    <t>PRO ONLY 72cc</t>
    <phoneticPr fontId="4"/>
  </si>
  <si>
    <t>ヒートラブ 速暖 クルーネック ブラック M, S</t>
    <rPh sb="6" eb="7">
      <t>ソク</t>
    </rPh>
    <rPh sb="7" eb="8">
      <t>ダン</t>
    </rPh>
    <phoneticPr fontId="4"/>
  </si>
  <si>
    <t>XXIO PRIME UT #6 R2</t>
  </si>
  <si>
    <t>ダンロップ</t>
    <phoneticPr fontId="4"/>
  </si>
  <si>
    <t>河　尊永</t>
    <rPh sb="2" eb="3">
      <t>ソン</t>
    </rPh>
    <rPh sb="3" eb="4">
      <t>ナガ</t>
    </rPh>
    <phoneticPr fontId="4"/>
  </si>
  <si>
    <t>お客様持ち込みグリップ装着</t>
  </si>
  <si>
    <t>中川　浩二</t>
    <rPh sb="0" eb="2">
      <t>ナカガワ</t>
    </rPh>
    <phoneticPr fontId="4"/>
  </si>
  <si>
    <t>DIAMOND SPEEDER 4 R</t>
    <phoneticPr fontId="4"/>
  </si>
  <si>
    <t>DIAMOND SPEEDER HB 5 R</t>
    <phoneticPr fontId="4"/>
  </si>
  <si>
    <t>2025/2/7フィッティング時の過払金の返金</t>
    <rPh sb="15" eb="16">
      <t>ジ</t>
    </rPh>
    <rPh sb="17" eb="19">
      <t>カバラ</t>
    </rPh>
    <rPh sb="19" eb="20">
      <t>キン</t>
    </rPh>
    <rPh sb="21" eb="23">
      <t>ヘンキン</t>
    </rPh>
    <phoneticPr fontId="4"/>
  </si>
  <si>
    <t>LTDx 10.5°　ヘッド単体  店舗用試打ヘッド</t>
    <rPh sb="14" eb="16">
      <t>タンタイ</t>
    </rPh>
    <rPh sb="18" eb="21">
      <t>テンポヨウ</t>
    </rPh>
    <rPh sb="21" eb="23">
      <t>シダ</t>
    </rPh>
    <phoneticPr fontId="4"/>
  </si>
  <si>
    <t>Square/金券</t>
    <rPh sb="7" eb="9">
      <t>キンケン</t>
    </rPh>
    <phoneticPr fontId="4"/>
  </si>
  <si>
    <t>SPEED PLANE</t>
  </si>
  <si>
    <t>21cm 左 白</t>
    <rPh sb="5" eb="6">
      <t>ヒダリ</t>
    </rPh>
    <rPh sb="7" eb="8">
      <t>シロ</t>
    </rPh>
    <phoneticPr fontId="4"/>
  </si>
  <si>
    <t>岡崎　陽介</t>
    <rPh sb="0" eb="2">
      <t>オカザキ</t>
    </rPh>
    <rPh sb="3" eb="5">
      <t>ヨウスケ</t>
    </rPh>
    <phoneticPr fontId="4"/>
  </si>
  <si>
    <t>UT用</t>
    <rPh sb="2" eb="3">
      <t>ヨウ</t>
    </rPh>
    <phoneticPr fontId="4"/>
  </si>
  <si>
    <t>TOUR VELVET LITE BL無</t>
    <phoneticPr fontId="4"/>
  </si>
  <si>
    <t>トゥールテンパー</t>
    <phoneticPr fontId="4"/>
  </si>
  <si>
    <t>スチールファイバー j108 S パラレル</t>
    <phoneticPr fontId="4"/>
  </si>
  <si>
    <t>PLATINUM SPEEDER 3 S</t>
    <phoneticPr fontId="4"/>
  </si>
  <si>
    <t>レギュラー　1ケ月（2月分）</t>
    <rPh sb="11" eb="13">
      <t>ガツブン</t>
    </rPh>
    <phoneticPr fontId="4"/>
  </si>
  <si>
    <t>55分(会員)</t>
    <rPh sb="4" eb="6">
      <t>カイイン</t>
    </rPh>
    <phoneticPr fontId="4"/>
  </si>
  <si>
    <t>佐藤　信次</t>
    <rPh sb="0" eb="2">
      <t>サトウ</t>
    </rPh>
    <rPh sb="3" eb="4">
      <t>シン</t>
    </rPh>
    <rPh sb="4" eb="5">
      <t>ツギ</t>
    </rPh>
    <phoneticPr fontId="4"/>
  </si>
  <si>
    <t>X360 ラバー M58 有</t>
    <rPh sb="13" eb="14">
      <t>アリ</t>
    </rPh>
    <phoneticPr fontId="4"/>
  </si>
  <si>
    <t>春次　武明</t>
    <rPh sb="0" eb="1">
      <t>ハル</t>
    </rPh>
    <rPh sb="1" eb="2">
      <t>ツギ</t>
    </rPh>
    <rPh sb="3" eb="4">
      <t>タケ</t>
    </rPh>
    <rPh sb="4" eb="5">
      <t>アケ</t>
    </rPh>
    <phoneticPr fontId="4"/>
  </si>
  <si>
    <t>下中　貴弘</t>
    <rPh sb="0" eb="2">
      <t>シタナカ</t>
    </rPh>
    <rPh sb="3" eb="5">
      <t>タカヒロ</t>
    </rPh>
    <phoneticPr fontId="4"/>
  </si>
  <si>
    <t>中村　功</t>
    <rPh sb="0" eb="2">
      <t>ナカムラ</t>
    </rPh>
    <rPh sb="3" eb="4">
      <t>コウ</t>
    </rPh>
    <phoneticPr fontId="4"/>
  </si>
  <si>
    <t>亀 ピンク</t>
    <rPh sb="0" eb="1">
      <t>カメ</t>
    </rPh>
    <phoneticPr fontId="4"/>
  </si>
  <si>
    <t>DR VENTUS TR RED 6X</t>
    <phoneticPr fontId="4"/>
  </si>
  <si>
    <t>MCC TEAMS PLUS 4 standard</t>
    <phoneticPr fontId="4"/>
  </si>
  <si>
    <t>西田　優</t>
    <rPh sb="0" eb="2">
      <t>ニシダ</t>
    </rPh>
    <rPh sb="3" eb="4">
      <t>ユウ</t>
    </rPh>
    <phoneticPr fontId="4"/>
  </si>
  <si>
    <t>田中　友之</t>
    <rPh sb="0" eb="2">
      <t>タナカ</t>
    </rPh>
    <rPh sb="3" eb="5">
      <t>トモユキ</t>
    </rPh>
    <phoneticPr fontId="4"/>
  </si>
  <si>
    <t>UT DIAMOND SPEEDER HB 5S</t>
    <phoneticPr fontId="4"/>
  </si>
  <si>
    <t>UT 2022 CORSA 右 23°</t>
    <rPh sb="14" eb="15">
      <t>ミギ</t>
    </rPh>
    <phoneticPr fontId="4"/>
  </si>
  <si>
    <t>UT 2022 CORSA 右 26°</t>
    <rPh sb="14" eb="15">
      <t>ミギ</t>
    </rPh>
    <phoneticPr fontId="4"/>
  </si>
  <si>
    <t>\110,000は現金
\24,420はSquare</t>
    <rPh sb="9" eb="11">
      <t>ゲンキン</t>
    </rPh>
    <phoneticPr fontId="4"/>
  </si>
  <si>
    <t>中村　大史</t>
    <rPh sb="0" eb="2">
      <t>ナカムラ</t>
    </rPh>
    <rPh sb="3" eb="4">
      <t>オオ</t>
    </rPh>
    <rPh sb="4" eb="5">
      <t>シ</t>
    </rPh>
    <phoneticPr fontId="4"/>
  </si>
  <si>
    <t>4～6月分</t>
    <rPh sb="3" eb="5">
      <t>ガツブン</t>
    </rPh>
    <phoneticPr fontId="4"/>
  </si>
  <si>
    <t>RAVE</t>
    <phoneticPr fontId="4"/>
  </si>
  <si>
    <t>RAVER ASSAULT ATTACK 60 X</t>
    <phoneticPr fontId="4"/>
  </si>
  <si>
    <t>TOUR G</t>
    <phoneticPr fontId="4"/>
  </si>
  <si>
    <t>TOUR G 50 ﾎﾜｲﾄ　BL　無</t>
    <rPh sb="18" eb="19">
      <t>ナシ</t>
    </rPh>
    <phoneticPr fontId="4"/>
  </si>
  <si>
    <t>月会費(チケット制)</t>
    <rPh sb="0" eb="3">
      <t>ツキカイヒ</t>
    </rPh>
    <rPh sb="8" eb="9">
      <t>セイ</t>
    </rPh>
    <phoneticPr fontId="4"/>
  </si>
  <si>
    <t>PROV1</t>
    <phoneticPr fontId="4"/>
  </si>
  <si>
    <t>【DR】PING</t>
  </si>
  <si>
    <t>体験利用</t>
    <rPh sb="0" eb="2">
      <t>タイケン</t>
    </rPh>
    <rPh sb="2" eb="4">
      <t>リヨウ</t>
    </rPh>
    <phoneticPr fontId="4"/>
  </si>
  <si>
    <t>エアレジ未入力　⇒3月3日取り消し処理済（3月2日に窓口にて重複徴収）</t>
    <rPh sb="4" eb="7">
      <t>ミニュウリョク</t>
    </rPh>
    <rPh sb="10" eb="11">
      <t>ガツ</t>
    </rPh>
    <rPh sb="12" eb="13">
      <t>ニチ</t>
    </rPh>
    <rPh sb="13" eb="14">
      <t>ト</t>
    </rPh>
    <rPh sb="15" eb="16">
      <t>ケ</t>
    </rPh>
    <rPh sb="17" eb="19">
      <t>ショリ</t>
    </rPh>
    <rPh sb="19" eb="20">
      <t>スミ</t>
    </rPh>
    <rPh sb="22" eb="23">
      <t>ガツ</t>
    </rPh>
    <rPh sb="24" eb="25">
      <t>ニチ</t>
    </rPh>
    <rPh sb="26" eb="28">
      <t>マドグチ</t>
    </rPh>
    <rPh sb="30" eb="32">
      <t>ジュウフク</t>
    </rPh>
    <rPh sb="32" eb="34">
      <t>チョウシュウ</t>
    </rPh>
    <phoneticPr fontId="4"/>
  </si>
  <si>
    <t>TOUR TEE Pro</t>
    <phoneticPr fontId="4"/>
  </si>
  <si>
    <t>レインウェア</t>
    <phoneticPr fontId="4"/>
  </si>
  <si>
    <t>Y360 S ベルリナブラック 無</t>
    <rPh sb="16" eb="17">
      <t>ナシ</t>
    </rPh>
    <phoneticPr fontId="4"/>
  </si>
  <si>
    <t>プレミアムプレッシャーパットトレーナー</t>
    <phoneticPr fontId="4"/>
  </si>
  <si>
    <t>ミディアムパターマットグリーン</t>
    <phoneticPr fontId="4"/>
  </si>
  <si>
    <t>パターカップ</t>
    <phoneticPr fontId="4"/>
  </si>
  <si>
    <t>sticky evolution 2.3 ブルー 無</t>
    <rPh sb="25" eb="26">
      <t>ナシ</t>
    </rPh>
    <phoneticPr fontId="4"/>
  </si>
  <si>
    <t>寺岡　龍朗</t>
    <rPh sb="0" eb="2">
      <t>テラオカ</t>
    </rPh>
    <rPh sb="3" eb="5">
      <t>リュウロウ</t>
    </rPh>
    <phoneticPr fontId="4"/>
  </si>
  <si>
    <t>UT LEXIA HL6</t>
    <phoneticPr fontId="4"/>
  </si>
  <si>
    <t>DR ELYTE 0.5°</t>
    <phoneticPr fontId="4"/>
  </si>
  <si>
    <t>UT G440 #3 20°</t>
    <phoneticPr fontId="4"/>
  </si>
  <si>
    <t>UT G440 #4 23°</t>
    <phoneticPr fontId="4"/>
  </si>
  <si>
    <t>柳井　典子</t>
    <rPh sb="0" eb="2">
      <t>ヤナイ</t>
    </rPh>
    <rPh sb="3" eb="5">
      <t>ノリコ</t>
    </rPh>
    <phoneticPr fontId="4"/>
  </si>
  <si>
    <t>３月　月会費　０．５か月分</t>
    <rPh sb="1" eb="2">
      <t>ガツ</t>
    </rPh>
    <rPh sb="3" eb="6">
      <t>ツキカイヒ</t>
    </rPh>
    <rPh sb="11" eb="13">
      <t>ゲツブン</t>
    </rPh>
    <phoneticPr fontId="4"/>
  </si>
  <si>
    <t xml:space="preserve">X360S XT </t>
    <phoneticPr fontId="4"/>
  </si>
  <si>
    <t>X360S XT ではなく　Y360 Star 有</t>
    <rPh sb="24" eb="25">
      <t>アリ</t>
    </rPh>
    <phoneticPr fontId="4"/>
  </si>
  <si>
    <t>4~5月分</t>
    <rPh sb="3" eb="5">
      <t>ガツブン</t>
    </rPh>
    <phoneticPr fontId="4"/>
  </si>
  <si>
    <t>休会 事務手数料　</t>
    <phoneticPr fontId="4"/>
  </si>
  <si>
    <t>4月分</t>
    <rPh sb="1" eb="3">
      <t>ガツブン</t>
    </rPh>
    <phoneticPr fontId="4"/>
  </si>
  <si>
    <t>レギュラー家族　1ケ月</t>
    <rPh sb="5" eb="7">
      <t>カゾク</t>
    </rPh>
    <phoneticPr fontId="4"/>
  </si>
  <si>
    <t>宮本一史様の分</t>
    <rPh sb="0" eb="2">
      <t>ミヤモト</t>
    </rPh>
    <rPh sb="2" eb="4">
      <t>カズフミ</t>
    </rPh>
    <rPh sb="4" eb="5">
      <t>サマ</t>
    </rPh>
    <rPh sb="6" eb="7">
      <t>ブン</t>
    </rPh>
    <phoneticPr fontId="4"/>
  </si>
  <si>
    <t>1 SPEED</t>
    <phoneticPr fontId="4"/>
  </si>
  <si>
    <t>DR Natural 9 CELESTE 27</t>
    <phoneticPr fontId="4"/>
  </si>
  <si>
    <t>Xラインラバー 黒 有</t>
    <rPh sb="8" eb="9">
      <t>クロ</t>
    </rPh>
    <rPh sb="10" eb="11">
      <t>アリ</t>
    </rPh>
    <phoneticPr fontId="4"/>
  </si>
  <si>
    <t>sticky evolution 2.3 コーラルレッド 無</t>
    <rPh sb="29" eb="30">
      <t>ナシ</t>
    </rPh>
    <phoneticPr fontId="4"/>
  </si>
  <si>
    <t>再来(2023年5月20日)</t>
    <rPh sb="0" eb="2">
      <t>サイライ</t>
    </rPh>
    <rPh sb="7" eb="8">
      <t>ネン</t>
    </rPh>
    <rPh sb="9" eb="10">
      <t>ガツ</t>
    </rPh>
    <rPh sb="12" eb="13">
      <t>ニチ</t>
    </rPh>
    <phoneticPr fontId="4"/>
  </si>
  <si>
    <t>Y360S XT マリンブルー 無</t>
    <rPh sb="16" eb="17">
      <t>ナシ</t>
    </rPh>
    <phoneticPr fontId="4"/>
  </si>
  <si>
    <t>宮崎さん</t>
    <rPh sb="0" eb="2">
      <t>ミヤザキ</t>
    </rPh>
    <phoneticPr fontId="4"/>
  </si>
  <si>
    <t>桃坂　美穂</t>
    <rPh sb="0" eb="2">
      <t>モモサカ</t>
    </rPh>
    <rPh sb="3" eb="5">
      <t>ミホ</t>
    </rPh>
    <phoneticPr fontId="4"/>
  </si>
  <si>
    <t>３月　マスター差額</t>
    <rPh sb="1" eb="2">
      <t>ガツ</t>
    </rPh>
    <rPh sb="7" eb="9">
      <t>サガク</t>
    </rPh>
    <phoneticPr fontId="4"/>
  </si>
  <si>
    <t>４月　マスター差額</t>
    <rPh sb="1" eb="2">
      <t>ガツ</t>
    </rPh>
    <rPh sb="7" eb="9">
      <t>サガク</t>
    </rPh>
    <phoneticPr fontId="4"/>
  </si>
  <si>
    <t>レギュラー→マスター　差額</t>
    <rPh sb="11" eb="13">
      <t>サガク</t>
    </rPh>
    <phoneticPr fontId="4"/>
  </si>
  <si>
    <t>sticky 2.3 ソフトフィーリング 有</t>
    <rPh sb="21" eb="22">
      <t>アリ</t>
    </rPh>
    <phoneticPr fontId="4"/>
  </si>
  <si>
    <t>小杉　香</t>
    <rPh sb="0" eb="2">
      <t>コスギ</t>
    </rPh>
    <rPh sb="3" eb="4">
      <t>カオ</t>
    </rPh>
    <phoneticPr fontId="4"/>
  </si>
  <si>
    <t>sticky Opus Lady`s 18.7 ﾌﾞﾙｰ×ﾎﾜｲﾄ 有</t>
    <rPh sb="34" eb="35">
      <t>アリ</t>
    </rPh>
    <phoneticPr fontId="4"/>
  </si>
  <si>
    <t>ヒートラブ 速暖 クルーネック</t>
  </si>
  <si>
    <t>中薗　友和</t>
    <rPh sb="0" eb="2">
      <t>ナカゾノ</t>
    </rPh>
    <rPh sb="3" eb="5">
      <t>トモカズ</t>
    </rPh>
    <phoneticPr fontId="4"/>
  </si>
  <si>
    <t>DR RAVER ASSAULT ATTACK 60X 黒</t>
    <phoneticPr fontId="4"/>
  </si>
  <si>
    <t>ラッキースター M60 ブラック 有</t>
    <rPh sb="17" eb="18">
      <t>アリ</t>
    </rPh>
    <phoneticPr fontId="4"/>
  </si>
  <si>
    <t>DR DS-ADAPT X 10.5°</t>
    <phoneticPr fontId="4"/>
  </si>
  <si>
    <t>中村　大史</t>
    <phoneticPr fontId="4"/>
  </si>
  <si>
    <t>二重請求のため、返金</t>
    <rPh sb="0" eb="4">
      <t>ニジュウセイキュウ</t>
    </rPh>
    <rPh sb="8" eb="10">
      <t>ヘンキン</t>
    </rPh>
    <phoneticPr fontId="4"/>
  </si>
  <si>
    <t>柳井　典子</t>
    <phoneticPr fontId="4"/>
  </si>
  <si>
    <t>安徳　大樹</t>
    <phoneticPr fontId="4"/>
  </si>
  <si>
    <t>中野　稔</t>
    <phoneticPr fontId="4"/>
  </si>
  <si>
    <t>山本プロ</t>
    <rPh sb="0" eb="2">
      <t>ヤマモト</t>
    </rPh>
    <phoneticPr fontId="2"/>
  </si>
  <si>
    <t>決済方法修正</t>
    <rPh sb="0" eb="4">
      <t>ケッサイホウホウ</t>
    </rPh>
    <rPh sb="4" eb="6">
      <t>シュウセイ</t>
    </rPh>
    <phoneticPr fontId="4"/>
  </si>
  <si>
    <t>iomic</t>
    <phoneticPr fontId="4"/>
  </si>
  <si>
    <t>sticky oversize 3.5 有 コーラルレッド</t>
    <rPh sb="20" eb="21">
      <t>アリ</t>
    </rPh>
    <phoneticPr fontId="4"/>
  </si>
  <si>
    <t>X HOLD BLACK RUBBER ブラック　無</t>
    <rPh sb="25" eb="26">
      <t>ナシ</t>
    </rPh>
    <phoneticPr fontId="4"/>
  </si>
  <si>
    <t>藤沢　周</t>
    <rPh sb="0" eb="2">
      <t>フジサワ</t>
    </rPh>
    <rPh sb="3" eb="4">
      <t>シュウ</t>
    </rPh>
    <phoneticPr fontId="4"/>
  </si>
  <si>
    <t>近藤　幸裕</t>
    <rPh sb="0" eb="2">
      <t>コンドウ</t>
    </rPh>
    <rPh sb="3" eb="4">
      <t>シアワ</t>
    </rPh>
    <rPh sb="4" eb="5">
      <t>ヒロ</t>
    </rPh>
    <phoneticPr fontId="4"/>
  </si>
  <si>
    <t>福永　有利子</t>
    <rPh sb="0" eb="2">
      <t>フクナガ</t>
    </rPh>
    <rPh sb="3" eb="4">
      <t>ア</t>
    </rPh>
    <rPh sb="4" eb="6">
      <t>リシ</t>
    </rPh>
    <phoneticPr fontId="4"/>
  </si>
  <si>
    <t>長原　和輝</t>
    <rPh sb="0" eb="2">
      <t>ナガハラ</t>
    </rPh>
    <rPh sb="3" eb="4">
      <t>ワ</t>
    </rPh>
    <rPh sb="4" eb="5">
      <t>カガヤ</t>
    </rPh>
    <phoneticPr fontId="4"/>
  </si>
  <si>
    <t>岩見美樹様　ご子息</t>
    <rPh sb="0" eb="2">
      <t>イワミ</t>
    </rPh>
    <rPh sb="2" eb="4">
      <t>ミキ</t>
    </rPh>
    <rPh sb="4" eb="5">
      <t>サマ</t>
    </rPh>
    <rPh sb="7" eb="9">
      <t>シソク</t>
    </rPh>
    <phoneticPr fontId="4"/>
  </si>
  <si>
    <t>岩見　涼汰</t>
    <rPh sb="0" eb="2">
      <t>イワミ</t>
    </rPh>
    <rPh sb="3" eb="4">
      <t>リョウ</t>
    </rPh>
    <rPh sb="4" eb="5">
      <t>タ</t>
    </rPh>
    <phoneticPr fontId="4"/>
  </si>
  <si>
    <t>細川　永子</t>
    <phoneticPr fontId="4"/>
  </si>
  <si>
    <t>細川　莉花の分もまとめて支払い</t>
    <rPh sb="6" eb="7">
      <t>ブン</t>
    </rPh>
    <rPh sb="12" eb="14">
      <t>シハラ</t>
    </rPh>
    <phoneticPr fontId="4"/>
  </si>
  <si>
    <t>Pro V1x 2023モデル</t>
    <phoneticPr fontId="4"/>
  </si>
  <si>
    <t>55分(メンバー)</t>
    <rPh sb="2" eb="3">
      <t>フン</t>
    </rPh>
    <phoneticPr fontId="4"/>
  </si>
  <si>
    <t>FW Natural 9 NERO 25</t>
    <phoneticPr fontId="4"/>
  </si>
  <si>
    <t>FW Natural 9 NERO 26</t>
  </si>
  <si>
    <t>FW G440 MAX 3w</t>
    <phoneticPr fontId="4"/>
  </si>
  <si>
    <t>FW G440 MAX 5w</t>
    <phoneticPr fontId="4"/>
  </si>
  <si>
    <t>スリーブの抜き/挿し(再利用)</t>
    <rPh sb="5" eb="6">
      <t>ヌ</t>
    </rPh>
    <rPh sb="8" eb="9">
      <t>サ</t>
    </rPh>
    <rPh sb="11" eb="14">
      <t>サイリヨウ</t>
    </rPh>
    <phoneticPr fontId="4"/>
  </si>
  <si>
    <t>スティングレー M60 ブラック 有</t>
    <rPh sb="17" eb="18">
      <t>アリ</t>
    </rPh>
    <phoneticPr fontId="4"/>
  </si>
  <si>
    <t>中河　知夏</t>
    <rPh sb="0" eb="2">
      <t>ナカガワ</t>
    </rPh>
    <rPh sb="3" eb="4">
      <t>シ</t>
    </rPh>
    <rPh sb="4" eb="5">
      <t>ナツ</t>
    </rPh>
    <phoneticPr fontId="4"/>
  </si>
  <si>
    <t>中河　和美</t>
    <rPh sb="0" eb="2">
      <t>ナカガワ</t>
    </rPh>
    <rPh sb="3" eb="4">
      <t>ワ</t>
    </rPh>
    <rPh sb="4" eb="5">
      <t>ウツク</t>
    </rPh>
    <phoneticPr fontId="4"/>
  </si>
  <si>
    <t>岡川　幸司</t>
    <rPh sb="0" eb="2">
      <t>オカガワ</t>
    </rPh>
    <rPh sb="3" eb="4">
      <t>シアワ</t>
    </rPh>
    <rPh sb="4" eb="5">
      <t>ツカサ</t>
    </rPh>
    <phoneticPr fontId="4"/>
  </si>
  <si>
    <t>MCC +4 スタンダード 無 グリーン</t>
    <phoneticPr fontId="4"/>
  </si>
  <si>
    <t>MCC +4 スタンダード 無 グブルー</t>
    <phoneticPr fontId="4"/>
  </si>
  <si>
    <t>FW Qi35 #3</t>
    <phoneticPr fontId="4"/>
  </si>
  <si>
    <t>５月分</t>
    <rPh sb="1" eb="3">
      <t>ガツブン</t>
    </rPh>
    <phoneticPr fontId="4"/>
  </si>
  <si>
    <t>5月休会費、二重徴収のためご返金</t>
    <rPh sb="1" eb="2">
      <t>ガツ</t>
    </rPh>
    <rPh sb="2" eb="5">
      <t>キュウカイヒ</t>
    </rPh>
    <rPh sb="6" eb="8">
      <t>ニジュウ</t>
    </rPh>
    <rPh sb="8" eb="10">
      <t>チョウシュウ</t>
    </rPh>
    <rPh sb="14" eb="16">
      <t>ヘンキン</t>
    </rPh>
    <phoneticPr fontId="4"/>
  </si>
  <si>
    <t>22cm 白 左</t>
    <rPh sb="5" eb="6">
      <t>シロ</t>
    </rPh>
    <rPh sb="7" eb="8">
      <t>ヒダリ</t>
    </rPh>
    <phoneticPr fontId="4"/>
  </si>
  <si>
    <t>23cm 白 左</t>
    <rPh sb="5" eb="6">
      <t>シロ</t>
    </rPh>
    <rPh sb="7" eb="8">
      <t>ヒダリ</t>
    </rPh>
    <phoneticPr fontId="4"/>
  </si>
  <si>
    <t>TOUR BXs 白</t>
    <rPh sb="9" eb="10">
      <t>シロ</t>
    </rPh>
    <phoneticPr fontId="4"/>
  </si>
  <si>
    <t>和島　将志</t>
    <rPh sb="0" eb="2">
      <t>ワジマ</t>
    </rPh>
    <rPh sb="3" eb="5">
      <t>マサユキ</t>
    </rPh>
    <phoneticPr fontId="4"/>
  </si>
  <si>
    <t>糸永　隼也</t>
    <rPh sb="0" eb="2">
      <t>イトナガ</t>
    </rPh>
    <rPh sb="3" eb="4">
      <t>シュン</t>
    </rPh>
    <rPh sb="4" eb="5">
      <t>ヤ</t>
    </rPh>
    <phoneticPr fontId="4"/>
  </si>
  <si>
    <t>DR VENTUS BK 6 60S</t>
    <phoneticPr fontId="4"/>
  </si>
  <si>
    <t>DR G440 MAX (10.5°)</t>
    <phoneticPr fontId="4"/>
  </si>
  <si>
    <t>葛井　敬三</t>
    <rPh sb="0" eb="2">
      <t>カツイ</t>
    </rPh>
    <rPh sb="3" eb="5">
      <t>ケイゾウ</t>
    </rPh>
    <phoneticPr fontId="4"/>
  </si>
  <si>
    <t>綱　哲也</t>
    <rPh sb="0" eb="1">
      <t>ツナ</t>
    </rPh>
    <rPh sb="2" eb="4">
      <t>テツヤ</t>
    </rPh>
    <phoneticPr fontId="4"/>
  </si>
  <si>
    <t>オリムピック</t>
    <phoneticPr fontId="4"/>
  </si>
  <si>
    <t>DR 03 series 65D X</t>
    <phoneticPr fontId="4"/>
  </si>
  <si>
    <t>DR DS-ADAPT LS 9.0°</t>
    <phoneticPr fontId="4"/>
  </si>
  <si>
    <t>S-1 light ブラックベリー 有</t>
    <rPh sb="18" eb="19">
      <t>アリ</t>
    </rPh>
    <phoneticPr fontId="4"/>
  </si>
  <si>
    <t>Y360SH ベルリナブラック 無</t>
    <rPh sb="16" eb="17">
      <t>ナシ</t>
    </rPh>
    <phoneticPr fontId="4"/>
  </si>
  <si>
    <t>赤尾　泰司</t>
    <rPh sb="0" eb="2">
      <t>アカオ</t>
    </rPh>
    <rPh sb="3" eb="5">
      <t>タイジ</t>
    </rPh>
    <phoneticPr fontId="4"/>
  </si>
  <si>
    <t>Pro V1 2023モデル</t>
    <phoneticPr fontId="4"/>
  </si>
  <si>
    <t>休会 事務手数料　</t>
  </si>
  <si>
    <t>IR NS PRO 850 GH S#8 36.5inch</t>
    <phoneticPr fontId="4"/>
  </si>
  <si>
    <t>その他特別作業</t>
    <rPh sb="2" eb="3">
      <t>タ</t>
    </rPh>
    <rPh sb="3" eb="7">
      <t>トクベツサギョウ</t>
    </rPh>
    <phoneticPr fontId="4"/>
  </si>
  <si>
    <t>グラファイトデザイン</t>
  </si>
  <si>
    <t>FW Tour AD F-65 S</t>
  </si>
  <si>
    <t>UT SPEEDER TR 85S</t>
    <phoneticPr fontId="4"/>
  </si>
  <si>
    <t>UT SPEEDER TR 95S</t>
    <phoneticPr fontId="4"/>
  </si>
  <si>
    <t>吉田　元一</t>
    <rPh sb="0" eb="2">
      <t>ヨシダ</t>
    </rPh>
    <rPh sb="3" eb="5">
      <t>モトカズ</t>
    </rPh>
    <phoneticPr fontId="4"/>
  </si>
  <si>
    <t>團野　豊</t>
    <rPh sb="0" eb="1">
      <t>ダン</t>
    </rPh>
    <rPh sb="1" eb="2">
      <t>ノ</t>
    </rPh>
    <rPh sb="3" eb="4">
      <t>ユタカ</t>
    </rPh>
    <phoneticPr fontId="4"/>
  </si>
  <si>
    <t>Y360SH シルバーホワイト 有</t>
    <rPh sb="16" eb="17">
      <t>アリ</t>
    </rPh>
    <phoneticPr fontId="4"/>
  </si>
  <si>
    <t>井上　和也</t>
    <rPh sb="0" eb="2">
      <t>イノウエ</t>
    </rPh>
    <rPh sb="3" eb="5">
      <t>カズヤ</t>
    </rPh>
    <phoneticPr fontId="4"/>
  </si>
  <si>
    <t>井上　綾乃</t>
    <rPh sb="0" eb="2">
      <t>イノウエ</t>
    </rPh>
    <rPh sb="3" eb="5">
      <t>アヤノ</t>
    </rPh>
    <phoneticPr fontId="4"/>
  </si>
  <si>
    <t>sticky evolution 2.3 レモンイエロー 無</t>
    <rPh sb="29" eb="30">
      <t>ナシ</t>
    </rPh>
    <phoneticPr fontId="4"/>
  </si>
  <si>
    <t>AirレジではBL有となってるが、BL無が正</t>
    <rPh sb="9" eb="10">
      <t>アリ</t>
    </rPh>
    <rPh sb="19" eb="20">
      <t>ナシ</t>
    </rPh>
    <rPh sb="21" eb="22">
      <t>タダ</t>
    </rPh>
    <phoneticPr fontId="4"/>
  </si>
  <si>
    <t>須田　耕介</t>
    <rPh sb="0" eb="2">
      <t>スダ</t>
    </rPh>
    <rPh sb="3" eb="4">
      <t>タガヤス</t>
    </rPh>
    <rPh sb="4" eb="5">
      <t>スケ</t>
    </rPh>
    <phoneticPr fontId="4"/>
  </si>
  <si>
    <t>中村　恭子</t>
    <rPh sb="0" eb="2">
      <t>ナカムラ</t>
    </rPh>
    <rPh sb="3" eb="5">
      <t>キョウコ</t>
    </rPh>
    <phoneticPr fontId="4"/>
  </si>
  <si>
    <t>sticky ultra light 有 ブラック</t>
    <rPh sb="19" eb="20">
      <t>アリ</t>
    </rPh>
    <phoneticPr fontId="4"/>
  </si>
  <si>
    <t>レッスンチケット　11枚</t>
    <rPh sb="11" eb="12">
      <t>マイ</t>
    </rPh>
    <phoneticPr fontId="4"/>
  </si>
  <si>
    <t>間所　伸央</t>
    <rPh sb="0" eb="2">
      <t>マドコロ</t>
    </rPh>
    <rPh sb="3" eb="5">
      <t>ノブオウ</t>
    </rPh>
    <phoneticPr fontId="4"/>
  </si>
  <si>
    <t>Y360Starペルリナブラック　無</t>
    <rPh sb="17" eb="18">
      <t>ナシ</t>
    </rPh>
    <phoneticPr fontId="4"/>
  </si>
  <si>
    <t>土谷　喜輝</t>
    <rPh sb="0" eb="2">
      <t>ツチタニ</t>
    </rPh>
    <rPh sb="3" eb="4">
      <t>ヨロコ</t>
    </rPh>
    <rPh sb="4" eb="5">
      <t>カガヤ</t>
    </rPh>
    <phoneticPr fontId="4"/>
  </si>
  <si>
    <t>DR G440 LST (10.5°)</t>
    <phoneticPr fontId="4"/>
  </si>
  <si>
    <t>iX series iX 2.3 BL無 コーラルレッド</t>
    <rPh sb="19" eb="20">
      <t>ナシ</t>
    </rPh>
    <phoneticPr fontId="2"/>
  </si>
  <si>
    <t>iX series iX 2.3 BL無 ライトブルー</t>
    <rPh sb="19" eb="20">
      <t>ナシ</t>
    </rPh>
    <phoneticPr fontId="2"/>
  </si>
  <si>
    <t>岩見　美樹　</t>
    <rPh sb="0" eb="2">
      <t>イワミ</t>
    </rPh>
    <rPh sb="3" eb="5">
      <t>ミキ</t>
    </rPh>
    <phoneticPr fontId="4"/>
  </si>
  <si>
    <t>PRO V1x 白</t>
    <phoneticPr fontId="4"/>
  </si>
  <si>
    <t>AirレジではV1となってるが、V1xが正</t>
    <phoneticPr fontId="4"/>
  </si>
  <si>
    <t>IR MCI プラクティス プラス パープル</t>
    <phoneticPr fontId="4"/>
  </si>
  <si>
    <t>Sticky Super Light 35g　ﾌﾞﾗｯｸ (有)</t>
    <phoneticPr fontId="4"/>
  </si>
  <si>
    <t>sticky evolution 2.3 イエロー 無</t>
    <rPh sb="26" eb="27">
      <t>ナシ</t>
    </rPh>
    <phoneticPr fontId="4"/>
  </si>
  <si>
    <t>sticky evolution 2.3 レッド 無</t>
    <rPh sb="25" eb="26">
      <t>ナシ</t>
    </rPh>
    <phoneticPr fontId="4"/>
  </si>
  <si>
    <t>戸梶　真一</t>
    <rPh sb="0" eb="2">
      <t>トカジ</t>
    </rPh>
    <rPh sb="3" eb="5">
      <t>シンイチ</t>
    </rPh>
    <phoneticPr fontId="4"/>
  </si>
  <si>
    <t>岡川　幸司</t>
    <rPh sb="0" eb="2">
      <t>オカガワ</t>
    </rPh>
    <phoneticPr fontId="4"/>
  </si>
  <si>
    <t>UT LOOP SHAFT FOR HYBRID 70S</t>
    <phoneticPr fontId="4"/>
  </si>
  <si>
    <t>金城　茉南</t>
    <rPh sb="0" eb="2">
      <t>キンジョウ</t>
    </rPh>
    <rPh sb="3" eb="4">
      <t>マツ</t>
    </rPh>
    <rPh sb="4" eb="5">
      <t>ミナミ</t>
    </rPh>
    <phoneticPr fontId="4"/>
  </si>
  <si>
    <t>栗田　優子</t>
    <rPh sb="0" eb="2">
      <t>クリタ</t>
    </rPh>
    <rPh sb="3" eb="5">
      <t>ユウコ</t>
    </rPh>
    <phoneticPr fontId="4"/>
  </si>
  <si>
    <t>中河 知夏</t>
  </si>
  <si>
    <t>中河 和美</t>
  </si>
  <si>
    <t>小脇 謙治</t>
  </si>
  <si>
    <t>須田 耕介</t>
    <phoneticPr fontId="4"/>
  </si>
  <si>
    <t>和田 卓也</t>
    <phoneticPr fontId="4"/>
  </si>
  <si>
    <t>團野 豊</t>
    <phoneticPr fontId="4"/>
  </si>
  <si>
    <t>近藤 幸裕</t>
    <phoneticPr fontId="4"/>
  </si>
  <si>
    <t>福永 有利子</t>
    <phoneticPr fontId="4"/>
  </si>
  <si>
    <t>間所 伸央</t>
  </si>
  <si>
    <t>植田 昌克</t>
    <phoneticPr fontId="4"/>
  </si>
  <si>
    <t>X HOLD RUBBER　ブルー　有</t>
    <rPh sb="18" eb="19">
      <t>アリ</t>
    </rPh>
    <phoneticPr fontId="4"/>
  </si>
  <si>
    <t>TOUR Bxs　黄色</t>
    <rPh sb="9" eb="11">
      <t>キイロ</t>
    </rPh>
    <phoneticPr fontId="4"/>
  </si>
  <si>
    <t>末岡　知朗</t>
    <rPh sb="0" eb="2">
      <t>スエオカ</t>
    </rPh>
    <rPh sb="3" eb="4">
      <t>シ</t>
    </rPh>
    <rPh sb="4" eb="5">
      <t>ロウ</t>
    </rPh>
    <phoneticPr fontId="4"/>
  </si>
  <si>
    <t>諸岡　憲徹</t>
    <rPh sb="0" eb="2">
      <t>モロオカ</t>
    </rPh>
    <rPh sb="3" eb="4">
      <t>ケン</t>
    </rPh>
    <rPh sb="4" eb="5">
      <t>テツ</t>
    </rPh>
    <phoneticPr fontId="4"/>
  </si>
  <si>
    <t>桜井　健也</t>
    <rPh sb="0" eb="2">
      <t>サクライ</t>
    </rPh>
    <rPh sb="3" eb="5">
      <t>ケンヤ</t>
    </rPh>
    <phoneticPr fontId="4"/>
  </si>
  <si>
    <t>BK/BL 水色</t>
    <rPh sb="6" eb="8">
      <t>ミズイロ</t>
    </rPh>
    <phoneticPr fontId="4"/>
  </si>
  <si>
    <t>羽山　和慶</t>
    <rPh sb="0" eb="2">
      <t>ハネヤマ</t>
    </rPh>
    <rPh sb="3" eb="4">
      <t>ワ</t>
    </rPh>
    <rPh sb="4" eb="5">
      <t>ケイ</t>
    </rPh>
    <phoneticPr fontId="4"/>
  </si>
  <si>
    <t>スタンドバッグ 黒色</t>
    <rPh sb="8" eb="10">
      <t>クロイロ</t>
    </rPh>
    <phoneticPr fontId="4"/>
  </si>
  <si>
    <t>今久保　哲哉</t>
  </si>
  <si>
    <t>sticky ultra light 34 ミルキーピンク 有</t>
    <rPh sb="30" eb="31">
      <t>アリ</t>
    </rPh>
    <phoneticPr fontId="4"/>
  </si>
  <si>
    <t>藤原　知広</t>
    <rPh sb="0" eb="2">
      <t>フジワラ</t>
    </rPh>
    <rPh sb="3" eb="4">
      <t>シ</t>
    </rPh>
    <rPh sb="4" eb="5">
      <t>ヒロ</t>
    </rPh>
    <phoneticPr fontId="4"/>
  </si>
  <si>
    <t>浅田裕美子様の分</t>
    <rPh sb="0" eb="2">
      <t>アサダ</t>
    </rPh>
    <rPh sb="2" eb="5">
      <t>ユミコ</t>
    </rPh>
    <rPh sb="5" eb="6">
      <t>サマ</t>
    </rPh>
    <rPh sb="7" eb="8">
      <t>ブン</t>
    </rPh>
    <phoneticPr fontId="4"/>
  </si>
  <si>
    <t>大花　絢奈</t>
    <rPh sb="0" eb="2">
      <t>オオハナ</t>
    </rPh>
    <rPh sb="3" eb="4">
      <t>アヤ</t>
    </rPh>
    <rPh sb="4" eb="5">
      <t>ナ</t>
    </rPh>
    <phoneticPr fontId="4"/>
  </si>
  <si>
    <t>久保　陽子</t>
    <rPh sb="0" eb="2">
      <t>クボ</t>
    </rPh>
    <rPh sb="3" eb="5">
      <t>ヨウコ</t>
    </rPh>
    <phoneticPr fontId="4"/>
  </si>
  <si>
    <t>X-Fit 全天候型 レディース 左 20cm</t>
    <rPh sb="6" eb="10">
      <t>ゼンテンコウガタ</t>
    </rPh>
    <rPh sb="17" eb="18">
      <t>ヒダリ</t>
    </rPh>
    <phoneticPr fontId="4"/>
  </si>
  <si>
    <t>会員入澤様がお会計</t>
    <rPh sb="0" eb="2">
      <t>カイイン</t>
    </rPh>
    <rPh sb="2" eb="5">
      <t>イリザワサマ</t>
    </rPh>
    <rPh sb="7" eb="9">
      <t>カイケイ</t>
    </rPh>
    <phoneticPr fontId="4"/>
  </si>
  <si>
    <t>IR ゼロス 6 35.0inch</t>
    <phoneticPr fontId="4"/>
  </si>
  <si>
    <t>sticky evolution 1.8 スカイブルー 無</t>
    <rPh sb="28" eb="29">
      <t>ナシ</t>
    </rPh>
    <phoneticPr fontId="4"/>
  </si>
  <si>
    <t>丸野　勝也</t>
    <phoneticPr fontId="4"/>
  </si>
  <si>
    <t>木下　佳香</t>
    <rPh sb="0" eb="2">
      <t>キノシタ</t>
    </rPh>
    <rPh sb="3" eb="5">
      <t>ヨシカ</t>
    </rPh>
    <phoneticPr fontId="4"/>
  </si>
  <si>
    <t>DR DIAMOND SPEEDER 3R</t>
    <phoneticPr fontId="4"/>
  </si>
  <si>
    <t>G440 DR用</t>
    <rPh sb="7" eb="8">
      <t>ヨウ</t>
    </rPh>
    <phoneticPr fontId="4"/>
  </si>
  <si>
    <t>丁子谷　彰敏</t>
    <rPh sb="0" eb="3">
      <t>チョウシタニ</t>
    </rPh>
    <rPh sb="4" eb="5">
      <t>アキラ</t>
    </rPh>
    <rPh sb="5" eb="6">
      <t>トシ</t>
    </rPh>
    <phoneticPr fontId="4"/>
  </si>
  <si>
    <t>IR MCI プラクティス プラス パープル</t>
  </si>
  <si>
    <t>Y360starベルリナブラック　無</t>
    <phoneticPr fontId="4"/>
  </si>
  <si>
    <t>IR 950 NEO R</t>
    <phoneticPr fontId="4"/>
  </si>
  <si>
    <t>2025年5月13日の参加料</t>
    <rPh sb="4" eb="5">
      <t>ネン</t>
    </rPh>
    <rPh sb="6" eb="7">
      <t>ガツ</t>
    </rPh>
    <rPh sb="9" eb="10">
      <t>ニチ</t>
    </rPh>
    <rPh sb="11" eb="14">
      <t>サンカリョウ</t>
    </rPh>
    <phoneticPr fontId="4"/>
  </si>
  <si>
    <t>芦田　博之</t>
    <rPh sb="0" eb="2">
      <t>アシダ</t>
    </rPh>
    <rPh sb="3" eb="5">
      <t>ヒロユキ</t>
    </rPh>
    <phoneticPr fontId="4"/>
  </si>
  <si>
    <t>IR TT FORGET IRON DC BLACK</t>
    <phoneticPr fontId="4"/>
  </si>
  <si>
    <t>IR LEXIA IL5 LT</t>
    <phoneticPr fontId="4"/>
  </si>
  <si>
    <t>IR LEXIA IL5 HV</t>
    <phoneticPr fontId="4"/>
  </si>
  <si>
    <t>IR LEXIA IL7 HV</t>
    <phoneticPr fontId="4"/>
  </si>
  <si>
    <t>UT LOOP SHAFT FOR HYBRID 70SR</t>
    <phoneticPr fontId="4"/>
  </si>
  <si>
    <t>sticky ultra light 1.0 ブラック 有</t>
    <rPh sb="28" eb="29">
      <t>アリ</t>
    </rPh>
    <phoneticPr fontId="4"/>
  </si>
  <si>
    <t>スティングレー M58 有</t>
    <rPh sb="12" eb="13">
      <t>アリ</t>
    </rPh>
    <phoneticPr fontId="4"/>
  </si>
  <si>
    <t>XXIO ロイヤルゴールド</t>
    <phoneticPr fontId="4"/>
  </si>
  <si>
    <t>スティングレー M58 無</t>
    <rPh sb="12" eb="13">
      <t>ナシ</t>
    </rPh>
    <phoneticPr fontId="4"/>
  </si>
  <si>
    <t>坂　房和</t>
    <rPh sb="0" eb="1">
      <t>サカ</t>
    </rPh>
    <rPh sb="2" eb="4">
      <t>フサカズ</t>
    </rPh>
    <phoneticPr fontId="4"/>
  </si>
  <si>
    <t>髙倉　龍太</t>
    <rPh sb="0" eb="1">
      <t>ダカイ</t>
    </rPh>
    <rPh sb="1" eb="2">
      <t>クラ</t>
    </rPh>
    <rPh sb="3" eb="5">
      <t>リュウタ</t>
    </rPh>
    <phoneticPr fontId="4"/>
  </si>
  <si>
    <t>LOOP FW Prototype Six SX</t>
    <phoneticPr fontId="4"/>
  </si>
  <si>
    <t>FW DS-ADAPT X (#3 15.0°)</t>
    <phoneticPr fontId="4"/>
  </si>
  <si>
    <t>FW DS-ADAPT X (#5 18.0°)</t>
    <phoneticPr fontId="4"/>
  </si>
  <si>
    <t>田村　由美子</t>
    <rPh sb="0" eb="2">
      <t>タムラ</t>
    </rPh>
    <rPh sb="3" eb="6">
      <t>ユミコ</t>
    </rPh>
    <phoneticPr fontId="4"/>
  </si>
  <si>
    <t>窪田　博之</t>
    <rPh sb="0" eb="2">
      <t>クボタ</t>
    </rPh>
    <rPh sb="3" eb="5">
      <t>ヒロユキ</t>
    </rPh>
    <phoneticPr fontId="4"/>
  </si>
  <si>
    <t>御厨　一郎</t>
    <rPh sb="0" eb="2">
      <t>ミクリヤ</t>
    </rPh>
    <rPh sb="3" eb="5">
      <t>イチロウ</t>
    </rPh>
    <phoneticPr fontId="4"/>
  </si>
  <si>
    <t>DR TOUR AD PT-6 S</t>
    <phoneticPr fontId="4"/>
  </si>
  <si>
    <t>21cm 左 黒</t>
    <rPh sb="5" eb="6">
      <t>ヒダリ</t>
    </rPh>
    <rPh sb="7" eb="8">
      <t>クロ</t>
    </rPh>
    <phoneticPr fontId="4"/>
  </si>
  <si>
    <t>石本　脩真</t>
    <rPh sb="0" eb="2">
      <t>イシモト</t>
    </rPh>
    <rPh sb="3" eb="4">
      <t>シュウ</t>
    </rPh>
    <rPh sb="4" eb="5">
      <t>シン</t>
    </rPh>
    <phoneticPr fontId="4"/>
  </si>
  <si>
    <t>Airレジは【誤】オレンジ　【正】スカイブルー</t>
    <rPh sb="7" eb="8">
      <t>アヤマ</t>
    </rPh>
    <rPh sb="15" eb="16">
      <t>タダ</t>
    </rPh>
    <phoneticPr fontId="4"/>
  </si>
  <si>
    <t>タジオスタイル ニューポート2 34inch</t>
    <phoneticPr fontId="4"/>
  </si>
  <si>
    <t>スコッティキャメロン</t>
    <phoneticPr fontId="4"/>
  </si>
  <si>
    <t>山本プロ</t>
    <rPh sb="0" eb="2">
      <t>ヤマモト</t>
    </rPh>
    <phoneticPr fontId="4"/>
  </si>
  <si>
    <t>高倉　龍太</t>
    <phoneticPr fontId="4"/>
  </si>
  <si>
    <t>畑中　祐介</t>
    <rPh sb="0" eb="2">
      <t>ハタナカ</t>
    </rPh>
    <rPh sb="3" eb="4">
      <t>ユウ</t>
    </rPh>
    <rPh sb="4" eb="5">
      <t>スケ</t>
    </rPh>
    <phoneticPr fontId="4"/>
  </si>
  <si>
    <t>社長、ロータリー、宝塚G関連</t>
    <rPh sb="0" eb="2">
      <t>シャチョウ</t>
    </rPh>
    <rPh sb="9" eb="10">
      <t>タカラ</t>
    </rPh>
    <rPh sb="10" eb="11">
      <t>ツカ</t>
    </rPh>
    <rPh sb="12" eb="14">
      <t>カンレン</t>
    </rPh>
    <phoneticPr fontId="4"/>
  </si>
  <si>
    <t>森田　剛</t>
    <rPh sb="0" eb="2">
      <t>モリタ</t>
    </rPh>
    <rPh sb="3" eb="4">
      <t>ゴウ</t>
    </rPh>
    <phoneticPr fontId="4"/>
  </si>
  <si>
    <t>FW DIAMOND SPEEDER 5S</t>
    <phoneticPr fontId="4"/>
  </si>
  <si>
    <t>UT DIAMOND SPEEDER 7S</t>
    <phoneticPr fontId="4"/>
  </si>
  <si>
    <t>X evolution 2.3 ブルー 有</t>
    <rPh sb="20" eb="21">
      <t>アリ</t>
    </rPh>
    <phoneticPr fontId="4"/>
  </si>
  <si>
    <t>X evolution 2.3 ブルー 無</t>
    <rPh sb="20" eb="21">
      <t>ナシ</t>
    </rPh>
    <phoneticPr fontId="4"/>
  </si>
  <si>
    <t>2025年6月分</t>
    <rPh sb="4" eb="5">
      <t>ネン</t>
    </rPh>
    <rPh sb="6" eb="8">
      <t>ガツブン</t>
    </rPh>
    <phoneticPr fontId="4"/>
  </si>
  <si>
    <t>柏原　直生</t>
    <phoneticPr fontId="4"/>
  </si>
  <si>
    <t>iX touch 2.0 ブラック×オレンジ 有</t>
    <rPh sb="23" eb="24">
      <t>アリ</t>
    </rPh>
    <phoneticPr fontId="4"/>
  </si>
  <si>
    <t>iX touch 2.0 ブラック×オレンジ 無</t>
    <rPh sb="23" eb="24">
      <t>ナシ</t>
    </rPh>
    <phoneticPr fontId="4"/>
  </si>
  <si>
    <t>渡邊　廣文</t>
    <rPh sb="0" eb="2">
      <t>ワタナベ</t>
    </rPh>
    <rPh sb="3" eb="5">
      <t>ヒロフミ</t>
    </rPh>
    <phoneticPr fontId="4"/>
  </si>
  <si>
    <t>前田プロ</t>
    <rPh sb="0" eb="2">
      <t>マエダ</t>
    </rPh>
    <phoneticPr fontId="4"/>
  </si>
  <si>
    <t>Ai-ONE Square 2 Square DOUBLE</t>
    <phoneticPr fontId="4"/>
  </si>
  <si>
    <t>DIAMOND SPEEDER 6 S</t>
    <phoneticPr fontId="4"/>
  </si>
  <si>
    <t>Sticky EVO 2.3  ブルー 無</t>
    <rPh sb="20" eb="21">
      <t>ナシ</t>
    </rPh>
    <phoneticPr fontId="4"/>
  </si>
  <si>
    <t>Sticky 2.3 soft 有 ブラック</t>
    <rPh sb="16" eb="17">
      <t>アリ</t>
    </rPh>
    <phoneticPr fontId="4"/>
  </si>
  <si>
    <t>深見  由一郎</t>
    <rPh sb="0" eb="2">
      <t>フカミ</t>
    </rPh>
    <rPh sb="4" eb="5">
      <t>ヨシ</t>
    </rPh>
    <rPh sb="5" eb="7">
      <t>イチロウ</t>
    </rPh>
    <phoneticPr fontId="4"/>
  </si>
  <si>
    <t>兼森　壽雄</t>
    <rPh sb="0" eb="2">
      <t>ケンモリ</t>
    </rPh>
    <rPh sb="3" eb="4">
      <t>コトブキ</t>
    </rPh>
    <rPh sb="4" eb="5">
      <t>ユウ</t>
    </rPh>
    <phoneticPr fontId="4"/>
  </si>
  <si>
    <t>玉井　修子</t>
    <rPh sb="0" eb="2">
      <t>タマイ</t>
    </rPh>
    <rPh sb="3" eb="5">
      <t>シュウコ</t>
    </rPh>
    <rPh sb="4" eb="5">
      <t>コ</t>
    </rPh>
    <phoneticPr fontId="4"/>
  </si>
  <si>
    <t>レギュラー会員→法人会員</t>
    <rPh sb="5" eb="7">
      <t>カイイン</t>
    </rPh>
    <rPh sb="8" eb="12">
      <t>ホウジンカイイン</t>
    </rPh>
    <phoneticPr fontId="4"/>
  </si>
  <si>
    <t>朝比　夏織</t>
    <rPh sb="0" eb="1">
      <t>アサ</t>
    </rPh>
    <rPh sb="1" eb="2">
      <t>ヒ</t>
    </rPh>
    <rPh sb="3" eb="4">
      <t>ナツ</t>
    </rPh>
    <rPh sb="4" eb="5">
      <t>オリ</t>
    </rPh>
    <phoneticPr fontId="4"/>
  </si>
  <si>
    <t>Airレジ　【誤】プラチナム　</t>
    <rPh sb="7" eb="8">
      <t>アヤマ</t>
    </rPh>
    <phoneticPr fontId="4"/>
  </si>
  <si>
    <t>7～9月休会取り消しのため</t>
    <rPh sb="3" eb="4">
      <t>ガツ</t>
    </rPh>
    <rPh sb="4" eb="6">
      <t>キュウカイ</t>
    </rPh>
    <rPh sb="6" eb="7">
      <t>ト</t>
    </rPh>
    <rPh sb="8" eb="9">
      <t>ケ</t>
    </rPh>
    <phoneticPr fontId="4"/>
  </si>
  <si>
    <r>
      <t>LINEクーポンご利用　</t>
    </r>
    <r>
      <rPr>
        <sz val="11"/>
        <color rgb="FFFF0000"/>
        <rFont val="メイリオ"/>
        <family val="3"/>
        <charset val="128"/>
      </rPr>
      <t>実際は￥2,800</t>
    </r>
    <rPh sb="9" eb="11">
      <t>リヨウ</t>
    </rPh>
    <rPh sb="12" eb="14">
      <t>ジッサイ</t>
    </rPh>
    <phoneticPr fontId="4"/>
  </si>
  <si>
    <t>DR VANQUISH 4R</t>
    <phoneticPr fontId="4"/>
  </si>
  <si>
    <t>DR GT2 11.0°</t>
    <phoneticPr fontId="4"/>
  </si>
  <si>
    <t>吉川　法生</t>
    <rPh sb="0" eb="2">
      <t>キッカワ</t>
    </rPh>
    <rPh sb="3" eb="5">
      <t>ホウセイ</t>
    </rPh>
    <phoneticPr fontId="4"/>
  </si>
  <si>
    <t>IR DIAMOND SPEEDER 6S</t>
    <phoneticPr fontId="4"/>
  </si>
  <si>
    <t>ウェッジ ゼロス 7S</t>
    <phoneticPr fontId="4"/>
  </si>
  <si>
    <t>大花　絢奈</t>
    <rPh sb="0" eb="1">
      <t>ダイ</t>
    </rPh>
    <rPh sb="1" eb="2">
      <t>ハナ</t>
    </rPh>
    <rPh sb="3" eb="5">
      <t>アヤナ</t>
    </rPh>
    <phoneticPr fontId="4"/>
  </si>
  <si>
    <t>会計同じ</t>
    <rPh sb="0" eb="2">
      <t>カイケイ</t>
    </rPh>
    <rPh sb="2" eb="3">
      <t>オナ</t>
    </rPh>
    <phoneticPr fontId="4"/>
  </si>
  <si>
    <t>Pro V1x 白</t>
    <phoneticPr fontId="4"/>
  </si>
  <si>
    <t>杉中 大輔</t>
    <phoneticPr fontId="4"/>
  </si>
  <si>
    <t>下坂　輝基</t>
    <phoneticPr fontId="4"/>
  </si>
  <si>
    <t>FW DIAMOND SPEEDER 4R2</t>
    <phoneticPr fontId="4"/>
  </si>
  <si>
    <t>UT DIAMOND SPEEDER 5R</t>
    <phoneticPr fontId="4"/>
  </si>
  <si>
    <t>FW G440 MAX 4w</t>
    <phoneticPr fontId="4"/>
  </si>
  <si>
    <t>宮本　一史</t>
    <rPh sb="0" eb="2">
      <t>ミヤモト</t>
    </rPh>
    <rPh sb="3" eb="4">
      <t>カズ</t>
    </rPh>
    <rPh sb="4" eb="5">
      <t>シ</t>
    </rPh>
    <phoneticPr fontId="4"/>
  </si>
  <si>
    <t>河村　誠司</t>
    <rPh sb="0" eb="2">
      <t>カワムラ</t>
    </rPh>
    <rPh sb="3" eb="5">
      <t>セイジ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</si>
  <si>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</si>
  <si>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</si>
  <si>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TOUR BXS イエロー</t>
    <phoneticPr fontId="4"/>
  </si>
  <si>
    <t>現金</t>
    <rPh sb="0" eb="2">
      <t>ゲンキン</t>
    </rPh>
    <phoneticPr fontId="4"/>
  </si>
  <si>
    <t>小池 優季史</t>
  </si>
  <si>
    <t>会員</t>
    <rPh sb="0" eb="2">
      <t>カイイン</t>
    </rPh>
    <phoneticPr fontId="4"/>
  </si>
  <si>
    <t>super stroke</t>
    <phoneticPr fontId="4"/>
  </si>
  <si>
    <t xml:space="preserve">TR PISTOL GT TOUR </t>
    <phoneticPr fontId="4"/>
  </si>
  <si>
    <t>Airペイ</t>
    <phoneticPr fontId="4"/>
  </si>
  <si>
    <t>前田　修</t>
    <rPh sb="0" eb="2">
      <t>マエダ</t>
    </rPh>
    <rPh sb="3" eb="4">
      <t>オサム</t>
    </rPh>
    <phoneticPr fontId="4"/>
  </si>
  <si>
    <t>渡邊　廣文</t>
    <rPh sb="0" eb="2">
      <t>ワタナベ</t>
    </rPh>
    <rPh sb="3" eb="4">
      <t>ヒロ</t>
    </rPh>
    <rPh sb="4" eb="5">
      <t>フミ</t>
    </rPh>
    <phoneticPr fontId="4"/>
  </si>
  <si>
    <t>販売</t>
    <rPh sb="0" eb="2">
      <t>ハンバイ</t>
    </rPh>
    <phoneticPr fontId="4"/>
  </si>
  <si>
    <t>グリップ</t>
    <phoneticPr fontId="4"/>
  </si>
  <si>
    <t>現金</t>
    <phoneticPr fontId="4"/>
  </si>
  <si>
    <t>DR SPEEDER NX BLACK 40S</t>
    <phoneticPr fontId="4"/>
  </si>
  <si>
    <t>大花　俊介</t>
    <rPh sb="0" eb="2">
      <t>オオハナ</t>
    </rPh>
    <rPh sb="3" eb="5">
      <t>シュンスケ</t>
    </rPh>
    <phoneticPr fontId="4"/>
  </si>
  <si>
    <t>会員</t>
    <rPh sb="0" eb="2">
      <t>カイイン</t>
    </rPh>
    <phoneticPr fontId="4"/>
  </si>
  <si>
    <t>入力者</t>
    <rPh sb="0" eb="2">
      <t>ニュウリョク</t>
    </rPh>
    <rPh sb="2" eb="3">
      <t>シャ</t>
    </rPh>
    <phoneticPr fontId="4"/>
  </si>
  <si>
    <t>卜部</t>
    <rPh sb="0" eb="2">
      <t>ウラベ</t>
    </rPh>
    <phoneticPr fontId="4"/>
  </si>
  <si>
    <t>古川</t>
    <rPh sb="0" eb="2">
      <t>フルカワ</t>
    </rPh>
    <phoneticPr fontId="4"/>
  </si>
  <si>
    <t>6月分　マスター差額</t>
    <rPh sb="1" eb="2">
      <t>ガツ</t>
    </rPh>
    <rPh sb="2" eb="3">
      <t>ブン</t>
    </rPh>
    <rPh sb="8" eb="10">
      <t>サガク</t>
    </rPh>
    <phoneticPr fontId="4"/>
  </si>
  <si>
    <t>6月分　月会費</t>
    <rPh sb="1" eb="3">
      <t>ガツブン</t>
    </rPh>
    <rPh sb="4" eb="5">
      <t>ツキ</t>
    </rPh>
    <rPh sb="5" eb="7">
      <t>カイヒ</t>
    </rPh>
    <phoneticPr fontId="4"/>
  </si>
  <si>
    <t>7月分　月会費</t>
    <rPh sb="1" eb="3">
      <t>ガツブン</t>
    </rPh>
    <rPh sb="4" eb="5">
      <t>ツキ</t>
    </rPh>
    <rPh sb="5" eb="7">
      <t>カイヒ</t>
    </rPh>
    <phoneticPr fontId="4"/>
  </si>
  <si>
    <t>谷川</t>
    <rPh sb="0" eb="2">
      <t>タニガワ</t>
    </rPh>
    <phoneticPr fontId="4"/>
  </si>
  <si>
    <t>徳島　裕樹</t>
    <rPh sb="0" eb="2">
      <t>トクシマ</t>
    </rPh>
    <rPh sb="3" eb="5">
      <t>ヒロキ</t>
    </rPh>
    <phoneticPr fontId="4"/>
  </si>
  <si>
    <t>寺本　一斗</t>
    <rPh sb="0" eb="2">
      <t>テラモト</t>
    </rPh>
    <rPh sb="3" eb="4">
      <t>ハジメ</t>
    </rPh>
    <rPh sb="4" eb="5">
      <t>ト</t>
    </rPh>
    <phoneticPr fontId="4"/>
  </si>
  <si>
    <t>渡部　啓子</t>
    <rPh sb="0" eb="2">
      <t>ワタナベ</t>
    </rPh>
    <rPh sb="3" eb="5">
      <t>ケイコ</t>
    </rPh>
    <phoneticPr fontId="4"/>
  </si>
  <si>
    <t>会員</t>
    <rPh sb="0" eb="2">
      <t>カイイン</t>
    </rPh>
    <phoneticPr fontId="4"/>
  </si>
  <si>
    <t>ティー</t>
    <phoneticPr fontId="4"/>
  </si>
  <si>
    <t>TORNADO TEE RW</t>
    <phoneticPr fontId="4"/>
  </si>
  <si>
    <t>Airペイ</t>
    <phoneticPr fontId="4"/>
  </si>
  <si>
    <t>榎本</t>
    <rPh sb="0" eb="2">
      <t>エノモト</t>
    </rPh>
    <phoneticPr fontId="4"/>
  </si>
  <si>
    <t>柏原　直生</t>
    <rPh sb="0" eb="2">
      <t>カシワバラ</t>
    </rPh>
    <rPh sb="3" eb="5">
      <t>ナオキ</t>
    </rPh>
    <phoneticPr fontId="4"/>
  </si>
  <si>
    <t>Airペイ</t>
    <phoneticPr fontId="4"/>
  </si>
  <si>
    <t>古川</t>
    <rPh sb="0" eb="2">
      <t>フルカワ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</si>
  <si>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</si>
  <si>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</si>
  <si>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エリート</t>
    <phoneticPr fontId="4"/>
  </si>
  <si>
    <t>Y360S　XT無</t>
    <rPh sb="8" eb="9">
      <t>ナシ</t>
    </rPh>
    <phoneticPr fontId="4"/>
  </si>
  <si>
    <t>井殿</t>
    <rPh sb="0" eb="2">
      <t>イドノ</t>
    </rPh>
    <phoneticPr fontId="4"/>
  </si>
  <si>
    <t>和島　将志</t>
    <rPh sb="0" eb="2">
      <t>ワジマ</t>
    </rPh>
    <rPh sb="3" eb="4">
      <t>マサル</t>
    </rPh>
    <rPh sb="4" eb="5">
      <t>シ</t>
    </rPh>
    <phoneticPr fontId="4"/>
  </si>
  <si>
    <t>クラブ内訳</t>
    <rPh sb="3" eb="5">
      <t>ウチワケ</t>
    </rPh>
    <phoneticPr fontId="4"/>
  </si>
  <si>
    <t>商品</t>
    <rPh sb="0" eb="2">
      <t>ショウヒン</t>
    </rPh>
    <phoneticPr fontId="4"/>
  </si>
  <si>
    <t>perfect pro</t>
    <phoneticPr fontId="4"/>
  </si>
  <si>
    <t>Xホールド ブラックラバー オレンジ 無</t>
    <rPh sb="19" eb="20">
      <t>ナシ</t>
    </rPh>
    <phoneticPr fontId="4"/>
  </si>
  <si>
    <t>森　忠司</t>
    <rPh sb="0" eb="1">
      <t>モリ</t>
    </rPh>
    <rPh sb="2" eb="4">
      <t>タダシツカサ</t>
    </rPh>
    <phoneticPr fontId="4"/>
  </si>
  <si>
    <t>販売</t>
    <rPh sb="0" eb="2">
      <t>ハンバイ</t>
    </rPh>
    <phoneticPr fontId="4"/>
  </si>
  <si>
    <t>シャフト</t>
    <phoneticPr fontId="4"/>
  </si>
  <si>
    <t>スリーブ</t>
    <phoneticPr fontId="4"/>
  </si>
  <si>
    <t>REVE</t>
    <phoneticPr fontId="4"/>
  </si>
  <si>
    <t>RAVER AsSAULT ATTACK 60X</t>
    <phoneticPr fontId="4"/>
  </si>
  <si>
    <t>林　直樹</t>
    <rPh sb="0" eb="1">
      <t>ハヤシ</t>
    </rPh>
    <rPh sb="2" eb="4">
      <t>ナオキ</t>
    </rPh>
    <phoneticPr fontId="4"/>
  </si>
  <si>
    <t>会員</t>
    <rPh sb="0" eb="2">
      <t>カイイン</t>
    </rPh>
    <phoneticPr fontId="4"/>
  </si>
  <si>
    <t>鬼塚　隆志</t>
    <rPh sb="0" eb="2">
      <t>オニズカ</t>
    </rPh>
    <rPh sb="3" eb="4">
      <t>タカシ</t>
    </rPh>
    <rPh sb="4" eb="5">
      <t>ココロザシ</t>
    </rPh>
    <phoneticPr fontId="4"/>
  </si>
  <si>
    <t>谷川</t>
    <rPh sb="0" eb="2">
      <t>タニガワ</t>
    </rPh>
    <phoneticPr fontId="4"/>
  </si>
  <si>
    <t>古川</t>
    <rPh sb="0" eb="2">
      <t>フルカワ</t>
    </rPh>
    <phoneticPr fontId="4"/>
  </si>
  <si>
    <t>高倉　龍太</t>
    <rPh sb="0" eb="2">
      <t>タカクラ</t>
    </rPh>
    <rPh sb="3" eb="5">
      <t>リュウタ</t>
    </rPh>
    <phoneticPr fontId="4"/>
  </si>
  <si>
    <t>会員</t>
    <rPh sb="0" eb="2">
      <t>カイイン</t>
    </rPh>
    <phoneticPr fontId="4"/>
  </si>
  <si>
    <t>Sticky EVO 2.3  コーラルレッド 無</t>
    <rPh sb="24" eb="25">
      <t>ナシ</t>
    </rPh>
    <phoneticPr fontId="4"/>
  </si>
  <si>
    <t>井殿</t>
    <rPh sb="0" eb="2">
      <t>イドノ</t>
    </rPh>
    <phoneticPr fontId="4"/>
  </si>
  <si>
    <t>古川</t>
    <rPh sb="0" eb="2">
      <t>フルカワ</t>
    </rPh>
    <phoneticPr fontId="4"/>
  </si>
  <si>
    <t>中間健志郎</t>
    <rPh sb="0" eb="2">
      <t>ナカマ</t>
    </rPh>
    <rPh sb="2" eb="3">
      <t>ケン</t>
    </rPh>
    <rPh sb="3" eb="5">
      <t>シロウ</t>
    </rPh>
    <phoneticPr fontId="4"/>
  </si>
  <si>
    <t>会員</t>
    <rPh sb="0" eb="2">
      <t>カイイン</t>
    </rPh>
    <phoneticPr fontId="4"/>
  </si>
  <si>
    <t>7～9月分</t>
    <rPh sb="3" eb="5">
      <t>ガツブン</t>
    </rPh>
    <phoneticPr fontId="4"/>
  </si>
  <si>
    <t>卜部</t>
    <rPh sb="0" eb="2">
      <t>ウラベ</t>
    </rPh>
    <phoneticPr fontId="4"/>
  </si>
  <si>
    <t>社長</t>
    <rPh sb="0" eb="2">
      <t>シャチョウ</t>
    </rPh>
    <phoneticPr fontId="4"/>
  </si>
  <si>
    <t>スタッフ</t>
    <phoneticPr fontId="4"/>
  </si>
  <si>
    <t>販売</t>
    <rPh sb="0" eb="2">
      <t>ハンバイ</t>
    </rPh>
    <phoneticPr fontId="4"/>
  </si>
  <si>
    <t>GT3 Driver 9.0°</t>
    <phoneticPr fontId="4"/>
  </si>
  <si>
    <t>西條 伸一郎</t>
    <rPh sb="0" eb="2">
      <t>サイジョウ</t>
    </rPh>
    <rPh sb="3" eb="6">
      <t>シンイチロウ</t>
    </rPh>
    <phoneticPr fontId="4"/>
  </si>
  <si>
    <t>前中直子</t>
    <rPh sb="0" eb="2">
      <t>マエナカ</t>
    </rPh>
    <rPh sb="2" eb="4">
      <t>ナオコ</t>
    </rPh>
    <phoneticPr fontId="4"/>
  </si>
  <si>
    <t>販売者</t>
    <rPh sb="0" eb="3">
      <t>ハンバイシャ</t>
    </rPh>
    <phoneticPr fontId="4"/>
  </si>
  <si>
    <t>谷川</t>
    <rPh sb="0" eb="2">
      <t>タニガワ</t>
    </rPh>
    <phoneticPr fontId="4"/>
  </si>
  <si>
    <t>志野さん</t>
    <rPh sb="0" eb="2">
      <t>シノ</t>
    </rPh>
    <phoneticPr fontId="4"/>
  </si>
  <si>
    <t>古川</t>
    <rPh sb="0" eb="2">
      <t>フルカワ</t>
    </rPh>
    <phoneticPr fontId="4"/>
  </si>
  <si>
    <t>販売</t>
    <rPh sb="0" eb="2">
      <t>ハンバイ</t>
    </rPh>
    <phoneticPr fontId="4"/>
  </si>
  <si>
    <t>パワフルスイング GF100 黄色</t>
    <rPh sb="15" eb="17">
      <t>キイロ</t>
    </rPh>
    <phoneticPr fontId="4"/>
  </si>
  <si>
    <t>Golf it</t>
    <phoneticPr fontId="4"/>
  </si>
  <si>
    <t>榎本プロ</t>
    <rPh sb="0" eb="2">
      <t>エノモト</t>
    </rPh>
    <phoneticPr fontId="4"/>
  </si>
  <si>
    <t>練習器具</t>
    <rPh sb="0" eb="4">
      <t>レンシュウキグ</t>
    </rPh>
    <phoneticPr fontId="4"/>
  </si>
  <si>
    <t>志野さん</t>
    <rPh sb="0" eb="2">
      <t>シノ</t>
    </rPh>
    <phoneticPr fontId="4"/>
  </si>
  <si>
    <t>DR Natural 9 ROSSO 20</t>
    <phoneticPr fontId="4"/>
  </si>
  <si>
    <t>フィッティング</t>
    <phoneticPr fontId="4"/>
  </si>
  <si>
    <t>現金</t>
    <rPh sb="0" eb="2">
      <t>ゲンキン</t>
    </rPh>
    <phoneticPr fontId="4"/>
  </si>
  <si>
    <t>大久保 嘉禎</t>
    <rPh sb="0" eb="3">
      <t>オオクボ</t>
    </rPh>
    <rPh sb="4" eb="5">
      <t>ヨシ</t>
    </rPh>
    <rPh sb="5" eb="6">
      <t>サダ</t>
    </rPh>
    <phoneticPr fontId="4"/>
  </si>
  <si>
    <t>吉川　法生</t>
    <rPh sb="0" eb="2">
      <t>キッカワ</t>
    </rPh>
    <rPh sb="3" eb="4">
      <t>ホウ</t>
    </rPh>
    <rPh sb="4" eb="5">
      <t>イ</t>
    </rPh>
    <phoneticPr fontId="4"/>
  </si>
  <si>
    <t>会員</t>
    <rPh sb="0" eb="2">
      <t>カイイン</t>
    </rPh>
    <phoneticPr fontId="4"/>
  </si>
  <si>
    <t>利用料</t>
    <rPh sb="0" eb="3">
      <t>リヨウリョウ</t>
    </rPh>
    <phoneticPr fontId="4"/>
  </si>
  <si>
    <t>打席利用</t>
    <rPh sb="0" eb="4">
      <t>ダセキリヨウ</t>
    </rPh>
    <phoneticPr fontId="4"/>
  </si>
  <si>
    <t>パーソナルレッスン（25分）</t>
    <rPh sb="12" eb="13">
      <t>フン</t>
    </rPh>
    <phoneticPr fontId="4"/>
  </si>
  <si>
    <t>現金</t>
    <rPh sb="0" eb="1">
      <t>ゲン</t>
    </rPh>
    <rPh sb="1" eb="2">
      <t>キン</t>
    </rPh>
    <phoneticPr fontId="4"/>
  </si>
  <si>
    <t>卜部</t>
    <rPh sb="0" eb="2">
      <t>ウラベ</t>
    </rPh>
    <phoneticPr fontId="4"/>
  </si>
  <si>
    <t>福本　みどり</t>
    <rPh sb="0" eb="2">
      <t>フクモト</t>
    </rPh>
    <phoneticPr fontId="4"/>
  </si>
  <si>
    <t>古川</t>
    <rPh sb="0" eb="2">
      <t>フルカワ</t>
    </rPh>
    <phoneticPr fontId="4"/>
  </si>
  <si>
    <t>卜部</t>
    <rPh sb="0" eb="2">
      <t>ウラベ</t>
    </rPh>
    <phoneticPr fontId="4"/>
  </si>
  <si>
    <t>TOUR TEE Pro</t>
    <phoneticPr fontId="4"/>
  </si>
  <si>
    <t>中川　浩二</t>
    <rPh sb="0" eb="2">
      <t>ナカガワ</t>
    </rPh>
    <rPh sb="3" eb="5">
      <t>コウジ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</si>
  <si>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</si>
  <si>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</si>
  <si>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IR DIAMOND SPEEDER 6 S</t>
    <phoneticPr fontId="4"/>
  </si>
  <si>
    <t>Sticky SUPER LIGHT 1.8 (有)ブラック</t>
    <rPh sb="24" eb="25">
      <t>アリ</t>
    </rPh>
    <phoneticPr fontId="4"/>
  </si>
  <si>
    <t>喜田　徹</t>
    <rPh sb="0" eb="2">
      <t>キダ</t>
    </rPh>
    <rPh sb="3" eb="4">
      <t>テツ</t>
    </rPh>
    <phoneticPr fontId="4"/>
  </si>
  <si>
    <t>会員</t>
    <rPh sb="0" eb="2">
      <t>カイイン</t>
    </rPh>
    <phoneticPr fontId="4"/>
  </si>
  <si>
    <t>FW Natural 9 NERO 25</t>
  </si>
  <si>
    <t>Xホールド ブラックラバー ブラック　有</t>
    <rPh sb="19" eb="20">
      <t>アリ</t>
    </rPh>
    <phoneticPr fontId="4"/>
  </si>
  <si>
    <t>兼松　和司</t>
    <rPh sb="0" eb="2">
      <t>ケンマツ</t>
    </rPh>
    <rPh sb="3" eb="5">
      <t>カズシ</t>
    </rPh>
    <phoneticPr fontId="4"/>
  </si>
  <si>
    <t>会員</t>
    <rPh sb="0" eb="2">
      <t>カイイン</t>
    </rPh>
    <phoneticPr fontId="4"/>
  </si>
  <si>
    <t>兼松　増美</t>
    <rPh sb="0" eb="2">
      <t>カネマツ</t>
    </rPh>
    <rPh sb="3" eb="5">
      <t>マスミ</t>
    </rPh>
    <phoneticPr fontId="4"/>
  </si>
  <si>
    <t>栗田　優子</t>
    <rPh sb="0" eb="2">
      <t>クリタ</t>
    </rPh>
    <rPh sb="3" eb="5">
      <t>ユウコ</t>
    </rPh>
    <phoneticPr fontId="4"/>
  </si>
  <si>
    <t>レギュラー　1ケ月</t>
    <phoneticPr fontId="4"/>
  </si>
  <si>
    <t>レギュラー　0.25ケ月</t>
    <phoneticPr fontId="4"/>
  </si>
  <si>
    <t>VENTUS BLACK 6S</t>
    <phoneticPr fontId="4"/>
  </si>
  <si>
    <t>スリーブ</t>
    <phoneticPr fontId="4"/>
  </si>
  <si>
    <t>COBRA</t>
    <phoneticPr fontId="4"/>
  </si>
  <si>
    <t>IX series Ixxx ブラック　有</t>
    <rPh sb="20" eb="21">
      <t>アリ</t>
    </rPh>
    <phoneticPr fontId="4"/>
  </si>
  <si>
    <t>卜部</t>
    <rPh sb="0" eb="2">
      <t>ウラベ</t>
    </rPh>
    <phoneticPr fontId="4"/>
  </si>
  <si>
    <t>会員</t>
    <rPh sb="0" eb="2">
      <t>カイイン</t>
    </rPh>
    <phoneticPr fontId="4"/>
  </si>
  <si>
    <t>北　秀実</t>
    <rPh sb="0" eb="1">
      <t>キタ</t>
    </rPh>
    <rPh sb="2" eb="4">
      <t>ヒデミ</t>
    </rPh>
    <phoneticPr fontId="4"/>
  </si>
  <si>
    <t>現金</t>
    <rPh sb="0" eb="2">
      <t>ゲンキン</t>
    </rPh>
    <phoneticPr fontId="4"/>
  </si>
  <si>
    <t>松島　亮太</t>
    <rPh sb="0" eb="2">
      <t>マツシマ</t>
    </rPh>
    <rPh sb="3" eb="5">
      <t>リョウタ</t>
    </rPh>
    <phoneticPr fontId="4"/>
  </si>
  <si>
    <t>矢野　孝俊</t>
    <rPh sb="0" eb="2">
      <t>ヤノ</t>
    </rPh>
    <rPh sb="3" eb="5">
      <t>タカトシ</t>
    </rPh>
    <phoneticPr fontId="4"/>
  </si>
  <si>
    <t>フィッティング</t>
    <phoneticPr fontId="4"/>
  </si>
  <si>
    <t>前中　直子</t>
    <rPh sb="0" eb="2">
      <t>マエナカ</t>
    </rPh>
    <rPh sb="3" eb="5">
      <t>ナオコ</t>
    </rPh>
    <phoneticPr fontId="4"/>
  </si>
  <si>
    <t>ZERO Speeder 1FLEX</t>
    <phoneticPr fontId="4"/>
  </si>
  <si>
    <t>現金</t>
    <rPh sb="0" eb="2">
      <t>ゲンキン</t>
    </rPh>
    <phoneticPr fontId="4"/>
  </si>
  <si>
    <t>谷川</t>
    <rPh sb="0" eb="2">
      <t>タニガワ</t>
    </rPh>
    <phoneticPr fontId="4"/>
  </si>
  <si>
    <t>Sticky Opus ｽｶｲﾌﾞﾙｰ</t>
    <phoneticPr fontId="4"/>
  </si>
  <si>
    <t>井殿　康和</t>
    <rPh sb="0" eb="2">
      <t>イドノ</t>
    </rPh>
    <rPh sb="3" eb="5">
      <t>ヤスカズ</t>
    </rPh>
    <phoneticPr fontId="4"/>
  </si>
  <si>
    <t>販売</t>
    <rPh sb="0" eb="2">
      <t>ハンバイ</t>
    </rPh>
    <phoneticPr fontId="4"/>
  </si>
  <si>
    <t>古川</t>
    <rPh sb="0" eb="2">
      <t>フルカワ</t>
    </rPh>
    <phoneticPr fontId="4"/>
  </si>
  <si>
    <t>卜部</t>
    <rPh sb="0" eb="2">
      <t>ウラベ</t>
    </rPh>
    <phoneticPr fontId="4"/>
  </si>
  <si>
    <t>萬雲　勇介</t>
    <rPh sb="0" eb="2">
      <t>マンクモ</t>
    </rPh>
    <rPh sb="3" eb="5">
      <t>ユウスケ</t>
    </rPh>
    <phoneticPr fontId="4"/>
  </si>
  <si>
    <t>中村　均</t>
    <rPh sb="0" eb="2">
      <t>ナカムラ</t>
    </rPh>
    <rPh sb="3" eb="4">
      <t>ヒトシ</t>
    </rPh>
    <phoneticPr fontId="4"/>
  </si>
  <si>
    <t>田中　浩</t>
    <rPh sb="0" eb="2">
      <t>タナカ</t>
    </rPh>
    <rPh sb="3" eb="4">
      <t>ヒロシ</t>
    </rPh>
    <phoneticPr fontId="4"/>
  </si>
  <si>
    <t>榎本</t>
    <rPh sb="0" eb="2">
      <t>エノモト</t>
    </rPh>
    <phoneticPr fontId="4"/>
  </si>
  <si>
    <t>岩見　真一郎</t>
    <rPh sb="0" eb="2">
      <t>イワミ</t>
    </rPh>
    <rPh sb="3" eb="6">
      <t>シンイチロウ</t>
    </rPh>
    <phoneticPr fontId="4"/>
  </si>
  <si>
    <t>CALLAWAY</t>
    <phoneticPr fontId="4"/>
  </si>
  <si>
    <t>井殿</t>
    <rPh sb="0" eb="2">
      <t>イドノ</t>
    </rPh>
    <phoneticPr fontId="4"/>
  </si>
  <si>
    <t>谷川</t>
    <rPh sb="0" eb="2">
      <t>タニガワ</t>
    </rPh>
    <phoneticPr fontId="4"/>
  </si>
  <si>
    <t>ビジター</t>
    <phoneticPr fontId="4"/>
  </si>
  <si>
    <t>谷川</t>
    <rPh sb="0" eb="2">
      <t>タニガワ</t>
    </rPh>
    <phoneticPr fontId="4"/>
  </si>
  <si>
    <t>工賃</t>
    <rPh sb="0" eb="2">
      <t>コウチン</t>
    </rPh>
    <phoneticPr fontId="4"/>
  </si>
  <si>
    <t>シャフト　抜き/挿し</t>
    <rPh sb="5" eb="6">
      <t>ヌ</t>
    </rPh>
    <rPh sb="8" eb="9">
      <t>サ</t>
    </rPh>
    <phoneticPr fontId="4"/>
  </si>
  <si>
    <t>宮崎さん</t>
    <rPh sb="0" eb="2">
      <t>ミヤザキ</t>
    </rPh>
    <phoneticPr fontId="4"/>
  </si>
  <si>
    <t>販売</t>
    <rPh sb="0" eb="2">
      <t>ハンバイ</t>
    </rPh>
    <phoneticPr fontId="4"/>
  </si>
  <si>
    <t>卜部</t>
    <rPh sb="0" eb="2">
      <t>ウラベ</t>
    </rPh>
    <phoneticPr fontId="4"/>
  </si>
  <si>
    <t>シューズ</t>
    <phoneticPr fontId="4"/>
  </si>
  <si>
    <t>藤田プロ</t>
    <rPh sb="0" eb="2">
      <t>フジタ</t>
    </rPh>
    <phoneticPr fontId="4"/>
  </si>
  <si>
    <t>中尾　正</t>
    <rPh sb="0" eb="2">
      <t>ナカオ</t>
    </rPh>
    <rPh sb="3" eb="4">
      <t>タダシ</t>
    </rPh>
    <phoneticPr fontId="4"/>
  </si>
  <si>
    <t>会員</t>
    <rPh sb="0" eb="2">
      <t>カイイン</t>
    </rPh>
    <phoneticPr fontId="4"/>
  </si>
  <si>
    <t>GeRON TYPE #N2 ベルリナブラック</t>
    <phoneticPr fontId="4"/>
  </si>
  <si>
    <t>グローブ</t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</si>
  <si>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</si>
  <si>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</si>
  <si>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福本　みどり</t>
    <rPh sb="0" eb="2">
      <t>フクモト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</si>
  <si>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</si>
  <si>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</si>
  <si>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山本プロ</t>
    <rPh sb="0" eb="2">
      <t>ヤマモト</t>
    </rPh>
    <phoneticPr fontId="4"/>
  </si>
  <si>
    <t>X LINE CORD ブラック 有</t>
    <rPh sb="17" eb="18">
      <t>アリ</t>
    </rPh>
    <phoneticPr fontId="4"/>
  </si>
  <si>
    <t>古川</t>
    <rPh sb="0" eb="2">
      <t>フルカワ</t>
    </rPh>
    <phoneticPr fontId="4"/>
  </si>
  <si>
    <t>安徳　大樹</t>
    <rPh sb="0" eb="2">
      <t>アントク</t>
    </rPh>
    <rPh sb="3" eb="5">
      <t>ダイキ</t>
    </rPh>
    <phoneticPr fontId="4"/>
  </si>
  <si>
    <t>会員</t>
    <rPh sb="0" eb="2">
      <t>カイイン</t>
    </rPh>
    <phoneticPr fontId="4"/>
  </si>
  <si>
    <t>原田　和哉</t>
    <rPh sb="0" eb="2">
      <t>ハラダ</t>
    </rPh>
    <rPh sb="3" eb="5">
      <t>カズヤ</t>
    </rPh>
    <phoneticPr fontId="4"/>
  </si>
  <si>
    <t>Pro V1x leftdash 白</t>
    <phoneticPr fontId="4"/>
  </si>
  <si>
    <t>橋　正幸</t>
    <rPh sb="0" eb="1">
      <t>ハシ</t>
    </rPh>
    <rPh sb="2" eb="4">
      <t>マサユキ</t>
    </rPh>
    <phoneticPr fontId="4"/>
  </si>
  <si>
    <t>卜部</t>
    <rPh sb="0" eb="2">
      <t>ウラベ</t>
    </rPh>
    <phoneticPr fontId="4"/>
  </si>
  <si>
    <t>谷川</t>
    <rPh sb="0" eb="2">
      <t>タニガワ</t>
    </rPh>
    <phoneticPr fontId="4"/>
  </si>
  <si>
    <t>MCC ALIGN ｽﾀﾝﾀﾞｰﾄﾞ 有</t>
    <rPh sb="19" eb="20">
      <t>アリ</t>
    </rPh>
    <phoneticPr fontId="4"/>
  </si>
  <si>
    <t>田渕　一</t>
    <rPh sb="0" eb="2">
      <t>タブチ</t>
    </rPh>
    <rPh sb="3" eb="4">
      <t>ハジメ</t>
    </rPh>
    <phoneticPr fontId="4"/>
  </si>
  <si>
    <t>卜部</t>
    <rPh sb="0" eb="2">
      <t>ウラベ</t>
    </rPh>
    <phoneticPr fontId="4"/>
  </si>
  <si>
    <t>井殿</t>
    <rPh sb="0" eb="2">
      <t>イドノ</t>
    </rPh>
    <phoneticPr fontId="4"/>
  </si>
  <si>
    <t>販売</t>
    <rPh sb="0" eb="2">
      <t>ハンバイ</t>
    </rPh>
    <phoneticPr fontId="4"/>
  </si>
  <si>
    <t>井殿</t>
    <rPh sb="0" eb="2">
      <t>イドノ</t>
    </rPh>
    <phoneticPr fontId="4"/>
  </si>
  <si>
    <t>淡　浩人</t>
    <rPh sb="0" eb="1">
      <t>タン</t>
    </rPh>
    <rPh sb="2" eb="4">
      <t>ヒロト</t>
    </rPh>
    <phoneticPr fontId="4"/>
  </si>
  <si>
    <t>うまい棒　チーズ味</t>
    <rPh sb="3" eb="4">
      <t>ボウ</t>
    </rPh>
    <rPh sb="8" eb="9">
      <t>アジ</t>
    </rPh>
    <phoneticPr fontId="4"/>
  </si>
  <si>
    <t>谷川</t>
    <rPh sb="0" eb="2">
      <t>タニガワ</t>
    </rPh>
    <phoneticPr fontId="4"/>
  </si>
  <si>
    <t>RAVER AsSAULT ATTACK 60X　黒</t>
    <rPh sb="25" eb="26">
      <t>クロ</t>
    </rPh>
    <phoneticPr fontId="4"/>
  </si>
  <si>
    <t>G440</t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</si>
  <si>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</si>
  <si>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</si>
  <si>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X HOLD BLACK HALF CORD レッド　有</t>
    <rPh sb="27" eb="28">
      <t>アリ</t>
    </rPh>
    <phoneticPr fontId="4"/>
  </si>
  <si>
    <t>泉　竜二</t>
    <rPh sb="0" eb="1">
      <t>イズミ</t>
    </rPh>
    <rPh sb="2" eb="3">
      <t>リュウ</t>
    </rPh>
    <rPh sb="3" eb="4">
      <t>ニ</t>
    </rPh>
    <phoneticPr fontId="4"/>
  </si>
  <si>
    <t>マスター→法人　差額</t>
    <rPh sb="5" eb="7">
      <t>ホウジン</t>
    </rPh>
    <rPh sb="8" eb="10">
      <t>サガク</t>
    </rPh>
    <phoneticPr fontId="4"/>
  </si>
  <si>
    <t>古川</t>
    <rPh sb="0" eb="2">
      <t>フルカワ</t>
    </rPh>
    <phoneticPr fontId="4"/>
  </si>
  <si>
    <t>木下健太</t>
    <rPh sb="0" eb="2">
      <t>キノシタ</t>
    </rPh>
    <rPh sb="2" eb="4">
      <t>ケンタ</t>
    </rPh>
    <phoneticPr fontId="4"/>
  </si>
  <si>
    <t>iXx cord2.3無</t>
    <rPh sb="11" eb="12">
      <t>ナシ</t>
    </rPh>
    <phoneticPr fontId="4"/>
  </si>
  <si>
    <t>参加費</t>
    <rPh sb="0" eb="3">
      <t>サンカヒ</t>
    </rPh>
    <phoneticPr fontId="4"/>
  </si>
  <si>
    <t>コンペ参加費</t>
    <rPh sb="3" eb="6">
      <t>サンカヒ</t>
    </rPh>
    <phoneticPr fontId="4"/>
  </si>
  <si>
    <t>第７回コンペ参加費</t>
    <rPh sb="0" eb="1">
      <t>ダイ</t>
    </rPh>
    <rPh sb="2" eb="3">
      <t>カイ</t>
    </rPh>
    <rPh sb="6" eb="9">
      <t>サンカヒ</t>
    </rPh>
    <phoneticPr fontId="4"/>
  </si>
  <si>
    <t>現金</t>
    <rPh sb="0" eb="2">
      <t>ゲンキン</t>
    </rPh>
    <phoneticPr fontId="4"/>
  </si>
  <si>
    <t>古川</t>
    <rPh sb="0" eb="2">
      <t>フルカワ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</si>
  <si>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</si>
  <si>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</si>
  <si>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VELOCITY</t>
    <phoneticPr fontId="4"/>
  </si>
  <si>
    <t>森井　淳司</t>
    <rPh sb="0" eb="2">
      <t>モリイ</t>
    </rPh>
    <rPh sb="3" eb="5">
      <t>ジュンジ</t>
    </rPh>
    <phoneticPr fontId="4"/>
  </si>
  <si>
    <t>会員</t>
    <rPh sb="0" eb="2">
      <t>カイイン</t>
    </rPh>
    <phoneticPr fontId="4"/>
  </si>
  <si>
    <t>KBS</t>
    <phoneticPr fontId="4"/>
  </si>
  <si>
    <t>本田　貴司</t>
    <rPh sb="0" eb="2">
      <t>ホンダ</t>
    </rPh>
    <rPh sb="3" eb="4">
      <t>タカシ</t>
    </rPh>
    <rPh sb="4" eb="5">
      <t>ツカサ</t>
    </rPh>
    <phoneticPr fontId="4"/>
  </si>
  <si>
    <t>Puttout</t>
    <phoneticPr fontId="4"/>
  </si>
  <si>
    <t>古川</t>
    <rPh sb="0" eb="2">
      <t>フルカワ</t>
    </rPh>
    <phoneticPr fontId="4"/>
  </si>
  <si>
    <t>卜部　凡夫</t>
    <rPh sb="0" eb="2">
      <t>ウラベ</t>
    </rPh>
    <rPh sb="3" eb="4">
      <t>ボン</t>
    </rPh>
    <rPh sb="4" eb="5">
      <t>オット</t>
    </rPh>
    <phoneticPr fontId="4"/>
  </si>
  <si>
    <t>販売</t>
    <rPh sb="0" eb="2">
      <t>ハンバイ</t>
    </rPh>
    <phoneticPr fontId="4"/>
  </si>
  <si>
    <t>プロフェッショナルテック　24cm</t>
    <phoneticPr fontId="4"/>
  </si>
  <si>
    <t>MEN`s FJ トラディションズ　27㎝</t>
    <phoneticPr fontId="4"/>
  </si>
  <si>
    <t>ツアー　エリート　ブラック</t>
    <phoneticPr fontId="4"/>
  </si>
  <si>
    <t>Airペイ</t>
    <phoneticPr fontId="4"/>
  </si>
  <si>
    <t>現金</t>
    <rPh sb="0" eb="2">
      <t>ゲンキン</t>
    </rPh>
    <phoneticPr fontId="4"/>
  </si>
  <si>
    <t>ONE STEP PUTTER 黒</t>
    <rPh sb="16" eb="17">
      <t>クロ</t>
    </rPh>
    <phoneticPr fontId="4"/>
  </si>
  <si>
    <t>金券利用　1000円×5
預り金8552円</t>
    <rPh sb="0" eb="2">
      <t>キンケン</t>
    </rPh>
    <rPh sb="2" eb="4">
      <t>リヨウ</t>
    </rPh>
    <rPh sb="9" eb="10">
      <t>エン</t>
    </rPh>
    <rPh sb="13" eb="14">
      <t>アズカ</t>
    </rPh>
    <rPh sb="15" eb="16">
      <t>キン</t>
    </rPh>
    <rPh sb="20" eb="21">
      <t>エン</t>
    </rPh>
    <phoneticPr fontId="4"/>
  </si>
  <si>
    <t>KGU金券利用　-2000</t>
    <rPh sb="3" eb="5">
      <t>キンケン</t>
    </rPh>
    <rPh sb="5" eb="7">
      <t>リヨウ</t>
    </rPh>
    <phoneticPr fontId="4"/>
  </si>
  <si>
    <t>コンパクトパッティングミラー</t>
    <phoneticPr fontId="4"/>
  </si>
  <si>
    <t>23ｃｍ　左</t>
    <rPh sb="5" eb="6">
      <t>ヒダリ</t>
    </rPh>
    <phoneticPr fontId="4"/>
  </si>
  <si>
    <t>確認中</t>
    <rPh sb="0" eb="2">
      <t>カクニン</t>
    </rPh>
    <rPh sb="2" eb="3">
      <t>チュウ</t>
    </rPh>
    <phoneticPr fontId="4"/>
  </si>
  <si>
    <t>会員</t>
    <rPh sb="0" eb="2">
      <t>カイイン</t>
    </rPh>
    <phoneticPr fontId="4"/>
  </si>
  <si>
    <t>月会費</t>
    <phoneticPr fontId="4"/>
  </si>
  <si>
    <t>プラン変更差額</t>
    <rPh sb="3" eb="5">
      <t>ヘンコウ</t>
    </rPh>
    <rPh sb="5" eb="7">
      <t>サガク</t>
    </rPh>
    <phoneticPr fontId="4"/>
  </si>
  <si>
    <t>岡下　慎吾</t>
    <rPh sb="0" eb="2">
      <t>オカシタ</t>
    </rPh>
    <rPh sb="3" eb="5">
      <t>シンゴ</t>
    </rPh>
    <phoneticPr fontId="4"/>
  </si>
  <si>
    <t>フジクラ</t>
    <phoneticPr fontId="4"/>
  </si>
  <si>
    <t>VENTUS BLACK 6S</t>
    <phoneticPr fontId="4"/>
  </si>
  <si>
    <t>Airレジに無くてSquare明細にあったもの</t>
    <phoneticPr fontId="4"/>
  </si>
  <si>
    <t>田中　瞭太</t>
    <rPh sb="0" eb="2">
      <t>タナカ</t>
    </rPh>
    <rPh sb="3" eb="5">
      <t>リョウタ</t>
    </rPh>
    <phoneticPr fontId="4"/>
  </si>
  <si>
    <t>REVE</t>
    <phoneticPr fontId="4"/>
  </si>
  <si>
    <t>ASSAULT ATTACK 50X</t>
    <phoneticPr fontId="4"/>
  </si>
  <si>
    <t>スリーブ</t>
    <phoneticPr fontId="4"/>
  </si>
  <si>
    <t>グリップ</t>
    <phoneticPr fontId="4"/>
  </si>
  <si>
    <t>X HOLD BLACK RUBBER</t>
    <phoneticPr fontId="4"/>
  </si>
  <si>
    <t>6/19 振込</t>
    <rPh sb="5" eb="7">
      <t>フリコミ</t>
    </rPh>
    <phoneticPr fontId="4"/>
  </si>
  <si>
    <t>金券500円</t>
    <rPh sb="0" eb="2">
      <t>キンケン</t>
    </rPh>
    <rPh sb="5" eb="6">
      <t>エン</t>
    </rPh>
    <phoneticPr fontId="4"/>
  </si>
  <si>
    <t>月会費</t>
    <phoneticPr fontId="4"/>
  </si>
  <si>
    <t>SBペイメント</t>
    <phoneticPr fontId="4"/>
  </si>
  <si>
    <t>駒月　智菜</t>
    <rPh sb="0" eb="2">
      <t>コマヅキ</t>
    </rPh>
    <rPh sb="3" eb="5">
      <t>チナ</t>
    </rPh>
    <phoneticPr fontId="4"/>
  </si>
  <si>
    <t>月会費</t>
    <phoneticPr fontId="4"/>
  </si>
  <si>
    <t>SBペイメント</t>
    <phoneticPr fontId="4"/>
  </si>
  <si>
    <t>Airペイ</t>
    <phoneticPr fontId="4"/>
  </si>
  <si>
    <t>林　裕希</t>
    <rPh sb="0" eb="1">
      <t>ハヤシ</t>
    </rPh>
    <rPh sb="2" eb="4">
      <t>ユウキ</t>
    </rPh>
    <phoneticPr fontId="4"/>
  </si>
  <si>
    <t>ワタナベ</t>
  </si>
  <si>
    <t>Putter Grip Mid ﾌﾞﾗｯｸ</t>
  </si>
  <si>
    <t>延安　伸二</t>
  </si>
  <si>
    <t>Y360 STAR ベルリナブラック</t>
  </si>
  <si>
    <t>上原　嘉連</t>
  </si>
  <si>
    <t>TEE</t>
  </si>
  <si>
    <t>TORNADO TEE 　黒</t>
    <rPh sb="13" eb="14">
      <t>クロ</t>
    </rPh>
    <phoneticPr fontId="4"/>
  </si>
  <si>
    <t>←入澤様お支払い</t>
    <rPh sb="1" eb="3">
      <t>イリザワ</t>
    </rPh>
    <rPh sb="3" eb="4">
      <t>サマ</t>
    </rPh>
    <rPh sb="5" eb="7">
      <t>シハラ</t>
    </rPh>
    <phoneticPr fontId="4"/>
  </si>
  <si>
    <t>北　敦子</t>
    <rPh sb="0" eb="1">
      <t>キタ</t>
    </rPh>
    <rPh sb="2" eb="4">
      <t>アツコ</t>
    </rPh>
    <phoneticPr fontId="4"/>
  </si>
  <si>
    <t>レギュラー家族割　0.75ヵ月</t>
    <rPh sb="5" eb="8">
      <t>カゾクワリ</t>
    </rPh>
    <rPh sb="14" eb="15">
      <t>ゲツ</t>
    </rPh>
    <phoneticPr fontId="4"/>
  </si>
  <si>
    <t>レギュラー家族割　1ヵ月</t>
    <rPh sb="5" eb="8">
      <t>カゾクワリ</t>
    </rPh>
    <rPh sb="11" eb="12">
      <t>ゲツ</t>
    </rPh>
    <phoneticPr fontId="4"/>
  </si>
  <si>
    <t>８月分</t>
    <rPh sb="1" eb="3">
      <t>ガツブン</t>
    </rPh>
    <phoneticPr fontId="4"/>
  </si>
  <si>
    <t>スリーブ挿しグリップ持ち込み</t>
    <rPh sb="4" eb="5">
      <t>サ</t>
    </rPh>
    <rPh sb="10" eb="11">
      <t>モ</t>
    </rPh>
    <rPh sb="12" eb="13">
      <t>コ</t>
    </rPh>
    <phoneticPr fontId="4"/>
  </si>
  <si>
    <t>Sticky Ultra Light　1.0　ﾐﾙｷｰﾋﾟﾝｸ (有)</t>
    <rPh sb="33" eb="34">
      <t>アリ</t>
    </rPh>
    <phoneticPr fontId="4"/>
  </si>
  <si>
    <t>磯和　由佳</t>
    <rPh sb="0" eb="2">
      <t>イソワ</t>
    </rPh>
    <rPh sb="3" eb="5">
      <t>ユカ</t>
    </rPh>
    <phoneticPr fontId="4"/>
  </si>
  <si>
    <t>谷川</t>
    <rPh sb="0" eb="1">
      <t>タニ</t>
    </rPh>
    <rPh sb="1" eb="2">
      <t>カワ</t>
    </rPh>
    <phoneticPr fontId="4"/>
  </si>
  <si>
    <t>19cm 左 黒</t>
    <rPh sb="5" eb="6">
      <t>ヒダリ</t>
    </rPh>
    <rPh sb="7" eb="8">
      <t>クロ</t>
    </rPh>
    <phoneticPr fontId="4"/>
  </si>
  <si>
    <t>高砂　行彦</t>
    <rPh sb="0" eb="2">
      <t>タカサゴ</t>
    </rPh>
    <rPh sb="3" eb="5">
      <t>ユキヒコ</t>
    </rPh>
    <phoneticPr fontId="4"/>
  </si>
  <si>
    <t>パターグリップRS60</t>
  </si>
  <si>
    <t>佐野　晋治　</t>
    <rPh sb="0" eb="2">
      <t>サノ</t>
    </rPh>
    <rPh sb="3" eb="4">
      <t>シン</t>
    </rPh>
    <rPh sb="4" eb="5">
      <t>オサ</t>
    </rPh>
    <phoneticPr fontId="4"/>
  </si>
  <si>
    <t>松島　亮太</t>
    <rPh sb="0" eb="2">
      <t>マツシマ</t>
    </rPh>
    <phoneticPr fontId="4"/>
  </si>
  <si>
    <t>レギュラー　１か月</t>
    <rPh sb="8" eb="9">
      <t>ゲツ</t>
    </rPh>
    <phoneticPr fontId="4"/>
  </si>
  <si>
    <t>天羽　哲也</t>
    <rPh sb="0" eb="2">
      <t>アモウ</t>
    </rPh>
    <rPh sb="3" eb="5">
      <t>テツヤ</t>
    </rPh>
    <phoneticPr fontId="4"/>
  </si>
  <si>
    <t>トライアル登録料</t>
  </si>
  <si>
    <t>土井　球人</t>
    <rPh sb="0" eb="2">
      <t>ドイ</t>
    </rPh>
    <rPh sb="3" eb="4">
      <t>タマ</t>
    </rPh>
    <rPh sb="4" eb="5">
      <t>ヒト</t>
    </rPh>
    <phoneticPr fontId="4"/>
  </si>
  <si>
    <t>打席利用</t>
    <rPh sb="0" eb="2">
      <t>ダセキ</t>
    </rPh>
    <rPh sb="2" eb="4">
      <t>リヨウ</t>
    </rPh>
    <phoneticPr fontId="4"/>
  </si>
  <si>
    <t>７月分</t>
    <rPh sb="1" eb="3">
      <t>ガツブン</t>
    </rPh>
    <phoneticPr fontId="4"/>
  </si>
  <si>
    <t>(株)T.C.L石本様</t>
    <rPh sb="1" eb="2">
      <t>カブ</t>
    </rPh>
    <rPh sb="8" eb="11">
      <t>イシモトサマ</t>
    </rPh>
    <phoneticPr fontId="4"/>
  </si>
  <si>
    <t>法人　１か月</t>
    <rPh sb="0" eb="2">
      <t>ホウジン</t>
    </rPh>
    <rPh sb="5" eb="6">
      <t>ゲツ</t>
    </rPh>
    <phoneticPr fontId="4"/>
  </si>
  <si>
    <t>フォーサリンク　24cm</t>
  </si>
  <si>
    <t>野原　彰展</t>
    <rPh sb="0" eb="2">
      <t>ノハラ</t>
    </rPh>
    <rPh sb="3" eb="4">
      <t>アキラ</t>
    </rPh>
    <rPh sb="4" eb="5">
      <t>テン</t>
    </rPh>
    <phoneticPr fontId="4"/>
  </si>
  <si>
    <t>南　聡次</t>
    <rPh sb="0" eb="1">
      <t>ミナミ</t>
    </rPh>
    <rPh sb="2" eb="3">
      <t>サトシ</t>
    </rPh>
    <rPh sb="3" eb="4">
      <t>ジ</t>
    </rPh>
    <phoneticPr fontId="4"/>
  </si>
  <si>
    <t>Tour velvet 無　</t>
    <rPh sb="12" eb="13">
      <t>ナシ</t>
    </rPh>
    <phoneticPr fontId="4"/>
  </si>
  <si>
    <t>19cm　白　右手</t>
    <rPh sb="5" eb="6">
      <t>シロ</t>
    </rPh>
    <rPh sb="7" eb="9">
      <t>ミギテ</t>
    </rPh>
    <phoneticPr fontId="4"/>
  </si>
  <si>
    <t>駒木根　昌彦</t>
    <rPh sb="0" eb="3">
      <t>コマキネ</t>
    </rPh>
    <rPh sb="4" eb="6">
      <t>マサヒコ</t>
    </rPh>
    <phoneticPr fontId="4"/>
  </si>
  <si>
    <t>亀井　義則</t>
    <rPh sb="0" eb="2">
      <t>カメイ</t>
    </rPh>
    <rPh sb="3" eb="5">
      <t>ヨシノリ</t>
    </rPh>
    <phoneticPr fontId="4"/>
  </si>
  <si>
    <t>9~11月分</t>
    <rPh sb="4" eb="6">
      <t>ガツブン</t>
    </rPh>
    <phoneticPr fontId="4"/>
  </si>
  <si>
    <t>谷川</t>
    <rPh sb="0" eb="2">
      <t>タニガワ</t>
    </rPh>
    <phoneticPr fontId="4"/>
  </si>
  <si>
    <t>ヘッドカバー</t>
    <phoneticPr fontId="4"/>
  </si>
  <si>
    <t>PING　410</t>
    <phoneticPr fontId="4"/>
  </si>
  <si>
    <t>パターカーバー</t>
    <phoneticPr fontId="4"/>
  </si>
  <si>
    <t>ｽﾀﾝﾀﾞｰﾄﾞパターカバー　ブルー</t>
    <phoneticPr fontId="4"/>
  </si>
  <si>
    <t>TD50C　ネイビー　有</t>
    <rPh sb="11" eb="12">
      <t>アリ</t>
    </rPh>
    <phoneticPr fontId="4"/>
  </si>
  <si>
    <t>Zenergy Pistol GT 2.0　WH/RD</t>
  </si>
  <si>
    <t>古川</t>
    <rPh sb="0" eb="2">
      <t>フルカワ</t>
    </rPh>
    <phoneticPr fontId="4"/>
  </si>
  <si>
    <t>金券利用　1,000円×20
預り金　　790円</t>
    <rPh sb="0" eb="2">
      <t>キンケン</t>
    </rPh>
    <rPh sb="2" eb="4">
      <t>リヨウ</t>
    </rPh>
    <rPh sb="10" eb="11">
      <t>エン</t>
    </rPh>
    <rPh sb="15" eb="16">
      <t>アズカ</t>
    </rPh>
    <rPh sb="17" eb="18">
      <t>キン</t>
    </rPh>
    <rPh sb="23" eb="24">
      <t>エン</t>
    </rPh>
    <phoneticPr fontId="4"/>
  </si>
  <si>
    <t>寺坂　千尋</t>
    <rPh sb="0" eb="2">
      <t>テラサカ</t>
    </rPh>
    <rPh sb="3" eb="5">
      <t>チヒロ</t>
    </rPh>
    <phoneticPr fontId="4"/>
  </si>
  <si>
    <t>フジクラ</t>
    <phoneticPr fontId="4"/>
  </si>
  <si>
    <t>PLATINAM SPEEDER 3R</t>
    <phoneticPr fontId="4"/>
  </si>
  <si>
    <t>AIR SPEEDER UT PLUS</t>
    <phoneticPr fontId="4"/>
  </si>
  <si>
    <t>Sticky Ultra Lightブラック (有)</t>
    <rPh sb="24" eb="25">
      <t>アリ</t>
    </rPh>
    <phoneticPr fontId="4"/>
  </si>
  <si>
    <t>卜部</t>
    <rPh sb="0" eb="2">
      <t>ウラベ</t>
    </rPh>
    <phoneticPr fontId="4"/>
  </si>
  <si>
    <t>桜井　健也</t>
    <rPh sb="0" eb="2">
      <t>サクライ</t>
    </rPh>
    <rPh sb="3" eb="5">
      <t>ケンヤ</t>
    </rPh>
    <phoneticPr fontId="4"/>
  </si>
  <si>
    <t>キャンペーン入会違約金４月分の月会費</t>
    <rPh sb="6" eb="8">
      <t>ニュウカイ</t>
    </rPh>
    <rPh sb="8" eb="10">
      <t>イヤク</t>
    </rPh>
    <rPh sb="10" eb="11">
      <t>キン</t>
    </rPh>
    <rPh sb="12" eb="14">
      <t>ガツブン</t>
    </rPh>
    <rPh sb="15" eb="18">
      <t>ツキカイヒ</t>
    </rPh>
    <phoneticPr fontId="4"/>
  </si>
  <si>
    <t>合原 眞紀</t>
    <phoneticPr fontId="4"/>
  </si>
  <si>
    <t>20cm　白　右手</t>
    <rPh sb="5" eb="6">
      <t>シロ</t>
    </rPh>
    <rPh sb="7" eb="9">
      <t>ミギテ</t>
    </rPh>
    <phoneticPr fontId="4"/>
  </si>
  <si>
    <t>現金</t>
    <rPh sb="0" eb="2">
      <t>ゲンキン</t>
    </rPh>
    <phoneticPr fontId="4"/>
  </si>
  <si>
    <t>渡辺　謙太郎</t>
    <rPh sb="0" eb="2">
      <t>ワタナベ</t>
    </rPh>
    <rPh sb="3" eb="6">
      <t>ケンタロウ</t>
    </rPh>
    <phoneticPr fontId="4"/>
  </si>
  <si>
    <t>グリップ</t>
    <phoneticPr fontId="4"/>
  </si>
  <si>
    <t>STM</t>
    <phoneticPr fontId="4"/>
  </si>
  <si>
    <t>FW DIAMOND SPD 5S</t>
    <phoneticPr fontId="4"/>
  </si>
  <si>
    <t>VENTUS TR RED 5R</t>
    <phoneticPr fontId="4"/>
  </si>
  <si>
    <t>グリップ</t>
    <phoneticPr fontId="4"/>
  </si>
  <si>
    <t>ix touch 2.0 有　シルバー</t>
    <rPh sb="13" eb="14">
      <t>アリ</t>
    </rPh>
    <phoneticPr fontId="4"/>
  </si>
  <si>
    <t>岡崎　陽介</t>
    <rPh sb="0" eb="2">
      <t>オカザキ</t>
    </rPh>
    <rPh sb="3" eb="5">
      <t>ヨウスケ</t>
    </rPh>
    <phoneticPr fontId="4"/>
  </si>
  <si>
    <t>GOLF PRIDE</t>
    <phoneticPr fontId="4"/>
  </si>
  <si>
    <t>播磨　久美子</t>
    <rPh sb="0" eb="2">
      <t>ハリマ</t>
    </rPh>
    <rPh sb="3" eb="6">
      <t>クミコ</t>
    </rPh>
    <phoneticPr fontId="4"/>
  </si>
  <si>
    <t>現金</t>
    <rPh sb="0" eb="2">
      <t>ゲンキン</t>
    </rPh>
    <phoneticPr fontId="4"/>
  </si>
  <si>
    <t>谷川</t>
    <rPh sb="0" eb="2">
      <t>タニガワ</t>
    </rPh>
    <phoneticPr fontId="4"/>
  </si>
  <si>
    <t>卜部</t>
    <rPh sb="0" eb="2">
      <t>ウラベ</t>
    </rPh>
    <phoneticPr fontId="4"/>
  </si>
  <si>
    <t>古川</t>
    <rPh sb="0" eb="2">
      <t>フルカワ</t>
    </rPh>
    <phoneticPr fontId="4"/>
  </si>
  <si>
    <t>大西　賢一</t>
    <rPh sb="0" eb="2">
      <t>オオニシ</t>
    </rPh>
    <rPh sb="3" eb="5">
      <t>ケンイチ</t>
    </rPh>
    <phoneticPr fontId="4"/>
  </si>
  <si>
    <t>AIR SPEEDER X PLUS　黒</t>
    <rPh sb="19" eb="20">
      <t>クロ</t>
    </rPh>
    <phoneticPr fontId="4"/>
  </si>
  <si>
    <t>谷川</t>
    <rPh sb="0" eb="2">
      <t>タニガワ</t>
    </rPh>
    <phoneticPr fontId="4"/>
  </si>
  <si>
    <t>卜部</t>
    <rPh sb="0" eb="2">
      <t>ウラベ</t>
    </rPh>
    <phoneticPr fontId="4"/>
  </si>
  <si>
    <t>古川</t>
    <rPh sb="0" eb="2">
      <t>フルカワ</t>
    </rPh>
    <phoneticPr fontId="4"/>
  </si>
  <si>
    <t>宮崎　さん</t>
    <rPh sb="0" eb="2">
      <t>ミヤザキ</t>
    </rPh>
    <phoneticPr fontId="4"/>
  </si>
  <si>
    <t>販売</t>
    <rPh sb="0" eb="2">
      <t>ハンバイ</t>
    </rPh>
    <phoneticPr fontId="4"/>
  </si>
  <si>
    <t>平崎　博嗣</t>
    <rPh sb="0" eb="2">
      <t>ヒラザキ</t>
    </rPh>
    <rPh sb="3" eb="4">
      <t>ヒロ</t>
    </rPh>
    <rPh sb="4" eb="5">
      <t>シ</t>
    </rPh>
    <phoneticPr fontId="4"/>
  </si>
  <si>
    <t>DIAMOND　SPEEDER　5S</t>
    <phoneticPr fontId="4"/>
  </si>
  <si>
    <t>谷川</t>
    <rPh sb="0" eb="2">
      <t>タニガワ</t>
    </rPh>
    <phoneticPr fontId="4"/>
  </si>
  <si>
    <t>卜部</t>
    <rPh sb="0" eb="2">
      <t>ウラベ</t>
    </rPh>
    <phoneticPr fontId="4"/>
  </si>
  <si>
    <t>川井　よし子</t>
    <rPh sb="0" eb="2">
      <t>カワイ</t>
    </rPh>
    <rPh sb="5" eb="6">
      <t>コ</t>
    </rPh>
    <phoneticPr fontId="4"/>
  </si>
  <si>
    <t>吉良　耕一</t>
    <rPh sb="0" eb="2">
      <t>キラ</t>
    </rPh>
    <rPh sb="3" eb="5">
      <t>コウイチ</t>
    </rPh>
    <phoneticPr fontId="4"/>
  </si>
  <si>
    <t>GOLF PRIDE</t>
    <phoneticPr fontId="4"/>
  </si>
  <si>
    <t>中島　大昂</t>
    <rPh sb="0" eb="2">
      <t>ナカシマ</t>
    </rPh>
    <rPh sb="3" eb="4">
      <t>ダイ</t>
    </rPh>
    <rPh sb="4" eb="5">
      <t>アオグ</t>
    </rPh>
    <phoneticPr fontId="4"/>
  </si>
  <si>
    <t>GRAP24割</t>
    <rPh sb="6" eb="7">
      <t>ワリ</t>
    </rPh>
    <phoneticPr fontId="4"/>
  </si>
  <si>
    <t>谷川</t>
    <rPh sb="0" eb="2">
      <t>タニガワ</t>
    </rPh>
    <phoneticPr fontId="4"/>
  </si>
  <si>
    <t>前中　敏克</t>
    <rPh sb="0" eb="2">
      <t>マエナカ</t>
    </rPh>
    <rPh sb="3" eb="5">
      <t>トシカツ</t>
    </rPh>
    <phoneticPr fontId="4"/>
  </si>
  <si>
    <t>会員</t>
    <rPh sb="0" eb="2">
      <t>カイイン</t>
    </rPh>
    <phoneticPr fontId="4"/>
  </si>
  <si>
    <t>23cm　白　左手</t>
    <rPh sb="5" eb="6">
      <t>シロ</t>
    </rPh>
    <rPh sb="7" eb="9">
      <t>ヒダリテ</t>
    </rPh>
    <phoneticPr fontId="4"/>
  </si>
  <si>
    <t>卜部</t>
    <rPh sb="0" eb="2">
      <t>ウラベ</t>
    </rPh>
    <phoneticPr fontId="4"/>
  </si>
  <si>
    <t>木下　健太</t>
    <rPh sb="0" eb="2">
      <t>キノシタ</t>
    </rPh>
    <rPh sb="3" eb="5">
      <t>ケンタ</t>
    </rPh>
    <phoneticPr fontId="4"/>
  </si>
  <si>
    <t>Tour velvet＋4 無　</t>
    <rPh sb="14" eb="15">
      <t>ナシ</t>
    </rPh>
    <phoneticPr fontId="4"/>
  </si>
  <si>
    <t>月会費</t>
    <rPh sb="0" eb="3">
      <t>ツキカイヒ</t>
    </rPh>
    <phoneticPr fontId="4"/>
  </si>
  <si>
    <t>上西　凌央</t>
    <rPh sb="0" eb="2">
      <t>ウエニシ</t>
    </rPh>
    <rPh sb="3" eb="4">
      <t>リョウ</t>
    </rPh>
    <rPh sb="4" eb="5">
      <t>オウ</t>
    </rPh>
    <phoneticPr fontId="4"/>
  </si>
  <si>
    <t>井殿</t>
    <rPh sb="0" eb="2">
      <t>イドノ</t>
    </rPh>
    <phoneticPr fontId="4"/>
  </si>
  <si>
    <t>卜部</t>
    <rPh sb="0" eb="2">
      <t>ウラベ</t>
    </rPh>
    <phoneticPr fontId="4"/>
  </si>
  <si>
    <t>谷川</t>
    <rPh sb="0" eb="2">
      <t>タニガワ</t>
    </rPh>
    <phoneticPr fontId="4"/>
  </si>
  <si>
    <t>利用料</t>
    <rPh sb="0" eb="3">
      <t>リヨウリョウ</t>
    </rPh>
    <phoneticPr fontId="4"/>
  </si>
  <si>
    <t>古川</t>
    <rPh sb="0" eb="2">
      <t>フルカワ</t>
    </rPh>
    <phoneticPr fontId="4"/>
  </si>
  <si>
    <t>名塚　彰</t>
    <rPh sb="0" eb="2">
      <t>ナヅカ</t>
    </rPh>
    <rPh sb="3" eb="4">
      <t>アキラ</t>
    </rPh>
    <phoneticPr fontId="4"/>
  </si>
  <si>
    <t>フィッティング</t>
    <phoneticPr fontId="4"/>
  </si>
  <si>
    <t>井殿</t>
    <rPh sb="0" eb="2">
      <t>イドノ</t>
    </rPh>
    <phoneticPr fontId="4"/>
  </si>
  <si>
    <t>販売</t>
    <rPh sb="0" eb="2">
      <t>ハンバイ</t>
    </rPh>
    <phoneticPr fontId="4"/>
  </si>
  <si>
    <t>グリップ</t>
    <phoneticPr fontId="4"/>
  </si>
  <si>
    <t>REVE</t>
    <phoneticPr fontId="4"/>
  </si>
  <si>
    <t>IMPACT BORON REVOLVER SR 黒</t>
    <rPh sb="25" eb="26">
      <t>クロ</t>
    </rPh>
    <phoneticPr fontId="4"/>
  </si>
  <si>
    <t>御厨　一郎</t>
  </si>
  <si>
    <t>DR用　スリーブ</t>
    <rPh sb="2" eb="3">
      <t>ヨウ</t>
    </rPh>
    <phoneticPr fontId="4"/>
  </si>
  <si>
    <t>現金</t>
    <rPh sb="0" eb="2">
      <t>ゲンキン</t>
    </rPh>
    <phoneticPr fontId="4"/>
  </si>
  <si>
    <t>X-evolution 2.3 ブルー 有</t>
    <rPh sb="20" eb="21">
      <t>アリ</t>
    </rPh>
    <phoneticPr fontId="4"/>
  </si>
  <si>
    <t>坂東　俊哉</t>
    <rPh sb="0" eb="2">
      <t>バンドウ</t>
    </rPh>
    <rPh sb="3" eb="5">
      <t>トシヤ</t>
    </rPh>
    <phoneticPr fontId="4"/>
  </si>
  <si>
    <t>会員</t>
    <rPh sb="0" eb="2">
      <t>カイイン</t>
    </rPh>
    <phoneticPr fontId="4"/>
  </si>
  <si>
    <t>X HOLD BLACK RUBBER レッド　有</t>
    <rPh sb="24" eb="25">
      <t>アリ</t>
    </rPh>
    <phoneticPr fontId="4"/>
  </si>
  <si>
    <t>現金</t>
    <rPh sb="0" eb="2">
      <t>ゲンキン</t>
    </rPh>
    <phoneticPr fontId="4"/>
  </si>
  <si>
    <t>谷川</t>
    <rPh sb="0" eb="2">
      <t>タニガワ</t>
    </rPh>
    <phoneticPr fontId="4"/>
  </si>
  <si>
    <t>販売</t>
    <rPh sb="0" eb="2">
      <t>ハンバイ</t>
    </rPh>
    <phoneticPr fontId="4"/>
  </si>
  <si>
    <t>TOUR BX コーポレートカラー</t>
    <phoneticPr fontId="4"/>
  </si>
  <si>
    <t>卜部</t>
    <rPh sb="0" eb="2">
      <t>ウラベ</t>
    </rPh>
    <phoneticPr fontId="4"/>
  </si>
  <si>
    <t>実際の支払いは7/31</t>
    <rPh sb="0" eb="2">
      <t>ジッサイ</t>
    </rPh>
    <rPh sb="3" eb="5">
      <t>シハラ</t>
    </rPh>
    <phoneticPr fontId="4"/>
  </si>
  <si>
    <t>國分　彩那</t>
  </si>
  <si>
    <t>フィッティング</t>
    <phoneticPr fontId="4"/>
  </si>
  <si>
    <t>55分（ビジター）</t>
    <rPh sb="2" eb="3">
      <t>フン</t>
    </rPh>
    <phoneticPr fontId="4"/>
  </si>
  <si>
    <t>現金</t>
    <rPh sb="0" eb="2">
      <t>ゲンキン</t>
    </rPh>
    <phoneticPr fontId="4"/>
  </si>
  <si>
    <t>GRAP24割</t>
  </si>
  <si>
    <t>古川</t>
    <rPh sb="0" eb="2">
      <t>フルカワ</t>
    </rPh>
    <phoneticPr fontId="4"/>
  </si>
  <si>
    <t>藤田</t>
    <rPh sb="0" eb="2">
      <t>フジタ</t>
    </rPh>
    <phoneticPr fontId="4"/>
  </si>
  <si>
    <t>亀井　智彦</t>
  </si>
  <si>
    <t>キャロウェイスリーブ</t>
    <phoneticPr fontId="4"/>
  </si>
  <si>
    <t>古川</t>
    <rPh sb="0" eb="2">
      <t>フルカワ</t>
    </rPh>
    <phoneticPr fontId="4"/>
  </si>
  <si>
    <t>株式会社ナミコス　牧野</t>
    <rPh sb="0" eb="4">
      <t>カブシキガイシャ</t>
    </rPh>
    <rPh sb="9" eb="11">
      <t>マキノ</t>
    </rPh>
    <phoneticPr fontId="4"/>
  </si>
  <si>
    <t>シンカグラファイト</t>
    <phoneticPr fontId="4"/>
  </si>
  <si>
    <t xml:space="preserve">LEXIA Lseries HL 5 </t>
    <phoneticPr fontId="4"/>
  </si>
  <si>
    <t>振込</t>
    <rPh sb="0" eb="2">
      <t>フリコミ</t>
    </rPh>
    <phoneticPr fontId="4"/>
  </si>
  <si>
    <t>スティングレー　M58 ﾌﾞﾗｯｸ (有)</t>
  </si>
  <si>
    <t>田中　つぐみ</t>
    <rPh sb="0" eb="2">
      <t>タナカ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</si>
  <si>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</si>
  <si>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</si>
  <si>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スティングレー　M58 ﾌﾞﾗｯｸ (無)</t>
    <rPh sb="19" eb="20">
      <t>ナシ</t>
    </rPh>
    <phoneticPr fontId="4"/>
  </si>
  <si>
    <t>Airペイ</t>
    <phoneticPr fontId="4"/>
  </si>
  <si>
    <t>井殿</t>
    <rPh sb="0" eb="2">
      <t>イドノ</t>
    </rPh>
    <phoneticPr fontId="4"/>
  </si>
  <si>
    <t>NS PRO 1150GH R</t>
    <phoneticPr fontId="4"/>
  </si>
  <si>
    <t>クラブ</t>
    <phoneticPr fontId="4"/>
  </si>
  <si>
    <t>G440　LST　9°</t>
    <phoneticPr fontId="4"/>
  </si>
  <si>
    <t>Sticky evolution 2.3 bl無</t>
    <rPh sb="23" eb="24">
      <t>ナシ</t>
    </rPh>
    <phoneticPr fontId="4"/>
  </si>
  <si>
    <t>スリーブ</t>
    <phoneticPr fontId="4"/>
  </si>
  <si>
    <t>G-rex ﾌﾞﾗｯｸ　有</t>
    <rPh sb="12" eb="13">
      <t>アリ</t>
    </rPh>
    <phoneticPr fontId="4"/>
  </si>
  <si>
    <t>古川</t>
    <rPh sb="0" eb="2">
      <t>フルカワ</t>
    </rPh>
    <phoneticPr fontId="4"/>
  </si>
  <si>
    <t>藤田</t>
    <rPh sb="0" eb="2">
      <t>フジタ</t>
    </rPh>
    <phoneticPr fontId="4"/>
  </si>
  <si>
    <t>原田　和哉</t>
    <rPh sb="0" eb="2">
      <t>ハラダ</t>
    </rPh>
    <rPh sb="3" eb="5">
      <t>カズヤ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</si>
  <si>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</si>
  <si>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</si>
  <si>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グリップ</t>
    <phoneticPr fontId="4"/>
  </si>
  <si>
    <t>MCC ALIGN ｽﾀﾝﾀﾞｰﾄﾞ 有</t>
  </si>
  <si>
    <t>グローブ</t>
    <phoneticPr fontId="4"/>
  </si>
  <si>
    <t>25cm　白　左手</t>
    <rPh sb="5" eb="6">
      <t>シロ</t>
    </rPh>
    <rPh sb="7" eb="9">
      <t>ヒダリテ</t>
    </rPh>
    <phoneticPr fontId="4"/>
  </si>
  <si>
    <t>秋和　隆男</t>
    <rPh sb="0" eb="2">
      <t>アキワ</t>
    </rPh>
    <rPh sb="3" eb="4">
      <t>リュウ</t>
    </rPh>
    <rPh sb="4" eb="5">
      <t>オ</t>
    </rPh>
    <phoneticPr fontId="4"/>
  </si>
  <si>
    <t>現金</t>
    <rPh sb="0" eb="2">
      <t>ゲンキン</t>
    </rPh>
    <phoneticPr fontId="4"/>
  </si>
  <si>
    <t>北川　修</t>
    <rPh sb="0" eb="2">
      <t>キタガワ</t>
    </rPh>
    <rPh sb="3" eb="4">
      <t>オサム</t>
    </rPh>
    <phoneticPr fontId="4"/>
  </si>
  <si>
    <t>利用料</t>
    <rPh sb="0" eb="3">
      <t>リヨウリョウ</t>
    </rPh>
    <phoneticPr fontId="4"/>
  </si>
  <si>
    <t>フィッティング</t>
    <phoneticPr fontId="4"/>
  </si>
  <si>
    <t>55分（会員）</t>
    <rPh sb="2" eb="3">
      <t>フン</t>
    </rPh>
    <rPh sb="4" eb="6">
      <t>カイイン</t>
    </rPh>
    <phoneticPr fontId="4"/>
  </si>
  <si>
    <t>井殿</t>
    <rPh sb="0" eb="2">
      <t>イドノ</t>
    </rPh>
    <phoneticPr fontId="4"/>
  </si>
  <si>
    <t>卜部</t>
    <rPh sb="0" eb="2">
      <t>ウラベ</t>
    </rPh>
    <phoneticPr fontId="4"/>
  </si>
  <si>
    <t>冨川　拓真</t>
    <rPh sb="0" eb="2">
      <t>トミカワ</t>
    </rPh>
    <rPh sb="3" eb="5">
      <t>タクマ</t>
    </rPh>
    <phoneticPr fontId="4"/>
  </si>
  <si>
    <t>磯和　由佳</t>
    <rPh sb="0" eb="2">
      <t>イソワ</t>
    </rPh>
    <rPh sb="3" eb="5">
      <t>ユカ</t>
    </rPh>
    <phoneticPr fontId="4"/>
  </si>
  <si>
    <t>Zinger4　黒</t>
    <rPh sb="8" eb="9">
      <t>クロ</t>
    </rPh>
    <phoneticPr fontId="4"/>
  </si>
  <si>
    <t>谷川</t>
    <rPh sb="0" eb="2">
      <t>タニガワ</t>
    </rPh>
    <phoneticPr fontId="4"/>
  </si>
  <si>
    <t>INPACT BORON SR 青</t>
    <rPh sb="16" eb="17">
      <t>アオ</t>
    </rPh>
    <phoneticPr fontId="4"/>
  </si>
  <si>
    <t xml:space="preserve">inpact boron </t>
    <phoneticPr fontId="4"/>
  </si>
  <si>
    <t>PING</t>
  </si>
  <si>
    <t>G440　LST　9°</t>
  </si>
  <si>
    <t>前月比</t>
    <rPh sb="0" eb="3">
      <t>ゼンゲツヒ</t>
    </rPh>
    <phoneticPr fontId="4"/>
  </si>
  <si>
    <t>合計</t>
    <rPh sb="0" eb="2">
      <t>ゴウケイ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</si>
  <si>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</si>
  <si>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</si>
  <si>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TEE</t>
    <phoneticPr fontId="4"/>
  </si>
  <si>
    <t>TORNEDO　TEE　ピンク</t>
    <phoneticPr fontId="4"/>
  </si>
  <si>
    <t>Airペイ</t>
    <phoneticPr fontId="4"/>
  </si>
  <si>
    <t>古川</t>
    <rPh sb="0" eb="2">
      <t>フルカワ</t>
    </rPh>
    <phoneticPr fontId="4"/>
  </si>
  <si>
    <t>G440 LST 10.5°</t>
    <phoneticPr fontId="4"/>
  </si>
  <si>
    <t>ARCH</t>
    <phoneticPr fontId="4"/>
  </si>
  <si>
    <t xml:space="preserve">ROSSO 25 </t>
    <phoneticPr fontId="4"/>
  </si>
  <si>
    <t>現金</t>
    <rPh sb="0" eb="2">
      <t>ゲンキン</t>
    </rPh>
    <phoneticPr fontId="4"/>
  </si>
  <si>
    <t>井殿</t>
    <rPh sb="0" eb="2">
      <t>イドノ</t>
    </rPh>
    <phoneticPr fontId="4"/>
  </si>
  <si>
    <t>田中　つぐみ</t>
    <rPh sb="0" eb="2">
      <t>タナカ</t>
    </rPh>
    <phoneticPr fontId="4"/>
  </si>
  <si>
    <t>卜部</t>
    <rPh sb="0" eb="2">
      <t>ウラベ</t>
    </rPh>
    <phoneticPr fontId="4"/>
  </si>
  <si>
    <t>卜部</t>
    <rPh sb="0" eb="2">
      <t>ウラベ</t>
    </rPh>
    <phoneticPr fontId="4"/>
  </si>
  <si>
    <t>古川</t>
    <rPh sb="0" eb="2">
      <t>フルカワ</t>
    </rPh>
    <phoneticPr fontId="4"/>
  </si>
  <si>
    <t>卜部</t>
    <rPh sb="0" eb="2">
      <t>ウラベ</t>
    </rPh>
    <phoneticPr fontId="4"/>
  </si>
  <si>
    <t>岩見　真一郎</t>
    <rPh sb="0" eb="2">
      <t>イワミ</t>
    </rPh>
    <rPh sb="3" eb="6">
      <t>シンイチロウ</t>
    </rPh>
    <phoneticPr fontId="4"/>
  </si>
  <si>
    <t>会員家族</t>
    <rPh sb="0" eb="4">
      <t>カイインカゾク</t>
    </rPh>
    <phoneticPr fontId="4"/>
  </si>
  <si>
    <t>利用料</t>
    <rPh sb="0" eb="3">
      <t>リヨウリョウ</t>
    </rPh>
    <phoneticPr fontId="4"/>
  </si>
  <si>
    <t>卜部</t>
    <rPh sb="0" eb="2">
      <t>ウラベ</t>
    </rPh>
    <phoneticPr fontId="4"/>
  </si>
  <si>
    <t>高倉　龍太</t>
    <rPh sb="0" eb="2">
      <t>タカクラ</t>
    </rPh>
    <rPh sb="3" eb="5">
      <t>リュウタ</t>
    </rPh>
    <phoneticPr fontId="4"/>
  </si>
  <si>
    <t>卜部</t>
    <rPh sb="0" eb="2">
      <t>ウラベ</t>
    </rPh>
    <phoneticPr fontId="4"/>
  </si>
  <si>
    <t>卜部</t>
    <rPh sb="0" eb="2">
      <t>ウラベ</t>
    </rPh>
    <phoneticPr fontId="4"/>
  </si>
  <si>
    <t>山口　達寛</t>
    <rPh sb="0" eb="2">
      <t>ヤマグチ</t>
    </rPh>
    <rPh sb="3" eb="4">
      <t>タツ</t>
    </rPh>
    <rPh sb="4" eb="5">
      <t>ヒロ</t>
    </rPh>
    <phoneticPr fontId="4"/>
  </si>
  <si>
    <t>稲垣　康治</t>
    <rPh sb="0" eb="2">
      <t>イナガキ</t>
    </rPh>
    <rPh sb="3" eb="4">
      <t>ヤス</t>
    </rPh>
    <phoneticPr fontId="4"/>
  </si>
  <si>
    <t>上村　昌巧</t>
    <rPh sb="0" eb="2">
      <t>ウエムラ</t>
    </rPh>
    <rPh sb="3" eb="4">
      <t>マサ</t>
    </rPh>
    <rPh sb="4" eb="5">
      <t>タクミ</t>
    </rPh>
    <phoneticPr fontId="4"/>
  </si>
  <si>
    <t>９月分月会費</t>
    <rPh sb="1" eb="3">
      <t>ガツブン</t>
    </rPh>
    <rPh sb="3" eb="6">
      <t>ツキカイヒ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</si>
  <si>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</si>
  <si>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</si>
  <si>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三菱ケミカル</t>
    <rPh sb="0" eb="2">
      <t>ミツビシ</t>
    </rPh>
    <phoneticPr fontId="4"/>
  </si>
  <si>
    <t>VANQUISH5 S</t>
    <phoneticPr fontId="4"/>
  </si>
  <si>
    <t>X HOLD  RUBBER ﾌﾞﾗｯｸ 無</t>
    <rPh sb="21" eb="22">
      <t>ナシ</t>
    </rPh>
    <phoneticPr fontId="4"/>
  </si>
  <si>
    <t>荒池　督也</t>
    <rPh sb="0" eb="1">
      <t>アラ</t>
    </rPh>
    <rPh sb="1" eb="2">
      <t>イケ</t>
    </rPh>
    <rPh sb="3" eb="4">
      <t>トク</t>
    </rPh>
    <rPh sb="4" eb="5">
      <t>ヤ</t>
    </rPh>
    <phoneticPr fontId="4"/>
  </si>
  <si>
    <t>天野　真知子</t>
    <rPh sb="0" eb="2">
      <t>アマノ</t>
    </rPh>
    <rPh sb="3" eb="6">
      <t>マチコ</t>
    </rPh>
    <phoneticPr fontId="4"/>
  </si>
  <si>
    <t>8.9月分</t>
    <rPh sb="3" eb="5">
      <t>ガツブン</t>
    </rPh>
    <phoneticPr fontId="4"/>
  </si>
  <si>
    <t>谷川</t>
    <rPh sb="0" eb="2">
      <t>タニガワ</t>
    </rPh>
    <phoneticPr fontId="4"/>
  </si>
  <si>
    <t>谷川</t>
    <rPh sb="0" eb="2">
      <t>タニガワ</t>
    </rPh>
    <phoneticPr fontId="4"/>
  </si>
  <si>
    <t>現金</t>
    <rPh sb="0" eb="2">
      <t>ゲンキン</t>
    </rPh>
    <phoneticPr fontId="4"/>
  </si>
  <si>
    <t>尾藤　和昌</t>
    <rPh sb="0" eb="2">
      <t>ビトウ</t>
    </rPh>
    <rPh sb="3" eb="5">
      <t>カズマサ</t>
    </rPh>
    <phoneticPr fontId="4"/>
  </si>
  <si>
    <t>林　直樹</t>
    <rPh sb="0" eb="1">
      <t>ハヤシ</t>
    </rPh>
    <rPh sb="2" eb="4">
      <t>ナオキ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</si>
  <si>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</si>
  <si>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</si>
  <si>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STM</t>
    <phoneticPr fontId="4"/>
  </si>
  <si>
    <t>T-1セミミッド</t>
    <phoneticPr fontId="4"/>
  </si>
  <si>
    <t>現金</t>
    <rPh sb="0" eb="2">
      <t>ゲンキン</t>
    </rPh>
    <phoneticPr fontId="4"/>
  </si>
  <si>
    <t>八木　純平</t>
    <rPh sb="0" eb="2">
      <t>ヤギ</t>
    </rPh>
    <rPh sb="3" eb="5">
      <t>ジュンペイ</t>
    </rPh>
    <phoneticPr fontId="4"/>
  </si>
  <si>
    <t>会員</t>
    <rPh sb="0" eb="2">
      <t>カイイン</t>
    </rPh>
    <phoneticPr fontId="4"/>
  </si>
  <si>
    <t>月会費（チケット制）</t>
    <phoneticPr fontId="4"/>
  </si>
  <si>
    <t>レッスンチケット11枚</t>
    <rPh sb="10" eb="11">
      <t>マイ</t>
    </rPh>
    <phoneticPr fontId="4"/>
  </si>
  <si>
    <t>現金</t>
    <rPh sb="0" eb="2">
      <t>ゲンキン</t>
    </rPh>
    <phoneticPr fontId="4"/>
  </si>
  <si>
    <t>川原　博文</t>
    <rPh sb="0" eb="2">
      <t>カワハラ</t>
    </rPh>
    <rPh sb="3" eb="5">
      <t>ヒロフミ</t>
    </rPh>
    <phoneticPr fontId="4"/>
  </si>
  <si>
    <t>榎本</t>
    <rPh sb="0" eb="2">
      <t>エノモト</t>
    </rPh>
    <phoneticPr fontId="4"/>
  </si>
  <si>
    <t>古川</t>
    <rPh sb="0" eb="2">
      <t>フルカワ</t>
    </rPh>
    <phoneticPr fontId="4"/>
  </si>
  <si>
    <t>宮崎　徳治</t>
    <rPh sb="0" eb="2">
      <t>ミヤザキ</t>
    </rPh>
    <rPh sb="3" eb="5">
      <t>トクジ</t>
    </rPh>
    <phoneticPr fontId="4"/>
  </si>
  <si>
    <t>ビジター　</t>
    <phoneticPr fontId="4"/>
  </si>
  <si>
    <t>Air speeder X-plus 黒</t>
    <rPh sb="19" eb="20">
      <t>クロ</t>
    </rPh>
    <phoneticPr fontId="4"/>
  </si>
  <si>
    <t>テーラーメイド</t>
    <phoneticPr fontId="4"/>
  </si>
  <si>
    <t>SIM　MAX　10.5°</t>
    <phoneticPr fontId="4"/>
  </si>
  <si>
    <t>吉井　仁</t>
    <rPh sb="0" eb="2">
      <t>ヨシイ</t>
    </rPh>
    <rPh sb="3" eb="4">
      <t>ヒトシ</t>
    </rPh>
    <phoneticPr fontId="4"/>
  </si>
  <si>
    <t>再来、シャフト購入時に割引予定</t>
    <rPh sb="0" eb="2">
      <t>サイライ</t>
    </rPh>
    <rPh sb="7" eb="9">
      <t>コウニュウ</t>
    </rPh>
    <rPh sb="9" eb="10">
      <t>ジ</t>
    </rPh>
    <rPh sb="11" eb="13">
      <t>ワリビキ</t>
    </rPh>
    <rPh sb="13" eb="15">
      <t>ヨテイ</t>
    </rPh>
    <phoneticPr fontId="4"/>
  </si>
  <si>
    <t>試打ヘッド販売</t>
    <rPh sb="0" eb="2">
      <t>シダ</t>
    </rPh>
    <rPh sb="5" eb="7">
      <t>ハンバイ</t>
    </rPh>
    <phoneticPr fontId="4"/>
  </si>
  <si>
    <t>会員</t>
    <rPh sb="0" eb="2">
      <t>カイイン</t>
    </rPh>
    <phoneticPr fontId="4"/>
  </si>
  <si>
    <t>ROSSO 25 FW</t>
    <phoneticPr fontId="4"/>
  </si>
  <si>
    <t xml:space="preserve">UTL F5 </t>
    <phoneticPr fontId="4"/>
  </si>
  <si>
    <t>G440　MAX　４W</t>
    <phoneticPr fontId="4"/>
  </si>
  <si>
    <t>LTC iXx 1.8 コーラルレッド　無</t>
    <rPh sb="20" eb="21">
      <t>ナシ</t>
    </rPh>
    <phoneticPr fontId="4"/>
  </si>
  <si>
    <t>G440　#3</t>
    <phoneticPr fontId="4"/>
  </si>
  <si>
    <t>G440　#5</t>
    <phoneticPr fontId="4"/>
  </si>
  <si>
    <t>中谷　尚美</t>
    <rPh sb="0" eb="2">
      <t>ナカタニ</t>
    </rPh>
    <rPh sb="3" eb="5">
      <t>ナオミ</t>
    </rPh>
    <phoneticPr fontId="4"/>
  </si>
  <si>
    <t>CELESTE 23</t>
    <phoneticPr fontId="4"/>
  </si>
  <si>
    <t>日本シャフト</t>
    <rPh sb="0" eb="2">
      <t>ニホン</t>
    </rPh>
    <phoneticPr fontId="4"/>
  </si>
  <si>
    <t>ZEROS 6</t>
    <phoneticPr fontId="4"/>
  </si>
  <si>
    <t>Sticky EVO 1.8  ブルー 有</t>
    <rPh sb="20" eb="21">
      <t>アリ</t>
    </rPh>
    <phoneticPr fontId="4"/>
  </si>
  <si>
    <t>卜部</t>
    <rPh sb="0" eb="2">
      <t>ウラベ</t>
    </rPh>
    <phoneticPr fontId="4"/>
  </si>
  <si>
    <t>葛井　啓三</t>
    <rPh sb="0" eb="2">
      <t>クズイ</t>
    </rPh>
    <rPh sb="3" eb="4">
      <t>ケイ</t>
    </rPh>
    <rPh sb="4" eb="5">
      <t>サン</t>
    </rPh>
    <phoneticPr fontId="4"/>
  </si>
  <si>
    <t>MCI　PRACTICE　IRON　ピンク</t>
  </si>
  <si>
    <t>GW金券１００００円分利用</t>
    <rPh sb="2" eb="4">
      <t>キンケン</t>
    </rPh>
    <rPh sb="9" eb="10">
      <t>エン</t>
    </rPh>
    <rPh sb="10" eb="11">
      <t>ブン</t>
    </rPh>
    <rPh sb="11" eb="13">
      <t>リヨウ</t>
    </rPh>
    <phoneticPr fontId="4"/>
  </si>
  <si>
    <t>卜部</t>
    <rPh sb="0" eb="2">
      <t>ウラベ</t>
    </rPh>
    <phoneticPr fontId="4"/>
  </si>
  <si>
    <t>鬼塚　隆志</t>
    <rPh sb="0" eb="2">
      <t>オニツカ</t>
    </rPh>
    <rPh sb="3" eb="5">
      <t>タカシ</t>
    </rPh>
    <phoneticPr fontId="4"/>
  </si>
  <si>
    <t>クラブ</t>
    <phoneticPr fontId="4"/>
  </si>
  <si>
    <t>BALDO</t>
    <phoneticPr fontId="4"/>
  </si>
  <si>
    <t>BALDO TT DRIVER GT3 SHALLOW FACE MODEL</t>
    <phoneticPr fontId="4"/>
  </si>
  <si>
    <t>古川</t>
    <rPh sb="0" eb="2">
      <t>フルカワ</t>
    </rPh>
    <phoneticPr fontId="4"/>
  </si>
  <si>
    <t>販売</t>
    <rPh sb="0" eb="2">
      <t>ハンバイ</t>
    </rPh>
    <phoneticPr fontId="4"/>
  </si>
  <si>
    <t>Stiky evolution 2.3　ブルー　有</t>
    <rPh sb="24" eb="25">
      <t>ア</t>
    </rPh>
    <phoneticPr fontId="4"/>
  </si>
  <si>
    <t>現金</t>
    <rPh sb="0" eb="2">
      <t>ゲンキン</t>
    </rPh>
    <phoneticPr fontId="4"/>
  </si>
  <si>
    <t>石田　駿</t>
    <rPh sb="0" eb="2">
      <t>イシダ</t>
    </rPh>
    <rPh sb="3" eb="4">
      <t>シュン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</si>
  <si>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</si>
  <si>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</si>
  <si>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22cm　白　左手</t>
    <rPh sb="5" eb="6">
      <t>シロ</t>
    </rPh>
    <rPh sb="7" eb="9">
      <t>ヒダリテ</t>
    </rPh>
    <phoneticPr fontId="4"/>
  </si>
  <si>
    <t>谷川</t>
    <rPh sb="0" eb="2">
      <t>タニガワ</t>
    </rPh>
    <phoneticPr fontId="4"/>
  </si>
  <si>
    <t>葛井　敬三</t>
    <rPh sb="0" eb="2">
      <t>カツイ</t>
    </rPh>
    <rPh sb="3" eb="5">
      <t>ケイゾウ</t>
    </rPh>
    <phoneticPr fontId="4"/>
  </si>
  <si>
    <t>トゥルーテンパー</t>
    <phoneticPr fontId="4"/>
  </si>
  <si>
    <t>DG105　300S　5i 6i</t>
    <phoneticPr fontId="4"/>
  </si>
  <si>
    <t>竹下　憲子</t>
    <rPh sb="0" eb="2">
      <t>タケシタ</t>
    </rPh>
    <rPh sb="3" eb="5">
      <t>ノリコ</t>
    </rPh>
    <phoneticPr fontId="4"/>
  </si>
  <si>
    <t>23cm 黒　右手</t>
    <rPh sb="5" eb="6">
      <t>クロ</t>
    </rPh>
    <rPh sb="7" eb="9">
      <t>ミギテ</t>
    </rPh>
    <phoneticPr fontId="4"/>
  </si>
  <si>
    <t>今井　馨南子</t>
    <rPh sb="0" eb="2">
      <t>イマイ</t>
    </rPh>
    <rPh sb="4" eb="5">
      <t>ミナミ</t>
    </rPh>
    <rPh sb="5" eb="6">
      <t>コ</t>
    </rPh>
    <phoneticPr fontId="4"/>
  </si>
  <si>
    <t>古川</t>
    <rPh sb="0" eb="2">
      <t>フルカワ</t>
    </rPh>
    <phoneticPr fontId="4"/>
  </si>
  <si>
    <t>宮崎　定智</t>
    <rPh sb="0" eb="2">
      <t>ミヤザキ</t>
    </rPh>
    <rPh sb="3" eb="4">
      <t>サダ</t>
    </rPh>
    <rPh sb="4" eb="5">
      <t>トモ</t>
    </rPh>
    <phoneticPr fontId="4"/>
  </si>
  <si>
    <t>会員</t>
    <rPh sb="0" eb="2">
      <t>カイイン</t>
    </rPh>
    <phoneticPr fontId="4"/>
  </si>
  <si>
    <t>古川</t>
    <rPh sb="0" eb="2">
      <t>フルカワ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</si>
  <si>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</si>
  <si>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</si>
  <si>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グリーンフォーク</t>
    <phoneticPr fontId="4"/>
  </si>
  <si>
    <t xml:space="preserve">Aki's collection </t>
    <phoneticPr fontId="4"/>
  </si>
  <si>
    <t>スマイル　グリーンフォーク</t>
    <phoneticPr fontId="4"/>
  </si>
  <si>
    <t>川井　よし子</t>
    <rPh sb="0" eb="2">
      <t>カワイ</t>
    </rPh>
    <rPh sb="5" eb="6">
      <t>コ</t>
    </rPh>
    <phoneticPr fontId="4"/>
  </si>
  <si>
    <t>9月分</t>
    <rPh sb="1" eb="3">
      <t>ガツブン</t>
    </rPh>
    <phoneticPr fontId="4"/>
  </si>
  <si>
    <t>レギュラー家族割　１か月</t>
    <rPh sb="5" eb="8">
      <t>カゾクワリ</t>
    </rPh>
    <rPh sb="11" eb="12">
      <t>ゲツ</t>
    </rPh>
    <phoneticPr fontId="4"/>
  </si>
  <si>
    <t>川端　ゆま</t>
    <rPh sb="0" eb="2">
      <t>カワバタ</t>
    </rPh>
    <phoneticPr fontId="4"/>
  </si>
  <si>
    <t>9月分の引き落としができていないと申告があった</t>
    <rPh sb="1" eb="3">
      <t>ガツブン</t>
    </rPh>
    <rPh sb="4" eb="5">
      <t>ヒ</t>
    </rPh>
    <rPh sb="6" eb="7">
      <t>オ</t>
    </rPh>
    <rPh sb="17" eb="19">
      <t>シンコク</t>
    </rPh>
    <phoneticPr fontId="4"/>
  </si>
  <si>
    <t xml:space="preserve">SPEEDER NX BLACK </t>
    <phoneticPr fontId="4"/>
  </si>
  <si>
    <t>黒石</t>
    <rPh sb="0" eb="2">
      <t>クロイシ</t>
    </rPh>
    <phoneticPr fontId="4"/>
  </si>
  <si>
    <t>キャロウェイスリーブ　</t>
    <phoneticPr fontId="4"/>
  </si>
  <si>
    <t>古川　志野</t>
    <rPh sb="0" eb="2">
      <t>フルカワ</t>
    </rPh>
    <rPh sb="3" eb="5">
      <t>シノ</t>
    </rPh>
    <phoneticPr fontId="4"/>
  </si>
  <si>
    <t>TOUR SPFT 白</t>
    <rPh sb="10" eb="11">
      <t>シロ</t>
    </rPh>
    <phoneticPr fontId="4"/>
  </si>
  <si>
    <t>月会費</t>
    <rPh sb="0" eb="3">
      <t>ツキカイヒ</t>
    </rPh>
    <phoneticPr fontId="4"/>
  </si>
  <si>
    <t>内部　裕太</t>
    <rPh sb="0" eb="2">
      <t>ウチベ</t>
    </rPh>
    <rPh sb="3" eb="5">
      <t>ユウタ</t>
    </rPh>
    <phoneticPr fontId="4"/>
  </si>
  <si>
    <t>磯上　真也</t>
    <rPh sb="0" eb="2">
      <t>イソガミ</t>
    </rPh>
    <rPh sb="3" eb="5">
      <t>シンヤ</t>
    </rPh>
    <phoneticPr fontId="4"/>
  </si>
  <si>
    <t>MCC バックライン有</t>
    <rPh sb="10" eb="11">
      <t>アリ</t>
    </rPh>
    <phoneticPr fontId="4"/>
  </si>
  <si>
    <t>渡辺　敬介</t>
  </si>
  <si>
    <t>ビジター</t>
    <phoneticPr fontId="4"/>
  </si>
  <si>
    <t>販売</t>
    <rPh sb="0" eb="2">
      <t>ハンバイ</t>
    </rPh>
    <phoneticPr fontId="4"/>
  </si>
  <si>
    <t>NEWTON</t>
    <phoneticPr fontId="4"/>
  </si>
  <si>
    <t>NEWTON　MOTION</t>
    <phoneticPr fontId="4"/>
  </si>
  <si>
    <t>TD50C ネイビー　有</t>
    <rPh sb="11" eb="12">
      <t>アリ</t>
    </rPh>
    <phoneticPr fontId="4"/>
  </si>
  <si>
    <t>井殿</t>
    <rPh sb="0" eb="2">
      <t>イドノ</t>
    </rPh>
    <phoneticPr fontId="4"/>
  </si>
  <si>
    <t>古川</t>
    <rPh sb="0" eb="2">
      <t>フルカワ</t>
    </rPh>
    <phoneticPr fontId="4"/>
  </si>
  <si>
    <t>徳島　裕樹</t>
    <rPh sb="0" eb="2">
      <t>トクシマ</t>
    </rPh>
    <rPh sb="3" eb="4">
      <t>ユウ</t>
    </rPh>
    <phoneticPr fontId="4"/>
  </si>
  <si>
    <t>現金</t>
    <rPh sb="0" eb="2">
      <t>ゲンキン</t>
    </rPh>
    <phoneticPr fontId="4"/>
  </si>
  <si>
    <t>井殿</t>
    <rPh sb="0" eb="2">
      <t>イドノ</t>
    </rPh>
    <phoneticPr fontId="4"/>
  </si>
  <si>
    <t>谷川</t>
    <rPh sb="0" eb="2">
      <t>タニガワ</t>
    </rPh>
    <phoneticPr fontId="4"/>
  </si>
  <si>
    <t>FW G440 MAX #4 17°</t>
    <phoneticPr fontId="4"/>
  </si>
  <si>
    <t>志野さん</t>
    <rPh sb="0" eb="2">
      <t>シノ</t>
    </rPh>
    <phoneticPr fontId="4"/>
  </si>
  <si>
    <t>スタッフ</t>
    <phoneticPr fontId="4"/>
  </si>
  <si>
    <t>全天候型 　24cm</t>
    <rPh sb="0" eb="4">
      <t>ゼンテンコウガタ</t>
    </rPh>
    <phoneticPr fontId="4"/>
  </si>
  <si>
    <t>24cm　白　左</t>
    <rPh sb="5" eb="6">
      <t>シロ</t>
    </rPh>
    <rPh sb="7" eb="8">
      <t>ヒダリ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</si>
  <si>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</si>
  <si>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</si>
  <si>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熊谷　勝夫</t>
    <rPh sb="0" eb="2">
      <t>クマガイ</t>
    </rPh>
    <rPh sb="3" eb="5">
      <t>カツオ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</si>
  <si>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</si>
  <si>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</si>
  <si>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北　秀実</t>
    <rPh sb="0" eb="1">
      <t>キタ</t>
    </rPh>
    <rPh sb="2" eb="4">
      <t>ヒデミ</t>
    </rPh>
    <phoneticPr fontId="4"/>
  </si>
  <si>
    <t>20cm 白　左</t>
    <rPh sb="5" eb="6">
      <t>シロ</t>
    </rPh>
    <rPh sb="7" eb="8">
      <t>ヒダリ</t>
    </rPh>
    <phoneticPr fontId="4"/>
  </si>
  <si>
    <t>23cm 白　左</t>
    <rPh sb="5" eb="6">
      <t>シロ</t>
    </rPh>
    <rPh sb="7" eb="8">
      <t>ヒダリ</t>
    </rPh>
    <phoneticPr fontId="4"/>
  </si>
  <si>
    <t>TR HYBRID 75S</t>
    <phoneticPr fontId="4"/>
  </si>
  <si>
    <t>山本　一範</t>
    <rPh sb="0" eb="2">
      <t>ヤマモト</t>
    </rPh>
    <rPh sb="3" eb="5">
      <t>カズノリ</t>
    </rPh>
    <phoneticPr fontId="4"/>
  </si>
  <si>
    <t>卜部</t>
    <rPh sb="0" eb="2">
      <t>ウラベ</t>
    </rPh>
    <phoneticPr fontId="4"/>
  </si>
  <si>
    <t>藤原　英司</t>
    <rPh sb="0" eb="2">
      <t>フジワラ</t>
    </rPh>
    <rPh sb="3" eb="5">
      <t>エイジ</t>
    </rPh>
    <phoneticPr fontId="4"/>
  </si>
  <si>
    <t>8・9月分</t>
    <rPh sb="3" eb="5">
      <t>ガツブン</t>
    </rPh>
    <phoneticPr fontId="4"/>
  </si>
  <si>
    <t>福原　大輔</t>
    <rPh sb="0" eb="2">
      <t>フクハラ</t>
    </rPh>
    <rPh sb="3" eb="4">
      <t>ダイ</t>
    </rPh>
    <rPh sb="4" eb="5">
      <t>スケ</t>
    </rPh>
    <phoneticPr fontId="4"/>
  </si>
  <si>
    <t>Y360 STAR ベルリナブラック 有</t>
    <rPh sb="19" eb="20">
      <t>アリ</t>
    </rPh>
    <phoneticPr fontId="4"/>
  </si>
  <si>
    <t>8・9月分月会費</t>
    <rPh sb="3" eb="5">
      <t>ガツブン</t>
    </rPh>
    <rPh sb="5" eb="8">
      <t>ツキカイヒ</t>
    </rPh>
    <phoneticPr fontId="4"/>
  </si>
  <si>
    <t>古川</t>
    <rPh sb="0" eb="2">
      <t>フルカワ</t>
    </rPh>
    <phoneticPr fontId="4"/>
  </si>
  <si>
    <t>亀井　順一</t>
    <rPh sb="0" eb="2">
      <t>カメイ</t>
    </rPh>
    <rPh sb="3" eb="5">
      <t>ジュンイチ</t>
    </rPh>
    <phoneticPr fontId="4"/>
  </si>
  <si>
    <t>10・11月分</t>
    <rPh sb="5" eb="7">
      <t>ガツブン</t>
    </rPh>
    <phoneticPr fontId="4"/>
  </si>
  <si>
    <t>10月分</t>
    <rPh sb="2" eb="4">
      <t>ガツブン</t>
    </rPh>
    <phoneticPr fontId="4"/>
  </si>
  <si>
    <t>石本　宏人</t>
    <rPh sb="0" eb="2">
      <t>イシモト</t>
    </rPh>
    <rPh sb="3" eb="5">
      <t>ヒロト</t>
    </rPh>
    <phoneticPr fontId="4"/>
  </si>
  <si>
    <t>PING　440</t>
    <phoneticPr fontId="4"/>
  </si>
  <si>
    <t>MCC ALIGN STD ホワイト 有</t>
    <rPh sb="19" eb="20">
      <t>アリ</t>
    </rPh>
    <phoneticPr fontId="4"/>
  </si>
  <si>
    <t>DG105　S200　#5 #6 #7 #8 #9 #PW</t>
    <phoneticPr fontId="4"/>
  </si>
  <si>
    <t>DG105　R300　5i 6i</t>
    <phoneticPr fontId="4"/>
  </si>
  <si>
    <t>岡垣　誠</t>
    <rPh sb="0" eb="2">
      <t>オカガキ</t>
    </rPh>
    <rPh sb="3" eb="4">
      <t>マコト</t>
    </rPh>
    <phoneticPr fontId="4"/>
  </si>
  <si>
    <t>宮崎さん紹介割引</t>
    <rPh sb="0" eb="2">
      <t>ミヤザキ</t>
    </rPh>
    <rPh sb="4" eb="6">
      <t>ショウカイ</t>
    </rPh>
    <rPh sb="6" eb="8">
      <t>ワリビキ</t>
    </rPh>
    <phoneticPr fontId="4"/>
  </si>
  <si>
    <t>林　直樹</t>
    <rPh sb="0" eb="1">
      <t>ハヤシ</t>
    </rPh>
    <rPh sb="2" eb="4">
      <t>ナオキ</t>
    </rPh>
    <phoneticPr fontId="4"/>
  </si>
  <si>
    <t xml:space="preserve"> IOMIC</t>
    <phoneticPr fontId="4"/>
  </si>
  <si>
    <t>イオミックX-Fit 25cm</t>
    <phoneticPr fontId="4"/>
  </si>
  <si>
    <t>喜田　徹</t>
    <rPh sb="0" eb="2">
      <t>キダ</t>
    </rPh>
    <rPh sb="3" eb="4">
      <t>トオル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</si>
  <si>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</si>
  <si>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</si>
  <si>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グリップ</t>
    <phoneticPr fontId="4"/>
  </si>
  <si>
    <t>現金</t>
    <rPh sb="0" eb="2">
      <t>ゲンキン</t>
    </rPh>
    <phoneticPr fontId="4"/>
  </si>
  <si>
    <t>武井　淳子</t>
    <rPh sb="0" eb="2">
      <t>タケイ</t>
    </rPh>
    <rPh sb="3" eb="5">
      <t>ジュンコ</t>
    </rPh>
    <phoneticPr fontId="4"/>
  </si>
  <si>
    <t>mimicホワイトピンク５本　mimicピンクホワイト６本</t>
    <rPh sb="13" eb="14">
      <t>ホン</t>
    </rPh>
    <rPh sb="28" eb="29">
      <t>ポン</t>
    </rPh>
    <phoneticPr fontId="4"/>
  </si>
  <si>
    <t>卜部</t>
    <rPh sb="0" eb="2">
      <t>ウラベ</t>
    </rPh>
    <phoneticPr fontId="4"/>
  </si>
  <si>
    <t>古川</t>
    <rPh sb="0" eb="2">
      <t>フルカワ</t>
    </rPh>
    <phoneticPr fontId="4"/>
  </si>
  <si>
    <t>井殿</t>
    <rPh sb="0" eb="2">
      <t>イドノ</t>
    </rPh>
    <phoneticPr fontId="4"/>
  </si>
  <si>
    <t>高倉　龍太</t>
    <rPh sb="0" eb="2">
      <t>タカクラ</t>
    </rPh>
    <rPh sb="3" eb="5">
      <t>リュウタ</t>
    </rPh>
    <phoneticPr fontId="4"/>
  </si>
  <si>
    <t>和島　絢子</t>
    <rPh sb="0" eb="2">
      <t>ワジマ</t>
    </rPh>
    <rPh sb="3" eb="5">
      <t>アヤコ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</si>
  <si>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</si>
  <si>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</si>
  <si>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グローブ</t>
    <phoneticPr fontId="4"/>
  </si>
  <si>
    <t>21cm</t>
    <phoneticPr fontId="4"/>
  </si>
  <si>
    <t>古川</t>
    <rPh sb="0" eb="2">
      <t>フルカワ</t>
    </rPh>
    <phoneticPr fontId="4"/>
  </si>
  <si>
    <t>後神　涼太</t>
    <rPh sb="0" eb="2">
      <t>ゴコウ</t>
    </rPh>
    <rPh sb="3" eb="5">
      <t>リョウタ</t>
    </rPh>
    <phoneticPr fontId="4"/>
  </si>
  <si>
    <t>ビジター</t>
    <phoneticPr fontId="4"/>
  </si>
  <si>
    <t>試打　無制限</t>
    <rPh sb="0" eb="2">
      <t>シダ</t>
    </rPh>
    <rPh sb="3" eb="6">
      <t>ムセイゲン</t>
    </rPh>
    <phoneticPr fontId="4"/>
  </si>
  <si>
    <t>大黒　雄介</t>
  </si>
  <si>
    <t>大黒　雄介</t>
    <rPh sb="0" eb="2">
      <t>ダイコク</t>
    </rPh>
    <phoneticPr fontId="4"/>
  </si>
  <si>
    <t xml:space="preserve">Tour velvet plus 4 </t>
    <phoneticPr fontId="4"/>
  </si>
  <si>
    <t>Y360 STAR ベルリナブラック　有</t>
    <rPh sb="19" eb="20">
      <t>アリ</t>
    </rPh>
    <phoneticPr fontId="4"/>
  </si>
  <si>
    <t>Y360s M58 ブラック　有</t>
    <rPh sb="15" eb="16">
      <t>アリ</t>
    </rPh>
    <phoneticPr fontId="4"/>
  </si>
  <si>
    <t>上野 年彦</t>
  </si>
  <si>
    <t>23ｃｍ</t>
    <phoneticPr fontId="4"/>
  </si>
  <si>
    <t>熊谷　勝夫</t>
    <phoneticPr fontId="4"/>
  </si>
  <si>
    <t>渡辺　</t>
    <phoneticPr fontId="4"/>
  </si>
  <si>
    <t>卜部</t>
    <rPh sb="0" eb="2">
      <t>ウラベ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</si>
  <si>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</si>
  <si>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</si>
  <si>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谷川</t>
    <rPh sb="0" eb="2">
      <t>タニガワ</t>
    </rPh>
    <phoneticPr fontId="4"/>
  </si>
  <si>
    <t>中川　浩二</t>
    <rPh sb="0" eb="2">
      <t>ナカガワ</t>
    </rPh>
    <rPh sb="3" eb="5">
      <t>コウジ</t>
    </rPh>
    <phoneticPr fontId="4"/>
  </si>
  <si>
    <t>ビジター</t>
    <phoneticPr fontId="4"/>
  </si>
  <si>
    <t>Zinger5　黒</t>
    <rPh sb="8" eb="9">
      <t>クロ</t>
    </rPh>
    <phoneticPr fontId="4"/>
  </si>
  <si>
    <t>CADERO</t>
    <phoneticPr fontId="4"/>
  </si>
  <si>
    <t>2×2ペンタゴンスター入り</t>
    <rPh sb="11" eb="12">
      <t>イ</t>
    </rPh>
    <phoneticPr fontId="4"/>
  </si>
  <si>
    <t>加野　仁紀</t>
    <rPh sb="0" eb="2">
      <t>カノ</t>
    </rPh>
    <rPh sb="3" eb="4">
      <t>ジン</t>
    </rPh>
    <rPh sb="4" eb="5">
      <t>キ</t>
    </rPh>
    <phoneticPr fontId="4"/>
  </si>
  <si>
    <t>会員</t>
    <rPh sb="0" eb="2">
      <t>カイイン</t>
    </rPh>
    <phoneticPr fontId="4"/>
  </si>
  <si>
    <t>Sticky SUPER ULTRA LIGHT 1.8(有) ブルー</t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</si>
  <si>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</si>
  <si>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</si>
  <si>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Sticky Super Ultra Light 27g　ﾌﾞﾗｯｸ (有)</t>
    <rPh sb="36" eb="37">
      <t>アリ</t>
    </rPh>
    <phoneticPr fontId="4"/>
  </si>
  <si>
    <t>鬼塚　隆志</t>
    <rPh sb="0" eb="2">
      <t>オニツカ</t>
    </rPh>
    <rPh sb="3" eb="4">
      <t>タカシ</t>
    </rPh>
    <rPh sb="4" eb="5">
      <t>シ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</si>
  <si>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</si>
  <si>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</si>
  <si>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LEFT DASH 白</t>
    <phoneticPr fontId="4"/>
  </si>
  <si>
    <t>榎本</t>
    <rPh sb="0" eb="2">
      <t>エノモト</t>
    </rPh>
    <phoneticPr fontId="4"/>
  </si>
  <si>
    <t>東　潔</t>
    <rPh sb="0" eb="1">
      <t>ヒガシ</t>
    </rPh>
    <rPh sb="2" eb="3">
      <t>キヨシ</t>
    </rPh>
    <phoneticPr fontId="4"/>
  </si>
  <si>
    <t>X-EVOLUTION　2.3　レモンイエロー(有)</t>
    <rPh sb="24" eb="25">
      <t>アリ</t>
    </rPh>
    <phoneticPr fontId="4"/>
  </si>
  <si>
    <t>古川</t>
    <rPh sb="0" eb="2">
      <t>フルカワ</t>
    </rPh>
    <phoneticPr fontId="4"/>
  </si>
  <si>
    <t>ハマダ防災</t>
    <rPh sb="3" eb="5">
      <t>ボウサイ</t>
    </rPh>
    <phoneticPr fontId="4"/>
  </si>
  <si>
    <t>10月分月会費</t>
    <rPh sb="2" eb="4">
      <t>ガツブン</t>
    </rPh>
    <rPh sb="4" eb="7">
      <t>ツキカイヒ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</si>
  <si>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</si>
  <si>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</si>
  <si>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榎本</t>
    <rPh sb="0" eb="2">
      <t>エノモト</t>
    </rPh>
    <phoneticPr fontId="4"/>
  </si>
  <si>
    <t>LTC iXx 1.8 ブルー　有</t>
    <rPh sb="16" eb="17">
      <t>アリ</t>
    </rPh>
    <phoneticPr fontId="4"/>
  </si>
  <si>
    <t>MCI　NEW　MODEL 90 S　6番用</t>
    <rPh sb="20" eb="22">
      <t>バンヨウ</t>
    </rPh>
    <phoneticPr fontId="4"/>
  </si>
  <si>
    <t>宮崎　聖子</t>
    <rPh sb="0" eb="2">
      <t>ミヤザキ</t>
    </rPh>
    <rPh sb="3" eb="5">
      <t>セイコ</t>
    </rPh>
    <phoneticPr fontId="4"/>
  </si>
  <si>
    <t>LTC1.8 メビウスブラック</t>
    <phoneticPr fontId="4"/>
  </si>
  <si>
    <t>卜部</t>
    <rPh sb="0" eb="2">
      <t>ウラベ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</si>
  <si>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</si>
  <si>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</si>
  <si>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21cm　黒　左</t>
    <rPh sb="5" eb="6">
      <t>クロ</t>
    </rPh>
    <rPh sb="7" eb="8">
      <t>ヒダリ</t>
    </rPh>
    <phoneticPr fontId="4"/>
  </si>
  <si>
    <t>谷川</t>
    <rPh sb="0" eb="2">
      <t>タニガワ</t>
    </rPh>
    <phoneticPr fontId="4"/>
  </si>
  <si>
    <t>古川</t>
    <rPh sb="0" eb="2">
      <t>フルカワ</t>
    </rPh>
    <phoneticPr fontId="4"/>
  </si>
  <si>
    <t>卜部</t>
    <rPh sb="0" eb="2">
      <t>ウラベ</t>
    </rPh>
    <phoneticPr fontId="4"/>
  </si>
  <si>
    <t>榎本</t>
    <rPh sb="0" eb="2">
      <t>エノモト</t>
    </rPh>
    <phoneticPr fontId="4"/>
  </si>
  <si>
    <t>中西　亜維</t>
    <rPh sb="0" eb="2">
      <t>ナカニシ</t>
    </rPh>
    <rPh sb="3" eb="4">
      <t>ア</t>
    </rPh>
    <rPh sb="4" eb="5">
      <t>イ</t>
    </rPh>
    <phoneticPr fontId="4"/>
  </si>
  <si>
    <t>古川</t>
    <rPh sb="0" eb="2">
      <t>フルカワ</t>
    </rPh>
    <phoneticPr fontId="4"/>
  </si>
  <si>
    <t>卜部</t>
    <rPh sb="0" eb="2">
      <t>ウラベ</t>
    </rPh>
    <phoneticPr fontId="4"/>
  </si>
  <si>
    <t>井上　亮</t>
    <rPh sb="0" eb="2">
      <t>イノウエ</t>
    </rPh>
    <rPh sb="3" eb="4">
      <t>リョウ</t>
    </rPh>
    <phoneticPr fontId="4"/>
  </si>
  <si>
    <t>松島　亮太</t>
    <rPh sb="0" eb="2">
      <t>マツシマ</t>
    </rPh>
    <rPh sb="3" eb="5">
      <t>リョウタ</t>
    </rPh>
    <phoneticPr fontId="4"/>
  </si>
  <si>
    <t>卜部</t>
    <rPh sb="0" eb="2">
      <t>ウラベ</t>
    </rPh>
    <phoneticPr fontId="4"/>
  </si>
  <si>
    <t>古川</t>
    <rPh sb="0" eb="2">
      <t>フルカワ</t>
    </rPh>
    <phoneticPr fontId="4"/>
  </si>
  <si>
    <t>9月分月会費</t>
    <rPh sb="1" eb="3">
      <t>ガツブン</t>
    </rPh>
    <rPh sb="3" eb="6">
      <t>ツキカイヒ</t>
    </rPh>
    <phoneticPr fontId="4"/>
  </si>
  <si>
    <t>中井　飛和</t>
    <rPh sb="0" eb="2">
      <t>ナカイ</t>
    </rPh>
    <rPh sb="3" eb="4">
      <t>ト</t>
    </rPh>
    <rPh sb="4" eb="5">
      <t>ワ</t>
    </rPh>
    <phoneticPr fontId="4"/>
  </si>
  <si>
    <t>中井　和也　</t>
    <rPh sb="0" eb="2">
      <t>ナカイ</t>
    </rPh>
    <rPh sb="3" eb="5">
      <t>カズヤ</t>
    </rPh>
    <phoneticPr fontId="4"/>
  </si>
  <si>
    <t>佐藤　心裕</t>
    <rPh sb="0" eb="2">
      <t>サトウ</t>
    </rPh>
    <rPh sb="3" eb="4">
      <t>ココロ</t>
    </rPh>
    <rPh sb="4" eb="5">
      <t>ユウ</t>
    </rPh>
    <phoneticPr fontId="4"/>
  </si>
  <si>
    <t>谷川</t>
    <rPh sb="0" eb="2">
      <t>タニガワ</t>
    </rPh>
    <phoneticPr fontId="4"/>
  </si>
  <si>
    <t>スタッフ</t>
  </si>
  <si>
    <t>TOUR TEE Pro</t>
  </si>
  <si>
    <t>蟹江</t>
    <rPh sb="0" eb="2">
      <t>カニエ</t>
    </rPh>
    <phoneticPr fontId="4"/>
  </si>
  <si>
    <t>Airペイ</t>
    <phoneticPr fontId="4"/>
  </si>
  <si>
    <t>arch</t>
    <phoneticPr fontId="4"/>
  </si>
  <si>
    <t>セレスト　26</t>
    <phoneticPr fontId="4"/>
  </si>
  <si>
    <t>セレスト　27</t>
  </si>
  <si>
    <t>フィッティング料金返金</t>
    <rPh sb="7" eb="9">
      <t>リョウキン</t>
    </rPh>
    <rPh sb="9" eb="11">
      <t>ヘンキン</t>
    </rPh>
    <phoneticPr fontId="4"/>
  </si>
  <si>
    <t>キャロウェイ</t>
    <phoneticPr fontId="4"/>
  </si>
  <si>
    <t>スリーブ</t>
    <phoneticPr fontId="4"/>
  </si>
  <si>
    <t>北　淳子</t>
    <rPh sb="0" eb="1">
      <t>キタ</t>
    </rPh>
    <rPh sb="2" eb="4">
      <t>ジュンコ</t>
    </rPh>
    <phoneticPr fontId="4"/>
  </si>
  <si>
    <t>安東</t>
    <rPh sb="0" eb="2">
      <t>アンドウ</t>
    </rPh>
    <phoneticPr fontId="4"/>
  </si>
  <si>
    <t>JGR</t>
    <phoneticPr fontId="4"/>
  </si>
  <si>
    <t>会員</t>
    <rPh sb="0" eb="2">
      <t>カイイン</t>
    </rPh>
    <phoneticPr fontId="4"/>
  </si>
  <si>
    <t>現金</t>
    <rPh sb="0" eb="2">
      <t>ゲンキン</t>
    </rPh>
    <phoneticPr fontId="4"/>
  </si>
  <si>
    <t>卜部</t>
    <rPh sb="0" eb="2">
      <t>ウラベ</t>
    </rPh>
    <phoneticPr fontId="4"/>
  </si>
  <si>
    <t>安東</t>
    <rPh sb="0" eb="2">
      <t>アンドウ</t>
    </rPh>
    <phoneticPr fontId="4"/>
  </si>
  <si>
    <t>卜部</t>
    <rPh sb="0" eb="2">
      <t>ウラベ</t>
    </rPh>
    <phoneticPr fontId="4"/>
  </si>
  <si>
    <t>宮崎　舞</t>
    <rPh sb="0" eb="2">
      <t>ミヤザキ</t>
    </rPh>
    <rPh sb="3" eb="4">
      <t>マイ</t>
    </rPh>
    <phoneticPr fontId="4"/>
  </si>
  <si>
    <t>会員</t>
    <rPh sb="0" eb="2">
      <t>カイイン</t>
    </rPh>
    <phoneticPr fontId="4"/>
  </si>
  <si>
    <t>古川</t>
    <rPh sb="0" eb="2">
      <t>フルカワ</t>
    </rPh>
    <phoneticPr fontId="4"/>
  </si>
  <si>
    <t>福原</t>
    <rPh sb="0" eb="2">
      <t>フクハラ</t>
    </rPh>
    <phoneticPr fontId="4"/>
  </si>
  <si>
    <t>谷川</t>
    <rPh sb="0" eb="2">
      <t>タニガワ</t>
    </rPh>
    <phoneticPr fontId="4"/>
  </si>
  <si>
    <t>8月分　月会費</t>
    <rPh sb="1" eb="3">
      <t>ガツブン</t>
    </rPh>
    <rPh sb="4" eb="5">
      <t>ツキ</t>
    </rPh>
    <rPh sb="5" eb="7">
      <t>カイヒ</t>
    </rPh>
    <phoneticPr fontId="4"/>
  </si>
  <si>
    <t>9月分　月会費</t>
    <rPh sb="1" eb="3">
      <t>ガツブン</t>
    </rPh>
    <rPh sb="4" eb="5">
      <t>ツキ</t>
    </rPh>
    <rPh sb="5" eb="7">
      <t>カイヒ</t>
    </rPh>
    <phoneticPr fontId="4"/>
  </si>
  <si>
    <t>10月分　月会費</t>
    <rPh sb="2" eb="4">
      <t>ガツブン</t>
    </rPh>
    <rPh sb="5" eb="6">
      <t>ツキ</t>
    </rPh>
    <rPh sb="6" eb="8">
      <t>カイヒ</t>
    </rPh>
    <phoneticPr fontId="4"/>
  </si>
  <si>
    <t>古川</t>
    <rPh sb="0" eb="2">
      <t>フルカワ</t>
    </rPh>
    <phoneticPr fontId="4"/>
  </si>
  <si>
    <t>砂村　奈緒</t>
    <rPh sb="0" eb="2">
      <t>スナムラ</t>
    </rPh>
    <rPh sb="3" eb="5">
      <t>ナオ</t>
    </rPh>
    <phoneticPr fontId="4"/>
  </si>
  <si>
    <t>谷川</t>
    <rPh sb="0" eb="2">
      <t>タニガワ</t>
    </rPh>
    <phoneticPr fontId="4"/>
  </si>
  <si>
    <t>木村　稔</t>
    <rPh sb="0" eb="2">
      <t>キムラ</t>
    </rPh>
    <rPh sb="3" eb="4">
      <t>ミノル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</si>
  <si>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</si>
  <si>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</si>
  <si>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Tour Velvet 360 LITE(無)</t>
    <rPh sb="21" eb="22">
      <t>ナシ</t>
    </rPh>
    <phoneticPr fontId="4"/>
  </si>
  <si>
    <t>ビジター</t>
    <phoneticPr fontId="4"/>
  </si>
  <si>
    <t>大野　史恵</t>
    <rPh sb="0" eb="2">
      <t>オオノ</t>
    </rPh>
    <rPh sb="3" eb="5">
      <t>フミエ</t>
    </rPh>
    <phoneticPr fontId="4"/>
  </si>
  <si>
    <t>利用料</t>
    <rPh sb="0" eb="3">
      <t>リヨウリョウ</t>
    </rPh>
    <phoneticPr fontId="4"/>
  </si>
  <si>
    <t>田村　恵末</t>
    <rPh sb="0" eb="2">
      <t>タムラ</t>
    </rPh>
    <rPh sb="3" eb="4">
      <t>メグミ</t>
    </rPh>
    <rPh sb="4" eb="5">
      <t>スエ</t>
    </rPh>
    <phoneticPr fontId="4"/>
  </si>
  <si>
    <t>現金</t>
    <rPh sb="0" eb="2">
      <t>ゲンキン</t>
    </rPh>
    <phoneticPr fontId="4"/>
  </si>
  <si>
    <t>榎本</t>
    <rPh sb="0" eb="2">
      <t>エノモト</t>
    </rPh>
    <phoneticPr fontId="4"/>
  </si>
  <si>
    <t>古川</t>
    <rPh sb="0" eb="2">
      <t>フルカワ</t>
    </rPh>
    <phoneticPr fontId="4"/>
  </si>
  <si>
    <t>不明</t>
    <rPh sb="0" eb="2">
      <t>フメイ</t>
    </rPh>
    <phoneticPr fontId="4"/>
  </si>
  <si>
    <t>ビジター</t>
    <phoneticPr fontId="4"/>
  </si>
  <si>
    <t>販売</t>
    <rPh sb="0" eb="2">
      <t>ハンバイ</t>
    </rPh>
    <phoneticPr fontId="4"/>
  </si>
  <si>
    <t>エリート</t>
    <phoneticPr fontId="4"/>
  </si>
  <si>
    <t>Y360　STAR　XT　有</t>
    <rPh sb="13" eb="14">
      <t>アリ</t>
    </rPh>
    <phoneticPr fontId="4"/>
  </si>
  <si>
    <t>株式会社ピーチアセット</t>
    <rPh sb="0" eb="4">
      <t>カブシキガイシャ</t>
    </rPh>
    <phoneticPr fontId="4"/>
  </si>
  <si>
    <t>会員</t>
    <rPh sb="0" eb="2">
      <t>カイイン</t>
    </rPh>
    <phoneticPr fontId="4"/>
  </si>
  <si>
    <t>月会費（定額制）</t>
    <phoneticPr fontId="4"/>
  </si>
  <si>
    <t>シンカグラファイト</t>
  </si>
  <si>
    <t>DR LEXIA 5S</t>
  </si>
  <si>
    <t>FW LEXIA L series 6S</t>
  </si>
  <si>
    <t>TR HYBRID 75S</t>
  </si>
  <si>
    <t>DG105　S200　#5 #6 #7 #8 #9 #PW</t>
  </si>
  <si>
    <t>FW G440 MAX #4 17°</t>
  </si>
  <si>
    <t>会員</t>
    <rPh sb="0" eb="2">
      <t>カイイン</t>
    </rPh>
    <phoneticPr fontId="4"/>
  </si>
  <si>
    <t>古川　博庸</t>
    <rPh sb="0" eb="2">
      <t>フルカワ</t>
    </rPh>
    <rPh sb="3" eb="4">
      <t>ヒロシ</t>
    </rPh>
    <rPh sb="4" eb="5">
      <t>ヨウ</t>
    </rPh>
    <phoneticPr fontId="4"/>
  </si>
  <si>
    <t>スタッフ</t>
    <phoneticPr fontId="4"/>
  </si>
  <si>
    <t>販売</t>
    <rPh sb="0" eb="2">
      <t>ハンバイ</t>
    </rPh>
    <phoneticPr fontId="4"/>
  </si>
  <si>
    <t>PRO V1</t>
    <phoneticPr fontId="4"/>
  </si>
  <si>
    <t>現金</t>
    <rPh sb="0" eb="2">
      <t>ゲンキン</t>
    </rPh>
    <phoneticPr fontId="4"/>
  </si>
  <si>
    <t>VELOCITY　白</t>
    <rPh sb="9" eb="10">
      <t>シロ</t>
    </rPh>
    <phoneticPr fontId="4"/>
  </si>
  <si>
    <t>中村　均</t>
    <rPh sb="0" eb="2">
      <t>ナカムラ</t>
    </rPh>
    <rPh sb="3" eb="4">
      <t>ヒトシ</t>
    </rPh>
    <phoneticPr fontId="4"/>
  </si>
  <si>
    <t>TD50C 青　有</t>
    <rPh sb="6" eb="7">
      <t>アオ</t>
    </rPh>
    <rPh sb="8" eb="9">
      <t>アリ</t>
    </rPh>
    <phoneticPr fontId="4"/>
  </si>
  <si>
    <t>Square</t>
    <phoneticPr fontId="4"/>
  </si>
  <si>
    <t>原田　恵子</t>
    <rPh sb="0" eb="2">
      <t>ハラダ</t>
    </rPh>
    <rPh sb="3" eb="5">
      <t>ケイコ</t>
    </rPh>
    <phoneticPr fontId="4"/>
  </si>
  <si>
    <t>110分（ビジター）</t>
    <rPh sb="3" eb="4">
      <t>フン</t>
    </rPh>
    <phoneticPr fontId="4"/>
  </si>
  <si>
    <t>古川</t>
    <rPh sb="0" eb="2">
      <t>フルカワ</t>
    </rPh>
    <phoneticPr fontId="4"/>
  </si>
  <si>
    <t>高砂　行彦</t>
    <rPh sb="0" eb="2">
      <t>タカサゴ</t>
    </rPh>
    <rPh sb="3" eb="5">
      <t>ユキヒコ</t>
    </rPh>
    <phoneticPr fontId="4"/>
  </si>
  <si>
    <t>会員</t>
    <rPh sb="0" eb="2">
      <t>カイイン</t>
    </rPh>
    <phoneticPr fontId="4"/>
  </si>
  <si>
    <t>カラダフィッティング</t>
    <phoneticPr fontId="4"/>
  </si>
  <si>
    <t>５５分</t>
    <rPh sb="2" eb="3">
      <t>フン</t>
    </rPh>
    <phoneticPr fontId="4"/>
  </si>
  <si>
    <t>古川</t>
    <rPh sb="0" eb="2">
      <t>フルカワ</t>
    </rPh>
    <phoneticPr fontId="4"/>
  </si>
  <si>
    <t>南　聡次</t>
    <rPh sb="0" eb="1">
      <t>ミナミ</t>
    </rPh>
    <rPh sb="2" eb="3">
      <t>サトシ</t>
    </rPh>
    <rPh sb="3" eb="4">
      <t>ツギ</t>
    </rPh>
    <phoneticPr fontId="4"/>
  </si>
  <si>
    <t>安東</t>
    <rPh sb="0" eb="2">
      <t>アンドウ</t>
    </rPh>
    <phoneticPr fontId="4"/>
  </si>
  <si>
    <t>11月分  月会費</t>
    <rPh sb="2" eb="3">
      <t>ガツ</t>
    </rPh>
    <rPh sb="3" eb="4">
      <t>ブン</t>
    </rPh>
    <rPh sb="6" eb="9">
      <t>ツキカイヒ</t>
    </rPh>
    <phoneticPr fontId="4"/>
  </si>
  <si>
    <t>播磨　久美子</t>
    <rPh sb="0" eb="2">
      <t>ハリマ</t>
    </rPh>
    <rPh sb="3" eb="6">
      <t>クミコ</t>
    </rPh>
    <phoneticPr fontId="4"/>
  </si>
  <si>
    <t>宮崎　舞</t>
    <rPh sb="0" eb="2">
      <t>ミヤザキ</t>
    </rPh>
    <rPh sb="3" eb="4">
      <t>マイ</t>
    </rPh>
    <phoneticPr fontId="4"/>
  </si>
  <si>
    <t>谷川</t>
    <rPh sb="0" eb="2">
      <t>タニガワ</t>
    </rPh>
    <phoneticPr fontId="4"/>
  </si>
  <si>
    <t>古川</t>
    <rPh sb="0" eb="2">
      <t>フルカワ</t>
    </rPh>
    <phoneticPr fontId="4"/>
  </si>
  <si>
    <t>販売</t>
    <rPh sb="0" eb="2">
      <t>ハンバイ</t>
    </rPh>
    <phoneticPr fontId="4"/>
  </si>
  <si>
    <t>グリップ</t>
    <phoneticPr fontId="4"/>
  </si>
  <si>
    <t>グローブ</t>
    <phoneticPr fontId="4"/>
  </si>
  <si>
    <t>上田　恭司</t>
  </si>
  <si>
    <t>Square</t>
    <phoneticPr fontId="4"/>
  </si>
  <si>
    <t>安東　茉優</t>
    <rPh sb="0" eb="2">
      <t>アンドウ</t>
    </rPh>
    <rPh sb="3" eb="5">
      <t>マユ</t>
    </rPh>
    <phoneticPr fontId="4"/>
  </si>
  <si>
    <t>会員</t>
    <rPh sb="0" eb="2">
      <t>カイイン</t>
    </rPh>
    <phoneticPr fontId="4"/>
  </si>
  <si>
    <t>スタッフ</t>
    <phoneticPr fontId="4"/>
  </si>
  <si>
    <t>Sticky EVO 2.3 イエロー 有</t>
    <rPh sb="20" eb="21">
      <t>アリ</t>
    </rPh>
    <phoneticPr fontId="4"/>
  </si>
  <si>
    <t>工賃</t>
    <rPh sb="0" eb="2">
      <t>コウチン</t>
    </rPh>
    <phoneticPr fontId="4"/>
  </si>
  <si>
    <t>月会費</t>
    <phoneticPr fontId="4"/>
  </si>
  <si>
    <t>藤原　長</t>
    <rPh sb="0" eb="2">
      <t>フジワラ</t>
    </rPh>
    <rPh sb="3" eb="4">
      <t>ナガ</t>
    </rPh>
    <phoneticPr fontId="4"/>
  </si>
  <si>
    <t xml:space="preserve">Callaway </t>
  </si>
  <si>
    <t>X-evolution ブルー</t>
  </si>
  <si>
    <t>スティングレー　M60</t>
  </si>
  <si>
    <t xml:space="preserve">田中　厳至 </t>
    <rPh sb="0" eb="2">
      <t>タナカ</t>
    </rPh>
    <phoneticPr fontId="4"/>
  </si>
  <si>
    <t>竹下　憲子</t>
  </si>
  <si>
    <t>カラダフィッテイング  会員5回</t>
  </si>
  <si>
    <t>IOMIC グローブ</t>
  </si>
  <si>
    <t>Sticky evolution 1.8 BL有</t>
  </si>
  <si>
    <t>加納　久美</t>
    <rPh sb="0" eb="2">
      <t>カノウ</t>
    </rPh>
    <rPh sb="3" eb="5">
      <t>ヒサミ</t>
    </rPh>
    <phoneticPr fontId="4"/>
  </si>
  <si>
    <t>Air speeder plus 白</t>
    <rPh sb="17" eb="18">
      <t>シロ</t>
    </rPh>
    <phoneticPr fontId="4"/>
  </si>
  <si>
    <t>ZERO FIT グローブ　25cm</t>
    <phoneticPr fontId="4"/>
  </si>
  <si>
    <t>Xライン ラバー ブルー　有</t>
    <rPh sb="13" eb="14">
      <t>アリ</t>
    </rPh>
    <phoneticPr fontId="4"/>
  </si>
  <si>
    <t>エリート　MAXFAST 10.5°</t>
    <phoneticPr fontId="4"/>
  </si>
  <si>
    <t>グリップ　</t>
    <phoneticPr fontId="4"/>
  </si>
  <si>
    <t>濱田　学</t>
    <rPh sb="0" eb="2">
      <t>ハマダ</t>
    </rPh>
    <rPh sb="3" eb="4">
      <t>マナブ</t>
    </rPh>
    <phoneticPr fontId="4"/>
  </si>
  <si>
    <t>高倉　龍太</t>
    <rPh sb="0" eb="2">
      <t>タカクラ</t>
    </rPh>
    <rPh sb="3" eb="5">
      <t>リュウタ</t>
    </rPh>
    <phoneticPr fontId="4"/>
  </si>
  <si>
    <t>レギュラー　１か月　家族割</t>
    <rPh sb="8" eb="9">
      <t>ゲツ</t>
    </rPh>
    <rPh sb="10" eb="13">
      <t>カゾクワリ</t>
    </rPh>
    <phoneticPr fontId="4"/>
  </si>
  <si>
    <t>大花　俊介</t>
    <rPh sb="0" eb="2">
      <t>オオハナ</t>
    </rPh>
    <rPh sb="3" eb="5">
      <t>シュンスケ</t>
    </rPh>
    <phoneticPr fontId="4"/>
  </si>
  <si>
    <t>大花　絢奈</t>
    <rPh sb="0" eb="2">
      <t>オオハナ</t>
    </rPh>
    <rPh sb="3" eb="4">
      <t>アヤ</t>
    </rPh>
    <rPh sb="4" eb="5">
      <t>ナ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</si>
  <si>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</si>
  <si>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</si>
  <si>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Sticky evolution 1.8 BL無</t>
    <rPh sb="23" eb="24">
      <t>ナシ</t>
    </rPh>
    <phoneticPr fontId="4"/>
  </si>
  <si>
    <t>UT UTM F8</t>
    <phoneticPr fontId="4"/>
  </si>
  <si>
    <t>吉川　法生　</t>
    <rPh sb="0" eb="2">
      <t>キッカワ</t>
    </rPh>
    <rPh sb="3" eb="4">
      <t>ホウ</t>
    </rPh>
    <rPh sb="4" eb="5">
      <t>イ</t>
    </rPh>
    <phoneticPr fontId="4"/>
  </si>
  <si>
    <t>古川</t>
    <rPh sb="0" eb="2">
      <t>フルカワ</t>
    </rPh>
    <phoneticPr fontId="4"/>
  </si>
  <si>
    <t>田丸　純子</t>
    <rPh sb="0" eb="2">
      <t>タマル</t>
    </rPh>
    <rPh sb="3" eb="5">
      <t>ジュンコ</t>
    </rPh>
    <phoneticPr fontId="4"/>
  </si>
  <si>
    <t>榎本</t>
    <rPh sb="0" eb="2">
      <t>エノモト</t>
    </rPh>
    <phoneticPr fontId="4"/>
  </si>
  <si>
    <t>谷川</t>
    <rPh sb="0" eb="2">
      <t>タニガワ</t>
    </rPh>
    <phoneticPr fontId="4"/>
  </si>
  <si>
    <t>利用料</t>
    <rPh sb="0" eb="3">
      <t>リヨウリョウ</t>
    </rPh>
    <phoneticPr fontId="4"/>
  </si>
  <si>
    <t>榎本</t>
    <rPh sb="0" eb="2">
      <t>エノモト</t>
    </rPh>
    <phoneticPr fontId="4"/>
  </si>
  <si>
    <t>本部　公章</t>
    <rPh sb="0" eb="2">
      <t>モトブ</t>
    </rPh>
    <rPh sb="3" eb="4">
      <t>コウ</t>
    </rPh>
    <rPh sb="4" eb="5">
      <t>アキラ</t>
    </rPh>
    <phoneticPr fontId="4"/>
  </si>
  <si>
    <t>谷川</t>
    <rPh sb="0" eb="2">
      <t>タニガワ</t>
    </rPh>
    <phoneticPr fontId="4"/>
  </si>
  <si>
    <t>谷川</t>
    <rPh sb="0" eb="2">
      <t>タニガワ</t>
    </rPh>
    <phoneticPr fontId="4"/>
  </si>
  <si>
    <t>←安東さん紹介：手続き後11月入会希望とのこと。11月０円とし、12月会費に充当する？</t>
    <rPh sb="1" eb="3">
      <t>アンドウ</t>
    </rPh>
    <rPh sb="5" eb="7">
      <t>ショウカイ</t>
    </rPh>
    <rPh sb="8" eb="10">
      <t>テツヅ</t>
    </rPh>
    <rPh sb="11" eb="12">
      <t>ゴ</t>
    </rPh>
    <rPh sb="14" eb="15">
      <t>ガツ</t>
    </rPh>
    <rPh sb="15" eb="17">
      <t>ニュウカイ</t>
    </rPh>
    <rPh sb="17" eb="19">
      <t>キボウ</t>
    </rPh>
    <rPh sb="26" eb="27">
      <t>ガツ</t>
    </rPh>
    <rPh sb="28" eb="29">
      <t>エン</t>
    </rPh>
    <rPh sb="34" eb="35">
      <t>ガツ</t>
    </rPh>
    <rPh sb="35" eb="37">
      <t>カイヒ</t>
    </rPh>
    <rPh sb="38" eb="40">
      <t>ジュウトウ</t>
    </rPh>
    <phoneticPr fontId="4"/>
  </si>
  <si>
    <t>谷川</t>
    <rPh sb="0" eb="2">
      <t>タニガワ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</si>
  <si>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</si>
  <si>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</si>
  <si>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和島　</t>
    <rPh sb="0" eb="2">
      <t>ワジマ</t>
    </rPh>
    <phoneticPr fontId="4"/>
  </si>
  <si>
    <t>福原</t>
    <rPh sb="0" eb="2">
      <t>フクハラ</t>
    </rPh>
    <phoneticPr fontId="4"/>
  </si>
  <si>
    <t>安東</t>
    <rPh sb="0" eb="2">
      <t>アンドウ</t>
    </rPh>
    <phoneticPr fontId="4"/>
  </si>
  <si>
    <t>岡川　幸司</t>
    <rPh sb="0" eb="2">
      <t>オカガワ</t>
    </rPh>
    <rPh sb="3" eb="4">
      <t>シアワ</t>
    </rPh>
    <rPh sb="4" eb="5">
      <t>ツカサ</t>
    </rPh>
    <phoneticPr fontId="4"/>
  </si>
  <si>
    <t>販売</t>
    <rPh sb="0" eb="2">
      <t>ハンバイ</t>
    </rPh>
    <phoneticPr fontId="4"/>
  </si>
  <si>
    <t>VENTUS BLACK 6X　TR</t>
    <phoneticPr fontId="4"/>
  </si>
  <si>
    <t>山本　幸一</t>
    <rPh sb="0" eb="2">
      <t>ヤマモト</t>
    </rPh>
    <rPh sb="3" eb="5">
      <t>コウイチ</t>
    </rPh>
    <phoneticPr fontId="4"/>
  </si>
  <si>
    <t>熊谷　努</t>
    <rPh sb="0" eb="2">
      <t>クマガイ</t>
    </rPh>
    <rPh sb="3" eb="4">
      <t>ツトム</t>
    </rPh>
    <phoneticPr fontId="4"/>
  </si>
  <si>
    <t>川内　祐介</t>
    <rPh sb="0" eb="2">
      <t>カワウチ</t>
    </rPh>
    <rPh sb="3" eb="5">
      <t>ユウスケ</t>
    </rPh>
    <phoneticPr fontId="4"/>
  </si>
  <si>
    <t>シンカグラファイト</t>
    <phoneticPr fontId="4"/>
  </si>
  <si>
    <t>LEXIA 6S</t>
    <phoneticPr fontId="4"/>
  </si>
  <si>
    <t>東　潔　</t>
    <rPh sb="0" eb="1">
      <t>ヒガシ</t>
    </rPh>
    <rPh sb="2" eb="3">
      <t>キヨシ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</si>
  <si>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</si>
  <si>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</si>
  <si>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グリップ</t>
    <phoneticPr fontId="4"/>
  </si>
  <si>
    <t>Y360starﾍﾞﾙﾘﾅﾌﾞﾗｯｸ有</t>
    <rPh sb="18" eb="19">
      <t>アリ</t>
    </rPh>
    <phoneticPr fontId="4"/>
  </si>
  <si>
    <t>現金</t>
    <rPh sb="0" eb="2">
      <t>ゲンキン</t>
    </rPh>
    <phoneticPr fontId="4"/>
  </si>
  <si>
    <t>井殿</t>
    <rPh sb="0" eb="2">
      <t>イドノ</t>
    </rPh>
    <phoneticPr fontId="4"/>
  </si>
  <si>
    <t>奥田　健介</t>
    <rPh sb="0" eb="2">
      <t>オクダ</t>
    </rPh>
    <rPh sb="3" eb="5">
      <t>ケンスケ</t>
    </rPh>
    <phoneticPr fontId="4"/>
  </si>
  <si>
    <t>藤田プロ</t>
    <rPh sb="0" eb="2">
      <t>フジタ</t>
    </rPh>
    <phoneticPr fontId="4"/>
  </si>
  <si>
    <t>ZERO FIT グローブ　20cm　左右　黒</t>
    <rPh sb="19" eb="21">
      <t>サユウ</t>
    </rPh>
    <rPh sb="22" eb="23">
      <t>クロ</t>
    </rPh>
    <phoneticPr fontId="4"/>
  </si>
  <si>
    <t>会員</t>
    <rPh sb="0" eb="2">
      <t>カイイン</t>
    </rPh>
    <phoneticPr fontId="4"/>
  </si>
  <si>
    <t>現金</t>
    <rPh sb="0" eb="2">
      <t>ゲンキン</t>
    </rPh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</si>
  <si>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</si>
  <si>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</si>
  <si>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販売</t>
    <rPh sb="0" eb="2">
      <t>ハンバイ</t>
    </rPh>
    <phoneticPr fontId="4"/>
  </si>
  <si>
    <t>ZERO FIT グローブ　22cm　左　白</t>
    <rPh sb="19" eb="20">
      <t>ヒダリ</t>
    </rPh>
    <rPh sb="21" eb="22">
      <t>シロ</t>
    </rPh>
    <phoneticPr fontId="4"/>
  </si>
  <si>
    <t>大谷　和正</t>
    <rPh sb="0" eb="2">
      <t>オオタニ</t>
    </rPh>
    <rPh sb="3" eb="5">
      <t>カズマサ</t>
    </rPh>
    <phoneticPr fontId="4"/>
  </si>
  <si>
    <t>山本　鐘徳</t>
    <rPh sb="0" eb="2">
      <t>ヤマモト</t>
    </rPh>
    <rPh sb="3" eb="4">
      <t>カネ</t>
    </rPh>
    <rPh sb="4" eb="5">
      <t>トク</t>
    </rPh>
    <phoneticPr fontId="4"/>
  </si>
  <si>
    <t>会員</t>
    <rPh sb="0" eb="2">
      <t>カイイン</t>
    </rPh>
    <phoneticPr fontId="4"/>
  </si>
  <si>
    <t>11月分　マスター差額</t>
    <rPh sb="2" eb="3">
      <t>ガツ</t>
    </rPh>
    <rPh sb="3" eb="4">
      <t>ブン</t>
    </rPh>
    <rPh sb="9" eb="11">
      <t>サガク</t>
    </rPh>
    <phoneticPr fontId="4"/>
  </si>
  <si>
    <t>谷川</t>
    <rPh sb="0" eb="2">
      <t>タニガワ</t>
    </rPh>
    <phoneticPr fontId="4"/>
  </si>
  <si>
    <t>西山　健一</t>
    <rPh sb="0" eb="2">
      <t>ニシヤマ</t>
    </rPh>
    <rPh sb="3" eb="5">
      <t>ケンイチ</t>
    </rPh>
    <phoneticPr fontId="4"/>
  </si>
  <si>
    <t>ZERO FIT グローブ　　左　白</t>
    <rPh sb="15" eb="16">
      <t>ヒダリ</t>
    </rPh>
    <rPh sb="17" eb="18">
      <t>シロ</t>
    </rPh>
    <phoneticPr fontId="4"/>
  </si>
  <si>
    <t>島村　之裕</t>
    <rPh sb="0" eb="2">
      <t>シマムラ</t>
    </rPh>
    <rPh sb="3" eb="4">
      <t>ユキ</t>
    </rPh>
    <rPh sb="4" eb="5">
      <t>ヒロ</t>
    </rPh>
    <phoneticPr fontId="4"/>
  </si>
  <si>
    <t>高倉　龍太</t>
    <rPh sb="0" eb="2">
      <t>タカクラ</t>
    </rPh>
    <rPh sb="3" eb="5">
      <t>リュウタ</t>
    </rPh>
    <phoneticPr fontId="4"/>
  </si>
  <si>
    <t>現金</t>
    <rPh sb="0" eb="2">
      <t>ゲンキン</t>
    </rPh>
    <phoneticPr fontId="4"/>
  </si>
  <si>
    <t>Sticky EVO 2.3 レッド　無</t>
    <rPh sb="19" eb="20">
      <t>ナシ</t>
    </rPh>
    <phoneticPr fontId="4"/>
  </si>
  <si>
    <t>谷川</t>
    <rPh sb="0" eb="2">
      <t>タニガワ</t>
    </rPh>
    <phoneticPr fontId="4"/>
  </si>
  <si>
    <t>←Airペイ作動しなかったためSquare</t>
    <rPh sb="6" eb="8">
      <t>サドウ</t>
    </rPh>
    <phoneticPr fontId="4"/>
  </si>
  <si>
    <t>谷川</t>
    <rPh sb="0" eb="2">
      <t>タニガワ</t>
    </rPh>
    <phoneticPr fontId="4"/>
  </si>
  <si>
    <t>ZERO FIT グローブ　</t>
    <phoneticPr fontId="4"/>
  </si>
  <si>
    <t>中尾　正</t>
    <rPh sb="0" eb="2">
      <t>ナカオ</t>
    </rPh>
    <rPh sb="3" eb="4">
      <t>タダシ</t>
    </rPh>
    <phoneticPr fontId="4"/>
  </si>
  <si>
    <t>橋本　寿雄</t>
    <rPh sb="0" eb="2">
      <t>ハシモト</t>
    </rPh>
    <rPh sb="3" eb="4">
      <t>コトブキ</t>
    </rPh>
    <rPh sb="4" eb="5">
      <t>ユウ</t>
    </rPh>
    <phoneticPr fontId="4"/>
  </si>
  <si>
    <t>井殿</t>
    <rPh sb="0" eb="2">
      <t>イドノ</t>
    </rPh>
    <phoneticPr fontId="4"/>
  </si>
  <si>
    <t>延安　慎治</t>
    <rPh sb="0" eb="2">
      <t>ノブヤス</t>
    </rPh>
    <rPh sb="3" eb="5">
      <t>シンジ</t>
    </rPh>
    <phoneticPr fontId="4"/>
  </si>
  <si>
    <t>古川</t>
    <rPh sb="0" eb="2">
      <t>フルカワ</t>
    </rPh>
    <phoneticPr fontId="4"/>
  </si>
  <si>
    <t>Y360starﾍﾞﾙﾘﾅﾌﾞﾗｯｸ　無</t>
    <rPh sb="19" eb="20">
      <t>ナシ</t>
    </rPh>
    <phoneticPr fontId="4"/>
  </si>
  <si>
    <t>中島　洋爾</t>
    <rPh sb="0" eb="2">
      <t>ナカジマ</t>
    </rPh>
    <phoneticPr fontId="4"/>
  </si>
  <si>
    <t>佐藤　昌大</t>
    <rPh sb="0" eb="2">
      <t>サトウ</t>
    </rPh>
    <rPh sb="3" eb="5">
      <t>マサヒロ</t>
    </rPh>
    <phoneticPr fontId="4"/>
  </si>
  <si>
    <t>大津　泰代</t>
    <rPh sb="0" eb="2">
      <t>オオツ</t>
    </rPh>
    <rPh sb="3" eb="5">
      <t>ヤスヨ</t>
    </rPh>
    <phoneticPr fontId="4"/>
  </si>
  <si>
    <t>FW Air speeder Standard 黒</t>
    <rPh sb="24" eb="25">
      <t>クロ</t>
    </rPh>
    <phoneticPr fontId="4"/>
  </si>
  <si>
    <t>DR Air speeder Standard 黒</t>
    <rPh sb="24" eb="25">
      <t>クロ</t>
    </rPh>
    <phoneticPr fontId="4"/>
  </si>
  <si>
    <t>Ai SMOKE MAXFAST ウィメンズ 3w5w7w</t>
    <phoneticPr fontId="4"/>
  </si>
  <si>
    <t>SX38 ペルリナブラック 有</t>
    <rPh sb="14" eb="15">
      <t>アリ</t>
    </rPh>
    <phoneticPr fontId="4"/>
  </si>
  <si>
    <t>現金</t>
    <rPh sb="0" eb="2">
      <t>ゲンキン</t>
    </rPh>
    <phoneticPr fontId="4"/>
  </si>
  <si>
    <t>北　敦子</t>
    <rPh sb="0" eb="1">
      <t>キタ</t>
    </rPh>
    <rPh sb="2" eb="4">
      <t>アツコ</t>
    </rPh>
    <phoneticPr fontId="4"/>
  </si>
  <si>
    <t>安東</t>
    <rPh sb="0" eb="2">
      <t>アンドウ</t>
    </rPh>
    <phoneticPr fontId="4"/>
  </si>
  <si>
    <t xml:space="preserve">X-EVOLUTION　2.3　レッドﾞ </t>
    <phoneticPr fontId="4"/>
  </si>
  <si>
    <t>澤田</t>
    <rPh sb="0" eb="2">
      <t>サワダ</t>
    </rPh>
    <phoneticPr fontId="4"/>
  </si>
  <si>
    <t>コンポジットテクノ</t>
    <phoneticPr fontId="4"/>
  </si>
  <si>
    <t>岩見　美樹</t>
    <rPh sb="0" eb="2">
      <t>イワミ</t>
    </rPh>
    <rPh sb="3" eb="5">
      <t>ミキ</t>
    </rPh>
    <phoneticPr fontId="4"/>
  </si>
  <si>
    <t>玉井　修子</t>
    <rPh sb="0" eb="2">
      <t>タマイ</t>
    </rPh>
    <rPh sb="3" eb="5">
      <t>シュウコ</t>
    </rPh>
    <phoneticPr fontId="4"/>
  </si>
  <si>
    <t>12月分</t>
    <rPh sb="2" eb="4">
      <t>ガツブン</t>
    </rPh>
    <phoneticPr fontId="4"/>
  </si>
  <si>
    <t>12~2月分</t>
    <rPh sb="4" eb="6">
      <t>ガツブン</t>
    </rPh>
    <phoneticPr fontId="4"/>
  </si>
  <si>
    <t>安東</t>
    <rPh sb="0" eb="2">
      <t>アンドウ</t>
    </rPh>
    <phoneticPr fontId="4"/>
  </si>
  <si>
    <t>谷川</t>
    <rPh sb="0" eb="2">
      <t>タニガワ</t>
    </rPh>
    <phoneticPr fontId="4"/>
  </si>
  <si>
    <t>11末退会</t>
    <rPh sb="2" eb="3">
      <t>マツ</t>
    </rPh>
    <rPh sb="3" eb="5">
      <t>タイカイ</t>
    </rPh>
    <phoneticPr fontId="4"/>
  </si>
  <si>
    <t>本津　孝洋</t>
    <rPh sb="0" eb="2">
      <t>ホンツ</t>
    </rPh>
    <rPh sb="3" eb="4">
      <t>タカシ</t>
    </rPh>
    <rPh sb="4" eb="5">
      <t>ヨウ</t>
    </rPh>
    <phoneticPr fontId="4"/>
  </si>
  <si>
    <t>NEWTON　MOTION 4dot</t>
    <phoneticPr fontId="4"/>
  </si>
  <si>
    <t>ix touch 2.0 有　BK/OG</t>
    <rPh sb="13" eb="14">
      <t>アリ</t>
    </rPh>
    <phoneticPr fontId="4"/>
  </si>
  <si>
    <t>ix touch 2.1 有　skyblue</t>
    <rPh sb="13" eb="14">
      <t>アリ</t>
    </rPh>
    <phoneticPr fontId="4"/>
  </si>
  <si>
    <t>ix touch 2.2 有　BK</t>
    <rPh sb="13" eb="14">
      <t>アリ</t>
    </rPh>
    <phoneticPr fontId="4"/>
  </si>
  <si>
    <t>DR TOUR AD VF70 S</t>
    <phoneticPr fontId="4"/>
  </si>
  <si>
    <t>UT TOUR ADVFHB 85 S</t>
    <phoneticPr fontId="4"/>
  </si>
  <si>
    <t>安東</t>
    <rPh sb="0" eb="2">
      <t>アンドウ</t>
    </rPh>
    <phoneticPr fontId="4"/>
  </si>
  <si>
    <t>谷川</t>
    <rPh sb="0" eb="2">
      <t>タニガワ</t>
    </rPh>
    <phoneticPr fontId="4"/>
  </si>
  <si>
    <t>佐藤　信次</t>
    <rPh sb="0" eb="2">
      <t>サトウ</t>
    </rPh>
    <rPh sb="3" eb="5">
      <t>ノブツグ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</si>
  <si>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</si>
  <si>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</si>
  <si>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</si>
  <si>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</si>
  <si>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全天候型 　21cm</t>
    <rPh sb="0" eb="4">
      <t>ゼンテンコウガタ</t>
    </rPh>
    <phoneticPr fontId="4"/>
  </si>
  <si>
    <t>安東</t>
    <rPh sb="0" eb="2">
      <t>アンドウ</t>
    </rPh>
    <phoneticPr fontId="4"/>
  </si>
  <si>
    <t>福原</t>
    <rPh sb="0" eb="2">
      <t>フクハラ</t>
    </rPh>
    <phoneticPr fontId="4"/>
  </si>
  <si>
    <t>グリップ</t>
    <phoneticPr fontId="4"/>
  </si>
  <si>
    <t>谷川</t>
    <rPh sb="0" eb="2">
      <t>タニガワ</t>
    </rPh>
    <phoneticPr fontId="4"/>
  </si>
  <si>
    <t>兼森　壽雄</t>
    <rPh sb="0" eb="2">
      <t>カネモリ</t>
    </rPh>
    <rPh sb="3" eb="4">
      <t>コトブキ</t>
    </rPh>
    <rPh sb="4" eb="5">
      <t>ユウ</t>
    </rPh>
    <phoneticPr fontId="4"/>
  </si>
  <si>
    <t>吉田</t>
    <rPh sb="0" eb="2">
      <t>ヨシダ</t>
    </rPh>
    <phoneticPr fontId="4"/>
  </si>
  <si>
    <t>MCC ALIGN スタンダード 有</t>
    <rPh sb="17" eb="18">
      <t>アリ</t>
    </rPh>
    <phoneticPr fontId="4"/>
  </si>
  <si>
    <t>卜部</t>
    <rPh sb="0" eb="2">
      <t>ウラベ</t>
    </rPh>
    <phoneticPr fontId="4"/>
  </si>
  <si>
    <t>打ち間違い　</t>
    <rPh sb="0" eb="1">
      <t>ウ</t>
    </rPh>
    <rPh sb="2" eb="4">
      <t>マチガ</t>
    </rPh>
    <phoneticPr fontId="4"/>
  </si>
  <si>
    <t>山本　浩二</t>
    <rPh sb="0" eb="2">
      <t>ヤマモト</t>
    </rPh>
    <rPh sb="3" eb="5">
      <t>コウジ</t>
    </rPh>
    <phoneticPr fontId="4"/>
  </si>
  <si>
    <t>販売</t>
    <rPh sb="0" eb="2">
      <t>ハンバイ</t>
    </rPh>
    <phoneticPr fontId="4"/>
  </si>
  <si>
    <t>小野　雅也</t>
    <rPh sb="0" eb="2">
      <t>オノ</t>
    </rPh>
    <rPh sb="3" eb="5">
      <t>マサヤ</t>
    </rPh>
    <phoneticPr fontId="4"/>
  </si>
  <si>
    <t>練習器具</t>
    <rPh sb="0" eb="2">
      <t>レンシュウ</t>
    </rPh>
    <rPh sb="2" eb="4">
      <t>キグ</t>
    </rPh>
    <phoneticPr fontId="4"/>
  </si>
  <si>
    <t>LEXIA Lseries FW6ｓ</t>
    <phoneticPr fontId="4"/>
  </si>
  <si>
    <t>LEXIA　HL8</t>
    <phoneticPr fontId="4"/>
  </si>
  <si>
    <t>Lucky　Star M60 ブラック（有）</t>
    <rPh sb="20" eb="21">
      <t>ア</t>
    </rPh>
    <phoneticPr fontId="4"/>
  </si>
  <si>
    <t>兼松　和司</t>
    <rPh sb="0" eb="2">
      <t>カネマツ</t>
    </rPh>
    <rPh sb="3" eb="5">
      <t>カズシ</t>
    </rPh>
    <phoneticPr fontId="4"/>
  </si>
  <si>
    <t>会員</t>
  </si>
  <si>
    <t>会員</t>
    <phoneticPr fontId="4"/>
  </si>
  <si>
    <t>渡邊　博和</t>
    <rPh sb="0" eb="2">
      <t>ワタナベ</t>
    </rPh>
    <rPh sb="3" eb="5">
      <t>ヒロカズ</t>
    </rPh>
    <phoneticPr fontId="4"/>
  </si>
  <si>
    <t>榎本</t>
    <rPh sb="0" eb="2">
      <t>エノモト</t>
    </rPh>
    <phoneticPr fontId="4"/>
  </si>
  <si>
    <t>杉原　正規</t>
    <rPh sb="0" eb="2">
      <t>スギハラ</t>
    </rPh>
    <rPh sb="3" eb="5">
      <t>セイキ</t>
    </rPh>
    <phoneticPr fontId="4"/>
  </si>
  <si>
    <t>（株）ピーチアセット</t>
    <rPh sb="0" eb="2">
      <t>｢カブ</t>
    </rPh>
    <phoneticPr fontId="4"/>
  </si>
  <si>
    <t>mimicホワイトピンク1.5有</t>
    <rPh sb="15" eb="16">
      <t>アリ</t>
    </rPh>
    <phoneticPr fontId="4"/>
  </si>
  <si>
    <t>榎本</t>
    <rPh sb="0" eb="2">
      <t>エノモト</t>
    </rPh>
    <phoneticPr fontId="4"/>
  </si>
  <si>
    <t>安東</t>
    <rPh sb="0" eb="2">
      <t>アンドウ</t>
    </rPh>
    <phoneticPr fontId="4"/>
  </si>
  <si>
    <t>古川</t>
    <rPh sb="0" eb="2">
      <t>フルカワ</t>
    </rPh>
    <phoneticPr fontId="4"/>
  </si>
  <si>
    <t>田渕　一</t>
    <rPh sb="0" eb="2">
      <t>タブチ</t>
    </rPh>
    <rPh sb="3" eb="4">
      <t>ハジメ</t>
    </rPh>
    <phoneticPr fontId="4"/>
  </si>
  <si>
    <t>12~1月分</t>
    <rPh sb="4" eb="6">
      <t>ガツブン</t>
    </rPh>
    <phoneticPr fontId="4"/>
  </si>
  <si>
    <t>森井 淳司</t>
    <rPh sb="0" eb="2">
      <t>モリイ</t>
    </rPh>
    <rPh sb="3" eb="5">
      <t>ジュンジ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</si>
  <si>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</si>
  <si>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</si>
  <si>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グリップ</t>
    <phoneticPr fontId="4"/>
  </si>
  <si>
    <t>ix touch 2.2 有　ブルー</t>
    <rPh sb="13" eb="14">
      <t>アリ</t>
    </rPh>
    <phoneticPr fontId="4"/>
  </si>
  <si>
    <t>金券１０００円×5</t>
    <rPh sb="0" eb="2">
      <t>キンケン</t>
    </rPh>
    <rPh sb="6" eb="7">
      <t>エン</t>
    </rPh>
    <phoneticPr fontId="4"/>
  </si>
  <si>
    <t>安東</t>
    <rPh sb="0" eb="2">
      <t>アンドウ</t>
    </rPh>
    <phoneticPr fontId="4"/>
  </si>
  <si>
    <t>金谷　祐大</t>
    <rPh sb="0" eb="2">
      <t>カナタニ</t>
    </rPh>
    <rPh sb="3" eb="5">
      <t>ユウダイ</t>
    </rPh>
    <phoneticPr fontId="4"/>
  </si>
  <si>
    <t>現金</t>
    <rPh sb="0" eb="2">
      <t>ゲンキン</t>
    </rPh>
    <phoneticPr fontId="4"/>
  </si>
  <si>
    <t>古川</t>
    <rPh sb="0" eb="2">
      <t>フルカワ</t>
    </rPh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</si>
  <si>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</si>
  <si>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</si>
  <si>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スタッフ</t>
    <phoneticPr fontId="4"/>
  </si>
  <si>
    <t>TOUR BXS 白</t>
    <rPh sb="9" eb="10">
      <t>シロ</t>
    </rPh>
    <phoneticPr fontId="4"/>
  </si>
  <si>
    <t>古川</t>
    <rPh sb="0" eb="2">
      <t>フルカワ</t>
    </rPh>
    <phoneticPr fontId="4"/>
  </si>
  <si>
    <t>渡部　啓子</t>
    <rPh sb="0" eb="2">
      <t>ワタナベ</t>
    </rPh>
    <rPh sb="3" eb="5">
      <t>ケイコ</t>
    </rPh>
    <phoneticPr fontId="4"/>
  </si>
  <si>
    <t>谷川</t>
    <rPh sb="0" eb="2">
      <t>タニガワ</t>
    </rPh>
    <phoneticPr fontId="4"/>
  </si>
  <si>
    <t>大黒　雄介</t>
    <phoneticPr fontId="4"/>
  </si>
  <si>
    <t>スーパーストローク</t>
    <phoneticPr fontId="4"/>
  </si>
  <si>
    <t>Zenergy Pistol GT 1.0　BK/WH</t>
  </si>
  <si>
    <t>卜部</t>
    <rPh sb="0" eb="2">
      <t>ウラベ</t>
    </rPh>
    <phoneticPr fontId="4"/>
  </si>
  <si>
    <t>古川</t>
    <rPh sb="0" eb="2">
      <t>フルカワ</t>
    </rPh>
    <phoneticPr fontId="4"/>
  </si>
  <si>
    <t>古川　志野</t>
    <rPh sb="0" eb="2">
      <t>フルカワ</t>
    </rPh>
    <rPh sb="3" eb="5">
      <t>シノ</t>
    </rPh>
    <phoneticPr fontId="4"/>
  </si>
  <si>
    <t>グローブ</t>
    <phoneticPr fontId="4"/>
  </si>
  <si>
    <t>畑守　毅彦</t>
    <rPh sb="0" eb="2">
      <t>ハタモリ</t>
    </rPh>
    <rPh sb="3" eb="4">
      <t>タケシ</t>
    </rPh>
    <rPh sb="4" eb="5">
      <t>ヒコ</t>
    </rPh>
    <phoneticPr fontId="4"/>
  </si>
  <si>
    <t>会員</t>
    <rPh sb="0" eb="2">
      <t>カイイン</t>
    </rPh>
    <phoneticPr fontId="4"/>
  </si>
  <si>
    <t>12月分  月会費</t>
    <rPh sb="2" eb="3">
      <t>ガツ</t>
    </rPh>
    <rPh sb="3" eb="4">
      <t>ブン</t>
    </rPh>
    <rPh sb="6" eb="9">
      <t>ツキカイヒ</t>
    </rPh>
    <phoneticPr fontId="4"/>
  </si>
  <si>
    <t>岩見　真一郎</t>
    <rPh sb="0" eb="2">
      <t>イワミ</t>
    </rPh>
    <rPh sb="3" eb="5">
      <t>シンイチ</t>
    </rPh>
    <rPh sb="5" eb="6">
      <t>ロウ</t>
    </rPh>
    <phoneticPr fontId="4"/>
  </si>
  <si>
    <t>卜部</t>
    <rPh sb="0" eb="2">
      <t>ウラベ</t>
    </rPh>
    <phoneticPr fontId="4"/>
  </si>
  <si>
    <t>谷川</t>
    <rPh sb="0" eb="2">
      <t>タニガワ</t>
    </rPh>
    <phoneticPr fontId="4"/>
  </si>
  <si>
    <t>鬼塚　隆司</t>
    <rPh sb="0" eb="2">
      <t>オニヅカ</t>
    </rPh>
    <rPh sb="3" eb="5">
      <t>リュウジ</t>
    </rPh>
    <phoneticPr fontId="4"/>
  </si>
  <si>
    <t>販売</t>
    <rPh sb="0" eb="2">
      <t>ハンバイ</t>
    </rPh>
    <phoneticPr fontId="4"/>
  </si>
  <si>
    <t>安東</t>
    <rPh sb="0" eb="2">
      <t>アンドウ</t>
    </rPh>
    <phoneticPr fontId="4"/>
  </si>
  <si>
    <t>西林　歩美</t>
    <rPh sb="0" eb="2">
      <t>ニシバヤシ</t>
    </rPh>
    <rPh sb="3" eb="5">
      <t>アユミ</t>
    </rPh>
    <phoneticPr fontId="4"/>
  </si>
  <si>
    <t>木下　茜</t>
    <rPh sb="0" eb="2">
      <t>キノシタ</t>
    </rPh>
    <rPh sb="3" eb="4">
      <t>アカネ</t>
    </rPh>
    <phoneticPr fontId="4"/>
  </si>
  <si>
    <t>卜部</t>
    <rPh sb="0" eb="2">
      <t>ウラベ</t>
    </rPh>
    <phoneticPr fontId="4"/>
  </si>
  <si>
    <t>中田　良博</t>
    <rPh sb="0" eb="2">
      <t>ナカタ</t>
    </rPh>
    <rPh sb="3" eb="4">
      <t>ヨ</t>
    </rPh>
    <rPh sb="4" eb="5">
      <t>ヒロ</t>
    </rPh>
    <phoneticPr fontId="4"/>
  </si>
  <si>
    <t>松岡　重雄</t>
    <rPh sb="0" eb="2">
      <t>マツオカ</t>
    </rPh>
    <rPh sb="3" eb="5">
      <t>シゲオ</t>
    </rPh>
    <phoneticPr fontId="4"/>
  </si>
  <si>
    <t>月会費（定額制）</t>
    <phoneticPr fontId="4"/>
  </si>
  <si>
    <t>トライアル登録料</t>
    <phoneticPr fontId="4"/>
  </si>
  <si>
    <t>榎本</t>
    <rPh sb="0" eb="2">
      <t>エノモト</t>
    </rPh>
    <phoneticPr fontId="4"/>
  </si>
  <si>
    <t>安東</t>
    <rPh sb="0" eb="2">
      <t>アンドウ</t>
    </rPh>
    <phoneticPr fontId="4"/>
  </si>
  <si>
    <t>高橋　真一</t>
    <rPh sb="0" eb="2">
      <t>タカハシ</t>
    </rPh>
    <rPh sb="3" eb="5">
      <t>シンイチ</t>
    </rPh>
    <phoneticPr fontId="4"/>
  </si>
  <si>
    <t>販売</t>
    <rPh sb="0" eb="2">
      <t>ハンバイ</t>
    </rPh>
    <phoneticPr fontId="4"/>
  </si>
  <si>
    <t>グリップ</t>
    <phoneticPr fontId="4"/>
  </si>
  <si>
    <t>SPEEDER  EVOLUTION V FW50S</t>
    <phoneticPr fontId="4"/>
  </si>
  <si>
    <t>sticky Evolution2.3</t>
    <phoneticPr fontId="4"/>
  </si>
  <si>
    <t>田渕　一</t>
    <rPh sb="0" eb="2">
      <t>タブチ</t>
    </rPh>
    <rPh sb="3" eb="4">
      <t>ハジメ</t>
    </rPh>
    <phoneticPr fontId="4"/>
  </si>
  <si>
    <t>LTC iXx 1.8 スカイブルー　有</t>
    <rPh sb="19" eb="20">
      <t>アリ</t>
    </rPh>
    <phoneticPr fontId="4"/>
  </si>
  <si>
    <t>福原</t>
    <rPh sb="0" eb="2">
      <t>フクハラ</t>
    </rPh>
    <phoneticPr fontId="4"/>
  </si>
  <si>
    <t>西川　久美子</t>
    <rPh sb="0" eb="2">
      <t>ニシカワ</t>
    </rPh>
    <rPh sb="3" eb="6">
      <t>クミコ</t>
    </rPh>
    <phoneticPr fontId="4"/>
  </si>
  <si>
    <t>則藤さん紹介</t>
    <rPh sb="0" eb="2">
      <t>ノリフジ</t>
    </rPh>
    <rPh sb="4" eb="6">
      <t>ショウカイ</t>
    </rPh>
    <phoneticPr fontId="4"/>
  </si>
  <si>
    <t>谷川</t>
    <rPh sb="0" eb="2">
      <t>タニガワ</t>
    </rPh>
    <phoneticPr fontId="4"/>
  </si>
  <si>
    <t>高田　征之</t>
    <rPh sb="0" eb="2">
      <t>タカダ</t>
    </rPh>
    <rPh sb="3" eb="5">
      <t>マサユキ</t>
    </rPh>
    <phoneticPr fontId="4"/>
  </si>
  <si>
    <t>REVE</t>
    <phoneticPr fontId="4"/>
  </si>
  <si>
    <t>販売</t>
    <rPh sb="0" eb="2">
      <t>ハンバイ</t>
    </rPh>
    <phoneticPr fontId="4"/>
  </si>
  <si>
    <t>グリップ</t>
    <phoneticPr fontId="4"/>
  </si>
  <si>
    <t>110分（ビジター）</t>
    <rPh sb="3" eb="4">
      <t>フン</t>
    </rPh>
    <phoneticPr fontId="4"/>
  </si>
  <si>
    <t>STM</t>
    <phoneticPr fontId="4"/>
  </si>
  <si>
    <t>PING　G440</t>
  </si>
  <si>
    <t>AIR SPEEDER X-PLUS</t>
    <phoneticPr fontId="22"/>
  </si>
  <si>
    <t>TITANIUM BORON BURN Z1</t>
    <phoneticPr fontId="22"/>
  </si>
  <si>
    <t>PING</t>
    <phoneticPr fontId="4"/>
  </si>
  <si>
    <t>磯上　真也</t>
    <rPh sb="0" eb="2">
      <t>イソガミ</t>
    </rPh>
    <rPh sb="3" eb="5">
      <t>シンヤ</t>
    </rPh>
    <phoneticPr fontId="4"/>
  </si>
  <si>
    <t>MCC スタンダード　ﾎﾜｲﾄ (無)</t>
    <rPh sb="17" eb="18">
      <t>ナシ</t>
    </rPh>
    <phoneticPr fontId="4"/>
  </si>
  <si>
    <t>EAGLE VISION WATCH ACE PRO (BK）</t>
    <phoneticPr fontId="4"/>
  </si>
  <si>
    <t>朝日ゴルフ</t>
    <rPh sb="0" eb="2">
      <t>アサヒ</t>
    </rPh>
    <phoneticPr fontId="4"/>
  </si>
  <si>
    <t>前田　實</t>
    <rPh sb="0" eb="2">
      <t>マエダ</t>
    </rPh>
    <rPh sb="3" eb="4">
      <t>ミノル</t>
    </rPh>
    <phoneticPr fontId="4"/>
  </si>
  <si>
    <t>GW金券 ￥20,000 ご利用　残金カード払い</t>
    <rPh sb="2" eb="4">
      <t>キンケン</t>
    </rPh>
    <rPh sb="14" eb="16">
      <t>リヨウ</t>
    </rPh>
    <rPh sb="17" eb="18">
      <t>ザン</t>
    </rPh>
    <rPh sb="18" eb="19">
      <t>キン</t>
    </rPh>
    <rPh sb="22" eb="23">
      <t>ハラ</t>
    </rPh>
    <phoneticPr fontId="4"/>
  </si>
  <si>
    <t>谷川</t>
    <rPh sb="0" eb="2">
      <t>タニガワ</t>
    </rPh>
    <phoneticPr fontId="4"/>
  </si>
  <si>
    <t>Zinger4 白</t>
    <rPh sb="8" eb="9">
      <t>シロ</t>
    </rPh>
    <phoneticPr fontId="4"/>
  </si>
  <si>
    <t>FW Air speeder Standard 白</t>
    <rPh sb="24" eb="25">
      <t>シロ</t>
    </rPh>
    <phoneticPr fontId="4"/>
  </si>
  <si>
    <t>ELYTE MAX FAST　＃5　＃７</t>
    <phoneticPr fontId="4"/>
  </si>
  <si>
    <t>ELYTE X　10.5°</t>
    <phoneticPr fontId="4"/>
  </si>
  <si>
    <t>神田　理人</t>
    <rPh sb="0" eb="2">
      <t>カンダ</t>
    </rPh>
    <rPh sb="3" eb="5">
      <t>マサト</t>
    </rPh>
    <phoneticPr fontId="4"/>
  </si>
  <si>
    <t>卜部</t>
    <rPh sb="0" eb="2">
      <t>ウラベ</t>
    </rPh>
    <phoneticPr fontId="4"/>
  </si>
  <si>
    <t>浅田　裕美子</t>
    <rPh sb="0" eb="2">
      <t>アサダ</t>
    </rPh>
    <rPh sb="3" eb="6">
      <t>ユミコ</t>
    </rPh>
    <phoneticPr fontId="4"/>
  </si>
  <si>
    <t>会員</t>
    <phoneticPr fontId="4"/>
  </si>
  <si>
    <t>利用料</t>
    <rPh sb="0" eb="3">
      <t>リヨウリョウ</t>
    </rPh>
    <phoneticPr fontId="4"/>
  </si>
  <si>
    <t>打席利用</t>
    <rPh sb="0" eb="4">
      <t>ダセキリヨウ</t>
    </rPh>
    <phoneticPr fontId="4"/>
  </si>
  <si>
    <t>安東</t>
    <rPh sb="0" eb="2">
      <t>アンドウ</t>
    </rPh>
    <phoneticPr fontId="4"/>
  </si>
  <si>
    <t>武井　淳子</t>
    <rPh sb="0" eb="2">
      <t>タケイ</t>
    </rPh>
    <rPh sb="3" eb="5">
      <t>ジュンコ</t>
    </rPh>
    <phoneticPr fontId="4"/>
  </si>
  <si>
    <t>会員</t>
    <rPh sb="0" eb="2">
      <t>カイイン</t>
    </rPh>
    <phoneticPr fontId="4"/>
  </si>
  <si>
    <t>利用料</t>
    <rPh sb="0" eb="3">
      <t>リヨウリョウ</t>
    </rPh>
    <phoneticPr fontId="4"/>
  </si>
  <si>
    <t>竹中　剛</t>
    <rPh sb="0" eb="2">
      <t>タケナカ</t>
    </rPh>
    <rPh sb="3" eb="4">
      <t>ツヨシ</t>
    </rPh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</si>
  <si>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</si>
  <si>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</si>
  <si>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販売</t>
    <rPh sb="0" eb="2">
      <t>ハンバイ</t>
    </rPh>
    <phoneticPr fontId="4"/>
  </si>
  <si>
    <t>シャフト</t>
    <phoneticPr fontId="4"/>
  </si>
  <si>
    <t>スリーブ</t>
    <phoneticPr fontId="4"/>
  </si>
  <si>
    <t>グリップ</t>
    <phoneticPr fontId="4"/>
  </si>
  <si>
    <t>TOUR AD VF 40 R1</t>
    <phoneticPr fontId="4"/>
  </si>
  <si>
    <t>キャロウェイスリーブ</t>
    <phoneticPr fontId="4"/>
  </si>
  <si>
    <t>永吉美香</t>
    <rPh sb="0" eb="4">
      <t>ナガヨシミカ</t>
    </rPh>
    <phoneticPr fontId="4"/>
  </si>
  <si>
    <t>井殿</t>
    <rPh sb="0" eb="2">
      <t>イドノ</t>
    </rPh>
    <phoneticPr fontId="4"/>
  </si>
  <si>
    <t>谷川</t>
    <rPh sb="0" eb="2">
      <t>タニガワ</t>
    </rPh>
    <phoneticPr fontId="4"/>
  </si>
  <si>
    <t>21cm　白　左</t>
    <rPh sb="5" eb="6">
      <t>シロ</t>
    </rPh>
    <rPh sb="7" eb="8">
      <t>ヒダリ</t>
    </rPh>
    <phoneticPr fontId="4"/>
  </si>
  <si>
    <t>S-1 Light black x berry 有</t>
    <rPh sb="24" eb="25">
      <t>アリ</t>
    </rPh>
    <phoneticPr fontId="4"/>
  </si>
  <si>
    <t>古川</t>
    <rPh sb="0" eb="2">
      <t>フルカワ</t>
    </rPh>
    <phoneticPr fontId="4"/>
  </si>
  <si>
    <t>谷川</t>
    <rPh sb="0" eb="1">
      <t>タニ</t>
    </rPh>
    <rPh sb="1" eb="2">
      <t>カワ</t>
    </rPh>
    <phoneticPr fontId="4"/>
  </si>
  <si>
    <t>現金</t>
    <rPh sb="0" eb="2">
      <t>ゲンキン</t>
    </rPh>
    <phoneticPr fontId="4"/>
  </si>
  <si>
    <t>エアレジに履歴なし</t>
    <rPh sb="5" eb="7">
      <t>リレキ</t>
    </rPh>
    <phoneticPr fontId="4"/>
  </si>
  <si>
    <t>徳丸　翔</t>
    <rPh sb="0" eb="2">
      <t>トクマル</t>
    </rPh>
    <rPh sb="3" eb="4">
      <t>ショウ</t>
    </rPh>
    <phoneticPr fontId="4"/>
  </si>
  <si>
    <t xml:space="preserve">iX touch 2.0 ﾌﾞﾗｯｸ/ｵﾚﾝｼﾞ(有) </t>
  </si>
  <si>
    <t>DIAMOND SPEEDER SPD4 R</t>
    <phoneticPr fontId="4"/>
  </si>
  <si>
    <t>谷川</t>
    <rPh sb="0" eb="2">
      <t>タニガワ</t>
    </rPh>
    <phoneticPr fontId="4"/>
  </si>
  <si>
    <t>sticky Evolution2.3　ブルー　無</t>
    <rPh sb="24" eb="25">
      <t>ナシ</t>
    </rPh>
    <phoneticPr fontId="4"/>
  </si>
  <si>
    <t>白石　行雄</t>
    <rPh sb="0" eb="2">
      <t>シライシ</t>
    </rPh>
    <rPh sb="3" eb="5">
      <t>ユキオ</t>
    </rPh>
    <phoneticPr fontId="4"/>
  </si>
  <si>
    <t>白石　美香</t>
    <rPh sb="0" eb="2">
      <t>シライシ</t>
    </rPh>
    <rPh sb="3" eb="5">
      <t>ミカ</t>
    </rPh>
    <phoneticPr fontId="4"/>
  </si>
  <si>
    <t>熊谷　努</t>
    <rPh sb="0" eb="2">
      <t>クマガイ</t>
    </rPh>
    <rPh sb="3" eb="4">
      <t>ツトム</t>
    </rPh>
    <phoneticPr fontId="4"/>
  </si>
  <si>
    <t>入会金</t>
    <rPh sb="0" eb="3">
      <t>ニュウカイキン</t>
    </rPh>
    <phoneticPr fontId="4"/>
  </si>
  <si>
    <t>足立　久美子</t>
    <rPh sb="0" eb="2">
      <t>アダチ</t>
    </rPh>
    <rPh sb="3" eb="6">
      <t>クミコ</t>
    </rPh>
    <phoneticPr fontId="4"/>
  </si>
  <si>
    <t>1~3月分</t>
    <rPh sb="3" eb="5">
      <t>ガツブン</t>
    </rPh>
    <phoneticPr fontId="4"/>
  </si>
  <si>
    <t>販売</t>
    <rPh sb="0" eb="2">
      <t>ハンバイ</t>
    </rPh>
    <phoneticPr fontId="4"/>
  </si>
  <si>
    <t>19cm　黒　左</t>
    <rPh sb="5" eb="6">
      <t>クロ</t>
    </rPh>
    <rPh sb="7" eb="8">
      <t>ヒダリ</t>
    </rPh>
    <phoneticPr fontId="4"/>
  </si>
  <si>
    <t>安東</t>
    <rPh sb="0" eb="2">
      <t>アンドウ</t>
    </rPh>
    <phoneticPr fontId="4"/>
  </si>
  <si>
    <t>23cm　白　左</t>
    <rPh sb="5" eb="6">
      <t>シロ</t>
    </rPh>
    <rPh sb="7" eb="8">
      <t>ヒダリ</t>
    </rPh>
    <phoneticPr fontId="4"/>
  </si>
  <si>
    <t>井殿</t>
    <rPh sb="0" eb="2">
      <t>イドノ</t>
    </rPh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</si>
  <si>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</si>
  <si>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</si>
  <si>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眞野　翔太</t>
    <rPh sb="0" eb="2">
      <t>マノ</t>
    </rPh>
    <rPh sb="3" eb="5">
      <t>ショウタ</t>
    </rPh>
    <phoneticPr fontId="4"/>
  </si>
  <si>
    <t>利用料</t>
    <rPh sb="0" eb="3">
      <t>リヨウリョウ</t>
    </rPh>
    <phoneticPr fontId="4"/>
  </si>
  <si>
    <t>井殿</t>
    <rPh sb="0" eb="2">
      <t>イドノ</t>
    </rPh>
    <phoneticPr fontId="4"/>
  </si>
  <si>
    <t>島崎　幸次</t>
    <rPh sb="0" eb="2">
      <t>シマザキ</t>
    </rPh>
    <rPh sb="3" eb="5">
      <t>コウジ</t>
    </rPh>
    <phoneticPr fontId="4"/>
  </si>
  <si>
    <t>ビジター</t>
    <rPh sb="0" eb="2">
      <t>サカタ</t>
    </rPh>
    <phoneticPr fontId="4"/>
  </si>
  <si>
    <t>12月分　月会費</t>
    <rPh sb="2" eb="4">
      <t>ガツブン</t>
    </rPh>
    <rPh sb="5" eb="6">
      <t>ツキ</t>
    </rPh>
    <rPh sb="6" eb="8">
      <t>カイヒ</t>
    </rPh>
    <phoneticPr fontId="4"/>
  </si>
  <si>
    <t>10/4 打ち間違え分　返金処理</t>
    <rPh sb="5" eb="6">
      <t>ウ</t>
    </rPh>
    <rPh sb="7" eb="9">
      <t>マチガ</t>
    </rPh>
    <rPh sb="10" eb="11">
      <t>ブン</t>
    </rPh>
    <rPh sb="12" eb="14">
      <t>ヘンキン</t>
    </rPh>
    <rPh sb="14" eb="16">
      <t>ショリ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</si>
  <si>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</si>
  <si>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</si>
  <si>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RTZ BS DG WG 48M10 S200</t>
    <phoneticPr fontId="4"/>
  </si>
  <si>
    <t>RTZ BS DG WG 52M10 S200</t>
    <phoneticPr fontId="4"/>
  </si>
  <si>
    <t>ELYTE MAX FAST　10.5°</t>
    <phoneticPr fontId="4"/>
  </si>
  <si>
    <t>11月分月会費　ご返金（11月キャンペーン）</t>
    <rPh sb="2" eb="3">
      <t>ガツ</t>
    </rPh>
    <rPh sb="3" eb="4">
      <t>ブン</t>
    </rPh>
    <rPh sb="4" eb="7">
      <t>ツキカイヒ</t>
    </rPh>
    <rPh sb="9" eb="11">
      <t>ヘンキン</t>
    </rPh>
    <rPh sb="14" eb="15">
      <t>ガツ</t>
    </rPh>
    <phoneticPr fontId="4"/>
  </si>
  <si>
    <t>谷川</t>
    <rPh sb="0" eb="2">
      <t>タニガワ</t>
    </rPh>
    <phoneticPr fontId="4"/>
  </si>
  <si>
    <t>坂田　瑞希</t>
    <rPh sb="0" eb="2">
      <t>サカタ</t>
    </rPh>
    <rPh sb="3" eb="5">
      <t>ミズキ</t>
    </rPh>
    <phoneticPr fontId="4"/>
  </si>
  <si>
    <t>岡崎　陽介</t>
    <rPh sb="0" eb="2">
      <t>オカザキ</t>
    </rPh>
    <rPh sb="3" eb="5">
      <t>ヨウスケ</t>
    </rPh>
    <phoneticPr fontId="4"/>
  </si>
  <si>
    <t>pro v 1</t>
    <phoneticPr fontId="4"/>
  </si>
  <si>
    <t>卜部</t>
    <rPh sb="0" eb="2">
      <t>ウラベ</t>
    </rPh>
    <phoneticPr fontId="4"/>
  </si>
  <si>
    <t>その他</t>
    <rPh sb="2" eb="3">
      <t>タ</t>
    </rPh>
    <phoneticPr fontId="4"/>
  </si>
  <si>
    <t>フレックスクッション</t>
    <phoneticPr fontId="4"/>
  </si>
  <si>
    <t>トゥルーテンパー</t>
    <phoneticPr fontId="4"/>
  </si>
  <si>
    <t>ダイナミックゴールドS200＃3＃4</t>
    <phoneticPr fontId="4"/>
  </si>
  <si>
    <t>宮本　真理</t>
    <rPh sb="0" eb="2">
      <t>ミヤモト</t>
    </rPh>
    <rPh sb="3" eb="5">
      <t>マリ</t>
    </rPh>
    <phoneticPr fontId="4"/>
  </si>
  <si>
    <t>販売</t>
    <rPh sb="0" eb="2">
      <t>ハンバイ</t>
    </rPh>
    <phoneticPr fontId="4"/>
  </si>
  <si>
    <t>スティッキースーパーライト黒1.8有</t>
    <rPh sb="13" eb="14">
      <t>クロ</t>
    </rPh>
    <rPh sb="17" eb="18">
      <t>アリ</t>
    </rPh>
    <phoneticPr fontId="4"/>
  </si>
  <si>
    <t>KBS</t>
    <phoneticPr fontId="4"/>
  </si>
  <si>
    <t>竹廣　恵</t>
    <rPh sb="0" eb="2">
      <t>タケヒロ</t>
    </rPh>
    <rPh sb="3" eb="4">
      <t>ケイ</t>
    </rPh>
    <phoneticPr fontId="4"/>
  </si>
  <si>
    <t>KBS MAX80 S</t>
    <phoneticPr fontId="4"/>
  </si>
  <si>
    <t>Sticky over size 3.5</t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</si>
  <si>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</si>
  <si>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</si>
  <si>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播磨　久美子</t>
    <rPh sb="0" eb="2">
      <t>ハリマ</t>
    </rPh>
    <rPh sb="3" eb="6">
      <t>クミコ</t>
    </rPh>
    <phoneticPr fontId="4"/>
  </si>
  <si>
    <t>安東</t>
    <rPh sb="0" eb="2">
      <t>アンドウ</t>
    </rPh>
    <phoneticPr fontId="4"/>
  </si>
  <si>
    <t>宮崎　舞</t>
    <rPh sb="0" eb="2">
      <t>ミヤザキ</t>
    </rPh>
    <rPh sb="3" eb="4">
      <t>マイ</t>
    </rPh>
    <phoneticPr fontId="4"/>
  </si>
  <si>
    <t>古川</t>
    <rPh sb="0" eb="2">
      <t>フルカワ</t>
    </rPh>
    <phoneticPr fontId="4"/>
  </si>
  <si>
    <t>11/17,11/27　二重決済の為</t>
    <rPh sb="12" eb="16">
      <t>ニジュウケッサイ</t>
    </rPh>
    <rPh sb="17" eb="18">
      <t>タメ</t>
    </rPh>
    <phoneticPr fontId="4"/>
  </si>
  <si>
    <t>返金済　（12/5）</t>
    <rPh sb="0" eb="3">
      <t>ヘンキンズ</t>
    </rPh>
    <phoneticPr fontId="4"/>
  </si>
  <si>
    <t>谷川</t>
    <rPh sb="0" eb="2">
      <t>タニガワ</t>
    </rPh>
    <phoneticPr fontId="4"/>
  </si>
  <si>
    <t>ビジター</t>
    <phoneticPr fontId="4"/>
  </si>
  <si>
    <t>販売</t>
    <rPh sb="0" eb="2">
      <t>ハンバイ</t>
    </rPh>
    <phoneticPr fontId="4"/>
  </si>
  <si>
    <t>グリップ</t>
    <phoneticPr fontId="4"/>
  </si>
  <si>
    <t>シンカグラファイト</t>
    <phoneticPr fontId="4"/>
  </si>
  <si>
    <t>Zinger6</t>
    <phoneticPr fontId="4"/>
  </si>
  <si>
    <t>Sticky Evolution　2.3　ﾌﾞﾙｰ (有)</t>
    <rPh sb="27" eb="28">
      <t>アリ</t>
    </rPh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</si>
  <si>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</si>
  <si>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</si>
  <si>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川西　勝</t>
    <rPh sb="0" eb="2">
      <t>カワニシ</t>
    </rPh>
    <rPh sb="3" eb="4">
      <t>マサル</t>
    </rPh>
    <phoneticPr fontId="4"/>
  </si>
  <si>
    <t>森　忠明</t>
    <rPh sb="0" eb="1">
      <t>モリ</t>
    </rPh>
    <rPh sb="2" eb="4">
      <t>タダアキ</t>
    </rPh>
    <phoneticPr fontId="4"/>
  </si>
  <si>
    <t>マスター　1か月</t>
    <rPh sb="7" eb="8">
      <t>ゲツ</t>
    </rPh>
    <phoneticPr fontId="4"/>
  </si>
  <si>
    <t>11月分　月会費</t>
    <rPh sb="2" eb="4">
      <t>ガツブン</t>
    </rPh>
    <rPh sb="5" eb="6">
      <t>ツキ</t>
    </rPh>
    <rPh sb="6" eb="8">
      <t>カイヒ</t>
    </rPh>
    <phoneticPr fontId="4"/>
  </si>
  <si>
    <t>上田　智剛</t>
    <rPh sb="0" eb="2">
      <t>ウエダ</t>
    </rPh>
    <rPh sb="3" eb="4">
      <t>トモ</t>
    </rPh>
    <rPh sb="4" eb="5">
      <t>ツヨシ</t>
    </rPh>
    <phoneticPr fontId="4"/>
  </si>
  <si>
    <t>上田　ちか</t>
    <rPh sb="0" eb="2">
      <t>ウエダ</t>
    </rPh>
    <phoneticPr fontId="4"/>
  </si>
  <si>
    <t>岸田　真佐人</t>
    <rPh sb="0" eb="2">
      <t>キシダ</t>
    </rPh>
    <rPh sb="3" eb="6">
      <t>マサト</t>
    </rPh>
    <phoneticPr fontId="4"/>
  </si>
  <si>
    <t>宮崎　定智</t>
    <rPh sb="0" eb="2">
      <t>ミヤザキ</t>
    </rPh>
    <rPh sb="3" eb="5">
      <t>サダトモ</t>
    </rPh>
    <phoneticPr fontId="4"/>
  </si>
  <si>
    <t>販売</t>
    <rPh sb="0" eb="2">
      <t>ハンバイ</t>
    </rPh>
    <phoneticPr fontId="4"/>
  </si>
  <si>
    <t>原田　恵子</t>
    <rPh sb="0" eb="2">
      <t>ハラダ</t>
    </rPh>
    <rPh sb="3" eb="5">
      <t>ケイコ</t>
    </rPh>
    <phoneticPr fontId="4"/>
  </si>
  <si>
    <t>再来　１０月８日</t>
    <rPh sb="0" eb="2">
      <t>サイライ</t>
    </rPh>
    <rPh sb="5" eb="6">
      <t>ガツ</t>
    </rPh>
    <rPh sb="7" eb="8">
      <t>ニチ</t>
    </rPh>
    <phoneticPr fontId="4"/>
  </si>
  <si>
    <t>吉田　一貴</t>
    <rPh sb="0" eb="2">
      <t>ヨシダ</t>
    </rPh>
    <rPh sb="3" eb="5">
      <t>カズタカ</t>
    </rPh>
    <phoneticPr fontId="4"/>
  </si>
  <si>
    <t>古川</t>
    <rPh sb="0" eb="2">
      <t>フルカワ</t>
    </rPh>
    <phoneticPr fontId="4"/>
  </si>
  <si>
    <t>二重決済の為ご返金</t>
    <rPh sb="0" eb="4">
      <t>ニジュウケッサイ</t>
    </rPh>
    <rPh sb="5" eb="6">
      <t>タメ</t>
    </rPh>
    <rPh sb="7" eb="9">
      <t>ヘンキン</t>
    </rPh>
    <phoneticPr fontId="4"/>
  </si>
  <si>
    <t>マスター　１か月</t>
    <rPh sb="7" eb="8">
      <t>ゲツ</t>
    </rPh>
    <phoneticPr fontId="4"/>
  </si>
  <si>
    <t>福原　大輔</t>
    <rPh sb="0" eb="2">
      <t>フクハラ</t>
    </rPh>
    <rPh sb="3" eb="5">
      <t>ダイスケ</t>
    </rPh>
    <phoneticPr fontId="4"/>
  </si>
  <si>
    <t>DR VENTUS BLUE  6X</t>
    <phoneticPr fontId="4"/>
  </si>
  <si>
    <t>谷川</t>
    <rPh sb="0" eb="2">
      <t>タニガワ</t>
    </rPh>
    <phoneticPr fontId="4"/>
  </si>
  <si>
    <t>福原</t>
    <rPh sb="0" eb="2">
      <t>フクハラ</t>
    </rPh>
    <phoneticPr fontId="4"/>
  </si>
  <si>
    <t>澤田</t>
    <rPh sb="0" eb="2">
      <t>サワダ</t>
    </rPh>
    <phoneticPr fontId="4"/>
  </si>
  <si>
    <t>谷川</t>
    <rPh sb="0" eb="2">
      <t>タニガワ</t>
    </rPh>
    <phoneticPr fontId="4"/>
  </si>
  <si>
    <t>MCC スタンダード　ﾎﾜｲﾄ (有)</t>
    <rPh sb="17" eb="18">
      <t>ア</t>
    </rPh>
    <phoneticPr fontId="4"/>
  </si>
  <si>
    <t>北川　修</t>
    <rPh sb="0" eb="2">
      <t>キタガワ</t>
    </rPh>
    <rPh sb="3" eb="4">
      <t>オサム</t>
    </rPh>
    <phoneticPr fontId="4"/>
  </si>
  <si>
    <t>IXx touch 2.3 バックライン無</t>
    <rPh sb="20" eb="21">
      <t>ナシ</t>
    </rPh>
    <phoneticPr fontId="4"/>
  </si>
  <si>
    <t>卜部</t>
    <rPh sb="0" eb="2">
      <t>ウラベ</t>
    </rPh>
    <phoneticPr fontId="4"/>
  </si>
  <si>
    <t>安東　茉優</t>
    <rPh sb="0" eb="2">
      <t>アンドウ</t>
    </rPh>
    <rPh sb="3" eb="5">
      <t>マユ</t>
    </rPh>
    <phoneticPr fontId="4"/>
  </si>
  <si>
    <t>安東</t>
    <rPh sb="0" eb="2">
      <t>アンドウ</t>
    </rPh>
    <phoneticPr fontId="4"/>
  </si>
  <si>
    <t>谷川</t>
    <rPh sb="0" eb="2">
      <t>タニガワ</t>
    </rPh>
    <phoneticPr fontId="4"/>
  </si>
  <si>
    <t>日本シャフト</t>
    <rPh sb="0" eb="2">
      <t>ニホン</t>
    </rPh>
    <phoneticPr fontId="4"/>
  </si>
  <si>
    <t>NS ゼロス S　＃５～PW</t>
    <phoneticPr fontId="4"/>
  </si>
  <si>
    <t>卜部</t>
    <rPh sb="0" eb="2">
      <t>ウラベ</t>
    </rPh>
    <phoneticPr fontId="4"/>
  </si>
  <si>
    <t>卜部</t>
    <rPh sb="0" eb="2">
      <t>ウラベ</t>
    </rPh>
    <phoneticPr fontId="4"/>
  </si>
  <si>
    <t>レギュラー　（０.５か月分）</t>
    <rPh sb="11" eb="13">
      <t>ゲツブン</t>
    </rPh>
    <phoneticPr fontId="4"/>
  </si>
  <si>
    <t>KBS CT ツアーパター</t>
    <phoneticPr fontId="4"/>
  </si>
  <si>
    <t>卜部　凡夫</t>
    <rPh sb="0" eb="2">
      <t>ウラベ</t>
    </rPh>
    <rPh sb="3" eb="4">
      <t>ボン</t>
    </rPh>
    <rPh sb="4" eb="5">
      <t>オット</t>
    </rPh>
    <phoneticPr fontId="4"/>
  </si>
  <si>
    <t>上田　恭司</t>
    <rPh sb="0" eb="2">
      <t>ウエダ</t>
    </rPh>
    <rPh sb="3" eb="5">
      <t>ヤスジ</t>
    </rPh>
    <phoneticPr fontId="4"/>
  </si>
  <si>
    <t>エリート</t>
    <phoneticPr fontId="4"/>
  </si>
  <si>
    <t>レジ</t>
    <phoneticPr fontId="4"/>
  </si>
  <si>
    <t>金庫</t>
    <rPh sb="0" eb="2">
      <t>キンコ</t>
    </rPh>
    <phoneticPr fontId="4"/>
  </si>
  <si>
    <t>森本　元</t>
    <rPh sb="0" eb="2">
      <t>モリモト</t>
    </rPh>
    <rPh sb="3" eb="4">
      <t>モト</t>
    </rPh>
    <phoneticPr fontId="4"/>
  </si>
  <si>
    <t>石井　圭太</t>
    <rPh sb="0" eb="2">
      <t>イシイ</t>
    </rPh>
    <rPh sb="3" eb="5">
      <t>ケイタ</t>
    </rPh>
    <phoneticPr fontId="4"/>
  </si>
  <si>
    <t>森本様お支払い</t>
    <rPh sb="0" eb="3">
      <t>モリモトサマ</t>
    </rPh>
    <rPh sb="4" eb="6">
      <t>シハラ</t>
    </rPh>
    <phoneticPr fontId="4"/>
  </si>
  <si>
    <t>新田　恵一</t>
    <rPh sb="0" eb="2">
      <t>ニッタ</t>
    </rPh>
    <rPh sb="3" eb="5">
      <t>ケイイチ</t>
    </rPh>
    <phoneticPr fontId="4"/>
  </si>
  <si>
    <t>1月分　月会費</t>
    <rPh sb="1" eb="3">
      <t>ガツブン</t>
    </rPh>
    <rPh sb="4" eb="5">
      <t>ツキ</t>
    </rPh>
    <rPh sb="5" eb="7">
      <t>カイヒ</t>
    </rPh>
    <phoneticPr fontId="4"/>
  </si>
  <si>
    <t>安東</t>
    <rPh sb="0" eb="2">
      <t>アンドウ</t>
    </rPh>
    <phoneticPr fontId="4"/>
  </si>
  <si>
    <t>谷川</t>
    <rPh sb="0" eb="2">
      <t>タニガワ</t>
    </rPh>
    <phoneticPr fontId="4"/>
  </si>
  <si>
    <t>古賀　勉</t>
    <rPh sb="0" eb="2">
      <t>コガ</t>
    </rPh>
    <rPh sb="3" eb="4">
      <t>ベン</t>
    </rPh>
    <phoneticPr fontId="4"/>
  </si>
  <si>
    <t>平井　理恵</t>
    <rPh sb="0" eb="2">
      <t>ヒライ</t>
    </rPh>
    <rPh sb="3" eb="5">
      <t>リエ</t>
    </rPh>
    <phoneticPr fontId="4"/>
  </si>
  <si>
    <t>岡下　慎吾</t>
    <rPh sb="0" eb="2">
      <t>オカシタ</t>
    </rPh>
    <rPh sb="3" eb="5">
      <t>シンゴ</t>
    </rPh>
    <phoneticPr fontId="4"/>
  </si>
  <si>
    <t>VENTUS BLACK 6 60S</t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</si>
  <si>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</si>
  <si>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</si>
  <si>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pro v 1ｘ　白</t>
    <rPh sb="9" eb="10">
      <t>シロ</t>
    </rPh>
    <phoneticPr fontId="4"/>
  </si>
  <si>
    <t>LTC　iXx2.3ブラック</t>
    <phoneticPr fontId="4"/>
  </si>
  <si>
    <t>金券</t>
    <rPh sb="0" eb="2">
      <t>キンケン</t>
    </rPh>
    <phoneticPr fontId="4"/>
  </si>
  <si>
    <t>岡本　賢史</t>
    <rPh sb="0" eb="2">
      <t>オカモト</t>
    </rPh>
    <rPh sb="3" eb="4">
      <t>ケン</t>
    </rPh>
    <rPh sb="4" eb="5">
      <t>シ</t>
    </rPh>
    <phoneticPr fontId="4"/>
  </si>
  <si>
    <t>金券￥10,000（おつり￥364 なし）</t>
    <rPh sb="0" eb="2">
      <t>キンケン</t>
    </rPh>
    <phoneticPr fontId="4"/>
  </si>
  <si>
    <t>スティングレー M60</t>
    <phoneticPr fontId="4"/>
  </si>
  <si>
    <t>谷川</t>
    <rPh sb="0" eb="2">
      <t>タニガワ</t>
    </rPh>
    <phoneticPr fontId="4"/>
  </si>
  <si>
    <t>古川</t>
    <rPh sb="0" eb="2">
      <t>フルカワ</t>
    </rPh>
    <phoneticPr fontId="4"/>
  </si>
  <si>
    <t>白　左　22cm</t>
    <rPh sb="0" eb="1">
      <t>シロ</t>
    </rPh>
    <rPh sb="2" eb="3">
      <t>ヒダリ</t>
    </rPh>
    <phoneticPr fontId="4"/>
  </si>
  <si>
    <t>田中　瞭汰</t>
    <rPh sb="0" eb="2">
      <t>タナカ</t>
    </rPh>
    <rPh sb="3" eb="4">
      <t>リョウ</t>
    </rPh>
    <rPh sb="4" eb="5">
      <t>タ</t>
    </rPh>
    <phoneticPr fontId="4"/>
  </si>
  <si>
    <t>￥5,000off</t>
    <phoneticPr fontId="4"/>
  </si>
  <si>
    <t>販売</t>
    <rPh sb="0" eb="2">
      <t>ハンバイ</t>
    </rPh>
    <phoneticPr fontId="4"/>
  </si>
  <si>
    <t>REVE</t>
    <phoneticPr fontId="4"/>
  </si>
  <si>
    <t>インパクトボロンリボルバーX</t>
    <phoneticPr fontId="4"/>
  </si>
  <si>
    <t>永田　明美</t>
    <rPh sb="0" eb="2">
      <t>ナガタ</t>
    </rPh>
    <rPh sb="3" eb="5">
      <t>アケミ</t>
    </rPh>
    <phoneticPr fontId="4"/>
  </si>
  <si>
    <t>レギュラー　１か月（２０２６年１月分）</t>
    <rPh sb="8" eb="9">
      <t>ゲツ</t>
    </rPh>
    <rPh sb="14" eb="15">
      <t>ネン</t>
    </rPh>
    <rPh sb="16" eb="18">
      <t>ガツブン</t>
    </rPh>
    <phoneticPr fontId="4"/>
  </si>
  <si>
    <t>卜部</t>
    <rPh sb="0" eb="2">
      <t>ウラベ</t>
    </rPh>
    <phoneticPr fontId="4"/>
  </si>
  <si>
    <t>農本　奈緒美</t>
    <rPh sb="0" eb="2">
      <t>ノウモト</t>
    </rPh>
    <rPh sb="3" eb="4">
      <t>ナ</t>
    </rPh>
    <rPh sb="4" eb="5">
      <t>オ</t>
    </rPh>
    <rPh sb="5" eb="6">
      <t>ミ</t>
    </rPh>
    <phoneticPr fontId="4"/>
  </si>
  <si>
    <t>古川</t>
    <rPh sb="0" eb="2">
      <t>フルカワ</t>
    </rPh>
    <phoneticPr fontId="4"/>
  </si>
  <si>
    <t>村上　慎治</t>
    <rPh sb="0" eb="2">
      <t>ムラカミ</t>
    </rPh>
    <rPh sb="3" eb="5">
      <t>シンジ</t>
    </rPh>
    <phoneticPr fontId="4"/>
  </si>
  <si>
    <t>会員</t>
    <rPh sb="0" eb="2">
      <t>カイイン</t>
    </rPh>
    <phoneticPr fontId="4"/>
  </si>
  <si>
    <t>利用料</t>
    <rPh sb="0" eb="3">
      <t>リヨウリョウ</t>
    </rPh>
    <phoneticPr fontId="4"/>
  </si>
  <si>
    <t>三好　怜</t>
    <rPh sb="0" eb="2">
      <t>ミヨシ</t>
    </rPh>
    <rPh sb="3" eb="4">
      <t>レイ</t>
    </rPh>
    <phoneticPr fontId="4"/>
  </si>
  <si>
    <t>新開　常貴</t>
    <rPh sb="0" eb="2">
      <t>シンカイ</t>
    </rPh>
    <rPh sb="3" eb="4">
      <t>ツネ</t>
    </rPh>
    <rPh sb="4" eb="5">
      <t>タカシ</t>
    </rPh>
    <phoneticPr fontId="4"/>
  </si>
  <si>
    <t>近藤　康弘</t>
    <rPh sb="0" eb="2">
      <t>コンドウ</t>
    </rPh>
    <rPh sb="3" eb="5">
      <t>ヤスヒロ</t>
    </rPh>
    <phoneticPr fontId="4"/>
  </si>
  <si>
    <t>COBRA</t>
    <phoneticPr fontId="4"/>
  </si>
  <si>
    <t>Tour AD PT-6 S</t>
    <phoneticPr fontId="4"/>
  </si>
  <si>
    <t>Sticky Evo 2.3 ブルー 無</t>
    <rPh sb="19" eb="20">
      <t>ナシ</t>
    </rPh>
    <phoneticPr fontId="4"/>
  </si>
  <si>
    <t>PLATINUM SPEEDER 3X</t>
    <phoneticPr fontId="4"/>
  </si>
  <si>
    <t>USTマミヤ</t>
    <phoneticPr fontId="4"/>
  </si>
  <si>
    <t>ATTAS SPEED F-2</t>
    <phoneticPr fontId="4"/>
  </si>
  <si>
    <t>PLATINUM SPEEDER 3SR</t>
    <phoneticPr fontId="4"/>
  </si>
  <si>
    <t>宮崎さん紹介　フィッティング料無料</t>
    <rPh sb="0" eb="2">
      <t>ミヤザキ</t>
    </rPh>
    <rPh sb="4" eb="6">
      <t>ショウカイ</t>
    </rPh>
    <rPh sb="14" eb="15">
      <t>リョウ</t>
    </rPh>
    <rPh sb="15" eb="17">
      <t>ムリョウ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</si>
  <si>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</si>
  <si>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</si>
  <si>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TOUR B JGR イエロー</t>
    <phoneticPr fontId="4"/>
  </si>
  <si>
    <t>会員</t>
    <rPh sb="0" eb="2">
      <t>カイイン</t>
    </rPh>
    <phoneticPr fontId="4"/>
  </si>
  <si>
    <t>木村　稔</t>
    <rPh sb="0" eb="2">
      <t>キムラ</t>
    </rPh>
    <rPh sb="3" eb="4">
      <t>ミノル</t>
    </rPh>
    <phoneticPr fontId="4"/>
  </si>
  <si>
    <t>会員</t>
    <rPh sb="0" eb="2">
      <t>カイイン</t>
    </rPh>
    <phoneticPr fontId="4"/>
  </si>
  <si>
    <t>安東</t>
    <rPh sb="0" eb="2">
      <t>アンドウ</t>
    </rPh>
    <phoneticPr fontId="4"/>
  </si>
  <si>
    <t>白　左　23cm</t>
    <rPh sb="0" eb="1">
      <t>シロ</t>
    </rPh>
    <rPh sb="2" eb="3">
      <t>ヒダリ</t>
    </rPh>
    <phoneticPr fontId="4"/>
  </si>
  <si>
    <t>石田　駿</t>
    <rPh sb="0" eb="2">
      <t>イシダ</t>
    </rPh>
    <rPh sb="3" eb="4">
      <t>シュン</t>
    </rPh>
    <phoneticPr fontId="4"/>
  </si>
  <si>
    <t>AIRスピーダーplus</t>
    <phoneticPr fontId="4"/>
  </si>
  <si>
    <t>三好　怜</t>
    <rPh sb="0" eb="2">
      <t>ミヨシ</t>
    </rPh>
    <rPh sb="3" eb="4">
      <t>レイ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</si>
  <si>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</si>
  <si>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</si>
  <si>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会員</t>
    <rPh sb="0" eb="2">
      <t>カイイン</t>
    </rPh>
    <phoneticPr fontId="4"/>
  </si>
  <si>
    <t>MIMIC　1.5　ﾚﾓﾝｲｴﾛｰ×ﾋﾟﾝｸ (有)</t>
    <rPh sb="24" eb="25">
      <t>アリ</t>
    </rPh>
    <phoneticPr fontId="4"/>
  </si>
  <si>
    <t>安東</t>
    <rPh sb="0" eb="2">
      <t>アンドウ</t>
    </rPh>
    <phoneticPr fontId="4"/>
  </si>
  <si>
    <t>古川</t>
    <rPh sb="0" eb="2">
      <t>フルカワ</t>
    </rPh>
    <phoneticPr fontId="4"/>
  </si>
  <si>
    <t>宮食　崇子</t>
    <phoneticPr fontId="4"/>
  </si>
  <si>
    <t>稲垣　康治</t>
    <rPh sb="0" eb="2">
      <t>イナガキ</t>
    </rPh>
    <rPh sb="3" eb="4">
      <t>ヤス</t>
    </rPh>
    <rPh sb="4" eb="5">
      <t>ハル</t>
    </rPh>
    <phoneticPr fontId="4"/>
  </si>
  <si>
    <t>Sticky Evo 2.3 ブラック 無</t>
    <rPh sb="20" eb="21">
      <t>ナシ</t>
    </rPh>
    <phoneticPr fontId="4"/>
  </si>
  <si>
    <t>PING</t>
    <phoneticPr fontId="4"/>
  </si>
  <si>
    <t>PING　G440　4U　23°</t>
    <phoneticPr fontId="4"/>
  </si>
  <si>
    <t>VENTUS BLUE　HB　8　S</t>
    <phoneticPr fontId="4"/>
  </si>
  <si>
    <t>現金</t>
    <rPh sb="0" eb="2">
      <t>ゲンキン</t>
    </rPh>
    <phoneticPr fontId="4"/>
  </si>
  <si>
    <t>石井　由香里</t>
    <rPh sb="0" eb="2">
      <t>イシイ</t>
    </rPh>
    <rPh sb="3" eb="6">
      <t>ユカリ</t>
    </rPh>
    <phoneticPr fontId="4"/>
  </si>
  <si>
    <t>TD50C</t>
    <phoneticPr fontId="4"/>
  </si>
  <si>
    <t>山本プロ</t>
    <rPh sb="0" eb="2">
      <t>ヤマモト</t>
    </rPh>
    <phoneticPr fontId="4"/>
  </si>
  <si>
    <t>Sticky Jumbo 5.5 BLACK 無</t>
    <rPh sb="23" eb="24">
      <t>ナシ</t>
    </rPh>
    <phoneticPr fontId="4"/>
  </si>
  <si>
    <t>坂東俊哉様</t>
    <rPh sb="0" eb="2">
      <t>バンドウ</t>
    </rPh>
    <rPh sb="2" eb="4">
      <t>トシヤ</t>
    </rPh>
    <rPh sb="4" eb="5">
      <t>サマ</t>
    </rPh>
    <phoneticPr fontId="4"/>
  </si>
  <si>
    <t>DIAMOND SPEEDER SPD5 S</t>
    <phoneticPr fontId="4"/>
  </si>
  <si>
    <t>島崎　幸治</t>
    <rPh sb="0" eb="2">
      <t>シマザキ</t>
    </rPh>
    <rPh sb="3" eb="5">
      <t>ユキハル</t>
    </rPh>
    <phoneticPr fontId="4"/>
  </si>
  <si>
    <t>金券￥2,000　利用</t>
    <rPh sb="0" eb="2">
      <t>キンケン</t>
    </rPh>
    <rPh sb="9" eb="11">
      <t>リヨウ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</si>
  <si>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</si>
  <si>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</si>
  <si>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中村　均</t>
    <rPh sb="0" eb="2">
      <t>ナカムラ</t>
    </rPh>
    <rPh sb="3" eb="4">
      <t>ヒトシ</t>
    </rPh>
    <phoneticPr fontId="4"/>
  </si>
  <si>
    <t>安東</t>
    <rPh sb="0" eb="2">
      <t>アンドウ</t>
    </rPh>
    <phoneticPr fontId="4"/>
  </si>
  <si>
    <t>赤松　充理</t>
    <rPh sb="0" eb="2">
      <t>アカマツ</t>
    </rPh>
    <rPh sb="3" eb="4">
      <t>ミツル</t>
    </rPh>
    <rPh sb="4" eb="5">
      <t>リ</t>
    </rPh>
    <phoneticPr fontId="4"/>
  </si>
  <si>
    <t>ARCH</t>
    <phoneticPr fontId="4"/>
  </si>
  <si>
    <t>Natural 9 CELESTE 24</t>
    <phoneticPr fontId="4"/>
  </si>
  <si>
    <t>振込</t>
    <rPh sb="0" eb="2">
      <t>フリコミ</t>
    </rPh>
    <phoneticPr fontId="4"/>
  </si>
  <si>
    <t>Sticky Evolution 2.3 （無）</t>
    <rPh sb="22" eb="23">
      <t>ナシ</t>
    </rPh>
    <phoneticPr fontId="4"/>
  </si>
  <si>
    <t>ユ）アーリーシステム　の名前で振込済み</t>
    <rPh sb="12" eb="14">
      <t>ナマエ</t>
    </rPh>
    <rPh sb="15" eb="17">
      <t>フリコミ</t>
    </rPh>
    <rPh sb="17" eb="18">
      <t>ズ</t>
    </rPh>
    <phoneticPr fontId="4"/>
  </si>
  <si>
    <t>柳　孝之</t>
    <rPh sb="0" eb="1">
      <t>ヤナギ</t>
    </rPh>
    <rPh sb="2" eb="4">
      <t>タカユキ</t>
    </rPh>
    <phoneticPr fontId="4"/>
  </si>
  <si>
    <t>白　左　24cm</t>
    <rPh sb="0" eb="1">
      <t>シロ</t>
    </rPh>
    <rPh sb="2" eb="3">
      <t>ヒダリ</t>
    </rPh>
    <phoneticPr fontId="4"/>
  </si>
  <si>
    <t>会員</t>
    <rPh sb="0" eb="2">
      <t>カイイン</t>
    </rPh>
    <phoneticPr fontId="4"/>
  </si>
  <si>
    <t>利用料</t>
    <rPh sb="0" eb="3">
      <t>リヨウリョウ</t>
    </rPh>
    <phoneticPr fontId="4"/>
  </si>
  <si>
    <t>打席利用</t>
    <rPh sb="0" eb="4">
      <t>ダセキリヨウ</t>
    </rPh>
    <phoneticPr fontId="4"/>
  </si>
  <si>
    <t>安東</t>
    <rPh sb="0" eb="2">
      <t>アンドウ</t>
    </rPh>
    <phoneticPr fontId="4"/>
  </si>
  <si>
    <t>志野さん</t>
    <rPh sb="0" eb="2">
      <t>シノ</t>
    </rPh>
    <phoneticPr fontId="4"/>
  </si>
  <si>
    <t>延安　伸二</t>
    <rPh sb="0" eb="2">
      <t>ノブヤス</t>
    </rPh>
    <rPh sb="3" eb="5">
      <t>シンジ</t>
    </rPh>
    <phoneticPr fontId="4"/>
  </si>
  <si>
    <t>谷川</t>
    <rPh sb="0" eb="2">
      <t>タニガワ</t>
    </rPh>
    <phoneticPr fontId="4"/>
  </si>
  <si>
    <t>福島　一平</t>
    <rPh sb="0" eb="2">
      <t>フクシマ</t>
    </rPh>
    <rPh sb="3" eb="5">
      <t>イッペイ</t>
    </rPh>
    <phoneticPr fontId="4"/>
  </si>
  <si>
    <t>谷川</t>
    <rPh sb="0" eb="2">
      <t>タニガワ</t>
    </rPh>
    <phoneticPr fontId="4"/>
  </si>
  <si>
    <t>小川</t>
    <rPh sb="0" eb="2">
      <t>オガワ</t>
    </rPh>
    <phoneticPr fontId="4"/>
  </si>
  <si>
    <t>石田　可南子</t>
    <rPh sb="0" eb="2">
      <t>イシダ</t>
    </rPh>
    <rPh sb="3" eb="6">
      <t>カナコ</t>
    </rPh>
    <phoneticPr fontId="4"/>
  </si>
  <si>
    <t>会員</t>
    <rPh sb="0" eb="2">
      <t>カイイン</t>
    </rPh>
    <phoneticPr fontId="4"/>
  </si>
  <si>
    <t>プラチナ　１か月</t>
    <rPh sb="7" eb="8">
      <t>ゲツ</t>
    </rPh>
    <phoneticPr fontId="4"/>
  </si>
  <si>
    <t>安東</t>
    <rPh sb="0" eb="2">
      <t>アンドウ</t>
    </rPh>
    <phoneticPr fontId="4"/>
  </si>
  <si>
    <t>安東</t>
    <rPh sb="0" eb="2">
      <t>アンドウ</t>
    </rPh>
    <phoneticPr fontId="4"/>
  </si>
  <si>
    <t>小池　優季史</t>
    <rPh sb="0" eb="2">
      <t>コイケ</t>
    </rPh>
    <rPh sb="3" eb="4">
      <t>ユウ</t>
    </rPh>
    <rPh sb="4" eb="6">
      <t>スエフミ</t>
    </rPh>
    <phoneticPr fontId="4"/>
  </si>
  <si>
    <t>会員</t>
    <rPh sb="0" eb="2">
      <t>カイイン</t>
    </rPh>
    <phoneticPr fontId="4"/>
  </si>
  <si>
    <t>2~4月分</t>
    <rPh sb="3" eb="5">
      <t>ガツブン</t>
    </rPh>
    <phoneticPr fontId="4"/>
  </si>
  <si>
    <t>中嶋　祐二</t>
    <rPh sb="0" eb="2">
      <t>ナカジマ</t>
    </rPh>
    <rPh sb="3" eb="5">
      <t>ユウジ</t>
    </rPh>
    <phoneticPr fontId="4"/>
  </si>
  <si>
    <t>TD50C　無</t>
    <rPh sb="6" eb="7">
      <t>ナシ</t>
    </rPh>
    <phoneticPr fontId="4"/>
  </si>
  <si>
    <t>榎本</t>
    <rPh sb="0" eb="2">
      <t>エノモト</t>
    </rPh>
    <phoneticPr fontId="4"/>
  </si>
  <si>
    <t>2~3月分</t>
    <rPh sb="3" eb="5">
      <t>ガツブン</t>
    </rPh>
    <phoneticPr fontId="4"/>
  </si>
  <si>
    <t>古川</t>
    <rPh sb="0" eb="2">
      <t>フルカワ</t>
    </rPh>
    <phoneticPr fontId="4"/>
  </si>
  <si>
    <t>卜部</t>
    <rPh sb="0" eb="2">
      <t>ウラベ</t>
    </rPh>
    <phoneticPr fontId="4"/>
  </si>
  <si>
    <t>G440　UT　#5 26°</t>
  </si>
  <si>
    <t>PING</t>
    <phoneticPr fontId="4"/>
  </si>
  <si>
    <t>ビジター</t>
    <phoneticPr fontId="4"/>
  </si>
  <si>
    <t>pro v1x（特価）2025モデル</t>
    <rPh sb="8" eb="10">
      <t>トッカ</t>
    </rPh>
    <phoneticPr fontId="4"/>
  </si>
  <si>
    <t>Tour B X（特価）</t>
    <rPh sb="9" eb="11">
      <t>トッカ</t>
    </rPh>
    <phoneticPr fontId="4"/>
  </si>
  <si>
    <t>Tour B XS（特価）</t>
    <phoneticPr fontId="4"/>
  </si>
  <si>
    <t>安東</t>
    <rPh sb="0" eb="2">
      <t>アンドウ</t>
    </rPh>
    <phoneticPr fontId="4"/>
  </si>
  <si>
    <t>谷川</t>
    <rPh sb="0" eb="2">
      <t>タニガワ</t>
    </rPh>
    <phoneticPr fontId="4"/>
  </si>
  <si>
    <t>チケット　１か月</t>
    <rPh sb="7" eb="8">
      <t>ゲツ</t>
    </rPh>
    <phoneticPr fontId="4"/>
  </si>
  <si>
    <t>1・2月分　月会費</t>
    <rPh sb="3" eb="5">
      <t>ガツブン</t>
    </rPh>
    <rPh sb="6" eb="7">
      <t>ツキ</t>
    </rPh>
    <rPh sb="7" eb="9">
      <t>カイヒ</t>
    </rPh>
    <phoneticPr fontId="4"/>
  </si>
  <si>
    <t>安東</t>
    <rPh sb="0" eb="2">
      <t>アンドウ</t>
    </rPh>
    <phoneticPr fontId="4"/>
  </si>
  <si>
    <t>Sticky Evo 2.3 青 無</t>
    <rPh sb="15" eb="16">
      <t>アオ</t>
    </rPh>
    <rPh sb="17" eb="18">
      <t>ナシ</t>
    </rPh>
    <phoneticPr fontId="4"/>
  </si>
  <si>
    <t>卜部</t>
    <rPh sb="0" eb="2">
      <t>ウラベ</t>
    </rPh>
    <phoneticPr fontId="4"/>
  </si>
  <si>
    <t>渡邊　文廣</t>
    <rPh sb="0" eb="2">
      <t>ワタナベ</t>
    </rPh>
    <rPh sb="3" eb="5">
      <t>フミヒロ</t>
    </rPh>
    <phoneticPr fontId="4"/>
  </si>
  <si>
    <t>熊谷　努</t>
    <rPh sb="0" eb="2">
      <t>クマガイ</t>
    </rPh>
    <rPh sb="3" eb="4">
      <t>ツトム</t>
    </rPh>
    <phoneticPr fontId="4"/>
  </si>
  <si>
    <t>会員</t>
    <rPh sb="0" eb="2">
      <t>カイイン</t>
    </rPh>
    <phoneticPr fontId="4"/>
  </si>
  <si>
    <t>安東</t>
    <rPh sb="0" eb="2">
      <t>アンドウ</t>
    </rPh>
    <phoneticPr fontId="4"/>
  </si>
  <si>
    <t>福田　泰典</t>
    <rPh sb="0" eb="2">
      <t>フクダ</t>
    </rPh>
    <rPh sb="3" eb="5">
      <t>ヤスノリ</t>
    </rPh>
    <phoneticPr fontId="4"/>
  </si>
  <si>
    <t>GRUP紹介</t>
    <rPh sb="4" eb="6">
      <t>ショウカイ</t>
    </rPh>
    <phoneticPr fontId="4"/>
  </si>
  <si>
    <t>卜部</t>
    <rPh sb="0" eb="2">
      <t>ウラベ</t>
    </rPh>
    <phoneticPr fontId="4"/>
  </si>
  <si>
    <t>高橋　真奈実</t>
    <rPh sb="0" eb="2">
      <t>タカハシ</t>
    </rPh>
    <rPh sb="3" eb="4">
      <t>マコト</t>
    </rPh>
    <rPh sb="4" eb="5">
      <t>ナ</t>
    </rPh>
    <rPh sb="5" eb="6">
      <t>ミ</t>
    </rPh>
    <phoneticPr fontId="4"/>
  </si>
  <si>
    <t>卜部</t>
    <rPh sb="0" eb="2">
      <t>ウラベ</t>
    </rPh>
    <phoneticPr fontId="4"/>
  </si>
  <si>
    <t>深見　由一郎</t>
    <rPh sb="0" eb="2">
      <t>フカミ</t>
    </rPh>
    <rPh sb="3" eb="6">
      <t>ユウイチロウ</t>
    </rPh>
    <phoneticPr fontId="4"/>
  </si>
  <si>
    <t>谷川</t>
    <rPh sb="0" eb="2">
      <t>タニガワ</t>
    </rPh>
    <phoneticPr fontId="4"/>
  </si>
  <si>
    <t>中村　元信</t>
    <rPh sb="0" eb="2">
      <t>ナカムラ</t>
    </rPh>
    <rPh sb="3" eb="5">
      <t>モトノブ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</si>
  <si>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</si>
  <si>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</si>
  <si>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Tour Velvet 360 (無)</t>
    <rPh sb="17" eb="18">
      <t>ナシ</t>
    </rPh>
    <phoneticPr fontId="4"/>
  </si>
  <si>
    <t>福原</t>
    <rPh sb="0" eb="2">
      <t>フクハラ</t>
    </rPh>
    <phoneticPr fontId="4"/>
  </si>
  <si>
    <t>小橋　一好</t>
    <rPh sb="0" eb="2">
      <t>コハシ</t>
    </rPh>
    <rPh sb="3" eb="5">
      <t>カズヨシ</t>
    </rPh>
    <phoneticPr fontId="4"/>
  </si>
  <si>
    <t>現金</t>
    <rPh sb="0" eb="2">
      <t>ゲンキン</t>
    </rPh>
    <phoneticPr fontId="4"/>
  </si>
  <si>
    <t>岩見　真一郎</t>
    <rPh sb="0" eb="2">
      <t>イワミ</t>
    </rPh>
    <rPh sb="3" eb="6">
      <t>シンイチロウ</t>
    </rPh>
    <phoneticPr fontId="4"/>
  </si>
  <si>
    <t>チケット　0.5ケ月</t>
    <phoneticPr fontId="4"/>
  </si>
  <si>
    <t>2月分　月会費</t>
    <rPh sb="1" eb="3">
      <t>ガツブン</t>
    </rPh>
    <rPh sb="4" eb="5">
      <t>ツキ</t>
    </rPh>
    <rPh sb="5" eb="7">
      <t>カイヒ</t>
    </rPh>
    <phoneticPr fontId="4"/>
  </si>
  <si>
    <t>井殿</t>
    <rPh sb="0" eb="2">
      <t>イドノ</t>
    </rPh>
    <phoneticPr fontId="4"/>
  </si>
  <si>
    <t>レッスンチケット1枚</t>
    <rPh sb="9" eb="10">
      <t>マイ</t>
    </rPh>
    <phoneticPr fontId="4"/>
  </si>
  <si>
    <t>玉井　修子</t>
    <rPh sb="0" eb="2">
      <t>タマイ</t>
    </rPh>
    <rPh sb="3" eb="5">
      <t>シュウコ</t>
    </rPh>
    <phoneticPr fontId="4"/>
  </si>
  <si>
    <t>谷川</t>
    <rPh sb="0" eb="2">
      <t>タニガワ</t>
    </rPh>
    <phoneticPr fontId="4"/>
  </si>
  <si>
    <t>岩見　香織</t>
    <rPh sb="0" eb="2">
      <t>イワミ</t>
    </rPh>
    <rPh sb="3" eb="5">
      <t>カオリ</t>
    </rPh>
    <phoneticPr fontId="4"/>
  </si>
  <si>
    <t>大津　方順</t>
    <rPh sb="0" eb="2">
      <t>オオツ</t>
    </rPh>
    <rPh sb="3" eb="4">
      <t>ホウ</t>
    </rPh>
    <rPh sb="4" eb="5">
      <t>ジュン</t>
    </rPh>
    <phoneticPr fontId="4"/>
  </si>
  <si>
    <t>安東</t>
    <rPh sb="0" eb="2">
      <t>アンドウ</t>
    </rPh>
    <phoneticPr fontId="4"/>
  </si>
  <si>
    <t>関　清太</t>
    <rPh sb="0" eb="1">
      <t>セキ</t>
    </rPh>
    <rPh sb="2" eb="4">
      <t>キヨタ</t>
    </rPh>
    <phoneticPr fontId="4"/>
  </si>
  <si>
    <t>シンカグラファイト</t>
    <phoneticPr fontId="4"/>
  </si>
  <si>
    <t>LEXIA 5S</t>
    <phoneticPr fontId="4"/>
  </si>
  <si>
    <t>安東</t>
    <rPh sb="0" eb="2">
      <t>アンドウ</t>
    </rPh>
    <phoneticPr fontId="4"/>
  </si>
  <si>
    <t>谷川</t>
    <rPh sb="0" eb="2">
      <t>タニガワ</t>
    </rPh>
    <phoneticPr fontId="4"/>
  </si>
  <si>
    <t>VENTUS BLACK 6 60X</t>
    <phoneticPr fontId="4"/>
  </si>
  <si>
    <t>X-EVOLUTION　2.3　</t>
    <phoneticPr fontId="4"/>
  </si>
  <si>
    <t>喜田　徹</t>
    <rPh sb="0" eb="2">
      <t>キダ</t>
    </rPh>
    <rPh sb="3" eb="4">
      <t>トオル</t>
    </rPh>
    <phoneticPr fontId="4"/>
  </si>
  <si>
    <t>谷川</t>
    <rPh sb="0" eb="2">
      <t>タニガワ</t>
    </rPh>
    <phoneticPr fontId="4"/>
  </si>
  <si>
    <t>Tour B X（特価）</t>
    <phoneticPr fontId="4"/>
  </si>
  <si>
    <t>安東</t>
    <rPh sb="0" eb="2">
      <t>アンドウ</t>
    </rPh>
    <phoneticPr fontId="4"/>
  </si>
  <si>
    <t>白　右　21cm</t>
    <rPh sb="0" eb="1">
      <t>シロ</t>
    </rPh>
    <rPh sb="2" eb="3">
      <t>ミギ</t>
    </rPh>
    <phoneticPr fontId="4"/>
  </si>
  <si>
    <t>白　左　21cm</t>
    <rPh sb="0" eb="1">
      <t>シロ</t>
    </rPh>
    <rPh sb="2" eb="3">
      <t>ヒダリ</t>
    </rPh>
    <phoneticPr fontId="4"/>
  </si>
  <si>
    <t>梅原　弘記</t>
    <rPh sb="0" eb="2">
      <t>ウメハラ</t>
    </rPh>
    <rPh sb="3" eb="4">
      <t>ヒロ</t>
    </rPh>
    <phoneticPr fontId="4"/>
  </si>
  <si>
    <t>安東</t>
    <rPh sb="0" eb="2">
      <t>アンドウ</t>
    </rPh>
    <phoneticPr fontId="4"/>
  </si>
  <si>
    <t>安東</t>
    <phoneticPr fontId="4"/>
  </si>
  <si>
    <t>会員</t>
    <rPh sb="0" eb="2">
      <t>カイイン</t>
    </rPh>
    <phoneticPr fontId="4"/>
  </si>
  <si>
    <t>MCI　PRACTICE　IRON　ピンク</t>
    <phoneticPr fontId="4"/>
  </si>
  <si>
    <t>白　左　20cm</t>
    <rPh sb="0" eb="1">
      <t>シロ</t>
    </rPh>
    <rPh sb="2" eb="3">
      <t>ヒダリ</t>
    </rPh>
    <phoneticPr fontId="4"/>
  </si>
  <si>
    <t>森脇　敏典</t>
    <rPh sb="0" eb="2">
      <t>モリワキ</t>
    </rPh>
    <rPh sb="3" eb="5">
      <t>トシノリ</t>
    </rPh>
    <phoneticPr fontId="4"/>
  </si>
  <si>
    <t>住地ゴルフ紹介</t>
    <rPh sb="0" eb="2">
      <t>ジュウチ</t>
    </rPh>
    <rPh sb="5" eb="7">
      <t>ショウカイ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</si>
  <si>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</si>
  <si>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</si>
  <si>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福原</t>
    <rPh sb="0" eb="2">
      <t>フクハラ</t>
    </rPh>
    <phoneticPr fontId="4"/>
  </si>
  <si>
    <t>谷川</t>
    <rPh sb="0" eb="2">
      <t>タニガワ</t>
    </rPh>
    <phoneticPr fontId="4"/>
  </si>
  <si>
    <t>谷川</t>
    <rPh sb="0" eb="2">
      <t>タニガワ</t>
    </rPh>
    <phoneticPr fontId="4"/>
  </si>
  <si>
    <t>ｺｱﾌｫｰｽﾙｰﾌﾟSUS ｼｬﾝﾊﾟﾝｺﾞｰﾙﾄﾞ CFL70</t>
    <phoneticPr fontId="4"/>
  </si>
  <si>
    <t>コアフォース</t>
    <phoneticPr fontId="4"/>
  </si>
  <si>
    <t>アクセサリー</t>
    <phoneticPr fontId="4"/>
  </si>
  <si>
    <t>上野　年彦</t>
    <rPh sb="0" eb="2">
      <t>ウエノ</t>
    </rPh>
    <rPh sb="3" eb="5">
      <t>トシヒコ</t>
    </rPh>
    <phoneticPr fontId="4"/>
  </si>
  <si>
    <t>藤田　プロ</t>
    <rPh sb="0" eb="2">
      <t>フジタ</t>
    </rPh>
    <phoneticPr fontId="4"/>
  </si>
  <si>
    <t>辻本　莉音</t>
    <rPh sb="0" eb="2">
      <t>ツジモト</t>
    </rPh>
    <rPh sb="3" eb="5">
      <t>リオン</t>
    </rPh>
    <rPh sb="4" eb="5">
      <t>オト</t>
    </rPh>
    <phoneticPr fontId="4"/>
  </si>
  <si>
    <t>川西　勝</t>
    <rPh sb="0" eb="2">
      <t>カワニシ</t>
    </rPh>
    <rPh sb="3" eb="4">
      <t>マサル</t>
    </rPh>
    <phoneticPr fontId="4"/>
  </si>
  <si>
    <t>谷川</t>
    <rPh sb="0" eb="2">
      <t>タニガワ</t>
    </rPh>
    <phoneticPr fontId="4"/>
  </si>
  <si>
    <t>MCC+4 ALIGN  STD (有)</t>
    <rPh sb="18" eb="19">
      <t>アリ</t>
    </rPh>
    <phoneticPr fontId="4"/>
  </si>
  <si>
    <t>iXx2.3 BK 無</t>
    <rPh sb="10" eb="11">
      <t>ナシ</t>
    </rPh>
    <phoneticPr fontId="4"/>
  </si>
  <si>
    <t>会員</t>
    <rPh sb="0" eb="2">
      <t>カイイン</t>
    </rPh>
    <phoneticPr fontId="4"/>
  </si>
  <si>
    <t>卜部</t>
    <rPh sb="0" eb="2">
      <t>ウラベ</t>
    </rPh>
    <phoneticPr fontId="4"/>
  </si>
  <si>
    <t>宮崎　舞</t>
    <rPh sb="0" eb="2">
      <t>ミヤザキ</t>
    </rPh>
    <rPh sb="3" eb="4">
      <t>マイ</t>
    </rPh>
    <phoneticPr fontId="4"/>
  </si>
  <si>
    <t>井殿</t>
    <rPh sb="0" eb="2">
      <t>イドノ</t>
    </rPh>
    <phoneticPr fontId="4"/>
  </si>
  <si>
    <t>森　忠明</t>
  </si>
  <si>
    <t>泉　竜二</t>
    <rPh sb="0" eb="1">
      <t>イズミ</t>
    </rPh>
    <rPh sb="2" eb="4">
      <t>リュウジ</t>
    </rPh>
    <phoneticPr fontId="4"/>
  </si>
  <si>
    <t>白　左　19cm</t>
    <rPh sb="0" eb="1">
      <t>シロ</t>
    </rPh>
    <rPh sb="2" eb="3">
      <t>ヒダリ</t>
    </rPh>
    <phoneticPr fontId="4"/>
  </si>
  <si>
    <t>黒　左　22cm</t>
    <rPh sb="0" eb="1">
      <t>クロ</t>
    </rPh>
    <rPh sb="2" eb="3">
      <t>ヒダリ</t>
    </rPh>
    <phoneticPr fontId="4"/>
  </si>
  <si>
    <t>会員</t>
    <rPh sb="0" eb="2">
      <t>カイイン</t>
    </rPh>
    <phoneticPr fontId="4"/>
  </si>
  <si>
    <t>福原</t>
    <rPh sb="0" eb="2">
      <t>フクハラ</t>
    </rPh>
    <phoneticPr fontId="4"/>
  </si>
  <si>
    <t>安東</t>
    <rPh sb="0" eb="2">
      <t>アンドウ</t>
    </rPh>
    <phoneticPr fontId="4"/>
  </si>
  <si>
    <t>八木　純平</t>
    <rPh sb="0" eb="2">
      <t>ヤギ</t>
    </rPh>
    <rPh sb="3" eb="5">
      <t>ジュンペイ</t>
    </rPh>
    <phoneticPr fontId="4"/>
  </si>
  <si>
    <t>会員</t>
    <rPh sb="0" eb="2">
      <t>カイイン</t>
    </rPh>
    <phoneticPr fontId="4"/>
  </si>
  <si>
    <t>谷川</t>
    <rPh sb="0" eb="2">
      <t>タニガワ</t>
    </rPh>
    <phoneticPr fontId="4"/>
  </si>
  <si>
    <t>LINEクーポン　打ち間違え</t>
    <rPh sb="9" eb="10">
      <t>ウ</t>
    </rPh>
    <rPh sb="11" eb="13">
      <t>マチガ</t>
    </rPh>
    <phoneticPr fontId="4"/>
  </si>
  <si>
    <t>古川</t>
    <rPh sb="0" eb="2">
      <t>フルカワ</t>
    </rPh>
    <phoneticPr fontId="4"/>
  </si>
  <si>
    <t>北久保　正浩</t>
    <rPh sb="0" eb="3">
      <t>キタクボ</t>
    </rPh>
    <rPh sb="4" eb="5">
      <t>タダシ</t>
    </rPh>
    <rPh sb="5" eb="6">
      <t>ヒロ</t>
    </rPh>
    <phoneticPr fontId="4"/>
  </si>
  <si>
    <t>Sticky EVO 2.3  ブラック 無</t>
    <rPh sb="21" eb="22">
      <t>ナシ</t>
    </rPh>
    <phoneticPr fontId="4"/>
  </si>
  <si>
    <t>VENTUS HB 6 S</t>
    <phoneticPr fontId="4"/>
  </si>
  <si>
    <t>G440　UT スリーブ</t>
    <phoneticPr fontId="4"/>
  </si>
  <si>
    <t>Tour velvet plus 4 STANDARD　無</t>
    <rPh sb="28" eb="29">
      <t>ナシ</t>
    </rPh>
    <phoneticPr fontId="4"/>
  </si>
  <si>
    <t>岩見　真一郎</t>
    <rPh sb="0" eb="2">
      <t>イワミ</t>
    </rPh>
    <rPh sb="3" eb="6">
      <t>シンイチロウ</t>
    </rPh>
    <phoneticPr fontId="4"/>
  </si>
  <si>
    <t>井殿</t>
    <rPh sb="0" eb="2">
      <t>イドノ</t>
    </rPh>
    <phoneticPr fontId="4"/>
  </si>
  <si>
    <t>安東</t>
    <rPh sb="0" eb="2">
      <t>アンドウ</t>
    </rPh>
    <phoneticPr fontId="4"/>
  </si>
  <si>
    <t>会員</t>
    <rPh sb="0" eb="2">
      <t>カイイン</t>
    </rPh>
    <phoneticPr fontId="4"/>
  </si>
  <si>
    <t>月会費（定額制）</t>
    <rPh sb="0" eb="3">
      <t>ツキカイヒ</t>
    </rPh>
    <rPh sb="4" eb="7">
      <t>テイガクセイ</t>
    </rPh>
    <phoneticPr fontId="4"/>
  </si>
  <si>
    <t>レギュラー　１か月</t>
    <rPh sb="8" eb="9">
      <t>ゲツ</t>
    </rPh>
    <phoneticPr fontId="4"/>
  </si>
  <si>
    <t>福原</t>
    <rPh sb="0" eb="2">
      <t>フクハラ</t>
    </rPh>
    <phoneticPr fontId="4"/>
  </si>
  <si>
    <t>渡邊　和典</t>
    <rPh sb="0" eb="2">
      <t>ワタナベ</t>
    </rPh>
    <rPh sb="3" eb="5">
      <t>カズノリ</t>
    </rPh>
    <phoneticPr fontId="4"/>
  </si>
  <si>
    <t>販売</t>
    <rPh sb="0" eb="2">
      <t>ハンバイ</t>
    </rPh>
    <phoneticPr fontId="4"/>
  </si>
  <si>
    <t>榎本</t>
    <rPh sb="0" eb="2">
      <t>エノモト</t>
    </rPh>
    <phoneticPr fontId="4"/>
  </si>
  <si>
    <t>テーラーメイド</t>
    <phoneticPr fontId="4"/>
  </si>
  <si>
    <t>SPEEDER NX VIOLET 50 S</t>
    <phoneticPr fontId="4"/>
  </si>
  <si>
    <t>MCH 70 S（白）</t>
    <rPh sb="9" eb="10">
      <t>シロ</t>
    </rPh>
    <phoneticPr fontId="4"/>
  </si>
  <si>
    <t>STEALTH 12°（ヘッドのみ）</t>
    <phoneticPr fontId="4"/>
  </si>
  <si>
    <t>TALORMADE</t>
    <phoneticPr fontId="4"/>
  </si>
  <si>
    <t>Sticky EVO2.3ブルー有</t>
    <rPh sb="16" eb="17">
      <t>アリ</t>
    </rPh>
    <phoneticPr fontId="4"/>
  </si>
  <si>
    <t>110分（プロ紹介）</t>
    <rPh sb="3" eb="4">
      <t>フン</t>
    </rPh>
    <rPh sb="7" eb="9">
      <t>ショウカイ</t>
    </rPh>
    <phoneticPr fontId="4"/>
  </si>
  <si>
    <t>根岸　里佳</t>
    <rPh sb="0" eb="2">
      <t>ネギシ</t>
    </rPh>
    <rPh sb="3" eb="5">
      <t>リカ</t>
    </rPh>
    <phoneticPr fontId="4"/>
  </si>
  <si>
    <t>上田　恭司</t>
    <rPh sb="0" eb="2">
      <t>ウエダ</t>
    </rPh>
    <rPh sb="3" eb="5">
      <t>ヤスジ</t>
    </rPh>
    <phoneticPr fontId="4"/>
  </si>
  <si>
    <t>I classic　Tour　putter　BLACK　MID</t>
    <phoneticPr fontId="4"/>
  </si>
  <si>
    <t>安東</t>
    <rPh sb="0" eb="2">
      <t>アンドウ</t>
    </rPh>
    <phoneticPr fontId="4"/>
  </si>
  <si>
    <t>販売</t>
    <rPh sb="0" eb="2">
      <t>ハンバイ</t>
    </rPh>
    <phoneticPr fontId="4"/>
  </si>
  <si>
    <t>練習器具</t>
    <rPh sb="0" eb="4">
      <t>レンシュウキグ</t>
    </rPh>
    <phoneticPr fontId="4"/>
  </si>
  <si>
    <t>タバタ</t>
    <phoneticPr fontId="4"/>
  </si>
  <si>
    <t>三角先生</t>
    <rPh sb="0" eb="2">
      <t>サンカク</t>
    </rPh>
    <rPh sb="2" eb="4">
      <t>センセイ</t>
    </rPh>
    <phoneticPr fontId="4"/>
  </si>
  <si>
    <t>葛井　啓三</t>
    <rPh sb="0" eb="2">
      <t>カツイ</t>
    </rPh>
    <rPh sb="3" eb="4">
      <t>ケイ</t>
    </rPh>
    <rPh sb="4" eb="5">
      <t>サン</t>
    </rPh>
    <phoneticPr fontId="4"/>
  </si>
  <si>
    <t>谷川</t>
    <rPh sb="0" eb="2">
      <t>タニガワ</t>
    </rPh>
    <phoneticPr fontId="4"/>
  </si>
  <si>
    <t>市野　泰誠</t>
    <rPh sb="0" eb="2">
      <t>イチノ</t>
    </rPh>
    <rPh sb="3" eb="4">
      <t>ヤスシ</t>
    </rPh>
    <rPh sb="4" eb="5">
      <t>マコト</t>
    </rPh>
    <phoneticPr fontId="4"/>
  </si>
  <si>
    <t>安東</t>
    <rPh sb="0" eb="2">
      <t>アンドウ</t>
    </rPh>
    <phoneticPr fontId="4"/>
  </si>
  <si>
    <t>スリクソン</t>
    <phoneticPr fontId="4"/>
  </si>
  <si>
    <t>ｽﾘｸｿﾝ zxi ﾊｲﾌﾞﾘｯﾄ　19°/tour ad VF HB 75S　＃３</t>
    <phoneticPr fontId="4"/>
  </si>
  <si>
    <t>ｽﾘｸｿﾝ zxi ﾊｲﾌﾞﾘｯﾄ　19°/tour ad VF HB 75S　＃４</t>
    <phoneticPr fontId="4"/>
  </si>
  <si>
    <t>sticky army 1.8 グレー　有</t>
    <rPh sb="20" eb="21">
      <t>アリ</t>
    </rPh>
    <phoneticPr fontId="4"/>
  </si>
  <si>
    <t>小川</t>
    <rPh sb="0" eb="2">
      <t>オガワ</t>
    </rPh>
    <phoneticPr fontId="4"/>
  </si>
  <si>
    <t>伊藤　剛人</t>
    <rPh sb="0" eb="2">
      <t>イトウ</t>
    </rPh>
    <rPh sb="3" eb="4">
      <t>ツヨシ</t>
    </rPh>
    <rPh sb="4" eb="5">
      <t>ヒト</t>
    </rPh>
    <phoneticPr fontId="4"/>
  </si>
  <si>
    <t>荒木　紳詞</t>
    <rPh sb="0" eb="2">
      <t>アラキ</t>
    </rPh>
    <rPh sb="3" eb="4">
      <t>シン</t>
    </rPh>
    <rPh sb="4" eb="5">
      <t>シ</t>
    </rPh>
    <phoneticPr fontId="4"/>
  </si>
  <si>
    <t>DG　EXイシュー　X100</t>
    <phoneticPr fontId="4"/>
  </si>
  <si>
    <t>VENTUS　BLACK　7X</t>
    <phoneticPr fontId="4"/>
  </si>
  <si>
    <t>VENTUS　BLACK　8X</t>
  </si>
  <si>
    <t>G440</t>
    <phoneticPr fontId="4"/>
  </si>
  <si>
    <t>MCC+4 ALIGN  MID　BK/GD</t>
    <phoneticPr fontId="4"/>
  </si>
  <si>
    <t>福原</t>
    <rPh sb="0" eb="2">
      <t>フクハラ</t>
    </rPh>
    <phoneticPr fontId="4"/>
  </si>
  <si>
    <t>安東</t>
    <rPh sb="0" eb="2">
      <t>アンドウ</t>
    </rPh>
    <phoneticPr fontId="4"/>
  </si>
  <si>
    <t>古川</t>
    <rPh sb="0" eb="2">
      <t>フルカワ</t>
    </rPh>
    <phoneticPr fontId="4"/>
  </si>
  <si>
    <t>村尾　健一</t>
    <rPh sb="0" eb="2">
      <t>ムラオ</t>
    </rPh>
    <rPh sb="3" eb="5">
      <t>ケンイチ</t>
    </rPh>
    <phoneticPr fontId="4"/>
  </si>
  <si>
    <t>会員</t>
    <rPh sb="0" eb="2">
      <t>カイイン</t>
    </rPh>
    <phoneticPr fontId="4"/>
  </si>
  <si>
    <t>谷川</t>
    <rPh sb="0" eb="2">
      <t>タニガワ</t>
    </rPh>
    <phoneticPr fontId="4"/>
  </si>
  <si>
    <t>DRキャロウェイスリーブ</t>
    <phoneticPr fontId="4"/>
  </si>
  <si>
    <t>金益　美佐子</t>
    <rPh sb="0" eb="2">
      <t>カネマス</t>
    </rPh>
    <rPh sb="3" eb="6">
      <t>ミサコ</t>
    </rPh>
    <phoneticPr fontId="4"/>
  </si>
  <si>
    <t>田村　正</t>
    <rPh sb="0" eb="2">
      <t>タムラ</t>
    </rPh>
    <rPh sb="3" eb="4">
      <t>タダシ</t>
    </rPh>
    <phoneticPr fontId="4"/>
  </si>
  <si>
    <t>会員</t>
    <rPh sb="0" eb="2">
      <t>カイイン</t>
    </rPh>
    <phoneticPr fontId="4"/>
  </si>
  <si>
    <t>谷川</t>
    <rPh sb="0" eb="2">
      <t>タニガワ</t>
    </rPh>
    <phoneticPr fontId="4"/>
  </si>
  <si>
    <t>SBペイメント</t>
    <phoneticPr fontId="4"/>
  </si>
  <si>
    <t>練習チケット１枚</t>
    <rPh sb="0" eb="2">
      <t>レンシュウ</t>
    </rPh>
    <rPh sb="7" eb="8">
      <t>マイ</t>
    </rPh>
    <phoneticPr fontId="4"/>
  </si>
  <si>
    <t>松村　敬</t>
    <rPh sb="0" eb="2">
      <t>マツムラ</t>
    </rPh>
    <rPh sb="3" eb="4">
      <t>ケイ</t>
    </rPh>
    <phoneticPr fontId="4"/>
  </si>
  <si>
    <t>株式会社TLC</t>
    <rPh sb="0" eb="4">
      <t>カブシキガイシャ</t>
    </rPh>
    <phoneticPr fontId="4"/>
  </si>
  <si>
    <t>古川</t>
    <rPh sb="0" eb="2">
      <t>フルカワ</t>
    </rPh>
    <phoneticPr fontId="4"/>
  </si>
  <si>
    <t>現金</t>
    <rPh sb="0" eb="2">
      <t>ゲンキン</t>
    </rPh>
    <phoneticPr fontId="4"/>
  </si>
  <si>
    <t>CALLAWAY</t>
    <phoneticPr fontId="4"/>
  </si>
  <si>
    <t>仕入れ値</t>
    <rPh sb="0" eb="2">
      <t>シイ</t>
    </rPh>
    <rPh sb="3" eb="4">
      <t>ネ</t>
    </rPh>
    <phoneticPr fontId="4"/>
  </si>
  <si>
    <t>コブラスリーブ</t>
    <phoneticPr fontId="4"/>
  </si>
  <si>
    <t>黒　右左19cm2枚、右左20cm2枚</t>
    <rPh sb="0" eb="1">
      <t>クロ</t>
    </rPh>
    <rPh sb="2" eb="3">
      <t>ミギ</t>
    </rPh>
    <rPh sb="3" eb="4">
      <t>ヒダリ</t>
    </rPh>
    <rPh sb="9" eb="10">
      <t>マイ</t>
    </rPh>
    <rPh sb="11" eb="13">
      <t>ミギヒダリ</t>
    </rPh>
    <rPh sb="18" eb="19">
      <t>マイ</t>
    </rPh>
    <phoneticPr fontId="4"/>
  </si>
  <si>
    <t>阪妻　さくら</t>
    <rPh sb="0" eb="2">
      <t>ハンツマ</t>
    </rPh>
    <phoneticPr fontId="4"/>
  </si>
  <si>
    <t>武智　基教</t>
    <rPh sb="0" eb="2">
      <t>タケチ</t>
    </rPh>
    <rPh sb="3" eb="5">
      <t>モトノリ</t>
    </rPh>
    <phoneticPr fontId="4"/>
  </si>
  <si>
    <t>福原</t>
    <rPh sb="0" eb="2">
      <t>フクハラ</t>
    </rPh>
    <phoneticPr fontId="4"/>
  </si>
  <si>
    <t>キャロウェイ</t>
    <phoneticPr fontId="4"/>
  </si>
  <si>
    <t>QUANTUN　MAX　FAST　</t>
    <phoneticPr fontId="4"/>
  </si>
  <si>
    <t>諸岡 憲徹</t>
    <phoneticPr fontId="4"/>
  </si>
  <si>
    <t>会員</t>
    <rPh sb="0" eb="2">
      <t>カイイン</t>
    </rPh>
    <phoneticPr fontId="4"/>
  </si>
  <si>
    <t>現金</t>
    <rPh sb="0" eb="2">
      <t>ゲンキン</t>
    </rPh>
    <phoneticPr fontId="4"/>
  </si>
  <si>
    <t>レギュラー会員　返金</t>
    <rPh sb="5" eb="7">
      <t>カイイン</t>
    </rPh>
    <rPh sb="8" eb="10">
      <t>ヘンキン</t>
    </rPh>
    <phoneticPr fontId="4"/>
  </si>
  <si>
    <t>8,9,10,11,12,1,2月分会費　返金</t>
    <rPh sb="16" eb="18">
      <t>ツキブン</t>
    </rPh>
    <rPh sb="18" eb="20">
      <t>カイヒ</t>
    </rPh>
    <rPh sb="21" eb="23">
      <t>ヘンキン</t>
    </rPh>
    <phoneticPr fontId="4"/>
  </si>
  <si>
    <t>古川</t>
    <rPh sb="0" eb="2">
      <t>フルカワ</t>
    </rPh>
    <phoneticPr fontId="4"/>
  </si>
  <si>
    <t>更科　渉</t>
    <rPh sb="0" eb="2">
      <t>サラシナ</t>
    </rPh>
    <rPh sb="3" eb="4">
      <t>ワタル</t>
    </rPh>
    <phoneticPr fontId="4"/>
  </si>
  <si>
    <t>延安　伸二</t>
    <rPh sb="0" eb="2">
      <t>ノブヤス</t>
    </rPh>
    <rPh sb="3" eb="5">
      <t>シンジ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</si>
  <si>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</si>
  <si>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</si>
  <si>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会員</t>
    <rPh sb="0" eb="2">
      <t>カイイン</t>
    </rPh>
    <phoneticPr fontId="4"/>
  </si>
  <si>
    <t>新名　清澄</t>
    <rPh sb="0" eb="2">
      <t>シンミョウ</t>
    </rPh>
    <rPh sb="3" eb="5">
      <t>キヨスミ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</si>
  <si>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</si>
  <si>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</si>
  <si>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2月分　マスター差額</t>
    <rPh sb="1" eb="2">
      <t>ガツ</t>
    </rPh>
    <rPh sb="2" eb="3">
      <t>ブン</t>
    </rPh>
    <rPh sb="8" eb="10">
      <t>サガク</t>
    </rPh>
    <phoneticPr fontId="4"/>
  </si>
  <si>
    <t>3~5月分</t>
    <rPh sb="3" eb="5">
      <t>ガツブン</t>
    </rPh>
    <phoneticPr fontId="4"/>
  </si>
  <si>
    <t>2・3月分　月会費</t>
    <rPh sb="3" eb="5">
      <t>ガツブン</t>
    </rPh>
    <rPh sb="6" eb="7">
      <t>ツキ</t>
    </rPh>
    <rPh sb="7" eb="9">
      <t>カイヒ</t>
    </rPh>
    <phoneticPr fontId="4"/>
  </si>
  <si>
    <t>谷川</t>
    <rPh sb="0" eb="2">
      <t>タニガワ</t>
    </rPh>
    <phoneticPr fontId="4"/>
  </si>
  <si>
    <t>木村　千賀子</t>
    <rPh sb="0" eb="2">
      <t>キムラ</t>
    </rPh>
    <rPh sb="3" eb="6">
      <t>チカコ</t>
    </rPh>
    <phoneticPr fontId="4"/>
  </si>
  <si>
    <t>会員</t>
    <rPh sb="0" eb="2">
      <t>カイイン</t>
    </rPh>
    <phoneticPr fontId="4"/>
  </si>
  <si>
    <t>3月分　月会費</t>
    <rPh sb="1" eb="3">
      <t>ガツブン</t>
    </rPh>
    <rPh sb="4" eb="5">
      <t>ツキ</t>
    </rPh>
    <rPh sb="5" eb="7">
      <t>カイヒ</t>
    </rPh>
    <phoneticPr fontId="4"/>
  </si>
  <si>
    <t>福原</t>
    <rPh sb="0" eb="2">
      <t>フクハラ</t>
    </rPh>
    <phoneticPr fontId="4"/>
  </si>
  <si>
    <t>安東</t>
    <rPh sb="0" eb="2">
      <t>アンドウ</t>
    </rPh>
    <phoneticPr fontId="4"/>
  </si>
  <si>
    <t>Sticky SUPER LIGHT 1.8 ﾌﾞﾗｯｸ(有)  35g</t>
    <rPh sb="29" eb="30">
      <t>アリ</t>
    </rPh>
    <phoneticPr fontId="4"/>
  </si>
  <si>
    <t>家族ビジター利用</t>
    <rPh sb="0" eb="2">
      <t>カゾク</t>
    </rPh>
    <rPh sb="6" eb="8">
      <t>リヨウ</t>
    </rPh>
    <phoneticPr fontId="4"/>
  </si>
  <si>
    <t>高倉　龍太</t>
    <rPh sb="0" eb="2">
      <t>タカクラ</t>
    </rPh>
    <rPh sb="3" eb="5">
      <t>リュウタ</t>
    </rPh>
    <phoneticPr fontId="4"/>
  </si>
  <si>
    <t>会員</t>
    <rPh sb="0" eb="2">
      <t>カイイン</t>
    </rPh>
    <phoneticPr fontId="4"/>
  </si>
  <si>
    <t>Sticky Evolution　2.3　ﾌﾞﾗｯｸ (無)</t>
    <rPh sb="28" eb="29">
      <t>ナシ</t>
    </rPh>
    <phoneticPr fontId="4"/>
  </si>
  <si>
    <t>安東</t>
    <rPh sb="0" eb="2">
      <t>アンドウ</t>
    </rPh>
    <phoneticPr fontId="4"/>
  </si>
  <si>
    <t>井殿　康和</t>
    <rPh sb="0" eb="2">
      <t>イドノ</t>
    </rPh>
    <rPh sb="3" eb="5">
      <t>ヤスカズ</t>
    </rPh>
    <phoneticPr fontId="4"/>
  </si>
  <si>
    <t>販売</t>
    <rPh sb="0" eb="2">
      <t>ハンバイ</t>
    </rPh>
    <phoneticPr fontId="4"/>
  </si>
  <si>
    <t>ダークスピードOPTM　LS９°</t>
    <phoneticPr fontId="4"/>
  </si>
  <si>
    <t>平井　理恵</t>
    <rPh sb="0" eb="2">
      <t>ヒライ</t>
    </rPh>
    <rPh sb="3" eb="5">
      <t>リエ</t>
    </rPh>
    <phoneticPr fontId="4"/>
  </si>
  <si>
    <t>販売</t>
    <rPh sb="0" eb="2">
      <t>ハンバイ</t>
    </rPh>
    <phoneticPr fontId="4"/>
  </si>
  <si>
    <t>シンカグラファイト</t>
    <phoneticPr fontId="4"/>
  </si>
  <si>
    <t>LEXIA IL　７　LT</t>
    <phoneticPr fontId="4"/>
  </si>
  <si>
    <t>LEXIA IL　7　HV</t>
    <phoneticPr fontId="4"/>
  </si>
  <si>
    <t>Sticky Evolution　2.3　ﾌﾞﾗｯｸ (有)</t>
    <rPh sb="28" eb="29">
      <t>アリ</t>
    </rPh>
    <phoneticPr fontId="4"/>
  </si>
  <si>
    <t>LEXIA　HL5</t>
    <phoneticPr fontId="4"/>
  </si>
  <si>
    <t>PING</t>
    <phoneticPr fontId="4"/>
  </si>
  <si>
    <t>G440　UT　#4　22°</t>
    <phoneticPr fontId="4"/>
  </si>
  <si>
    <t>←確認済み</t>
    <rPh sb="1" eb="4">
      <t>カクニンズ</t>
    </rPh>
    <phoneticPr fontId="4"/>
  </si>
  <si>
    <t>木村　隆良</t>
    <rPh sb="0" eb="2">
      <t>キムラ</t>
    </rPh>
    <rPh sb="3" eb="4">
      <t>リュウ</t>
    </rPh>
    <rPh sb="4" eb="5">
      <t>リョウ</t>
    </rPh>
    <phoneticPr fontId="4"/>
  </si>
  <si>
    <t>現金</t>
    <rPh sb="0" eb="2">
      <t>ゲンキン</t>
    </rPh>
    <phoneticPr fontId="4"/>
  </si>
  <si>
    <t>島村　之裕</t>
    <rPh sb="0" eb="2">
      <t>シマムラ</t>
    </rPh>
    <rPh sb="3" eb="5">
      <t>ユキヒロ</t>
    </rPh>
    <phoneticPr fontId="4"/>
  </si>
  <si>
    <t>金券</t>
    <rPh sb="0" eb="2">
      <t>キンケン</t>
    </rPh>
    <phoneticPr fontId="4"/>
  </si>
  <si>
    <t>福原</t>
    <rPh sb="0" eb="2">
      <t>フクハラ</t>
    </rPh>
    <phoneticPr fontId="4"/>
  </si>
  <si>
    <t>谷川</t>
    <rPh sb="0" eb="2">
      <t>タニガワ</t>
    </rPh>
    <phoneticPr fontId="4"/>
  </si>
  <si>
    <t>カラダフィッテイング 会員1回</t>
    <phoneticPr fontId="4"/>
  </si>
  <si>
    <r>
      <rPr>
        <b/>
        <strike/>
        <sz val="11"/>
        <color rgb="FFFF0000"/>
        <rFont val="メイリオ"/>
        <family val="3"/>
        <charset val="128"/>
      </rPr>
      <t>12月</t>
    </r>
    <r>
      <rPr>
        <b/>
        <sz val="11"/>
        <color rgb="FFFF0000"/>
        <rFont val="メイリオ"/>
        <family val="3"/>
        <charset val="128"/>
      </rPr>
      <t>1月月会費　ご返金</t>
    </r>
    <rPh sb="2" eb="3">
      <t>ガツ</t>
    </rPh>
    <rPh sb="4" eb="5">
      <t>ガツ</t>
    </rPh>
    <rPh sb="5" eb="8">
      <t>ツキカイヒ</t>
    </rPh>
    <rPh sb="10" eb="12">
      <t>ヘンキン</t>
    </rPh>
    <phoneticPr fontId="4"/>
  </si>
  <si>
    <t>中村　元信</t>
    <rPh sb="0" eb="2">
      <t>ナカムラ</t>
    </rPh>
    <rPh sb="3" eb="5">
      <t>モトノブ</t>
    </rPh>
    <phoneticPr fontId="4"/>
  </si>
  <si>
    <t>井殿</t>
    <rPh sb="0" eb="2">
      <t>イドノ</t>
    </rPh>
    <phoneticPr fontId="4"/>
  </si>
  <si>
    <t>PLATINUM SPEEDER 4S</t>
    <phoneticPr fontId="4"/>
  </si>
  <si>
    <t>QUANTUM MAX DR 10.5°</t>
    <phoneticPr fontId="4"/>
  </si>
  <si>
    <t>TourVelvet→Iomic変更の差額</t>
    <rPh sb="16" eb="18">
      <t>ヘンコウ</t>
    </rPh>
    <rPh sb="19" eb="21">
      <t>サガク</t>
    </rPh>
    <phoneticPr fontId="4"/>
  </si>
  <si>
    <t>←SB確認済み</t>
    <rPh sb="3" eb="6">
      <t>カクニンズ</t>
    </rPh>
    <phoneticPr fontId="4"/>
  </si>
  <si>
    <t>古川</t>
    <rPh sb="0" eb="2">
      <t>フルカワ</t>
    </rPh>
    <phoneticPr fontId="4"/>
  </si>
  <si>
    <t>現金</t>
    <rPh sb="0" eb="2">
      <t>ゲンキン</t>
    </rPh>
    <phoneticPr fontId="4"/>
  </si>
  <si>
    <t>安東</t>
    <rPh sb="0" eb="2">
      <t>アンドウ</t>
    </rPh>
    <phoneticPr fontId="4"/>
  </si>
  <si>
    <t>冨家　たかお</t>
    <rPh sb="0" eb="2">
      <t>トミイエ</t>
    </rPh>
    <phoneticPr fontId="4"/>
  </si>
  <si>
    <t>販売</t>
    <rPh sb="0" eb="2">
      <t>ハンバイ</t>
    </rPh>
    <phoneticPr fontId="4"/>
  </si>
  <si>
    <t>tour velvet 無</t>
    <rPh sb="12" eb="13">
      <t>ナシ</t>
    </rPh>
    <phoneticPr fontId="4"/>
  </si>
  <si>
    <t>square 請求書</t>
    <rPh sb="7" eb="9">
      <t>セイキュウ</t>
    </rPh>
    <rPh sb="9" eb="10">
      <t>ショ</t>
    </rPh>
    <phoneticPr fontId="4"/>
  </si>
  <si>
    <t>安東</t>
    <rPh sb="0" eb="2">
      <t>アンドウ</t>
    </rPh>
    <phoneticPr fontId="4"/>
  </si>
  <si>
    <t>古川</t>
    <rPh sb="0" eb="2">
      <t>フルカワ</t>
    </rPh>
    <phoneticPr fontId="4"/>
  </si>
  <si>
    <t>会員</t>
    <rPh sb="0" eb="2">
      <t>カイイン</t>
    </rPh>
    <phoneticPr fontId="4"/>
  </si>
  <si>
    <t>月会費</t>
    <rPh sb="0" eb="3">
      <t>ツキカイヒ</t>
    </rPh>
    <phoneticPr fontId="4"/>
  </si>
  <si>
    <t>入会金</t>
    <rPh sb="0" eb="3">
      <t>ニュウカイキン</t>
    </rPh>
    <phoneticPr fontId="4"/>
  </si>
  <si>
    <t>トライアルから入会</t>
    <rPh sb="7" eb="9">
      <t>ニュウカイ</t>
    </rPh>
    <phoneticPr fontId="4"/>
  </si>
  <si>
    <t>レギュラー１カ月分</t>
    <rPh sb="7" eb="9">
      <t>ゲツブン</t>
    </rPh>
    <phoneticPr fontId="4"/>
  </si>
  <si>
    <t>２月分　月会費</t>
    <rPh sb="1" eb="2">
      <t>ガツ</t>
    </rPh>
    <rPh sb="2" eb="3">
      <t>ブン</t>
    </rPh>
    <rPh sb="4" eb="7">
      <t>ツキカイヒ</t>
    </rPh>
    <phoneticPr fontId="4"/>
  </si>
  <si>
    <t>古川</t>
    <rPh sb="0" eb="2">
      <t>フルカワ</t>
    </rPh>
    <phoneticPr fontId="4"/>
  </si>
  <si>
    <t>レギュラー0.25か月分</t>
    <rPh sb="10" eb="12">
      <t>ゲツブン</t>
    </rPh>
    <phoneticPr fontId="4"/>
  </si>
  <si>
    <t>販売</t>
    <rPh sb="0" eb="2">
      <t>ハンバイ</t>
    </rPh>
    <phoneticPr fontId="4"/>
  </si>
  <si>
    <t>会員</t>
    <phoneticPr fontId="4"/>
  </si>
  <si>
    <t>IOMIC</t>
    <phoneticPr fontId="4"/>
  </si>
  <si>
    <t>Square</t>
    <phoneticPr fontId="4"/>
  </si>
  <si>
    <t>販売</t>
    <rPh sb="0" eb="2">
      <t>ハンバイ</t>
    </rPh>
    <phoneticPr fontId="4"/>
  </si>
  <si>
    <t>日本シャフト</t>
    <rPh sb="0" eb="2">
      <t>ニホン</t>
    </rPh>
    <phoneticPr fontId="4"/>
  </si>
  <si>
    <t>モーダス　105 R</t>
    <phoneticPr fontId="4"/>
  </si>
  <si>
    <t>STM</t>
    <phoneticPr fontId="4"/>
  </si>
  <si>
    <t>ix touch 2.0 スカイブルー　有</t>
    <rPh sb="20" eb="21">
      <t>アリ</t>
    </rPh>
    <phoneticPr fontId="4"/>
  </si>
  <si>
    <t>ix touch 2.0 スカイブルー　無</t>
    <rPh sb="20" eb="21">
      <t>ナシ</t>
    </rPh>
    <phoneticPr fontId="4"/>
  </si>
  <si>
    <t>S-1　BLACKホワイト</t>
    <phoneticPr fontId="4"/>
  </si>
  <si>
    <t>ソケット</t>
    <phoneticPr fontId="4"/>
  </si>
  <si>
    <t>　</t>
    <phoneticPr fontId="4"/>
  </si>
  <si>
    <t>送料</t>
    <rPh sb="0" eb="2">
      <t>ソウリョウ</t>
    </rPh>
    <phoneticPr fontId="4"/>
  </si>
  <si>
    <t>高山　浩一</t>
    <rPh sb="0" eb="2">
      <t>タカヤマ</t>
    </rPh>
    <rPh sb="3" eb="5">
      <t>コウイチ</t>
    </rPh>
    <phoneticPr fontId="4"/>
  </si>
  <si>
    <t>KGU金券￥2,000　税金￥200もらい忘れ</t>
    <rPh sb="3" eb="5">
      <t>キンケン</t>
    </rPh>
    <rPh sb="12" eb="14">
      <t>ゼイキン</t>
    </rPh>
    <rPh sb="21" eb="22">
      <t>ワス</t>
    </rPh>
    <phoneticPr fontId="4"/>
  </si>
  <si>
    <t>エアレジに履歴なし</t>
    <rPh sb="5" eb="7">
      <t>リレキ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</si>
  <si>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</si>
  <si>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</si>
  <si>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X HOLD BLACK RUBBER ﾌﾞﾗｯｸ　無</t>
    <rPh sb="26" eb="27">
      <t>ナシ</t>
    </rPh>
    <phoneticPr fontId="4"/>
  </si>
  <si>
    <t>稲垣　涼太</t>
    <rPh sb="0" eb="2">
      <t>イナガキ</t>
    </rPh>
    <rPh sb="3" eb="5">
      <t>リョウタ</t>
    </rPh>
    <phoneticPr fontId="4"/>
  </si>
  <si>
    <t>安東</t>
    <rPh sb="0" eb="2">
      <t>アンドウ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</si>
  <si>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</si>
  <si>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</si>
  <si>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安東　茉優</t>
    <rPh sb="0" eb="2">
      <t>アンドウ</t>
    </rPh>
    <rPh sb="3" eb="5">
      <t>マユ</t>
    </rPh>
    <phoneticPr fontId="4"/>
  </si>
  <si>
    <t>販売</t>
    <rPh sb="0" eb="2">
      <t>ハンバイ</t>
    </rPh>
    <phoneticPr fontId="4"/>
  </si>
  <si>
    <t>Sticky Evolution　2.3　ﾚﾓﾝｲｴﾛｰ (無)</t>
    <rPh sb="30" eb="31">
      <t>ナシ</t>
    </rPh>
    <phoneticPr fontId="4"/>
  </si>
  <si>
    <t>濱田</t>
    <rPh sb="0" eb="2">
      <t>ハマダ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</si>
  <si>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</si>
  <si>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</si>
  <si>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IOMIC</t>
    <phoneticPr fontId="4"/>
  </si>
  <si>
    <t>I-Classic Tour Putter ﾌﾞﾗｯｸ M58 ﾐｯﾄﾞ</t>
    <phoneticPr fontId="4"/>
  </si>
  <si>
    <t>現金</t>
    <rPh sb="0" eb="2">
      <t>ゲンキン</t>
    </rPh>
    <phoneticPr fontId="4"/>
  </si>
  <si>
    <t>古川</t>
    <rPh sb="0" eb="2">
      <t>フルカワ</t>
    </rPh>
    <phoneticPr fontId="4"/>
  </si>
  <si>
    <t xml:space="preserve">レギュラー　１か月 </t>
    <rPh sb="8" eb="9">
      <t>ゲツ</t>
    </rPh>
    <phoneticPr fontId="4"/>
  </si>
  <si>
    <t>田村　正</t>
    <rPh sb="0" eb="2">
      <t>タムラ</t>
    </rPh>
    <rPh sb="3" eb="4">
      <t>タダシ</t>
    </rPh>
    <phoneticPr fontId="4"/>
  </si>
  <si>
    <t>実際は IOMIC StickyEvo2.3×８本</t>
    <rPh sb="0" eb="2">
      <t>ジッサイ</t>
    </rPh>
    <rPh sb="24" eb="25">
      <t>ホン</t>
    </rPh>
    <phoneticPr fontId="4"/>
  </si>
  <si>
    <t>谷川</t>
    <rPh sb="0" eb="2">
      <t>タニガワ</t>
    </rPh>
    <phoneticPr fontId="4"/>
  </si>
  <si>
    <t>古川</t>
    <rPh sb="0" eb="2">
      <t>フルカワ</t>
    </rPh>
    <phoneticPr fontId="4"/>
  </si>
  <si>
    <t>福原</t>
    <rPh sb="0" eb="2">
      <t>フクハラ</t>
    </rPh>
    <phoneticPr fontId="4"/>
  </si>
  <si>
    <t>卜部</t>
    <rPh sb="0" eb="2">
      <t>ウラベ</t>
    </rPh>
    <phoneticPr fontId="4"/>
  </si>
  <si>
    <t>高倉　龍太</t>
    <rPh sb="0" eb="2">
      <t>タカクラ</t>
    </rPh>
    <rPh sb="3" eb="5">
      <t>リュウタ</t>
    </rPh>
    <phoneticPr fontId="4"/>
  </si>
  <si>
    <t>販売</t>
    <rPh sb="0" eb="2">
      <t>ハンバイ</t>
    </rPh>
    <phoneticPr fontId="4"/>
  </si>
  <si>
    <t>中島　大昴</t>
    <rPh sb="0" eb="2">
      <t>ナカシマ</t>
    </rPh>
    <rPh sb="3" eb="4">
      <t>ダイ</t>
    </rPh>
    <rPh sb="4" eb="5">
      <t>スバル</t>
    </rPh>
    <phoneticPr fontId="4"/>
  </si>
  <si>
    <t>三菱ケミカル</t>
    <rPh sb="0" eb="2">
      <t>ミツビシ</t>
    </rPh>
    <phoneticPr fontId="4"/>
  </si>
  <si>
    <t>TENSEI　PRO　1K　BLACK　60　S</t>
    <phoneticPr fontId="4"/>
  </si>
  <si>
    <t>TENSEI　PRO　1K　BLACK　50　S</t>
    <phoneticPr fontId="4"/>
  </si>
  <si>
    <t>OT Tour　hybrid　80　S</t>
    <phoneticPr fontId="4"/>
  </si>
  <si>
    <t>Sticky Evolution　2.3　ブルー (無)</t>
    <rPh sb="26" eb="27">
      <t>ナシ</t>
    </rPh>
    <phoneticPr fontId="4"/>
  </si>
  <si>
    <t>平山　沢子</t>
    <rPh sb="0" eb="2">
      <t>ヒラヤマ</t>
    </rPh>
    <rPh sb="3" eb="5">
      <t>サワコ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</si>
  <si>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</si>
  <si>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</si>
  <si>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Sticky SUPER LIGHT 1.8 ﾌﾞﾗｯｸ(無)  35g</t>
    <rPh sb="29" eb="30">
      <t>ナシ</t>
    </rPh>
    <phoneticPr fontId="4"/>
  </si>
  <si>
    <t>会員</t>
    <rPh sb="0" eb="2">
      <t>カイイン</t>
    </rPh>
    <phoneticPr fontId="4"/>
  </si>
  <si>
    <t>木原　正道</t>
    <rPh sb="0" eb="2">
      <t>キハラ</t>
    </rPh>
    <rPh sb="3" eb="5">
      <t>マサミチ</t>
    </rPh>
    <phoneticPr fontId="4"/>
  </si>
  <si>
    <t xml:space="preserve">マスター　１か月 </t>
    <rPh sb="7" eb="8">
      <t>ゲツ</t>
    </rPh>
    <phoneticPr fontId="4"/>
  </si>
  <si>
    <t>谷川</t>
    <rPh sb="0" eb="2">
      <t>タニガワ</t>
    </rPh>
    <phoneticPr fontId="4"/>
  </si>
  <si>
    <t>圓城寺　誠</t>
    <rPh sb="0" eb="3">
      <t>エンジョウジ</t>
    </rPh>
    <rPh sb="4" eb="5">
      <t>マコト</t>
    </rPh>
    <phoneticPr fontId="4"/>
  </si>
  <si>
    <t>会員</t>
    <rPh sb="0" eb="2">
      <t>カイイン</t>
    </rPh>
    <phoneticPr fontId="4"/>
  </si>
  <si>
    <t>高砂　行彦</t>
    <rPh sb="0" eb="2">
      <t>タカサゴ</t>
    </rPh>
    <rPh sb="3" eb="5">
      <t>ユキヒコ</t>
    </rPh>
    <phoneticPr fontId="4"/>
  </si>
  <si>
    <t>土山　慶子</t>
    <rPh sb="0" eb="2">
      <t>ツチヤマ</t>
    </rPh>
    <rPh sb="3" eb="5">
      <t>ケイコ</t>
    </rPh>
    <phoneticPr fontId="4"/>
  </si>
  <si>
    <t>Sticky ultra　light　34　ミルキーピンク</t>
    <phoneticPr fontId="4"/>
  </si>
  <si>
    <t>藤原　知広</t>
    <rPh sb="0" eb="2">
      <t>フジワラ</t>
    </rPh>
    <rPh sb="3" eb="5">
      <t>トモヒロ</t>
    </rPh>
    <phoneticPr fontId="4"/>
  </si>
  <si>
    <t>現金</t>
    <rPh sb="0" eb="2">
      <t>ゲンキン</t>
    </rPh>
    <phoneticPr fontId="4"/>
  </si>
  <si>
    <t>3月分</t>
    <rPh sb="1" eb="2">
      <t>ガツ</t>
    </rPh>
    <rPh sb="2" eb="3">
      <t>ブン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</si>
  <si>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</si>
  <si>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</si>
  <si>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高砂　行彦</t>
    <rPh sb="0" eb="2">
      <t>タカサゴ</t>
    </rPh>
    <rPh sb="3" eb="5">
      <t>ユキヒコ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</si>
  <si>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</si>
  <si>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</si>
  <si>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グローブ</t>
    <phoneticPr fontId="4"/>
  </si>
  <si>
    <t>安東</t>
    <rPh sb="0" eb="2">
      <t>アンドウ</t>
    </rPh>
    <phoneticPr fontId="4"/>
  </si>
  <si>
    <t>武井　淳子</t>
    <rPh sb="0" eb="2">
      <t>タケイ</t>
    </rPh>
    <rPh sb="3" eb="5">
      <t>ジュンコ</t>
    </rPh>
    <phoneticPr fontId="4"/>
  </si>
  <si>
    <t>利用料</t>
    <rPh sb="0" eb="3">
      <t>リヨウリョウ</t>
    </rPh>
    <phoneticPr fontId="4"/>
  </si>
  <si>
    <t>3月分   月会費　ご返金</t>
    <rPh sb="1" eb="3">
      <t>ガツブン</t>
    </rPh>
    <rPh sb="6" eb="7">
      <t>ツキ</t>
    </rPh>
    <rPh sb="7" eb="9">
      <t>カイヒ</t>
    </rPh>
    <rPh sb="11" eb="13">
      <t>ヘンキン</t>
    </rPh>
    <phoneticPr fontId="4"/>
  </si>
  <si>
    <t>松本　悟郎</t>
    <rPh sb="0" eb="2">
      <t>マツモト</t>
    </rPh>
    <rPh sb="3" eb="5">
      <t>ゴロウ</t>
    </rPh>
    <phoneticPr fontId="4"/>
  </si>
  <si>
    <t>白　左右　20cm</t>
    <rPh sb="0" eb="1">
      <t>シロ</t>
    </rPh>
    <rPh sb="2" eb="3">
      <t>ヒダリ</t>
    </rPh>
    <rPh sb="3" eb="4">
      <t>ミギ</t>
    </rPh>
    <phoneticPr fontId="4"/>
  </si>
  <si>
    <t>下坂　輝基</t>
    <rPh sb="0" eb="2">
      <t>シモサカ</t>
    </rPh>
    <rPh sb="3" eb="4">
      <t>テル</t>
    </rPh>
    <rPh sb="4" eb="5">
      <t>モトイ</t>
    </rPh>
    <phoneticPr fontId="4"/>
  </si>
  <si>
    <t>和島</t>
    <rPh sb="0" eb="2">
      <t>ワジマ</t>
    </rPh>
    <phoneticPr fontId="4"/>
  </si>
  <si>
    <t>本社</t>
    <rPh sb="0" eb="2">
      <t>ホンシャ</t>
    </rPh>
    <phoneticPr fontId="4"/>
  </si>
  <si>
    <t>諸岡様　返金分</t>
    <rPh sb="0" eb="3">
      <t>モロオカサマ</t>
    </rPh>
    <rPh sb="4" eb="6">
      <t>ヘンキン</t>
    </rPh>
    <rPh sb="6" eb="7">
      <t>ブン</t>
    </rPh>
    <phoneticPr fontId="4"/>
  </si>
  <si>
    <t>谷川</t>
    <rPh sb="0" eb="2">
      <t>タニガワ</t>
    </rPh>
    <phoneticPr fontId="4"/>
  </si>
  <si>
    <t>川端　一寿</t>
    <rPh sb="0" eb="2">
      <t>カワバタ</t>
    </rPh>
    <rPh sb="3" eb="5">
      <t>カズヒサ</t>
    </rPh>
    <phoneticPr fontId="4"/>
  </si>
  <si>
    <t>谷川</t>
    <rPh sb="0" eb="2">
      <t>タニガワ</t>
    </rPh>
    <phoneticPr fontId="4"/>
  </si>
  <si>
    <t>会員</t>
    <rPh sb="0" eb="2">
      <t>カイイン</t>
    </rPh>
    <phoneticPr fontId="4"/>
  </si>
  <si>
    <t>播磨　久美子</t>
    <rPh sb="0" eb="2">
      <t>ハリマ</t>
    </rPh>
    <rPh sb="3" eb="6">
      <t>クミコ</t>
    </rPh>
    <phoneticPr fontId="4"/>
  </si>
  <si>
    <t>STM</t>
    <phoneticPr fontId="4"/>
  </si>
  <si>
    <t>春馬　凡夫</t>
    <rPh sb="0" eb="2">
      <t>ハルマ</t>
    </rPh>
    <rPh sb="3" eb="4">
      <t>ボン</t>
    </rPh>
    <rPh sb="4" eb="5">
      <t>オット</t>
    </rPh>
    <phoneticPr fontId="4"/>
  </si>
  <si>
    <t>24VENTUS BLUE　5 R</t>
    <phoneticPr fontId="4"/>
  </si>
  <si>
    <t>Putter Grip Mid ミルキーピンク</t>
    <phoneticPr fontId="4"/>
  </si>
  <si>
    <t>DR用　スリーブ</t>
    <rPh sb="2" eb="3">
      <t>ヨウ</t>
    </rPh>
    <phoneticPr fontId="4"/>
  </si>
  <si>
    <t>S-1　プロトタイプ　ﾈｲﾋﾞｰ×ﾎﾜｲﾄ</t>
    <phoneticPr fontId="4"/>
  </si>
  <si>
    <t>レギュラー会員　ご返金分</t>
    <rPh sb="5" eb="7">
      <t>カイイン</t>
    </rPh>
    <rPh sb="9" eb="11">
      <t>ヘンキン</t>
    </rPh>
    <rPh sb="11" eb="12">
      <t>ブン</t>
    </rPh>
    <phoneticPr fontId="4"/>
  </si>
  <si>
    <t>VENTUS BLACK  7S</t>
    <phoneticPr fontId="4"/>
  </si>
  <si>
    <t>谷川</t>
    <rPh sb="0" eb="2">
      <t>タニガワ</t>
    </rPh>
    <phoneticPr fontId="4"/>
  </si>
  <si>
    <t>（←3/12入力）</t>
    <rPh sb="6" eb="8">
      <t>ニュウリョク</t>
    </rPh>
    <phoneticPr fontId="4"/>
  </si>
  <si>
    <t>澤田</t>
    <rPh sb="0" eb="2">
      <t>サワダ</t>
    </rPh>
    <phoneticPr fontId="4"/>
  </si>
  <si>
    <t>SPD NX BLACK 50 S</t>
    <phoneticPr fontId="4"/>
  </si>
  <si>
    <t>上田　恭司</t>
    <rPh sb="0" eb="2">
      <t>ウエダ</t>
    </rPh>
    <rPh sb="3" eb="5">
      <t>ヤスジ</t>
    </rPh>
    <phoneticPr fontId="4"/>
  </si>
  <si>
    <t>前田　實</t>
    <rPh sb="0" eb="2">
      <t>マエダ</t>
    </rPh>
    <rPh sb="3" eb="4">
      <t>ミノル</t>
    </rPh>
    <phoneticPr fontId="4"/>
  </si>
  <si>
    <t>4～6月分</t>
    <rPh sb="3" eb="4">
      <t>ガツ</t>
    </rPh>
    <rPh sb="4" eb="5">
      <t>ブン</t>
    </rPh>
    <phoneticPr fontId="4"/>
  </si>
  <si>
    <t>谷川</t>
    <rPh sb="0" eb="2">
      <t>タニガワ</t>
    </rPh>
    <phoneticPr fontId="4"/>
  </si>
  <si>
    <t>安東</t>
    <rPh sb="0" eb="2">
      <t>アンドウ</t>
    </rPh>
    <phoneticPr fontId="4"/>
  </si>
  <si>
    <t>小西　智之</t>
    <rPh sb="0" eb="2">
      <t>コニシ</t>
    </rPh>
    <rPh sb="3" eb="4">
      <t>トモ</t>
    </rPh>
    <rPh sb="4" eb="5">
      <t>ユキ</t>
    </rPh>
    <phoneticPr fontId="4"/>
  </si>
  <si>
    <t>卜部</t>
    <rPh sb="0" eb="2">
      <t>ウラベ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</si>
  <si>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</si>
  <si>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</si>
  <si>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MIMIC　イエローピンク　1.5BL有</t>
    <rPh sb="19" eb="20">
      <t>アリ</t>
    </rPh>
    <phoneticPr fontId="4"/>
  </si>
  <si>
    <t>井殿</t>
    <rPh sb="0" eb="2">
      <t>イドノ</t>
    </rPh>
    <phoneticPr fontId="4"/>
  </si>
  <si>
    <t>現金</t>
    <rPh sb="0" eb="2">
      <t>ゲンキン</t>
    </rPh>
    <phoneticPr fontId="4"/>
  </si>
  <si>
    <t>永井　健一</t>
    <rPh sb="0" eb="2">
      <t>ナガイ</t>
    </rPh>
    <rPh sb="3" eb="5">
      <t>ケンイチ</t>
    </rPh>
    <phoneticPr fontId="4"/>
  </si>
  <si>
    <t>ビジター</t>
    <phoneticPr fontId="4"/>
  </si>
  <si>
    <t>販売</t>
    <rPh sb="0" eb="2">
      <t>ハンバイ</t>
    </rPh>
    <phoneticPr fontId="4"/>
  </si>
  <si>
    <t>シンカグラファイト</t>
    <phoneticPr fontId="4"/>
  </si>
  <si>
    <t>LEXIA　５S</t>
    <phoneticPr fontId="4"/>
  </si>
  <si>
    <t>ミズノ</t>
    <phoneticPr fontId="4"/>
  </si>
  <si>
    <t>JPX　ONE　10.5°</t>
    <phoneticPr fontId="4"/>
  </si>
  <si>
    <t>会員</t>
    <rPh sb="0" eb="2">
      <t>カイイン</t>
    </rPh>
    <phoneticPr fontId="4"/>
  </si>
  <si>
    <t>現金</t>
    <rPh sb="0" eb="2">
      <t>ゲンキン</t>
    </rPh>
    <phoneticPr fontId="4"/>
  </si>
  <si>
    <t>谷川</t>
    <rPh sb="0" eb="2">
      <t>タニガワ</t>
    </rPh>
    <phoneticPr fontId="4"/>
  </si>
  <si>
    <t>持田　悠</t>
    <rPh sb="0" eb="2">
      <t>モチダ</t>
    </rPh>
    <rPh sb="3" eb="4">
      <t>ユウ</t>
    </rPh>
    <phoneticPr fontId="4"/>
  </si>
  <si>
    <t>4月分　月会費</t>
    <rPh sb="1" eb="3">
      <t>ガツブン</t>
    </rPh>
    <rPh sb="4" eb="5">
      <t>ツキ</t>
    </rPh>
    <rPh sb="5" eb="7">
      <t>カイヒ</t>
    </rPh>
    <phoneticPr fontId="4"/>
  </si>
  <si>
    <t>井殿</t>
    <rPh sb="0" eb="2">
      <t>イドノ</t>
    </rPh>
    <phoneticPr fontId="4"/>
  </si>
  <si>
    <t>X HOLD BLACK HALF CORD ブルー　有</t>
    <rPh sb="27" eb="28">
      <t>アリ</t>
    </rPh>
    <phoneticPr fontId="4"/>
  </si>
  <si>
    <t>会員</t>
    <rPh sb="0" eb="2">
      <t>カイイン</t>
    </rPh>
    <phoneticPr fontId="4"/>
  </si>
  <si>
    <t>2026年3月24日　参加料</t>
    <rPh sb="4" eb="5">
      <t>ネン</t>
    </rPh>
    <rPh sb="6" eb="7">
      <t>ガツ</t>
    </rPh>
    <rPh sb="9" eb="10">
      <t>ニチ</t>
    </rPh>
    <rPh sb="11" eb="14">
      <t>サンカリョウ</t>
    </rPh>
    <phoneticPr fontId="4"/>
  </si>
  <si>
    <t>谷川</t>
    <rPh sb="0" eb="2">
      <t>タニガワ</t>
    </rPh>
    <phoneticPr fontId="4"/>
  </si>
  <si>
    <t>川端　柚茉</t>
    <rPh sb="0" eb="2">
      <t>カワバタ</t>
    </rPh>
    <rPh sb="3" eb="4">
      <t>ユズ</t>
    </rPh>
    <rPh sb="4" eb="5">
      <t>マツ</t>
    </rPh>
    <phoneticPr fontId="4"/>
  </si>
  <si>
    <t>榎本</t>
    <rPh sb="0" eb="2">
      <t>エノモト</t>
    </rPh>
    <phoneticPr fontId="4"/>
  </si>
  <si>
    <t>榎本</t>
    <rPh sb="0" eb="2">
      <t>エノモト</t>
    </rPh>
    <phoneticPr fontId="4"/>
  </si>
  <si>
    <t>販売</t>
    <rPh sb="0" eb="2">
      <t>ハンバイ</t>
    </rPh>
    <phoneticPr fontId="4"/>
  </si>
  <si>
    <t>ダンロップ</t>
    <phoneticPr fontId="4"/>
  </si>
  <si>
    <t>RTZ　MIDグラインド　バウンス10°</t>
    <phoneticPr fontId="4"/>
  </si>
  <si>
    <t>木村　稔</t>
    <rPh sb="0" eb="2">
      <t>キムラ</t>
    </rPh>
    <rPh sb="3" eb="4">
      <t>ミノル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</si>
  <si>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</si>
  <si>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</si>
  <si>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古川</t>
    <rPh sb="0" eb="2">
      <t>フルカワ</t>
    </rPh>
    <phoneticPr fontId="4"/>
  </si>
  <si>
    <t>林 和希</t>
    <rPh sb="0" eb="1">
      <t>ハヤシ</t>
    </rPh>
    <rPh sb="2" eb="4">
      <t>カズキ</t>
    </rPh>
    <phoneticPr fontId="4"/>
  </si>
  <si>
    <t>隅　健太郎</t>
    <rPh sb="0" eb="1">
      <t>スミ</t>
    </rPh>
    <rPh sb="2" eb="5">
      <t>ケンタロウ</t>
    </rPh>
    <phoneticPr fontId="4"/>
  </si>
  <si>
    <t>卜部</t>
    <rPh sb="0" eb="2">
      <t>ウラベ</t>
    </rPh>
    <phoneticPr fontId="4"/>
  </si>
  <si>
    <t>谷川</t>
    <rPh sb="0" eb="2">
      <t>タニガワ</t>
    </rPh>
    <phoneticPr fontId="4"/>
  </si>
  <si>
    <t>丘田　守</t>
    <rPh sb="0" eb="1">
      <t>オカ</t>
    </rPh>
    <rPh sb="1" eb="2">
      <t>タ</t>
    </rPh>
    <rPh sb="3" eb="4">
      <t>マモ</t>
    </rPh>
    <phoneticPr fontId="4"/>
  </si>
  <si>
    <t>吉田　一貴</t>
    <rPh sb="0" eb="2">
      <t>ヨシダ</t>
    </rPh>
    <rPh sb="3" eb="5">
      <t>カズキ</t>
    </rPh>
    <phoneticPr fontId="4"/>
  </si>
  <si>
    <t>三菱ケミカル</t>
    <rPh sb="0" eb="2">
      <t>ミツビシ</t>
    </rPh>
    <phoneticPr fontId="4"/>
  </si>
  <si>
    <t>谷川</t>
    <rPh sb="0" eb="2">
      <t>タニガワ</t>
    </rPh>
    <phoneticPr fontId="4"/>
  </si>
  <si>
    <t>TENSEI PRO BLUE 1K 50S</t>
    <phoneticPr fontId="4"/>
  </si>
  <si>
    <t>LTC iXx 2.3 soft ﾌﾞﾗｯｸ/ﾌﾞﾗｯｸ　無</t>
    <rPh sb="29" eb="30">
      <t>ナシ</t>
    </rPh>
    <phoneticPr fontId="4"/>
  </si>
  <si>
    <t>TENSEI CK PRO ORANGE  50X</t>
    <phoneticPr fontId="4"/>
  </si>
  <si>
    <t>Sticky Evolution 2.3 ﾌﾞﾗｯｸ（無）</t>
    <rPh sb="27" eb="28">
      <t>ナシ</t>
    </rPh>
    <phoneticPr fontId="4"/>
  </si>
  <si>
    <t>村上　慎治</t>
    <rPh sb="0" eb="2">
      <t>ムラカミ</t>
    </rPh>
    <rPh sb="3" eb="5">
      <t>シンジ</t>
    </rPh>
    <phoneticPr fontId="4"/>
  </si>
  <si>
    <t>村田　俊彦</t>
    <rPh sb="0" eb="2">
      <t>ムラタ</t>
    </rPh>
    <rPh sb="3" eb="5">
      <t>トシヒコ</t>
    </rPh>
    <phoneticPr fontId="4"/>
  </si>
  <si>
    <t>TOUR B　JGR　yellow</t>
    <phoneticPr fontId="4"/>
  </si>
  <si>
    <t>山本　鐘徳</t>
    <rPh sb="0" eb="2">
      <t>ヤマモト</t>
    </rPh>
    <rPh sb="3" eb="4">
      <t>ショウ</t>
    </rPh>
    <rPh sb="4" eb="5">
      <t>トク</t>
    </rPh>
    <phoneticPr fontId="4"/>
  </si>
  <si>
    <t>会員</t>
    <rPh sb="0" eb="2">
      <t>カイイン</t>
    </rPh>
    <phoneticPr fontId="4"/>
  </si>
  <si>
    <t>吉川　法生</t>
    <rPh sb="0" eb="2">
      <t>キッカワ</t>
    </rPh>
    <rPh sb="3" eb="4">
      <t>ホウ</t>
    </rPh>
    <rPh sb="4" eb="5">
      <t>セイ</t>
    </rPh>
    <phoneticPr fontId="4"/>
  </si>
  <si>
    <t>黒　白　左右　20cm</t>
    <rPh sb="0" eb="1">
      <t>クロ</t>
    </rPh>
    <rPh sb="2" eb="3">
      <t>シロ</t>
    </rPh>
    <rPh sb="4" eb="6">
      <t>サユウ</t>
    </rPh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</si>
  <si>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</si>
  <si>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</si>
  <si>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宮本　一史</t>
    <rPh sb="0" eb="2">
      <t>ミヤモト</t>
    </rPh>
    <rPh sb="3" eb="5">
      <t>カズフミ</t>
    </rPh>
    <phoneticPr fontId="4"/>
  </si>
  <si>
    <t>S-1　ブラック×オレンジ</t>
    <phoneticPr fontId="4"/>
  </si>
  <si>
    <t>井殿</t>
    <rPh sb="0" eb="2">
      <t>イドノ</t>
    </rPh>
    <phoneticPr fontId="4"/>
  </si>
  <si>
    <t>原田　和哉</t>
    <rPh sb="0" eb="2">
      <t>ハラダ</t>
    </rPh>
    <rPh sb="3" eb="5">
      <t>カズヤ</t>
    </rPh>
    <phoneticPr fontId="4"/>
  </si>
  <si>
    <t>安東</t>
    <rPh sb="0" eb="2">
      <t>アンドウ</t>
    </rPh>
    <phoneticPr fontId="4"/>
  </si>
  <si>
    <t>谷川</t>
    <rPh sb="0" eb="2">
      <t>タニガワ</t>
    </rPh>
    <phoneticPr fontId="4"/>
  </si>
  <si>
    <t>古賀　勉</t>
    <rPh sb="0" eb="2">
      <t>コガ</t>
    </rPh>
    <rPh sb="3" eb="4">
      <t>ツトム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</si>
  <si>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</si>
  <si>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</si>
  <si>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安東</t>
    <rPh sb="0" eb="2">
      <t>アンドウ</t>
    </rPh>
    <phoneticPr fontId="4"/>
  </si>
  <si>
    <t>白　左右　22cm</t>
    <rPh sb="0" eb="1">
      <t>シロ</t>
    </rPh>
    <rPh sb="2" eb="3">
      <t>ヒダリ</t>
    </rPh>
    <rPh sb="3" eb="4">
      <t>ミギ</t>
    </rPh>
    <phoneticPr fontId="4"/>
  </si>
  <si>
    <t>桑門　心</t>
    <rPh sb="0" eb="2">
      <t>クワカド</t>
    </rPh>
    <rPh sb="3" eb="4">
      <t>ココロ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</si>
  <si>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</si>
  <si>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</si>
  <si>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古川</t>
    <rPh sb="0" eb="2">
      <t>フルカワ</t>
    </rPh>
    <phoneticPr fontId="4"/>
  </si>
  <si>
    <t>井殿</t>
    <rPh sb="0" eb="2">
      <t>イドノ</t>
    </rPh>
    <phoneticPr fontId="4"/>
  </si>
  <si>
    <t>卜部</t>
    <rPh sb="0" eb="2">
      <t>ウラベ</t>
    </rPh>
    <phoneticPr fontId="4"/>
  </si>
  <si>
    <t>谷川</t>
    <rPh sb="0" eb="2">
      <t>タニガワ</t>
    </rPh>
    <phoneticPr fontId="4"/>
  </si>
  <si>
    <t>Sticky Evolution 2.3 ﾚﾓﾝｲｴﾛ‐（無）</t>
    <rPh sb="29" eb="30">
      <t>ナシ</t>
    </rPh>
    <phoneticPr fontId="4"/>
  </si>
  <si>
    <t>販売</t>
    <rPh sb="0" eb="2">
      <t>ハンバイ</t>
    </rPh>
    <phoneticPr fontId="4"/>
  </si>
  <si>
    <t>TENSEI　PRO　BLUE　1K　50S</t>
    <phoneticPr fontId="4"/>
  </si>
  <si>
    <t>DRキャロウェイ</t>
    <phoneticPr fontId="4"/>
  </si>
  <si>
    <t>Y360S XT ｼﾙﾊﾞｰﾎﾜｲﾄ (有)</t>
    <rPh sb="20" eb="21">
      <t>アリ</t>
    </rPh>
    <phoneticPr fontId="4"/>
  </si>
  <si>
    <t>Y360S XT ﾍﾞﾙﾘﾅﾌﾞﾗｯｸ (有)</t>
    <rPh sb="21" eb="22">
      <t>アリ</t>
    </rPh>
    <phoneticPr fontId="4"/>
  </si>
  <si>
    <t>Y360S XT ﾍﾞﾙﾘﾅﾌﾞﾗｯｸ (無)</t>
    <rPh sb="21" eb="22">
      <t>ナ</t>
    </rPh>
    <phoneticPr fontId="4"/>
  </si>
  <si>
    <t>Y360S XT ｼﾙﾊﾞｰﾎﾜｲﾄ (無)</t>
    <rPh sb="20" eb="21">
      <t>ナシ</t>
    </rPh>
    <phoneticPr fontId="4"/>
  </si>
  <si>
    <t>Y360S XT ﾏﾘﾝﾌﾞﾙｰ (無)</t>
    <rPh sb="18" eb="19">
      <t>ナ</t>
    </rPh>
    <phoneticPr fontId="4"/>
  </si>
  <si>
    <t>持田　悠</t>
    <rPh sb="0" eb="2">
      <t>モチダ</t>
    </rPh>
    <rPh sb="3" eb="4">
      <t>ユウ</t>
    </rPh>
    <phoneticPr fontId="4"/>
  </si>
  <si>
    <t>販売</t>
    <rPh sb="0" eb="2">
      <t>ハンバイ</t>
    </rPh>
    <phoneticPr fontId="4"/>
  </si>
  <si>
    <t>TENSEI　PRO　BLACK　1K　CORE　50　X</t>
    <phoneticPr fontId="4"/>
  </si>
  <si>
    <t>株式会社ナミコス</t>
    <rPh sb="0" eb="4">
      <t>カブシキガイシャ</t>
    </rPh>
    <phoneticPr fontId="4"/>
  </si>
  <si>
    <t>販売</t>
    <rPh sb="0" eb="2">
      <t>ハンバイ</t>
    </rPh>
    <phoneticPr fontId="4"/>
  </si>
  <si>
    <t>ビジター</t>
    <phoneticPr fontId="4"/>
  </si>
  <si>
    <t>AIR　SPEEDER　白</t>
    <rPh sb="12" eb="13">
      <t>シロ</t>
    </rPh>
    <phoneticPr fontId="4"/>
  </si>
  <si>
    <t>1・2・3・4月分　月会費</t>
    <rPh sb="7" eb="9">
      <t>ガツブン</t>
    </rPh>
    <rPh sb="10" eb="11">
      <t>ツキ</t>
    </rPh>
    <rPh sb="11" eb="13">
      <t>カイヒ</t>
    </rPh>
    <phoneticPr fontId="4"/>
  </si>
  <si>
    <t>木下　健太</t>
    <rPh sb="0" eb="2">
      <t>キノシタ</t>
    </rPh>
    <rPh sb="3" eb="5">
      <t>ケンタ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</si>
  <si>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</si>
  <si>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</si>
  <si>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井殿</t>
    <phoneticPr fontId="4"/>
  </si>
  <si>
    <t>鷺　和俊</t>
    <rPh sb="0" eb="1">
      <t>サギ</t>
    </rPh>
    <rPh sb="2" eb="3">
      <t>カズ</t>
    </rPh>
    <rPh sb="3" eb="4">
      <t>トシ</t>
    </rPh>
    <phoneticPr fontId="4"/>
  </si>
  <si>
    <t>LINEクーポン 500円利用</t>
    <rPh sb="12" eb="13">
      <t>エン</t>
    </rPh>
    <rPh sb="13" eb="15">
      <t>リヨウ</t>
    </rPh>
    <phoneticPr fontId="4"/>
  </si>
  <si>
    <t>白　左　25cm</t>
    <rPh sb="0" eb="1">
      <t>シロ</t>
    </rPh>
    <rPh sb="2" eb="3">
      <t>ヒダリ</t>
    </rPh>
    <phoneticPr fontId="4"/>
  </si>
  <si>
    <t>白　右　24cm</t>
    <rPh sb="0" eb="1">
      <t>シロ</t>
    </rPh>
    <rPh sb="2" eb="3">
      <t>ミギ</t>
    </rPh>
    <phoneticPr fontId="4"/>
  </si>
  <si>
    <t>黒　右　21cm</t>
    <rPh sb="0" eb="1">
      <t>クロ</t>
    </rPh>
    <rPh sb="2" eb="3">
      <t>ミギ</t>
    </rPh>
    <phoneticPr fontId="4"/>
  </si>
  <si>
    <t>USTマミヤ</t>
    <phoneticPr fontId="4"/>
  </si>
  <si>
    <t>ATTAS SPEED　HY F-2</t>
    <phoneticPr fontId="4"/>
  </si>
  <si>
    <t>PING</t>
    <phoneticPr fontId="4"/>
  </si>
  <si>
    <t>G440　UT　#4　23°</t>
    <phoneticPr fontId="4"/>
  </si>
  <si>
    <t>安東</t>
    <rPh sb="0" eb="2">
      <t>アンドウ</t>
    </rPh>
    <phoneticPr fontId="4"/>
  </si>
  <si>
    <t>喜田　徹</t>
    <rPh sb="0" eb="2">
      <t>キダ</t>
    </rPh>
    <rPh sb="3" eb="4">
      <t>トオル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</si>
  <si>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</si>
  <si>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</si>
  <si>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X HOLD BLACK RUBBER HC　BLUE</t>
    <phoneticPr fontId="4"/>
  </si>
  <si>
    <t>古川</t>
    <rPh sb="0" eb="2">
      <t>フルカワ</t>
    </rPh>
    <phoneticPr fontId="4"/>
  </si>
  <si>
    <t>上杉　光一</t>
    <rPh sb="0" eb="2">
      <t>ウエスギ</t>
    </rPh>
    <rPh sb="3" eb="5">
      <t>コウイチ</t>
    </rPh>
    <phoneticPr fontId="4"/>
  </si>
  <si>
    <t>井殿</t>
    <rPh sb="0" eb="2">
      <t>イドノ</t>
    </rPh>
    <phoneticPr fontId="4"/>
  </si>
  <si>
    <t>北　秀実</t>
    <rPh sb="0" eb="1">
      <t>キタ</t>
    </rPh>
    <rPh sb="2" eb="4">
      <t>ヒデミ</t>
    </rPh>
    <phoneticPr fontId="4"/>
  </si>
  <si>
    <t>岩見　真一郎</t>
    <rPh sb="0" eb="2">
      <t>イワミ</t>
    </rPh>
    <rPh sb="3" eb="6">
      <t>シンイチロウ</t>
    </rPh>
    <phoneticPr fontId="4"/>
  </si>
  <si>
    <t>110分(会員)</t>
    <rPh sb="3" eb="4">
      <t>フン</t>
    </rPh>
    <rPh sb="5" eb="7">
      <t>カイイン</t>
    </rPh>
    <phoneticPr fontId="4"/>
  </si>
  <si>
    <t>工賃</t>
    <rPh sb="0" eb="2">
      <t>コウチン</t>
    </rPh>
    <phoneticPr fontId="4"/>
  </si>
  <si>
    <t>延安　伸二</t>
    <rPh sb="0" eb="2">
      <t>ノブヤス</t>
    </rPh>
    <rPh sb="3" eb="5">
      <t>シンジ</t>
    </rPh>
    <phoneticPr fontId="4"/>
  </si>
  <si>
    <t>グリップ装着</t>
    <rPh sb="4" eb="6">
      <t>ソウチャク</t>
    </rPh>
    <phoneticPr fontId="4"/>
  </si>
  <si>
    <t>春馬</t>
    <rPh sb="0" eb="2">
      <t>ハルマ</t>
    </rPh>
    <phoneticPr fontId="4"/>
  </si>
  <si>
    <t>販売</t>
    <rPh sb="0" eb="2">
      <t>ハンバイ</t>
    </rPh>
    <phoneticPr fontId="4"/>
  </si>
  <si>
    <t>ARCH</t>
    <phoneticPr fontId="4"/>
  </si>
  <si>
    <t>CELESTO　24</t>
    <phoneticPr fontId="4"/>
  </si>
  <si>
    <t>井殿</t>
    <rPh sb="0" eb="2">
      <t>イドノ</t>
    </rPh>
    <phoneticPr fontId="4"/>
  </si>
  <si>
    <t>X HOLD RUBBER　ﾌﾞﾗｯｸ　無</t>
    <rPh sb="20" eb="21">
      <t>ナシ</t>
    </rPh>
    <phoneticPr fontId="4"/>
  </si>
  <si>
    <t>工賃</t>
    <rPh sb="0" eb="2">
      <t>コウチン</t>
    </rPh>
    <phoneticPr fontId="4"/>
  </si>
  <si>
    <t>谷川</t>
    <rPh sb="0" eb="2">
      <t>タニガワ</t>
    </rPh>
    <phoneticPr fontId="4"/>
  </si>
  <si>
    <t>浅尾　和子</t>
    <rPh sb="0" eb="2">
      <t>アサオ</t>
    </rPh>
    <rPh sb="3" eb="5">
      <t>カズコ</t>
    </rPh>
    <phoneticPr fontId="4"/>
  </si>
  <si>
    <t>ATTAS SPEED DR F-1</t>
    <phoneticPr fontId="4"/>
  </si>
  <si>
    <t>春馬</t>
    <rPh sb="0" eb="2">
      <t>ハルマ</t>
    </rPh>
    <phoneticPr fontId="4"/>
  </si>
  <si>
    <t>安東</t>
    <rPh sb="0" eb="2">
      <t>アンドウ</t>
    </rPh>
    <phoneticPr fontId="4"/>
  </si>
  <si>
    <t>TOUR BX</t>
    <phoneticPr fontId="4"/>
  </si>
  <si>
    <t>DR DIAMOND SPEEDER ３ R</t>
    <phoneticPr fontId="4"/>
  </si>
  <si>
    <t>FW DIAMOND SPEEDER 4 R</t>
    <phoneticPr fontId="4"/>
  </si>
  <si>
    <t xml:space="preserve">法人　１か月 </t>
    <rPh sb="0" eb="2">
      <t>ホウジン</t>
    </rPh>
    <rPh sb="5" eb="6">
      <t>ゲツ</t>
    </rPh>
    <phoneticPr fontId="4"/>
  </si>
  <si>
    <t>5・6月分　月会費</t>
    <rPh sb="3" eb="5">
      <t>ガツブン</t>
    </rPh>
    <rPh sb="6" eb="7">
      <t>ツキ</t>
    </rPh>
    <rPh sb="7" eb="9">
      <t>カイヒ</t>
    </rPh>
    <phoneticPr fontId="4"/>
  </si>
  <si>
    <t>岩本建設株式会社</t>
    <rPh sb="0" eb="4">
      <t>イワモトケンセツ</t>
    </rPh>
    <rPh sb="4" eb="8">
      <t>カブシキガイシャ</t>
    </rPh>
    <phoneticPr fontId="4"/>
  </si>
  <si>
    <t>工賃</t>
    <rPh sb="0" eb="2">
      <t>コウチン</t>
    </rPh>
    <phoneticPr fontId="4"/>
  </si>
  <si>
    <t>ix touch 2.0 スカイブルー　有</t>
    <rPh sb="20" eb="21">
      <t>アリ</t>
    </rPh>
    <phoneticPr fontId="4"/>
  </si>
  <si>
    <t>谷川</t>
    <rPh sb="0" eb="2">
      <t>タニガワ</t>
    </rPh>
    <phoneticPr fontId="4"/>
  </si>
  <si>
    <t>古川</t>
    <rPh sb="0" eb="2">
      <t>フルカワ</t>
    </rPh>
    <phoneticPr fontId="4"/>
  </si>
  <si>
    <t>4月分　マスター差額</t>
    <rPh sb="1" eb="2">
      <t>ガツ</t>
    </rPh>
    <rPh sb="2" eb="3">
      <t>ブン</t>
    </rPh>
    <rPh sb="8" eb="10">
      <t>サガク</t>
    </rPh>
    <phoneticPr fontId="4"/>
  </si>
  <si>
    <t>モーダス３　4～W</t>
    <phoneticPr fontId="4"/>
  </si>
  <si>
    <t>MCC TEAMS スタンダード ﾌﾞﾗｯｸ/ｺﾞｰﾙﾄﾞ</t>
    <phoneticPr fontId="4"/>
  </si>
  <si>
    <t>会員</t>
    <rPh sb="0" eb="2">
      <t>カイイン</t>
    </rPh>
    <phoneticPr fontId="4"/>
  </si>
  <si>
    <t>工賃</t>
    <rPh sb="0" eb="2">
      <t>コウチン</t>
    </rPh>
    <phoneticPr fontId="4"/>
  </si>
  <si>
    <t>グリップ装着</t>
    <rPh sb="4" eb="6">
      <t>ソウチャク</t>
    </rPh>
    <phoneticPr fontId="4"/>
  </si>
  <si>
    <t>現金</t>
    <rPh sb="0" eb="2">
      <t>ゲンキン</t>
    </rPh>
    <phoneticPr fontId="4"/>
  </si>
  <si>
    <t>福原</t>
    <rPh sb="0" eb="2">
      <t>フクハラ</t>
    </rPh>
    <phoneticPr fontId="4"/>
  </si>
  <si>
    <t>春馬</t>
    <rPh sb="0" eb="2">
      <t>ハルマ</t>
    </rPh>
    <phoneticPr fontId="4"/>
  </si>
  <si>
    <t>古川　武志</t>
    <rPh sb="0" eb="2">
      <t>フルカワ</t>
    </rPh>
    <rPh sb="3" eb="4">
      <t>タケシ</t>
    </rPh>
    <rPh sb="4" eb="5">
      <t>ココロザシ</t>
    </rPh>
    <phoneticPr fontId="4"/>
  </si>
  <si>
    <t>販売</t>
    <rPh sb="0" eb="2">
      <t>ハンバイ</t>
    </rPh>
    <phoneticPr fontId="4"/>
  </si>
  <si>
    <t>X HOLD BLACK HALF CORD　ｽｶｲﾌﾞﾙｰ (有)</t>
    <rPh sb="32" eb="33">
      <t>アリ</t>
    </rPh>
    <phoneticPr fontId="4"/>
  </si>
  <si>
    <t>岩佐　識</t>
    <rPh sb="0" eb="2">
      <t>イワサ</t>
    </rPh>
    <rPh sb="3" eb="4">
      <t>シキ</t>
    </rPh>
    <phoneticPr fontId="4"/>
  </si>
  <si>
    <t>中川　陽菜乃</t>
    <rPh sb="0" eb="2">
      <t>ナカガワ</t>
    </rPh>
    <rPh sb="3" eb="4">
      <t>ヨウ</t>
    </rPh>
    <rPh sb="4" eb="5">
      <t>ナ</t>
    </rPh>
    <rPh sb="5" eb="6">
      <t>ノ</t>
    </rPh>
    <phoneticPr fontId="4"/>
  </si>
  <si>
    <t>レギュラー家族割　0.5か月</t>
    <rPh sb="5" eb="8">
      <t>カゾクワリ</t>
    </rPh>
    <rPh sb="13" eb="14">
      <t>ゲツ</t>
    </rPh>
    <phoneticPr fontId="4"/>
  </si>
  <si>
    <t>谷川</t>
    <rPh sb="0" eb="2">
      <t>タニガワ</t>
    </rPh>
    <phoneticPr fontId="4"/>
  </si>
  <si>
    <t>山本　伸次</t>
    <rPh sb="0" eb="2">
      <t>ヤマモト</t>
    </rPh>
    <rPh sb="3" eb="4">
      <t>ノブ</t>
    </rPh>
    <rPh sb="4" eb="5">
      <t>ジ</t>
    </rPh>
    <phoneticPr fontId="4"/>
  </si>
  <si>
    <t>古川</t>
    <rPh sb="0" eb="2">
      <t>フルカワ</t>
    </rPh>
    <phoneticPr fontId="4"/>
  </si>
  <si>
    <t>鬼塚　隆志</t>
    <rPh sb="0" eb="2">
      <t>オニツカ</t>
    </rPh>
    <rPh sb="3" eb="4">
      <t>タカシ</t>
    </rPh>
    <rPh sb="4" eb="5">
      <t>シ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</si>
  <si>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</si>
  <si>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</si>
  <si>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スティングレー　M60　ブラック　無</t>
    <rPh sb="17" eb="18">
      <t>ナシ</t>
    </rPh>
    <phoneticPr fontId="4"/>
  </si>
  <si>
    <t>中野　じろう</t>
    <rPh sb="0" eb="2">
      <t>ナカノ</t>
    </rPh>
    <phoneticPr fontId="4"/>
  </si>
  <si>
    <t>Natural　9　CELESTE　26</t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</si>
  <si>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</si>
  <si>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</si>
  <si>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野原　彰展</t>
    <rPh sb="0" eb="2">
      <t>ノハラ</t>
    </rPh>
    <rPh sb="3" eb="4">
      <t>アキラ</t>
    </rPh>
    <rPh sb="4" eb="5">
      <t>テン</t>
    </rPh>
    <phoneticPr fontId="4"/>
  </si>
  <si>
    <t>5~7月分</t>
    <rPh sb="3" eb="5">
      <t>ガツブン</t>
    </rPh>
    <phoneticPr fontId="4"/>
  </si>
  <si>
    <t>G440　スリーブ</t>
    <phoneticPr fontId="4"/>
  </si>
  <si>
    <t>安東</t>
    <rPh sb="0" eb="2">
      <t>アンドウ</t>
    </rPh>
    <phoneticPr fontId="4"/>
  </si>
  <si>
    <t>北　秀実</t>
    <rPh sb="0" eb="1">
      <t>キタ</t>
    </rPh>
    <rPh sb="2" eb="4">
      <t>ヒデミ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</si>
  <si>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</si>
  <si>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</si>
  <si>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日本シャフト</t>
    <rPh sb="0" eb="2">
      <t>ニホン</t>
    </rPh>
    <phoneticPr fontId="4"/>
  </si>
  <si>
    <t>現金</t>
    <rPh sb="0" eb="2">
      <t>ゲンキン</t>
    </rPh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</si>
  <si>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</si>
  <si>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</si>
  <si>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工賃</t>
    <rPh sb="0" eb="2">
      <t>コウチン</t>
    </rPh>
    <phoneticPr fontId="4"/>
  </si>
  <si>
    <t>２重払いか確認依頼済</t>
    <rPh sb="1" eb="3">
      <t>ジュウバラ</t>
    </rPh>
    <rPh sb="5" eb="7">
      <t>カクニン</t>
    </rPh>
    <rPh sb="7" eb="9">
      <t>イライ</t>
    </rPh>
    <rPh sb="9" eb="10">
      <t>スミ</t>
    </rPh>
    <phoneticPr fontId="4"/>
  </si>
  <si>
    <t>シャフト抜き（アイアン）</t>
    <rPh sb="4" eb="5">
      <t>ヌ</t>
    </rPh>
    <phoneticPr fontId="4"/>
  </si>
  <si>
    <t>モーダス3　105　ｓ　37インチ</t>
    <phoneticPr fontId="4"/>
  </si>
  <si>
    <t>谷川</t>
    <rPh sb="0" eb="2">
      <t>タニガワ</t>
    </rPh>
    <phoneticPr fontId="4"/>
  </si>
  <si>
    <t>加藤　祐司</t>
    <rPh sb="0" eb="2">
      <t>カトウ</t>
    </rPh>
    <rPh sb="3" eb="5">
      <t>ユウジ</t>
    </rPh>
    <phoneticPr fontId="4"/>
  </si>
  <si>
    <t>スリーブ交換</t>
    <rPh sb="4" eb="6">
      <t>コウカン</t>
    </rPh>
    <phoneticPr fontId="4"/>
  </si>
  <si>
    <t>現金</t>
    <rPh sb="0" eb="2">
      <t>ゲンキン</t>
    </rPh>
    <phoneticPr fontId="4"/>
  </si>
  <si>
    <t>安東</t>
    <rPh sb="0" eb="2">
      <t>アンドウ</t>
    </rPh>
    <phoneticPr fontId="4"/>
  </si>
  <si>
    <t>販売</t>
    <rPh sb="0" eb="2">
      <t>ハンバイ</t>
    </rPh>
    <phoneticPr fontId="4"/>
  </si>
  <si>
    <t>春馬</t>
    <rPh sb="0" eb="2">
      <t>ハルマ</t>
    </rPh>
    <phoneticPr fontId="4"/>
  </si>
  <si>
    <t>城根　誠</t>
    <rPh sb="0" eb="1">
      <t>シロ</t>
    </rPh>
    <rPh sb="1" eb="2">
      <t>ネ</t>
    </rPh>
    <rPh sb="3" eb="4">
      <t>マコト</t>
    </rPh>
    <phoneticPr fontId="4"/>
  </si>
  <si>
    <t>DIAMOND SPEEDER 5 S</t>
    <phoneticPr fontId="4"/>
  </si>
  <si>
    <t>販売</t>
    <rPh sb="0" eb="2">
      <t>ハンバイ</t>
    </rPh>
    <phoneticPr fontId="4"/>
  </si>
  <si>
    <t>工賃</t>
    <rPh sb="0" eb="2">
      <t>コウチン</t>
    </rPh>
    <phoneticPr fontId="4"/>
  </si>
  <si>
    <t>KBS</t>
    <phoneticPr fontId="4"/>
  </si>
  <si>
    <t>古川</t>
    <rPh sb="0" eb="2">
      <t>フルカワ</t>
    </rPh>
    <phoneticPr fontId="4"/>
  </si>
  <si>
    <t>榎本プロ</t>
    <rPh sb="0" eb="2">
      <t>エノモト</t>
    </rPh>
    <phoneticPr fontId="4"/>
  </si>
  <si>
    <t xml:space="preserve">tour velvet </t>
    <phoneticPr fontId="4"/>
  </si>
  <si>
    <t>シャフト交換（アイアン）</t>
    <rPh sb="4" eb="6">
      <t>コウカン</t>
    </rPh>
    <phoneticPr fontId="4"/>
  </si>
  <si>
    <t>榎本</t>
    <rPh sb="0" eb="2">
      <t>エノモト</t>
    </rPh>
    <phoneticPr fontId="4"/>
  </si>
  <si>
    <t>谷川</t>
    <rPh sb="0" eb="2">
      <t>タニガワ</t>
    </rPh>
    <phoneticPr fontId="4"/>
  </si>
  <si>
    <t>TOUR C テーパー</t>
    <phoneticPr fontId="4"/>
  </si>
  <si>
    <t>古川</t>
    <rPh sb="0" eb="2">
      <t>フルカワ</t>
    </rPh>
    <phoneticPr fontId="4"/>
  </si>
  <si>
    <t>川端　一寿</t>
    <rPh sb="0" eb="2">
      <t>カワバタ</t>
    </rPh>
    <rPh sb="3" eb="5">
      <t>カズヒサ</t>
    </rPh>
    <phoneticPr fontId="4"/>
  </si>
  <si>
    <t>会員</t>
    <rPh sb="0" eb="2">
      <t>カイイン</t>
    </rPh>
    <phoneticPr fontId="4"/>
  </si>
  <si>
    <t>植竹　昌人</t>
    <rPh sb="0" eb="2">
      <t>ウエタケ</t>
    </rPh>
    <rPh sb="3" eb="4">
      <t>マサ</t>
    </rPh>
    <rPh sb="4" eb="5">
      <t>ヒト</t>
    </rPh>
    <phoneticPr fontId="4"/>
  </si>
  <si>
    <t>松﨑　正弘</t>
    <rPh sb="0" eb="2">
      <t>マツザキ</t>
    </rPh>
    <rPh sb="3" eb="5">
      <t>マサヒロ</t>
    </rPh>
    <phoneticPr fontId="4"/>
  </si>
  <si>
    <t>5月分　月会費</t>
    <rPh sb="1" eb="3">
      <t>ガツブン</t>
    </rPh>
    <rPh sb="4" eb="5">
      <t>ツキ</t>
    </rPh>
    <rPh sb="5" eb="7">
      <t>カイヒ</t>
    </rPh>
    <phoneticPr fontId="4"/>
  </si>
  <si>
    <t>川原　博文</t>
    <rPh sb="0" eb="2">
      <t>カワハラ</t>
    </rPh>
    <rPh sb="3" eb="5">
      <t>ヒロフミ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</si>
  <si>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</si>
  <si>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</si>
  <si>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工賃</t>
    <rPh sb="0" eb="2">
      <t>コウチン</t>
    </rPh>
    <phoneticPr fontId="4"/>
  </si>
  <si>
    <t>グリップ装着</t>
    <rPh sb="4" eb="6">
      <t>ソウチャク</t>
    </rPh>
    <phoneticPr fontId="4"/>
  </si>
  <si>
    <t>福原</t>
    <rPh sb="0" eb="2">
      <t>フクハラ</t>
    </rPh>
    <phoneticPr fontId="4"/>
  </si>
  <si>
    <t>春馬</t>
    <rPh sb="0" eb="2">
      <t>ハルマ</t>
    </rPh>
    <phoneticPr fontId="4"/>
  </si>
  <si>
    <t>会員</t>
    <rPh sb="0" eb="2">
      <t>カイイン</t>
    </rPh>
    <phoneticPr fontId="4"/>
  </si>
  <si>
    <t>利用料</t>
    <rPh sb="0" eb="3">
      <t>リヨウリョウ</t>
    </rPh>
    <phoneticPr fontId="4"/>
  </si>
  <si>
    <t>打席利用</t>
    <rPh sb="0" eb="2">
      <t>ダセキ</t>
    </rPh>
    <rPh sb="2" eb="4">
      <t>リヨウ</t>
    </rPh>
    <phoneticPr fontId="4"/>
  </si>
  <si>
    <t>現金</t>
    <rPh sb="0" eb="2">
      <t>ゲンキン</t>
    </rPh>
    <phoneticPr fontId="4"/>
  </si>
  <si>
    <t>安東</t>
    <rPh sb="0" eb="2">
      <t>アンドウ</t>
    </rPh>
    <phoneticPr fontId="4"/>
  </si>
  <si>
    <t>販売</t>
    <rPh sb="0" eb="2">
      <t>ハンバイ</t>
    </rPh>
    <phoneticPr fontId="4"/>
  </si>
  <si>
    <t>グリップ</t>
    <phoneticPr fontId="4"/>
  </si>
  <si>
    <t>Putter Grip Regular ﾌﾞﾗｯｸ</t>
    <phoneticPr fontId="22"/>
  </si>
  <si>
    <t>間所　伸央</t>
    <rPh sb="0" eb="2">
      <t>マドコロ</t>
    </rPh>
    <rPh sb="3" eb="4">
      <t>ノブ</t>
    </rPh>
    <rPh sb="4" eb="5">
      <t>オウ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</si>
  <si>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</si>
  <si>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</si>
  <si>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白　右　22cm</t>
    <rPh sb="0" eb="1">
      <t>シロ</t>
    </rPh>
    <rPh sb="2" eb="3">
      <t>ミギ</t>
    </rPh>
    <phoneticPr fontId="4"/>
  </si>
  <si>
    <t>会員</t>
    <rPh sb="0" eb="2">
      <t>カイイン</t>
    </rPh>
    <phoneticPr fontId="4"/>
  </si>
  <si>
    <t>安東</t>
    <rPh sb="0" eb="2">
      <t>アンドウ</t>
    </rPh>
    <phoneticPr fontId="4"/>
  </si>
  <si>
    <t>Y360S XT ﾏﾘﾝﾌﾞﾙｰ (有)</t>
    <rPh sb="18" eb="19">
      <t>アリ</t>
    </rPh>
    <phoneticPr fontId="4"/>
  </si>
  <si>
    <t>加藤　玲明</t>
    <rPh sb="0" eb="2">
      <t>カトウ</t>
    </rPh>
    <rPh sb="3" eb="4">
      <t>レイ</t>
    </rPh>
    <rPh sb="4" eb="5">
      <t>メイ</t>
    </rPh>
    <phoneticPr fontId="4"/>
  </si>
  <si>
    <t>販売</t>
    <rPh sb="0" eb="2">
      <t>ハンバイ</t>
    </rPh>
    <phoneticPr fontId="4"/>
  </si>
  <si>
    <t>工賃</t>
    <rPh sb="0" eb="2">
      <t>コウチン</t>
    </rPh>
    <phoneticPr fontId="4"/>
  </si>
  <si>
    <t>北　秀実</t>
    <rPh sb="0" eb="1">
      <t>キタ</t>
    </rPh>
    <rPh sb="2" eb="4">
      <t>ヒデミ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</si>
  <si>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</si>
  <si>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</si>
  <si>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TOUR　AD　HY　7　S</t>
    <phoneticPr fontId="4"/>
  </si>
  <si>
    <t>工賃</t>
    <rPh sb="0" eb="2">
      <t>コウチン</t>
    </rPh>
    <phoneticPr fontId="4"/>
  </si>
  <si>
    <t>三浦　大輔</t>
    <rPh sb="0" eb="2">
      <t>ミウラ</t>
    </rPh>
    <rPh sb="3" eb="5">
      <t>ダイスケ</t>
    </rPh>
    <phoneticPr fontId="4"/>
  </si>
  <si>
    <t>フジクラ</t>
    <phoneticPr fontId="4"/>
  </si>
  <si>
    <t>シャフト</t>
    <phoneticPr fontId="4"/>
  </si>
  <si>
    <t>DR VENTUS TR RD 5 R</t>
    <phoneticPr fontId="4"/>
  </si>
  <si>
    <t>UT VENTUS HB BLUE 7S/8S</t>
    <phoneticPr fontId="4"/>
  </si>
  <si>
    <t>PING</t>
    <phoneticPr fontId="4"/>
  </si>
  <si>
    <t>G440　#3 20°/ #4 23°</t>
    <phoneticPr fontId="4"/>
  </si>
  <si>
    <t>クラブ</t>
    <phoneticPr fontId="4"/>
  </si>
  <si>
    <t>sticky 1.8 Standard 有</t>
    <rPh sb="20" eb="21">
      <t>アリ</t>
    </rPh>
    <phoneticPr fontId="4"/>
  </si>
  <si>
    <t>sticky 1.8 Standard 無</t>
    <rPh sb="20" eb="21">
      <t>ナシ</t>
    </rPh>
    <phoneticPr fontId="4"/>
  </si>
  <si>
    <t>江上　敦哉</t>
    <rPh sb="0" eb="2">
      <t>エガミ</t>
    </rPh>
    <rPh sb="3" eb="4">
      <t>アツ</t>
    </rPh>
    <rPh sb="4" eb="5">
      <t>ヤ</t>
    </rPh>
    <phoneticPr fontId="4"/>
  </si>
  <si>
    <t>販売</t>
    <rPh sb="0" eb="2">
      <t>ハンバイ</t>
    </rPh>
    <phoneticPr fontId="4"/>
  </si>
  <si>
    <t>VENTUS BLACK 6 60X</t>
    <phoneticPr fontId="4"/>
  </si>
  <si>
    <t>4/6　銀行振込</t>
    <rPh sb="4" eb="8">
      <t>ギンコウフリコミ</t>
    </rPh>
    <phoneticPr fontId="4"/>
  </si>
  <si>
    <t>古川</t>
    <rPh sb="0" eb="2">
      <t>フルカワ</t>
    </rPh>
    <phoneticPr fontId="4"/>
  </si>
  <si>
    <t>会員</t>
    <rPh sb="0" eb="2">
      <t>カイイン</t>
    </rPh>
    <phoneticPr fontId="4"/>
  </si>
  <si>
    <t>安東</t>
    <rPh sb="0" eb="2">
      <t>アンドウ</t>
    </rPh>
    <phoneticPr fontId="4"/>
  </si>
  <si>
    <t>販売</t>
    <rPh sb="0" eb="2">
      <t>ハンバイ</t>
    </rPh>
    <phoneticPr fontId="4"/>
  </si>
  <si>
    <t>福原　大輔</t>
    <rPh sb="0" eb="2">
      <t>フクハラ</t>
    </rPh>
    <rPh sb="3" eb="5">
      <t>ダイスケ</t>
    </rPh>
    <phoneticPr fontId="4"/>
  </si>
  <si>
    <t>スタッフ</t>
    <phoneticPr fontId="4"/>
  </si>
  <si>
    <t>販売</t>
    <rPh sb="0" eb="2">
      <t>ハンバイ</t>
    </rPh>
    <phoneticPr fontId="4"/>
  </si>
  <si>
    <t>6~8月分</t>
    <rPh sb="3" eb="5">
      <t>ガツブン</t>
    </rPh>
    <phoneticPr fontId="4"/>
  </si>
  <si>
    <t>Y360ｓ Ｍ58 ﾏﾘﾝﾌﾞﾙｰ 有</t>
    <rPh sb="18" eb="19">
      <t>アリ</t>
    </rPh>
    <phoneticPr fontId="4"/>
  </si>
  <si>
    <t>Y360ｓ Ｍ58 ﾌﾞﾗｯｸ 無</t>
    <rPh sb="16" eb="17">
      <t>ナシ</t>
    </rPh>
    <phoneticPr fontId="4"/>
  </si>
  <si>
    <t>スリーブ交換</t>
    <rPh sb="4" eb="6">
      <t>コウカン</t>
    </rPh>
    <phoneticPr fontId="4"/>
  </si>
  <si>
    <t>会員</t>
    <rPh sb="0" eb="2">
      <t>カイイン</t>
    </rPh>
    <phoneticPr fontId="4"/>
  </si>
  <si>
    <t>現金</t>
    <rPh sb="0" eb="2">
      <t>ゲンキン</t>
    </rPh>
    <phoneticPr fontId="4"/>
  </si>
  <si>
    <t>喜田　徹</t>
    <rPh sb="0" eb="2">
      <t>キダ</t>
    </rPh>
    <rPh sb="3" eb="4">
      <t>トオル</t>
    </rPh>
    <phoneticPr fontId="4"/>
  </si>
  <si>
    <t>工賃</t>
    <rPh sb="0" eb="2">
      <t>コウチン</t>
    </rPh>
    <phoneticPr fontId="4"/>
  </si>
  <si>
    <t>スリーブ交換</t>
    <rPh sb="4" eb="6">
      <t>コウカン</t>
    </rPh>
    <phoneticPr fontId="4"/>
  </si>
  <si>
    <t>シャフトカット</t>
    <phoneticPr fontId="4"/>
  </si>
  <si>
    <t>森　忠明</t>
    <rPh sb="0" eb="1">
      <t>モリ</t>
    </rPh>
    <rPh sb="2" eb="4">
      <t>タダアキ</t>
    </rPh>
    <phoneticPr fontId="4"/>
  </si>
  <si>
    <t>稲垣　康治</t>
    <rPh sb="0" eb="2">
      <t>イナガキ</t>
    </rPh>
    <rPh sb="3" eb="4">
      <t>ヤス</t>
    </rPh>
    <rPh sb="4" eb="5">
      <t>ジ</t>
    </rPh>
    <phoneticPr fontId="4"/>
  </si>
  <si>
    <t>2026年４月28日　参加料</t>
    <rPh sb="4" eb="5">
      <t>ネン</t>
    </rPh>
    <rPh sb="6" eb="7">
      <t>ガツ</t>
    </rPh>
    <rPh sb="9" eb="10">
      <t>ニチ</t>
    </rPh>
    <rPh sb="11" eb="14">
      <t>サンカリョウ</t>
    </rPh>
    <phoneticPr fontId="4"/>
  </si>
  <si>
    <t>会員</t>
    <rPh sb="0" eb="2">
      <t>カイイン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</si>
  <si>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</si>
  <si>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</si>
  <si>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NEWTON</t>
    <phoneticPr fontId="4"/>
  </si>
  <si>
    <t>NEWTON　MOTION 6</t>
    <phoneticPr fontId="4"/>
  </si>
  <si>
    <t>三菱ケミカル</t>
    <rPh sb="0" eb="2">
      <t>ミツビシ</t>
    </rPh>
    <phoneticPr fontId="4"/>
  </si>
  <si>
    <t>OT　TOUR　Hybrid　ｈ100X</t>
    <phoneticPr fontId="4"/>
  </si>
  <si>
    <t>山本　伸次</t>
    <rPh sb="0" eb="2">
      <t>ヤマモト</t>
    </rPh>
    <rPh sb="3" eb="5">
      <t>シンジ</t>
    </rPh>
    <phoneticPr fontId="4"/>
  </si>
  <si>
    <t>クラブ</t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</si>
  <si>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</si>
  <si>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</si>
  <si>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現金</t>
    <rPh sb="0" eb="2">
      <t>ゲンキン</t>
    </rPh>
    <phoneticPr fontId="4"/>
  </si>
  <si>
    <t>工賃</t>
    <rPh sb="0" eb="2">
      <t>コウチン</t>
    </rPh>
    <phoneticPr fontId="4"/>
  </si>
  <si>
    <t>グリップ交換</t>
    <rPh sb="4" eb="6">
      <t>コウカン</t>
    </rPh>
    <phoneticPr fontId="4"/>
  </si>
  <si>
    <t>永田　明美</t>
    <rPh sb="0" eb="2">
      <t>ナガタ</t>
    </rPh>
    <rPh sb="3" eb="5">
      <t>アケミ</t>
    </rPh>
    <phoneticPr fontId="4"/>
  </si>
  <si>
    <t>グリップ</t>
    <phoneticPr fontId="4"/>
  </si>
  <si>
    <t>グリップ交換</t>
    <rPh sb="4" eb="6">
      <t>コウカン</t>
    </rPh>
    <phoneticPr fontId="4"/>
  </si>
  <si>
    <t>mimic　ビビットピンクホワイト　1.5　BL有</t>
    <rPh sb="24" eb="25">
      <t>アリ</t>
    </rPh>
    <phoneticPr fontId="4"/>
  </si>
  <si>
    <t>販売</t>
    <rPh sb="0" eb="2">
      <t>ハンバイ</t>
    </rPh>
    <phoneticPr fontId="4"/>
  </si>
  <si>
    <t>工賃</t>
    <rPh sb="0" eb="2">
      <t>コウチン</t>
    </rPh>
    <phoneticPr fontId="4"/>
  </si>
  <si>
    <t>グリップ</t>
    <phoneticPr fontId="4"/>
  </si>
  <si>
    <t>その他</t>
    <rPh sb="2" eb="3">
      <t>タ</t>
    </rPh>
    <phoneticPr fontId="4"/>
  </si>
  <si>
    <t>ix touch 2.0 ﾌﾞﾗｯｸ×ｼﾙﾊﾞｰ　有</t>
    <rPh sb="25" eb="26">
      <t>アリ</t>
    </rPh>
    <phoneticPr fontId="4"/>
  </si>
  <si>
    <t>会員</t>
    <rPh sb="0" eb="2">
      <t>カイイン</t>
    </rPh>
    <phoneticPr fontId="4"/>
  </si>
  <si>
    <t>工賃</t>
    <rPh sb="0" eb="2">
      <t>コウチン</t>
    </rPh>
    <phoneticPr fontId="4"/>
  </si>
  <si>
    <t>田中　浩</t>
    <rPh sb="0" eb="2">
      <t>タナカ</t>
    </rPh>
    <rPh sb="3" eb="4">
      <t>ヒロシ</t>
    </rPh>
    <phoneticPr fontId="4"/>
  </si>
  <si>
    <t>販売</t>
    <rPh sb="0" eb="2">
      <t>ハンバイ</t>
    </rPh>
    <phoneticPr fontId="4"/>
  </si>
  <si>
    <t>グリップ</t>
    <phoneticPr fontId="4"/>
  </si>
  <si>
    <t>Airペイ</t>
    <phoneticPr fontId="4"/>
  </si>
  <si>
    <t>工賃</t>
    <rPh sb="0" eb="2">
      <t>コウチン</t>
    </rPh>
    <phoneticPr fontId="4"/>
  </si>
  <si>
    <t>グリップ交換</t>
    <rPh sb="4" eb="6">
      <t>コウカン</t>
    </rPh>
    <phoneticPr fontId="4"/>
  </si>
  <si>
    <t>谷川</t>
    <rPh sb="0" eb="2">
      <t>タニガワ</t>
    </rPh>
    <phoneticPr fontId="4"/>
  </si>
  <si>
    <t>立山　和憲</t>
    <rPh sb="0" eb="2">
      <t>タテヤマ</t>
    </rPh>
    <rPh sb="3" eb="4">
      <t>カズ</t>
    </rPh>
    <rPh sb="4" eb="5">
      <t>ノリ</t>
    </rPh>
    <phoneticPr fontId="4"/>
  </si>
  <si>
    <t>竹下　憲子</t>
    <phoneticPr fontId="4"/>
  </si>
  <si>
    <t>Sticky ultra　light　34　ﾌﾞﾗｯｸ　有</t>
    <rPh sb="28" eb="29">
      <t>アリ</t>
    </rPh>
    <phoneticPr fontId="4"/>
  </si>
  <si>
    <t>クラブ組立（ウッド）</t>
    <rPh sb="3" eb="4">
      <t>ク</t>
    </rPh>
    <rPh sb="4" eb="5">
      <t>タ</t>
    </rPh>
    <phoneticPr fontId="4"/>
  </si>
  <si>
    <t>小川　うらら</t>
    <rPh sb="0" eb="2">
      <t>オガワ</t>
    </rPh>
    <phoneticPr fontId="4"/>
  </si>
  <si>
    <t>ダイナミックゴールド　ウェッジ</t>
    <phoneticPr fontId="4"/>
  </si>
  <si>
    <t>モーダス125X</t>
    <phoneticPr fontId="4"/>
  </si>
  <si>
    <t>蒲生　智美</t>
    <rPh sb="0" eb="2">
      <t>ガモウ</t>
    </rPh>
    <rPh sb="3" eb="5">
      <t>トモミ</t>
    </rPh>
    <phoneticPr fontId="4"/>
  </si>
  <si>
    <t>尾﨑　聡志</t>
    <rPh sb="0" eb="2">
      <t>オザキ</t>
    </rPh>
    <rPh sb="3" eb="4">
      <t>サトル</t>
    </rPh>
    <rPh sb="4" eb="5">
      <t>シ</t>
    </rPh>
    <phoneticPr fontId="4"/>
  </si>
  <si>
    <t>中村　元信</t>
    <rPh sb="0" eb="2">
      <t>ナカムラ</t>
    </rPh>
    <rPh sb="3" eb="5">
      <t>モトノブ</t>
    </rPh>
    <phoneticPr fontId="4"/>
  </si>
  <si>
    <t>喜田　徹</t>
    <phoneticPr fontId="4"/>
  </si>
  <si>
    <t>上田　豊</t>
    <rPh sb="0" eb="2">
      <t>ウエダ</t>
    </rPh>
    <rPh sb="3" eb="4">
      <t>ユタカ</t>
    </rPh>
    <phoneticPr fontId="4"/>
  </si>
  <si>
    <t>加藤　祐司</t>
    <rPh sb="0" eb="2">
      <t>カトウ</t>
    </rPh>
    <rPh sb="3" eb="5">
      <t>ユウジ</t>
    </rPh>
    <phoneticPr fontId="4"/>
  </si>
  <si>
    <t>田中　博之</t>
    <rPh sb="0" eb="2">
      <t>タナカ</t>
    </rPh>
    <rPh sb="3" eb="5">
      <t>ヒロユキ</t>
    </rPh>
    <phoneticPr fontId="4"/>
  </si>
  <si>
    <t>X HOLD BLACK RUBBER Eｸﾞﾘｰﾝ　無</t>
    <rPh sb="27" eb="28">
      <t>ナシ</t>
    </rPh>
    <phoneticPr fontId="4"/>
  </si>
  <si>
    <t>2026年5月12日　参加料</t>
    <rPh sb="4" eb="5">
      <t>ネン</t>
    </rPh>
    <rPh sb="6" eb="7">
      <t>ガツ</t>
    </rPh>
    <rPh sb="9" eb="10">
      <t>ニチ</t>
    </rPh>
    <rPh sb="11" eb="14">
      <t>サンカリョウ</t>
    </rPh>
    <phoneticPr fontId="4"/>
  </si>
  <si>
    <t>久保　陽子</t>
    <rPh sb="0" eb="2">
      <t>クボ</t>
    </rPh>
    <rPh sb="3" eb="5">
      <t>ヨウコ</t>
    </rPh>
    <phoneticPr fontId="4"/>
  </si>
  <si>
    <t>会員</t>
    <rPh sb="0" eb="2">
      <t>カイイン</t>
    </rPh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</si>
  <si>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</si>
  <si>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</si>
  <si>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6月分</t>
    <rPh sb="1" eb="3">
      <t>ガツブン</t>
    </rPh>
    <phoneticPr fontId="4"/>
  </si>
  <si>
    <t>入澤　剛</t>
    <rPh sb="0" eb="2">
      <t>イリサワ</t>
    </rPh>
    <rPh sb="3" eb="4">
      <t>ゴウ</t>
    </rPh>
    <phoneticPr fontId="4"/>
  </si>
  <si>
    <t>会員</t>
    <rPh sb="0" eb="2">
      <t>カイイン</t>
    </rPh>
    <phoneticPr fontId="4"/>
  </si>
  <si>
    <t>安東</t>
    <rPh sb="0" eb="2">
      <t>アンドウ</t>
    </rPh>
    <phoneticPr fontId="4"/>
  </si>
  <si>
    <t>宮崎　定智</t>
    <rPh sb="0" eb="2">
      <t>ミヤザキ</t>
    </rPh>
    <rPh sb="3" eb="5">
      <t>サダトモ</t>
    </rPh>
    <phoneticPr fontId="4"/>
  </si>
  <si>
    <t>販売</t>
    <rPh sb="0" eb="2">
      <t>ハンバイ</t>
    </rPh>
    <phoneticPr fontId="4"/>
  </si>
  <si>
    <t>工賃</t>
    <rPh sb="0" eb="2">
      <t>コウチン</t>
    </rPh>
    <phoneticPr fontId="4"/>
  </si>
  <si>
    <t>グリップ</t>
    <phoneticPr fontId="4"/>
  </si>
  <si>
    <t>渡辺　啓子</t>
    <rPh sb="0" eb="2">
      <t>ワタナベ</t>
    </rPh>
    <rPh sb="3" eb="5">
      <t>ケイコ</t>
    </rPh>
    <phoneticPr fontId="4"/>
  </si>
  <si>
    <t>会員</t>
    <rPh sb="0" eb="2">
      <t>カイイン</t>
    </rPh>
    <phoneticPr fontId="4"/>
  </si>
  <si>
    <t>大倉　英範</t>
    <rPh sb="0" eb="2">
      <t>オオクラ</t>
    </rPh>
    <rPh sb="3" eb="4">
      <t>エイ</t>
    </rPh>
    <rPh sb="4" eb="5">
      <t>ハン</t>
    </rPh>
    <phoneticPr fontId="4"/>
  </si>
  <si>
    <t>現金</t>
    <rPh sb="0" eb="2">
      <t>ゲンキン</t>
    </rPh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</si>
  <si>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</si>
  <si>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</si>
  <si>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販売</t>
    <rPh sb="0" eb="2">
      <t>ハンバイ</t>
    </rPh>
    <phoneticPr fontId="4"/>
  </si>
  <si>
    <t>工賃</t>
    <rPh sb="0" eb="2">
      <t>コウチン</t>
    </rPh>
    <phoneticPr fontId="4"/>
  </si>
  <si>
    <t>グリップ</t>
    <phoneticPr fontId="4"/>
  </si>
  <si>
    <t>その他特別作業</t>
    <rPh sb="2" eb="3">
      <t>ホカ</t>
    </rPh>
    <rPh sb="3" eb="7">
      <t>トクベツサギョウ</t>
    </rPh>
    <phoneticPr fontId="4"/>
  </si>
  <si>
    <t>KBS</t>
    <phoneticPr fontId="4"/>
  </si>
  <si>
    <t>Tour　C　テーパー</t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</si>
  <si>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</si>
  <si>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</si>
  <si>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工賃</t>
    <rPh sb="0" eb="2">
      <t>コウチン</t>
    </rPh>
    <phoneticPr fontId="4"/>
  </si>
  <si>
    <t>グリップ</t>
    <phoneticPr fontId="4"/>
  </si>
  <si>
    <t>直挿し</t>
    <rPh sb="0" eb="1">
      <t>チョク</t>
    </rPh>
    <rPh sb="1" eb="2">
      <t>サ</t>
    </rPh>
    <phoneticPr fontId="4"/>
  </si>
  <si>
    <t>現金</t>
    <rPh sb="0" eb="2">
      <t>ゲンキン</t>
    </rPh>
    <phoneticPr fontId="4"/>
  </si>
  <si>
    <t>古川</t>
    <rPh sb="0" eb="2">
      <t>フルカワ</t>
    </rPh>
    <phoneticPr fontId="4"/>
  </si>
  <si>
    <t>前田　實</t>
    <rPh sb="0" eb="2">
      <t>マエダ</t>
    </rPh>
    <rPh sb="3" eb="4">
      <t>ミノル</t>
    </rPh>
    <phoneticPr fontId="4"/>
  </si>
  <si>
    <t>安東</t>
    <rPh sb="0" eb="2">
      <t>アンドウ</t>
    </rPh>
    <phoneticPr fontId="4"/>
  </si>
  <si>
    <t>7~9月分</t>
    <rPh sb="3" eb="5">
      <t>ガツブン</t>
    </rPh>
    <phoneticPr fontId="4"/>
  </si>
  <si>
    <t>黒田　勝彦</t>
    <rPh sb="0" eb="2">
      <t>クロダ</t>
    </rPh>
    <rPh sb="3" eb="5">
      <t>カツヒコ</t>
    </rPh>
    <phoneticPr fontId="4"/>
  </si>
  <si>
    <t>55分（ビジター）</t>
    <rPh sb="2" eb="3">
      <t>フン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</si>
  <si>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</si>
  <si>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</si>
  <si>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グリップ</t>
    <phoneticPr fontId="4"/>
  </si>
  <si>
    <t>LTC　iXx2.3ブラック　BL無</t>
    <rPh sb="17" eb="18">
      <t>ナシ</t>
    </rPh>
    <phoneticPr fontId="4"/>
  </si>
  <si>
    <t>工賃</t>
    <rPh sb="0" eb="2">
      <t>コウチン</t>
    </rPh>
    <phoneticPr fontId="4"/>
  </si>
  <si>
    <t>現金</t>
    <rPh sb="0" eb="2">
      <t>ゲンキン</t>
    </rPh>
    <phoneticPr fontId="4"/>
  </si>
  <si>
    <t>川端　柚茉</t>
    <rPh sb="0" eb="2">
      <t>カワバタ</t>
    </rPh>
    <rPh sb="3" eb="4">
      <t>ユズ</t>
    </rPh>
    <rPh sb="4" eb="5">
      <t>マツ</t>
    </rPh>
    <phoneticPr fontId="4"/>
  </si>
  <si>
    <t>会員</t>
    <rPh sb="0" eb="2">
      <t>カイイン</t>
    </rPh>
    <phoneticPr fontId="4"/>
  </si>
  <si>
    <t>現金</t>
    <rPh sb="0" eb="2">
      <t>ゲンキン</t>
    </rPh>
    <phoneticPr fontId="4"/>
  </si>
  <si>
    <t>谷川</t>
    <rPh sb="0" eb="2">
      <t>タニガワ</t>
    </rPh>
    <phoneticPr fontId="4"/>
  </si>
  <si>
    <t>古川</t>
    <rPh sb="0" eb="2">
      <t>フルカワ</t>
    </rPh>
    <phoneticPr fontId="4"/>
  </si>
  <si>
    <t>竺川　裕二</t>
    <rPh sb="0" eb="2">
      <t>ジクカワ</t>
    </rPh>
    <rPh sb="3" eb="5">
      <t>ユウジ</t>
    </rPh>
    <phoneticPr fontId="4"/>
  </si>
  <si>
    <t>増田　芳郎</t>
    <rPh sb="0" eb="2">
      <t>マスダ</t>
    </rPh>
    <rPh sb="3" eb="4">
      <t>ホウ</t>
    </rPh>
    <rPh sb="4" eb="5">
      <t>ロウ</t>
    </rPh>
    <phoneticPr fontId="4"/>
  </si>
  <si>
    <t>森山　慶文</t>
    <rPh sb="0" eb="2">
      <t>モリヤマ</t>
    </rPh>
    <rPh sb="3" eb="4">
      <t>ケイ</t>
    </rPh>
    <rPh sb="4" eb="5">
      <t>ブン</t>
    </rPh>
    <phoneticPr fontId="4"/>
  </si>
  <si>
    <t>永吉　美香</t>
    <rPh sb="0" eb="2">
      <t>ナガヨシ</t>
    </rPh>
    <rPh sb="3" eb="5">
      <t>ミカ</t>
    </rPh>
    <phoneticPr fontId="4"/>
  </si>
  <si>
    <t>シャフト延長</t>
    <rPh sb="4" eb="6">
      <t>エンチョウ</t>
    </rPh>
    <phoneticPr fontId="4"/>
  </si>
  <si>
    <t>古川</t>
    <rPh sb="0" eb="2">
      <t>フルカワ</t>
    </rPh>
    <phoneticPr fontId="4"/>
  </si>
  <si>
    <t>石本　脩真</t>
    <rPh sb="0" eb="2">
      <t>イシモト</t>
    </rPh>
    <rPh sb="3" eb="4">
      <t>シュウ</t>
    </rPh>
    <rPh sb="4" eb="5">
      <t>シン</t>
    </rPh>
    <phoneticPr fontId="4"/>
  </si>
  <si>
    <t>5月分　月会費　（0.5ヵ月）</t>
    <rPh sb="1" eb="3">
      <t>ガツブン</t>
    </rPh>
    <rPh sb="4" eb="5">
      <t>ツキ</t>
    </rPh>
    <rPh sb="5" eb="7">
      <t>カイヒ</t>
    </rPh>
    <rPh sb="13" eb="14">
      <t>ゲツ</t>
    </rPh>
    <phoneticPr fontId="4"/>
  </si>
  <si>
    <t xml:space="preserve">レギュラー　0.5か月 </t>
    <rPh sb="10" eb="11">
      <t>ゲツ</t>
    </rPh>
    <phoneticPr fontId="4"/>
  </si>
  <si>
    <t>Y360starﾍﾞﾙﾘﾅﾌﾞﾗｯｸ　有</t>
    <rPh sb="19" eb="20">
      <t>アリ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</si>
  <si>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</si>
  <si>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</si>
  <si>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23cm 白　左</t>
    <rPh sb="5" eb="6">
      <t>シロ</t>
    </rPh>
    <rPh sb="7" eb="8">
      <t>ヒダリ</t>
    </rPh>
    <phoneticPr fontId="4"/>
  </si>
  <si>
    <t>23cm 黒　左</t>
    <rPh sb="5" eb="6">
      <t>クロ</t>
    </rPh>
    <rPh sb="7" eb="8">
      <t>ヒダリ</t>
    </rPh>
    <phoneticPr fontId="4"/>
  </si>
  <si>
    <t>21cm 白　左</t>
    <rPh sb="5" eb="6">
      <t>シロ</t>
    </rPh>
    <rPh sb="7" eb="8">
      <t>ヒダリ</t>
    </rPh>
    <phoneticPr fontId="4"/>
  </si>
  <si>
    <t>現金</t>
    <rPh sb="0" eb="2">
      <t>ゲンキン</t>
    </rPh>
    <phoneticPr fontId="4"/>
  </si>
  <si>
    <t>古川</t>
    <rPh sb="0" eb="2">
      <t>フルカワ</t>
    </rPh>
    <phoneticPr fontId="4"/>
  </si>
  <si>
    <t>白　左　23cm 24cm 25cm</t>
    <rPh sb="0" eb="1">
      <t>シロ</t>
    </rPh>
    <rPh sb="2" eb="3">
      <t>ヒダリ</t>
    </rPh>
    <phoneticPr fontId="4"/>
  </si>
  <si>
    <t>tour velvet 有</t>
    <rPh sb="12" eb="13">
      <t>アリ</t>
    </rPh>
    <phoneticPr fontId="4"/>
  </si>
  <si>
    <t>22cm 黒　左</t>
    <rPh sb="5" eb="6">
      <t>クロ</t>
    </rPh>
    <rPh sb="7" eb="8">
      <t>ヒダリ</t>
    </rPh>
    <phoneticPr fontId="4"/>
  </si>
  <si>
    <t>会員</t>
    <rPh sb="0" eb="2">
      <t>カイイン</t>
    </rPh>
    <phoneticPr fontId="4"/>
  </si>
  <si>
    <t>利用料</t>
    <rPh sb="0" eb="3">
      <t>リヨウリョウ</t>
    </rPh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</si>
  <si>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</si>
  <si>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</si>
  <si>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会員</t>
    <rPh sb="0" eb="2">
      <t>カイイン</t>
    </rPh>
    <phoneticPr fontId="4"/>
  </si>
  <si>
    <t>現金</t>
    <rPh sb="0" eb="2">
      <t>ゲンキン</t>
    </rPh>
    <phoneticPr fontId="4"/>
  </si>
  <si>
    <t>安東</t>
    <rPh sb="0" eb="2">
      <t>アンドウ</t>
    </rPh>
    <phoneticPr fontId="4"/>
  </si>
  <si>
    <t>八木　純平</t>
    <rPh sb="0" eb="2">
      <t>ヤギ</t>
    </rPh>
    <rPh sb="3" eb="5">
      <t>ジュンペイ</t>
    </rPh>
    <phoneticPr fontId="4"/>
  </si>
  <si>
    <t>現金</t>
    <rPh sb="0" eb="2">
      <t>ゲンキン</t>
    </rPh>
    <phoneticPr fontId="4"/>
  </si>
  <si>
    <t>クラブ</t>
    <phoneticPr fontId="4"/>
  </si>
  <si>
    <t>キャロウェイ</t>
    <phoneticPr fontId="4"/>
  </si>
  <si>
    <t>QUANTUM ♦♦♦ MAX DR 9°</t>
    <phoneticPr fontId="4"/>
  </si>
  <si>
    <t>Square</t>
    <phoneticPr fontId="4"/>
  </si>
  <si>
    <t>古賀　勉</t>
    <rPh sb="0" eb="2">
      <t>コガ</t>
    </rPh>
    <rPh sb="3" eb="4">
      <t>ツトム</t>
    </rPh>
    <phoneticPr fontId="4"/>
  </si>
  <si>
    <t>会員</t>
    <rPh sb="0" eb="2">
      <t>カイイン</t>
    </rPh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</si>
  <si>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</si>
  <si>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</si>
  <si>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中山　あきと</t>
    <rPh sb="0" eb="2">
      <t>ナカヤマ</t>
    </rPh>
    <phoneticPr fontId="4"/>
  </si>
  <si>
    <t>7月分</t>
    <rPh sb="1" eb="3">
      <t>ガツブン</t>
    </rPh>
    <phoneticPr fontId="4"/>
  </si>
  <si>
    <t>山本プロ　</t>
    <rPh sb="0" eb="2">
      <t>ヤマモト</t>
    </rPh>
    <phoneticPr fontId="4"/>
  </si>
  <si>
    <t>IR ゼロス 6</t>
    <phoneticPr fontId="4"/>
  </si>
  <si>
    <t>木村　稔</t>
    <rPh sb="0" eb="2">
      <t>キムラ</t>
    </rPh>
    <rPh sb="3" eb="4">
      <t>ミノル</t>
    </rPh>
    <phoneticPr fontId="4"/>
  </si>
  <si>
    <t>グリップ</t>
    <phoneticPr fontId="4"/>
  </si>
  <si>
    <t>iXtouchスカイブルー有</t>
    <rPh sb="13" eb="14">
      <t>アリ</t>
    </rPh>
    <phoneticPr fontId="4"/>
  </si>
  <si>
    <t>シャフト入れ替え</t>
    <rPh sb="4" eb="5">
      <t>イ</t>
    </rPh>
    <rPh sb="6" eb="7">
      <t>カ</t>
    </rPh>
    <phoneticPr fontId="4"/>
  </si>
  <si>
    <t>井殿　康和</t>
    <rPh sb="0" eb="2">
      <t>イドノ</t>
    </rPh>
    <rPh sb="3" eb="5">
      <t>ヤスカズ</t>
    </rPh>
    <phoneticPr fontId="4"/>
  </si>
  <si>
    <t>ハドラスシートSH</t>
    <phoneticPr fontId="4"/>
  </si>
  <si>
    <t>シャフト</t>
    <phoneticPr fontId="4"/>
  </si>
  <si>
    <t>フジクラ</t>
    <phoneticPr fontId="4"/>
  </si>
  <si>
    <t>SPEEDER BOOST 6 S</t>
    <phoneticPr fontId="4"/>
  </si>
  <si>
    <t>グリップ</t>
    <phoneticPr fontId="4"/>
  </si>
  <si>
    <t>iXtouchｼﾙﾊﾞｰ無</t>
    <rPh sb="12" eb="13">
      <t>ナシ</t>
    </rPh>
    <phoneticPr fontId="4"/>
  </si>
  <si>
    <t>木下　健太</t>
    <rPh sb="0" eb="2">
      <t>キノシタ</t>
    </rPh>
    <rPh sb="3" eb="5">
      <t>ケンタ</t>
    </rPh>
    <phoneticPr fontId="4"/>
  </si>
  <si>
    <t>スリーブ装着</t>
    <rPh sb="4" eb="6">
      <t>ソウチャク</t>
    </rPh>
    <phoneticPr fontId="4"/>
  </si>
  <si>
    <t>春馬</t>
    <rPh sb="0" eb="2">
      <t>ハルマ</t>
    </rPh>
    <phoneticPr fontId="4"/>
  </si>
  <si>
    <t>谷川</t>
    <rPh sb="0" eb="2">
      <t>タニガワ</t>
    </rPh>
    <phoneticPr fontId="4"/>
  </si>
  <si>
    <t>北　秀実</t>
    <rPh sb="0" eb="1">
      <t>キタ</t>
    </rPh>
    <rPh sb="2" eb="4">
      <t>ヒデミ</t>
    </rPh>
    <phoneticPr fontId="4"/>
  </si>
  <si>
    <t>会員</t>
    <rPh sb="0" eb="2">
      <t>カイイン</t>
    </rPh>
    <phoneticPr fontId="4"/>
  </si>
  <si>
    <t>安東</t>
    <rPh sb="0" eb="2">
      <t>アンドウ</t>
    </rPh>
    <phoneticPr fontId="4"/>
  </si>
  <si>
    <t>現金</t>
    <rPh sb="0" eb="2">
      <t>ゲンキン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</si>
  <si>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</si>
  <si>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</si>
  <si>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古川</t>
    <rPh sb="0" eb="2">
      <t>フルカワ</t>
    </rPh>
    <phoneticPr fontId="4"/>
  </si>
  <si>
    <t>グリップ</t>
    <phoneticPr fontId="4"/>
  </si>
  <si>
    <t>シャフトカット</t>
    <phoneticPr fontId="4"/>
  </si>
  <si>
    <t>松田　良一</t>
    <rPh sb="0" eb="2">
      <t>マツダ</t>
    </rPh>
    <rPh sb="3" eb="5">
      <t>リョウイチ</t>
    </rPh>
    <phoneticPr fontId="4"/>
  </si>
  <si>
    <t>松田　朋美</t>
    <rPh sb="0" eb="2">
      <t>マツダ</t>
    </rPh>
    <rPh sb="3" eb="5">
      <t>トモミ</t>
    </rPh>
    <phoneticPr fontId="4"/>
  </si>
  <si>
    <t>小野　貴之</t>
    <rPh sb="0" eb="2">
      <t>オノ</t>
    </rPh>
    <rPh sb="3" eb="5">
      <t>タカユキ</t>
    </rPh>
    <phoneticPr fontId="4"/>
  </si>
  <si>
    <t>月会費</t>
    <phoneticPr fontId="4"/>
  </si>
  <si>
    <t>喜田　徹</t>
    <rPh sb="0" eb="2">
      <t>キダ</t>
    </rPh>
    <rPh sb="3" eb="4">
      <t>トオル</t>
    </rPh>
    <phoneticPr fontId="4"/>
  </si>
  <si>
    <t>バランス調整</t>
    <rPh sb="4" eb="6">
      <t>チョウセイ</t>
    </rPh>
    <phoneticPr fontId="4"/>
  </si>
  <si>
    <t>クラブ組み立て</t>
    <rPh sb="3" eb="4">
      <t>ク</t>
    </rPh>
    <rPh sb="5" eb="6">
      <t>タ</t>
    </rPh>
    <phoneticPr fontId="4"/>
  </si>
  <si>
    <t>矢倉　得正</t>
    <rPh sb="0" eb="2">
      <t>ヤグラ</t>
    </rPh>
    <rPh sb="3" eb="4">
      <t>トク</t>
    </rPh>
    <rPh sb="4" eb="5">
      <t>マサ</t>
    </rPh>
    <phoneticPr fontId="4"/>
  </si>
  <si>
    <t>グリップ</t>
    <phoneticPr fontId="4"/>
  </si>
  <si>
    <t>農本　文誉</t>
    <rPh sb="0" eb="2">
      <t>ノウモト</t>
    </rPh>
    <rPh sb="3" eb="4">
      <t>ブン</t>
    </rPh>
    <rPh sb="4" eb="5">
      <t>ホマレ</t>
    </rPh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</si>
  <si>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</si>
  <si>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</si>
  <si>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志野さん</t>
    <rPh sb="0" eb="2">
      <t>シノ</t>
    </rPh>
    <phoneticPr fontId="4"/>
  </si>
  <si>
    <t>コアフォースﾌﾞﾗｯｸ　</t>
    <phoneticPr fontId="4"/>
  </si>
  <si>
    <t>コアフォース　AFモデル</t>
    <phoneticPr fontId="4"/>
  </si>
  <si>
    <t>アクセサリー</t>
    <phoneticPr fontId="4"/>
  </si>
  <si>
    <t>その他特別作業</t>
    <rPh sb="2" eb="3">
      <t>タ</t>
    </rPh>
    <rPh sb="3" eb="7">
      <t>トクベツサギョウ</t>
    </rPh>
    <phoneticPr fontId="4"/>
  </si>
  <si>
    <t>PING</t>
    <phoneticPr fontId="4"/>
  </si>
  <si>
    <t>G440</t>
    <phoneticPr fontId="4"/>
  </si>
  <si>
    <t>アイアン</t>
    <phoneticPr fontId="4"/>
  </si>
  <si>
    <t>䃆 正一</t>
    <phoneticPr fontId="4"/>
  </si>
  <si>
    <t>Y360S XT ﾍﾟﾙﾘﾅﾌﾞﾗｯｸ (無)</t>
    <rPh sb="21" eb="22">
      <t>ナ</t>
    </rPh>
    <phoneticPr fontId="4"/>
  </si>
  <si>
    <t>22cm 白　左</t>
    <rPh sb="5" eb="6">
      <t>シロ</t>
    </rPh>
    <rPh sb="7" eb="8">
      <t>ヒダリ</t>
    </rPh>
    <phoneticPr fontId="4"/>
  </si>
  <si>
    <t>5/27 返金処理済み</t>
    <rPh sb="5" eb="10">
      <t>ヘンキンショリズ</t>
    </rPh>
    <phoneticPr fontId="4"/>
  </si>
  <si>
    <t>5/16 誤購入のためご返金</t>
    <rPh sb="5" eb="6">
      <t>アヤマ</t>
    </rPh>
    <rPh sb="6" eb="8">
      <t>コウニュウ</t>
    </rPh>
    <rPh sb="12" eb="14">
      <t>ヘンキン</t>
    </rPh>
    <phoneticPr fontId="4"/>
  </si>
  <si>
    <t>春馬</t>
    <rPh sb="0" eb="2">
      <t>ハルマ</t>
    </rPh>
    <phoneticPr fontId="4"/>
  </si>
  <si>
    <t>谷川</t>
    <rPh sb="0" eb="2">
      <t>タニガワ</t>
    </rPh>
    <phoneticPr fontId="4"/>
  </si>
  <si>
    <t>シャフト交換</t>
    <rPh sb="4" eb="6">
      <t>コウカン</t>
    </rPh>
    <phoneticPr fontId="4"/>
  </si>
  <si>
    <t>ウッド</t>
    <phoneticPr fontId="4"/>
  </si>
  <si>
    <t>蟹江　俊郎</t>
    <rPh sb="0" eb="2">
      <t>カニエ</t>
    </rPh>
    <rPh sb="3" eb="5">
      <t>トシロウ</t>
    </rPh>
    <phoneticPr fontId="4"/>
  </si>
  <si>
    <t>吉田　一貴</t>
    <rPh sb="0" eb="2">
      <t>ヨシダ</t>
    </rPh>
    <rPh sb="3" eb="5">
      <t>カズキ</t>
    </rPh>
    <phoneticPr fontId="4"/>
  </si>
  <si>
    <t>販売</t>
    <rPh sb="0" eb="2">
      <t>ハンバイ</t>
    </rPh>
    <phoneticPr fontId="4"/>
  </si>
  <si>
    <t>シャフト</t>
    <phoneticPr fontId="4"/>
  </si>
  <si>
    <t xml:space="preserve">TOUR AD PT-5 S </t>
    <phoneticPr fontId="4"/>
  </si>
  <si>
    <t>デザインチューニング</t>
    <phoneticPr fontId="4"/>
  </si>
  <si>
    <t>LTC iXx1.8 ﾗｲﾄﾌﾞﾙｰ　有</t>
    <rPh sb="19" eb="20">
      <t>アリ</t>
    </rPh>
    <phoneticPr fontId="4"/>
  </si>
  <si>
    <t>グリップ</t>
    <phoneticPr fontId="4"/>
  </si>
  <si>
    <t>スリーブ</t>
    <phoneticPr fontId="4"/>
  </si>
  <si>
    <t>参加費</t>
    <rPh sb="0" eb="3">
      <t>サンカヒ</t>
    </rPh>
    <phoneticPr fontId="4"/>
  </si>
  <si>
    <t>第9回コンペ参加費</t>
    <rPh sb="0" eb="1">
      <t>ダイ</t>
    </rPh>
    <rPh sb="2" eb="3">
      <t>カイ</t>
    </rPh>
    <rPh sb="6" eb="9">
      <t>サンカヒ</t>
    </rPh>
    <phoneticPr fontId="4"/>
  </si>
  <si>
    <t>ZERO SOLID 50 S</t>
    <phoneticPr fontId="4"/>
  </si>
  <si>
    <t>木下佳香</t>
    <rPh sb="0" eb="2">
      <t>キノシタ</t>
    </rPh>
    <rPh sb="2" eb="4">
      <t>ヨシカ</t>
    </rPh>
    <phoneticPr fontId="4"/>
  </si>
  <si>
    <t>安東</t>
    <rPh sb="0" eb="2">
      <t>アンドウ</t>
    </rPh>
    <phoneticPr fontId="4"/>
  </si>
  <si>
    <t>上田　恭司</t>
    <rPh sb="0" eb="2">
      <t>ウエダ</t>
    </rPh>
    <rPh sb="3" eb="5">
      <t>キョウジ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</si>
  <si>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</si>
  <si>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</si>
  <si>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白　黒　24㎝</t>
    <rPh sb="0" eb="1">
      <t>シロ</t>
    </rPh>
    <rPh sb="2" eb="3">
      <t>クロ</t>
    </rPh>
    <phoneticPr fontId="4"/>
  </si>
  <si>
    <t>中島　洋爾</t>
    <rPh sb="0" eb="2">
      <t>ナカジマ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</si>
  <si>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</si>
  <si>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</si>
  <si>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グリップ</t>
    <phoneticPr fontId="4"/>
  </si>
  <si>
    <t>Y360Star ﾍﾞﾙﾘﾅﾌﾞﾗｯｸ (無)</t>
    <phoneticPr fontId="4"/>
  </si>
  <si>
    <t>木村　稔</t>
    <rPh sb="0" eb="2">
      <t>キムラ</t>
    </rPh>
    <rPh sb="3" eb="4">
      <t>ミノル</t>
    </rPh>
    <phoneticPr fontId="4"/>
  </si>
  <si>
    <t>現金</t>
    <rPh sb="0" eb="2">
      <t>ゲンキン</t>
    </rPh>
    <phoneticPr fontId="4"/>
  </si>
  <si>
    <t>福原</t>
    <rPh sb="0" eb="2">
      <t>フクハラ</t>
    </rPh>
    <phoneticPr fontId="4"/>
  </si>
  <si>
    <t>会員</t>
    <rPh sb="0" eb="2">
      <t>カイイン</t>
    </rPh>
    <phoneticPr fontId="4"/>
  </si>
  <si>
    <t>月会費</t>
    <phoneticPr fontId="4"/>
  </si>
  <si>
    <t>Airペイ</t>
    <phoneticPr fontId="4"/>
  </si>
  <si>
    <t>福原</t>
    <rPh sb="0" eb="2">
      <t>フクハラ</t>
    </rPh>
    <phoneticPr fontId="4"/>
  </si>
  <si>
    <t>販売</t>
    <rPh sb="0" eb="2">
      <t>ハンバイ</t>
    </rPh>
    <phoneticPr fontId="4"/>
  </si>
  <si>
    <t>シャフト</t>
    <phoneticPr fontId="4"/>
  </si>
  <si>
    <t>スリーブ</t>
    <phoneticPr fontId="4"/>
  </si>
  <si>
    <t>亀野　純介</t>
    <rPh sb="0" eb="1">
      <t>カメ</t>
    </rPh>
    <rPh sb="1" eb="2">
      <t>ノ</t>
    </rPh>
    <rPh sb="3" eb="4">
      <t>ジュン</t>
    </rPh>
    <rPh sb="4" eb="5">
      <t>スケ</t>
    </rPh>
    <phoneticPr fontId="4"/>
  </si>
  <si>
    <t>トライアル登録料</t>
    <phoneticPr fontId="4"/>
  </si>
  <si>
    <t>春馬</t>
    <rPh sb="0" eb="2">
      <t>ハルマ</t>
    </rPh>
    <phoneticPr fontId="4"/>
  </si>
  <si>
    <t>宮下　明</t>
    <rPh sb="0" eb="2">
      <t>ミヤシタ</t>
    </rPh>
    <rPh sb="3" eb="4">
      <t>アキラ</t>
    </rPh>
    <phoneticPr fontId="4"/>
  </si>
  <si>
    <t>24VENTUS BLUE　5 S</t>
    <phoneticPr fontId="4"/>
  </si>
  <si>
    <t>Sticky evolution 2.3ブルー BL有</t>
    <rPh sb="26" eb="27">
      <t>アリ</t>
    </rPh>
    <phoneticPr fontId="4"/>
  </si>
  <si>
    <t>工賃</t>
    <rPh sb="0" eb="2">
      <t>コウチン</t>
    </rPh>
    <phoneticPr fontId="4"/>
  </si>
  <si>
    <t>クラブ組み立て</t>
    <rPh sb="3" eb="4">
      <t>ク</t>
    </rPh>
    <rPh sb="5" eb="6">
      <t>タ</t>
    </rPh>
    <phoneticPr fontId="4"/>
  </si>
  <si>
    <t>澤田</t>
    <rPh sb="0" eb="2">
      <t>サワダ</t>
    </rPh>
    <phoneticPr fontId="4"/>
  </si>
  <si>
    <t>工賃</t>
    <rPh sb="0" eb="2">
      <t>コウチン</t>
    </rPh>
    <phoneticPr fontId="4"/>
  </si>
  <si>
    <t>スリーブ交換</t>
    <rPh sb="4" eb="6">
      <t>コウカン</t>
    </rPh>
    <phoneticPr fontId="4"/>
  </si>
  <si>
    <t>井殿</t>
    <rPh sb="0" eb="2">
      <t>イドノ</t>
    </rPh>
    <phoneticPr fontId="4"/>
  </si>
  <si>
    <t>谷川</t>
    <rPh sb="0" eb="2">
      <t>タニガワ</t>
    </rPh>
    <phoneticPr fontId="4"/>
  </si>
  <si>
    <t>高橋　真一</t>
    <rPh sb="0" eb="2">
      <t>タカハシ</t>
    </rPh>
    <rPh sb="3" eb="5">
      <t>シンイチ</t>
    </rPh>
    <phoneticPr fontId="4"/>
  </si>
  <si>
    <t>返金</t>
    <rPh sb="0" eb="2">
      <t>ヘンキン</t>
    </rPh>
    <phoneticPr fontId="4"/>
  </si>
  <si>
    <t>VENTUS HB BLUE 6S</t>
    <phoneticPr fontId="4"/>
  </si>
  <si>
    <t>村尾　健一</t>
    <rPh sb="0" eb="2">
      <t>ムラオ</t>
    </rPh>
    <rPh sb="3" eb="5">
      <t>ケンイチ</t>
    </rPh>
    <phoneticPr fontId="4"/>
  </si>
  <si>
    <t>農本　奈緒美</t>
    <rPh sb="0" eb="2">
      <t>ノウモト</t>
    </rPh>
    <rPh sb="3" eb="6">
      <t>ナオミ</t>
    </rPh>
    <phoneticPr fontId="4"/>
  </si>
  <si>
    <t>加納　仁紀</t>
    <rPh sb="0" eb="2">
      <t>カノウ</t>
    </rPh>
    <rPh sb="3" eb="4">
      <t>ジン</t>
    </rPh>
    <rPh sb="4" eb="5">
      <t>キ</t>
    </rPh>
    <phoneticPr fontId="4"/>
  </si>
  <si>
    <t>グリップ</t>
    <phoneticPr fontId="4"/>
  </si>
  <si>
    <t>Tour Velvet (無)</t>
    <rPh sb="13" eb="14">
      <t>ナシ</t>
    </rPh>
    <phoneticPr fontId="4"/>
  </si>
  <si>
    <t>土井　球人</t>
    <rPh sb="0" eb="2">
      <t>ドイ</t>
    </rPh>
    <rPh sb="3" eb="5">
      <t>タマヒト</t>
    </rPh>
    <phoneticPr fontId="4"/>
  </si>
  <si>
    <t>浅田　裕美子</t>
    <rPh sb="0" eb="2">
      <t>アサダ</t>
    </rPh>
    <rPh sb="3" eb="6">
      <t>ユミコ</t>
    </rPh>
    <phoneticPr fontId="4"/>
  </si>
  <si>
    <t>販売</t>
    <rPh sb="0" eb="2">
      <t>ハンバイ</t>
    </rPh>
    <phoneticPr fontId="4"/>
  </si>
  <si>
    <t>小川</t>
    <rPh sb="0" eb="2">
      <t>オガワ</t>
    </rPh>
    <phoneticPr fontId="4"/>
  </si>
  <si>
    <t>奥田 健介</t>
  </si>
  <si>
    <t>安東</t>
    <rPh sb="0" eb="2">
      <t>アンドウ</t>
    </rPh>
    <phoneticPr fontId="4"/>
  </si>
  <si>
    <t>7~8月分</t>
    <rPh sb="3" eb="5">
      <t>ガツブン</t>
    </rPh>
    <phoneticPr fontId="4"/>
  </si>
  <si>
    <t>中坊　匠</t>
    <rPh sb="0" eb="2">
      <t>ナカボウ</t>
    </rPh>
    <rPh sb="3" eb="4">
      <t>タクミ</t>
    </rPh>
    <phoneticPr fontId="4"/>
  </si>
  <si>
    <t>古川</t>
    <rPh sb="0" eb="2">
      <t>フルカワ</t>
    </rPh>
    <phoneticPr fontId="4"/>
  </si>
  <si>
    <t>谷川</t>
    <rPh sb="0" eb="2">
      <t>タニガワ</t>
    </rPh>
    <phoneticPr fontId="4"/>
  </si>
  <si>
    <t>第9回コンペ キャンセル料</t>
    <rPh sb="0" eb="1">
      <t>ダイ</t>
    </rPh>
    <rPh sb="2" eb="3">
      <t>カイ</t>
    </rPh>
    <rPh sb="12" eb="13">
      <t>リョウ</t>
    </rPh>
    <phoneticPr fontId="4"/>
  </si>
  <si>
    <t>コンペ参加者</t>
    <rPh sb="3" eb="6">
      <t>サンカシャ</t>
    </rPh>
    <phoneticPr fontId="4"/>
  </si>
  <si>
    <t>会員</t>
    <rPh sb="0" eb="2">
      <t>カイイン</t>
    </rPh>
    <phoneticPr fontId="4"/>
  </si>
  <si>
    <t>玉井　修子</t>
    <rPh sb="0" eb="2">
      <t>タマイ</t>
    </rPh>
    <rPh sb="3" eb="5">
      <t>シュウコ</t>
    </rPh>
    <phoneticPr fontId="4"/>
  </si>
  <si>
    <t>会員</t>
    <rPh sb="0" eb="2">
      <t>カイイン</t>
    </rPh>
    <phoneticPr fontId="4"/>
  </si>
  <si>
    <t>安東</t>
    <rPh sb="0" eb="2">
      <t>アンドウ</t>
    </rPh>
    <phoneticPr fontId="4"/>
  </si>
  <si>
    <t>現金</t>
    <rPh sb="0" eb="2">
      <t>ゲンキン</t>
    </rPh>
    <phoneticPr fontId="4"/>
  </si>
  <si>
    <t>井殿</t>
    <rPh sb="0" eb="2">
      <t>イドノ</t>
    </rPh>
    <phoneticPr fontId="4"/>
  </si>
  <si>
    <t>土谷　喜輝</t>
    <rPh sb="0" eb="2">
      <t>ツチタニ</t>
    </rPh>
    <rPh sb="3" eb="4">
      <t>ヨロコ</t>
    </rPh>
    <rPh sb="4" eb="5">
      <t>カガヤ</t>
    </rPh>
    <phoneticPr fontId="4"/>
  </si>
  <si>
    <t>藤田　崇之</t>
    <rPh sb="0" eb="2">
      <t>フジタ</t>
    </rPh>
    <rPh sb="3" eb="5">
      <t>タカユキ</t>
    </rPh>
    <phoneticPr fontId="4"/>
  </si>
  <si>
    <t>販売</t>
    <rPh sb="0" eb="2">
      <t>ハンバイ</t>
    </rPh>
    <phoneticPr fontId="4"/>
  </si>
  <si>
    <t>工賃</t>
    <rPh sb="0" eb="2">
      <t>コウチン</t>
    </rPh>
    <phoneticPr fontId="4"/>
  </si>
  <si>
    <t>ビジター利用</t>
    <rPh sb="4" eb="6">
      <t>リヨウ</t>
    </rPh>
    <phoneticPr fontId="4"/>
  </si>
  <si>
    <t>シャフト</t>
    <phoneticPr fontId="4"/>
  </si>
  <si>
    <t>グラファイトデザイン</t>
    <phoneticPr fontId="4"/>
  </si>
  <si>
    <t>TOUR　AD　DI　5　X</t>
    <phoneticPr fontId="4"/>
  </si>
  <si>
    <t>福原　大輔</t>
    <rPh sb="0" eb="2">
      <t>フクハラ</t>
    </rPh>
    <rPh sb="3" eb="5">
      <t>ダイスケ</t>
    </rPh>
    <phoneticPr fontId="4"/>
  </si>
  <si>
    <t>24VENTUS BLUE　6　X</t>
    <phoneticPr fontId="4"/>
  </si>
  <si>
    <t>スリーブ</t>
    <phoneticPr fontId="4"/>
  </si>
  <si>
    <t>スリーブ交換</t>
    <rPh sb="4" eb="6">
      <t>コウカン</t>
    </rPh>
    <phoneticPr fontId="4"/>
  </si>
  <si>
    <t>福原</t>
    <rPh sb="0" eb="2">
      <t>フクハラ</t>
    </rPh>
    <phoneticPr fontId="4"/>
  </si>
  <si>
    <t>本津　孝洋</t>
    <rPh sb="0" eb="1">
      <t>モト</t>
    </rPh>
    <rPh sb="1" eb="2">
      <t>ツ</t>
    </rPh>
    <rPh sb="3" eb="4">
      <t>タカシ</t>
    </rPh>
    <rPh sb="4" eb="5">
      <t>ヨウ</t>
    </rPh>
    <phoneticPr fontId="4"/>
  </si>
  <si>
    <t>宮本　雅由</t>
    <rPh sb="0" eb="2">
      <t>ミヤモト</t>
    </rPh>
    <rPh sb="3" eb="4">
      <t>ミヤビ</t>
    </rPh>
    <rPh sb="4" eb="5">
      <t>ユウ</t>
    </rPh>
    <phoneticPr fontId="4"/>
  </si>
  <si>
    <t>森本　誠一</t>
    <rPh sb="0" eb="2">
      <t>モリモト</t>
    </rPh>
    <rPh sb="3" eb="5">
      <t>セイイチ</t>
    </rPh>
    <phoneticPr fontId="4"/>
  </si>
  <si>
    <t>26 VENTUS TR RED 5 R</t>
    <phoneticPr fontId="4"/>
  </si>
  <si>
    <t>PING</t>
    <phoneticPr fontId="4"/>
  </si>
  <si>
    <t>MCH 80 S 黒色</t>
    <rPh sb="9" eb="11">
      <t>クロイロ</t>
    </rPh>
    <phoneticPr fontId="4"/>
  </si>
  <si>
    <t>林　禎二郎</t>
    <rPh sb="0" eb="1">
      <t>ハヤシ</t>
    </rPh>
    <rPh sb="2" eb="3">
      <t>サダ</t>
    </rPh>
    <rPh sb="3" eb="5">
      <t>ジロウ</t>
    </rPh>
    <phoneticPr fontId="4"/>
  </si>
  <si>
    <t>谷川</t>
    <rPh sb="0" eb="2">
      <t>タニガワ</t>
    </rPh>
    <phoneticPr fontId="4"/>
  </si>
  <si>
    <t>シャフト</t>
    <phoneticPr fontId="4"/>
  </si>
  <si>
    <t>三菱ケミカル</t>
    <rPh sb="0" eb="2">
      <t>ミツビシ</t>
    </rPh>
    <phoneticPr fontId="4"/>
  </si>
  <si>
    <t>クラブ</t>
    <phoneticPr fontId="4"/>
  </si>
  <si>
    <t>柚木　力</t>
    <rPh sb="0" eb="2">
      <t>ユノキ</t>
    </rPh>
    <rPh sb="3" eb="4">
      <t>チカラ</t>
    </rPh>
    <phoneticPr fontId="4"/>
  </si>
  <si>
    <t>白　23cm</t>
    <rPh sb="0" eb="1">
      <t>シロ</t>
    </rPh>
    <phoneticPr fontId="4"/>
  </si>
  <si>
    <t>黒　23cm</t>
    <rPh sb="0" eb="1">
      <t>クロ</t>
    </rPh>
    <phoneticPr fontId="4"/>
  </si>
  <si>
    <t>G440 ＃3</t>
    <phoneticPr fontId="4"/>
  </si>
  <si>
    <t>VANQUISH 5 S</t>
    <phoneticPr fontId="4"/>
  </si>
  <si>
    <t>VANQUISH 5 ♦♦</t>
    <phoneticPr fontId="4"/>
  </si>
  <si>
    <t>OT TOUR Hybrid h80 S</t>
    <phoneticPr fontId="4"/>
  </si>
  <si>
    <t>田渕　一</t>
    <rPh sb="0" eb="2">
      <t>タブチ</t>
    </rPh>
    <rPh sb="3" eb="4">
      <t>ハジメ</t>
    </rPh>
    <phoneticPr fontId="4"/>
  </si>
  <si>
    <t>会員</t>
    <rPh sb="0" eb="2">
      <t>カイイン</t>
    </rPh>
    <phoneticPr fontId="4"/>
  </si>
  <si>
    <t>古川</t>
    <rPh sb="0" eb="2">
      <t>フルカワ</t>
    </rPh>
    <phoneticPr fontId="4"/>
  </si>
  <si>
    <t>島　まなみ</t>
    <rPh sb="0" eb="1">
      <t>シマ</t>
    </rPh>
    <phoneticPr fontId="4"/>
  </si>
  <si>
    <t>G410　UT</t>
    <phoneticPr fontId="4"/>
  </si>
  <si>
    <t>本津　孝弘</t>
    <rPh sb="0" eb="1">
      <t>モト</t>
    </rPh>
    <rPh sb="1" eb="2">
      <t>ツ</t>
    </rPh>
    <rPh sb="3" eb="5">
      <t>タカヒロ</t>
    </rPh>
    <phoneticPr fontId="4"/>
  </si>
  <si>
    <t>8月分</t>
    <rPh sb="1" eb="3">
      <t>ガツブン</t>
    </rPh>
    <phoneticPr fontId="4"/>
  </si>
  <si>
    <t>8~9月分</t>
    <rPh sb="3" eb="5">
      <t>ガツブン</t>
    </rPh>
    <phoneticPr fontId="4"/>
  </si>
  <si>
    <t>試打　無制限</t>
    <rPh sb="0" eb="2">
      <t>シダ</t>
    </rPh>
    <rPh sb="3" eb="6">
      <t>ムセイゲン</t>
    </rPh>
    <phoneticPr fontId="4"/>
  </si>
  <si>
    <t>鉄本　一平</t>
    <rPh sb="0" eb="2">
      <t>テツモト</t>
    </rPh>
    <rPh sb="3" eb="5">
      <t>イッペイ</t>
    </rPh>
    <phoneticPr fontId="4"/>
  </si>
  <si>
    <t>福原</t>
    <rPh sb="0" eb="2">
      <t>フクハラ</t>
    </rPh>
    <phoneticPr fontId="4"/>
  </si>
  <si>
    <t>販売</t>
    <rPh sb="0" eb="2">
      <t>ハンバイ</t>
    </rPh>
    <phoneticPr fontId="4"/>
  </si>
  <si>
    <t>大津　方順</t>
    <rPh sb="0" eb="2">
      <t>オオツ</t>
    </rPh>
    <rPh sb="3" eb="5">
      <t>ホウジュン</t>
    </rPh>
    <phoneticPr fontId="4"/>
  </si>
  <si>
    <t>STM</t>
    <phoneticPr fontId="4"/>
  </si>
  <si>
    <t>S-1 PROTO TYPE ﾈｲﾋﾞｰ×ﾎﾜｲﾄ 有</t>
    <rPh sb="26" eb="27">
      <t>アリ</t>
    </rPh>
    <phoneticPr fontId="4"/>
  </si>
  <si>
    <t>土山　慶子</t>
    <rPh sb="0" eb="2">
      <t>ツチヤマ</t>
    </rPh>
    <rPh sb="3" eb="5">
      <t>ケイコ</t>
    </rPh>
    <phoneticPr fontId="4"/>
  </si>
  <si>
    <t>20cm 白　右</t>
    <rPh sb="5" eb="6">
      <t>シロ</t>
    </rPh>
    <rPh sb="7" eb="8">
      <t>ミギ</t>
    </rPh>
    <phoneticPr fontId="4"/>
  </si>
  <si>
    <t>中畠　悠太</t>
    <rPh sb="0" eb="2">
      <t>ナカハタ</t>
    </rPh>
    <rPh sb="3" eb="5">
      <t>ユウタ</t>
    </rPh>
    <phoneticPr fontId="4"/>
  </si>
  <si>
    <t>榎本</t>
    <rPh sb="0" eb="2">
      <t>エノモト</t>
    </rPh>
    <phoneticPr fontId="4"/>
  </si>
  <si>
    <t>田中　杏里</t>
    <rPh sb="0" eb="2">
      <t>タナカ</t>
    </rPh>
    <rPh sb="3" eb="5">
      <t>アンリ</t>
    </rPh>
    <phoneticPr fontId="4"/>
  </si>
  <si>
    <t>大黒　雄介</t>
    <rPh sb="0" eb="2">
      <t>ダイコク</t>
    </rPh>
    <rPh sb="3" eb="5">
      <t>ユウスケ</t>
    </rPh>
    <phoneticPr fontId="4"/>
  </si>
  <si>
    <t>MCC＋4 ALIGN STD 有</t>
    <rPh sb="16" eb="17">
      <t>アリ</t>
    </rPh>
    <phoneticPr fontId="4"/>
  </si>
  <si>
    <t>残金現金払い</t>
    <rPh sb="2" eb="4">
      <t>ゲンキン</t>
    </rPh>
    <phoneticPr fontId="4"/>
  </si>
  <si>
    <t>GW金券 ￥9,000 ご利用　</t>
    <rPh sb="2" eb="4">
      <t>キンケン</t>
    </rPh>
    <rPh sb="13" eb="15">
      <t>リヨウ</t>
    </rPh>
    <phoneticPr fontId="4"/>
  </si>
  <si>
    <t>浅尾　和子</t>
    <rPh sb="0" eb="2">
      <t>アサオ</t>
    </rPh>
    <rPh sb="3" eb="5">
      <t>カズコ</t>
    </rPh>
    <phoneticPr fontId="4"/>
  </si>
  <si>
    <t>販売</t>
    <rPh sb="0" eb="2">
      <t>ハンバイ</t>
    </rPh>
    <phoneticPr fontId="4"/>
  </si>
  <si>
    <t>シャフト</t>
    <phoneticPr fontId="4"/>
  </si>
  <si>
    <t>グリップ</t>
    <phoneticPr fontId="4"/>
  </si>
  <si>
    <t>USTマミヤ</t>
    <phoneticPr fontId="4"/>
  </si>
  <si>
    <t>ATTAS　SPEED　F-1　FW</t>
    <phoneticPr fontId="4"/>
  </si>
  <si>
    <t>ATTAS　SPEED　F-1  UT</t>
    <phoneticPr fontId="4"/>
  </si>
  <si>
    <t>安東</t>
    <rPh sb="0" eb="2">
      <t>アンドウ</t>
    </rPh>
    <phoneticPr fontId="4"/>
  </si>
  <si>
    <t>石原　立</t>
    <rPh sb="0" eb="2">
      <t>イシハラ</t>
    </rPh>
    <rPh sb="3" eb="4">
      <t>タ</t>
    </rPh>
    <phoneticPr fontId="4"/>
  </si>
  <si>
    <t>会員</t>
    <rPh sb="0" eb="2">
      <t>カイイン</t>
    </rPh>
    <phoneticPr fontId="4"/>
  </si>
  <si>
    <t>月会費</t>
    <phoneticPr fontId="4"/>
  </si>
  <si>
    <t>TOUR　AD　DI　6　X</t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</si>
  <si>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</si>
  <si>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</si>
  <si>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竹迫　憲弘</t>
    <rPh sb="0" eb="2">
      <t>タケサコ</t>
    </rPh>
    <rPh sb="3" eb="5">
      <t>ノリヒロ</t>
    </rPh>
    <phoneticPr fontId="4"/>
  </si>
  <si>
    <t>Tour Velvet 無</t>
    <rPh sb="12" eb="13">
      <t>ナシ</t>
    </rPh>
    <phoneticPr fontId="4"/>
  </si>
  <si>
    <t>森井　淳司</t>
    <rPh sb="0" eb="2">
      <t>モリイ</t>
    </rPh>
    <rPh sb="3" eb="5">
      <t>ジュンジ</t>
    </rPh>
    <phoneticPr fontId="4"/>
  </si>
  <si>
    <t>宮崎　聖子</t>
    <rPh sb="0" eb="2">
      <t>ミヤザキ</t>
    </rPh>
    <rPh sb="3" eb="5">
      <t>セイコ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</si>
  <si>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</si>
  <si>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</si>
  <si>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グリップ</t>
    <phoneticPr fontId="4"/>
  </si>
  <si>
    <t>sticky army 1.8 ブルー　有</t>
    <rPh sb="20" eb="21">
      <t>アリ</t>
    </rPh>
    <phoneticPr fontId="4"/>
  </si>
  <si>
    <t>stickyオーパス2　ホワイトスカイブルー　有</t>
    <rPh sb="23" eb="24">
      <t>アリ</t>
    </rPh>
    <phoneticPr fontId="4"/>
  </si>
  <si>
    <t>NO.1</t>
    <phoneticPr fontId="4"/>
  </si>
  <si>
    <t>パターカバーホルダー</t>
    <phoneticPr fontId="4"/>
  </si>
  <si>
    <t>パターカバーホルダー＆グリーンフォーク</t>
    <phoneticPr fontId="4"/>
  </si>
  <si>
    <t>GW金券 ￥10,000 ご利用　</t>
    <rPh sb="2" eb="4">
      <t>キンケン</t>
    </rPh>
    <rPh sb="14" eb="16">
      <t>リヨウ</t>
    </rPh>
    <phoneticPr fontId="4"/>
  </si>
  <si>
    <t>古川</t>
    <rPh sb="0" eb="2">
      <t>フルカワ</t>
    </rPh>
    <phoneticPr fontId="4"/>
  </si>
  <si>
    <t>武智　基教</t>
    <rPh sb="0" eb="2">
      <t>タケチ</t>
    </rPh>
    <rPh sb="3" eb="5">
      <t>モトノリ</t>
    </rPh>
    <phoneticPr fontId="4"/>
  </si>
  <si>
    <t>工賃</t>
    <rPh sb="0" eb="2">
      <t>コウチン</t>
    </rPh>
    <phoneticPr fontId="4"/>
  </si>
  <si>
    <t>グリップ交換</t>
    <rPh sb="4" eb="6">
      <t>コウカン</t>
    </rPh>
    <phoneticPr fontId="4"/>
  </si>
  <si>
    <t>Sticky SUPER LIGHT 1.8 ﾌﾞﾙｰ(有)  35g</t>
    <rPh sb="28" eb="29">
      <t>アリ</t>
    </rPh>
    <phoneticPr fontId="4"/>
  </si>
  <si>
    <t>福原</t>
    <rPh sb="0" eb="2">
      <t>フクハラ</t>
    </rPh>
    <phoneticPr fontId="4"/>
  </si>
  <si>
    <t>安東</t>
    <rPh sb="0" eb="2">
      <t>アンドウ</t>
    </rPh>
    <phoneticPr fontId="4"/>
  </si>
  <si>
    <t>岡浦　義治</t>
    <rPh sb="0" eb="2">
      <t>オカウラ</t>
    </rPh>
    <rPh sb="3" eb="4">
      <t>ヨシ</t>
    </rPh>
    <rPh sb="4" eb="5">
      <t>オサム</t>
    </rPh>
    <phoneticPr fontId="4"/>
  </si>
  <si>
    <t>利用料</t>
    <rPh sb="0" eb="3">
      <t>リヨウリョウ</t>
    </rPh>
    <phoneticPr fontId="4"/>
  </si>
  <si>
    <t>シャフト</t>
    <phoneticPr fontId="4"/>
  </si>
  <si>
    <t>ATTAS　SPEED　F-2　DR</t>
    <phoneticPr fontId="4"/>
  </si>
  <si>
    <t>会員</t>
    <rPh sb="0" eb="2">
      <t>カイイン</t>
    </rPh>
    <phoneticPr fontId="4"/>
  </si>
  <si>
    <t>工賃</t>
    <rPh sb="0" eb="2">
      <t>コウチン</t>
    </rPh>
    <phoneticPr fontId="4"/>
  </si>
  <si>
    <t>スリーブ交換</t>
    <rPh sb="4" eb="6">
      <t>コウカン</t>
    </rPh>
    <phoneticPr fontId="4"/>
  </si>
  <si>
    <t>安東</t>
    <rPh sb="0" eb="2">
      <t>アンドウ</t>
    </rPh>
    <phoneticPr fontId="4"/>
  </si>
  <si>
    <t>Sticky evolution 2.3コーラルレッド BL有</t>
    <rPh sb="30" eb="31">
      <t>アリ</t>
    </rPh>
    <phoneticPr fontId="4"/>
  </si>
  <si>
    <t>stickyオーパス3　スカイブルーホワイト　無</t>
    <rPh sb="23" eb="24">
      <t>ナシ</t>
    </rPh>
    <phoneticPr fontId="4"/>
  </si>
  <si>
    <t>会員</t>
    <rPh sb="0" eb="2">
      <t>カイイン</t>
    </rPh>
    <phoneticPr fontId="4"/>
  </si>
  <si>
    <t>工賃</t>
    <rPh sb="0" eb="2">
      <t>コウチン</t>
    </rPh>
    <phoneticPr fontId="4"/>
  </si>
  <si>
    <t>グリップ交換</t>
    <rPh sb="4" eb="6">
      <t>コウカン</t>
    </rPh>
    <phoneticPr fontId="4"/>
  </si>
  <si>
    <t>現金</t>
    <rPh sb="0" eb="2">
      <t>ゲンキン</t>
    </rPh>
    <phoneticPr fontId="4"/>
  </si>
  <si>
    <t>福原</t>
    <rPh sb="0" eb="2">
      <t>フクハラ</t>
    </rPh>
    <phoneticPr fontId="4"/>
  </si>
  <si>
    <t>青山　林平</t>
    <rPh sb="0" eb="2">
      <t>アオヤマ</t>
    </rPh>
    <rPh sb="3" eb="5">
      <t>リンペイ</t>
    </rPh>
    <phoneticPr fontId="4"/>
  </si>
  <si>
    <t>販売</t>
    <rPh sb="0" eb="2">
      <t>ハンバイ</t>
    </rPh>
    <phoneticPr fontId="4"/>
  </si>
  <si>
    <t>シャフト</t>
    <phoneticPr fontId="4"/>
  </si>
  <si>
    <t>スリーブ</t>
    <phoneticPr fontId="4"/>
  </si>
  <si>
    <t>GTD</t>
    <phoneticPr fontId="4"/>
  </si>
  <si>
    <t>グリップ</t>
    <phoneticPr fontId="4"/>
  </si>
  <si>
    <t>WD-01　28</t>
    <phoneticPr fontId="4"/>
  </si>
  <si>
    <t>CP2　Pro　ミッド</t>
    <phoneticPr fontId="4"/>
  </si>
  <si>
    <t>返品履歴有</t>
    <rPh sb="0" eb="4">
      <t>ヘンピンリレキ</t>
    </rPh>
    <rPh sb="4" eb="5">
      <t>アリ</t>
    </rPh>
    <phoneticPr fontId="4"/>
  </si>
  <si>
    <t>谷川</t>
    <rPh sb="0" eb="2">
      <t>タニガワ</t>
    </rPh>
    <phoneticPr fontId="4"/>
  </si>
  <si>
    <t>2026年6月23日　参加料</t>
    <rPh sb="4" eb="5">
      <t>ネン</t>
    </rPh>
    <rPh sb="6" eb="7">
      <t>ガツ</t>
    </rPh>
    <rPh sb="9" eb="10">
      <t>ニチ</t>
    </rPh>
    <rPh sb="11" eb="14">
      <t>サンカリョウ</t>
    </rPh>
    <phoneticPr fontId="4"/>
  </si>
  <si>
    <t>Sticky evolution 1.8 ブルー BL有</t>
    <rPh sb="27" eb="28">
      <t>アリ</t>
    </rPh>
    <phoneticPr fontId="4"/>
  </si>
  <si>
    <t>柳　孝之</t>
    <rPh sb="0" eb="1">
      <t>ヤナギ</t>
    </rPh>
    <rPh sb="2" eb="3">
      <t>タカ</t>
    </rPh>
    <rPh sb="3" eb="4">
      <t>ユキ</t>
    </rPh>
    <phoneticPr fontId="4"/>
  </si>
  <si>
    <t>春馬</t>
    <rPh sb="0" eb="2">
      <t>ハルマ</t>
    </rPh>
    <phoneticPr fontId="4"/>
  </si>
  <si>
    <t>山本　鐘徳</t>
    <rPh sb="0" eb="2">
      <t>ヤマモト</t>
    </rPh>
    <rPh sb="3" eb="5">
      <t>ショウトク</t>
    </rPh>
    <phoneticPr fontId="4"/>
  </si>
  <si>
    <t>会員</t>
    <rPh sb="0" eb="2">
      <t>カイイン</t>
    </rPh>
    <phoneticPr fontId="4"/>
  </si>
  <si>
    <t>販売</t>
    <rPh sb="0" eb="2">
      <t>ハンバイ</t>
    </rPh>
    <phoneticPr fontId="4"/>
  </si>
  <si>
    <t>グリップ</t>
    <phoneticPr fontId="4"/>
  </si>
  <si>
    <t>ミンナニアウシャフト</t>
    <phoneticPr fontId="4"/>
  </si>
  <si>
    <t>cp2 pro レッド</t>
    <phoneticPr fontId="4"/>
  </si>
  <si>
    <t>MCC　ホワイト　BL無</t>
    <rPh sb="11" eb="12">
      <t>ナシ</t>
    </rPh>
    <phoneticPr fontId="4"/>
  </si>
  <si>
    <t>会員</t>
    <rPh sb="0" eb="2">
      <t>カイイン</t>
    </rPh>
    <phoneticPr fontId="4"/>
  </si>
  <si>
    <t>安東</t>
    <rPh sb="0" eb="2">
      <t>アンドウ</t>
    </rPh>
    <phoneticPr fontId="4"/>
  </si>
  <si>
    <t>FW 4W</t>
    <phoneticPr fontId="4"/>
  </si>
  <si>
    <t xml:space="preserve">UT 4U </t>
    <phoneticPr fontId="4"/>
  </si>
  <si>
    <t>iX touch  無</t>
    <rPh sb="10" eb="11">
      <t>ナシ</t>
    </rPh>
    <phoneticPr fontId="4"/>
  </si>
  <si>
    <t>高倉　龍太</t>
    <rPh sb="0" eb="2">
      <t>タカクラ</t>
    </rPh>
    <rPh sb="3" eb="5">
      <t>リュウタ</t>
    </rPh>
    <phoneticPr fontId="4"/>
  </si>
  <si>
    <t>Sticky evolution 1.8 ブルー BL 無</t>
    <rPh sb="28" eb="29">
      <t>ナシ</t>
    </rPh>
    <phoneticPr fontId="4"/>
  </si>
  <si>
    <t>会員</t>
    <rPh sb="0" eb="2">
      <t>カイイン</t>
    </rPh>
    <phoneticPr fontId="4"/>
  </si>
  <si>
    <t>古川</t>
    <rPh sb="0" eb="2">
      <t>フルカワ</t>
    </rPh>
    <phoneticPr fontId="4"/>
  </si>
  <si>
    <t>安東</t>
    <rPh sb="0" eb="2">
      <t>アンドウ</t>
    </rPh>
    <phoneticPr fontId="4"/>
  </si>
  <si>
    <t>販売</t>
    <rPh sb="0" eb="2">
      <t>ハンバイ</t>
    </rPh>
    <phoneticPr fontId="4"/>
  </si>
  <si>
    <t>LEFT　DASH</t>
    <phoneticPr fontId="4"/>
  </si>
  <si>
    <t>会員</t>
    <rPh sb="0" eb="2">
      <t>カイイン</t>
    </rPh>
    <phoneticPr fontId="4"/>
  </si>
  <si>
    <t>川端　一寿</t>
    <rPh sb="0" eb="2">
      <t>カワバタ</t>
    </rPh>
    <rPh sb="3" eb="5">
      <t>カズヒサ</t>
    </rPh>
    <phoneticPr fontId="4"/>
  </si>
  <si>
    <t>農本　奈緒美</t>
    <rPh sb="0" eb="2">
      <t>ノウモト</t>
    </rPh>
    <rPh sb="3" eb="6">
      <t>ナオミ</t>
    </rPh>
    <phoneticPr fontId="4"/>
  </si>
  <si>
    <t>安東</t>
    <rPh sb="0" eb="2">
      <t>アンドウ</t>
    </rPh>
    <phoneticPr fontId="4"/>
  </si>
  <si>
    <t>24cm 白　左</t>
    <rPh sb="5" eb="6">
      <t>シロ</t>
    </rPh>
    <rPh sb="7" eb="8">
      <t>ヒダリ</t>
    </rPh>
    <phoneticPr fontId="4"/>
  </si>
  <si>
    <t>6/25返金済み</t>
    <rPh sb="4" eb="6">
      <t>ヘンキン</t>
    </rPh>
    <rPh sb="6" eb="7">
      <t>ズ</t>
    </rPh>
    <phoneticPr fontId="4"/>
  </si>
  <si>
    <t>6/10お支払い分</t>
    <rPh sb="5" eb="7">
      <t>シハラ</t>
    </rPh>
    <rPh sb="8" eb="9">
      <t>ブン</t>
    </rPh>
    <phoneticPr fontId="4"/>
  </si>
  <si>
    <t>谷川</t>
    <rPh sb="0" eb="2">
      <t>タニガワ</t>
    </rPh>
    <phoneticPr fontId="4"/>
  </si>
  <si>
    <t>古川</t>
    <rPh sb="0" eb="2">
      <t>フルカワ</t>
    </rPh>
    <phoneticPr fontId="4"/>
  </si>
  <si>
    <t>森本　誠一</t>
    <rPh sb="0" eb="2">
      <t>モリモト</t>
    </rPh>
    <rPh sb="3" eb="5">
      <t>セイイチ</t>
    </rPh>
    <phoneticPr fontId="4"/>
  </si>
  <si>
    <t>クラブ</t>
    <phoneticPr fontId="4"/>
  </si>
  <si>
    <t>G440 #4 23°</t>
    <phoneticPr fontId="4"/>
  </si>
  <si>
    <t>G440 #5 26°</t>
    <phoneticPr fontId="4"/>
  </si>
  <si>
    <t>G440 #6 30°</t>
    <phoneticPr fontId="4"/>
  </si>
  <si>
    <t>シャフト</t>
    <phoneticPr fontId="4"/>
  </si>
  <si>
    <t>グリップ</t>
    <phoneticPr fontId="4"/>
  </si>
  <si>
    <t>OT TOUR Hybrid h90 S</t>
    <phoneticPr fontId="4"/>
  </si>
  <si>
    <t>浅尾　茂人</t>
    <rPh sb="0" eb="2">
      <t>アサオ</t>
    </rPh>
    <rPh sb="3" eb="5">
      <t>シゲト</t>
    </rPh>
    <phoneticPr fontId="4"/>
  </si>
  <si>
    <t>エリート</t>
    <phoneticPr fontId="4"/>
  </si>
  <si>
    <t>AIR SPEEDER UT STANDARD 黒</t>
    <rPh sb="24" eb="25">
      <t>クロ</t>
    </rPh>
    <phoneticPr fontId="4"/>
  </si>
  <si>
    <t>Y360 Star ﾍﾟﾙﾘﾅﾌﾞﾗｯｸ 無</t>
    <rPh sb="21" eb="22">
      <t>ナシ</t>
    </rPh>
    <phoneticPr fontId="4"/>
  </si>
  <si>
    <t>後藤　徹</t>
    <rPh sb="0" eb="2">
      <t>ゴトウ</t>
    </rPh>
    <rPh sb="3" eb="4">
      <t>トオル</t>
    </rPh>
    <phoneticPr fontId="4"/>
  </si>
  <si>
    <t>トゥルーテンパー</t>
    <phoneticPr fontId="4"/>
  </si>
  <si>
    <t>DG85 IS テーパーS200 4I 用</t>
    <rPh sb="20" eb="21">
      <t>ヨウ</t>
    </rPh>
    <phoneticPr fontId="4"/>
  </si>
  <si>
    <t>安東</t>
    <rPh sb="0" eb="2">
      <t>アンドウ</t>
    </rPh>
    <phoneticPr fontId="4"/>
  </si>
  <si>
    <t>川端　柚茉</t>
    <rPh sb="0" eb="2">
      <t>カワバタ</t>
    </rPh>
    <rPh sb="3" eb="4">
      <t>ユズ</t>
    </rPh>
    <rPh sb="4" eb="5">
      <t>マツ</t>
    </rPh>
    <phoneticPr fontId="4"/>
  </si>
  <si>
    <t>販売</t>
    <rPh sb="0" eb="2">
      <t>ハンバイ</t>
    </rPh>
    <phoneticPr fontId="4"/>
  </si>
  <si>
    <t>工賃</t>
    <rPh sb="0" eb="2">
      <t>コウチン</t>
    </rPh>
    <phoneticPr fontId="4"/>
  </si>
  <si>
    <t>グリップ</t>
    <phoneticPr fontId="4"/>
  </si>
  <si>
    <t>グリップ交換</t>
    <rPh sb="4" eb="6">
      <t>コウカン</t>
    </rPh>
    <phoneticPr fontId="4"/>
  </si>
  <si>
    <t>LIFATH INNOV M60　 BLACK</t>
  </si>
  <si>
    <t>LIFATH</t>
    <phoneticPr fontId="4"/>
  </si>
  <si>
    <t>須田　耕介</t>
    <rPh sb="0" eb="2">
      <t>スダ</t>
    </rPh>
    <rPh sb="3" eb="4">
      <t>コウ</t>
    </rPh>
    <rPh sb="4" eb="5">
      <t>スケ</t>
    </rPh>
    <phoneticPr fontId="4"/>
  </si>
  <si>
    <t>会員</t>
    <rPh sb="0" eb="2">
      <t>カイイン</t>
    </rPh>
    <phoneticPr fontId="4"/>
  </si>
  <si>
    <t>月会費</t>
    <phoneticPr fontId="4"/>
  </si>
  <si>
    <t xml:space="preserve">マスター　3か月 </t>
    <rPh sb="7" eb="8">
      <t>ゲツ</t>
    </rPh>
    <phoneticPr fontId="4"/>
  </si>
  <si>
    <t>販売</t>
    <rPh sb="0" eb="2">
      <t>ハンバイ</t>
    </rPh>
    <phoneticPr fontId="4"/>
  </si>
  <si>
    <t>グリップ</t>
    <phoneticPr fontId="4"/>
  </si>
  <si>
    <t>SUPERSTROKE</t>
    <phoneticPr fontId="4"/>
  </si>
  <si>
    <t>PISTOL　2.0</t>
    <phoneticPr fontId="4"/>
  </si>
  <si>
    <t>現金</t>
    <rPh sb="0" eb="2">
      <t>ゲンキン</t>
    </rPh>
    <phoneticPr fontId="4"/>
  </si>
  <si>
    <t>安東</t>
    <rPh sb="0" eb="2">
      <t>アンドウ</t>
    </rPh>
    <phoneticPr fontId="4"/>
  </si>
  <si>
    <t>現金</t>
    <rPh sb="0" eb="2">
      <t>ゲンキン</t>
    </rPh>
    <phoneticPr fontId="4"/>
  </si>
  <si>
    <t>販売</t>
    <rPh sb="0" eb="2">
      <t>ハンバイ</t>
    </rPh>
    <phoneticPr fontId="4"/>
  </si>
  <si>
    <t>中西　亜維</t>
    <rPh sb="0" eb="2">
      <t>ナカニシ</t>
    </rPh>
    <rPh sb="3" eb="4">
      <t>ア</t>
    </rPh>
    <rPh sb="4" eb="5">
      <t>イ</t>
    </rPh>
    <phoneticPr fontId="4"/>
  </si>
  <si>
    <t>練習器具</t>
    <rPh sb="0" eb="4">
      <t>レンシュウキグ</t>
    </rPh>
    <phoneticPr fontId="4"/>
  </si>
  <si>
    <t>パイソン20g30g</t>
    <phoneticPr fontId="4"/>
  </si>
  <si>
    <t>井殿</t>
    <rPh sb="0" eb="2">
      <t>イドノ</t>
    </rPh>
    <phoneticPr fontId="4"/>
  </si>
  <si>
    <t>春馬</t>
    <rPh sb="0" eb="2">
      <t>ハルマ</t>
    </rPh>
    <phoneticPr fontId="4"/>
  </si>
  <si>
    <t>木村　稔</t>
    <rPh sb="0" eb="2">
      <t>キムラ</t>
    </rPh>
    <rPh sb="3" eb="4">
      <t>ミノル</t>
    </rPh>
    <phoneticPr fontId="4"/>
  </si>
  <si>
    <t>北　秀実</t>
    <rPh sb="0" eb="1">
      <t>キタ</t>
    </rPh>
    <rPh sb="2" eb="4">
      <t>ヒデミ</t>
    </rPh>
    <phoneticPr fontId="4"/>
  </si>
  <si>
    <t>シャフト差し</t>
    <rPh sb="4" eb="5">
      <t>サ</t>
    </rPh>
    <phoneticPr fontId="4"/>
  </si>
  <si>
    <t>浅田　裕美子</t>
    <rPh sb="0" eb="2">
      <t>アサダ</t>
    </rPh>
    <rPh sb="3" eb="6">
      <t>ユミコ</t>
    </rPh>
    <phoneticPr fontId="4"/>
  </si>
  <si>
    <t>会員</t>
    <rPh sb="0" eb="2">
      <t>カイイン</t>
    </rPh>
    <phoneticPr fontId="4"/>
  </si>
  <si>
    <t>sticky army Lj 1.0</t>
    <phoneticPr fontId="4"/>
  </si>
  <si>
    <t>6/26お支払い分</t>
    <rPh sb="5" eb="7">
      <t>シハラ</t>
    </rPh>
    <rPh sb="8" eb="9">
      <t>ブン</t>
    </rPh>
    <phoneticPr fontId="4"/>
  </si>
  <si>
    <t>6/27 現金 返金済み</t>
    <rPh sb="5" eb="7">
      <t>ゲンキン</t>
    </rPh>
    <rPh sb="6" eb="7">
      <t>ズ</t>
    </rPh>
    <rPh sb="8" eb="10">
      <t>ヘンキン</t>
    </rPh>
    <phoneticPr fontId="4"/>
  </si>
  <si>
    <t>IXx 2.3</t>
    <phoneticPr fontId="4"/>
  </si>
  <si>
    <t>SALE品</t>
    <rPh sb="4" eb="5">
      <t>ヒン</t>
    </rPh>
    <phoneticPr fontId="4"/>
  </si>
  <si>
    <t>グリップ交換</t>
    <rPh sb="4" eb="6">
      <t>コウカン</t>
    </rPh>
    <phoneticPr fontId="4"/>
  </si>
  <si>
    <t>シャフト差し</t>
    <rPh sb="4" eb="5">
      <t>サ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</si>
</sst>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¥&quot;#,##0_);[Red]\(&quot;¥&quot;#,##0\)"/>
    <numFmt numFmtId="177" formatCode="0.00_ "/>
    <numFmt numFmtId="178" formatCode="yyyy/m/d;@"/>
    <numFmt numFmtId="179" formatCode="#,##0_);[Red]\(#,##0\)"/>
    <numFmt numFmtId="180" formatCode="#,##0_ ;[Red]\-#,##0\ "/>
    <numFmt numFmtId="181" formatCode="#,##0_);\(#,##0\)"/>
    <numFmt numFmtId="182" formatCode="0_ ;[Red]\-0\ "/>
    <numFmt numFmtId="183" formatCode="0.0_ "/>
    <numFmt numFmtId="184" formatCode="[$¥-411]#,##0_);[Red]\([$¥-411]#,##0\)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メイリオ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6"/>
      <color rgb="FFFF0000"/>
      <name val="メイリオ"/>
      <family val="3"/>
      <charset val="128"/>
    </font>
    <font>
      <sz val="11"/>
      <name val="游ゴシック"/>
      <family val="2"/>
      <charset val="128"/>
      <scheme val="minor"/>
    </font>
    <font>
      <sz val="1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4"/>
      <color rgb="FFFF0000"/>
      <name val="メイリオ"/>
      <family val="3"/>
      <charset val="128"/>
    </font>
    <font>
      <sz val="9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1"/>
      <color theme="3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trike/>
      <sz val="11"/>
      <color theme="1"/>
      <name val="游ゴシック Light"/>
      <family val="3"/>
      <charset val="128"/>
    </font>
    <font>
      <strike/>
      <sz val="11"/>
      <color rgb="FFFF0000"/>
      <name val="游ゴシック Light"/>
      <family val="3"/>
      <charset val="128"/>
    </font>
    <font>
      <sz val="12"/>
      <color theme="1"/>
      <name val="メイリオ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メイリオ"/>
      <family val="3"/>
      <charset val="128"/>
    </font>
    <font>
      <b/>
      <strike/>
      <sz val="11"/>
      <color rgb="FFFF0000"/>
      <name val="メイリオ"/>
      <family val="3"/>
      <charset val="128"/>
    </font>
    <font>
      <b/>
      <sz val="11"/>
      <color rgb="FF00B050"/>
      <name val="メイリオ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ck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rgb="FF00B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rgb="FF00B0F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/>
      </bottom>
      <diagonal/>
    </border>
    <border>
      <left style="thin">
        <color auto="1"/>
      </left>
      <right/>
      <top/>
      <bottom style="medium">
        <color theme="4"/>
      </bottom>
      <diagonal/>
    </border>
    <border>
      <left style="thin">
        <color auto="1"/>
      </left>
      <right style="thin">
        <color auto="1"/>
      </right>
      <top style="medium">
        <color theme="4" tint="-0.249977111117893"/>
      </top>
      <bottom style="thin">
        <color auto="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515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177" fontId="3" fillId="3" borderId="2" xfId="0" applyNumberFormat="1" applyFont="1" applyFill="1" applyBorder="1" applyAlignment="1">
      <alignment horizontal="center" vertical="center"/>
    </xf>
    <xf numFmtId="38" fontId="3" fillId="3" borderId="2" xfId="0" applyNumberFormat="1" applyFont="1" applyFill="1" applyBorder="1" applyAlignment="1">
      <alignment horizontal="center" vertical="center"/>
    </xf>
    <xf numFmtId="38" fontId="3" fillId="4" borderId="2" xfId="0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0" fillId="0" borderId="2" xfId="0" applyBorder="1">
      <alignment vertical="center"/>
    </xf>
    <xf numFmtId="38" fontId="5" fillId="0" borderId="2" xfId="2" applyNumberFormat="1" applyFont="1" applyBorder="1">
      <alignment vertical="center"/>
    </xf>
    <xf numFmtId="38" fontId="5" fillId="0" borderId="2" xfId="3" applyFont="1" applyFill="1" applyBorder="1" applyAlignment="1">
      <alignment horizontal="right" vertical="center"/>
    </xf>
    <xf numFmtId="38" fontId="5" fillId="0" borderId="4" xfId="2" applyNumberFormat="1" applyFont="1" applyBorder="1">
      <alignment vertical="center"/>
    </xf>
    <xf numFmtId="14" fontId="5" fillId="0" borderId="2" xfId="2" applyNumberFormat="1" applyFont="1" applyBorder="1" applyAlignment="1">
      <alignment horizontal="center" vertical="center"/>
    </xf>
    <xf numFmtId="0" fontId="5" fillId="5" borderId="2" xfId="2" applyFont="1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38" fontId="5" fillId="5" borderId="2" xfId="2" applyNumberFormat="1" applyFont="1" applyFill="1" applyBorder="1">
      <alignment vertical="center"/>
    </xf>
    <xf numFmtId="38" fontId="7" fillId="5" borderId="2" xfId="3" applyFont="1" applyFill="1" applyBorder="1" applyAlignment="1">
      <alignment horizontal="right" vertical="center"/>
    </xf>
    <xf numFmtId="0" fontId="0" fillId="5" borderId="0" xfId="0" applyFill="1">
      <alignment vertical="center"/>
    </xf>
    <xf numFmtId="38" fontId="5" fillId="5" borderId="4" xfId="2" applyNumberFormat="1" applyFont="1" applyFill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38" fontId="9" fillId="0" borderId="4" xfId="2" applyNumberFormat="1" applyFont="1" applyBorder="1">
      <alignment vertical="center"/>
    </xf>
    <xf numFmtId="0" fontId="5" fillId="0" borderId="5" xfId="2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38" fontId="5" fillId="0" borderId="5" xfId="2" applyNumberFormat="1" applyFont="1" applyBorder="1">
      <alignment vertical="center"/>
    </xf>
    <xf numFmtId="38" fontId="5" fillId="0" borderId="5" xfId="3" applyFont="1" applyFill="1" applyBorder="1" applyAlignment="1">
      <alignment horizontal="right" vertical="center"/>
    </xf>
    <xf numFmtId="38" fontId="5" fillId="0" borderId="6" xfId="2" applyNumberFormat="1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38" fontId="5" fillId="0" borderId="7" xfId="2" applyNumberFormat="1" applyFont="1" applyBorder="1">
      <alignment vertical="center"/>
    </xf>
    <xf numFmtId="38" fontId="5" fillId="0" borderId="7" xfId="3" applyFont="1" applyFill="1" applyBorder="1" applyAlignment="1">
      <alignment horizontal="right" vertical="center"/>
    </xf>
    <xf numFmtId="177" fontId="3" fillId="0" borderId="2" xfId="0" applyNumberFormat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38" fontId="3" fillId="0" borderId="2" xfId="0" applyNumberFormat="1" applyFont="1" applyBorder="1">
      <alignment vertical="center"/>
    </xf>
    <xf numFmtId="14" fontId="10" fillId="0" borderId="2" xfId="2" applyNumberFormat="1" applyFont="1" applyBorder="1" applyAlignment="1">
      <alignment horizontal="center" vertical="center"/>
    </xf>
    <xf numFmtId="0" fontId="3" fillId="6" borderId="0" xfId="0" applyFont="1" applyFill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38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38" fontId="3" fillId="0" borderId="4" xfId="0" applyNumberFormat="1" applyFont="1" applyBorder="1">
      <alignment vertical="center"/>
    </xf>
    <xf numFmtId="177" fontId="3" fillId="0" borderId="4" xfId="0" applyNumberFormat="1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0" fillId="0" borderId="9" xfId="0" applyBorder="1">
      <alignment vertical="center"/>
    </xf>
    <xf numFmtId="38" fontId="5" fillId="0" borderId="9" xfId="2" applyNumberFormat="1" applyFont="1" applyBorder="1">
      <alignment vertical="center"/>
    </xf>
    <xf numFmtId="38" fontId="5" fillId="0" borderId="9" xfId="3" applyFont="1" applyFill="1" applyBorder="1" applyAlignment="1">
      <alignment horizontal="right" vertical="center"/>
    </xf>
    <xf numFmtId="0" fontId="3" fillId="0" borderId="10" xfId="0" applyFont="1" applyBorder="1">
      <alignment vertical="center"/>
    </xf>
    <xf numFmtId="38" fontId="5" fillId="0" borderId="8" xfId="2" applyNumberFormat="1" applyFont="1" applyBorder="1">
      <alignment vertical="center"/>
    </xf>
    <xf numFmtId="0" fontId="11" fillId="6" borderId="0" xfId="0" applyFont="1" applyFill="1" applyAlignment="1">
      <alignment horizontal="center" vertical="center"/>
    </xf>
    <xf numFmtId="0" fontId="5" fillId="0" borderId="2" xfId="0" applyFont="1" applyBorder="1">
      <alignment vertical="center"/>
    </xf>
    <xf numFmtId="0" fontId="5" fillId="5" borderId="2" xfId="0" applyFont="1" applyFill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4" xfId="0" applyFont="1" applyBorder="1">
      <alignment vertical="center"/>
    </xf>
    <xf numFmtId="38" fontId="5" fillId="0" borderId="2" xfId="0" applyNumberFormat="1" applyFont="1" applyBorder="1">
      <alignment vertical="center"/>
    </xf>
    <xf numFmtId="38" fontId="5" fillId="0" borderId="2" xfId="1" applyFont="1" applyBorder="1" applyAlignment="1">
      <alignment horizontal="right" vertical="center"/>
    </xf>
    <xf numFmtId="178" fontId="5" fillId="0" borderId="4" xfId="0" applyNumberFormat="1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78" fontId="5" fillId="0" borderId="2" xfId="0" applyNumberFormat="1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9" fontId="5" fillId="0" borderId="4" xfId="0" applyNumberFormat="1" applyFont="1" applyBorder="1">
      <alignment vertical="center"/>
    </xf>
    <xf numFmtId="179" fontId="5" fillId="0" borderId="2" xfId="2" applyNumberFormat="1" applyFont="1" applyBorder="1">
      <alignment vertical="center"/>
    </xf>
    <xf numFmtId="179" fontId="5" fillId="0" borderId="2" xfId="3" applyNumberFormat="1" applyFont="1" applyFill="1" applyBorder="1" applyAlignment="1">
      <alignment horizontal="right" vertical="center"/>
    </xf>
    <xf numFmtId="179" fontId="5" fillId="0" borderId="2" xfId="0" applyNumberFormat="1" applyFont="1" applyBorder="1">
      <alignment vertical="center"/>
    </xf>
    <xf numFmtId="180" fontId="10" fillId="0" borderId="2" xfId="0" applyNumberFormat="1" applyFont="1" applyBorder="1">
      <alignment vertical="center"/>
    </xf>
    <xf numFmtId="180" fontId="10" fillId="5" borderId="2" xfId="0" applyNumberFormat="1" applyFont="1" applyFill="1" applyBorder="1">
      <alignment vertical="center"/>
    </xf>
    <xf numFmtId="180" fontId="10" fillId="0" borderId="5" xfId="0" applyNumberFormat="1" applyFont="1" applyBorder="1">
      <alignment vertical="center"/>
    </xf>
    <xf numFmtId="180" fontId="5" fillId="0" borderId="7" xfId="0" applyNumberFormat="1" applyFont="1" applyBorder="1">
      <alignment vertical="center"/>
    </xf>
    <xf numFmtId="180" fontId="5" fillId="0" borderId="2" xfId="0" applyNumberFormat="1" applyFont="1" applyBorder="1">
      <alignment vertical="center"/>
    </xf>
    <xf numFmtId="180" fontId="12" fillId="0" borderId="2" xfId="0" applyNumberFormat="1" applyFont="1" applyBorder="1">
      <alignment vertical="center"/>
    </xf>
    <xf numFmtId="180" fontId="5" fillId="0" borderId="9" xfId="0" applyNumberFormat="1" applyFont="1" applyBorder="1">
      <alignment vertical="center"/>
    </xf>
    <xf numFmtId="180" fontId="5" fillId="0" borderId="4" xfId="0" applyNumberFormat="1" applyFont="1" applyBorder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5" fillId="0" borderId="2" xfId="0" applyNumberFormat="1" applyFont="1" applyBorder="1">
      <alignment vertical="center"/>
    </xf>
    <xf numFmtId="0" fontId="5" fillId="2" borderId="3" xfId="0" applyFont="1" applyFill="1" applyBorder="1" applyAlignment="1">
      <alignment horizontal="center" vertical="center"/>
    </xf>
    <xf numFmtId="38" fontId="5" fillId="2" borderId="2" xfId="0" applyNumberFormat="1" applyFont="1" applyFill="1" applyBorder="1" applyAlignment="1">
      <alignment horizontal="center" vertical="center"/>
    </xf>
    <xf numFmtId="180" fontId="5" fillId="2" borderId="2" xfId="0" applyNumberFormat="1" applyFont="1" applyFill="1" applyBorder="1" applyAlignment="1">
      <alignment horizontal="center" vertical="center"/>
    </xf>
    <xf numFmtId="38" fontId="5" fillId="2" borderId="2" xfId="1" applyFont="1" applyFill="1" applyBorder="1" applyAlignment="1">
      <alignment horizontal="center" vertical="center"/>
    </xf>
    <xf numFmtId="0" fontId="12" fillId="5" borderId="2" xfId="0" applyFont="1" applyFill="1" applyBorder="1">
      <alignment vertical="center"/>
    </xf>
    <xf numFmtId="0" fontId="10" fillId="6" borderId="2" xfId="0" applyFont="1" applyFill="1" applyBorder="1">
      <alignment vertical="center"/>
    </xf>
    <xf numFmtId="38" fontId="5" fillId="0" borderId="0" xfId="0" applyNumberFormat="1" applyFont="1">
      <alignment vertical="center"/>
    </xf>
    <xf numFmtId="180" fontId="5" fillId="0" borderId="0" xfId="0" applyNumberFormat="1" applyFont="1">
      <alignment vertical="center"/>
    </xf>
    <xf numFmtId="38" fontId="5" fillId="0" borderId="0" xfId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2" borderId="2" xfId="0" applyFont="1" applyFill="1" applyBorder="1">
      <alignment vertical="center"/>
    </xf>
    <xf numFmtId="0" fontId="5" fillId="0" borderId="1" xfId="0" applyFont="1" applyBorder="1">
      <alignment vertical="center"/>
    </xf>
    <xf numFmtId="0" fontId="10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38" fontId="5" fillId="0" borderId="4" xfId="0" applyNumberFormat="1" applyFont="1" applyBorder="1">
      <alignment vertical="center"/>
    </xf>
    <xf numFmtId="38" fontId="5" fillId="0" borderId="4" xfId="1" applyFont="1" applyBorder="1" applyAlignment="1">
      <alignment horizontal="right" vertical="center"/>
    </xf>
    <xf numFmtId="0" fontId="5" fillId="0" borderId="11" xfId="0" applyFont="1" applyBorder="1" applyAlignment="1">
      <alignment horizontal="left" vertical="center"/>
    </xf>
    <xf numFmtId="0" fontId="5" fillId="0" borderId="11" xfId="0" applyFont="1" applyBorder="1">
      <alignment vertical="center"/>
    </xf>
    <xf numFmtId="38" fontId="5" fillId="0" borderId="11" xfId="0" applyNumberFormat="1" applyFont="1" applyBorder="1">
      <alignment vertical="center"/>
    </xf>
    <xf numFmtId="180" fontId="5" fillId="0" borderId="11" xfId="0" applyNumberFormat="1" applyFont="1" applyBorder="1">
      <alignment vertical="center"/>
    </xf>
    <xf numFmtId="38" fontId="5" fillId="0" borderId="11" xfId="1" applyFont="1" applyBorder="1" applyAlignment="1">
      <alignment horizontal="right" vertical="center"/>
    </xf>
    <xf numFmtId="0" fontId="13" fillId="0" borderId="2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>
      <alignment vertical="center"/>
    </xf>
    <xf numFmtId="38" fontId="5" fillId="0" borderId="13" xfId="0" applyNumberFormat="1" applyFont="1" applyBorder="1">
      <alignment vertical="center"/>
    </xf>
    <xf numFmtId="180" fontId="5" fillId="0" borderId="13" xfId="0" applyNumberFormat="1" applyFont="1" applyBorder="1">
      <alignment vertical="center"/>
    </xf>
    <xf numFmtId="38" fontId="5" fillId="0" borderId="13" xfId="1" applyFont="1" applyBorder="1" applyAlignment="1">
      <alignment horizontal="right" vertical="center"/>
    </xf>
    <xf numFmtId="0" fontId="3" fillId="0" borderId="14" xfId="0" applyFont="1" applyBorder="1">
      <alignment vertical="center"/>
    </xf>
    <xf numFmtId="0" fontId="5" fillId="0" borderId="16" xfId="0" applyFont="1" applyBorder="1">
      <alignment vertical="center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Border="1">
      <alignment vertical="center"/>
    </xf>
    <xf numFmtId="38" fontId="5" fillId="0" borderId="15" xfId="0" applyNumberFormat="1" applyFont="1" applyBorder="1">
      <alignment vertical="center"/>
    </xf>
    <xf numFmtId="180" fontId="5" fillId="0" borderId="15" xfId="0" applyNumberFormat="1" applyFont="1" applyBorder="1">
      <alignment vertical="center"/>
    </xf>
    <xf numFmtId="0" fontId="5" fillId="0" borderId="16" xfId="0" applyFont="1" applyBorder="1" applyAlignment="1">
      <alignment horizontal="left" vertical="center"/>
    </xf>
    <xf numFmtId="180" fontId="5" fillId="0" borderId="16" xfId="0" applyNumberFormat="1" applyFont="1" applyBorder="1">
      <alignment vertical="center"/>
    </xf>
    <xf numFmtId="38" fontId="5" fillId="0" borderId="16" xfId="0" applyNumberFormat="1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0" fontId="9" fillId="0" borderId="2" xfId="0" applyFont="1" applyBorder="1">
      <alignment vertical="center"/>
    </xf>
    <xf numFmtId="0" fontId="5" fillId="0" borderId="17" xfId="0" applyFont="1" applyBorder="1">
      <alignment vertical="center"/>
    </xf>
    <xf numFmtId="38" fontId="5" fillId="0" borderId="17" xfId="0" applyNumberFormat="1" applyFont="1" applyBorder="1">
      <alignment vertical="center"/>
    </xf>
    <xf numFmtId="180" fontId="5" fillId="0" borderId="17" xfId="0" applyNumberFormat="1" applyFont="1" applyBorder="1">
      <alignment vertical="center"/>
    </xf>
    <xf numFmtId="0" fontId="10" fillId="0" borderId="0" xfId="0" applyFont="1">
      <alignment vertical="center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horizontal="left" vertical="center"/>
    </xf>
    <xf numFmtId="38" fontId="5" fillId="0" borderId="4" xfId="1" applyFont="1" applyFill="1" applyBorder="1" applyAlignment="1">
      <alignment horizontal="right" vertical="center"/>
    </xf>
    <xf numFmtId="0" fontId="15" fillId="0" borderId="2" xfId="0" applyFont="1" applyBorder="1">
      <alignment vertical="center"/>
    </xf>
    <xf numFmtId="38" fontId="5" fillId="0" borderId="18" xfId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38" fontId="5" fillId="0" borderId="17" xfId="1" applyFont="1" applyBorder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>
      <alignment vertical="center"/>
    </xf>
    <xf numFmtId="38" fontId="5" fillId="0" borderId="20" xfId="0" applyNumberFormat="1" applyFont="1" applyBorder="1">
      <alignment vertical="center"/>
    </xf>
    <xf numFmtId="180" fontId="5" fillId="0" borderId="20" xfId="0" applyNumberFormat="1" applyFont="1" applyBorder="1">
      <alignment vertical="center"/>
    </xf>
    <xf numFmtId="38" fontId="5" fillId="0" borderId="19" xfId="1" applyFont="1" applyBorder="1" applyAlignment="1">
      <alignment horizontal="right" vertical="center"/>
    </xf>
    <xf numFmtId="178" fontId="5" fillId="2" borderId="2" xfId="0" applyNumberFormat="1" applyFont="1" applyFill="1" applyBorder="1" applyAlignment="1">
      <alignment horizontal="center" vertical="center"/>
    </xf>
    <xf numFmtId="178" fontId="5" fillId="5" borderId="2" xfId="0" applyNumberFormat="1" applyFont="1" applyFill="1" applyBorder="1">
      <alignment vertical="center"/>
    </xf>
    <xf numFmtId="178" fontId="5" fillId="0" borderId="5" xfId="0" applyNumberFormat="1" applyFont="1" applyBorder="1">
      <alignment vertical="center"/>
    </xf>
    <xf numFmtId="178" fontId="5" fillId="0" borderId="7" xfId="0" applyNumberFormat="1" applyFont="1" applyBorder="1">
      <alignment vertical="center"/>
    </xf>
    <xf numFmtId="178" fontId="5" fillId="0" borderId="9" xfId="0" applyNumberFormat="1" applyFont="1" applyBorder="1">
      <alignment vertical="center"/>
    </xf>
    <xf numFmtId="178" fontId="5" fillId="0" borderId="11" xfId="0" applyNumberFormat="1" applyFont="1" applyBorder="1">
      <alignment vertical="center"/>
    </xf>
    <xf numFmtId="178" fontId="5" fillId="0" borderId="13" xfId="0" applyNumberFormat="1" applyFont="1" applyBorder="1">
      <alignment vertical="center"/>
    </xf>
    <xf numFmtId="178" fontId="5" fillId="0" borderId="15" xfId="0" applyNumberFormat="1" applyFont="1" applyBorder="1">
      <alignment vertical="center"/>
    </xf>
    <xf numFmtId="178" fontId="5" fillId="0" borderId="16" xfId="0" applyNumberFormat="1" applyFont="1" applyBorder="1">
      <alignment vertical="center"/>
    </xf>
    <xf numFmtId="178" fontId="5" fillId="0" borderId="19" xfId="0" applyNumberFormat="1" applyFont="1" applyBorder="1">
      <alignment vertical="center"/>
    </xf>
    <xf numFmtId="178" fontId="5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38" fontId="5" fillId="0" borderId="2" xfId="1" applyFont="1" applyFill="1" applyBorder="1" applyAlignment="1">
      <alignment horizontal="right" vertical="center"/>
    </xf>
    <xf numFmtId="178" fontId="5" fillId="0" borderId="17" xfId="0" applyNumberFormat="1" applyFont="1" applyBorder="1">
      <alignment vertical="center"/>
    </xf>
    <xf numFmtId="0" fontId="5" fillId="6" borderId="2" xfId="0" applyFont="1" applyFill="1" applyBorder="1">
      <alignment vertical="center"/>
    </xf>
    <xf numFmtId="0" fontId="5" fillId="0" borderId="2" xfId="0" applyFont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0" borderId="12" xfId="0" applyFont="1" applyBorder="1">
      <alignment vertical="center"/>
    </xf>
    <xf numFmtId="0" fontId="5" fillId="0" borderId="22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14" xfId="0" applyFont="1" applyBorder="1">
      <alignment vertical="center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10" fillId="0" borderId="2" xfId="0" applyFont="1" applyBorder="1" applyAlignment="1">
      <alignment vertical="center" wrapText="1"/>
    </xf>
    <xf numFmtId="0" fontId="5" fillId="8" borderId="2" xfId="0" applyFont="1" applyFill="1" applyBorder="1">
      <alignment vertical="center"/>
    </xf>
    <xf numFmtId="178" fontId="5" fillId="8" borderId="2" xfId="0" applyNumberFormat="1" applyFont="1" applyFill="1" applyBorder="1">
      <alignment vertical="center"/>
    </xf>
    <xf numFmtId="0" fontId="3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38" fontId="5" fillId="8" borderId="2" xfId="0" applyNumberFormat="1" applyFont="1" applyFill="1" applyBorder="1">
      <alignment vertical="center"/>
    </xf>
    <xf numFmtId="180" fontId="5" fillId="8" borderId="2" xfId="0" applyNumberFormat="1" applyFont="1" applyFill="1" applyBorder="1">
      <alignment vertical="center"/>
    </xf>
    <xf numFmtId="38" fontId="5" fillId="8" borderId="2" xfId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0" xfId="0" applyFont="1" applyFill="1">
      <alignment vertical="center"/>
    </xf>
    <xf numFmtId="0" fontId="3" fillId="8" borderId="0" xfId="0" applyFont="1" applyFill="1">
      <alignment vertical="center"/>
    </xf>
    <xf numFmtId="0" fontId="10" fillId="8" borderId="2" xfId="0" applyFont="1" applyFill="1" applyBorder="1">
      <alignment vertical="center"/>
    </xf>
    <xf numFmtId="0" fontId="15" fillId="0" borderId="2" xfId="0" applyFont="1" applyBorder="1" applyAlignment="1">
      <alignment horizontal="center" vertical="center"/>
    </xf>
    <xf numFmtId="38" fontId="5" fillId="6" borderId="2" xfId="0" applyNumberFormat="1" applyFont="1" applyFill="1" applyBorder="1">
      <alignment vertical="center"/>
    </xf>
    <xf numFmtId="180" fontId="5" fillId="6" borderId="2" xfId="0" applyNumberFormat="1" applyFont="1" applyFill="1" applyBorder="1">
      <alignment vertical="center"/>
    </xf>
    <xf numFmtId="38" fontId="5" fillId="6" borderId="2" xfId="1" applyFont="1" applyFill="1" applyBorder="1" applyAlignment="1">
      <alignment horizontal="right" vertical="center"/>
    </xf>
    <xf numFmtId="0" fontId="5" fillId="6" borderId="0" xfId="0" applyFont="1" applyFill="1">
      <alignment vertical="center"/>
    </xf>
    <xf numFmtId="178" fontId="5" fillId="6" borderId="2" xfId="0" applyNumberFormat="1" applyFont="1" applyFill="1" applyBorder="1">
      <alignment vertical="center"/>
    </xf>
    <xf numFmtId="0" fontId="3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178" fontId="5" fillId="0" borderId="23" xfId="0" applyNumberFormat="1" applyFont="1" applyBorder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38" fontId="5" fillId="0" borderId="20" xfId="1" applyFont="1" applyBorder="1" applyAlignment="1">
      <alignment horizontal="right" vertical="center"/>
    </xf>
    <xf numFmtId="178" fontId="5" fillId="0" borderId="20" xfId="0" applyNumberFormat="1" applyFont="1" applyBorder="1">
      <alignment vertical="center"/>
    </xf>
    <xf numFmtId="0" fontId="5" fillId="6" borderId="2" xfId="0" applyFont="1" applyFill="1" applyBorder="1" applyAlignment="1">
      <alignment vertical="center" wrapText="1"/>
    </xf>
    <xf numFmtId="178" fontId="5" fillId="0" borderId="25" xfId="0" applyNumberFormat="1" applyFont="1" applyBorder="1">
      <alignment vertical="center"/>
    </xf>
    <xf numFmtId="0" fontId="3" fillId="0" borderId="2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5" fillId="0" borderId="25" xfId="0" applyFont="1" applyBorder="1">
      <alignment vertical="center"/>
    </xf>
    <xf numFmtId="38" fontId="5" fillId="0" borderId="25" xfId="0" applyNumberFormat="1" applyFont="1" applyBorder="1">
      <alignment vertical="center"/>
    </xf>
    <xf numFmtId="180" fontId="5" fillId="0" borderId="25" xfId="0" applyNumberFormat="1" applyFont="1" applyBorder="1">
      <alignment vertical="center"/>
    </xf>
    <xf numFmtId="38" fontId="5" fillId="0" borderId="25" xfId="1" applyFont="1" applyBorder="1" applyAlignment="1">
      <alignment horizontal="right" vertical="center"/>
    </xf>
    <xf numFmtId="0" fontId="5" fillId="0" borderId="24" xfId="0" applyFont="1" applyBorder="1">
      <alignment vertical="center"/>
    </xf>
    <xf numFmtId="178" fontId="5" fillId="0" borderId="26" xfId="0" applyNumberFormat="1" applyFont="1" applyBorder="1">
      <alignment vertical="center"/>
    </xf>
    <xf numFmtId="0" fontId="3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5" fillId="0" borderId="26" xfId="0" applyFont="1" applyBorder="1">
      <alignment vertical="center"/>
    </xf>
    <xf numFmtId="38" fontId="5" fillId="0" borderId="26" xfId="0" applyNumberFormat="1" applyFont="1" applyBorder="1">
      <alignment vertical="center"/>
    </xf>
    <xf numFmtId="180" fontId="5" fillId="0" borderId="26" xfId="0" applyNumberFormat="1" applyFont="1" applyBorder="1">
      <alignment vertical="center"/>
    </xf>
    <xf numFmtId="38" fontId="5" fillId="0" borderId="26" xfId="1" applyFont="1" applyBorder="1" applyAlignment="1">
      <alignment horizontal="right" vertical="center"/>
    </xf>
    <xf numFmtId="0" fontId="14" fillId="0" borderId="4" xfId="0" applyFont="1" applyBorder="1">
      <alignment vertical="center"/>
    </xf>
    <xf numFmtId="0" fontId="14" fillId="0" borderId="2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7" fontId="5" fillId="0" borderId="2" xfId="0" applyNumberFormat="1" applyFont="1" applyBorder="1">
      <alignment vertical="center"/>
    </xf>
    <xf numFmtId="181" fontId="5" fillId="0" borderId="2" xfId="0" applyNumberFormat="1" applyFont="1" applyBorder="1">
      <alignment vertical="center"/>
    </xf>
    <xf numFmtId="181" fontId="5" fillId="0" borderId="4" xfId="0" applyNumberFormat="1" applyFont="1" applyBorder="1">
      <alignment vertical="center"/>
    </xf>
    <xf numFmtId="182" fontId="5" fillId="0" borderId="2" xfId="0" applyNumberFormat="1" applyFont="1" applyBorder="1">
      <alignment vertical="center"/>
    </xf>
    <xf numFmtId="181" fontId="5" fillId="0" borderId="2" xfId="1" applyNumberFormat="1" applyFont="1" applyBorder="1" applyAlignment="1">
      <alignment horizontal="right" vertical="center"/>
    </xf>
    <xf numFmtId="181" fontId="5" fillId="2" borderId="2" xfId="1" applyNumberFormat="1" applyFont="1" applyFill="1" applyBorder="1" applyAlignment="1">
      <alignment horizontal="center" vertical="center"/>
    </xf>
    <xf numFmtId="181" fontId="5" fillId="0" borderId="4" xfId="1" applyNumberFormat="1" applyFont="1" applyBorder="1" applyAlignment="1">
      <alignment horizontal="right" vertical="center"/>
    </xf>
    <xf numFmtId="181" fontId="5" fillId="6" borderId="2" xfId="1" applyNumberFormat="1" applyFont="1" applyFill="1" applyBorder="1" applyAlignment="1">
      <alignment horizontal="right" vertical="center"/>
    </xf>
    <xf numFmtId="181" fontId="5" fillId="0" borderId="2" xfId="1" applyNumberFormat="1" applyFont="1" applyFill="1" applyBorder="1" applyAlignment="1">
      <alignment horizontal="right" vertical="center"/>
    </xf>
    <xf numFmtId="181" fontId="5" fillId="0" borderId="13" xfId="1" applyNumberFormat="1" applyFont="1" applyBorder="1" applyAlignment="1">
      <alignment horizontal="right" vertical="center"/>
    </xf>
    <xf numFmtId="181" fontId="5" fillId="0" borderId="15" xfId="1" applyNumberFormat="1" applyFont="1" applyBorder="1" applyAlignment="1">
      <alignment horizontal="right" vertical="center"/>
    </xf>
    <xf numFmtId="181" fontId="5" fillId="0" borderId="0" xfId="1" applyNumberFormat="1" applyFont="1" applyAlignment="1">
      <alignment horizontal="right" vertical="center"/>
    </xf>
    <xf numFmtId="56" fontId="5" fillId="0" borderId="2" xfId="0" applyNumberFormat="1" applyFont="1" applyBorder="1">
      <alignment vertical="center"/>
    </xf>
    <xf numFmtId="180" fontId="5" fillId="0" borderId="2" xfId="1" applyNumberFormat="1" applyFont="1" applyBorder="1" applyAlignment="1">
      <alignment horizontal="right" vertical="center"/>
    </xf>
    <xf numFmtId="181" fontId="10" fillId="0" borderId="2" xfId="1" applyNumberFormat="1" applyFont="1" applyBorder="1" applyAlignment="1">
      <alignment horizontal="right" vertical="center"/>
    </xf>
    <xf numFmtId="14" fontId="0" fillId="9" borderId="2" xfId="0" applyNumberFormat="1" applyFill="1" applyBorder="1">
      <alignment vertical="center"/>
    </xf>
    <xf numFmtId="14" fontId="0" fillId="9" borderId="2" xfId="0" applyNumberForma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0" fillId="9" borderId="2" xfId="0" applyFill="1" applyBorder="1">
      <alignment vertical="center"/>
    </xf>
    <xf numFmtId="0" fontId="5" fillId="9" borderId="2" xfId="0" applyFont="1" applyFill="1" applyBorder="1">
      <alignment vertical="center"/>
    </xf>
    <xf numFmtId="38" fontId="5" fillId="9" borderId="2" xfId="0" applyNumberFormat="1" applyFont="1" applyFill="1" applyBorder="1">
      <alignment vertical="center"/>
    </xf>
    <xf numFmtId="181" fontId="5" fillId="9" borderId="2" xfId="1" applyNumberFormat="1" applyFont="1" applyFill="1" applyBorder="1" applyAlignment="1">
      <alignment horizontal="right" vertical="center"/>
    </xf>
    <xf numFmtId="0" fontId="5" fillId="9" borderId="0" xfId="0" applyFont="1" applyFill="1">
      <alignment vertical="center"/>
    </xf>
    <xf numFmtId="0" fontId="3" fillId="9" borderId="0" xfId="0" applyFont="1" applyFill="1">
      <alignment vertical="center"/>
    </xf>
    <xf numFmtId="177" fontId="3" fillId="9" borderId="0" xfId="0" applyNumberFormat="1" applyFont="1" applyFill="1">
      <alignment vertical="center"/>
    </xf>
    <xf numFmtId="38" fontId="3" fillId="9" borderId="0" xfId="0" applyNumberFormat="1" applyFont="1" applyFill="1">
      <alignment vertical="center"/>
    </xf>
    <xf numFmtId="0" fontId="5" fillId="9" borderId="2" xfId="0" applyFont="1" applyFill="1" applyBorder="1" applyAlignment="1">
      <alignment horizontal="left" vertical="center"/>
    </xf>
    <xf numFmtId="180" fontId="5" fillId="9" borderId="2" xfId="1" applyNumberFormat="1" applyFont="1" applyFill="1" applyBorder="1" applyAlignment="1">
      <alignment horizontal="right" vertical="center"/>
    </xf>
    <xf numFmtId="178" fontId="5" fillId="9" borderId="2" xfId="0" applyNumberFormat="1" applyFont="1" applyFill="1" applyBorder="1">
      <alignment vertical="center"/>
    </xf>
    <xf numFmtId="0" fontId="3" fillId="9" borderId="2" xfId="0" applyFont="1" applyFill="1" applyBorder="1">
      <alignment vertical="center"/>
    </xf>
    <xf numFmtId="38" fontId="3" fillId="9" borderId="2" xfId="0" applyNumberFormat="1" applyFont="1" applyFill="1" applyBorder="1">
      <alignment vertical="center"/>
    </xf>
    <xf numFmtId="183" fontId="3" fillId="9" borderId="2" xfId="0" applyNumberFormat="1" applyFont="1" applyFill="1" applyBorder="1">
      <alignment vertical="center"/>
    </xf>
    <xf numFmtId="38" fontId="5" fillId="9" borderId="2" xfId="1" applyFont="1" applyFill="1" applyBorder="1" applyAlignment="1">
      <alignment horizontal="right" vertical="center"/>
    </xf>
    <xf numFmtId="178" fontId="5" fillId="0" borderId="2" xfId="0" applyNumberFormat="1" applyFont="1" applyBorder="1" applyAlignment="1">
      <alignment horizontal="center" vertical="center"/>
    </xf>
    <xf numFmtId="177" fontId="3" fillId="6" borderId="0" xfId="0" applyNumberFormat="1" applyFont="1" applyFill="1">
      <alignment vertical="center"/>
    </xf>
    <xf numFmtId="38" fontId="3" fillId="6" borderId="0" xfId="0" applyNumberFormat="1" applyFont="1" applyFill="1">
      <alignment vertical="center"/>
    </xf>
    <xf numFmtId="49" fontId="0" fillId="0" borderId="2" xfId="0" applyNumberFormat="1" applyBorder="1" applyAlignment="1">
      <alignment horizontal="center"/>
    </xf>
    <xf numFmtId="179" fontId="5" fillId="0" borderId="2" xfId="0" applyNumberFormat="1" applyFont="1" applyBorder="1" applyAlignment="1">
      <alignment horizontal="right" vertical="center"/>
    </xf>
    <xf numFmtId="182" fontId="5" fillId="2" borderId="2" xfId="0" applyNumberFormat="1" applyFont="1" applyFill="1" applyBorder="1" applyAlignment="1">
      <alignment horizontal="center" vertical="center"/>
    </xf>
    <xf numFmtId="182" fontId="5" fillId="0" borderId="4" xfId="0" applyNumberFormat="1" applyFont="1" applyBorder="1">
      <alignment vertical="center"/>
    </xf>
    <xf numFmtId="182" fontId="5" fillId="6" borderId="2" xfId="0" applyNumberFormat="1" applyFont="1" applyFill="1" applyBorder="1">
      <alignment vertical="center"/>
    </xf>
    <xf numFmtId="182" fontId="5" fillId="0" borderId="13" xfId="0" applyNumberFormat="1" applyFont="1" applyBorder="1">
      <alignment vertical="center"/>
    </xf>
    <xf numFmtId="182" fontId="5" fillId="0" borderId="15" xfId="0" applyNumberFormat="1" applyFont="1" applyBorder="1">
      <alignment vertical="center"/>
    </xf>
    <xf numFmtId="182" fontId="5" fillId="9" borderId="2" xfId="0" applyNumberFormat="1" applyFont="1" applyFill="1" applyBorder="1">
      <alignment vertical="center"/>
    </xf>
    <xf numFmtId="182" fontId="5" fillId="0" borderId="0" xfId="0" applyNumberFormat="1" applyFont="1">
      <alignment vertical="center"/>
    </xf>
    <xf numFmtId="180" fontId="10" fillId="0" borderId="2" xfId="1" applyNumberFormat="1" applyFont="1" applyBorder="1" applyAlignment="1">
      <alignment horizontal="right" vertical="center"/>
    </xf>
    <xf numFmtId="55" fontId="0" fillId="0" borderId="35" xfId="0" applyNumberFormat="1" applyBorder="1" applyAlignment="1">
      <alignment horizontal="center" vertical="center"/>
    </xf>
    <xf numFmtId="55" fontId="0" fillId="0" borderId="0" xfId="0" applyNumberFormat="1" applyAlignment="1">
      <alignment horizontal="center" vertical="center"/>
    </xf>
    <xf numFmtId="55" fontId="0" fillId="0" borderId="36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36" xfId="5" applyFont="1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5" fillId="0" borderId="38" xfId="0" applyFont="1" applyBorder="1">
      <alignment vertical="center"/>
    </xf>
    <xf numFmtId="0" fontId="5" fillId="0" borderId="40" xfId="0" applyFont="1" applyBorder="1">
      <alignment vertical="center"/>
    </xf>
    <xf numFmtId="38" fontId="5" fillId="0" borderId="40" xfId="0" applyNumberFormat="1" applyFont="1" applyBorder="1">
      <alignment vertical="center"/>
    </xf>
    <xf numFmtId="0" fontId="5" fillId="0" borderId="41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0" borderId="45" xfId="0" applyFont="1" applyBorder="1">
      <alignment vertical="center"/>
    </xf>
    <xf numFmtId="178" fontId="5" fillId="10" borderId="2" xfId="0" applyNumberFormat="1" applyFont="1" applyFill="1" applyBorder="1">
      <alignment vertical="center"/>
    </xf>
    <xf numFmtId="0" fontId="3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5" fillId="10" borderId="2" xfId="0" applyFont="1" applyFill="1" applyBorder="1">
      <alignment vertical="center"/>
    </xf>
    <xf numFmtId="38" fontId="5" fillId="10" borderId="2" xfId="0" applyNumberFormat="1" applyFont="1" applyFill="1" applyBorder="1">
      <alignment vertical="center"/>
    </xf>
    <xf numFmtId="182" fontId="5" fillId="10" borderId="2" xfId="0" applyNumberFormat="1" applyFont="1" applyFill="1" applyBorder="1">
      <alignment vertical="center"/>
    </xf>
    <xf numFmtId="181" fontId="5" fillId="10" borderId="2" xfId="1" applyNumberFormat="1" applyFont="1" applyFill="1" applyBorder="1" applyAlignment="1">
      <alignment horizontal="right" vertical="center"/>
    </xf>
    <xf numFmtId="0" fontId="5" fillId="10" borderId="0" xfId="0" applyFont="1" applyFill="1">
      <alignment vertical="center"/>
    </xf>
    <xf numFmtId="0" fontId="3" fillId="10" borderId="0" xfId="0" applyFont="1" applyFill="1">
      <alignment vertical="center"/>
    </xf>
    <xf numFmtId="177" fontId="3" fillId="10" borderId="0" xfId="0" applyNumberFormat="1" applyFont="1" applyFill="1">
      <alignment vertical="center"/>
    </xf>
    <xf numFmtId="38" fontId="3" fillId="10" borderId="0" xfId="0" applyNumberFormat="1" applyFont="1" applyFill="1">
      <alignment vertical="center"/>
    </xf>
    <xf numFmtId="0" fontId="14" fillId="0" borderId="2" xfId="0" applyFont="1" applyBorder="1" applyAlignment="1">
      <alignment horizontal="left" vertical="center"/>
    </xf>
    <xf numFmtId="0" fontId="5" fillId="9" borderId="15" xfId="0" applyFont="1" applyFill="1" applyBorder="1">
      <alignment vertical="center"/>
    </xf>
    <xf numFmtId="0" fontId="17" fillId="0" borderId="29" xfId="0" applyFont="1" applyBorder="1" applyAlignment="1">
      <alignment horizontal="center" vertical="center"/>
    </xf>
    <xf numFmtId="55" fontId="0" fillId="0" borderId="46" xfId="0" applyNumberFormat="1" applyBorder="1" applyAlignment="1">
      <alignment horizontal="center" vertical="center"/>
    </xf>
    <xf numFmtId="0" fontId="5" fillId="0" borderId="47" xfId="0" applyFont="1" applyBorder="1">
      <alignment vertical="center"/>
    </xf>
    <xf numFmtId="0" fontId="5" fillId="9" borderId="47" xfId="0" applyFont="1" applyFill="1" applyBorder="1">
      <alignment vertical="center"/>
    </xf>
    <xf numFmtId="0" fontId="5" fillId="0" borderId="48" xfId="0" applyFont="1" applyBorder="1">
      <alignment vertical="center"/>
    </xf>
    <xf numFmtId="0" fontId="5" fillId="0" borderId="49" xfId="0" applyFont="1" applyBorder="1">
      <alignment vertical="center"/>
    </xf>
    <xf numFmtId="0" fontId="5" fillId="0" borderId="50" xfId="0" applyFont="1" applyBorder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36" xfId="0" applyNumberFormat="1" applyBorder="1">
      <alignment vertical="center"/>
    </xf>
    <xf numFmtId="3" fontId="0" fillId="0" borderId="0" xfId="0" applyNumberFormat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52" xfId="0" applyFont="1" applyBorder="1" applyAlignment="1">
      <alignment horizontal="left" vertical="center"/>
    </xf>
    <xf numFmtId="0" fontId="5" fillId="0" borderId="53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34" xfId="0" applyFont="1" applyBorder="1">
      <alignment vertical="center"/>
    </xf>
    <xf numFmtId="0" fontId="3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20" fontId="3" fillId="9" borderId="2" xfId="0" applyNumberFormat="1" applyFont="1" applyFill="1" applyBorder="1" applyAlignment="1">
      <alignment horizontal="center" vertical="center"/>
    </xf>
    <xf numFmtId="20" fontId="3" fillId="6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7" borderId="2" xfId="0" applyFill="1" applyBorder="1">
      <alignment vertical="center"/>
    </xf>
    <xf numFmtId="178" fontId="3" fillId="0" borderId="2" xfId="0" applyNumberFormat="1" applyFont="1" applyBorder="1" applyAlignment="1">
      <alignment horizontal="center" vertical="center"/>
    </xf>
    <xf numFmtId="178" fontId="3" fillId="6" borderId="2" xfId="0" applyNumberFormat="1" applyFont="1" applyFill="1" applyBorder="1" applyAlignment="1">
      <alignment horizontal="center" vertical="center"/>
    </xf>
    <xf numFmtId="20" fontId="19" fillId="6" borderId="2" xfId="0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20" fontId="3" fillId="12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178" fontId="5" fillId="13" borderId="2" xfId="0" applyNumberFormat="1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178" fontId="3" fillId="13" borderId="2" xfId="0" applyNumberFormat="1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0" fillId="10" borderId="2" xfId="0" applyFill="1" applyBorder="1">
      <alignment vertical="center"/>
    </xf>
    <xf numFmtId="184" fontId="0" fillId="11" borderId="2" xfId="0" applyNumberFormat="1" applyFill="1" applyBorder="1">
      <alignment vertical="center"/>
    </xf>
    <xf numFmtId="56" fontId="0" fillId="0" borderId="2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184" fontId="0" fillId="0" borderId="2" xfId="0" applyNumberFormat="1" applyBorder="1">
      <alignment vertical="center"/>
    </xf>
    <xf numFmtId="184" fontId="0" fillId="7" borderId="2" xfId="0" applyNumberFormat="1" applyFill="1" applyBorder="1">
      <alignment vertical="center"/>
    </xf>
    <xf numFmtId="184" fontId="0" fillId="10" borderId="2" xfId="0" applyNumberFormat="1" applyFill="1" applyBorder="1">
      <alignment vertical="center"/>
    </xf>
    <xf numFmtId="176" fontId="0" fillId="0" borderId="0" xfId="0" applyNumberFormat="1">
      <alignment vertical="center"/>
    </xf>
    <xf numFmtId="178" fontId="5" fillId="9" borderId="2" xfId="0" applyNumberFormat="1" applyFont="1" applyFill="1" applyBorder="1" applyAlignment="1">
      <alignment horizontal="center" vertical="center"/>
    </xf>
    <xf numFmtId="20" fontId="0" fillId="0" borderId="0" xfId="0" applyNumberFormat="1">
      <alignment vertical="center"/>
    </xf>
    <xf numFmtId="0" fontId="5" fillId="14" borderId="2" xfId="0" applyFont="1" applyFill="1" applyBorder="1" applyAlignment="1">
      <alignment horizontal="center" vertical="center"/>
    </xf>
    <xf numFmtId="38" fontId="5" fillId="0" borderId="2" xfId="0" applyNumberFormat="1" applyFont="1" applyBorder="1" applyAlignment="1">
      <alignment horizontal="center" vertical="center"/>
    </xf>
    <xf numFmtId="180" fontId="5" fillId="0" borderId="2" xfId="0" applyNumberFormat="1" applyFont="1" applyBorder="1" applyAlignment="1">
      <alignment horizontal="center" vertical="center"/>
    </xf>
    <xf numFmtId="179" fontId="5" fillId="0" borderId="2" xfId="0" applyNumberFormat="1" applyFont="1" applyBorder="1" applyAlignment="1">
      <alignment horizontal="center" vertical="center"/>
    </xf>
    <xf numFmtId="182" fontId="5" fillId="0" borderId="2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181" fontId="5" fillId="0" borderId="2" xfId="1" applyNumberFormat="1" applyFont="1" applyBorder="1" applyAlignment="1">
      <alignment horizontal="center" vertical="center"/>
    </xf>
    <xf numFmtId="181" fontId="5" fillId="0" borderId="2" xfId="1" applyNumberFormat="1" applyFont="1" applyFill="1" applyBorder="1" applyAlignment="1">
      <alignment horizontal="center" vertical="center"/>
    </xf>
    <xf numFmtId="181" fontId="10" fillId="0" borderId="2" xfId="1" applyNumberFormat="1" applyFont="1" applyBorder="1" applyAlignment="1">
      <alignment horizontal="center" vertical="center"/>
    </xf>
    <xf numFmtId="178" fontId="5" fillId="3" borderId="2" xfId="0" applyNumberFormat="1" applyFont="1" applyFill="1" applyBorder="1" applyAlignment="1">
      <alignment horizontal="center" vertical="center"/>
    </xf>
    <xf numFmtId="38" fontId="5" fillId="3" borderId="2" xfId="0" applyNumberFormat="1" applyFont="1" applyFill="1" applyBorder="1" applyAlignment="1">
      <alignment horizontal="center" vertical="center"/>
    </xf>
    <xf numFmtId="182" fontId="5" fillId="3" borderId="2" xfId="0" applyNumberFormat="1" applyFont="1" applyFill="1" applyBorder="1" applyAlignment="1">
      <alignment horizontal="center" vertical="center"/>
    </xf>
    <xf numFmtId="181" fontId="5" fillId="3" borderId="2" xfId="1" applyNumberFormat="1" applyFont="1" applyFill="1" applyBorder="1" applyAlignment="1">
      <alignment horizontal="center" vertical="center"/>
    </xf>
    <xf numFmtId="38" fontId="5" fillId="9" borderId="2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77" fontId="3" fillId="9" borderId="0" xfId="0" applyNumberFormat="1" applyFont="1" applyFill="1" applyAlignment="1">
      <alignment horizontal="center" vertical="center"/>
    </xf>
    <xf numFmtId="38" fontId="3" fillId="9" borderId="0" xfId="0" applyNumberFormat="1" applyFont="1" applyFill="1" applyAlignment="1">
      <alignment horizontal="center" vertical="center"/>
    </xf>
    <xf numFmtId="182" fontId="5" fillId="9" borderId="2" xfId="0" applyNumberFormat="1" applyFont="1" applyFill="1" applyBorder="1" applyAlignment="1">
      <alignment horizontal="center" vertical="center"/>
    </xf>
    <xf numFmtId="181" fontId="5" fillId="9" borderId="2" xfId="1" applyNumberFormat="1" applyFont="1" applyFill="1" applyBorder="1" applyAlignment="1">
      <alignment horizontal="center" vertical="center"/>
    </xf>
    <xf numFmtId="178" fontId="5" fillId="6" borderId="2" xfId="0" applyNumberFormat="1" applyFont="1" applyFill="1" applyBorder="1" applyAlignment="1">
      <alignment horizontal="center" vertical="center"/>
    </xf>
    <xf numFmtId="38" fontId="5" fillId="6" borderId="2" xfId="0" applyNumberFormat="1" applyFont="1" applyFill="1" applyBorder="1" applyAlignment="1">
      <alignment horizontal="center" vertical="center"/>
    </xf>
    <xf numFmtId="182" fontId="5" fillId="6" borderId="2" xfId="0" applyNumberFormat="1" applyFont="1" applyFill="1" applyBorder="1" applyAlignment="1">
      <alignment horizontal="center" vertical="center"/>
    </xf>
    <xf numFmtId="181" fontId="5" fillId="6" borderId="2" xfId="1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5" fillId="11" borderId="2" xfId="0" applyNumberFormat="1" applyFont="1" applyFill="1" applyBorder="1" applyAlignment="1">
      <alignment horizontal="center" vertical="center"/>
    </xf>
    <xf numFmtId="38" fontId="5" fillId="11" borderId="2" xfId="0" applyNumberFormat="1" applyFont="1" applyFill="1" applyBorder="1" applyAlignment="1">
      <alignment horizontal="center" vertical="center"/>
    </xf>
    <xf numFmtId="182" fontId="5" fillId="11" borderId="2" xfId="0" applyNumberFormat="1" applyFont="1" applyFill="1" applyBorder="1" applyAlignment="1">
      <alignment horizontal="center" vertical="center"/>
    </xf>
    <xf numFmtId="181" fontId="5" fillId="11" borderId="2" xfId="1" applyNumberFormat="1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177" fontId="3" fillId="11" borderId="0" xfId="0" applyNumberFormat="1" applyFont="1" applyFill="1" applyAlignment="1">
      <alignment horizontal="center" vertical="center"/>
    </xf>
    <xf numFmtId="38" fontId="3" fillId="11" borderId="0" xfId="0" applyNumberFormat="1" applyFont="1" applyFill="1" applyAlignment="1">
      <alignment horizontal="center" vertical="center"/>
    </xf>
    <xf numFmtId="178" fontId="19" fillId="0" borderId="2" xfId="0" applyNumberFormat="1" applyFont="1" applyBorder="1" applyAlignment="1">
      <alignment horizontal="center" vertical="center"/>
    </xf>
    <xf numFmtId="38" fontId="19" fillId="0" borderId="2" xfId="0" applyNumberFormat="1" applyFont="1" applyBorder="1" applyAlignment="1">
      <alignment horizontal="center" vertical="center"/>
    </xf>
    <xf numFmtId="182" fontId="19" fillId="0" borderId="2" xfId="0" applyNumberFormat="1" applyFont="1" applyBorder="1" applyAlignment="1">
      <alignment horizontal="center" vertical="center"/>
    </xf>
    <xf numFmtId="181" fontId="19" fillId="0" borderId="2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38" fontId="19" fillId="0" borderId="0" xfId="0" applyNumberFormat="1" applyFont="1" applyAlignment="1">
      <alignment horizontal="center" vertical="center"/>
    </xf>
    <xf numFmtId="178" fontId="5" fillId="7" borderId="2" xfId="0" applyNumberFormat="1" applyFont="1" applyFill="1" applyBorder="1" applyAlignment="1">
      <alignment horizontal="center" vertical="center"/>
    </xf>
    <xf numFmtId="38" fontId="5" fillId="7" borderId="2" xfId="0" applyNumberFormat="1" applyFont="1" applyFill="1" applyBorder="1" applyAlignment="1">
      <alignment horizontal="center" vertical="center"/>
    </xf>
    <xf numFmtId="182" fontId="5" fillId="7" borderId="2" xfId="0" applyNumberFormat="1" applyFont="1" applyFill="1" applyBorder="1" applyAlignment="1">
      <alignment horizontal="center" vertical="center"/>
    </xf>
    <xf numFmtId="181" fontId="5" fillId="7" borderId="2" xfId="1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77" fontId="3" fillId="7" borderId="0" xfId="0" applyNumberFormat="1" applyFont="1" applyFill="1" applyAlignment="1">
      <alignment horizontal="center" vertical="center"/>
    </xf>
    <xf numFmtId="38" fontId="3" fillId="7" borderId="0" xfId="0" applyNumberFormat="1" applyFont="1" applyFill="1" applyAlignment="1">
      <alignment horizontal="center" vertical="center"/>
    </xf>
    <xf numFmtId="38" fontId="5" fillId="0" borderId="2" xfId="1" applyFont="1" applyBorder="1" applyAlignment="1">
      <alignment horizontal="center" vertical="center"/>
    </xf>
    <xf numFmtId="38" fontId="5" fillId="6" borderId="2" xfId="1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77" fontId="3" fillId="6" borderId="0" xfId="0" applyNumberFormat="1" applyFont="1" applyFill="1" applyAlignment="1">
      <alignment horizontal="center" vertical="center"/>
    </xf>
    <xf numFmtId="38" fontId="3" fillId="6" borderId="0" xfId="0" applyNumberFormat="1" applyFont="1" applyFill="1" applyAlignment="1">
      <alignment horizontal="center" vertical="center"/>
    </xf>
    <xf numFmtId="38" fontId="5" fillId="0" borderId="2" xfId="1" applyFont="1" applyFill="1" applyBorder="1" applyAlignment="1">
      <alignment horizontal="center" vertical="center"/>
    </xf>
    <xf numFmtId="38" fontId="5" fillId="13" borderId="2" xfId="1" applyFont="1" applyFill="1" applyBorder="1" applyAlignment="1">
      <alignment horizontal="center" vertical="center"/>
    </xf>
    <xf numFmtId="182" fontId="5" fillId="13" borderId="2" xfId="0" applyNumberFormat="1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177" fontId="3" fillId="13" borderId="0" xfId="0" applyNumberFormat="1" applyFont="1" applyFill="1" applyAlignment="1">
      <alignment horizontal="center" vertical="center"/>
    </xf>
    <xf numFmtId="38" fontId="3" fillId="13" borderId="0" xfId="0" applyNumberFormat="1" applyFont="1" applyFill="1" applyAlignment="1">
      <alignment horizontal="center" vertical="center"/>
    </xf>
    <xf numFmtId="38" fontId="5" fillId="13" borderId="2" xfId="0" applyNumberFormat="1" applyFont="1" applyFill="1" applyBorder="1" applyAlignment="1">
      <alignment horizontal="center" vertical="center"/>
    </xf>
    <xf numFmtId="181" fontId="5" fillId="13" borderId="2" xfId="1" applyNumberFormat="1" applyFont="1" applyFill="1" applyBorder="1" applyAlignment="1">
      <alignment horizontal="center" vertical="center"/>
    </xf>
    <xf numFmtId="177" fontId="3" fillId="14" borderId="0" xfId="0" applyNumberFormat="1" applyFont="1" applyFill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38" fontId="5" fillId="0" borderId="0" xfId="1" applyFont="1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38" fontId="5" fillId="0" borderId="2" xfId="0" applyNumberFormat="1" applyFont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1" borderId="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178" fontId="5" fillId="0" borderId="2" xfId="0" applyNumberFormat="1" applyFont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21" fillId="0" borderId="2" xfId="6" applyFont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0" fontId="10" fillId="9" borderId="27" xfId="0" applyFont="1" applyFill="1" applyBorder="1" applyAlignment="1">
      <alignment horizontal="left" vertical="center"/>
    </xf>
    <xf numFmtId="0" fontId="10" fillId="0" borderId="27" xfId="0" applyFont="1" applyBorder="1" applyAlignment="1">
      <alignment horizontal="left" vertical="center" wrapText="1"/>
    </xf>
    <xf numFmtId="0" fontId="10" fillId="6" borderId="27" xfId="0" applyFont="1" applyFill="1" applyBorder="1" applyAlignment="1">
      <alignment horizontal="left" vertical="center"/>
    </xf>
    <xf numFmtId="0" fontId="10" fillId="11" borderId="27" xfId="0" applyFont="1" applyFill="1" applyBorder="1" applyAlignment="1">
      <alignment horizontal="left" vertical="center"/>
    </xf>
    <xf numFmtId="0" fontId="20" fillId="0" borderId="27" xfId="0" applyFont="1" applyBorder="1" applyAlignment="1">
      <alignment horizontal="left" vertical="center"/>
    </xf>
    <xf numFmtId="0" fontId="10" fillId="7" borderId="27" xfId="0" applyFont="1" applyFill="1" applyBorder="1" applyAlignment="1">
      <alignment horizontal="left" vertical="center"/>
    </xf>
    <xf numFmtId="178" fontId="10" fillId="0" borderId="2" xfId="0" applyNumberFormat="1" applyFont="1" applyBorder="1" applyAlignment="1">
      <alignment horizontal="left" vertical="center"/>
    </xf>
    <xf numFmtId="178" fontId="10" fillId="6" borderId="2" xfId="0" applyNumberFormat="1" applyFont="1" applyFill="1" applyBorder="1" applyAlignment="1">
      <alignment horizontal="left" vertical="center"/>
    </xf>
    <xf numFmtId="178" fontId="5" fillId="13" borderId="2" xfId="0" applyNumberFormat="1" applyFont="1" applyFill="1" applyBorder="1" applyAlignment="1">
      <alignment horizontal="left" vertical="center"/>
    </xf>
    <xf numFmtId="178" fontId="10" fillId="13" borderId="2" xfId="0" applyNumberFormat="1" applyFont="1" applyFill="1" applyBorder="1" applyAlignment="1">
      <alignment horizontal="left" vertical="center"/>
    </xf>
    <xf numFmtId="178" fontId="5" fillId="6" borderId="2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78" fontId="15" fillId="6" borderId="2" xfId="0" applyNumberFormat="1" applyFont="1" applyFill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178" fontId="23" fillId="0" borderId="2" xfId="0" applyNumberFormat="1" applyFont="1" applyBorder="1" applyAlignment="1">
      <alignment horizontal="left" vertical="center"/>
    </xf>
    <xf numFmtId="178" fontId="15" fillId="0" borderId="2" xfId="0" applyNumberFormat="1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178" fontId="5" fillId="9" borderId="2" xfId="0" applyNumberFormat="1" applyFont="1" applyFill="1" applyBorder="1" applyAlignment="1">
      <alignment horizontal="left" vertical="center"/>
    </xf>
    <xf numFmtId="0" fontId="18" fillId="0" borderId="0" xfId="0" applyFont="1">
      <alignment vertical="center"/>
    </xf>
    <xf numFmtId="0" fontId="18" fillId="0" borderId="2" xfId="0" applyFont="1" applyBorder="1">
      <alignment vertical="center"/>
    </xf>
    <xf numFmtId="0" fontId="15" fillId="0" borderId="2" xfId="0" applyFont="1" applyBorder="1" applyAlignment="1">
      <alignment horizontal="left" vertical="center"/>
    </xf>
    <xf numFmtId="178" fontId="5" fillId="0" borderId="52" xfId="0" applyNumberFormat="1" applyFont="1" applyBorder="1" applyAlignment="1">
      <alignment horizontal="center" vertical="center"/>
    </xf>
    <xf numFmtId="178" fontId="5" fillId="0" borderId="52" xfId="0" applyNumberFormat="1" applyFont="1" applyBorder="1" applyAlignment="1">
      <alignment horizontal="left" vertical="center"/>
    </xf>
    <xf numFmtId="0" fontId="15" fillId="6" borderId="27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center" vertical="center"/>
    </xf>
    <xf numFmtId="0" fontId="15" fillId="0" borderId="52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78" fontId="3" fillId="9" borderId="2" xfId="0" applyNumberFormat="1" applyFont="1" applyFill="1" applyBorder="1" applyAlignment="1">
      <alignment horizontal="center" vertical="center"/>
    </xf>
    <xf numFmtId="178" fontId="3" fillId="0" borderId="52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181" fontId="10" fillId="0" borderId="2" xfId="1" applyNumberFormat="1" applyFont="1" applyFill="1" applyBorder="1" applyAlignment="1">
      <alignment horizontal="center" vertical="center"/>
    </xf>
    <xf numFmtId="178" fontId="5" fillId="9" borderId="52" xfId="0" applyNumberFormat="1" applyFont="1" applyFill="1" applyBorder="1" applyAlignment="1">
      <alignment horizontal="center" vertical="center"/>
    </xf>
    <xf numFmtId="178" fontId="3" fillId="9" borderId="52" xfId="0" applyNumberFormat="1" applyFont="1" applyFill="1" applyBorder="1" applyAlignment="1">
      <alignment horizontal="center" vertical="center"/>
    </xf>
    <xf numFmtId="0" fontId="15" fillId="0" borderId="54" xfId="0" applyFont="1" applyBorder="1" applyAlignment="1">
      <alignment horizontal="left" vertical="center"/>
    </xf>
    <xf numFmtId="0" fontId="5" fillId="0" borderId="54" xfId="0" applyFont="1" applyBorder="1" applyAlignment="1">
      <alignment horizontal="center" vertical="center"/>
    </xf>
    <xf numFmtId="178" fontId="15" fillId="0" borderId="52" xfId="0" applyNumberFormat="1" applyFont="1" applyBorder="1" applyAlignment="1">
      <alignment horizontal="left" vertical="center"/>
    </xf>
    <xf numFmtId="178" fontId="5" fillId="0" borderId="49" xfId="0" applyNumberFormat="1" applyFont="1" applyBorder="1" applyAlignment="1">
      <alignment horizontal="center" vertical="center"/>
    </xf>
    <xf numFmtId="178" fontId="15" fillId="6" borderId="52" xfId="0" applyNumberFormat="1" applyFont="1" applyFill="1" applyBorder="1" applyAlignment="1">
      <alignment horizontal="left" vertical="center"/>
    </xf>
    <xf numFmtId="0" fontId="10" fillId="0" borderId="15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38" fontId="5" fillId="0" borderId="15" xfId="1" applyFont="1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5" fillId="0" borderId="15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176" fontId="5" fillId="0" borderId="15" xfId="0" applyNumberFormat="1" applyFont="1" applyBorder="1" applyAlignment="1">
      <alignment horizontal="left" vertical="center" wrapText="1"/>
    </xf>
    <xf numFmtId="180" fontId="5" fillId="0" borderId="15" xfId="0" applyNumberFormat="1" applyFont="1" applyBorder="1" applyAlignment="1">
      <alignment horizontal="center" vertical="center"/>
    </xf>
    <xf numFmtId="180" fontId="5" fillId="0" borderId="18" xfId="0" applyNumberFormat="1" applyFont="1" applyBorder="1" applyAlignment="1">
      <alignment horizontal="center" vertical="center"/>
    </xf>
    <xf numFmtId="180" fontId="5" fillId="0" borderId="4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55" fontId="0" fillId="0" borderId="32" xfId="0" applyNumberFormat="1" applyBorder="1" applyAlignment="1">
      <alignment horizontal="center" vertical="center"/>
    </xf>
    <xf numFmtId="55" fontId="0" fillId="0" borderId="33" xfId="0" applyNumberFormat="1" applyBorder="1" applyAlignment="1">
      <alignment horizontal="center" vertical="center"/>
    </xf>
    <xf numFmtId="55" fontId="0" fillId="0" borderId="34" xfId="0" applyNumberForma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</cellXfs>
  <cellStyles count="7">
    <cellStyle name="桁区切り" xfId="1" builtinId="6"/>
    <cellStyle name="桁区切り 2 2" xfId="3" xr:uid="{00000000-0005-0000-0000-000002000000}"/>
    <cellStyle name="通貨" xfId="5" builtinId="7"/>
    <cellStyle name="標準" xfId="0" builtinId="0"/>
    <cellStyle name="標準 2" xfId="2" xr:uid="{00000000-0005-0000-0000-000005000000}"/>
    <cellStyle name="標準 2 2" xfId="6" xr:uid="{D2744C3F-8589-4A7B-8A5D-F1196E023B14}"/>
    <cellStyle name="標準 3" xfId="4" xr:uid="{00000000-0005-0000-0000-000006000000}"/>
  </cellStyles>
  <dxfs count="1"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1469572</xdr:colOff>
      <xdr:row>622</xdr:row>
      <xdr:rowOff>0</xdr:rowOff>
    </xdr:from>
    <xdr:to>
      <xdr:col>12</xdr:col>
      <xdr:colOff>1469572</xdr:colOff>
      <xdr:row>626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D3F56547-D211-625C-78ED-8D8AACB8517D}"/>
            </a:ext>
          </a:extLst>
        </xdr:cNvPr>
        <xdr:cNvCxnSpPr/>
      </xdr:nvCxnSpPr>
      <xdr:spPr>
        <a:xfrm>
          <a:off x="14546036" y="179342143"/>
          <a:ext cx="0" cy="119742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277310</xdr:colOff>
      <xdr:row>608</xdr:row>
      <xdr:rowOff>24114</xdr:rowOff>
    </xdr:from>
    <xdr:to>
      <xdr:col>15</xdr:col>
      <xdr:colOff>856045</xdr:colOff>
      <xdr:row>619</xdr:row>
      <xdr:rowOff>204969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7205285" y="168628671"/>
          <a:ext cx="4207880" cy="323126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/>
            <a:t>2023/11</a:t>
          </a:r>
          <a:r>
            <a:rPr kumimoji="1" lang="ja-JP" altLang="en-US" sz="2000"/>
            <a:t>より、</a:t>
          </a:r>
          <a:endParaRPr kumimoji="1" lang="en-US" altLang="ja-JP" sz="2000"/>
        </a:p>
        <a:p>
          <a:pPr algn="l"/>
          <a:r>
            <a:rPr kumimoji="1" lang="ja-JP" altLang="en-US" sz="2000"/>
            <a:t>体験利用、フィッティング、物販（関わったものだけ）の担当スタッフを記入してください。物販は必ずしも全て記入する必要はなく、居ない場合は空欄で構いません。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theme="6" tint="0.59999389629810485"/>
  </sheetPr>
  <dimension ref="A1:S1404"/>
  <sheetViews>
    <sheetView zoomScale="72" zoomScaleNormal="40" workbookViewId="0">
      <pane ySplit="1" topLeftCell="A850" activePane="bottomLeft" state="frozen"/>
      <selection pane="bottomLeft" activeCell="E1411" sqref="E1411"/>
    </sheetView>
  </sheetViews>
  <sheetFormatPr defaultColWidth="8.125" defaultRowHeight="21.75" customHeight="1" x14ac:dyDescent="0.4"/>
  <cols>
    <col min="1" max="1" width="13.875" style="154" bestFit="1" customWidth="1"/>
    <col min="2" max="2" width="16.625" style="37" bestFit="1" customWidth="1"/>
    <col min="3" max="3" width="11.375" style="67" bestFit="1" customWidth="1"/>
    <col min="4" max="4" width="19.5" style="93" customWidth="1"/>
    <col min="5" max="5" width="41.125" style="52" bestFit="1" customWidth="1"/>
    <col min="6" max="6" width="9.125" style="90" customWidth="1"/>
    <col min="7" max="7" width="9.625" style="91" bestFit="1" customWidth="1"/>
    <col min="8" max="8" width="13" style="90" customWidth="1"/>
    <col min="9" max="9" width="4.875" style="52" customWidth="1"/>
    <col min="10" max="10" width="13" style="90" customWidth="1"/>
    <col min="11" max="11" width="12.625" style="92" customWidth="1"/>
    <col min="12" max="12" width="10" style="67" customWidth="1"/>
    <col min="13" max="13" width="47.625" style="52" customWidth="1"/>
    <col min="14" max="14" width="0.625" style="2" customWidth="1"/>
    <col min="15" max="15" width="8.875" style="39" customWidth="1"/>
    <col min="16" max="16" width="8.875" style="38" bestFit="1" customWidth="1"/>
    <col min="17" max="17" width="8.125" style="38"/>
    <col min="18" max="18" width="9" style="38" bestFit="1" customWidth="1"/>
    <col min="19" max="19" width="10" style="38" bestFit="1" customWidth="1"/>
    <col min="20" max="20" width="15" style="2" bestFit="1" customWidth="1"/>
    <col min="21" max="16384" width="8.125" style="2"/>
  </cols>
  <sheetData>
    <row r="1" spans="1:19" ht="21.75" customHeight="1" x14ac:dyDescent="0.4">
      <c r="A1" s="144" t="s">
        <v>0</v>
      </c>
      <c r="B1" s="1" t="s">
        <v>1</v>
      </c>
      <c r="C1" s="64" t="s">
        <v>2</v>
      </c>
      <c r="D1" s="84" t="s">
        <v>3</v>
      </c>
      <c r="E1" s="64" t="s">
        <v>4</v>
      </c>
      <c r="F1" s="85" t="s">
        <v>5</v>
      </c>
      <c r="G1" s="86" t="s">
        <v>6</v>
      </c>
      <c r="H1" s="85" t="s">
        <v>7</v>
      </c>
      <c r="I1" s="94" t="s">
        <v>8</v>
      </c>
      <c r="J1" s="85" t="s">
        <v>9</v>
      </c>
      <c r="K1" s="87" t="s">
        <v>10</v>
      </c>
      <c r="L1" s="64" t="s">
        <v>11</v>
      </c>
      <c r="M1" s="64" t="s">
        <v>12</v>
      </c>
      <c r="O1" s="3" t="s">
        <v>13</v>
      </c>
      <c r="P1" s="4" t="s">
        <v>14</v>
      </c>
      <c r="Q1" s="4" t="s">
        <v>8</v>
      </c>
      <c r="R1" s="4" t="s">
        <v>9</v>
      </c>
      <c r="S1" s="5" t="s">
        <v>15</v>
      </c>
    </row>
    <row r="2" spans="1:19" ht="21.75" hidden="1" customHeight="1" x14ac:dyDescent="0.4">
      <c r="A2" s="62">
        <v>44713</v>
      </c>
      <c r="B2" s="32" t="s">
        <v>16</v>
      </c>
      <c r="C2" s="6" t="s">
        <v>17</v>
      </c>
      <c r="D2" s="50" t="s">
        <v>18</v>
      </c>
      <c r="E2" s="50" t="s">
        <v>19</v>
      </c>
      <c r="F2" s="50">
        <v>1700</v>
      </c>
      <c r="G2" s="72">
        <v>-170</v>
      </c>
      <c r="H2" s="8">
        <f t="shared" ref="H2:H65" si="0">SUM(F2:G2)</f>
        <v>1530</v>
      </c>
      <c r="I2" s="50">
        <v>2</v>
      </c>
      <c r="J2" s="8">
        <f t="shared" ref="J2:J63" si="1">SUM(H2*I2)</f>
        <v>3060</v>
      </c>
      <c r="K2" s="9">
        <f t="shared" ref="K2:K64" si="2">ROUNDDOWN(J2*1.1,0)</f>
        <v>3366</v>
      </c>
      <c r="L2" s="6" t="s">
        <v>20</v>
      </c>
      <c r="M2" s="50"/>
      <c r="N2"/>
      <c r="O2" s="7"/>
      <c r="P2" s="10">
        <v>1020</v>
      </c>
      <c r="Q2" s="10">
        <f t="shared" ref="Q2:Q65" si="3">SUM(I2)</f>
        <v>2</v>
      </c>
      <c r="R2" s="8">
        <f t="shared" ref="R2:R65" si="4">SUM(P2*Q2)</f>
        <v>2040</v>
      </c>
      <c r="S2" s="8">
        <f t="shared" ref="S2:S65" si="5">SUM(J2-R2)</f>
        <v>1020</v>
      </c>
    </row>
    <row r="3" spans="1:19" ht="21.75" hidden="1" customHeight="1" x14ac:dyDescent="0.4">
      <c r="A3" s="62">
        <v>44713</v>
      </c>
      <c r="B3" s="32" t="s">
        <v>21</v>
      </c>
      <c r="C3" s="11" t="s">
        <v>22</v>
      </c>
      <c r="D3" s="50" t="s">
        <v>23</v>
      </c>
      <c r="E3" s="50" t="s">
        <v>24</v>
      </c>
      <c r="F3" s="50">
        <v>13500</v>
      </c>
      <c r="G3" s="72"/>
      <c r="H3" s="8">
        <f t="shared" si="0"/>
        <v>13500</v>
      </c>
      <c r="I3" s="50">
        <v>1</v>
      </c>
      <c r="J3" s="8">
        <f t="shared" si="1"/>
        <v>13500</v>
      </c>
      <c r="K3" s="9">
        <f t="shared" si="2"/>
        <v>14850</v>
      </c>
      <c r="L3" s="6" t="s">
        <v>25</v>
      </c>
      <c r="M3" s="50"/>
      <c r="N3"/>
      <c r="O3" s="7"/>
      <c r="P3" s="10">
        <f t="shared" ref="P3:P62" si="6">ROUNDDOWN(SUM(F3*O3),0)</f>
        <v>0</v>
      </c>
      <c r="Q3" s="10">
        <f t="shared" si="3"/>
        <v>1</v>
      </c>
      <c r="R3" s="8">
        <f t="shared" si="4"/>
        <v>0</v>
      </c>
      <c r="S3" s="8">
        <f t="shared" si="5"/>
        <v>13500</v>
      </c>
    </row>
    <row r="4" spans="1:19" ht="21.75" hidden="1" customHeight="1" x14ac:dyDescent="0.4">
      <c r="A4" s="62">
        <v>44713</v>
      </c>
      <c r="B4" s="32" t="s">
        <v>26</v>
      </c>
      <c r="C4" s="6" t="s">
        <v>27</v>
      </c>
      <c r="D4" s="50" t="s">
        <v>28</v>
      </c>
      <c r="E4" s="50" t="s">
        <v>29</v>
      </c>
      <c r="F4" s="50">
        <v>13120</v>
      </c>
      <c r="G4" s="72"/>
      <c r="H4" s="8">
        <f t="shared" si="0"/>
        <v>13120</v>
      </c>
      <c r="I4" s="50">
        <v>1</v>
      </c>
      <c r="J4" s="8">
        <f t="shared" si="1"/>
        <v>13120</v>
      </c>
      <c r="K4" s="9">
        <f t="shared" si="2"/>
        <v>14432</v>
      </c>
      <c r="L4" s="6" t="s">
        <v>25</v>
      </c>
      <c r="M4" s="50"/>
      <c r="N4"/>
      <c r="O4" s="7"/>
      <c r="P4" s="10">
        <f t="shared" si="6"/>
        <v>0</v>
      </c>
      <c r="Q4" s="10">
        <f t="shared" si="3"/>
        <v>1</v>
      </c>
      <c r="R4" s="8">
        <f t="shared" si="4"/>
        <v>0</v>
      </c>
      <c r="S4" s="8">
        <f t="shared" si="5"/>
        <v>13120</v>
      </c>
    </row>
    <row r="5" spans="1:19" ht="21.75" hidden="1" customHeight="1" x14ac:dyDescent="0.4">
      <c r="A5" s="145">
        <v>44713</v>
      </c>
      <c r="B5" s="80" t="s">
        <v>26</v>
      </c>
      <c r="C5" s="12" t="s">
        <v>27</v>
      </c>
      <c r="D5" s="51" t="s">
        <v>28</v>
      </c>
      <c r="E5" s="51" t="s">
        <v>30</v>
      </c>
      <c r="F5" s="51">
        <v>15000</v>
      </c>
      <c r="G5" s="73"/>
      <c r="H5" s="14">
        <f t="shared" si="0"/>
        <v>15000</v>
      </c>
      <c r="I5" s="51">
        <v>1</v>
      </c>
      <c r="J5" s="14">
        <f t="shared" si="1"/>
        <v>15000</v>
      </c>
      <c r="K5" s="15">
        <v>11000</v>
      </c>
      <c r="L5" s="12" t="s">
        <v>25</v>
      </c>
      <c r="M5" s="88" t="s">
        <v>31</v>
      </c>
      <c r="N5" s="16"/>
      <c r="O5" s="13"/>
      <c r="P5" s="17">
        <f t="shared" si="6"/>
        <v>0</v>
      </c>
      <c r="Q5" s="17">
        <f t="shared" si="3"/>
        <v>1</v>
      </c>
      <c r="R5" s="14">
        <f t="shared" si="4"/>
        <v>0</v>
      </c>
      <c r="S5" s="14">
        <f t="shared" si="5"/>
        <v>15000</v>
      </c>
    </row>
    <row r="6" spans="1:19" ht="21.75" hidden="1" customHeight="1" x14ac:dyDescent="0.4">
      <c r="A6" s="62">
        <v>44713</v>
      </c>
      <c r="B6" s="32" t="s">
        <v>21</v>
      </c>
      <c r="C6" s="6" t="s">
        <v>17</v>
      </c>
      <c r="D6" s="50" t="s">
        <v>32</v>
      </c>
      <c r="E6" s="50" t="s">
        <v>33</v>
      </c>
      <c r="F6" s="50">
        <v>40000</v>
      </c>
      <c r="G6" s="72">
        <v>-8000</v>
      </c>
      <c r="H6" s="8">
        <f t="shared" si="0"/>
        <v>32000</v>
      </c>
      <c r="I6" s="50">
        <v>1</v>
      </c>
      <c r="J6" s="8">
        <f t="shared" si="1"/>
        <v>32000</v>
      </c>
      <c r="K6" s="9">
        <f t="shared" si="2"/>
        <v>35200</v>
      </c>
      <c r="L6" s="6" t="s">
        <v>34</v>
      </c>
      <c r="M6" s="50"/>
      <c r="N6"/>
      <c r="O6" s="7">
        <v>0.45</v>
      </c>
      <c r="P6" s="10">
        <f t="shared" si="6"/>
        <v>18000</v>
      </c>
      <c r="Q6" s="10">
        <f t="shared" si="3"/>
        <v>1</v>
      </c>
      <c r="R6" s="8">
        <f t="shared" si="4"/>
        <v>18000</v>
      </c>
      <c r="S6" s="8">
        <f t="shared" si="5"/>
        <v>14000</v>
      </c>
    </row>
    <row r="7" spans="1:19" ht="21.75" hidden="1" customHeight="1" x14ac:dyDescent="0.4">
      <c r="A7" s="62">
        <v>44713</v>
      </c>
      <c r="B7" s="32" t="s">
        <v>21</v>
      </c>
      <c r="C7" s="6" t="s">
        <v>17</v>
      </c>
      <c r="D7" s="50" t="s">
        <v>35</v>
      </c>
      <c r="E7" s="50" t="s">
        <v>36</v>
      </c>
      <c r="F7" s="50">
        <v>2200</v>
      </c>
      <c r="G7" s="72"/>
      <c r="H7" s="8">
        <f t="shared" si="0"/>
        <v>2200</v>
      </c>
      <c r="I7" s="50">
        <v>1</v>
      </c>
      <c r="J7" s="8">
        <f t="shared" si="1"/>
        <v>2200</v>
      </c>
      <c r="K7" s="9">
        <f t="shared" si="2"/>
        <v>2420</v>
      </c>
      <c r="L7" s="6" t="s">
        <v>34</v>
      </c>
      <c r="M7" s="50"/>
      <c r="N7"/>
      <c r="O7" s="7"/>
      <c r="P7" s="10">
        <v>1100</v>
      </c>
      <c r="Q7" s="10">
        <f t="shared" si="3"/>
        <v>1</v>
      </c>
      <c r="R7" s="8">
        <f t="shared" si="4"/>
        <v>1100</v>
      </c>
      <c r="S7" s="8">
        <f t="shared" si="5"/>
        <v>1100</v>
      </c>
    </row>
    <row r="8" spans="1:19" ht="21.75" hidden="1" customHeight="1" x14ac:dyDescent="0.4">
      <c r="A8" s="145">
        <v>44714</v>
      </c>
      <c r="B8" s="80" t="s">
        <v>37</v>
      </c>
      <c r="C8" s="12" t="s">
        <v>17</v>
      </c>
      <c r="D8" s="51" t="s">
        <v>18</v>
      </c>
      <c r="E8" s="51" t="s">
        <v>38</v>
      </c>
      <c r="F8" s="51">
        <v>2150</v>
      </c>
      <c r="G8" s="73">
        <v>-215</v>
      </c>
      <c r="H8" s="14">
        <f t="shared" si="0"/>
        <v>1935</v>
      </c>
      <c r="I8" s="51">
        <v>1</v>
      </c>
      <c r="J8" s="14">
        <f t="shared" si="1"/>
        <v>1935</v>
      </c>
      <c r="K8" s="15">
        <v>2129</v>
      </c>
      <c r="L8" s="12" t="s">
        <v>25</v>
      </c>
      <c r="M8" s="88" t="s">
        <v>39</v>
      </c>
      <c r="N8" s="16"/>
      <c r="O8" s="13"/>
      <c r="P8" s="17">
        <v>1100</v>
      </c>
      <c r="Q8" s="17">
        <f t="shared" si="3"/>
        <v>1</v>
      </c>
      <c r="R8" s="14">
        <f t="shared" si="4"/>
        <v>1100</v>
      </c>
      <c r="S8" s="14">
        <f t="shared" si="5"/>
        <v>835</v>
      </c>
    </row>
    <row r="9" spans="1:19" ht="21.75" hidden="1" customHeight="1" x14ac:dyDescent="0.4">
      <c r="A9" s="62">
        <v>44714</v>
      </c>
      <c r="B9" s="32" t="s">
        <v>40</v>
      </c>
      <c r="C9" s="11" t="s">
        <v>22</v>
      </c>
      <c r="D9" s="50" t="s">
        <v>23</v>
      </c>
      <c r="E9" s="50" t="s">
        <v>41</v>
      </c>
      <c r="F9" s="50">
        <v>18000</v>
      </c>
      <c r="G9" s="72"/>
      <c r="H9" s="8">
        <f t="shared" si="0"/>
        <v>18000</v>
      </c>
      <c r="I9" s="50">
        <v>1</v>
      </c>
      <c r="J9" s="8">
        <f t="shared" si="1"/>
        <v>18000</v>
      </c>
      <c r="K9" s="9">
        <f t="shared" si="2"/>
        <v>19800</v>
      </c>
      <c r="L9" s="6" t="s">
        <v>20</v>
      </c>
      <c r="M9" s="50"/>
      <c r="N9"/>
      <c r="O9" s="7"/>
      <c r="P9" s="10">
        <f t="shared" si="6"/>
        <v>0</v>
      </c>
      <c r="Q9" s="10">
        <f t="shared" si="3"/>
        <v>1</v>
      </c>
      <c r="R9" s="8">
        <f t="shared" si="4"/>
        <v>0</v>
      </c>
      <c r="S9" s="8">
        <f t="shared" si="5"/>
        <v>18000</v>
      </c>
    </row>
    <row r="10" spans="1:19" ht="21.75" hidden="1" customHeight="1" x14ac:dyDescent="0.4">
      <c r="A10" s="62">
        <v>44714</v>
      </c>
      <c r="B10" s="32" t="s">
        <v>42</v>
      </c>
      <c r="C10" s="6" t="s">
        <v>27</v>
      </c>
      <c r="D10" s="50" t="s">
        <v>28</v>
      </c>
      <c r="E10" s="50" t="s">
        <v>29</v>
      </c>
      <c r="F10" s="50">
        <v>13120</v>
      </c>
      <c r="G10" s="72"/>
      <c r="H10" s="8">
        <f t="shared" si="0"/>
        <v>13120</v>
      </c>
      <c r="I10" s="50">
        <v>1</v>
      </c>
      <c r="J10" s="8">
        <f t="shared" si="1"/>
        <v>13120</v>
      </c>
      <c r="K10" s="9">
        <f t="shared" si="2"/>
        <v>14432</v>
      </c>
      <c r="L10" s="6" t="s">
        <v>25</v>
      </c>
      <c r="M10" s="50"/>
      <c r="N10"/>
      <c r="O10" s="7"/>
      <c r="P10" s="10">
        <f t="shared" si="6"/>
        <v>0</v>
      </c>
      <c r="Q10" s="10">
        <f t="shared" si="3"/>
        <v>1</v>
      </c>
      <c r="R10" s="8">
        <f t="shared" si="4"/>
        <v>0</v>
      </c>
      <c r="S10" s="8">
        <f t="shared" si="5"/>
        <v>13120</v>
      </c>
    </row>
    <row r="11" spans="1:19" ht="21.75" hidden="1" customHeight="1" x14ac:dyDescent="0.4">
      <c r="A11" s="62">
        <v>44714</v>
      </c>
      <c r="B11" s="32" t="s">
        <v>42</v>
      </c>
      <c r="C11" s="6" t="s">
        <v>27</v>
      </c>
      <c r="D11" s="50" t="s">
        <v>28</v>
      </c>
      <c r="E11" s="50" t="s">
        <v>30</v>
      </c>
      <c r="F11" s="50">
        <v>15000</v>
      </c>
      <c r="G11" s="72"/>
      <c r="H11" s="8">
        <f t="shared" si="0"/>
        <v>15000</v>
      </c>
      <c r="I11" s="50">
        <v>1</v>
      </c>
      <c r="J11" s="8">
        <f t="shared" si="1"/>
        <v>15000</v>
      </c>
      <c r="K11" s="9">
        <f t="shared" si="2"/>
        <v>16500</v>
      </c>
      <c r="L11" s="6" t="s">
        <v>25</v>
      </c>
      <c r="M11" s="50"/>
      <c r="N11"/>
      <c r="O11" s="7"/>
      <c r="P11" s="10">
        <f t="shared" si="6"/>
        <v>0</v>
      </c>
      <c r="Q11" s="10">
        <f t="shared" si="3"/>
        <v>1</v>
      </c>
      <c r="R11" s="8">
        <f t="shared" si="4"/>
        <v>0</v>
      </c>
      <c r="S11" s="8">
        <f t="shared" si="5"/>
        <v>15000</v>
      </c>
    </row>
    <row r="12" spans="1:19" ht="21.75" hidden="1" customHeight="1" x14ac:dyDescent="0.4">
      <c r="A12" s="62">
        <v>44714</v>
      </c>
      <c r="B12" s="32" t="s">
        <v>40</v>
      </c>
      <c r="C12" s="6" t="s">
        <v>17</v>
      </c>
      <c r="D12" s="50" t="s">
        <v>32</v>
      </c>
      <c r="E12" s="50" t="s">
        <v>43</v>
      </c>
      <c r="F12" s="50">
        <v>18000</v>
      </c>
      <c r="G12" s="72">
        <v>-3600</v>
      </c>
      <c r="H12" s="8">
        <f t="shared" si="0"/>
        <v>14400</v>
      </c>
      <c r="I12" s="50">
        <v>2</v>
      </c>
      <c r="J12" s="8">
        <f t="shared" si="1"/>
        <v>28800</v>
      </c>
      <c r="K12" s="9">
        <f t="shared" si="2"/>
        <v>31680</v>
      </c>
      <c r="L12" s="6" t="s">
        <v>34</v>
      </c>
      <c r="M12" s="50"/>
      <c r="N12"/>
      <c r="O12" s="7">
        <v>0.45</v>
      </c>
      <c r="P12" s="10">
        <f t="shared" si="6"/>
        <v>8100</v>
      </c>
      <c r="Q12" s="10">
        <f t="shared" si="3"/>
        <v>2</v>
      </c>
      <c r="R12" s="8">
        <f t="shared" si="4"/>
        <v>16200</v>
      </c>
      <c r="S12" s="8">
        <f t="shared" si="5"/>
        <v>12600</v>
      </c>
    </row>
    <row r="13" spans="1:19" ht="21.75" hidden="1" customHeight="1" x14ac:dyDescent="0.4">
      <c r="A13" s="62">
        <v>44714</v>
      </c>
      <c r="B13" s="32" t="s">
        <v>40</v>
      </c>
      <c r="C13" s="6" t="s">
        <v>17</v>
      </c>
      <c r="D13" s="50" t="s">
        <v>32</v>
      </c>
      <c r="E13" s="50" t="s">
        <v>44</v>
      </c>
      <c r="F13" s="50">
        <v>72000</v>
      </c>
      <c r="G13" s="72">
        <v>-14400</v>
      </c>
      <c r="H13" s="8">
        <f t="shared" si="0"/>
        <v>57600</v>
      </c>
      <c r="I13" s="50">
        <v>1</v>
      </c>
      <c r="J13" s="8">
        <f t="shared" si="1"/>
        <v>57600</v>
      </c>
      <c r="K13" s="9">
        <f t="shared" si="2"/>
        <v>63360</v>
      </c>
      <c r="L13" s="6" t="s">
        <v>34</v>
      </c>
      <c r="M13" s="50"/>
      <c r="N13"/>
      <c r="O13" s="7">
        <v>0.45</v>
      </c>
      <c r="P13" s="10">
        <f t="shared" si="6"/>
        <v>32400</v>
      </c>
      <c r="Q13" s="10">
        <f t="shared" si="3"/>
        <v>1</v>
      </c>
      <c r="R13" s="8">
        <f t="shared" si="4"/>
        <v>32400</v>
      </c>
      <c r="S13" s="8">
        <f t="shared" si="5"/>
        <v>25200</v>
      </c>
    </row>
    <row r="14" spans="1:19" ht="21.75" hidden="1" customHeight="1" x14ac:dyDescent="0.4">
      <c r="A14" s="62">
        <v>44714</v>
      </c>
      <c r="B14" s="32" t="s">
        <v>40</v>
      </c>
      <c r="C14" s="6" t="s">
        <v>17</v>
      </c>
      <c r="D14" s="50" t="s">
        <v>45</v>
      </c>
      <c r="E14" s="50" t="s">
        <v>46</v>
      </c>
      <c r="F14" s="50">
        <v>980</v>
      </c>
      <c r="G14" s="72"/>
      <c r="H14" s="8">
        <f t="shared" si="0"/>
        <v>980</v>
      </c>
      <c r="I14" s="50">
        <v>2</v>
      </c>
      <c r="J14" s="8">
        <f t="shared" si="1"/>
        <v>1960</v>
      </c>
      <c r="K14" s="9">
        <f t="shared" si="2"/>
        <v>2156</v>
      </c>
      <c r="L14" s="6" t="s">
        <v>34</v>
      </c>
      <c r="M14" s="50"/>
      <c r="N14"/>
      <c r="O14" s="7">
        <v>0.64500000000000002</v>
      </c>
      <c r="P14" s="10">
        <f t="shared" si="6"/>
        <v>632</v>
      </c>
      <c r="Q14" s="10">
        <f t="shared" si="3"/>
        <v>2</v>
      </c>
      <c r="R14" s="8">
        <f t="shared" si="4"/>
        <v>1264</v>
      </c>
      <c r="S14" s="8">
        <f t="shared" si="5"/>
        <v>696</v>
      </c>
    </row>
    <row r="15" spans="1:19" ht="21.75" hidden="1" customHeight="1" x14ac:dyDescent="0.4">
      <c r="A15" s="62">
        <v>44714</v>
      </c>
      <c r="B15" s="32" t="s">
        <v>47</v>
      </c>
      <c r="C15" s="11" t="s">
        <v>22</v>
      </c>
      <c r="D15" s="50" t="s">
        <v>48</v>
      </c>
      <c r="E15" s="50" t="s">
        <v>49</v>
      </c>
      <c r="F15" s="50">
        <v>3000</v>
      </c>
      <c r="G15" s="72"/>
      <c r="H15" s="8">
        <f t="shared" si="0"/>
        <v>3000</v>
      </c>
      <c r="I15" s="50">
        <v>1</v>
      </c>
      <c r="J15" s="8">
        <f t="shared" si="1"/>
        <v>3000</v>
      </c>
      <c r="K15" s="9">
        <f t="shared" si="2"/>
        <v>3300</v>
      </c>
      <c r="L15" s="6" t="s">
        <v>25</v>
      </c>
      <c r="M15" s="50"/>
      <c r="N15"/>
      <c r="O15" s="7"/>
      <c r="P15" s="10">
        <f t="shared" si="6"/>
        <v>0</v>
      </c>
      <c r="Q15" s="10">
        <f t="shared" si="3"/>
        <v>1</v>
      </c>
      <c r="R15" s="8">
        <f t="shared" si="4"/>
        <v>0</v>
      </c>
      <c r="S15" s="8">
        <f t="shared" si="5"/>
        <v>3000</v>
      </c>
    </row>
    <row r="16" spans="1:19" ht="21.75" hidden="1" customHeight="1" x14ac:dyDescent="0.4">
      <c r="A16" s="62">
        <v>44714</v>
      </c>
      <c r="B16" s="32" t="s">
        <v>47</v>
      </c>
      <c r="C16" s="11" t="s">
        <v>22</v>
      </c>
      <c r="D16" s="50" t="s">
        <v>48</v>
      </c>
      <c r="E16" s="50" t="s">
        <v>50</v>
      </c>
      <c r="F16" s="50">
        <v>5000</v>
      </c>
      <c r="G16" s="72"/>
      <c r="H16" s="8">
        <f t="shared" si="0"/>
        <v>5000</v>
      </c>
      <c r="I16" s="50">
        <v>1</v>
      </c>
      <c r="J16" s="8">
        <f t="shared" si="1"/>
        <v>5000</v>
      </c>
      <c r="K16" s="9">
        <f t="shared" si="2"/>
        <v>5500</v>
      </c>
      <c r="L16" s="6" t="s">
        <v>25</v>
      </c>
      <c r="M16" s="50"/>
      <c r="N16"/>
      <c r="O16" s="7"/>
      <c r="P16" s="10">
        <f t="shared" si="6"/>
        <v>0</v>
      </c>
      <c r="Q16" s="10">
        <f t="shared" si="3"/>
        <v>1</v>
      </c>
      <c r="R16" s="8">
        <f t="shared" si="4"/>
        <v>0</v>
      </c>
      <c r="S16" s="8">
        <f t="shared" si="5"/>
        <v>5000</v>
      </c>
    </row>
    <row r="17" spans="1:19" ht="21.75" hidden="1" customHeight="1" x14ac:dyDescent="0.4">
      <c r="A17" s="62">
        <v>44715</v>
      </c>
      <c r="B17" s="32" t="s">
        <v>42</v>
      </c>
      <c r="C17" s="11" t="s">
        <v>22</v>
      </c>
      <c r="D17" s="50" t="s">
        <v>51</v>
      </c>
      <c r="E17" s="50" t="s">
        <v>52</v>
      </c>
      <c r="F17" s="50">
        <v>3000</v>
      </c>
      <c r="G17" s="72"/>
      <c r="H17" s="8">
        <f t="shared" si="0"/>
        <v>3000</v>
      </c>
      <c r="I17" s="50">
        <v>1</v>
      </c>
      <c r="J17" s="8">
        <f t="shared" si="1"/>
        <v>3000</v>
      </c>
      <c r="K17" s="9">
        <f t="shared" si="2"/>
        <v>3300</v>
      </c>
      <c r="L17" s="6" t="s">
        <v>25</v>
      </c>
      <c r="M17" s="50"/>
      <c r="N17"/>
      <c r="O17" s="7"/>
      <c r="P17" s="10">
        <f t="shared" si="6"/>
        <v>0</v>
      </c>
      <c r="Q17" s="10">
        <f t="shared" si="3"/>
        <v>1</v>
      </c>
      <c r="R17" s="8">
        <f t="shared" si="4"/>
        <v>0</v>
      </c>
      <c r="S17" s="8">
        <f t="shared" si="5"/>
        <v>3000</v>
      </c>
    </row>
    <row r="18" spans="1:19" ht="21.75" hidden="1" customHeight="1" x14ac:dyDescent="0.4">
      <c r="A18" s="62">
        <v>44715</v>
      </c>
      <c r="B18" s="32" t="s">
        <v>26</v>
      </c>
      <c r="C18" s="6" t="s">
        <v>17</v>
      </c>
      <c r="D18" s="50" t="s">
        <v>32</v>
      </c>
      <c r="E18" s="50" t="s">
        <v>53</v>
      </c>
      <c r="F18" s="50">
        <v>4500</v>
      </c>
      <c r="G18" s="72">
        <v>-450</v>
      </c>
      <c r="H18" s="8">
        <f t="shared" si="0"/>
        <v>4050</v>
      </c>
      <c r="I18" s="50">
        <v>1</v>
      </c>
      <c r="J18" s="8">
        <f t="shared" si="1"/>
        <v>4050</v>
      </c>
      <c r="K18" s="9">
        <f t="shared" si="2"/>
        <v>4455</v>
      </c>
      <c r="L18" s="6" t="s">
        <v>25</v>
      </c>
      <c r="M18" s="50"/>
      <c r="N18"/>
      <c r="O18" s="7"/>
      <c r="P18" s="10">
        <v>1245</v>
      </c>
      <c r="Q18" s="10">
        <f t="shared" si="3"/>
        <v>1</v>
      </c>
      <c r="R18" s="8">
        <f t="shared" si="4"/>
        <v>1245</v>
      </c>
      <c r="S18" s="8">
        <f t="shared" si="5"/>
        <v>2805</v>
      </c>
    </row>
    <row r="19" spans="1:19" ht="21.75" hidden="1" customHeight="1" x14ac:dyDescent="0.4">
      <c r="A19" s="62">
        <v>44716</v>
      </c>
      <c r="B19" s="32" t="s">
        <v>54</v>
      </c>
      <c r="C19" s="6" t="s">
        <v>17</v>
      </c>
      <c r="D19" s="50" t="s">
        <v>55</v>
      </c>
      <c r="E19" s="50" t="s">
        <v>56</v>
      </c>
      <c r="F19" s="50">
        <v>5700</v>
      </c>
      <c r="G19" s="72">
        <v>-570</v>
      </c>
      <c r="H19" s="8">
        <f t="shared" si="0"/>
        <v>5130</v>
      </c>
      <c r="I19" s="50">
        <v>1</v>
      </c>
      <c r="J19" s="8">
        <f t="shared" si="1"/>
        <v>5130</v>
      </c>
      <c r="K19" s="9">
        <f t="shared" si="2"/>
        <v>5643</v>
      </c>
      <c r="L19" s="6" t="s">
        <v>25</v>
      </c>
      <c r="M19" s="50"/>
      <c r="N19"/>
      <c r="O19" s="7"/>
      <c r="P19" s="10">
        <v>4725</v>
      </c>
      <c r="Q19" s="10">
        <f t="shared" si="3"/>
        <v>1</v>
      </c>
      <c r="R19" s="8">
        <f t="shared" si="4"/>
        <v>4725</v>
      </c>
      <c r="S19" s="8">
        <f t="shared" si="5"/>
        <v>405</v>
      </c>
    </row>
    <row r="20" spans="1:19" ht="21.75" hidden="1" customHeight="1" x14ac:dyDescent="0.4">
      <c r="A20" s="62">
        <v>44716</v>
      </c>
      <c r="B20" s="32" t="s">
        <v>54</v>
      </c>
      <c r="C20" s="6" t="s">
        <v>17</v>
      </c>
      <c r="D20" s="50" t="s">
        <v>55</v>
      </c>
      <c r="E20" s="50" t="s">
        <v>57</v>
      </c>
      <c r="F20" s="50">
        <v>5700</v>
      </c>
      <c r="G20" s="72">
        <v>-570</v>
      </c>
      <c r="H20" s="8">
        <f t="shared" si="0"/>
        <v>5130</v>
      </c>
      <c r="I20" s="50">
        <v>1</v>
      </c>
      <c r="J20" s="8">
        <f t="shared" si="1"/>
        <v>5130</v>
      </c>
      <c r="K20" s="9">
        <f t="shared" si="2"/>
        <v>5643</v>
      </c>
      <c r="L20" s="6" t="s">
        <v>25</v>
      </c>
      <c r="M20" s="50"/>
      <c r="N20"/>
      <c r="O20" s="7"/>
      <c r="P20" s="10">
        <v>4725</v>
      </c>
      <c r="Q20" s="10">
        <f t="shared" si="3"/>
        <v>1</v>
      </c>
      <c r="R20" s="8">
        <f t="shared" si="4"/>
        <v>4725</v>
      </c>
      <c r="S20" s="8">
        <f t="shared" si="5"/>
        <v>405</v>
      </c>
    </row>
    <row r="21" spans="1:19" ht="21.75" hidden="1" customHeight="1" x14ac:dyDescent="0.4">
      <c r="A21" s="62">
        <v>44716</v>
      </c>
      <c r="B21" s="32" t="s">
        <v>58</v>
      </c>
      <c r="C21" s="11" t="s">
        <v>22</v>
      </c>
      <c r="D21" s="50" t="s">
        <v>48</v>
      </c>
      <c r="E21" s="50" t="s">
        <v>49</v>
      </c>
      <c r="F21" s="50">
        <v>3000</v>
      </c>
      <c r="G21" s="72"/>
      <c r="H21" s="8">
        <f t="shared" si="0"/>
        <v>3000</v>
      </c>
      <c r="I21" s="50">
        <v>1</v>
      </c>
      <c r="J21" s="8">
        <f t="shared" si="1"/>
        <v>3000</v>
      </c>
      <c r="K21" s="9">
        <f t="shared" si="2"/>
        <v>3300</v>
      </c>
      <c r="L21" s="6" t="s">
        <v>20</v>
      </c>
      <c r="M21" s="50"/>
      <c r="N21"/>
      <c r="O21" s="7"/>
      <c r="P21" s="10">
        <f t="shared" si="6"/>
        <v>0</v>
      </c>
      <c r="Q21" s="10">
        <f t="shared" si="3"/>
        <v>1</v>
      </c>
      <c r="R21" s="8">
        <f t="shared" si="4"/>
        <v>0</v>
      </c>
      <c r="S21" s="8">
        <f t="shared" si="5"/>
        <v>3000</v>
      </c>
    </row>
    <row r="22" spans="1:19" ht="21.75" hidden="1" customHeight="1" x14ac:dyDescent="0.4">
      <c r="A22" s="62">
        <v>44716</v>
      </c>
      <c r="B22" s="32" t="s">
        <v>42</v>
      </c>
      <c r="C22" s="11" t="s">
        <v>22</v>
      </c>
      <c r="D22" s="50" t="s">
        <v>51</v>
      </c>
      <c r="E22" s="50" t="s">
        <v>52</v>
      </c>
      <c r="F22" s="50">
        <v>3000</v>
      </c>
      <c r="G22" s="72"/>
      <c r="H22" s="8">
        <f t="shared" si="0"/>
        <v>3000</v>
      </c>
      <c r="I22" s="50">
        <v>1</v>
      </c>
      <c r="J22" s="8">
        <f t="shared" si="1"/>
        <v>3000</v>
      </c>
      <c r="K22" s="9">
        <f t="shared" si="2"/>
        <v>3300</v>
      </c>
      <c r="L22" s="6" t="s">
        <v>25</v>
      </c>
      <c r="M22" s="50"/>
      <c r="N22"/>
      <c r="O22" s="7"/>
      <c r="P22" s="10">
        <f t="shared" si="6"/>
        <v>0</v>
      </c>
      <c r="Q22" s="10">
        <f t="shared" si="3"/>
        <v>1</v>
      </c>
      <c r="R22" s="8">
        <f t="shared" si="4"/>
        <v>0</v>
      </c>
      <c r="S22" s="8">
        <f t="shared" si="5"/>
        <v>3000</v>
      </c>
    </row>
    <row r="23" spans="1:19" ht="21.75" hidden="1" customHeight="1" x14ac:dyDescent="0.4">
      <c r="A23" s="62">
        <v>44716</v>
      </c>
      <c r="B23" s="32" t="s">
        <v>42</v>
      </c>
      <c r="C23" s="18" t="s">
        <v>59</v>
      </c>
      <c r="D23" s="50" t="s">
        <v>60</v>
      </c>
      <c r="E23" s="50" t="s">
        <v>61</v>
      </c>
      <c r="F23" s="50">
        <v>500</v>
      </c>
      <c r="G23" s="72"/>
      <c r="H23" s="8">
        <f t="shared" si="0"/>
        <v>500</v>
      </c>
      <c r="I23" s="50">
        <v>1</v>
      </c>
      <c r="J23" s="8">
        <f t="shared" si="1"/>
        <v>500</v>
      </c>
      <c r="K23" s="9">
        <f t="shared" si="2"/>
        <v>550</v>
      </c>
      <c r="L23" s="6" t="s">
        <v>20</v>
      </c>
      <c r="M23" s="50"/>
      <c r="N23"/>
      <c r="O23" s="7"/>
      <c r="P23" s="10">
        <f t="shared" si="6"/>
        <v>0</v>
      </c>
      <c r="Q23" s="10">
        <f t="shared" si="3"/>
        <v>1</v>
      </c>
      <c r="R23" s="8">
        <f t="shared" si="4"/>
        <v>0</v>
      </c>
      <c r="S23" s="8">
        <f t="shared" si="5"/>
        <v>500</v>
      </c>
    </row>
    <row r="24" spans="1:19" ht="21.75" hidden="1" customHeight="1" x14ac:dyDescent="0.4">
      <c r="A24" s="62">
        <v>44717</v>
      </c>
      <c r="B24" s="32" t="s">
        <v>42</v>
      </c>
      <c r="C24" s="11" t="s">
        <v>22</v>
      </c>
      <c r="D24" s="50" t="s">
        <v>51</v>
      </c>
      <c r="E24" s="50" t="s">
        <v>52</v>
      </c>
      <c r="F24" s="50">
        <v>3000</v>
      </c>
      <c r="G24" s="72"/>
      <c r="H24" s="8">
        <f t="shared" si="0"/>
        <v>3000</v>
      </c>
      <c r="I24" s="50">
        <v>1</v>
      </c>
      <c r="J24" s="8">
        <f t="shared" si="1"/>
        <v>3000</v>
      </c>
      <c r="K24" s="9">
        <f t="shared" si="2"/>
        <v>3300</v>
      </c>
      <c r="L24" s="6" t="s">
        <v>25</v>
      </c>
      <c r="M24" s="50"/>
      <c r="N24"/>
      <c r="O24" s="7"/>
      <c r="P24" s="10">
        <f t="shared" si="6"/>
        <v>0</v>
      </c>
      <c r="Q24" s="10">
        <f t="shared" si="3"/>
        <v>1</v>
      </c>
      <c r="R24" s="8">
        <f t="shared" si="4"/>
        <v>0</v>
      </c>
      <c r="S24" s="8">
        <f t="shared" si="5"/>
        <v>3000</v>
      </c>
    </row>
    <row r="25" spans="1:19" ht="21.75" hidden="1" customHeight="1" x14ac:dyDescent="0.4">
      <c r="A25" s="62">
        <v>44717</v>
      </c>
      <c r="B25" s="32" t="s">
        <v>62</v>
      </c>
      <c r="C25" s="11" t="s">
        <v>22</v>
      </c>
      <c r="D25" s="50" t="s">
        <v>48</v>
      </c>
      <c r="E25" s="50" t="s">
        <v>63</v>
      </c>
      <c r="F25" s="50">
        <v>3000</v>
      </c>
      <c r="G25" s="72"/>
      <c r="H25" s="8">
        <f t="shared" si="0"/>
        <v>3000</v>
      </c>
      <c r="I25" s="50">
        <v>1</v>
      </c>
      <c r="J25" s="8">
        <f t="shared" si="1"/>
        <v>3000</v>
      </c>
      <c r="K25" s="9">
        <f t="shared" si="2"/>
        <v>3300</v>
      </c>
      <c r="L25" s="6" t="s">
        <v>20</v>
      </c>
      <c r="M25" s="50"/>
      <c r="N25"/>
      <c r="O25" s="7"/>
      <c r="P25" s="10">
        <f t="shared" si="6"/>
        <v>0</v>
      </c>
      <c r="Q25" s="10">
        <f t="shared" si="3"/>
        <v>1</v>
      </c>
      <c r="R25" s="8">
        <f t="shared" si="4"/>
        <v>0</v>
      </c>
      <c r="S25" s="8">
        <f t="shared" si="5"/>
        <v>3000</v>
      </c>
    </row>
    <row r="26" spans="1:19" ht="21.75" hidden="1" customHeight="1" x14ac:dyDescent="0.4">
      <c r="A26" s="62">
        <v>44718</v>
      </c>
      <c r="B26" s="32" t="s">
        <v>64</v>
      </c>
      <c r="C26" s="6" t="s">
        <v>17</v>
      </c>
      <c r="D26" s="50" t="s">
        <v>65</v>
      </c>
      <c r="E26" s="50" t="s">
        <v>66</v>
      </c>
      <c r="F26" s="50">
        <v>980</v>
      </c>
      <c r="G26" s="72">
        <v>-98</v>
      </c>
      <c r="H26" s="8">
        <f t="shared" si="0"/>
        <v>882</v>
      </c>
      <c r="I26" s="50">
        <v>1</v>
      </c>
      <c r="J26" s="8">
        <f t="shared" si="1"/>
        <v>882</v>
      </c>
      <c r="K26" s="9">
        <f t="shared" si="2"/>
        <v>970</v>
      </c>
      <c r="L26" s="6" t="s">
        <v>20</v>
      </c>
      <c r="M26" s="50"/>
      <c r="N26"/>
      <c r="O26" s="7"/>
      <c r="P26" s="10">
        <v>800</v>
      </c>
      <c r="Q26" s="10">
        <f t="shared" si="3"/>
        <v>1</v>
      </c>
      <c r="R26" s="8">
        <f t="shared" si="4"/>
        <v>800</v>
      </c>
      <c r="S26" s="8">
        <f t="shared" si="5"/>
        <v>82</v>
      </c>
    </row>
    <row r="27" spans="1:19" ht="21.75" hidden="1" customHeight="1" x14ac:dyDescent="0.4">
      <c r="A27" s="62">
        <v>44718</v>
      </c>
      <c r="B27" s="32" t="s">
        <v>42</v>
      </c>
      <c r="C27" s="11" t="s">
        <v>22</v>
      </c>
      <c r="D27" s="50" t="s">
        <v>51</v>
      </c>
      <c r="E27" s="50" t="s">
        <v>52</v>
      </c>
      <c r="F27" s="50">
        <v>3000</v>
      </c>
      <c r="G27" s="72"/>
      <c r="H27" s="8">
        <f t="shared" si="0"/>
        <v>3000</v>
      </c>
      <c r="I27" s="50">
        <v>1</v>
      </c>
      <c r="J27" s="8">
        <f t="shared" si="1"/>
        <v>3000</v>
      </c>
      <c r="K27" s="9">
        <f t="shared" si="2"/>
        <v>3300</v>
      </c>
      <c r="L27" s="6" t="s">
        <v>25</v>
      </c>
      <c r="M27" s="50"/>
      <c r="N27"/>
      <c r="O27" s="7"/>
      <c r="P27" s="10">
        <f t="shared" si="6"/>
        <v>0</v>
      </c>
      <c r="Q27" s="10">
        <f t="shared" si="3"/>
        <v>1</v>
      </c>
      <c r="R27" s="8">
        <f t="shared" si="4"/>
        <v>0</v>
      </c>
      <c r="S27" s="8">
        <f t="shared" si="5"/>
        <v>3000</v>
      </c>
    </row>
    <row r="28" spans="1:19" ht="21.75" hidden="1" customHeight="1" x14ac:dyDescent="0.4">
      <c r="A28" s="62">
        <v>44719</v>
      </c>
      <c r="B28" s="32" t="s">
        <v>67</v>
      </c>
      <c r="C28" s="6" t="s">
        <v>17</v>
      </c>
      <c r="D28" s="50" t="s">
        <v>68</v>
      </c>
      <c r="E28" s="50" t="s">
        <v>69</v>
      </c>
      <c r="F28" s="50">
        <v>1500</v>
      </c>
      <c r="G28" s="72">
        <v>-500</v>
      </c>
      <c r="H28" s="8">
        <f t="shared" si="0"/>
        <v>1000</v>
      </c>
      <c r="I28" s="50">
        <v>2</v>
      </c>
      <c r="J28" s="8">
        <f t="shared" si="1"/>
        <v>2000</v>
      </c>
      <c r="K28" s="9">
        <f t="shared" si="2"/>
        <v>2200</v>
      </c>
      <c r="L28" s="6" t="s">
        <v>20</v>
      </c>
      <c r="M28" s="50"/>
      <c r="N28"/>
      <c r="O28" s="7"/>
      <c r="P28" s="10">
        <v>910</v>
      </c>
      <c r="Q28" s="10">
        <f t="shared" si="3"/>
        <v>2</v>
      </c>
      <c r="R28" s="8">
        <f t="shared" si="4"/>
        <v>1820</v>
      </c>
      <c r="S28" s="8">
        <f t="shared" si="5"/>
        <v>180</v>
      </c>
    </row>
    <row r="29" spans="1:19" ht="21.75" hidden="1" customHeight="1" x14ac:dyDescent="0.4">
      <c r="A29" s="62">
        <v>44720</v>
      </c>
      <c r="B29" s="32" t="s">
        <v>42</v>
      </c>
      <c r="C29" s="11" t="s">
        <v>22</v>
      </c>
      <c r="D29" s="50" t="s">
        <v>51</v>
      </c>
      <c r="E29" s="50" t="s">
        <v>52</v>
      </c>
      <c r="F29" s="50">
        <v>3000</v>
      </c>
      <c r="G29" s="72"/>
      <c r="H29" s="8">
        <f t="shared" si="0"/>
        <v>3000</v>
      </c>
      <c r="I29" s="50">
        <v>1</v>
      </c>
      <c r="J29" s="8">
        <f t="shared" si="1"/>
        <v>3000</v>
      </c>
      <c r="K29" s="9">
        <f t="shared" si="2"/>
        <v>3300</v>
      </c>
      <c r="L29" s="6" t="s">
        <v>25</v>
      </c>
      <c r="M29" s="50"/>
      <c r="N29"/>
      <c r="O29" s="7"/>
      <c r="P29" s="10">
        <f t="shared" si="6"/>
        <v>0</v>
      </c>
      <c r="Q29" s="10">
        <f t="shared" si="3"/>
        <v>1</v>
      </c>
      <c r="R29" s="8">
        <f t="shared" si="4"/>
        <v>0</v>
      </c>
      <c r="S29" s="8">
        <f t="shared" si="5"/>
        <v>3000</v>
      </c>
    </row>
    <row r="30" spans="1:19" ht="21.75" hidden="1" customHeight="1" x14ac:dyDescent="0.4">
      <c r="A30" s="62">
        <v>44720</v>
      </c>
      <c r="B30" s="32" t="s">
        <v>70</v>
      </c>
      <c r="C30" s="6" t="s">
        <v>17</v>
      </c>
      <c r="D30" s="50" t="s">
        <v>45</v>
      </c>
      <c r="E30" s="50" t="s">
        <v>71</v>
      </c>
      <c r="F30" s="50">
        <v>1650</v>
      </c>
      <c r="G30" s="72">
        <v>-165</v>
      </c>
      <c r="H30" s="8">
        <f t="shared" si="0"/>
        <v>1485</v>
      </c>
      <c r="I30" s="50">
        <v>1</v>
      </c>
      <c r="J30" s="8">
        <f t="shared" si="1"/>
        <v>1485</v>
      </c>
      <c r="K30" s="9">
        <f t="shared" si="2"/>
        <v>1633</v>
      </c>
      <c r="L30" s="6" t="s">
        <v>20</v>
      </c>
      <c r="M30" s="50"/>
      <c r="N30"/>
      <c r="O30" s="7">
        <v>0.57999999999999996</v>
      </c>
      <c r="P30" s="10">
        <f t="shared" si="6"/>
        <v>957</v>
      </c>
      <c r="Q30" s="10">
        <f t="shared" si="3"/>
        <v>1</v>
      </c>
      <c r="R30" s="8">
        <f t="shared" si="4"/>
        <v>957</v>
      </c>
      <c r="S30" s="8">
        <f t="shared" si="5"/>
        <v>528</v>
      </c>
    </row>
    <row r="31" spans="1:19" ht="21.75" hidden="1" customHeight="1" x14ac:dyDescent="0.4">
      <c r="A31" s="62">
        <v>44720</v>
      </c>
      <c r="B31" s="32" t="s">
        <v>72</v>
      </c>
      <c r="C31" s="6" t="s">
        <v>27</v>
      </c>
      <c r="D31" s="50" t="s">
        <v>28</v>
      </c>
      <c r="E31" s="50" t="s">
        <v>73</v>
      </c>
      <c r="F31" s="50">
        <v>2000</v>
      </c>
      <c r="G31" s="72"/>
      <c r="H31" s="8">
        <f t="shared" si="0"/>
        <v>2000</v>
      </c>
      <c r="I31" s="50">
        <v>1</v>
      </c>
      <c r="J31" s="8">
        <f t="shared" si="1"/>
        <v>2000</v>
      </c>
      <c r="K31" s="9">
        <f t="shared" si="2"/>
        <v>2200</v>
      </c>
      <c r="L31" s="6" t="s">
        <v>25</v>
      </c>
      <c r="M31" s="50"/>
      <c r="N31"/>
      <c r="O31" s="7"/>
      <c r="P31" s="10">
        <f t="shared" si="6"/>
        <v>0</v>
      </c>
      <c r="Q31" s="10">
        <f t="shared" si="3"/>
        <v>1</v>
      </c>
      <c r="R31" s="8">
        <f t="shared" si="4"/>
        <v>0</v>
      </c>
      <c r="S31" s="8">
        <f t="shared" si="5"/>
        <v>2000</v>
      </c>
    </row>
    <row r="32" spans="1:19" ht="21.75" hidden="1" customHeight="1" x14ac:dyDescent="0.4">
      <c r="A32" s="62">
        <v>44721</v>
      </c>
      <c r="B32" s="32" t="s">
        <v>74</v>
      </c>
      <c r="C32" s="6" t="s">
        <v>27</v>
      </c>
      <c r="D32" s="50" t="s">
        <v>28</v>
      </c>
      <c r="E32" s="50" t="s">
        <v>75</v>
      </c>
      <c r="F32" s="50">
        <v>8750</v>
      </c>
      <c r="G32" s="72"/>
      <c r="H32" s="8">
        <f t="shared" si="0"/>
        <v>8750</v>
      </c>
      <c r="I32" s="50">
        <v>1</v>
      </c>
      <c r="J32" s="8">
        <f t="shared" si="1"/>
        <v>8750</v>
      </c>
      <c r="K32" s="9">
        <f t="shared" si="2"/>
        <v>9625</v>
      </c>
      <c r="L32" s="6" t="s">
        <v>25</v>
      </c>
      <c r="M32" s="50"/>
      <c r="N32"/>
      <c r="O32" s="7"/>
      <c r="P32" s="10">
        <f t="shared" si="6"/>
        <v>0</v>
      </c>
      <c r="Q32" s="10">
        <f t="shared" si="3"/>
        <v>1</v>
      </c>
      <c r="R32" s="8">
        <f t="shared" si="4"/>
        <v>0</v>
      </c>
      <c r="S32" s="8">
        <f t="shared" si="5"/>
        <v>8750</v>
      </c>
    </row>
    <row r="33" spans="1:19" ht="21.75" hidden="1" customHeight="1" x14ac:dyDescent="0.4">
      <c r="A33" s="62">
        <v>44721</v>
      </c>
      <c r="B33" s="32" t="s">
        <v>74</v>
      </c>
      <c r="C33" s="6" t="s">
        <v>27</v>
      </c>
      <c r="D33" s="50" t="s">
        <v>28</v>
      </c>
      <c r="E33" s="50" t="s">
        <v>30</v>
      </c>
      <c r="F33" s="50">
        <v>15000</v>
      </c>
      <c r="G33" s="72"/>
      <c r="H33" s="8">
        <f t="shared" si="0"/>
        <v>15000</v>
      </c>
      <c r="I33" s="50">
        <v>1</v>
      </c>
      <c r="J33" s="8">
        <f t="shared" si="1"/>
        <v>15000</v>
      </c>
      <c r="K33" s="9">
        <f t="shared" si="2"/>
        <v>16500</v>
      </c>
      <c r="L33" s="6" t="s">
        <v>25</v>
      </c>
      <c r="M33" s="50"/>
      <c r="N33"/>
      <c r="O33" s="7"/>
      <c r="P33" s="10">
        <f t="shared" si="6"/>
        <v>0</v>
      </c>
      <c r="Q33" s="10">
        <f t="shared" si="3"/>
        <v>1</v>
      </c>
      <c r="R33" s="8">
        <f t="shared" si="4"/>
        <v>0</v>
      </c>
      <c r="S33" s="8">
        <f t="shared" si="5"/>
        <v>15000</v>
      </c>
    </row>
    <row r="34" spans="1:19" ht="21.75" hidden="1" customHeight="1" x14ac:dyDescent="0.4">
      <c r="A34" s="62">
        <v>44721</v>
      </c>
      <c r="B34" s="32" t="s">
        <v>76</v>
      </c>
      <c r="C34" s="11" t="s">
        <v>22</v>
      </c>
      <c r="D34" s="50" t="s">
        <v>48</v>
      </c>
      <c r="E34" s="50" t="s">
        <v>49</v>
      </c>
      <c r="F34" s="50">
        <v>3000</v>
      </c>
      <c r="G34" s="72"/>
      <c r="H34" s="8">
        <f t="shared" si="0"/>
        <v>3000</v>
      </c>
      <c r="I34" s="50">
        <v>1</v>
      </c>
      <c r="J34" s="8">
        <f t="shared" si="1"/>
        <v>3000</v>
      </c>
      <c r="K34" s="9">
        <f t="shared" si="2"/>
        <v>3300</v>
      </c>
      <c r="L34" s="6" t="s">
        <v>20</v>
      </c>
      <c r="M34" s="50"/>
      <c r="N34"/>
      <c r="O34" s="7"/>
      <c r="P34" s="10">
        <f t="shared" si="6"/>
        <v>0</v>
      </c>
      <c r="Q34" s="10">
        <f t="shared" si="3"/>
        <v>1</v>
      </c>
      <c r="R34" s="8">
        <f t="shared" si="4"/>
        <v>0</v>
      </c>
      <c r="S34" s="8">
        <f t="shared" si="5"/>
        <v>3000</v>
      </c>
    </row>
    <row r="35" spans="1:19" ht="21.75" hidden="1" customHeight="1" x14ac:dyDescent="0.4">
      <c r="A35" s="62">
        <v>44721</v>
      </c>
      <c r="B35" s="32" t="s">
        <v>76</v>
      </c>
      <c r="C35" s="6" t="s">
        <v>27</v>
      </c>
      <c r="D35" s="50" t="s">
        <v>28</v>
      </c>
      <c r="E35" s="50" t="s">
        <v>75</v>
      </c>
      <c r="F35" s="50">
        <v>8750</v>
      </c>
      <c r="G35" s="72"/>
      <c r="H35" s="8">
        <f t="shared" si="0"/>
        <v>8750</v>
      </c>
      <c r="I35" s="50">
        <v>1</v>
      </c>
      <c r="J35" s="8">
        <f t="shared" si="1"/>
        <v>8750</v>
      </c>
      <c r="K35" s="9">
        <f t="shared" si="2"/>
        <v>9625</v>
      </c>
      <c r="L35" s="6" t="s">
        <v>20</v>
      </c>
      <c r="M35" s="50"/>
      <c r="N35"/>
      <c r="O35" s="7"/>
      <c r="P35" s="10">
        <f t="shared" si="6"/>
        <v>0</v>
      </c>
      <c r="Q35" s="10">
        <f t="shared" si="3"/>
        <v>1</v>
      </c>
      <c r="R35" s="8">
        <f t="shared" si="4"/>
        <v>0</v>
      </c>
      <c r="S35" s="8">
        <f t="shared" si="5"/>
        <v>8750</v>
      </c>
    </row>
    <row r="36" spans="1:19" ht="21.75" hidden="1" customHeight="1" x14ac:dyDescent="0.4">
      <c r="A36" s="62">
        <v>44721</v>
      </c>
      <c r="B36" s="32" t="s">
        <v>76</v>
      </c>
      <c r="C36" s="6" t="s">
        <v>27</v>
      </c>
      <c r="D36" s="50" t="s">
        <v>28</v>
      </c>
      <c r="E36" s="50" t="s">
        <v>30</v>
      </c>
      <c r="F36" s="50">
        <v>15000</v>
      </c>
      <c r="G36" s="72"/>
      <c r="H36" s="8">
        <f t="shared" si="0"/>
        <v>15000</v>
      </c>
      <c r="I36" s="50">
        <v>1</v>
      </c>
      <c r="J36" s="8">
        <f t="shared" si="1"/>
        <v>15000</v>
      </c>
      <c r="K36" s="9">
        <f t="shared" si="2"/>
        <v>16500</v>
      </c>
      <c r="L36" s="6" t="s">
        <v>20</v>
      </c>
      <c r="M36" s="50"/>
      <c r="N36"/>
      <c r="O36" s="7"/>
      <c r="P36" s="10">
        <f t="shared" si="6"/>
        <v>0</v>
      </c>
      <c r="Q36" s="10">
        <f t="shared" si="3"/>
        <v>1</v>
      </c>
      <c r="R36" s="8">
        <f t="shared" si="4"/>
        <v>0</v>
      </c>
      <c r="S36" s="8">
        <f t="shared" si="5"/>
        <v>15000</v>
      </c>
    </row>
    <row r="37" spans="1:19" ht="21.75" hidden="1" customHeight="1" x14ac:dyDescent="0.4">
      <c r="A37" s="62">
        <v>44721</v>
      </c>
      <c r="B37" s="32" t="s">
        <v>77</v>
      </c>
      <c r="C37" s="11" t="s">
        <v>22</v>
      </c>
      <c r="D37" s="50" t="s">
        <v>48</v>
      </c>
      <c r="E37" s="50" t="s">
        <v>49</v>
      </c>
      <c r="F37" s="50">
        <v>3000</v>
      </c>
      <c r="G37" s="72"/>
      <c r="H37" s="8">
        <f t="shared" si="0"/>
        <v>3000</v>
      </c>
      <c r="I37" s="50">
        <v>1</v>
      </c>
      <c r="J37" s="8">
        <f t="shared" si="1"/>
        <v>3000</v>
      </c>
      <c r="K37" s="9">
        <f t="shared" si="2"/>
        <v>3300</v>
      </c>
      <c r="L37" s="6" t="s">
        <v>20</v>
      </c>
      <c r="M37" s="50"/>
      <c r="N37"/>
      <c r="O37" s="7"/>
      <c r="P37" s="10">
        <f t="shared" si="6"/>
        <v>0</v>
      </c>
      <c r="Q37" s="10">
        <f t="shared" si="3"/>
        <v>1</v>
      </c>
      <c r="R37" s="8">
        <f t="shared" si="4"/>
        <v>0</v>
      </c>
      <c r="S37" s="8">
        <f t="shared" si="5"/>
        <v>3000</v>
      </c>
    </row>
    <row r="38" spans="1:19" ht="21.75" hidden="1" customHeight="1" x14ac:dyDescent="0.4">
      <c r="A38" s="62">
        <v>44722</v>
      </c>
      <c r="B38" s="32" t="s">
        <v>78</v>
      </c>
      <c r="C38" s="6" t="s">
        <v>27</v>
      </c>
      <c r="D38" s="50" t="s">
        <v>28</v>
      </c>
      <c r="E38" s="50" t="s">
        <v>73</v>
      </c>
      <c r="F38" s="50">
        <v>2000</v>
      </c>
      <c r="G38" s="72"/>
      <c r="H38" s="8">
        <f t="shared" si="0"/>
        <v>2000</v>
      </c>
      <c r="I38" s="50">
        <v>1</v>
      </c>
      <c r="J38" s="8">
        <f t="shared" si="1"/>
        <v>2000</v>
      </c>
      <c r="K38" s="9">
        <f t="shared" si="2"/>
        <v>2200</v>
      </c>
      <c r="L38" s="6" t="s">
        <v>20</v>
      </c>
      <c r="M38" s="50"/>
      <c r="N38"/>
      <c r="O38" s="7"/>
      <c r="P38" s="10">
        <f t="shared" si="6"/>
        <v>0</v>
      </c>
      <c r="Q38" s="10">
        <f t="shared" si="3"/>
        <v>1</v>
      </c>
      <c r="R38" s="8">
        <f t="shared" si="4"/>
        <v>0</v>
      </c>
      <c r="S38" s="8">
        <f t="shared" si="5"/>
        <v>2000</v>
      </c>
    </row>
    <row r="39" spans="1:19" ht="21.75" hidden="1" customHeight="1" x14ac:dyDescent="0.4">
      <c r="A39" s="62">
        <v>44723</v>
      </c>
      <c r="B39" s="32" t="s">
        <v>58</v>
      </c>
      <c r="C39" s="6" t="s">
        <v>27</v>
      </c>
      <c r="D39" s="50" t="s">
        <v>28</v>
      </c>
      <c r="E39" s="50" t="s">
        <v>79</v>
      </c>
      <c r="F39" s="50">
        <v>17500</v>
      </c>
      <c r="G39" s="72"/>
      <c r="H39" s="8">
        <f t="shared" si="0"/>
        <v>17500</v>
      </c>
      <c r="I39" s="50">
        <v>1</v>
      </c>
      <c r="J39" s="8">
        <f t="shared" si="1"/>
        <v>17500</v>
      </c>
      <c r="K39" s="9">
        <f t="shared" si="2"/>
        <v>19250</v>
      </c>
      <c r="L39" s="6" t="s">
        <v>25</v>
      </c>
      <c r="M39" s="50"/>
      <c r="N39"/>
      <c r="O39" s="7"/>
      <c r="P39" s="10">
        <f t="shared" si="6"/>
        <v>0</v>
      </c>
      <c r="Q39" s="10">
        <f t="shared" si="3"/>
        <v>1</v>
      </c>
      <c r="R39" s="8">
        <f t="shared" si="4"/>
        <v>0</v>
      </c>
      <c r="S39" s="8">
        <f t="shared" si="5"/>
        <v>17500</v>
      </c>
    </row>
    <row r="40" spans="1:19" ht="21.75" hidden="1" customHeight="1" x14ac:dyDescent="0.4">
      <c r="A40" s="62">
        <v>44723</v>
      </c>
      <c r="B40" s="32" t="s">
        <v>58</v>
      </c>
      <c r="C40" s="6" t="s">
        <v>27</v>
      </c>
      <c r="D40" s="50" t="s">
        <v>28</v>
      </c>
      <c r="E40" s="50" t="s">
        <v>75</v>
      </c>
      <c r="F40" s="50">
        <v>8750</v>
      </c>
      <c r="G40" s="72"/>
      <c r="H40" s="8">
        <f t="shared" si="0"/>
        <v>8750</v>
      </c>
      <c r="I40" s="50">
        <v>1</v>
      </c>
      <c r="J40" s="8">
        <f t="shared" si="1"/>
        <v>8750</v>
      </c>
      <c r="K40" s="9">
        <f t="shared" si="2"/>
        <v>9625</v>
      </c>
      <c r="L40" s="6" t="s">
        <v>25</v>
      </c>
      <c r="M40" s="50"/>
      <c r="N40"/>
      <c r="O40" s="7"/>
      <c r="P40" s="10">
        <f t="shared" si="6"/>
        <v>0</v>
      </c>
      <c r="Q40" s="10">
        <f t="shared" si="3"/>
        <v>1</v>
      </c>
      <c r="R40" s="8">
        <f t="shared" si="4"/>
        <v>0</v>
      </c>
      <c r="S40" s="8">
        <f t="shared" si="5"/>
        <v>8750</v>
      </c>
    </row>
    <row r="41" spans="1:19" ht="21.75" hidden="1" customHeight="1" x14ac:dyDescent="0.4">
      <c r="A41" s="62">
        <v>44723</v>
      </c>
      <c r="B41" s="32" t="s">
        <v>58</v>
      </c>
      <c r="C41" s="6" t="s">
        <v>27</v>
      </c>
      <c r="D41" s="50" t="s">
        <v>28</v>
      </c>
      <c r="E41" s="50" t="s">
        <v>30</v>
      </c>
      <c r="F41" s="50">
        <v>15000</v>
      </c>
      <c r="G41" s="72"/>
      <c r="H41" s="8">
        <f t="shared" si="0"/>
        <v>15000</v>
      </c>
      <c r="I41" s="50">
        <v>1</v>
      </c>
      <c r="J41" s="8">
        <f t="shared" si="1"/>
        <v>15000</v>
      </c>
      <c r="K41" s="9">
        <f t="shared" si="2"/>
        <v>16500</v>
      </c>
      <c r="L41" s="6" t="s">
        <v>25</v>
      </c>
      <c r="M41" s="50"/>
      <c r="N41"/>
      <c r="O41" s="7"/>
      <c r="P41" s="10">
        <f t="shared" si="6"/>
        <v>0</v>
      </c>
      <c r="Q41" s="10">
        <f t="shared" si="3"/>
        <v>1</v>
      </c>
      <c r="R41" s="8">
        <f t="shared" si="4"/>
        <v>0</v>
      </c>
      <c r="S41" s="8">
        <f t="shared" si="5"/>
        <v>15000</v>
      </c>
    </row>
    <row r="42" spans="1:19" ht="21.75" hidden="1" customHeight="1" x14ac:dyDescent="0.4">
      <c r="A42" s="62">
        <v>44723</v>
      </c>
      <c r="B42" s="32" t="s">
        <v>42</v>
      </c>
      <c r="C42" s="11" t="s">
        <v>22</v>
      </c>
      <c r="D42" s="50" t="s">
        <v>51</v>
      </c>
      <c r="E42" s="50" t="s">
        <v>52</v>
      </c>
      <c r="F42" s="50">
        <v>3000</v>
      </c>
      <c r="G42" s="72"/>
      <c r="H42" s="8">
        <f t="shared" si="0"/>
        <v>3000</v>
      </c>
      <c r="I42" s="50">
        <v>1</v>
      </c>
      <c r="J42" s="8">
        <f t="shared" si="1"/>
        <v>3000</v>
      </c>
      <c r="K42" s="9">
        <f t="shared" si="2"/>
        <v>3300</v>
      </c>
      <c r="L42" s="6" t="s">
        <v>25</v>
      </c>
      <c r="M42" s="50"/>
      <c r="N42"/>
      <c r="O42" s="7"/>
      <c r="P42" s="10">
        <f t="shared" si="6"/>
        <v>0</v>
      </c>
      <c r="Q42" s="10">
        <f t="shared" si="3"/>
        <v>1</v>
      </c>
      <c r="R42" s="8">
        <f t="shared" si="4"/>
        <v>0</v>
      </c>
      <c r="S42" s="8">
        <f t="shared" si="5"/>
        <v>3000</v>
      </c>
    </row>
    <row r="43" spans="1:19" ht="21.75" hidden="1" customHeight="1" x14ac:dyDescent="0.4">
      <c r="A43" s="62">
        <v>44723</v>
      </c>
      <c r="B43" s="32" t="s">
        <v>80</v>
      </c>
      <c r="C43" s="11" t="s">
        <v>22</v>
      </c>
      <c r="D43" s="50" t="s">
        <v>23</v>
      </c>
      <c r="E43" s="50" t="s">
        <v>81</v>
      </c>
      <c r="F43" s="50">
        <v>20000</v>
      </c>
      <c r="G43" s="72"/>
      <c r="H43" s="8">
        <f t="shared" si="0"/>
        <v>20000</v>
      </c>
      <c r="I43" s="50">
        <v>1</v>
      </c>
      <c r="J43" s="8">
        <f t="shared" si="1"/>
        <v>20000</v>
      </c>
      <c r="K43" s="9">
        <f t="shared" si="2"/>
        <v>22000</v>
      </c>
      <c r="L43" s="6" t="s">
        <v>20</v>
      </c>
      <c r="M43" s="50"/>
      <c r="N43"/>
      <c r="O43" s="7"/>
      <c r="P43" s="10">
        <f t="shared" si="6"/>
        <v>0</v>
      </c>
      <c r="Q43" s="10">
        <f t="shared" si="3"/>
        <v>1</v>
      </c>
      <c r="R43" s="8">
        <f t="shared" si="4"/>
        <v>0</v>
      </c>
      <c r="S43" s="8">
        <f t="shared" si="5"/>
        <v>20000</v>
      </c>
    </row>
    <row r="44" spans="1:19" ht="21.75" hidden="1" customHeight="1" x14ac:dyDescent="0.4">
      <c r="A44" s="62">
        <v>44723</v>
      </c>
      <c r="B44" s="32" t="s">
        <v>82</v>
      </c>
      <c r="C44" s="6" t="s">
        <v>27</v>
      </c>
      <c r="D44" s="50" t="s">
        <v>28</v>
      </c>
      <c r="E44" s="50" t="s">
        <v>79</v>
      </c>
      <c r="F44" s="50">
        <v>17500</v>
      </c>
      <c r="G44" s="72"/>
      <c r="H44" s="8">
        <f t="shared" si="0"/>
        <v>17500</v>
      </c>
      <c r="I44" s="50">
        <v>1</v>
      </c>
      <c r="J44" s="8">
        <f t="shared" si="1"/>
        <v>17500</v>
      </c>
      <c r="K44" s="9">
        <f t="shared" si="2"/>
        <v>19250</v>
      </c>
      <c r="L44" s="6" t="s">
        <v>20</v>
      </c>
      <c r="M44" s="50"/>
      <c r="N44"/>
      <c r="O44" s="7"/>
      <c r="P44" s="10">
        <f t="shared" si="6"/>
        <v>0</v>
      </c>
      <c r="Q44" s="10">
        <f t="shared" si="3"/>
        <v>1</v>
      </c>
      <c r="R44" s="8">
        <f t="shared" si="4"/>
        <v>0</v>
      </c>
      <c r="S44" s="8">
        <f t="shared" si="5"/>
        <v>17500</v>
      </c>
    </row>
    <row r="45" spans="1:19" ht="21.75" hidden="1" customHeight="1" x14ac:dyDescent="0.4">
      <c r="A45" s="62">
        <v>44723</v>
      </c>
      <c r="B45" s="32" t="s">
        <v>82</v>
      </c>
      <c r="C45" s="6" t="s">
        <v>27</v>
      </c>
      <c r="D45" s="50" t="s">
        <v>28</v>
      </c>
      <c r="E45" s="50" t="s">
        <v>83</v>
      </c>
      <c r="F45" s="50">
        <v>10000</v>
      </c>
      <c r="G45" s="72"/>
      <c r="H45" s="8">
        <f t="shared" si="0"/>
        <v>10000</v>
      </c>
      <c r="I45" s="50">
        <v>1</v>
      </c>
      <c r="J45" s="8">
        <f t="shared" si="1"/>
        <v>10000</v>
      </c>
      <c r="K45" s="9">
        <f t="shared" si="2"/>
        <v>11000</v>
      </c>
      <c r="L45" s="6" t="s">
        <v>20</v>
      </c>
      <c r="M45" s="50"/>
      <c r="N45"/>
      <c r="O45" s="7"/>
      <c r="P45" s="10">
        <f t="shared" si="6"/>
        <v>0</v>
      </c>
      <c r="Q45" s="10">
        <f t="shared" si="3"/>
        <v>1</v>
      </c>
      <c r="R45" s="8">
        <f t="shared" si="4"/>
        <v>0</v>
      </c>
      <c r="S45" s="8">
        <f t="shared" si="5"/>
        <v>10000</v>
      </c>
    </row>
    <row r="46" spans="1:19" ht="21.75" hidden="1" customHeight="1" x14ac:dyDescent="0.4">
      <c r="A46" s="62">
        <v>44724</v>
      </c>
      <c r="B46" s="32" t="s">
        <v>84</v>
      </c>
      <c r="C46" s="6" t="s">
        <v>17</v>
      </c>
      <c r="D46" s="50" t="s">
        <v>45</v>
      </c>
      <c r="E46" s="50" t="s">
        <v>85</v>
      </c>
      <c r="F46" s="50">
        <v>980</v>
      </c>
      <c r="G46" s="72">
        <v>-98</v>
      </c>
      <c r="H46" s="8">
        <f t="shared" si="0"/>
        <v>882</v>
      </c>
      <c r="I46" s="50">
        <v>1</v>
      </c>
      <c r="J46" s="8">
        <f t="shared" si="1"/>
        <v>882</v>
      </c>
      <c r="K46" s="9">
        <f t="shared" si="2"/>
        <v>970</v>
      </c>
      <c r="L46" s="6" t="s">
        <v>20</v>
      </c>
      <c r="M46" s="50"/>
      <c r="N46"/>
      <c r="O46" s="7">
        <v>0.64500000000000002</v>
      </c>
      <c r="P46" s="10">
        <f t="shared" si="6"/>
        <v>632</v>
      </c>
      <c r="Q46" s="10">
        <f t="shared" si="3"/>
        <v>1</v>
      </c>
      <c r="R46" s="8">
        <f t="shared" si="4"/>
        <v>632</v>
      </c>
      <c r="S46" s="8">
        <f t="shared" si="5"/>
        <v>250</v>
      </c>
    </row>
    <row r="47" spans="1:19" ht="21.75" hidden="1" customHeight="1" x14ac:dyDescent="0.4">
      <c r="A47" s="62">
        <v>44724</v>
      </c>
      <c r="B47" s="32" t="s">
        <v>84</v>
      </c>
      <c r="C47" s="6" t="s">
        <v>17</v>
      </c>
      <c r="D47" s="50" t="s">
        <v>32</v>
      </c>
      <c r="E47" s="50" t="s">
        <v>33</v>
      </c>
      <c r="F47" s="50">
        <v>16000</v>
      </c>
      <c r="G47" s="72">
        <v>-1600</v>
      </c>
      <c r="H47" s="8">
        <f t="shared" si="0"/>
        <v>14400</v>
      </c>
      <c r="I47" s="50">
        <v>1</v>
      </c>
      <c r="J47" s="8">
        <f t="shared" si="1"/>
        <v>14400</v>
      </c>
      <c r="K47" s="9">
        <f t="shared" si="2"/>
        <v>15840</v>
      </c>
      <c r="L47" s="6" t="s">
        <v>20</v>
      </c>
      <c r="M47" s="50"/>
      <c r="N47"/>
      <c r="O47" s="7">
        <v>0.45</v>
      </c>
      <c r="P47" s="10">
        <f t="shared" si="6"/>
        <v>7200</v>
      </c>
      <c r="Q47" s="10">
        <f t="shared" si="3"/>
        <v>1</v>
      </c>
      <c r="R47" s="8">
        <f t="shared" si="4"/>
        <v>7200</v>
      </c>
      <c r="S47" s="8">
        <f t="shared" si="5"/>
        <v>7200</v>
      </c>
    </row>
    <row r="48" spans="1:19" ht="21.75" hidden="1" customHeight="1" x14ac:dyDescent="0.4">
      <c r="A48" s="62">
        <v>44724</v>
      </c>
      <c r="B48" s="32" t="s">
        <v>42</v>
      </c>
      <c r="C48" s="6" t="s">
        <v>17</v>
      </c>
      <c r="D48" s="50" t="s">
        <v>45</v>
      </c>
      <c r="E48" s="50" t="s">
        <v>86</v>
      </c>
      <c r="F48" s="50">
        <v>1500</v>
      </c>
      <c r="G48" s="72">
        <v>-150</v>
      </c>
      <c r="H48" s="8">
        <f t="shared" si="0"/>
        <v>1350</v>
      </c>
      <c r="I48" s="50">
        <v>6</v>
      </c>
      <c r="J48" s="8">
        <f t="shared" si="1"/>
        <v>8100</v>
      </c>
      <c r="K48" s="9">
        <f t="shared" si="2"/>
        <v>8910</v>
      </c>
      <c r="L48" s="6" t="s">
        <v>25</v>
      </c>
      <c r="M48" s="50"/>
      <c r="N48"/>
      <c r="O48" s="7">
        <v>0.57999999999999996</v>
      </c>
      <c r="P48" s="10">
        <f t="shared" si="6"/>
        <v>870</v>
      </c>
      <c r="Q48" s="10">
        <f t="shared" si="3"/>
        <v>6</v>
      </c>
      <c r="R48" s="8">
        <f t="shared" si="4"/>
        <v>5220</v>
      </c>
      <c r="S48" s="8">
        <f t="shared" si="5"/>
        <v>2880</v>
      </c>
    </row>
    <row r="49" spans="1:19" ht="21.75" hidden="1" customHeight="1" x14ac:dyDescent="0.4">
      <c r="A49" s="62">
        <v>44724</v>
      </c>
      <c r="B49" s="32" t="s">
        <v>42</v>
      </c>
      <c r="C49" s="11" t="s">
        <v>22</v>
      </c>
      <c r="D49" s="50" t="s">
        <v>51</v>
      </c>
      <c r="E49" s="50" t="s">
        <v>52</v>
      </c>
      <c r="F49" s="50">
        <v>3000</v>
      </c>
      <c r="G49" s="72"/>
      <c r="H49" s="8">
        <f t="shared" si="0"/>
        <v>3000</v>
      </c>
      <c r="I49" s="50">
        <v>1</v>
      </c>
      <c r="J49" s="8">
        <f t="shared" si="1"/>
        <v>3000</v>
      </c>
      <c r="K49" s="9">
        <f t="shared" si="2"/>
        <v>3300</v>
      </c>
      <c r="L49" s="6" t="s">
        <v>25</v>
      </c>
      <c r="M49" s="50"/>
      <c r="N49"/>
      <c r="O49" s="7"/>
      <c r="P49" s="10">
        <f t="shared" si="6"/>
        <v>0</v>
      </c>
      <c r="Q49" s="10">
        <f t="shared" si="3"/>
        <v>1</v>
      </c>
      <c r="R49" s="8">
        <f t="shared" si="4"/>
        <v>0</v>
      </c>
      <c r="S49" s="8">
        <f t="shared" si="5"/>
        <v>3000</v>
      </c>
    </row>
    <row r="50" spans="1:19" ht="21.75" hidden="1" customHeight="1" x14ac:dyDescent="0.4">
      <c r="A50" s="145">
        <v>44725</v>
      </c>
      <c r="B50" s="80" t="s">
        <v>42</v>
      </c>
      <c r="C50" s="12" t="s">
        <v>17</v>
      </c>
      <c r="D50" s="51" t="s">
        <v>87</v>
      </c>
      <c r="E50" s="51" t="s">
        <v>88</v>
      </c>
      <c r="F50" s="51">
        <v>4300</v>
      </c>
      <c r="G50" s="73"/>
      <c r="H50" s="14">
        <f t="shared" si="0"/>
        <v>4300</v>
      </c>
      <c r="I50" s="51">
        <v>1</v>
      </c>
      <c r="J50" s="14">
        <f t="shared" si="1"/>
        <v>4300</v>
      </c>
      <c r="K50" s="15">
        <v>4257</v>
      </c>
      <c r="L50" s="12" t="s">
        <v>25</v>
      </c>
      <c r="M50" s="88" t="s">
        <v>89</v>
      </c>
      <c r="N50" s="16"/>
      <c r="O50" s="13"/>
      <c r="P50" s="17">
        <v>2795</v>
      </c>
      <c r="Q50" s="17">
        <f t="shared" si="3"/>
        <v>1</v>
      </c>
      <c r="R50" s="14">
        <f t="shared" si="4"/>
        <v>2795</v>
      </c>
      <c r="S50" s="14">
        <f t="shared" si="5"/>
        <v>1505</v>
      </c>
    </row>
    <row r="51" spans="1:19" ht="21.75" hidden="1" customHeight="1" x14ac:dyDescent="0.4">
      <c r="A51" s="62">
        <v>44725</v>
      </c>
      <c r="B51" s="32" t="s">
        <v>90</v>
      </c>
      <c r="C51" s="6" t="s">
        <v>17</v>
      </c>
      <c r="D51" s="50" t="s">
        <v>91</v>
      </c>
      <c r="E51" s="50" t="s">
        <v>92</v>
      </c>
      <c r="F51" s="50">
        <v>1800</v>
      </c>
      <c r="G51" s="72"/>
      <c r="H51" s="8">
        <f t="shared" si="0"/>
        <v>1800</v>
      </c>
      <c r="I51" s="50">
        <v>1</v>
      </c>
      <c r="J51" s="8">
        <f t="shared" si="1"/>
        <v>1800</v>
      </c>
      <c r="K51" s="9">
        <f t="shared" si="2"/>
        <v>1980</v>
      </c>
      <c r="L51" s="6" t="s">
        <v>20</v>
      </c>
      <c r="M51" s="50"/>
      <c r="N51"/>
      <c r="O51" s="7"/>
      <c r="P51" s="10">
        <v>990</v>
      </c>
      <c r="Q51" s="10">
        <f t="shared" si="3"/>
        <v>1</v>
      </c>
      <c r="R51" s="8">
        <f t="shared" si="4"/>
        <v>990</v>
      </c>
      <c r="S51" s="8">
        <f t="shared" si="5"/>
        <v>810</v>
      </c>
    </row>
    <row r="52" spans="1:19" ht="21.75" hidden="1" customHeight="1" x14ac:dyDescent="0.4">
      <c r="A52" s="62">
        <v>44728</v>
      </c>
      <c r="B52" s="32" t="s">
        <v>93</v>
      </c>
      <c r="C52" s="6" t="s">
        <v>17</v>
      </c>
      <c r="D52" s="50" t="s">
        <v>55</v>
      </c>
      <c r="E52" s="50" t="s">
        <v>94</v>
      </c>
      <c r="F52" s="50">
        <v>5000</v>
      </c>
      <c r="G52" s="72"/>
      <c r="H52" s="8">
        <f t="shared" si="0"/>
        <v>5000</v>
      </c>
      <c r="I52" s="50">
        <v>1</v>
      </c>
      <c r="J52" s="8">
        <f t="shared" si="1"/>
        <v>5000</v>
      </c>
      <c r="K52" s="9">
        <f t="shared" si="2"/>
        <v>5500</v>
      </c>
      <c r="L52" s="6" t="s">
        <v>25</v>
      </c>
      <c r="M52" s="50"/>
      <c r="N52"/>
      <c r="O52" s="7"/>
      <c r="P52" s="10">
        <v>4408</v>
      </c>
      <c r="Q52" s="10">
        <f t="shared" si="3"/>
        <v>1</v>
      </c>
      <c r="R52" s="8">
        <f t="shared" si="4"/>
        <v>4408</v>
      </c>
      <c r="S52" s="8">
        <f t="shared" si="5"/>
        <v>592</v>
      </c>
    </row>
    <row r="53" spans="1:19" ht="21.75" hidden="1" customHeight="1" x14ac:dyDescent="0.4">
      <c r="A53" s="62">
        <v>44730</v>
      </c>
      <c r="B53" s="32" t="s">
        <v>95</v>
      </c>
      <c r="C53" s="11" t="s">
        <v>22</v>
      </c>
      <c r="D53" s="50" t="s">
        <v>23</v>
      </c>
      <c r="E53" s="50" t="s">
        <v>96</v>
      </c>
      <c r="F53" s="50">
        <v>15000</v>
      </c>
      <c r="G53" s="72">
        <v>-5000</v>
      </c>
      <c r="H53" s="8">
        <f t="shared" si="0"/>
        <v>10000</v>
      </c>
      <c r="I53" s="50">
        <v>1</v>
      </c>
      <c r="J53" s="8">
        <f t="shared" si="1"/>
        <v>10000</v>
      </c>
      <c r="K53" s="9">
        <f t="shared" si="2"/>
        <v>11000</v>
      </c>
      <c r="L53" s="6" t="s">
        <v>20</v>
      </c>
      <c r="M53" s="50"/>
      <c r="N53"/>
      <c r="O53" s="7"/>
      <c r="P53" s="10">
        <f t="shared" si="6"/>
        <v>0</v>
      </c>
      <c r="Q53" s="10">
        <f t="shared" si="3"/>
        <v>1</v>
      </c>
      <c r="R53" s="8">
        <f t="shared" si="4"/>
        <v>0</v>
      </c>
      <c r="S53" s="8">
        <f t="shared" si="5"/>
        <v>10000</v>
      </c>
    </row>
    <row r="54" spans="1:19" ht="21.75" hidden="1" customHeight="1" x14ac:dyDescent="0.4">
      <c r="A54" s="62">
        <v>44730</v>
      </c>
      <c r="B54" s="32" t="s">
        <v>95</v>
      </c>
      <c r="C54" s="6" t="s">
        <v>17</v>
      </c>
      <c r="D54" s="50" t="s">
        <v>97</v>
      </c>
      <c r="E54" s="50" t="s">
        <v>98</v>
      </c>
      <c r="F54" s="50">
        <v>4000</v>
      </c>
      <c r="G54" s="72"/>
      <c r="H54" s="8">
        <f t="shared" si="0"/>
        <v>4000</v>
      </c>
      <c r="I54" s="50">
        <v>1</v>
      </c>
      <c r="J54" s="8">
        <f t="shared" si="1"/>
        <v>4000</v>
      </c>
      <c r="K54" s="9">
        <f t="shared" si="2"/>
        <v>4400</v>
      </c>
      <c r="L54" s="6" t="s">
        <v>34</v>
      </c>
      <c r="M54" s="50"/>
      <c r="N54"/>
      <c r="O54" s="7"/>
      <c r="P54" s="10">
        <v>2450</v>
      </c>
      <c r="Q54" s="10">
        <f t="shared" si="3"/>
        <v>1</v>
      </c>
      <c r="R54" s="8">
        <f t="shared" si="4"/>
        <v>2450</v>
      </c>
      <c r="S54" s="8">
        <f t="shared" si="5"/>
        <v>1550</v>
      </c>
    </row>
    <row r="55" spans="1:19" ht="21.75" hidden="1" customHeight="1" x14ac:dyDescent="0.4">
      <c r="A55" s="62">
        <v>44730</v>
      </c>
      <c r="B55" s="32" t="s">
        <v>95</v>
      </c>
      <c r="C55" s="6" t="s">
        <v>17</v>
      </c>
      <c r="D55" s="50" t="s">
        <v>32</v>
      </c>
      <c r="E55" s="50" t="s">
        <v>99</v>
      </c>
      <c r="F55" s="50">
        <v>60000</v>
      </c>
      <c r="G55" s="72">
        <v>-12000</v>
      </c>
      <c r="H55" s="8">
        <f t="shared" si="0"/>
        <v>48000</v>
      </c>
      <c r="I55" s="50">
        <v>1</v>
      </c>
      <c r="J55" s="8">
        <f t="shared" si="1"/>
        <v>48000</v>
      </c>
      <c r="K55" s="9">
        <f t="shared" si="2"/>
        <v>52800</v>
      </c>
      <c r="L55" s="6" t="s">
        <v>34</v>
      </c>
      <c r="M55" s="50"/>
      <c r="N55"/>
      <c r="O55" s="7">
        <v>0.5</v>
      </c>
      <c r="P55" s="10">
        <f t="shared" si="6"/>
        <v>30000</v>
      </c>
      <c r="Q55" s="10">
        <f t="shared" si="3"/>
        <v>1</v>
      </c>
      <c r="R55" s="8">
        <f t="shared" si="4"/>
        <v>30000</v>
      </c>
      <c r="S55" s="8">
        <f t="shared" si="5"/>
        <v>18000</v>
      </c>
    </row>
    <row r="56" spans="1:19" ht="21.75" hidden="1" customHeight="1" x14ac:dyDescent="0.4">
      <c r="A56" s="62">
        <v>44730</v>
      </c>
      <c r="B56" s="32" t="s">
        <v>100</v>
      </c>
      <c r="C56" s="6" t="s">
        <v>17</v>
      </c>
      <c r="D56" s="50" t="s">
        <v>55</v>
      </c>
      <c r="E56" s="50" t="s">
        <v>101</v>
      </c>
      <c r="F56" s="50">
        <v>5700</v>
      </c>
      <c r="G56" s="72">
        <v>-570</v>
      </c>
      <c r="H56" s="8">
        <f t="shared" si="0"/>
        <v>5130</v>
      </c>
      <c r="I56" s="50">
        <v>1</v>
      </c>
      <c r="J56" s="8">
        <f t="shared" si="1"/>
        <v>5130</v>
      </c>
      <c r="K56" s="9">
        <f t="shared" si="2"/>
        <v>5643</v>
      </c>
      <c r="L56" s="6" t="s">
        <v>20</v>
      </c>
      <c r="M56" s="50"/>
      <c r="N56"/>
      <c r="O56" s="7"/>
      <c r="P56" s="10">
        <v>4725</v>
      </c>
      <c r="Q56" s="10">
        <f t="shared" si="3"/>
        <v>1</v>
      </c>
      <c r="R56" s="8">
        <f t="shared" si="4"/>
        <v>4725</v>
      </c>
      <c r="S56" s="8">
        <f t="shared" si="5"/>
        <v>405</v>
      </c>
    </row>
    <row r="57" spans="1:19" ht="21.75" hidden="1" customHeight="1" x14ac:dyDescent="0.4">
      <c r="A57" s="62">
        <v>44731</v>
      </c>
      <c r="B57" s="32" t="s">
        <v>102</v>
      </c>
      <c r="C57" s="6" t="s">
        <v>317</v>
      </c>
      <c r="D57" s="50" t="s">
        <v>103</v>
      </c>
      <c r="E57" s="50" t="s">
        <v>104</v>
      </c>
      <c r="F57" s="50">
        <v>2500</v>
      </c>
      <c r="G57" s="72"/>
      <c r="H57" s="8">
        <f t="shared" si="0"/>
        <v>2500</v>
      </c>
      <c r="I57" s="50">
        <v>1</v>
      </c>
      <c r="J57" s="8">
        <f t="shared" si="1"/>
        <v>2500</v>
      </c>
      <c r="K57" s="9">
        <f t="shared" si="2"/>
        <v>2750</v>
      </c>
      <c r="L57" s="6" t="s">
        <v>20</v>
      </c>
      <c r="M57" s="50"/>
      <c r="N57"/>
      <c r="O57" s="7"/>
      <c r="P57" s="10">
        <f t="shared" si="6"/>
        <v>0</v>
      </c>
      <c r="Q57" s="10">
        <f t="shared" si="3"/>
        <v>1</v>
      </c>
      <c r="R57" s="8">
        <f t="shared" si="4"/>
        <v>0</v>
      </c>
      <c r="S57" s="8">
        <f t="shared" si="5"/>
        <v>2500</v>
      </c>
    </row>
    <row r="58" spans="1:19" ht="21.75" hidden="1" customHeight="1" x14ac:dyDescent="0.4">
      <c r="A58" s="62">
        <v>44731</v>
      </c>
      <c r="B58" s="32" t="s">
        <v>105</v>
      </c>
      <c r="C58" s="11" t="s">
        <v>22</v>
      </c>
      <c r="D58" s="50" t="s">
        <v>23</v>
      </c>
      <c r="E58" s="50" t="s">
        <v>96</v>
      </c>
      <c r="F58" s="50">
        <v>15000</v>
      </c>
      <c r="G58" s="72"/>
      <c r="H58" s="8">
        <f t="shared" si="0"/>
        <v>15000</v>
      </c>
      <c r="I58" s="50">
        <v>1</v>
      </c>
      <c r="J58" s="8">
        <f t="shared" si="1"/>
        <v>15000</v>
      </c>
      <c r="K58" s="9">
        <f t="shared" si="2"/>
        <v>16500</v>
      </c>
      <c r="L58" s="6" t="s">
        <v>25</v>
      </c>
      <c r="M58" s="50"/>
      <c r="N58"/>
      <c r="O58" s="7"/>
      <c r="P58" s="10">
        <f t="shared" si="6"/>
        <v>0</v>
      </c>
      <c r="Q58" s="10">
        <f t="shared" si="3"/>
        <v>1</v>
      </c>
      <c r="R58" s="8">
        <f t="shared" si="4"/>
        <v>0</v>
      </c>
      <c r="S58" s="8">
        <f t="shared" si="5"/>
        <v>15000</v>
      </c>
    </row>
    <row r="59" spans="1:19" ht="21.75" hidden="1" customHeight="1" x14ac:dyDescent="0.4">
      <c r="A59" s="62">
        <v>44731</v>
      </c>
      <c r="B59" s="32" t="s">
        <v>26</v>
      </c>
      <c r="C59" s="6" t="s">
        <v>17</v>
      </c>
      <c r="D59" s="50" t="s">
        <v>65</v>
      </c>
      <c r="E59" s="50" t="s">
        <v>106</v>
      </c>
      <c r="F59" s="50">
        <v>1180</v>
      </c>
      <c r="G59" s="72">
        <v>-118</v>
      </c>
      <c r="H59" s="8">
        <f t="shared" si="0"/>
        <v>1062</v>
      </c>
      <c r="I59" s="50">
        <v>2</v>
      </c>
      <c r="J59" s="8">
        <f t="shared" si="1"/>
        <v>2124</v>
      </c>
      <c r="K59" s="9">
        <f t="shared" si="2"/>
        <v>2336</v>
      </c>
      <c r="L59" s="6" t="s">
        <v>20</v>
      </c>
      <c r="M59" s="50"/>
      <c r="N59"/>
      <c r="O59" s="7"/>
      <c r="P59" s="10">
        <v>670</v>
      </c>
      <c r="Q59" s="10">
        <f t="shared" si="3"/>
        <v>2</v>
      </c>
      <c r="R59" s="8">
        <f t="shared" si="4"/>
        <v>1340</v>
      </c>
      <c r="S59" s="8">
        <f t="shared" si="5"/>
        <v>784</v>
      </c>
    </row>
    <row r="60" spans="1:19" ht="21.75" hidden="1" customHeight="1" x14ac:dyDescent="0.4">
      <c r="A60" s="62">
        <v>44731</v>
      </c>
      <c r="B60" s="32" t="s">
        <v>107</v>
      </c>
      <c r="C60" s="11" t="s">
        <v>22</v>
      </c>
      <c r="D60" s="50" t="s">
        <v>48</v>
      </c>
      <c r="E60" s="50" t="s">
        <v>49</v>
      </c>
      <c r="F60" s="50">
        <v>3000</v>
      </c>
      <c r="G60" s="72"/>
      <c r="H60" s="8">
        <f t="shared" si="0"/>
        <v>3000</v>
      </c>
      <c r="I60" s="50">
        <v>1</v>
      </c>
      <c r="J60" s="8">
        <f t="shared" si="1"/>
        <v>3000</v>
      </c>
      <c r="K60" s="9">
        <f t="shared" si="2"/>
        <v>3300</v>
      </c>
      <c r="L60" s="6" t="s">
        <v>25</v>
      </c>
      <c r="M60" s="50"/>
      <c r="N60"/>
      <c r="O60" s="7"/>
      <c r="P60" s="10">
        <f t="shared" si="6"/>
        <v>0</v>
      </c>
      <c r="Q60" s="10">
        <f t="shared" si="3"/>
        <v>1</v>
      </c>
      <c r="R60" s="8">
        <f t="shared" si="4"/>
        <v>0</v>
      </c>
      <c r="S60" s="8">
        <f t="shared" si="5"/>
        <v>3000</v>
      </c>
    </row>
    <row r="61" spans="1:19" ht="21.75" hidden="1" customHeight="1" x14ac:dyDescent="0.4">
      <c r="A61" s="62">
        <v>44732</v>
      </c>
      <c r="B61" s="32" t="s">
        <v>108</v>
      </c>
      <c r="C61" s="11" t="s">
        <v>22</v>
      </c>
      <c r="D61" s="50" t="s">
        <v>23</v>
      </c>
      <c r="E61" s="50" t="s">
        <v>24</v>
      </c>
      <c r="F61" s="50">
        <v>13500</v>
      </c>
      <c r="G61" s="72"/>
      <c r="H61" s="8">
        <f t="shared" si="0"/>
        <v>13500</v>
      </c>
      <c r="I61" s="50">
        <v>1</v>
      </c>
      <c r="J61" s="8">
        <f t="shared" si="1"/>
        <v>13500</v>
      </c>
      <c r="K61" s="9">
        <f t="shared" si="2"/>
        <v>14850</v>
      </c>
      <c r="L61" s="6" t="s">
        <v>20</v>
      </c>
      <c r="M61" s="50"/>
      <c r="N61"/>
      <c r="O61" s="7"/>
      <c r="P61" s="10">
        <f t="shared" si="6"/>
        <v>0</v>
      </c>
      <c r="Q61" s="10">
        <f t="shared" si="3"/>
        <v>1</v>
      </c>
      <c r="R61" s="8">
        <f t="shared" si="4"/>
        <v>0</v>
      </c>
      <c r="S61" s="8">
        <f t="shared" si="5"/>
        <v>13500</v>
      </c>
    </row>
    <row r="62" spans="1:19" ht="21.75" hidden="1" customHeight="1" x14ac:dyDescent="0.4">
      <c r="A62" s="62">
        <v>44732</v>
      </c>
      <c r="B62" s="32" t="s">
        <v>109</v>
      </c>
      <c r="C62" s="11" t="s">
        <v>22</v>
      </c>
      <c r="D62" s="50" t="s">
        <v>48</v>
      </c>
      <c r="E62" s="50" t="s">
        <v>49</v>
      </c>
      <c r="F62" s="50">
        <v>3000</v>
      </c>
      <c r="G62" s="72"/>
      <c r="H62" s="8">
        <f t="shared" si="0"/>
        <v>3000</v>
      </c>
      <c r="I62" s="50">
        <v>1</v>
      </c>
      <c r="J62" s="8">
        <f t="shared" si="1"/>
        <v>3000</v>
      </c>
      <c r="K62" s="9">
        <f t="shared" si="2"/>
        <v>3300</v>
      </c>
      <c r="L62" s="6" t="s">
        <v>20</v>
      </c>
      <c r="M62" s="50"/>
      <c r="N62"/>
      <c r="O62" s="7"/>
      <c r="P62" s="10">
        <f t="shared" si="6"/>
        <v>0</v>
      </c>
      <c r="Q62" s="10">
        <f t="shared" si="3"/>
        <v>1</v>
      </c>
      <c r="R62" s="8">
        <f t="shared" si="4"/>
        <v>0</v>
      </c>
      <c r="S62" s="8">
        <f t="shared" si="5"/>
        <v>3000</v>
      </c>
    </row>
    <row r="63" spans="1:19" ht="21.75" hidden="1" customHeight="1" x14ac:dyDescent="0.4">
      <c r="A63" s="62">
        <v>44732</v>
      </c>
      <c r="B63" s="32" t="s">
        <v>110</v>
      </c>
      <c r="C63" s="6" t="s">
        <v>17</v>
      </c>
      <c r="D63" s="50" t="s">
        <v>55</v>
      </c>
      <c r="E63" s="50" t="s">
        <v>57</v>
      </c>
      <c r="F63" s="50">
        <v>5700</v>
      </c>
      <c r="G63" s="72">
        <v>-570</v>
      </c>
      <c r="H63" s="8">
        <f t="shared" si="0"/>
        <v>5130</v>
      </c>
      <c r="I63" s="50">
        <v>1</v>
      </c>
      <c r="J63" s="8">
        <f t="shared" si="1"/>
        <v>5130</v>
      </c>
      <c r="K63" s="9">
        <f t="shared" si="2"/>
        <v>5643</v>
      </c>
      <c r="L63" s="6" t="s">
        <v>20</v>
      </c>
      <c r="M63" s="50"/>
      <c r="N63"/>
      <c r="O63" s="7"/>
      <c r="P63" s="10">
        <v>4725</v>
      </c>
      <c r="Q63" s="10">
        <f t="shared" si="3"/>
        <v>1</v>
      </c>
      <c r="R63" s="8">
        <f t="shared" si="4"/>
        <v>4725</v>
      </c>
      <c r="S63" s="8">
        <f t="shared" si="5"/>
        <v>405</v>
      </c>
    </row>
    <row r="64" spans="1:19" ht="21.75" hidden="1" customHeight="1" x14ac:dyDescent="0.4">
      <c r="A64" s="62">
        <v>44732</v>
      </c>
      <c r="B64" s="32" t="s">
        <v>110</v>
      </c>
      <c r="C64" s="6" t="s">
        <v>17</v>
      </c>
      <c r="D64" s="50" t="s">
        <v>111</v>
      </c>
      <c r="E64" s="50" t="s">
        <v>111</v>
      </c>
      <c r="F64" s="50">
        <v>2000</v>
      </c>
      <c r="G64" s="72">
        <v>-200</v>
      </c>
      <c r="H64" s="8">
        <f t="shared" si="0"/>
        <v>1800</v>
      </c>
      <c r="I64" s="50">
        <v>1</v>
      </c>
      <c r="J64" s="8">
        <f t="shared" ref="J64:J86" si="7">SUM(H64*I64)</f>
        <v>1800</v>
      </c>
      <c r="K64" s="9">
        <f t="shared" si="2"/>
        <v>1980</v>
      </c>
      <c r="L64" s="6" t="s">
        <v>20</v>
      </c>
      <c r="M64" s="50"/>
      <c r="N64"/>
      <c r="O64" s="7"/>
      <c r="P64" s="10">
        <v>1620</v>
      </c>
      <c r="Q64" s="10">
        <f t="shared" si="3"/>
        <v>1</v>
      </c>
      <c r="R64" s="8">
        <f t="shared" si="4"/>
        <v>1620</v>
      </c>
      <c r="S64" s="8">
        <f t="shared" si="5"/>
        <v>180</v>
      </c>
    </row>
    <row r="65" spans="1:19" ht="21.75" hidden="1" customHeight="1" x14ac:dyDescent="0.4">
      <c r="A65" s="62">
        <v>44734</v>
      </c>
      <c r="B65" s="32" t="s">
        <v>112</v>
      </c>
      <c r="C65" s="6" t="s">
        <v>17</v>
      </c>
      <c r="D65" s="50" t="s">
        <v>65</v>
      </c>
      <c r="E65" s="50" t="s">
        <v>66</v>
      </c>
      <c r="F65" s="50">
        <v>980</v>
      </c>
      <c r="G65" s="72">
        <v>-98</v>
      </c>
      <c r="H65" s="8">
        <f t="shared" si="0"/>
        <v>882</v>
      </c>
      <c r="I65" s="50">
        <v>1</v>
      </c>
      <c r="J65" s="8">
        <f t="shared" si="7"/>
        <v>882</v>
      </c>
      <c r="K65" s="9">
        <v>971</v>
      </c>
      <c r="L65" s="6" t="s">
        <v>20</v>
      </c>
      <c r="M65" s="50"/>
      <c r="N65"/>
      <c r="O65" s="7"/>
      <c r="P65" s="10">
        <v>800</v>
      </c>
      <c r="Q65" s="10">
        <f t="shared" si="3"/>
        <v>1</v>
      </c>
      <c r="R65" s="8">
        <f t="shared" si="4"/>
        <v>800</v>
      </c>
      <c r="S65" s="8">
        <f t="shared" si="5"/>
        <v>82</v>
      </c>
    </row>
    <row r="66" spans="1:19" ht="21.75" hidden="1" customHeight="1" x14ac:dyDescent="0.4">
      <c r="A66" s="62">
        <v>44734</v>
      </c>
      <c r="B66" s="32" t="s">
        <v>113</v>
      </c>
      <c r="C66" s="11" t="s">
        <v>22</v>
      </c>
      <c r="D66" s="50" t="s">
        <v>23</v>
      </c>
      <c r="E66" s="50" t="s">
        <v>81</v>
      </c>
      <c r="F66" s="50">
        <v>20000</v>
      </c>
      <c r="G66" s="72"/>
      <c r="H66" s="8">
        <f t="shared" ref="H66:H127" si="8">SUM(F66:G66)</f>
        <v>20000</v>
      </c>
      <c r="I66" s="50">
        <v>1</v>
      </c>
      <c r="J66" s="8">
        <f t="shared" si="7"/>
        <v>20000</v>
      </c>
      <c r="K66" s="9">
        <f t="shared" ref="K66:K130" si="9">ROUNDDOWN(J66*1.1,0)</f>
        <v>22000</v>
      </c>
      <c r="L66" s="6" t="s">
        <v>20</v>
      </c>
      <c r="M66" s="50"/>
      <c r="N66"/>
      <c r="O66" s="7"/>
      <c r="P66" s="10">
        <f t="shared" ref="P66:P86" si="10">ROUNDDOWN(SUM(F66*O66),0)</f>
        <v>0</v>
      </c>
      <c r="Q66" s="10">
        <f t="shared" ref="Q66:Q128" si="11">SUM(I66)</f>
        <v>1</v>
      </c>
      <c r="R66" s="8">
        <f t="shared" ref="R66:R86" si="12">SUM(P66*Q66)</f>
        <v>0</v>
      </c>
      <c r="S66" s="8">
        <f t="shared" ref="S66:S130" si="13">SUM(J66-R66)</f>
        <v>20000</v>
      </c>
    </row>
    <row r="67" spans="1:19" ht="21.75" hidden="1" customHeight="1" x14ac:dyDescent="0.4">
      <c r="A67" s="145">
        <v>44734</v>
      </c>
      <c r="B67" s="80" t="s">
        <v>113</v>
      </c>
      <c r="C67" s="12" t="s">
        <v>17</v>
      </c>
      <c r="D67" s="51" t="s">
        <v>32</v>
      </c>
      <c r="E67" s="51" t="s">
        <v>114</v>
      </c>
      <c r="F67" s="51">
        <v>40000</v>
      </c>
      <c r="G67" s="73">
        <v>-8000</v>
      </c>
      <c r="H67" s="14">
        <f t="shared" si="8"/>
        <v>32000</v>
      </c>
      <c r="I67" s="51">
        <v>1</v>
      </c>
      <c r="J67" s="14">
        <f t="shared" si="7"/>
        <v>32000</v>
      </c>
      <c r="K67" s="15">
        <v>18700</v>
      </c>
      <c r="L67" s="12" t="s">
        <v>20</v>
      </c>
      <c r="M67" s="88" t="s">
        <v>115</v>
      </c>
      <c r="N67" s="16"/>
      <c r="O67" s="13">
        <v>0.64500000000000002</v>
      </c>
      <c r="P67" s="17">
        <f t="shared" si="10"/>
        <v>25800</v>
      </c>
      <c r="Q67" s="17">
        <f t="shared" si="11"/>
        <v>1</v>
      </c>
      <c r="R67" s="14">
        <f t="shared" si="12"/>
        <v>25800</v>
      </c>
      <c r="S67" s="14">
        <f t="shared" si="13"/>
        <v>6200</v>
      </c>
    </row>
    <row r="68" spans="1:19" ht="21.75" hidden="1" customHeight="1" x14ac:dyDescent="0.4">
      <c r="A68" s="62">
        <v>44734</v>
      </c>
      <c r="B68" s="32" t="s">
        <v>113</v>
      </c>
      <c r="C68" s="6" t="s">
        <v>17</v>
      </c>
      <c r="D68" s="50" t="s">
        <v>97</v>
      </c>
      <c r="E68" s="50" t="s">
        <v>116</v>
      </c>
      <c r="F68" s="50">
        <v>5000</v>
      </c>
      <c r="G68" s="72"/>
      <c r="H68" s="8">
        <f t="shared" si="8"/>
        <v>5000</v>
      </c>
      <c r="I68" s="50">
        <v>1</v>
      </c>
      <c r="J68" s="8">
        <f t="shared" si="7"/>
        <v>5000</v>
      </c>
      <c r="K68" s="9">
        <f t="shared" si="9"/>
        <v>5500</v>
      </c>
      <c r="L68" s="6" t="s">
        <v>20</v>
      </c>
      <c r="M68" s="50"/>
      <c r="N68"/>
      <c r="O68" s="7"/>
      <c r="P68" s="10">
        <v>2450</v>
      </c>
      <c r="Q68" s="10">
        <f t="shared" si="11"/>
        <v>1</v>
      </c>
      <c r="R68" s="8">
        <f t="shared" si="12"/>
        <v>2450</v>
      </c>
      <c r="S68" s="8">
        <f t="shared" si="13"/>
        <v>2550</v>
      </c>
    </row>
    <row r="69" spans="1:19" ht="21.75" hidden="1" customHeight="1" x14ac:dyDescent="0.4">
      <c r="A69" s="62">
        <v>44734</v>
      </c>
      <c r="B69" s="32" t="s">
        <v>113</v>
      </c>
      <c r="C69" s="6" t="s">
        <v>17</v>
      </c>
      <c r="D69" s="50" t="s">
        <v>45</v>
      </c>
      <c r="E69" s="50" t="s">
        <v>117</v>
      </c>
      <c r="F69" s="50">
        <v>980</v>
      </c>
      <c r="G69" s="72"/>
      <c r="H69" s="8">
        <f t="shared" si="8"/>
        <v>980</v>
      </c>
      <c r="I69" s="50">
        <v>1</v>
      </c>
      <c r="J69" s="8">
        <f t="shared" si="7"/>
        <v>980</v>
      </c>
      <c r="K69" s="9">
        <f t="shared" si="9"/>
        <v>1078</v>
      </c>
      <c r="L69" s="6" t="s">
        <v>20</v>
      </c>
      <c r="M69" s="50"/>
      <c r="N69"/>
      <c r="O69" s="7">
        <v>0.64500000000000002</v>
      </c>
      <c r="P69" s="10">
        <f t="shared" si="10"/>
        <v>632</v>
      </c>
      <c r="Q69" s="10">
        <f t="shared" si="11"/>
        <v>1</v>
      </c>
      <c r="R69" s="8">
        <f t="shared" si="12"/>
        <v>632</v>
      </c>
      <c r="S69" s="8">
        <f t="shared" si="13"/>
        <v>348</v>
      </c>
    </row>
    <row r="70" spans="1:19" ht="21.75" hidden="1" customHeight="1" x14ac:dyDescent="0.4">
      <c r="A70" s="62">
        <v>44735</v>
      </c>
      <c r="B70" s="32" t="s">
        <v>118</v>
      </c>
      <c r="C70" s="18" t="s">
        <v>59</v>
      </c>
      <c r="D70" s="50" t="s">
        <v>60</v>
      </c>
      <c r="E70" s="50" t="s">
        <v>119</v>
      </c>
      <c r="F70" s="50">
        <v>500</v>
      </c>
      <c r="G70" s="72"/>
      <c r="H70" s="8">
        <f t="shared" si="8"/>
        <v>500</v>
      </c>
      <c r="I70" s="52">
        <v>1</v>
      </c>
      <c r="J70" s="8">
        <f t="shared" si="7"/>
        <v>500</v>
      </c>
      <c r="K70" s="9">
        <f t="shared" si="9"/>
        <v>550</v>
      </c>
      <c r="L70" s="6" t="s">
        <v>25</v>
      </c>
      <c r="M70" s="50"/>
      <c r="N70"/>
      <c r="O70" s="7"/>
      <c r="P70" s="10">
        <f t="shared" si="10"/>
        <v>0</v>
      </c>
      <c r="Q70" s="10">
        <f t="shared" si="11"/>
        <v>1</v>
      </c>
      <c r="R70" s="8">
        <f t="shared" si="12"/>
        <v>0</v>
      </c>
      <c r="S70" s="8">
        <f t="shared" si="13"/>
        <v>500</v>
      </c>
    </row>
    <row r="71" spans="1:19" ht="21.75" hidden="1" customHeight="1" x14ac:dyDescent="0.4">
      <c r="A71" s="62">
        <v>44735</v>
      </c>
      <c r="B71" s="32" t="s">
        <v>118</v>
      </c>
      <c r="C71" s="18" t="s">
        <v>59</v>
      </c>
      <c r="D71" s="50" t="s">
        <v>60</v>
      </c>
      <c r="E71" s="50" t="s">
        <v>120</v>
      </c>
      <c r="F71" s="50">
        <v>500</v>
      </c>
      <c r="G71" s="72"/>
      <c r="H71" s="8">
        <f t="shared" si="8"/>
        <v>500</v>
      </c>
      <c r="I71" s="52">
        <v>1</v>
      </c>
      <c r="J71" s="8">
        <f t="shared" si="7"/>
        <v>500</v>
      </c>
      <c r="K71" s="9">
        <f t="shared" si="9"/>
        <v>550</v>
      </c>
      <c r="L71" s="6" t="s">
        <v>25</v>
      </c>
      <c r="M71" s="50"/>
      <c r="N71"/>
      <c r="O71" s="7"/>
      <c r="P71" s="10">
        <f t="shared" si="10"/>
        <v>0</v>
      </c>
      <c r="Q71" s="10">
        <f t="shared" si="11"/>
        <v>1</v>
      </c>
      <c r="R71" s="8">
        <f t="shared" si="12"/>
        <v>0</v>
      </c>
      <c r="S71" s="8">
        <f t="shared" si="13"/>
        <v>500</v>
      </c>
    </row>
    <row r="72" spans="1:19" ht="21.75" hidden="1" customHeight="1" x14ac:dyDescent="0.4">
      <c r="A72" s="62">
        <v>44735</v>
      </c>
      <c r="B72" s="32" t="s">
        <v>118</v>
      </c>
      <c r="C72" s="18" t="s">
        <v>59</v>
      </c>
      <c r="D72" s="50" t="s">
        <v>60</v>
      </c>
      <c r="E72" s="50" t="s">
        <v>61</v>
      </c>
      <c r="F72" s="50">
        <v>1000</v>
      </c>
      <c r="G72" s="72"/>
      <c r="H72" s="8">
        <f t="shared" si="8"/>
        <v>1000</v>
      </c>
      <c r="I72" s="52">
        <v>1</v>
      </c>
      <c r="J72" s="8">
        <f t="shared" si="7"/>
        <v>1000</v>
      </c>
      <c r="K72" s="9">
        <f t="shared" si="9"/>
        <v>1100</v>
      </c>
      <c r="L72" s="6" t="s">
        <v>25</v>
      </c>
      <c r="M72" s="50"/>
      <c r="N72"/>
      <c r="O72" s="7"/>
      <c r="P72" s="10">
        <f t="shared" si="10"/>
        <v>0</v>
      </c>
      <c r="Q72" s="10">
        <f t="shared" si="11"/>
        <v>1</v>
      </c>
      <c r="R72" s="8">
        <f t="shared" si="12"/>
        <v>0</v>
      </c>
      <c r="S72" s="8">
        <f t="shared" si="13"/>
        <v>1000</v>
      </c>
    </row>
    <row r="73" spans="1:19" ht="21.75" hidden="1" customHeight="1" x14ac:dyDescent="0.4">
      <c r="A73" s="62">
        <v>44736</v>
      </c>
      <c r="B73" s="32" t="s">
        <v>121</v>
      </c>
      <c r="C73" s="6" t="s">
        <v>17</v>
      </c>
      <c r="D73" s="50" t="s">
        <v>55</v>
      </c>
      <c r="E73" s="50" t="s">
        <v>122</v>
      </c>
      <c r="F73" s="50">
        <v>4800</v>
      </c>
      <c r="G73" s="72">
        <v>-480</v>
      </c>
      <c r="H73" s="8">
        <f t="shared" si="8"/>
        <v>4320</v>
      </c>
      <c r="I73" s="50">
        <v>1</v>
      </c>
      <c r="J73" s="8">
        <f t="shared" si="7"/>
        <v>4320</v>
      </c>
      <c r="K73" s="9">
        <f t="shared" si="9"/>
        <v>4752</v>
      </c>
      <c r="L73" s="6" t="s">
        <v>25</v>
      </c>
      <c r="M73" s="50"/>
      <c r="N73"/>
      <c r="O73" s="7"/>
      <c r="P73" s="10">
        <f t="shared" si="10"/>
        <v>0</v>
      </c>
      <c r="Q73" s="10">
        <f t="shared" si="11"/>
        <v>1</v>
      </c>
      <c r="R73" s="8">
        <f t="shared" si="12"/>
        <v>0</v>
      </c>
      <c r="S73" s="8">
        <f t="shared" si="13"/>
        <v>4320</v>
      </c>
    </row>
    <row r="74" spans="1:19" ht="21.75" hidden="1" customHeight="1" x14ac:dyDescent="0.4">
      <c r="A74" s="62">
        <v>44736</v>
      </c>
      <c r="B74" s="32" t="s">
        <v>123</v>
      </c>
      <c r="C74" s="11" t="s">
        <v>22</v>
      </c>
      <c r="D74" s="50" t="s">
        <v>48</v>
      </c>
      <c r="E74" s="50" t="s">
        <v>49</v>
      </c>
      <c r="F74" s="50">
        <v>3000</v>
      </c>
      <c r="G74" s="72"/>
      <c r="H74" s="8">
        <f t="shared" si="8"/>
        <v>3000</v>
      </c>
      <c r="I74" s="52">
        <v>1</v>
      </c>
      <c r="J74" s="8">
        <f t="shared" si="7"/>
        <v>3000</v>
      </c>
      <c r="K74" s="9">
        <f t="shared" si="9"/>
        <v>3300</v>
      </c>
      <c r="L74" s="6" t="s">
        <v>25</v>
      </c>
      <c r="M74" s="50"/>
      <c r="N74"/>
      <c r="O74" s="7"/>
      <c r="P74" s="10">
        <f t="shared" si="10"/>
        <v>0</v>
      </c>
      <c r="Q74" s="10">
        <f t="shared" si="11"/>
        <v>1</v>
      </c>
      <c r="R74" s="8">
        <f t="shared" si="12"/>
        <v>0</v>
      </c>
      <c r="S74" s="8">
        <f t="shared" si="13"/>
        <v>3000</v>
      </c>
    </row>
    <row r="75" spans="1:19" ht="21.75" hidden="1" customHeight="1" x14ac:dyDescent="0.4">
      <c r="A75" s="62">
        <v>44736</v>
      </c>
      <c r="B75" s="32" t="s">
        <v>123</v>
      </c>
      <c r="C75" s="11" t="s">
        <v>22</v>
      </c>
      <c r="D75" s="50" t="s">
        <v>48</v>
      </c>
      <c r="E75" s="50" t="s">
        <v>50</v>
      </c>
      <c r="F75" s="50">
        <v>5000</v>
      </c>
      <c r="G75" s="72"/>
      <c r="H75" s="8">
        <f t="shared" si="8"/>
        <v>5000</v>
      </c>
      <c r="I75" s="52">
        <v>1</v>
      </c>
      <c r="J75" s="8">
        <f t="shared" si="7"/>
        <v>5000</v>
      </c>
      <c r="K75" s="9">
        <f t="shared" si="9"/>
        <v>5500</v>
      </c>
      <c r="L75" s="6" t="s">
        <v>25</v>
      </c>
      <c r="M75" s="50"/>
      <c r="N75"/>
      <c r="O75" s="7"/>
      <c r="P75" s="10">
        <f t="shared" si="10"/>
        <v>0</v>
      </c>
      <c r="Q75" s="10">
        <f t="shared" si="11"/>
        <v>1</v>
      </c>
      <c r="R75" s="8">
        <f t="shared" si="12"/>
        <v>0</v>
      </c>
      <c r="S75" s="8">
        <f t="shared" si="13"/>
        <v>5000</v>
      </c>
    </row>
    <row r="76" spans="1:19" ht="21.75" hidden="1" customHeight="1" x14ac:dyDescent="0.4">
      <c r="A76" s="62">
        <v>44737</v>
      </c>
      <c r="B76" s="32" t="s">
        <v>124</v>
      </c>
      <c r="C76" s="11" t="s">
        <v>22</v>
      </c>
      <c r="D76" s="50" t="s">
        <v>48</v>
      </c>
      <c r="E76" s="50" t="s">
        <v>49</v>
      </c>
      <c r="F76" s="50">
        <v>3000</v>
      </c>
      <c r="G76" s="72"/>
      <c r="H76" s="8">
        <f t="shared" si="8"/>
        <v>3000</v>
      </c>
      <c r="I76" s="52">
        <v>1</v>
      </c>
      <c r="J76" s="8">
        <f t="shared" si="7"/>
        <v>3000</v>
      </c>
      <c r="K76" s="9">
        <f t="shared" si="9"/>
        <v>3300</v>
      </c>
      <c r="L76" s="6" t="s">
        <v>20</v>
      </c>
      <c r="M76" s="50"/>
      <c r="N76"/>
      <c r="O76" s="7"/>
      <c r="P76" s="10">
        <f t="shared" si="10"/>
        <v>0</v>
      </c>
      <c r="Q76" s="10">
        <f t="shared" si="11"/>
        <v>1</v>
      </c>
      <c r="R76" s="8">
        <f t="shared" si="12"/>
        <v>0</v>
      </c>
      <c r="S76" s="8">
        <f t="shared" si="13"/>
        <v>3000</v>
      </c>
    </row>
    <row r="77" spans="1:19" ht="21.75" hidden="1" customHeight="1" x14ac:dyDescent="0.4">
      <c r="A77" s="62">
        <v>44737</v>
      </c>
      <c r="B77" s="32" t="s">
        <v>125</v>
      </c>
      <c r="C77" s="11" t="s">
        <v>22</v>
      </c>
      <c r="D77" s="50" t="s">
        <v>48</v>
      </c>
      <c r="E77" s="50" t="s">
        <v>49</v>
      </c>
      <c r="F77" s="50">
        <v>3000</v>
      </c>
      <c r="G77" s="72"/>
      <c r="H77" s="8">
        <f t="shared" si="8"/>
        <v>3000</v>
      </c>
      <c r="I77" s="52">
        <v>1</v>
      </c>
      <c r="J77" s="8">
        <f t="shared" si="7"/>
        <v>3000</v>
      </c>
      <c r="K77" s="9">
        <f t="shared" si="9"/>
        <v>3300</v>
      </c>
      <c r="L77" s="6" t="s">
        <v>20</v>
      </c>
      <c r="M77" s="50"/>
      <c r="N77"/>
      <c r="O77" s="7"/>
      <c r="P77" s="10">
        <f t="shared" si="10"/>
        <v>0</v>
      </c>
      <c r="Q77" s="10">
        <f t="shared" si="11"/>
        <v>1</v>
      </c>
      <c r="R77" s="8">
        <f t="shared" si="12"/>
        <v>0</v>
      </c>
      <c r="S77" s="8">
        <f t="shared" si="13"/>
        <v>3000</v>
      </c>
    </row>
    <row r="78" spans="1:19" ht="21.75" hidden="1" customHeight="1" x14ac:dyDescent="0.4">
      <c r="A78" s="62">
        <v>44738</v>
      </c>
      <c r="B78" s="32" t="s">
        <v>84</v>
      </c>
      <c r="C78" s="6" t="s">
        <v>17</v>
      </c>
      <c r="D78" s="50" t="s">
        <v>45</v>
      </c>
      <c r="E78" s="50" t="s">
        <v>85</v>
      </c>
      <c r="F78" s="50">
        <v>980</v>
      </c>
      <c r="G78" s="72">
        <v>-98</v>
      </c>
      <c r="H78" s="8">
        <f t="shared" si="8"/>
        <v>882</v>
      </c>
      <c r="I78" s="50">
        <v>1</v>
      </c>
      <c r="J78" s="8">
        <f t="shared" si="7"/>
        <v>882</v>
      </c>
      <c r="K78" s="9">
        <f t="shared" si="9"/>
        <v>970</v>
      </c>
      <c r="L78" s="6" t="s">
        <v>20</v>
      </c>
      <c r="M78" s="50"/>
      <c r="N78"/>
      <c r="O78" s="7">
        <v>0.64500000000000002</v>
      </c>
      <c r="P78" s="10">
        <f t="shared" si="10"/>
        <v>632</v>
      </c>
      <c r="Q78" s="10">
        <f t="shared" si="11"/>
        <v>1</v>
      </c>
      <c r="R78" s="8">
        <f t="shared" si="12"/>
        <v>632</v>
      </c>
      <c r="S78" s="8">
        <f t="shared" si="13"/>
        <v>250</v>
      </c>
    </row>
    <row r="79" spans="1:19" ht="21.75" hidden="1" customHeight="1" x14ac:dyDescent="0.4">
      <c r="A79" s="62">
        <v>44738</v>
      </c>
      <c r="B79" s="32" t="s">
        <v>84</v>
      </c>
      <c r="C79" s="6" t="s">
        <v>17</v>
      </c>
      <c r="D79" s="50" t="s">
        <v>32</v>
      </c>
      <c r="E79" s="50" t="s">
        <v>33</v>
      </c>
      <c r="F79" s="50">
        <v>16000</v>
      </c>
      <c r="G79" s="72">
        <v>-1600</v>
      </c>
      <c r="H79" s="8">
        <f t="shared" si="8"/>
        <v>14400</v>
      </c>
      <c r="I79" s="50">
        <v>1</v>
      </c>
      <c r="J79" s="8">
        <f t="shared" si="7"/>
        <v>14400</v>
      </c>
      <c r="K79" s="9">
        <f t="shared" si="9"/>
        <v>15840</v>
      </c>
      <c r="L79" s="6" t="s">
        <v>20</v>
      </c>
      <c r="M79" s="50"/>
      <c r="N79"/>
      <c r="O79" s="7">
        <v>0.45</v>
      </c>
      <c r="P79" s="10">
        <f t="shared" si="10"/>
        <v>7200</v>
      </c>
      <c r="Q79" s="10">
        <f t="shared" si="11"/>
        <v>1</v>
      </c>
      <c r="R79" s="8">
        <f t="shared" si="12"/>
        <v>7200</v>
      </c>
      <c r="S79" s="8">
        <f t="shared" si="13"/>
        <v>7200</v>
      </c>
    </row>
    <row r="80" spans="1:19" ht="21.75" hidden="1" customHeight="1" x14ac:dyDescent="0.4">
      <c r="A80" s="62">
        <v>44738</v>
      </c>
      <c r="B80" s="32" t="s">
        <v>84</v>
      </c>
      <c r="C80" s="6" t="s">
        <v>17</v>
      </c>
      <c r="D80" s="50" t="s">
        <v>126</v>
      </c>
      <c r="E80" s="50" t="s">
        <v>127</v>
      </c>
      <c r="F80" s="50">
        <v>38000</v>
      </c>
      <c r="G80" s="72">
        <v>-5700</v>
      </c>
      <c r="H80" s="8">
        <f t="shared" si="8"/>
        <v>32300</v>
      </c>
      <c r="I80" s="50">
        <v>2</v>
      </c>
      <c r="J80" s="8">
        <f t="shared" si="7"/>
        <v>64600</v>
      </c>
      <c r="K80" s="9">
        <f t="shared" si="9"/>
        <v>71060</v>
      </c>
      <c r="L80" s="6" t="s">
        <v>20</v>
      </c>
      <c r="M80" s="50"/>
      <c r="N80"/>
      <c r="O80" s="19"/>
      <c r="P80" s="20">
        <v>24700</v>
      </c>
      <c r="Q80" s="10">
        <f t="shared" si="11"/>
        <v>2</v>
      </c>
      <c r="R80" s="8">
        <f t="shared" si="12"/>
        <v>49400</v>
      </c>
      <c r="S80" s="8">
        <f t="shared" si="13"/>
        <v>15200</v>
      </c>
    </row>
    <row r="81" spans="1:19" ht="21.75" hidden="1" customHeight="1" x14ac:dyDescent="0.4">
      <c r="A81" s="62">
        <v>44738</v>
      </c>
      <c r="B81" s="32" t="s">
        <v>128</v>
      </c>
      <c r="C81" s="11" t="s">
        <v>22</v>
      </c>
      <c r="D81" s="50" t="s">
        <v>48</v>
      </c>
      <c r="E81" s="50" t="s">
        <v>63</v>
      </c>
      <c r="F81" s="50">
        <v>3000</v>
      </c>
      <c r="G81" s="72"/>
      <c r="H81" s="8">
        <f t="shared" si="8"/>
        <v>3000</v>
      </c>
      <c r="I81" s="52">
        <v>1</v>
      </c>
      <c r="J81" s="8">
        <f t="shared" si="7"/>
        <v>3000</v>
      </c>
      <c r="K81" s="9">
        <f t="shared" si="9"/>
        <v>3300</v>
      </c>
      <c r="L81" s="6" t="s">
        <v>25</v>
      </c>
      <c r="M81" s="50"/>
      <c r="N81"/>
      <c r="O81" s="7"/>
      <c r="P81" s="10">
        <f t="shared" si="10"/>
        <v>0</v>
      </c>
      <c r="Q81" s="10">
        <f t="shared" si="11"/>
        <v>1</v>
      </c>
      <c r="R81" s="8">
        <f t="shared" si="12"/>
        <v>0</v>
      </c>
      <c r="S81" s="8">
        <f t="shared" si="13"/>
        <v>3000</v>
      </c>
    </row>
    <row r="82" spans="1:19" ht="21.75" hidden="1" customHeight="1" x14ac:dyDescent="0.4">
      <c r="A82" s="62">
        <v>44739</v>
      </c>
      <c r="B82" s="32" t="s">
        <v>129</v>
      </c>
      <c r="C82" s="11" t="s">
        <v>22</v>
      </c>
      <c r="D82" s="50" t="s">
        <v>23</v>
      </c>
      <c r="E82" s="50" t="s">
        <v>81</v>
      </c>
      <c r="F82" s="50">
        <v>20000</v>
      </c>
      <c r="G82" s="72"/>
      <c r="H82" s="8">
        <f t="shared" si="8"/>
        <v>20000</v>
      </c>
      <c r="I82" s="52">
        <v>1</v>
      </c>
      <c r="J82" s="8">
        <f t="shared" si="7"/>
        <v>20000</v>
      </c>
      <c r="K82" s="9">
        <f t="shared" si="9"/>
        <v>22000</v>
      </c>
      <c r="L82" s="6" t="s">
        <v>20</v>
      </c>
      <c r="M82" s="50"/>
      <c r="N82"/>
      <c r="O82" s="7"/>
      <c r="P82" s="10">
        <f t="shared" si="10"/>
        <v>0</v>
      </c>
      <c r="Q82" s="10">
        <f t="shared" si="11"/>
        <v>1</v>
      </c>
      <c r="R82" s="8">
        <f t="shared" si="12"/>
        <v>0</v>
      </c>
      <c r="S82" s="8">
        <f t="shared" si="13"/>
        <v>20000</v>
      </c>
    </row>
    <row r="83" spans="1:19" ht="21.75" hidden="1" customHeight="1" x14ac:dyDescent="0.4">
      <c r="A83" s="62">
        <v>44739</v>
      </c>
      <c r="B83" s="32" t="s">
        <v>130</v>
      </c>
      <c r="C83" s="6" t="s">
        <v>17</v>
      </c>
      <c r="D83" s="50" t="s">
        <v>55</v>
      </c>
      <c r="E83" s="50" t="s">
        <v>56</v>
      </c>
      <c r="F83" s="50">
        <v>5700</v>
      </c>
      <c r="G83" s="72"/>
      <c r="H83" s="8">
        <f t="shared" si="8"/>
        <v>5700</v>
      </c>
      <c r="I83" s="50">
        <v>1</v>
      </c>
      <c r="J83" s="8">
        <f t="shared" si="7"/>
        <v>5700</v>
      </c>
      <c r="K83" s="9">
        <f t="shared" si="9"/>
        <v>6270</v>
      </c>
      <c r="L83" s="6" t="s">
        <v>20</v>
      </c>
      <c r="M83" s="50"/>
      <c r="N83"/>
      <c r="O83" s="7"/>
      <c r="P83" s="10">
        <v>4725</v>
      </c>
      <c r="Q83" s="10">
        <f t="shared" si="11"/>
        <v>1</v>
      </c>
      <c r="R83" s="8">
        <f t="shared" si="12"/>
        <v>4725</v>
      </c>
      <c r="S83" s="8">
        <f t="shared" si="13"/>
        <v>975</v>
      </c>
    </row>
    <row r="84" spans="1:19" ht="21.75" hidden="1" customHeight="1" x14ac:dyDescent="0.4">
      <c r="A84" s="62">
        <v>44739</v>
      </c>
      <c r="B84" s="32" t="s">
        <v>131</v>
      </c>
      <c r="C84" s="6" t="s">
        <v>27</v>
      </c>
      <c r="D84" s="50" t="s">
        <v>28</v>
      </c>
      <c r="E84" s="50" t="s">
        <v>79</v>
      </c>
      <c r="F84" s="50">
        <v>17500</v>
      </c>
      <c r="G84" s="72"/>
      <c r="H84" s="8">
        <f t="shared" si="8"/>
        <v>17500</v>
      </c>
      <c r="I84" s="52">
        <v>1</v>
      </c>
      <c r="J84" s="8">
        <f t="shared" si="7"/>
        <v>17500</v>
      </c>
      <c r="K84" s="9">
        <f t="shared" si="9"/>
        <v>19250</v>
      </c>
      <c r="L84" s="6" t="s">
        <v>20</v>
      </c>
      <c r="M84" s="50"/>
      <c r="N84"/>
      <c r="O84" s="7"/>
      <c r="P84" s="10">
        <f t="shared" si="10"/>
        <v>0</v>
      </c>
      <c r="Q84" s="10">
        <f t="shared" si="11"/>
        <v>1</v>
      </c>
      <c r="R84" s="8">
        <f t="shared" si="12"/>
        <v>0</v>
      </c>
      <c r="S84" s="8">
        <f t="shared" si="13"/>
        <v>17500</v>
      </c>
    </row>
    <row r="85" spans="1:19" ht="21.75" hidden="1" customHeight="1" x14ac:dyDescent="0.4">
      <c r="A85" s="62">
        <v>44742</v>
      </c>
      <c r="B85" s="32" t="s">
        <v>112</v>
      </c>
      <c r="C85" s="6" t="s">
        <v>17</v>
      </c>
      <c r="D85" s="50" t="s">
        <v>65</v>
      </c>
      <c r="E85" s="50" t="s">
        <v>66</v>
      </c>
      <c r="F85" s="50">
        <v>980</v>
      </c>
      <c r="G85" s="72">
        <v>-98</v>
      </c>
      <c r="H85" s="8">
        <f t="shared" si="8"/>
        <v>882</v>
      </c>
      <c r="I85" s="50">
        <v>1</v>
      </c>
      <c r="J85" s="8">
        <f t="shared" si="7"/>
        <v>882</v>
      </c>
      <c r="K85" s="9">
        <f t="shared" si="9"/>
        <v>970</v>
      </c>
      <c r="L85" s="6" t="s">
        <v>20</v>
      </c>
      <c r="M85" s="50"/>
      <c r="N85"/>
      <c r="O85" s="7"/>
      <c r="P85" s="10">
        <v>490</v>
      </c>
      <c r="Q85" s="10">
        <f t="shared" si="11"/>
        <v>1</v>
      </c>
      <c r="R85" s="8">
        <f t="shared" si="12"/>
        <v>490</v>
      </c>
      <c r="S85" s="8">
        <f t="shared" si="13"/>
        <v>392</v>
      </c>
    </row>
    <row r="86" spans="1:19" ht="21.75" hidden="1" customHeight="1" thickBot="1" x14ac:dyDescent="0.45">
      <c r="A86" s="146">
        <v>44742</v>
      </c>
      <c r="B86" s="81" t="s">
        <v>102</v>
      </c>
      <c r="C86" s="21" t="s">
        <v>27</v>
      </c>
      <c r="D86" s="53" t="s">
        <v>103</v>
      </c>
      <c r="E86" s="53" t="s">
        <v>104</v>
      </c>
      <c r="F86" s="53">
        <v>2500</v>
      </c>
      <c r="G86" s="74"/>
      <c r="H86" s="24">
        <f t="shared" si="8"/>
        <v>2500</v>
      </c>
      <c r="I86" s="95">
        <v>1</v>
      </c>
      <c r="J86" s="24">
        <f t="shared" si="7"/>
        <v>2500</v>
      </c>
      <c r="K86" s="25">
        <f t="shared" si="9"/>
        <v>2750</v>
      </c>
      <c r="L86" s="21" t="s">
        <v>20</v>
      </c>
      <c r="M86" s="53"/>
      <c r="N86" s="23"/>
      <c r="O86" s="22"/>
      <c r="P86" s="26">
        <f t="shared" si="10"/>
        <v>0</v>
      </c>
      <c r="Q86" s="26">
        <f t="shared" si="11"/>
        <v>1</v>
      </c>
      <c r="R86" s="24">
        <f t="shared" si="12"/>
        <v>0</v>
      </c>
      <c r="S86" s="24">
        <f t="shared" si="13"/>
        <v>2500</v>
      </c>
    </row>
    <row r="87" spans="1:19" ht="21.75" hidden="1" customHeight="1" thickTop="1" x14ac:dyDescent="0.4">
      <c r="A87" s="147">
        <v>44743</v>
      </c>
      <c r="B87" s="27" t="s">
        <v>132</v>
      </c>
      <c r="C87" s="28" t="s">
        <v>27</v>
      </c>
      <c r="D87" s="54" t="s">
        <v>28</v>
      </c>
      <c r="E87" s="54" t="s">
        <v>83</v>
      </c>
      <c r="F87" s="54">
        <v>10000</v>
      </c>
      <c r="G87" s="75"/>
      <c r="H87" s="29">
        <f t="shared" si="8"/>
        <v>10000</v>
      </c>
      <c r="I87" s="54">
        <v>1</v>
      </c>
      <c r="J87" s="29">
        <f t="shared" ref="J87:J150" si="14">SUM(H87*I87)</f>
        <v>10000</v>
      </c>
      <c r="K87" s="30">
        <f t="shared" si="9"/>
        <v>11000</v>
      </c>
      <c r="L87" s="65" t="s">
        <v>25</v>
      </c>
      <c r="M87" s="50"/>
      <c r="O87" s="31"/>
      <c r="P87" s="10">
        <f t="shared" ref="P87:P93" si="15">ROUNDDOWN(SUM(F87*O87),0)</f>
        <v>0</v>
      </c>
      <c r="Q87" s="10">
        <f t="shared" si="11"/>
        <v>1</v>
      </c>
      <c r="R87" s="8">
        <f t="shared" ref="R87:R97" si="16">SUM(P87*Q87)</f>
        <v>0</v>
      </c>
      <c r="S87" s="8">
        <f t="shared" si="13"/>
        <v>10000</v>
      </c>
    </row>
    <row r="88" spans="1:19" ht="21.75" hidden="1" customHeight="1" x14ac:dyDescent="0.4">
      <c r="A88" s="62">
        <v>44743</v>
      </c>
      <c r="B88" s="32" t="s">
        <v>133</v>
      </c>
      <c r="C88" s="11" t="s">
        <v>22</v>
      </c>
      <c r="D88" s="50" t="s">
        <v>23</v>
      </c>
      <c r="E88" s="50" t="s">
        <v>41</v>
      </c>
      <c r="F88" s="50">
        <v>20000</v>
      </c>
      <c r="G88" s="76">
        <v>-2000</v>
      </c>
      <c r="H88" s="8">
        <f t="shared" si="8"/>
        <v>18000</v>
      </c>
      <c r="I88" s="50">
        <v>1</v>
      </c>
      <c r="J88" s="8">
        <f t="shared" si="14"/>
        <v>18000</v>
      </c>
      <c r="K88" s="9">
        <f t="shared" si="9"/>
        <v>19800</v>
      </c>
      <c r="L88" s="18" t="s">
        <v>134</v>
      </c>
      <c r="M88" s="50" t="s">
        <v>205</v>
      </c>
      <c r="O88" s="31"/>
      <c r="P88" s="10">
        <f t="shared" si="15"/>
        <v>0</v>
      </c>
      <c r="Q88" s="10">
        <f t="shared" si="11"/>
        <v>1</v>
      </c>
      <c r="R88" s="8">
        <f t="shared" si="16"/>
        <v>0</v>
      </c>
      <c r="S88" s="8">
        <f t="shared" si="13"/>
        <v>18000</v>
      </c>
    </row>
    <row r="89" spans="1:19" ht="21.75" hidden="1" customHeight="1" x14ac:dyDescent="0.4">
      <c r="A89" s="62">
        <v>44743</v>
      </c>
      <c r="B89" s="32" t="s">
        <v>135</v>
      </c>
      <c r="C89" s="6" t="s">
        <v>27</v>
      </c>
      <c r="D89" s="50" t="s">
        <v>28</v>
      </c>
      <c r="E89" s="50" t="s">
        <v>83</v>
      </c>
      <c r="F89" s="50">
        <v>10000</v>
      </c>
      <c r="G89" s="76"/>
      <c r="H89" s="8">
        <f t="shared" si="8"/>
        <v>10000</v>
      </c>
      <c r="I89" s="50">
        <v>1</v>
      </c>
      <c r="J89" s="8">
        <f t="shared" si="14"/>
        <v>10000</v>
      </c>
      <c r="K89" s="9">
        <f t="shared" si="9"/>
        <v>11000</v>
      </c>
      <c r="L89" s="18" t="s">
        <v>134</v>
      </c>
      <c r="M89" s="50"/>
      <c r="O89" s="31"/>
      <c r="P89" s="10">
        <f t="shared" si="15"/>
        <v>0</v>
      </c>
      <c r="Q89" s="10">
        <f t="shared" si="11"/>
        <v>1</v>
      </c>
      <c r="R89" s="8">
        <f t="shared" si="16"/>
        <v>0</v>
      </c>
      <c r="S89" s="8">
        <f t="shared" si="13"/>
        <v>10000</v>
      </c>
    </row>
    <row r="90" spans="1:19" ht="21.75" hidden="1" customHeight="1" x14ac:dyDescent="0.4">
      <c r="A90" s="62">
        <v>44744</v>
      </c>
      <c r="B90" s="32" t="s">
        <v>136</v>
      </c>
      <c r="C90" s="11" t="s">
        <v>22</v>
      </c>
      <c r="D90" s="50" t="s">
        <v>48</v>
      </c>
      <c r="E90" s="50" t="s">
        <v>49</v>
      </c>
      <c r="F90" s="50">
        <v>3000</v>
      </c>
      <c r="G90" s="76"/>
      <c r="H90" s="8">
        <f t="shared" si="8"/>
        <v>3000</v>
      </c>
      <c r="I90" s="50">
        <v>1</v>
      </c>
      <c r="J90" s="8">
        <f t="shared" si="14"/>
        <v>3000</v>
      </c>
      <c r="K90" s="9">
        <f t="shared" si="9"/>
        <v>3300</v>
      </c>
      <c r="L90" s="18" t="s">
        <v>134</v>
      </c>
      <c r="M90" s="50"/>
      <c r="O90" s="31"/>
      <c r="P90" s="10">
        <f t="shared" si="15"/>
        <v>0</v>
      </c>
      <c r="Q90" s="10">
        <f t="shared" si="11"/>
        <v>1</v>
      </c>
      <c r="R90" s="8">
        <f t="shared" si="16"/>
        <v>0</v>
      </c>
      <c r="S90" s="8">
        <f t="shared" si="13"/>
        <v>3000</v>
      </c>
    </row>
    <row r="91" spans="1:19" ht="21.75" hidden="1" customHeight="1" x14ac:dyDescent="0.4">
      <c r="A91" s="62">
        <v>44744</v>
      </c>
      <c r="B91" s="32" t="s">
        <v>136</v>
      </c>
      <c r="C91" s="11" t="s">
        <v>22</v>
      </c>
      <c r="D91" s="50" t="s">
        <v>48</v>
      </c>
      <c r="E91" s="50" t="s">
        <v>50</v>
      </c>
      <c r="F91" s="50">
        <v>5000</v>
      </c>
      <c r="G91" s="76"/>
      <c r="H91" s="8">
        <f t="shared" si="8"/>
        <v>5000</v>
      </c>
      <c r="I91" s="50">
        <v>1</v>
      </c>
      <c r="J91" s="8">
        <f t="shared" si="14"/>
        <v>5000</v>
      </c>
      <c r="K91" s="9">
        <f t="shared" si="9"/>
        <v>5500</v>
      </c>
      <c r="L91" s="18" t="s">
        <v>134</v>
      </c>
      <c r="M91" s="50"/>
      <c r="O91" s="31"/>
      <c r="P91" s="10">
        <f t="shared" si="15"/>
        <v>0</v>
      </c>
      <c r="Q91" s="10">
        <f t="shared" si="11"/>
        <v>1</v>
      </c>
      <c r="R91" s="8">
        <f t="shared" si="16"/>
        <v>0</v>
      </c>
      <c r="S91" s="8">
        <f t="shared" si="13"/>
        <v>5000</v>
      </c>
    </row>
    <row r="92" spans="1:19" ht="21.75" hidden="1" customHeight="1" x14ac:dyDescent="0.4">
      <c r="A92" s="62">
        <v>44744</v>
      </c>
      <c r="B92" s="32" t="s">
        <v>137</v>
      </c>
      <c r="C92" s="6" t="s">
        <v>27</v>
      </c>
      <c r="D92" s="50" t="s">
        <v>28</v>
      </c>
      <c r="E92" s="50" t="s">
        <v>73</v>
      </c>
      <c r="F92" s="50">
        <v>2000</v>
      </c>
      <c r="G92" s="76"/>
      <c r="H92" s="8">
        <f t="shared" si="8"/>
        <v>2000</v>
      </c>
      <c r="I92" s="50">
        <v>1</v>
      </c>
      <c r="J92" s="8">
        <f t="shared" si="14"/>
        <v>2000</v>
      </c>
      <c r="K92" s="9">
        <f t="shared" si="9"/>
        <v>2200</v>
      </c>
      <c r="L92" s="18" t="s">
        <v>25</v>
      </c>
      <c r="M92" s="50"/>
      <c r="O92" s="31"/>
      <c r="P92" s="10">
        <f t="shared" si="15"/>
        <v>0</v>
      </c>
      <c r="Q92" s="10">
        <f t="shared" si="11"/>
        <v>1</v>
      </c>
      <c r="R92" s="8">
        <f t="shared" si="16"/>
        <v>0</v>
      </c>
      <c r="S92" s="8">
        <f t="shared" si="13"/>
        <v>2000</v>
      </c>
    </row>
    <row r="93" spans="1:19" ht="21.75" hidden="1" customHeight="1" x14ac:dyDescent="0.4">
      <c r="A93" s="62">
        <v>44744</v>
      </c>
      <c r="B93" s="32" t="s">
        <v>138</v>
      </c>
      <c r="C93" s="6" t="s">
        <v>27</v>
      </c>
      <c r="D93" s="50" t="s">
        <v>28</v>
      </c>
      <c r="E93" s="50" t="s">
        <v>73</v>
      </c>
      <c r="F93" s="50">
        <v>2000</v>
      </c>
      <c r="G93" s="76"/>
      <c r="H93" s="8">
        <f t="shared" si="8"/>
        <v>2000</v>
      </c>
      <c r="I93" s="50">
        <v>1</v>
      </c>
      <c r="J93" s="8">
        <f t="shared" si="14"/>
        <v>2000</v>
      </c>
      <c r="K93" s="9">
        <f t="shared" si="9"/>
        <v>2200</v>
      </c>
      <c r="L93" s="18" t="s">
        <v>25</v>
      </c>
      <c r="M93" s="50"/>
      <c r="O93" s="31"/>
      <c r="P93" s="10">
        <f t="shared" si="15"/>
        <v>0</v>
      </c>
      <c r="Q93" s="10">
        <f t="shared" si="11"/>
        <v>1</v>
      </c>
      <c r="R93" s="8">
        <f t="shared" si="16"/>
        <v>0</v>
      </c>
      <c r="S93" s="8">
        <f t="shared" si="13"/>
        <v>2000</v>
      </c>
    </row>
    <row r="94" spans="1:19" ht="21.75" hidden="1" customHeight="1" x14ac:dyDescent="0.4">
      <c r="A94" s="62">
        <v>44744</v>
      </c>
      <c r="B94" s="32" t="s">
        <v>139</v>
      </c>
      <c r="C94" s="6" t="s">
        <v>17</v>
      </c>
      <c r="D94" s="50" t="s">
        <v>18</v>
      </c>
      <c r="E94" s="50" t="s">
        <v>19</v>
      </c>
      <c r="F94" s="50">
        <v>1700</v>
      </c>
      <c r="G94" s="76">
        <v>-170</v>
      </c>
      <c r="H94" s="8">
        <f t="shared" si="8"/>
        <v>1530</v>
      </c>
      <c r="I94" s="50">
        <v>2</v>
      </c>
      <c r="J94" s="8">
        <f t="shared" si="14"/>
        <v>3060</v>
      </c>
      <c r="K94" s="9">
        <f t="shared" si="9"/>
        <v>3366</v>
      </c>
      <c r="L94" s="18" t="s">
        <v>25</v>
      </c>
      <c r="M94" s="50"/>
      <c r="O94" s="31"/>
      <c r="P94" s="10">
        <v>1100</v>
      </c>
      <c r="Q94" s="10">
        <f t="shared" si="11"/>
        <v>2</v>
      </c>
      <c r="R94" s="8">
        <f t="shared" si="16"/>
        <v>2200</v>
      </c>
      <c r="S94" s="8">
        <f t="shared" si="13"/>
        <v>860</v>
      </c>
    </row>
    <row r="95" spans="1:19" ht="21.75" hidden="1" customHeight="1" x14ac:dyDescent="0.4">
      <c r="A95" s="62">
        <v>44745</v>
      </c>
      <c r="B95" s="32" t="s">
        <v>140</v>
      </c>
      <c r="C95" s="11" t="s">
        <v>22</v>
      </c>
      <c r="D95" s="50" t="s">
        <v>23</v>
      </c>
      <c r="E95" s="50" t="s">
        <v>96</v>
      </c>
      <c r="F95" s="50">
        <v>15000</v>
      </c>
      <c r="G95" s="76">
        <v>0</v>
      </c>
      <c r="H95" s="8">
        <f t="shared" si="8"/>
        <v>15000</v>
      </c>
      <c r="I95" s="50">
        <v>1</v>
      </c>
      <c r="J95" s="8">
        <f t="shared" si="14"/>
        <v>15000</v>
      </c>
      <c r="K95" s="9">
        <f t="shared" si="9"/>
        <v>16500</v>
      </c>
      <c r="L95" s="18" t="s">
        <v>134</v>
      </c>
      <c r="M95" s="50"/>
      <c r="O95" s="31"/>
      <c r="P95" s="10">
        <f t="shared" ref="P95" si="17">ROUNDDOWN(SUM(F95*O95),0)</f>
        <v>0</v>
      </c>
      <c r="Q95" s="10">
        <f t="shared" si="11"/>
        <v>1</v>
      </c>
      <c r="R95" s="8">
        <f t="shared" si="16"/>
        <v>0</v>
      </c>
      <c r="S95" s="8">
        <f t="shared" si="13"/>
        <v>15000</v>
      </c>
    </row>
    <row r="96" spans="1:19" ht="21.75" hidden="1" customHeight="1" x14ac:dyDescent="0.4">
      <c r="A96" s="62">
        <v>44745</v>
      </c>
      <c r="B96" s="32" t="s">
        <v>140</v>
      </c>
      <c r="C96" s="6" t="s">
        <v>17</v>
      </c>
      <c r="D96" s="50" t="s">
        <v>97</v>
      </c>
      <c r="E96" s="50" t="s">
        <v>98</v>
      </c>
      <c r="F96" s="50">
        <v>4000</v>
      </c>
      <c r="G96" s="76">
        <v>0</v>
      </c>
      <c r="H96" s="8">
        <f t="shared" si="8"/>
        <v>4000</v>
      </c>
      <c r="I96" s="50">
        <v>1</v>
      </c>
      <c r="J96" s="8">
        <f t="shared" si="14"/>
        <v>4000</v>
      </c>
      <c r="K96" s="9">
        <f t="shared" si="9"/>
        <v>4400</v>
      </c>
      <c r="L96" s="18" t="s">
        <v>34</v>
      </c>
      <c r="M96" s="50"/>
      <c r="O96" s="31"/>
      <c r="P96" s="33">
        <v>2450</v>
      </c>
      <c r="Q96" s="10">
        <f t="shared" si="11"/>
        <v>1</v>
      </c>
      <c r="R96" s="8">
        <f t="shared" si="16"/>
        <v>2450</v>
      </c>
      <c r="S96" s="8">
        <f t="shared" si="13"/>
        <v>1550</v>
      </c>
    </row>
    <row r="97" spans="1:19" ht="21.75" hidden="1" customHeight="1" x14ac:dyDescent="0.4">
      <c r="A97" s="62">
        <v>44745</v>
      </c>
      <c r="B97" s="32" t="s">
        <v>140</v>
      </c>
      <c r="C97" s="6" t="s">
        <v>17</v>
      </c>
      <c r="D97" s="50" t="s">
        <v>32</v>
      </c>
      <c r="E97" s="50" t="s">
        <v>33</v>
      </c>
      <c r="F97" s="50">
        <v>55000</v>
      </c>
      <c r="G97" s="76">
        <v>-11000</v>
      </c>
      <c r="H97" s="8">
        <f t="shared" si="8"/>
        <v>44000</v>
      </c>
      <c r="I97" s="50">
        <v>1</v>
      </c>
      <c r="J97" s="8">
        <f t="shared" si="14"/>
        <v>44000</v>
      </c>
      <c r="K97" s="9">
        <f t="shared" si="9"/>
        <v>48400</v>
      </c>
      <c r="L97" s="18" t="s">
        <v>34</v>
      </c>
      <c r="M97" s="50"/>
      <c r="O97" s="7">
        <v>0.45</v>
      </c>
      <c r="P97" s="10">
        <f t="shared" ref="P97" si="18">ROUNDDOWN(SUM(F97*O97),0)</f>
        <v>24750</v>
      </c>
      <c r="Q97" s="10">
        <f t="shared" si="11"/>
        <v>1</v>
      </c>
      <c r="R97" s="8">
        <f t="shared" si="16"/>
        <v>24750</v>
      </c>
      <c r="S97" s="8">
        <f t="shared" si="13"/>
        <v>19250</v>
      </c>
    </row>
    <row r="98" spans="1:19" ht="21.75" hidden="1" customHeight="1" x14ac:dyDescent="0.4">
      <c r="A98" s="62">
        <v>44745</v>
      </c>
      <c r="B98" s="32" t="s">
        <v>140</v>
      </c>
      <c r="C98" s="6" t="s">
        <v>17</v>
      </c>
      <c r="D98" s="50" t="s">
        <v>45</v>
      </c>
      <c r="E98" s="50" t="s">
        <v>46</v>
      </c>
      <c r="F98" s="50">
        <v>980</v>
      </c>
      <c r="G98" s="76">
        <v>0</v>
      </c>
      <c r="H98" s="8">
        <f t="shared" si="8"/>
        <v>980</v>
      </c>
      <c r="I98" s="50">
        <v>1</v>
      </c>
      <c r="J98" s="8">
        <f t="shared" si="14"/>
        <v>980</v>
      </c>
      <c r="K98" s="9">
        <f t="shared" si="9"/>
        <v>1078</v>
      </c>
      <c r="L98" s="18" t="s">
        <v>34</v>
      </c>
      <c r="M98" s="50"/>
      <c r="O98" s="31"/>
      <c r="P98" s="33">
        <v>632</v>
      </c>
      <c r="Q98" s="10">
        <f t="shared" si="11"/>
        <v>1</v>
      </c>
      <c r="R98" s="8">
        <f t="shared" ref="R98:R103" si="19">SUM(P98*Q98)</f>
        <v>632</v>
      </c>
      <c r="S98" s="8">
        <f t="shared" si="13"/>
        <v>348</v>
      </c>
    </row>
    <row r="99" spans="1:19" ht="21.75" hidden="1" customHeight="1" x14ac:dyDescent="0.4">
      <c r="A99" s="62">
        <v>44745</v>
      </c>
      <c r="B99" s="32" t="s">
        <v>141</v>
      </c>
      <c r="C99" s="11" t="s">
        <v>22</v>
      </c>
      <c r="D99" s="50" t="s">
        <v>23</v>
      </c>
      <c r="E99" s="50" t="s">
        <v>96</v>
      </c>
      <c r="F99" s="50">
        <v>15000</v>
      </c>
      <c r="G99" s="76">
        <v>0</v>
      </c>
      <c r="H99" s="8">
        <f t="shared" si="8"/>
        <v>15000</v>
      </c>
      <c r="I99" s="50">
        <v>1</v>
      </c>
      <c r="J99" s="8">
        <f t="shared" si="14"/>
        <v>15000</v>
      </c>
      <c r="K99" s="9">
        <f t="shared" si="9"/>
        <v>16500</v>
      </c>
      <c r="L99" s="18" t="s">
        <v>25</v>
      </c>
      <c r="M99" s="50"/>
      <c r="O99" s="31"/>
      <c r="P99" s="10">
        <f t="shared" ref="P99:P103" si="20">ROUNDDOWN(SUM(F99*O99),0)</f>
        <v>0</v>
      </c>
      <c r="Q99" s="10">
        <f t="shared" si="11"/>
        <v>1</v>
      </c>
      <c r="R99" s="8">
        <f t="shared" si="19"/>
        <v>0</v>
      </c>
      <c r="S99" s="8">
        <f t="shared" si="13"/>
        <v>15000</v>
      </c>
    </row>
    <row r="100" spans="1:19" ht="21.75" hidden="1" customHeight="1" x14ac:dyDescent="0.4">
      <c r="A100" s="62">
        <v>44745</v>
      </c>
      <c r="B100" s="32" t="s">
        <v>142</v>
      </c>
      <c r="C100" s="11" t="s">
        <v>22</v>
      </c>
      <c r="D100" s="50" t="s">
        <v>48</v>
      </c>
      <c r="E100" s="50" t="s">
        <v>49</v>
      </c>
      <c r="F100" s="50">
        <v>3000</v>
      </c>
      <c r="G100" s="76">
        <v>0</v>
      </c>
      <c r="H100" s="8">
        <f t="shared" si="8"/>
        <v>3000</v>
      </c>
      <c r="I100" s="50">
        <v>1</v>
      </c>
      <c r="J100" s="8">
        <f t="shared" si="14"/>
        <v>3000</v>
      </c>
      <c r="K100" s="9">
        <f t="shared" si="9"/>
        <v>3300</v>
      </c>
      <c r="L100" s="18" t="s">
        <v>25</v>
      </c>
      <c r="M100" s="50"/>
      <c r="O100" s="31"/>
      <c r="P100" s="10">
        <f t="shared" si="20"/>
        <v>0</v>
      </c>
      <c r="Q100" s="10">
        <f t="shared" si="11"/>
        <v>1</v>
      </c>
      <c r="R100" s="8">
        <f t="shared" si="19"/>
        <v>0</v>
      </c>
      <c r="S100" s="8">
        <f t="shared" si="13"/>
        <v>3000</v>
      </c>
    </row>
    <row r="101" spans="1:19" ht="21.75" hidden="1" customHeight="1" x14ac:dyDescent="0.4">
      <c r="A101" s="62">
        <v>44746</v>
      </c>
      <c r="B101" s="32" t="s">
        <v>142</v>
      </c>
      <c r="C101" s="6" t="s">
        <v>27</v>
      </c>
      <c r="D101" s="50" t="s">
        <v>28</v>
      </c>
      <c r="E101" s="50" t="s">
        <v>29</v>
      </c>
      <c r="F101" s="50">
        <v>13120</v>
      </c>
      <c r="G101" s="76">
        <v>0</v>
      </c>
      <c r="H101" s="8">
        <f t="shared" si="8"/>
        <v>13120</v>
      </c>
      <c r="I101" s="50">
        <v>1</v>
      </c>
      <c r="J101" s="8">
        <f t="shared" si="14"/>
        <v>13120</v>
      </c>
      <c r="K101" s="9">
        <f t="shared" si="9"/>
        <v>14432</v>
      </c>
      <c r="L101" s="18" t="s">
        <v>25</v>
      </c>
      <c r="M101" s="50"/>
      <c r="O101" s="31"/>
      <c r="P101" s="10">
        <f t="shared" si="20"/>
        <v>0</v>
      </c>
      <c r="Q101" s="10">
        <f t="shared" si="11"/>
        <v>1</v>
      </c>
      <c r="R101" s="8">
        <f t="shared" si="19"/>
        <v>0</v>
      </c>
      <c r="S101" s="8">
        <f t="shared" si="13"/>
        <v>13120</v>
      </c>
    </row>
    <row r="102" spans="1:19" ht="21.75" hidden="1" customHeight="1" x14ac:dyDescent="0.4">
      <c r="A102" s="62">
        <v>44746</v>
      </c>
      <c r="B102" s="32" t="s">
        <v>142</v>
      </c>
      <c r="C102" s="6" t="s">
        <v>27</v>
      </c>
      <c r="D102" s="50" t="s">
        <v>28</v>
      </c>
      <c r="E102" s="50" t="s">
        <v>30</v>
      </c>
      <c r="F102" s="50">
        <v>15000</v>
      </c>
      <c r="G102" s="76">
        <v>0</v>
      </c>
      <c r="H102" s="8">
        <f t="shared" si="8"/>
        <v>15000</v>
      </c>
      <c r="I102" s="50">
        <v>1</v>
      </c>
      <c r="J102" s="8">
        <f t="shared" si="14"/>
        <v>15000</v>
      </c>
      <c r="K102" s="9">
        <f t="shared" si="9"/>
        <v>16500</v>
      </c>
      <c r="L102" s="18" t="s">
        <v>25</v>
      </c>
      <c r="M102" s="50"/>
      <c r="O102" s="31"/>
      <c r="P102" s="10">
        <f t="shared" si="20"/>
        <v>0</v>
      </c>
      <c r="Q102" s="10">
        <f t="shared" si="11"/>
        <v>1</v>
      </c>
      <c r="R102" s="8">
        <f t="shared" si="19"/>
        <v>0</v>
      </c>
      <c r="S102" s="8">
        <f t="shared" si="13"/>
        <v>15000</v>
      </c>
    </row>
    <row r="103" spans="1:19" ht="21.75" hidden="1" customHeight="1" x14ac:dyDescent="0.4">
      <c r="A103" s="62">
        <v>44746</v>
      </c>
      <c r="B103" s="32" t="s">
        <v>143</v>
      </c>
      <c r="C103" s="11" t="s">
        <v>22</v>
      </c>
      <c r="D103" s="50" t="s">
        <v>23</v>
      </c>
      <c r="E103" s="50" t="s">
        <v>24</v>
      </c>
      <c r="F103" s="50">
        <v>13500</v>
      </c>
      <c r="G103" s="76">
        <v>0</v>
      </c>
      <c r="H103" s="8">
        <f t="shared" si="8"/>
        <v>13500</v>
      </c>
      <c r="I103" s="50">
        <v>1</v>
      </c>
      <c r="J103" s="8">
        <f t="shared" si="14"/>
        <v>13500</v>
      </c>
      <c r="K103" s="9">
        <f t="shared" si="9"/>
        <v>14850</v>
      </c>
      <c r="L103" s="18" t="s">
        <v>134</v>
      </c>
      <c r="M103" s="50" t="s">
        <v>206</v>
      </c>
      <c r="O103" s="31"/>
      <c r="P103" s="10">
        <f t="shared" si="20"/>
        <v>0</v>
      </c>
      <c r="Q103" s="10">
        <f t="shared" si="11"/>
        <v>1</v>
      </c>
      <c r="R103" s="8">
        <f t="shared" si="19"/>
        <v>0</v>
      </c>
      <c r="S103" s="8">
        <f t="shared" si="13"/>
        <v>13500</v>
      </c>
    </row>
    <row r="104" spans="1:19" ht="21.75" hidden="1" customHeight="1" x14ac:dyDescent="0.4">
      <c r="A104" s="62">
        <v>44746</v>
      </c>
      <c r="B104" s="32" t="s">
        <v>143</v>
      </c>
      <c r="C104" s="6" t="s">
        <v>17</v>
      </c>
      <c r="D104" s="50" t="s">
        <v>45</v>
      </c>
      <c r="E104" s="50" t="s">
        <v>85</v>
      </c>
      <c r="F104" s="50">
        <v>980</v>
      </c>
      <c r="G104" s="76">
        <v>0</v>
      </c>
      <c r="H104" s="8">
        <f t="shared" si="8"/>
        <v>980</v>
      </c>
      <c r="I104" s="50">
        <v>4</v>
      </c>
      <c r="J104" s="8">
        <f t="shared" si="14"/>
        <v>3920</v>
      </c>
      <c r="K104" s="9">
        <f t="shared" si="9"/>
        <v>4312</v>
      </c>
      <c r="L104" s="18" t="s">
        <v>34</v>
      </c>
      <c r="M104" s="50"/>
      <c r="O104" s="31"/>
      <c r="P104" s="33">
        <v>632</v>
      </c>
      <c r="Q104" s="10">
        <f t="shared" si="11"/>
        <v>4</v>
      </c>
      <c r="R104" s="8">
        <f t="shared" ref="R104:R121" si="21">SUM(P104*Q104)</f>
        <v>2528</v>
      </c>
      <c r="S104" s="8">
        <f t="shared" si="13"/>
        <v>1392</v>
      </c>
    </row>
    <row r="105" spans="1:19" ht="21.75" hidden="1" customHeight="1" x14ac:dyDescent="0.4">
      <c r="A105" s="62">
        <v>44746</v>
      </c>
      <c r="B105" s="32" t="s">
        <v>143</v>
      </c>
      <c r="C105" s="6" t="s">
        <v>17</v>
      </c>
      <c r="D105" s="50" t="s">
        <v>32</v>
      </c>
      <c r="E105" s="50" t="s">
        <v>33</v>
      </c>
      <c r="F105" s="50">
        <v>40000</v>
      </c>
      <c r="G105" s="76">
        <v>-8000</v>
      </c>
      <c r="H105" s="8">
        <f>SUM(F105:G105)</f>
        <v>32000</v>
      </c>
      <c r="I105" s="50">
        <v>1</v>
      </c>
      <c r="J105" s="8">
        <f t="shared" si="14"/>
        <v>32000</v>
      </c>
      <c r="K105" s="9">
        <f t="shared" si="9"/>
        <v>35200</v>
      </c>
      <c r="L105" s="18" t="s">
        <v>34</v>
      </c>
      <c r="M105" s="50"/>
      <c r="O105" s="7">
        <v>0.45</v>
      </c>
      <c r="P105" s="10">
        <f t="shared" ref="P105:P107" si="22">ROUNDDOWN(SUM(F105*O105),0)</f>
        <v>18000</v>
      </c>
      <c r="Q105" s="10">
        <f t="shared" si="11"/>
        <v>1</v>
      </c>
      <c r="R105" s="8">
        <f t="shared" si="21"/>
        <v>18000</v>
      </c>
      <c r="S105" s="8">
        <f t="shared" si="13"/>
        <v>14000</v>
      </c>
    </row>
    <row r="106" spans="1:19" ht="21.75" hidden="1" customHeight="1" x14ac:dyDescent="0.4">
      <c r="A106" s="62">
        <v>44746</v>
      </c>
      <c r="B106" s="32" t="s">
        <v>143</v>
      </c>
      <c r="C106" s="34" t="s">
        <v>198</v>
      </c>
      <c r="D106" s="50" t="s">
        <v>23</v>
      </c>
      <c r="E106" s="50" t="s">
        <v>199</v>
      </c>
      <c r="F106" s="50"/>
      <c r="G106" s="77"/>
      <c r="H106" s="8"/>
      <c r="I106" s="50"/>
      <c r="J106" s="8"/>
      <c r="K106" s="9">
        <v>-16335</v>
      </c>
      <c r="L106" s="18" t="s">
        <v>34</v>
      </c>
      <c r="M106" s="50"/>
      <c r="O106" s="7"/>
      <c r="P106" s="10"/>
      <c r="Q106" s="10"/>
      <c r="R106" s="8"/>
      <c r="S106" s="8"/>
    </row>
    <row r="107" spans="1:19" ht="21.75" hidden="1" customHeight="1" x14ac:dyDescent="0.4">
      <c r="A107" s="62">
        <v>44748</v>
      </c>
      <c r="B107" s="32" t="s">
        <v>144</v>
      </c>
      <c r="C107" s="6" t="s">
        <v>27</v>
      </c>
      <c r="D107" s="50" t="s">
        <v>28</v>
      </c>
      <c r="E107" s="50" t="s">
        <v>73</v>
      </c>
      <c r="F107" s="50">
        <v>2000</v>
      </c>
      <c r="G107" s="76">
        <v>0</v>
      </c>
      <c r="H107" s="8">
        <f t="shared" si="8"/>
        <v>2000</v>
      </c>
      <c r="I107" s="50">
        <v>1</v>
      </c>
      <c r="J107" s="8">
        <f t="shared" si="14"/>
        <v>2000</v>
      </c>
      <c r="K107" s="9">
        <f t="shared" si="9"/>
        <v>2200</v>
      </c>
      <c r="L107" s="18" t="s">
        <v>134</v>
      </c>
      <c r="M107" s="50"/>
      <c r="O107" s="31"/>
      <c r="P107" s="10">
        <f t="shared" si="22"/>
        <v>0</v>
      </c>
      <c r="Q107" s="10">
        <f t="shared" si="11"/>
        <v>1</v>
      </c>
      <c r="R107" s="8">
        <f t="shared" si="21"/>
        <v>0</v>
      </c>
      <c r="S107" s="8">
        <f t="shared" si="13"/>
        <v>2000</v>
      </c>
    </row>
    <row r="108" spans="1:19" ht="21.75" hidden="1" customHeight="1" x14ac:dyDescent="0.4">
      <c r="A108" s="62">
        <v>44748</v>
      </c>
      <c r="B108" s="32" t="s">
        <v>145</v>
      </c>
      <c r="C108" s="6" t="s">
        <v>17</v>
      </c>
      <c r="D108" s="50" t="s">
        <v>55</v>
      </c>
      <c r="E108" s="50" t="s">
        <v>146</v>
      </c>
      <c r="F108" s="50">
        <v>5700</v>
      </c>
      <c r="G108" s="76">
        <v>-570</v>
      </c>
      <c r="H108" s="8">
        <f t="shared" si="8"/>
        <v>5130</v>
      </c>
      <c r="I108" s="50">
        <v>1</v>
      </c>
      <c r="J108" s="8">
        <f t="shared" si="14"/>
        <v>5130</v>
      </c>
      <c r="K108" s="9">
        <f t="shared" si="9"/>
        <v>5643</v>
      </c>
      <c r="L108" s="18" t="s">
        <v>134</v>
      </c>
      <c r="M108" s="50"/>
      <c r="O108" s="31"/>
      <c r="P108" s="33">
        <v>4725</v>
      </c>
      <c r="Q108" s="10">
        <f t="shared" si="11"/>
        <v>1</v>
      </c>
      <c r="R108" s="8">
        <f t="shared" si="21"/>
        <v>4725</v>
      </c>
      <c r="S108" s="8">
        <f t="shared" si="13"/>
        <v>405</v>
      </c>
    </row>
    <row r="109" spans="1:19" ht="21.75" hidden="1" customHeight="1" x14ac:dyDescent="0.4">
      <c r="A109" s="62">
        <v>44748</v>
      </c>
      <c r="B109" s="32" t="s">
        <v>143</v>
      </c>
      <c r="C109" s="11" t="s">
        <v>22</v>
      </c>
      <c r="D109" s="50"/>
      <c r="E109" s="50"/>
      <c r="F109" s="50"/>
      <c r="G109" s="76"/>
      <c r="H109" s="8">
        <v>1350</v>
      </c>
      <c r="I109" s="50">
        <v>1</v>
      </c>
      <c r="J109" s="8">
        <f t="shared" si="14"/>
        <v>1350</v>
      </c>
      <c r="K109" s="9">
        <f t="shared" si="9"/>
        <v>1485</v>
      </c>
      <c r="L109" s="18" t="s">
        <v>134</v>
      </c>
      <c r="M109" s="89" t="s">
        <v>147</v>
      </c>
      <c r="O109" s="31"/>
      <c r="P109" s="10">
        <f t="shared" ref="P109" si="23">ROUNDDOWN(SUM(F109*O109),0)</f>
        <v>0</v>
      </c>
      <c r="Q109" s="10">
        <f t="shared" si="11"/>
        <v>1</v>
      </c>
      <c r="R109" s="8">
        <f t="shared" si="21"/>
        <v>0</v>
      </c>
      <c r="S109" s="8">
        <f t="shared" si="13"/>
        <v>1350</v>
      </c>
    </row>
    <row r="110" spans="1:19" ht="21.75" hidden="1" customHeight="1" x14ac:dyDescent="0.4">
      <c r="A110" s="62">
        <v>44748</v>
      </c>
      <c r="B110" s="32" t="s">
        <v>148</v>
      </c>
      <c r="C110" s="6" t="s">
        <v>17</v>
      </c>
      <c r="D110" s="50" t="s">
        <v>45</v>
      </c>
      <c r="E110" s="50" t="s">
        <v>85</v>
      </c>
      <c r="F110" s="50">
        <v>980</v>
      </c>
      <c r="G110" s="76">
        <v>-98</v>
      </c>
      <c r="H110" s="8">
        <f t="shared" si="8"/>
        <v>882</v>
      </c>
      <c r="I110" s="50">
        <v>6</v>
      </c>
      <c r="J110" s="8">
        <f t="shared" si="14"/>
        <v>5292</v>
      </c>
      <c r="K110" s="9">
        <f t="shared" si="9"/>
        <v>5821</v>
      </c>
      <c r="L110" s="18" t="s">
        <v>134</v>
      </c>
      <c r="M110" s="50"/>
      <c r="O110" s="31"/>
      <c r="P110" s="33">
        <v>632</v>
      </c>
      <c r="Q110" s="10">
        <f t="shared" si="11"/>
        <v>6</v>
      </c>
      <c r="R110" s="8">
        <f t="shared" si="21"/>
        <v>3792</v>
      </c>
      <c r="S110" s="8">
        <f t="shared" si="13"/>
        <v>1500</v>
      </c>
    </row>
    <row r="111" spans="1:19" ht="21.75" hidden="1" customHeight="1" x14ac:dyDescent="0.4">
      <c r="A111" s="62">
        <v>44749</v>
      </c>
      <c r="B111" s="32" t="s">
        <v>149</v>
      </c>
      <c r="C111" s="6" t="s">
        <v>17</v>
      </c>
      <c r="D111" s="50" t="s">
        <v>45</v>
      </c>
      <c r="E111" s="50" t="s">
        <v>85</v>
      </c>
      <c r="F111" s="50">
        <v>980</v>
      </c>
      <c r="G111" s="76">
        <v>-98</v>
      </c>
      <c r="H111" s="8">
        <f t="shared" si="8"/>
        <v>882</v>
      </c>
      <c r="I111" s="50">
        <v>1</v>
      </c>
      <c r="J111" s="8">
        <f t="shared" si="14"/>
        <v>882</v>
      </c>
      <c r="K111" s="9">
        <f t="shared" si="9"/>
        <v>970</v>
      </c>
      <c r="L111" s="18" t="s">
        <v>25</v>
      </c>
      <c r="M111" s="50"/>
      <c r="O111" s="31"/>
      <c r="P111" s="33">
        <v>632</v>
      </c>
      <c r="Q111" s="10">
        <f t="shared" si="11"/>
        <v>1</v>
      </c>
      <c r="R111" s="8">
        <f t="shared" si="21"/>
        <v>632</v>
      </c>
      <c r="S111" s="8">
        <f t="shared" si="13"/>
        <v>250</v>
      </c>
    </row>
    <row r="112" spans="1:19" ht="21.75" hidden="1" customHeight="1" x14ac:dyDescent="0.4">
      <c r="A112" s="62">
        <v>44750</v>
      </c>
      <c r="B112" s="32" t="s">
        <v>150</v>
      </c>
      <c r="C112" s="11" t="s">
        <v>22</v>
      </c>
      <c r="D112" s="50" t="s">
        <v>23</v>
      </c>
      <c r="E112" s="50" t="s">
        <v>96</v>
      </c>
      <c r="F112" s="50">
        <v>15000</v>
      </c>
      <c r="G112" s="76">
        <v>0</v>
      </c>
      <c r="H112" s="8">
        <f t="shared" si="8"/>
        <v>15000</v>
      </c>
      <c r="I112" s="50">
        <v>1</v>
      </c>
      <c r="J112" s="8">
        <f t="shared" si="14"/>
        <v>15000</v>
      </c>
      <c r="K112" s="9">
        <f t="shared" si="9"/>
        <v>16500</v>
      </c>
      <c r="L112" s="18" t="s">
        <v>134</v>
      </c>
      <c r="M112" s="50"/>
      <c r="O112" s="7"/>
      <c r="P112" s="10">
        <f t="shared" ref="P112:P113" si="24">ROUNDDOWN(SUM(F112*O112),0)</f>
        <v>0</v>
      </c>
      <c r="Q112" s="10">
        <f t="shared" si="11"/>
        <v>1</v>
      </c>
      <c r="R112" s="8">
        <f t="shared" si="21"/>
        <v>0</v>
      </c>
      <c r="S112" s="8">
        <f t="shared" si="13"/>
        <v>15000</v>
      </c>
    </row>
    <row r="113" spans="1:19" ht="21.75" hidden="1" customHeight="1" x14ac:dyDescent="0.4">
      <c r="A113" s="62">
        <v>44750</v>
      </c>
      <c r="B113" s="32" t="s">
        <v>150</v>
      </c>
      <c r="C113" s="6" t="s">
        <v>17</v>
      </c>
      <c r="D113" s="50" t="s">
        <v>32</v>
      </c>
      <c r="E113" s="50" t="s">
        <v>151</v>
      </c>
      <c r="F113" s="50">
        <v>60000</v>
      </c>
      <c r="G113" s="76">
        <v>-18000</v>
      </c>
      <c r="H113" s="8">
        <f t="shared" si="8"/>
        <v>42000</v>
      </c>
      <c r="I113" s="50">
        <v>1</v>
      </c>
      <c r="J113" s="8">
        <f t="shared" si="14"/>
        <v>42000</v>
      </c>
      <c r="K113" s="9">
        <f t="shared" si="9"/>
        <v>46200</v>
      </c>
      <c r="L113" s="18" t="s">
        <v>134</v>
      </c>
      <c r="M113" s="50"/>
      <c r="O113" s="7">
        <v>0.55000000000000004</v>
      </c>
      <c r="P113" s="10">
        <f t="shared" si="24"/>
        <v>33000</v>
      </c>
      <c r="Q113" s="10">
        <f t="shared" si="11"/>
        <v>1</v>
      </c>
      <c r="R113" s="8">
        <f t="shared" si="21"/>
        <v>33000</v>
      </c>
      <c r="S113" s="8">
        <f t="shared" si="13"/>
        <v>9000</v>
      </c>
    </row>
    <row r="114" spans="1:19" ht="21.75" hidden="1" customHeight="1" x14ac:dyDescent="0.4">
      <c r="A114" s="62">
        <v>44750</v>
      </c>
      <c r="B114" s="32" t="s">
        <v>150</v>
      </c>
      <c r="C114" s="6" t="s">
        <v>17</v>
      </c>
      <c r="D114" s="50" t="s">
        <v>126</v>
      </c>
      <c r="E114" s="50" t="s">
        <v>152</v>
      </c>
      <c r="F114" s="50">
        <v>65000</v>
      </c>
      <c r="G114" s="76">
        <v>-19500</v>
      </c>
      <c r="H114" s="8">
        <f t="shared" si="8"/>
        <v>45500</v>
      </c>
      <c r="I114" s="50">
        <v>1</v>
      </c>
      <c r="J114" s="8">
        <f t="shared" si="14"/>
        <v>45500</v>
      </c>
      <c r="K114" s="9">
        <f t="shared" si="9"/>
        <v>50050</v>
      </c>
      <c r="L114" s="18" t="s">
        <v>134</v>
      </c>
      <c r="M114" s="50"/>
      <c r="O114" s="31"/>
      <c r="P114" s="33">
        <v>10000</v>
      </c>
      <c r="Q114" s="10">
        <f t="shared" si="11"/>
        <v>1</v>
      </c>
      <c r="R114" s="8">
        <f t="shared" si="21"/>
        <v>10000</v>
      </c>
      <c r="S114" s="8">
        <f t="shared" si="13"/>
        <v>35500</v>
      </c>
    </row>
    <row r="115" spans="1:19" ht="21.75" hidden="1" customHeight="1" x14ac:dyDescent="0.4">
      <c r="A115" s="62">
        <v>44751</v>
      </c>
      <c r="B115" s="32" t="s">
        <v>153</v>
      </c>
      <c r="C115" s="11" t="s">
        <v>22</v>
      </c>
      <c r="D115" s="50" t="s">
        <v>48</v>
      </c>
      <c r="E115" s="50" t="s">
        <v>154</v>
      </c>
      <c r="F115" s="50">
        <v>7500</v>
      </c>
      <c r="G115" s="76">
        <v>0</v>
      </c>
      <c r="H115" s="8">
        <f t="shared" si="8"/>
        <v>7500</v>
      </c>
      <c r="I115" s="50">
        <v>1</v>
      </c>
      <c r="J115" s="8">
        <f t="shared" si="14"/>
        <v>7500</v>
      </c>
      <c r="K115" s="9">
        <f t="shared" si="9"/>
        <v>8250</v>
      </c>
      <c r="L115" s="18" t="s">
        <v>134</v>
      </c>
      <c r="M115" s="50"/>
      <c r="O115" s="31"/>
      <c r="P115" s="10">
        <f t="shared" ref="P115:P118" si="25">ROUNDDOWN(SUM(F115*O115),0)</f>
        <v>0</v>
      </c>
      <c r="Q115" s="10">
        <f t="shared" si="11"/>
        <v>1</v>
      </c>
      <c r="R115" s="8">
        <f t="shared" si="21"/>
        <v>0</v>
      </c>
      <c r="S115" s="8">
        <f t="shared" si="13"/>
        <v>7500</v>
      </c>
    </row>
    <row r="116" spans="1:19" ht="21.75" hidden="1" customHeight="1" x14ac:dyDescent="0.4">
      <c r="A116" s="62">
        <v>44751</v>
      </c>
      <c r="B116" s="32" t="s">
        <v>155</v>
      </c>
      <c r="C116" s="11" t="s">
        <v>22</v>
      </c>
      <c r="D116" s="50" t="s">
        <v>23</v>
      </c>
      <c r="E116" s="50" t="s">
        <v>24</v>
      </c>
      <c r="F116" s="50">
        <v>13500</v>
      </c>
      <c r="G116" s="76">
        <v>0</v>
      </c>
      <c r="H116" s="8">
        <f t="shared" si="8"/>
        <v>13500</v>
      </c>
      <c r="I116" s="50">
        <v>1</v>
      </c>
      <c r="J116" s="8">
        <f t="shared" si="14"/>
        <v>13500</v>
      </c>
      <c r="K116" s="9">
        <f t="shared" si="9"/>
        <v>14850</v>
      </c>
      <c r="L116" s="18" t="s">
        <v>134</v>
      </c>
      <c r="M116" s="50" t="s">
        <v>207</v>
      </c>
      <c r="O116" s="31"/>
      <c r="P116" s="10">
        <f t="shared" si="25"/>
        <v>0</v>
      </c>
      <c r="Q116" s="10">
        <f t="shared" si="11"/>
        <v>1</v>
      </c>
      <c r="R116" s="8">
        <f t="shared" si="21"/>
        <v>0</v>
      </c>
      <c r="S116" s="8">
        <f t="shared" si="13"/>
        <v>13500</v>
      </c>
    </row>
    <row r="117" spans="1:19" ht="21.75" hidden="1" customHeight="1" x14ac:dyDescent="0.4">
      <c r="A117" s="62">
        <v>44751</v>
      </c>
      <c r="B117" s="32" t="s">
        <v>156</v>
      </c>
      <c r="C117" s="11" t="s">
        <v>22</v>
      </c>
      <c r="D117" s="50" t="s">
        <v>48</v>
      </c>
      <c r="E117" s="50" t="s">
        <v>49</v>
      </c>
      <c r="F117" s="50">
        <v>3000</v>
      </c>
      <c r="G117" s="76">
        <v>0</v>
      </c>
      <c r="H117" s="8">
        <f t="shared" si="8"/>
        <v>3000</v>
      </c>
      <c r="I117" s="50">
        <v>2</v>
      </c>
      <c r="J117" s="8">
        <f t="shared" si="14"/>
        <v>6000</v>
      </c>
      <c r="K117" s="9">
        <f t="shared" si="9"/>
        <v>6600</v>
      </c>
      <c r="L117" s="18" t="s">
        <v>134</v>
      </c>
      <c r="M117" s="50" t="s">
        <v>157</v>
      </c>
      <c r="O117" s="31"/>
      <c r="P117" s="10">
        <f t="shared" si="25"/>
        <v>0</v>
      </c>
      <c r="Q117" s="10">
        <f t="shared" si="11"/>
        <v>2</v>
      </c>
      <c r="R117" s="8">
        <f t="shared" si="21"/>
        <v>0</v>
      </c>
      <c r="S117" s="8">
        <f t="shared" si="13"/>
        <v>6000</v>
      </c>
    </row>
    <row r="118" spans="1:19" ht="21.75" hidden="1" customHeight="1" x14ac:dyDescent="0.4">
      <c r="A118" s="62">
        <v>44751</v>
      </c>
      <c r="B118" s="32" t="s">
        <v>156</v>
      </c>
      <c r="C118" s="11" t="s">
        <v>22</v>
      </c>
      <c r="D118" s="50" t="s">
        <v>48</v>
      </c>
      <c r="E118" s="50" t="s">
        <v>50</v>
      </c>
      <c r="F118" s="50">
        <v>5000</v>
      </c>
      <c r="G118" s="76">
        <v>0</v>
      </c>
      <c r="H118" s="8">
        <f t="shared" si="8"/>
        <v>5000</v>
      </c>
      <c r="I118" s="50">
        <v>2</v>
      </c>
      <c r="J118" s="8">
        <f t="shared" si="14"/>
        <v>10000</v>
      </c>
      <c r="K118" s="9">
        <f t="shared" si="9"/>
        <v>11000</v>
      </c>
      <c r="L118" s="18" t="s">
        <v>134</v>
      </c>
      <c r="M118" s="50" t="s">
        <v>157</v>
      </c>
      <c r="O118" s="31"/>
      <c r="P118" s="10">
        <f t="shared" si="25"/>
        <v>0</v>
      </c>
      <c r="Q118" s="10">
        <f t="shared" si="11"/>
        <v>2</v>
      </c>
      <c r="R118" s="8">
        <f t="shared" si="21"/>
        <v>0</v>
      </c>
      <c r="S118" s="8">
        <f t="shared" si="13"/>
        <v>10000</v>
      </c>
    </row>
    <row r="119" spans="1:19" ht="21.75" hidden="1" customHeight="1" x14ac:dyDescent="0.4">
      <c r="A119" s="62">
        <v>44751</v>
      </c>
      <c r="B119" s="32" t="s">
        <v>155</v>
      </c>
      <c r="C119" s="6" t="s">
        <v>17</v>
      </c>
      <c r="D119" s="50" t="s">
        <v>45</v>
      </c>
      <c r="E119" s="50" t="s">
        <v>85</v>
      </c>
      <c r="F119" s="50">
        <v>980</v>
      </c>
      <c r="G119" s="76">
        <v>0</v>
      </c>
      <c r="H119" s="8">
        <f t="shared" si="8"/>
        <v>980</v>
      </c>
      <c r="I119" s="50">
        <v>1</v>
      </c>
      <c r="J119" s="8">
        <f t="shared" si="14"/>
        <v>980</v>
      </c>
      <c r="K119" s="9">
        <f t="shared" si="9"/>
        <v>1078</v>
      </c>
      <c r="L119" s="18" t="s">
        <v>34</v>
      </c>
      <c r="M119" s="50"/>
      <c r="O119" s="31"/>
      <c r="P119" s="33">
        <v>632</v>
      </c>
      <c r="Q119" s="10">
        <f t="shared" si="11"/>
        <v>1</v>
      </c>
      <c r="R119" s="8">
        <f t="shared" si="21"/>
        <v>632</v>
      </c>
      <c r="S119" s="8">
        <f t="shared" si="13"/>
        <v>348</v>
      </c>
    </row>
    <row r="120" spans="1:19" ht="21.75" hidden="1" customHeight="1" x14ac:dyDescent="0.4">
      <c r="A120" s="62">
        <v>44751</v>
      </c>
      <c r="B120" s="32" t="s">
        <v>155</v>
      </c>
      <c r="C120" s="6" t="s">
        <v>17</v>
      </c>
      <c r="D120" s="50" t="s">
        <v>32</v>
      </c>
      <c r="E120" s="50" t="s">
        <v>33</v>
      </c>
      <c r="F120" s="50">
        <v>55000</v>
      </c>
      <c r="G120" s="76">
        <v>-11000</v>
      </c>
      <c r="H120" s="8">
        <f t="shared" si="8"/>
        <v>44000</v>
      </c>
      <c r="I120" s="50">
        <v>1</v>
      </c>
      <c r="J120" s="8">
        <f t="shared" si="14"/>
        <v>44000</v>
      </c>
      <c r="K120" s="9">
        <f t="shared" si="9"/>
        <v>48400</v>
      </c>
      <c r="L120" s="18" t="s">
        <v>34</v>
      </c>
      <c r="M120" s="50"/>
      <c r="O120" s="7">
        <v>0.45</v>
      </c>
      <c r="P120" s="10">
        <f t="shared" ref="P120:P121" si="26">ROUNDDOWN(SUM(F120*O120),0)</f>
        <v>24750</v>
      </c>
      <c r="Q120" s="10">
        <f t="shared" si="11"/>
        <v>1</v>
      </c>
      <c r="R120" s="8">
        <f t="shared" si="21"/>
        <v>24750</v>
      </c>
      <c r="S120" s="8">
        <f t="shared" si="13"/>
        <v>19250</v>
      </c>
    </row>
    <row r="121" spans="1:19" ht="21.75" hidden="1" customHeight="1" x14ac:dyDescent="0.4">
      <c r="A121" s="62">
        <v>44751</v>
      </c>
      <c r="B121" s="32" t="s">
        <v>158</v>
      </c>
      <c r="C121" s="6" t="s">
        <v>17</v>
      </c>
      <c r="D121" s="50" t="s">
        <v>68</v>
      </c>
      <c r="E121" s="50" t="s">
        <v>159</v>
      </c>
      <c r="F121" s="50">
        <v>1000</v>
      </c>
      <c r="G121" s="76">
        <v>0</v>
      </c>
      <c r="H121" s="8">
        <f t="shared" si="8"/>
        <v>1000</v>
      </c>
      <c r="I121" s="50">
        <v>1</v>
      </c>
      <c r="J121" s="8">
        <f t="shared" si="14"/>
        <v>1000</v>
      </c>
      <c r="K121" s="9">
        <f t="shared" si="9"/>
        <v>1100</v>
      </c>
      <c r="L121" s="18" t="s">
        <v>134</v>
      </c>
      <c r="M121" s="50"/>
      <c r="O121" s="31"/>
      <c r="P121" s="10">
        <f t="shared" si="26"/>
        <v>0</v>
      </c>
      <c r="Q121" s="10">
        <f t="shared" si="11"/>
        <v>1</v>
      </c>
      <c r="R121" s="8">
        <f t="shared" si="21"/>
        <v>0</v>
      </c>
      <c r="S121" s="8">
        <f t="shared" si="13"/>
        <v>1000</v>
      </c>
    </row>
    <row r="122" spans="1:19" ht="21.75" hidden="1" customHeight="1" x14ac:dyDescent="0.4">
      <c r="A122" s="62">
        <v>44751</v>
      </c>
      <c r="B122" s="32" t="s">
        <v>160</v>
      </c>
      <c r="C122" s="6" t="s">
        <v>17</v>
      </c>
      <c r="D122" s="50" t="s">
        <v>55</v>
      </c>
      <c r="E122" s="50" t="s">
        <v>94</v>
      </c>
      <c r="F122" s="50">
        <v>5000</v>
      </c>
      <c r="G122" s="76">
        <v>0</v>
      </c>
      <c r="H122" s="8">
        <f t="shared" si="8"/>
        <v>5000</v>
      </c>
      <c r="I122" s="50">
        <v>1</v>
      </c>
      <c r="J122" s="8">
        <f t="shared" si="14"/>
        <v>5000</v>
      </c>
      <c r="K122" s="9">
        <f t="shared" si="9"/>
        <v>5500</v>
      </c>
      <c r="L122" s="18" t="s">
        <v>25</v>
      </c>
      <c r="M122" s="50"/>
      <c r="O122" s="31"/>
      <c r="P122" s="33">
        <v>4408</v>
      </c>
      <c r="Q122" s="10">
        <f t="shared" si="11"/>
        <v>1</v>
      </c>
      <c r="R122" s="8">
        <f t="shared" ref="R122:R124" si="27">SUM(P122*Q122)</f>
        <v>4408</v>
      </c>
      <c r="S122" s="8">
        <f t="shared" si="13"/>
        <v>592</v>
      </c>
    </row>
    <row r="123" spans="1:19" ht="21.75" hidden="1" customHeight="1" x14ac:dyDescent="0.4">
      <c r="A123" s="62">
        <v>44752</v>
      </c>
      <c r="B123" s="32" t="s">
        <v>161</v>
      </c>
      <c r="C123" s="11" t="s">
        <v>22</v>
      </c>
      <c r="D123" s="50" t="s">
        <v>23</v>
      </c>
      <c r="E123" s="50" t="s">
        <v>81</v>
      </c>
      <c r="F123" s="50">
        <v>20000</v>
      </c>
      <c r="G123" s="76">
        <v>0</v>
      </c>
      <c r="H123" s="8">
        <f t="shared" si="8"/>
        <v>20000</v>
      </c>
      <c r="I123" s="50">
        <v>1</v>
      </c>
      <c r="J123" s="8">
        <f t="shared" si="14"/>
        <v>20000</v>
      </c>
      <c r="K123" s="9">
        <f t="shared" si="9"/>
        <v>22000</v>
      </c>
      <c r="L123" s="18" t="s">
        <v>25</v>
      </c>
      <c r="M123" s="50"/>
      <c r="O123" s="31"/>
      <c r="P123" s="10">
        <f t="shared" ref="P123:P124" si="28">ROUNDDOWN(SUM(F123*O123),0)</f>
        <v>0</v>
      </c>
      <c r="Q123" s="10">
        <f t="shared" si="11"/>
        <v>1</v>
      </c>
      <c r="R123" s="8">
        <f t="shared" si="27"/>
        <v>0</v>
      </c>
      <c r="S123" s="8">
        <f t="shared" si="13"/>
        <v>20000</v>
      </c>
    </row>
    <row r="124" spans="1:19" ht="21.75" hidden="1" customHeight="1" x14ac:dyDescent="0.4">
      <c r="A124" s="62">
        <v>44752</v>
      </c>
      <c r="B124" s="32" t="s">
        <v>162</v>
      </c>
      <c r="C124" s="6" t="s">
        <v>27</v>
      </c>
      <c r="D124" s="50" t="s">
        <v>28</v>
      </c>
      <c r="E124" s="50" t="s">
        <v>73</v>
      </c>
      <c r="F124" s="50">
        <v>2000</v>
      </c>
      <c r="G124" s="76">
        <v>0</v>
      </c>
      <c r="H124" s="8">
        <f t="shared" si="8"/>
        <v>2000</v>
      </c>
      <c r="I124" s="50">
        <v>1</v>
      </c>
      <c r="J124" s="8">
        <f t="shared" si="14"/>
        <v>2000</v>
      </c>
      <c r="K124" s="9">
        <f t="shared" si="9"/>
        <v>2200</v>
      </c>
      <c r="L124" s="18" t="s">
        <v>134</v>
      </c>
      <c r="M124" s="50"/>
      <c r="O124" s="31"/>
      <c r="P124" s="10">
        <f t="shared" si="28"/>
        <v>0</v>
      </c>
      <c r="Q124" s="10">
        <f t="shared" si="11"/>
        <v>1</v>
      </c>
      <c r="R124" s="8">
        <f t="shared" si="27"/>
        <v>0</v>
      </c>
      <c r="S124" s="8">
        <f t="shared" si="13"/>
        <v>2000</v>
      </c>
    </row>
    <row r="125" spans="1:19" ht="21.75" hidden="1" customHeight="1" x14ac:dyDescent="0.4">
      <c r="A125" s="62">
        <v>44752</v>
      </c>
      <c r="B125" s="32" t="s">
        <v>163</v>
      </c>
      <c r="C125" s="6" t="s">
        <v>17</v>
      </c>
      <c r="D125" s="50" t="s">
        <v>55</v>
      </c>
      <c r="E125" s="50" t="s">
        <v>146</v>
      </c>
      <c r="F125" s="50">
        <v>5700</v>
      </c>
      <c r="G125" s="76">
        <v>-570</v>
      </c>
      <c r="H125" s="8">
        <f t="shared" si="8"/>
        <v>5130</v>
      </c>
      <c r="I125" s="50">
        <v>1</v>
      </c>
      <c r="J125" s="8">
        <f t="shared" si="14"/>
        <v>5130</v>
      </c>
      <c r="K125" s="9">
        <f t="shared" si="9"/>
        <v>5643</v>
      </c>
      <c r="L125" s="18" t="s">
        <v>134</v>
      </c>
      <c r="M125" s="50"/>
      <c r="O125" s="31"/>
      <c r="P125" s="33">
        <v>4725</v>
      </c>
      <c r="Q125" s="10">
        <f t="shared" si="11"/>
        <v>1</v>
      </c>
      <c r="R125" s="8">
        <f t="shared" ref="R125" si="29">SUM(P125*Q125)</f>
        <v>4725</v>
      </c>
      <c r="S125" s="8">
        <f t="shared" si="13"/>
        <v>405</v>
      </c>
    </row>
    <row r="126" spans="1:19" ht="21.75" hidden="1" customHeight="1" x14ac:dyDescent="0.4">
      <c r="A126" s="62">
        <v>44753</v>
      </c>
      <c r="B126" s="32" t="s">
        <v>148</v>
      </c>
      <c r="C126" s="6" t="s">
        <v>17</v>
      </c>
      <c r="D126" s="50" t="s">
        <v>18</v>
      </c>
      <c r="E126" s="50" t="s">
        <v>164</v>
      </c>
      <c r="F126" s="50">
        <v>1650</v>
      </c>
      <c r="G126" s="76">
        <v>-165</v>
      </c>
      <c r="H126" s="8">
        <f t="shared" si="8"/>
        <v>1485</v>
      </c>
      <c r="I126" s="50">
        <v>1</v>
      </c>
      <c r="J126" s="8">
        <f t="shared" si="14"/>
        <v>1485</v>
      </c>
      <c r="K126" s="9">
        <f t="shared" si="9"/>
        <v>1633</v>
      </c>
      <c r="L126" s="18" t="s">
        <v>134</v>
      </c>
      <c r="M126" s="50"/>
      <c r="O126" s="31"/>
      <c r="P126" s="33">
        <v>1100</v>
      </c>
      <c r="Q126" s="10">
        <f t="shared" si="11"/>
        <v>1</v>
      </c>
      <c r="R126" s="8">
        <f t="shared" ref="R126:R128" si="30">SUM(P126*Q126)</f>
        <v>1100</v>
      </c>
      <c r="S126" s="8">
        <f t="shared" si="13"/>
        <v>385</v>
      </c>
    </row>
    <row r="127" spans="1:19" ht="21.75" hidden="1" customHeight="1" x14ac:dyDescent="0.4">
      <c r="A127" s="62">
        <v>44753</v>
      </c>
      <c r="B127" s="32" t="s">
        <v>165</v>
      </c>
      <c r="C127" s="11" t="s">
        <v>22</v>
      </c>
      <c r="D127" s="50" t="s">
        <v>48</v>
      </c>
      <c r="E127" s="50" t="s">
        <v>49</v>
      </c>
      <c r="F127" s="50">
        <v>3000</v>
      </c>
      <c r="G127" s="76">
        <v>0</v>
      </c>
      <c r="H127" s="8">
        <f t="shared" si="8"/>
        <v>3000</v>
      </c>
      <c r="I127" s="50">
        <v>1</v>
      </c>
      <c r="J127" s="8">
        <f t="shared" si="14"/>
        <v>3000</v>
      </c>
      <c r="K127" s="9">
        <f t="shared" si="9"/>
        <v>3300</v>
      </c>
      <c r="L127" s="18" t="s">
        <v>134</v>
      </c>
      <c r="M127" s="50"/>
      <c r="O127" s="31"/>
      <c r="P127" s="10">
        <f t="shared" ref="P127:P128" si="31">ROUNDDOWN(SUM(F127*O127),0)</f>
        <v>0</v>
      </c>
      <c r="Q127" s="10">
        <f t="shared" si="11"/>
        <v>1</v>
      </c>
      <c r="R127" s="8">
        <f t="shared" si="30"/>
        <v>0</v>
      </c>
      <c r="S127" s="8">
        <f t="shared" si="13"/>
        <v>3000</v>
      </c>
    </row>
    <row r="128" spans="1:19" ht="21.75" hidden="1" customHeight="1" x14ac:dyDescent="0.4">
      <c r="A128" s="62">
        <v>44753</v>
      </c>
      <c r="B128" s="32" t="s">
        <v>166</v>
      </c>
      <c r="C128" s="11" t="s">
        <v>22</v>
      </c>
      <c r="D128" s="50" t="s">
        <v>48</v>
      </c>
      <c r="E128" s="50" t="s">
        <v>49</v>
      </c>
      <c r="F128" s="50">
        <v>3000</v>
      </c>
      <c r="G128" s="76">
        <v>0</v>
      </c>
      <c r="H128" s="8">
        <f t="shared" ref="H128:H192" si="32">SUM(F128:G128)</f>
        <v>3000</v>
      </c>
      <c r="I128" s="50">
        <v>1</v>
      </c>
      <c r="J128" s="8">
        <f t="shared" si="14"/>
        <v>3000</v>
      </c>
      <c r="K128" s="9">
        <f t="shared" si="9"/>
        <v>3300</v>
      </c>
      <c r="L128" s="18" t="s">
        <v>134</v>
      </c>
      <c r="M128" s="50"/>
      <c r="O128" s="31"/>
      <c r="P128" s="10">
        <f t="shared" si="31"/>
        <v>0</v>
      </c>
      <c r="Q128" s="10">
        <f t="shared" si="11"/>
        <v>1</v>
      </c>
      <c r="R128" s="8">
        <f t="shared" si="30"/>
        <v>0</v>
      </c>
      <c r="S128" s="8">
        <f t="shared" si="13"/>
        <v>3000</v>
      </c>
    </row>
    <row r="129" spans="1:19" ht="21.75" hidden="1" customHeight="1" x14ac:dyDescent="0.4">
      <c r="A129" s="62">
        <v>44755</v>
      </c>
      <c r="B129" s="32" t="s">
        <v>167</v>
      </c>
      <c r="C129" s="6" t="s">
        <v>17</v>
      </c>
      <c r="D129" s="50" t="s">
        <v>18</v>
      </c>
      <c r="E129" s="50" t="s">
        <v>164</v>
      </c>
      <c r="F129" s="50">
        <v>1650</v>
      </c>
      <c r="G129" s="76">
        <v>-165</v>
      </c>
      <c r="H129" s="8">
        <f t="shared" si="32"/>
        <v>1485</v>
      </c>
      <c r="I129" s="50">
        <v>1</v>
      </c>
      <c r="J129" s="8">
        <f t="shared" si="14"/>
        <v>1485</v>
      </c>
      <c r="K129" s="9">
        <f t="shared" si="9"/>
        <v>1633</v>
      </c>
      <c r="L129" s="18" t="s">
        <v>134</v>
      </c>
      <c r="M129" s="50"/>
      <c r="O129" s="31"/>
      <c r="P129" s="33">
        <v>1100</v>
      </c>
      <c r="Q129" s="10">
        <f t="shared" ref="Q129:Q131" si="33">SUM(I129)</f>
        <v>1</v>
      </c>
      <c r="R129" s="8">
        <f t="shared" ref="R129:R165" si="34">SUM(P129*Q129)</f>
        <v>1100</v>
      </c>
      <c r="S129" s="8">
        <f t="shared" si="13"/>
        <v>385</v>
      </c>
    </row>
    <row r="130" spans="1:19" ht="21.75" hidden="1" customHeight="1" x14ac:dyDescent="0.4">
      <c r="A130" s="62">
        <v>44756</v>
      </c>
      <c r="B130" s="32" t="s">
        <v>168</v>
      </c>
      <c r="C130" s="6" t="s">
        <v>17</v>
      </c>
      <c r="D130" s="50" t="s">
        <v>97</v>
      </c>
      <c r="E130" s="50" t="s">
        <v>98</v>
      </c>
      <c r="F130" s="50">
        <v>4000</v>
      </c>
      <c r="G130" s="76">
        <v>0</v>
      </c>
      <c r="H130" s="8">
        <f t="shared" si="32"/>
        <v>4000</v>
      </c>
      <c r="I130" s="50">
        <v>1</v>
      </c>
      <c r="J130" s="8">
        <f t="shared" si="14"/>
        <v>4000</v>
      </c>
      <c r="K130" s="9">
        <f t="shared" si="9"/>
        <v>4400</v>
      </c>
      <c r="L130" s="18" t="s">
        <v>34</v>
      </c>
      <c r="M130" s="50"/>
      <c r="O130" s="31"/>
      <c r="P130" s="33">
        <v>2450</v>
      </c>
      <c r="Q130" s="10">
        <f t="shared" si="33"/>
        <v>1</v>
      </c>
      <c r="R130" s="8">
        <f t="shared" si="34"/>
        <v>2450</v>
      </c>
      <c r="S130" s="8">
        <f t="shared" si="13"/>
        <v>1550</v>
      </c>
    </row>
    <row r="131" spans="1:19" ht="21.75" hidden="1" customHeight="1" x14ac:dyDescent="0.4">
      <c r="A131" s="62">
        <v>44756</v>
      </c>
      <c r="B131" s="32" t="s">
        <v>168</v>
      </c>
      <c r="C131" s="6" t="s">
        <v>17</v>
      </c>
      <c r="D131" s="50" t="s">
        <v>32</v>
      </c>
      <c r="E131" s="50" t="s">
        <v>44</v>
      </c>
      <c r="F131" s="50">
        <v>60000</v>
      </c>
      <c r="G131" s="76">
        <v>-12000</v>
      </c>
      <c r="H131" s="8">
        <f t="shared" si="32"/>
        <v>48000</v>
      </c>
      <c r="I131" s="50">
        <v>1</v>
      </c>
      <c r="J131" s="8">
        <f t="shared" si="14"/>
        <v>48000</v>
      </c>
      <c r="K131" s="9">
        <f t="shared" ref="K131:K195" si="35">ROUNDDOWN(J131*1.1,0)</f>
        <v>52800</v>
      </c>
      <c r="L131" s="18" t="s">
        <v>34</v>
      </c>
      <c r="M131" s="50"/>
      <c r="O131" s="7">
        <v>0.45</v>
      </c>
      <c r="P131" s="10">
        <f t="shared" ref="P131" si="36">ROUNDDOWN(SUM(F131*O131),0)</f>
        <v>27000</v>
      </c>
      <c r="Q131" s="10">
        <f t="shared" si="33"/>
        <v>1</v>
      </c>
      <c r="R131" s="8">
        <f t="shared" si="34"/>
        <v>27000</v>
      </c>
      <c r="S131" s="8">
        <f t="shared" ref="S131:S165" si="37">SUM(J131-R131)</f>
        <v>21000</v>
      </c>
    </row>
    <row r="132" spans="1:19" ht="21.75" hidden="1" customHeight="1" x14ac:dyDescent="0.4">
      <c r="A132" s="62">
        <v>44756</v>
      </c>
      <c r="B132" s="32" t="s">
        <v>168</v>
      </c>
      <c r="C132" s="6" t="s">
        <v>17</v>
      </c>
      <c r="D132" s="50" t="s">
        <v>169</v>
      </c>
      <c r="E132" s="50" t="s">
        <v>170</v>
      </c>
      <c r="F132" s="50">
        <v>1400</v>
      </c>
      <c r="G132" s="76">
        <v>0</v>
      </c>
      <c r="H132" s="8">
        <f t="shared" si="32"/>
        <v>1400</v>
      </c>
      <c r="I132" s="50">
        <v>1</v>
      </c>
      <c r="J132" s="8">
        <f t="shared" si="14"/>
        <v>1400</v>
      </c>
      <c r="K132" s="9">
        <f t="shared" si="35"/>
        <v>1540</v>
      </c>
      <c r="L132" s="18" t="s">
        <v>34</v>
      </c>
      <c r="M132" s="50"/>
      <c r="O132" s="7">
        <v>0.5</v>
      </c>
      <c r="P132" s="10">
        <f t="shared" ref="P132" si="38">ROUNDDOWN(SUM(F132*O132),0)</f>
        <v>700</v>
      </c>
      <c r="Q132" s="10">
        <f t="shared" ref="Q132:Q174" si="39">SUM(I132)</f>
        <v>1</v>
      </c>
      <c r="R132" s="8">
        <f t="shared" si="34"/>
        <v>700</v>
      </c>
      <c r="S132" s="8">
        <f t="shared" si="37"/>
        <v>700</v>
      </c>
    </row>
    <row r="133" spans="1:19" ht="21.75" hidden="1" customHeight="1" x14ac:dyDescent="0.4">
      <c r="A133" s="62">
        <v>44756</v>
      </c>
      <c r="B133" s="32" t="s">
        <v>171</v>
      </c>
      <c r="C133" s="6" t="s">
        <v>17</v>
      </c>
      <c r="D133" s="50" t="s">
        <v>55</v>
      </c>
      <c r="E133" s="50" t="s">
        <v>94</v>
      </c>
      <c r="F133" s="50">
        <v>5000</v>
      </c>
      <c r="G133" s="76">
        <v>0</v>
      </c>
      <c r="H133" s="8">
        <f t="shared" si="32"/>
        <v>5000</v>
      </c>
      <c r="I133" s="50">
        <v>1</v>
      </c>
      <c r="J133" s="8">
        <f t="shared" si="14"/>
        <v>5000</v>
      </c>
      <c r="K133" s="9">
        <f t="shared" si="35"/>
        <v>5500</v>
      </c>
      <c r="L133" s="18" t="s">
        <v>34</v>
      </c>
      <c r="M133" s="50"/>
      <c r="O133" s="31"/>
      <c r="P133" s="33">
        <v>4408</v>
      </c>
      <c r="Q133" s="10">
        <f t="shared" si="39"/>
        <v>1</v>
      </c>
      <c r="R133" s="8">
        <f t="shared" si="34"/>
        <v>4408</v>
      </c>
      <c r="S133" s="8">
        <f t="shared" si="37"/>
        <v>592</v>
      </c>
    </row>
    <row r="134" spans="1:19" ht="21.75" hidden="1" customHeight="1" x14ac:dyDescent="0.4">
      <c r="A134" s="62">
        <v>44756</v>
      </c>
      <c r="B134" s="32" t="s">
        <v>171</v>
      </c>
      <c r="C134" s="6" t="s">
        <v>17</v>
      </c>
      <c r="D134" s="50" t="s">
        <v>91</v>
      </c>
      <c r="E134" s="50" t="s">
        <v>172</v>
      </c>
      <c r="F134" s="50">
        <v>1450</v>
      </c>
      <c r="G134" s="76">
        <v>-145</v>
      </c>
      <c r="H134" s="8">
        <f t="shared" si="32"/>
        <v>1305</v>
      </c>
      <c r="I134" s="50">
        <v>1</v>
      </c>
      <c r="J134" s="8">
        <f t="shared" si="14"/>
        <v>1305</v>
      </c>
      <c r="K134" s="9">
        <f t="shared" si="35"/>
        <v>1435</v>
      </c>
      <c r="L134" s="18" t="s">
        <v>34</v>
      </c>
      <c r="M134" s="50"/>
      <c r="O134" s="7">
        <v>0.55000000000000004</v>
      </c>
      <c r="P134" s="10">
        <f t="shared" ref="P134" si="40">ROUNDDOWN(SUM(F134*O134),0)</f>
        <v>797</v>
      </c>
      <c r="Q134" s="10">
        <f t="shared" si="39"/>
        <v>1</v>
      </c>
      <c r="R134" s="8">
        <f t="shared" si="34"/>
        <v>797</v>
      </c>
      <c r="S134" s="8">
        <f t="shared" si="37"/>
        <v>508</v>
      </c>
    </row>
    <row r="135" spans="1:19" ht="21.75" hidden="1" customHeight="1" x14ac:dyDescent="0.4">
      <c r="A135" s="62">
        <v>44757</v>
      </c>
      <c r="B135" s="32" t="s">
        <v>173</v>
      </c>
      <c r="C135" s="6" t="s">
        <v>17</v>
      </c>
      <c r="D135" s="50" t="s">
        <v>45</v>
      </c>
      <c r="E135" s="50" t="s">
        <v>85</v>
      </c>
      <c r="F135" s="50">
        <v>980</v>
      </c>
      <c r="G135" s="76">
        <v>-98</v>
      </c>
      <c r="H135" s="8">
        <f t="shared" si="32"/>
        <v>882</v>
      </c>
      <c r="I135" s="50">
        <v>1</v>
      </c>
      <c r="J135" s="8">
        <f t="shared" si="14"/>
        <v>882</v>
      </c>
      <c r="K135" s="9">
        <f t="shared" si="35"/>
        <v>970</v>
      </c>
      <c r="L135" s="18" t="s">
        <v>25</v>
      </c>
      <c r="M135" s="50"/>
      <c r="O135" s="31"/>
      <c r="P135" s="33">
        <v>632</v>
      </c>
      <c r="Q135" s="10">
        <f t="shared" si="39"/>
        <v>1</v>
      </c>
      <c r="R135" s="8">
        <f t="shared" si="34"/>
        <v>632</v>
      </c>
      <c r="S135" s="8">
        <f t="shared" si="37"/>
        <v>250</v>
      </c>
    </row>
    <row r="136" spans="1:19" ht="18.75" hidden="1" x14ac:dyDescent="0.4">
      <c r="A136" s="62">
        <v>44758</v>
      </c>
      <c r="B136" s="32" t="s">
        <v>174</v>
      </c>
      <c r="C136" s="6" t="s">
        <v>17</v>
      </c>
      <c r="D136" s="50" t="s">
        <v>45</v>
      </c>
      <c r="E136" s="50" t="s">
        <v>85</v>
      </c>
      <c r="F136" s="50">
        <v>980</v>
      </c>
      <c r="G136" s="76">
        <v>-98</v>
      </c>
      <c r="H136" s="8">
        <f t="shared" si="32"/>
        <v>882</v>
      </c>
      <c r="I136" s="50">
        <v>1</v>
      </c>
      <c r="J136" s="8">
        <f t="shared" si="14"/>
        <v>882</v>
      </c>
      <c r="K136" s="9">
        <f t="shared" si="35"/>
        <v>970</v>
      </c>
      <c r="L136" s="18" t="s">
        <v>134</v>
      </c>
      <c r="M136" s="50"/>
      <c r="O136" s="31"/>
      <c r="P136" s="33">
        <v>632</v>
      </c>
      <c r="Q136" s="10">
        <f t="shared" si="39"/>
        <v>1</v>
      </c>
      <c r="R136" s="8">
        <f t="shared" si="34"/>
        <v>632</v>
      </c>
      <c r="S136" s="8">
        <f t="shared" si="37"/>
        <v>250</v>
      </c>
    </row>
    <row r="137" spans="1:19" ht="24" hidden="1" customHeight="1" x14ac:dyDescent="0.4">
      <c r="A137" s="62">
        <v>44758</v>
      </c>
      <c r="B137" s="32" t="s">
        <v>175</v>
      </c>
      <c r="C137" s="11" t="s">
        <v>22</v>
      </c>
      <c r="D137" s="50" t="s">
        <v>23</v>
      </c>
      <c r="E137" s="50" t="s">
        <v>96</v>
      </c>
      <c r="F137" s="50">
        <v>15000</v>
      </c>
      <c r="G137" s="76">
        <v>0</v>
      </c>
      <c r="H137" s="8">
        <f t="shared" si="32"/>
        <v>15000</v>
      </c>
      <c r="I137" s="50">
        <v>1</v>
      </c>
      <c r="J137" s="8">
        <f t="shared" si="14"/>
        <v>15000</v>
      </c>
      <c r="K137" s="9">
        <f t="shared" si="35"/>
        <v>16500</v>
      </c>
      <c r="L137" s="18" t="s">
        <v>25</v>
      </c>
      <c r="M137" s="50"/>
      <c r="O137" s="31"/>
      <c r="P137" s="10">
        <f t="shared" ref="P137:P138" si="41">ROUNDDOWN(SUM(F137*O137),0)</f>
        <v>0</v>
      </c>
      <c r="Q137" s="10">
        <f t="shared" si="39"/>
        <v>1</v>
      </c>
      <c r="R137" s="8">
        <f t="shared" si="34"/>
        <v>0</v>
      </c>
      <c r="S137" s="8">
        <f t="shared" si="37"/>
        <v>15000</v>
      </c>
    </row>
    <row r="138" spans="1:19" ht="24" hidden="1" customHeight="1" x14ac:dyDescent="0.4">
      <c r="A138" s="62">
        <v>44758</v>
      </c>
      <c r="B138" s="32" t="s">
        <v>175</v>
      </c>
      <c r="C138" s="6" t="s">
        <v>17</v>
      </c>
      <c r="D138" s="50" t="s">
        <v>32</v>
      </c>
      <c r="E138" s="50" t="s">
        <v>176</v>
      </c>
      <c r="F138" s="50">
        <v>60000</v>
      </c>
      <c r="G138" s="76">
        <v>-9000</v>
      </c>
      <c r="H138" s="8">
        <f t="shared" si="32"/>
        <v>51000</v>
      </c>
      <c r="I138" s="50">
        <v>1</v>
      </c>
      <c r="J138" s="8">
        <f t="shared" si="14"/>
        <v>51000</v>
      </c>
      <c r="K138" s="9">
        <f t="shared" si="35"/>
        <v>56100</v>
      </c>
      <c r="L138" s="18" t="s">
        <v>34</v>
      </c>
      <c r="M138" s="50"/>
      <c r="O138" s="7">
        <v>0.65</v>
      </c>
      <c r="P138" s="10">
        <f t="shared" si="41"/>
        <v>39000</v>
      </c>
      <c r="Q138" s="10">
        <f t="shared" si="39"/>
        <v>1</v>
      </c>
      <c r="R138" s="8">
        <f t="shared" si="34"/>
        <v>39000</v>
      </c>
      <c r="S138" s="8">
        <f t="shared" si="37"/>
        <v>12000</v>
      </c>
    </row>
    <row r="139" spans="1:19" ht="24" hidden="1" customHeight="1" x14ac:dyDescent="0.4">
      <c r="A139" s="62">
        <v>44758</v>
      </c>
      <c r="B139" s="32" t="s">
        <v>175</v>
      </c>
      <c r="C139" s="6" t="s">
        <v>17</v>
      </c>
      <c r="D139" s="50" t="s">
        <v>65</v>
      </c>
      <c r="E139" s="50" t="s">
        <v>66</v>
      </c>
      <c r="F139" s="50">
        <v>980</v>
      </c>
      <c r="G139" s="76">
        <v>0</v>
      </c>
      <c r="H139" s="8">
        <f t="shared" si="32"/>
        <v>980</v>
      </c>
      <c r="I139" s="50">
        <v>1</v>
      </c>
      <c r="J139" s="8">
        <f t="shared" si="14"/>
        <v>980</v>
      </c>
      <c r="K139" s="9">
        <f t="shared" si="35"/>
        <v>1078</v>
      </c>
      <c r="L139" s="18" t="s">
        <v>34</v>
      </c>
      <c r="M139" s="50"/>
      <c r="O139" s="31"/>
      <c r="P139" s="33">
        <v>490</v>
      </c>
      <c r="Q139" s="10">
        <f t="shared" si="39"/>
        <v>1</v>
      </c>
      <c r="R139" s="8">
        <f t="shared" si="34"/>
        <v>490</v>
      </c>
      <c r="S139" s="8">
        <f t="shared" si="37"/>
        <v>490</v>
      </c>
    </row>
    <row r="140" spans="1:19" ht="24" hidden="1" customHeight="1" x14ac:dyDescent="0.4">
      <c r="A140" s="62">
        <v>44759</v>
      </c>
      <c r="B140" s="32" t="s">
        <v>177</v>
      </c>
      <c r="C140" s="11" t="s">
        <v>22</v>
      </c>
      <c r="D140" s="50" t="s">
        <v>23</v>
      </c>
      <c r="E140" s="50" t="s">
        <v>96</v>
      </c>
      <c r="F140" s="50">
        <v>15000</v>
      </c>
      <c r="G140" s="76">
        <v>0</v>
      </c>
      <c r="H140" s="8">
        <f t="shared" si="32"/>
        <v>15000</v>
      </c>
      <c r="I140" s="50">
        <v>1</v>
      </c>
      <c r="J140" s="8">
        <f t="shared" si="14"/>
        <v>15000</v>
      </c>
      <c r="K140" s="9">
        <f t="shared" si="35"/>
        <v>16500</v>
      </c>
      <c r="L140" s="18" t="s">
        <v>134</v>
      </c>
      <c r="M140" s="50"/>
      <c r="O140" s="31"/>
      <c r="P140" s="10">
        <f t="shared" ref="P140:P141" si="42">ROUNDDOWN(SUM(F140*O140),0)</f>
        <v>0</v>
      </c>
      <c r="Q140" s="10">
        <f t="shared" si="39"/>
        <v>1</v>
      </c>
      <c r="R140" s="8">
        <f t="shared" si="34"/>
        <v>0</v>
      </c>
      <c r="S140" s="8">
        <f t="shared" si="37"/>
        <v>15000</v>
      </c>
    </row>
    <row r="141" spans="1:19" ht="24" hidden="1" customHeight="1" x14ac:dyDescent="0.4">
      <c r="A141" s="62">
        <v>44759</v>
      </c>
      <c r="B141" s="32" t="s">
        <v>177</v>
      </c>
      <c r="C141" s="6" t="s">
        <v>17</v>
      </c>
      <c r="D141" s="50" t="s">
        <v>32</v>
      </c>
      <c r="E141" s="50" t="s">
        <v>43</v>
      </c>
      <c r="F141" s="50">
        <v>40000</v>
      </c>
      <c r="G141" s="76">
        <v>-8000</v>
      </c>
      <c r="H141" s="8">
        <f t="shared" si="32"/>
        <v>32000</v>
      </c>
      <c r="I141" s="50">
        <v>1</v>
      </c>
      <c r="J141" s="8">
        <f t="shared" si="14"/>
        <v>32000</v>
      </c>
      <c r="K141" s="9">
        <f t="shared" si="35"/>
        <v>35200</v>
      </c>
      <c r="L141" s="18" t="s">
        <v>134</v>
      </c>
      <c r="M141" s="50"/>
      <c r="O141" s="7">
        <v>0.45</v>
      </c>
      <c r="P141" s="10">
        <f t="shared" si="42"/>
        <v>18000</v>
      </c>
      <c r="Q141" s="10">
        <f t="shared" si="39"/>
        <v>1</v>
      </c>
      <c r="R141" s="8">
        <f t="shared" si="34"/>
        <v>18000</v>
      </c>
      <c r="S141" s="8">
        <f t="shared" si="37"/>
        <v>14000</v>
      </c>
    </row>
    <row r="142" spans="1:19" ht="24" hidden="1" customHeight="1" x14ac:dyDescent="0.4">
      <c r="A142" s="62">
        <v>44759</v>
      </c>
      <c r="B142" s="32" t="s">
        <v>177</v>
      </c>
      <c r="C142" s="6" t="s">
        <v>17</v>
      </c>
      <c r="D142" s="50" t="s">
        <v>45</v>
      </c>
      <c r="E142" s="50" t="s">
        <v>46</v>
      </c>
      <c r="F142" s="50">
        <v>980</v>
      </c>
      <c r="G142" s="76">
        <v>0</v>
      </c>
      <c r="H142" s="8">
        <f t="shared" si="32"/>
        <v>980</v>
      </c>
      <c r="I142" s="50">
        <v>1</v>
      </c>
      <c r="J142" s="8">
        <f t="shared" si="14"/>
        <v>980</v>
      </c>
      <c r="K142" s="9">
        <f t="shared" si="35"/>
        <v>1078</v>
      </c>
      <c r="L142" s="18" t="s">
        <v>134</v>
      </c>
      <c r="M142" s="50"/>
      <c r="O142" s="31"/>
      <c r="P142" s="33">
        <v>632</v>
      </c>
      <c r="Q142" s="10">
        <f t="shared" si="39"/>
        <v>1</v>
      </c>
      <c r="R142" s="8">
        <f t="shared" si="34"/>
        <v>632</v>
      </c>
      <c r="S142" s="8">
        <f t="shared" si="37"/>
        <v>348</v>
      </c>
    </row>
    <row r="143" spans="1:19" ht="24" hidden="1" customHeight="1" x14ac:dyDescent="0.4">
      <c r="A143" s="62">
        <v>44760</v>
      </c>
      <c r="B143" s="32" t="s">
        <v>178</v>
      </c>
      <c r="C143" s="11" t="s">
        <v>22</v>
      </c>
      <c r="D143" s="50" t="s">
        <v>23</v>
      </c>
      <c r="E143" s="50" t="s">
        <v>96</v>
      </c>
      <c r="F143" s="50">
        <v>15000</v>
      </c>
      <c r="G143" s="76">
        <v>0</v>
      </c>
      <c r="H143" s="8">
        <f t="shared" si="32"/>
        <v>15000</v>
      </c>
      <c r="I143" s="50">
        <v>1</v>
      </c>
      <c r="J143" s="8">
        <f t="shared" si="14"/>
        <v>15000</v>
      </c>
      <c r="K143" s="9">
        <f t="shared" si="35"/>
        <v>16500</v>
      </c>
      <c r="L143" s="18" t="s">
        <v>134</v>
      </c>
      <c r="M143" s="50"/>
      <c r="O143" s="31"/>
      <c r="P143" s="10">
        <f t="shared" ref="P143" si="43">ROUNDDOWN(SUM(F143*O143),0)</f>
        <v>0</v>
      </c>
      <c r="Q143" s="10">
        <f t="shared" si="39"/>
        <v>1</v>
      </c>
      <c r="R143" s="8">
        <f t="shared" si="34"/>
        <v>0</v>
      </c>
      <c r="S143" s="8">
        <f t="shared" si="37"/>
        <v>15000</v>
      </c>
    </row>
    <row r="144" spans="1:19" ht="24" hidden="1" customHeight="1" x14ac:dyDescent="0.4">
      <c r="A144" s="62">
        <v>44762</v>
      </c>
      <c r="B144" s="32" t="s">
        <v>179</v>
      </c>
      <c r="C144" s="6" t="s">
        <v>17</v>
      </c>
      <c r="D144" s="50" t="s">
        <v>45</v>
      </c>
      <c r="E144" s="50" t="s">
        <v>85</v>
      </c>
      <c r="F144" s="50">
        <v>980</v>
      </c>
      <c r="G144" s="76">
        <v>-98</v>
      </c>
      <c r="H144" s="8">
        <f t="shared" si="32"/>
        <v>882</v>
      </c>
      <c r="I144" s="50">
        <v>2</v>
      </c>
      <c r="J144" s="8">
        <f t="shared" si="14"/>
        <v>1764</v>
      </c>
      <c r="K144" s="9">
        <f t="shared" si="35"/>
        <v>1940</v>
      </c>
      <c r="L144" s="18" t="s">
        <v>134</v>
      </c>
      <c r="M144" s="50"/>
      <c r="O144" s="31"/>
      <c r="P144" s="33">
        <v>632</v>
      </c>
      <c r="Q144" s="10">
        <f t="shared" si="39"/>
        <v>2</v>
      </c>
      <c r="R144" s="8">
        <f t="shared" si="34"/>
        <v>1264</v>
      </c>
      <c r="S144" s="8">
        <f t="shared" si="37"/>
        <v>500</v>
      </c>
    </row>
    <row r="145" spans="1:19" ht="24" hidden="1" customHeight="1" x14ac:dyDescent="0.4">
      <c r="A145" s="62">
        <v>44765</v>
      </c>
      <c r="B145" s="32" t="s">
        <v>180</v>
      </c>
      <c r="C145" s="6" t="s">
        <v>17</v>
      </c>
      <c r="D145" s="50" t="s">
        <v>45</v>
      </c>
      <c r="E145" s="50" t="s">
        <v>85</v>
      </c>
      <c r="F145" s="50">
        <v>980</v>
      </c>
      <c r="G145" s="76">
        <v>-98</v>
      </c>
      <c r="H145" s="8">
        <f t="shared" si="32"/>
        <v>882</v>
      </c>
      <c r="I145" s="50">
        <v>1</v>
      </c>
      <c r="J145" s="8">
        <f t="shared" si="14"/>
        <v>882</v>
      </c>
      <c r="K145" s="9">
        <f t="shared" si="35"/>
        <v>970</v>
      </c>
      <c r="L145" s="18" t="s">
        <v>34</v>
      </c>
      <c r="M145" s="50"/>
      <c r="O145" s="31"/>
      <c r="P145" s="33">
        <v>632</v>
      </c>
      <c r="Q145" s="10">
        <f t="shared" si="39"/>
        <v>1</v>
      </c>
      <c r="R145" s="8">
        <f t="shared" si="34"/>
        <v>632</v>
      </c>
      <c r="S145" s="8">
        <f t="shared" si="37"/>
        <v>250</v>
      </c>
    </row>
    <row r="146" spans="1:19" ht="24" hidden="1" customHeight="1" x14ac:dyDescent="0.4">
      <c r="A146" s="62">
        <v>44765</v>
      </c>
      <c r="B146" s="32" t="s">
        <v>180</v>
      </c>
      <c r="C146" s="6" t="s">
        <v>17</v>
      </c>
      <c r="D146" s="50" t="s">
        <v>32</v>
      </c>
      <c r="E146" s="50" t="s">
        <v>33</v>
      </c>
      <c r="F146" s="50">
        <v>45000</v>
      </c>
      <c r="G146" s="76">
        <v>-4500</v>
      </c>
      <c r="H146" s="8">
        <f t="shared" si="32"/>
        <v>40500</v>
      </c>
      <c r="I146" s="50">
        <v>1</v>
      </c>
      <c r="J146" s="8">
        <f t="shared" si="14"/>
        <v>40500</v>
      </c>
      <c r="K146" s="9">
        <f t="shared" si="35"/>
        <v>44550</v>
      </c>
      <c r="L146" s="18" t="s">
        <v>34</v>
      </c>
      <c r="M146" s="50"/>
      <c r="O146" s="7">
        <v>0.45</v>
      </c>
      <c r="P146" s="10">
        <f t="shared" ref="P146:P154" si="44">ROUNDDOWN(SUM(F146*O146),0)</f>
        <v>20250</v>
      </c>
      <c r="Q146" s="10">
        <f t="shared" si="39"/>
        <v>1</v>
      </c>
      <c r="R146" s="8">
        <f t="shared" si="34"/>
        <v>20250</v>
      </c>
      <c r="S146" s="8">
        <f t="shared" si="37"/>
        <v>20250</v>
      </c>
    </row>
    <row r="147" spans="1:19" ht="24" hidden="1" customHeight="1" x14ac:dyDescent="0.4">
      <c r="A147" s="62">
        <v>44765</v>
      </c>
      <c r="B147" s="32" t="s">
        <v>180</v>
      </c>
      <c r="C147" s="6" t="s">
        <v>17</v>
      </c>
      <c r="D147" s="50" t="s">
        <v>126</v>
      </c>
      <c r="E147" s="50" t="s">
        <v>181</v>
      </c>
      <c r="F147" s="50">
        <v>79000</v>
      </c>
      <c r="G147" s="76">
        <v>-11850</v>
      </c>
      <c r="H147" s="8">
        <f t="shared" si="32"/>
        <v>67150</v>
      </c>
      <c r="I147" s="50">
        <v>1</v>
      </c>
      <c r="J147" s="8">
        <f t="shared" si="14"/>
        <v>67150</v>
      </c>
      <c r="K147" s="9">
        <f t="shared" si="35"/>
        <v>73865</v>
      </c>
      <c r="L147" s="18" t="s">
        <v>34</v>
      </c>
      <c r="M147" s="50"/>
      <c r="O147" s="7">
        <v>0.63</v>
      </c>
      <c r="P147" s="10">
        <f t="shared" si="44"/>
        <v>49770</v>
      </c>
      <c r="Q147" s="10">
        <f t="shared" si="39"/>
        <v>1</v>
      </c>
      <c r="R147" s="8">
        <f t="shared" si="34"/>
        <v>49770</v>
      </c>
      <c r="S147" s="8">
        <f t="shared" si="37"/>
        <v>17380</v>
      </c>
    </row>
    <row r="148" spans="1:19" ht="24" hidden="1" customHeight="1" x14ac:dyDescent="0.4">
      <c r="A148" s="62">
        <v>44765</v>
      </c>
      <c r="B148" s="32" t="s">
        <v>182</v>
      </c>
      <c r="C148" s="6" t="s">
        <v>27</v>
      </c>
      <c r="D148" s="50" t="s">
        <v>103</v>
      </c>
      <c r="E148" s="50" t="s">
        <v>104</v>
      </c>
      <c r="F148" s="50">
        <v>2500</v>
      </c>
      <c r="G148" s="76">
        <v>0</v>
      </c>
      <c r="H148" s="8">
        <f t="shared" si="32"/>
        <v>2500</v>
      </c>
      <c r="I148" s="50">
        <v>1</v>
      </c>
      <c r="J148" s="8">
        <f t="shared" si="14"/>
        <v>2500</v>
      </c>
      <c r="K148" s="9">
        <f t="shared" si="35"/>
        <v>2750</v>
      </c>
      <c r="L148" s="18" t="s">
        <v>134</v>
      </c>
      <c r="M148" s="50"/>
      <c r="O148" s="31"/>
      <c r="P148" s="10">
        <f t="shared" si="44"/>
        <v>0</v>
      </c>
      <c r="Q148" s="10">
        <f t="shared" si="39"/>
        <v>1</v>
      </c>
      <c r="R148" s="8">
        <f t="shared" si="34"/>
        <v>0</v>
      </c>
      <c r="S148" s="8">
        <f t="shared" si="37"/>
        <v>2500</v>
      </c>
    </row>
    <row r="149" spans="1:19" ht="24" hidden="1" customHeight="1" x14ac:dyDescent="0.4">
      <c r="A149" s="62">
        <v>44766</v>
      </c>
      <c r="B149" s="32" t="s">
        <v>183</v>
      </c>
      <c r="C149" s="11" t="s">
        <v>22</v>
      </c>
      <c r="D149" s="50" t="s">
        <v>48</v>
      </c>
      <c r="E149" s="50" t="s">
        <v>63</v>
      </c>
      <c r="F149" s="50">
        <v>3000</v>
      </c>
      <c r="G149" s="76">
        <v>0</v>
      </c>
      <c r="H149" s="8">
        <f t="shared" si="32"/>
        <v>3000</v>
      </c>
      <c r="I149" s="50">
        <v>1</v>
      </c>
      <c r="J149" s="8">
        <f t="shared" si="14"/>
        <v>3000</v>
      </c>
      <c r="K149" s="9">
        <f t="shared" si="35"/>
        <v>3300</v>
      </c>
      <c r="L149" s="18" t="s">
        <v>134</v>
      </c>
      <c r="M149" s="50"/>
      <c r="O149" s="31"/>
      <c r="P149" s="10">
        <f t="shared" si="44"/>
        <v>0</v>
      </c>
      <c r="Q149" s="10">
        <f t="shared" si="39"/>
        <v>1</v>
      </c>
      <c r="R149" s="8">
        <f t="shared" si="34"/>
        <v>0</v>
      </c>
      <c r="S149" s="8">
        <f t="shared" si="37"/>
        <v>3000</v>
      </c>
    </row>
    <row r="150" spans="1:19" ht="24" hidden="1" customHeight="1" x14ac:dyDescent="0.4">
      <c r="A150" s="62">
        <v>44766</v>
      </c>
      <c r="B150" s="32" t="s">
        <v>184</v>
      </c>
      <c r="C150" s="6" t="s">
        <v>17</v>
      </c>
      <c r="D150" s="50" t="s">
        <v>87</v>
      </c>
      <c r="E150" s="50" t="s">
        <v>185</v>
      </c>
      <c r="F150" s="50">
        <v>2680</v>
      </c>
      <c r="G150" s="76">
        <v>0</v>
      </c>
      <c r="H150" s="8">
        <f t="shared" si="32"/>
        <v>2680</v>
      </c>
      <c r="I150" s="50">
        <v>1</v>
      </c>
      <c r="J150" s="8">
        <f t="shared" si="14"/>
        <v>2680</v>
      </c>
      <c r="K150" s="9">
        <f t="shared" si="35"/>
        <v>2948</v>
      </c>
      <c r="L150" s="18" t="s">
        <v>25</v>
      </c>
      <c r="M150" s="50"/>
      <c r="O150" s="7">
        <v>0.65</v>
      </c>
      <c r="P150" s="10">
        <f t="shared" si="44"/>
        <v>1742</v>
      </c>
      <c r="Q150" s="10">
        <f t="shared" si="39"/>
        <v>1</v>
      </c>
      <c r="R150" s="8">
        <f t="shared" si="34"/>
        <v>1742</v>
      </c>
      <c r="S150" s="8">
        <f t="shared" si="37"/>
        <v>938</v>
      </c>
    </row>
    <row r="151" spans="1:19" ht="24" hidden="1" customHeight="1" x14ac:dyDescent="0.4">
      <c r="A151" s="62">
        <v>44767</v>
      </c>
      <c r="B151" s="32" t="s">
        <v>186</v>
      </c>
      <c r="C151" s="11" t="s">
        <v>22</v>
      </c>
      <c r="D151" s="50" t="s">
        <v>48</v>
      </c>
      <c r="E151" s="50" t="s">
        <v>49</v>
      </c>
      <c r="F151" s="50">
        <v>3000</v>
      </c>
      <c r="G151" s="76">
        <v>0</v>
      </c>
      <c r="H151" s="8">
        <f t="shared" si="32"/>
        <v>3000</v>
      </c>
      <c r="I151" s="50">
        <v>1</v>
      </c>
      <c r="J151" s="8">
        <f t="shared" ref="J151:J215" si="45">SUM(H151*I151)</f>
        <v>3000</v>
      </c>
      <c r="K151" s="9">
        <f t="shared" si="35"/>
        <v>3300</v>
      </c>
      <c r="L151" s="18" t="s">
        <v>134</v>
      </c>
      <c r="M151" s="50"/>
      <c r="O151" s="31"/>
      <c r="P151" s="10">
        <f t="shared" si="44"/>
        <v>0</v>
      </c>
      <c r="Q151" s="10">
        <f t="shared" si="39"/>
        <v>1</v>
      </c>
      <c r="R151" s="8">
        <f t="shared" si="34"/>
        <v>0</v>
      </c>
      <c r="S151" s="8">
        <f t="shared" si="37"/>
        <v>3000</v>
      </c>
    </row>
    <row r="152" spans="1:19" ht="24" hidden="1" customHeight="1" x14ac:dyDescent="0.4">
      <c r="A152" s="62">
        <v>44767</v>
      </c>
      <c r="B152" s="32" t="s">
        <v>148</v>
      </c>
      <c r="C152" s="6" t="s">
        <v>27</v>
      </c>
      <c r="D152" s="50" t="s">
        <v>28</v>
      </c>
      <c r="E152" s="50" t="s">
        <v>79</v>
      </c>
      <c r="F152" s="50">
        <v>17500</v>
      </c>
      <c r="G152" s="76">
        <v>0</v>
      </c>
      <c r="H152" s="8">
        <f t="shared" si="32"/>
        <v>17500</v>
      </c>
      <c r="I152" s="50">
        <v>1</v>
      </c>
      <c r="J152" s="8">
        <f t="shared" si="45"/>
        <v>17500</v>
      </c>
      <c r="K152" s="9">
        <f t="shared" si="35"/>
        <v>19250</v>
      </c>
      <c r="L152" s="18" t="s">
        <v>134</v>
      </c>
      <c r="M152" s="50"/>
      <c r="O152" s="31"/>
      <c r="P152" s="10">
        <f t="shared" si="44"/>
        <v>0</v>
      </c>
      <c r="Q152" s="10">
        <f t="shared" si="39"/>
        <v>1</v>
      </c>
      <c r="R152" s="8">
        <f t="shared" si="34"/>
        <v>0</v>
      </c>
      <c r="S152" s="8">
        <f t="shared" si="37"/>
        <v>17500</v>
      </c>
    </row>
    <row r="153" spans="1:19" ht="24" hidden="1" customHeight="1" x14ac:dyDescent="0.4">
      <c r="A153" s="62">
        <v>44767</v>
      </c>
      <c r="B153" s="32" t="s">
        <v>187</v>
      </c>
      <c r="C153" s="6" t="s">
        <v>17</v>
      </c>
      <c r="D153" s="50" t="s">
        <v>45</v>
      </c>
      <c r="E153" s="50" t="s">
        <v>188</v>
      </c>
      <c r="F153" s="50">
        <v>19500</v>
      </c>
      <c r="G153" s="76">
        <v>-1950</v>
      </c>
      <c r="H153" s="8">
        <f t="shared" si="32"/>
        <v>17550</v>
      </c>
      <c r="I153" s="50">
        <v>1</v>
      </c>
      <c r="J153" s="8">
        <f t="shared" si="45"/>
        <v>17550</v>
      </c>
      <c r="K153" s="9">
        <f t="shared" si="35"/>
        <v>19305</v>
      </c>
      <c r="L153" s="18" t="s">
        <v>25</v>
      </c>
      <c r="M153" s="50"/>
      <c r="O153" s="7">
        <v>0.57999999999999996</v>
      </c>
      <c r="P153" s="10">
        <f t="shared" si="44"/>
        <v>11310</v>
      </c>
      <c r="Q153" s="10">
        <f t="shared" si="39"/>
        <v>1</v>
      </c>
      <c r="R153" s="8">
        <f t="shared" si="34"/>
        <v>11310</v>
      </c>
      <c r="S153" s="8">
        <f t="shared" si="37"/>
        <v>6240</v>
      </c>
    </row>
    <row r="154" spans="1:19" ht="24" hidden="1" customHeight="1" x14ac:dyDescent="0.4">
      <c r="A154" s="62">
        <v>44769</v>
      </c>
      <c r="B154" s="32" t="s">
        <v>189</v>
      </c>
      <c r="C154" s="11" t="s">
        <v>22</v>
      </c>
      <c r="D154" s="50" t="s">
        <v>23</v>
      </c>
      <c r="E154" s="50" t="s">
        <v>81</v>
      </c>
      <c r="F154" s="50">
        <v>20000</v>
      </c>
      <c r="G154" s="76">
        <v>0</v>
      </c>
      <c r="H154" s="8">
        <f t="shared" si="32"/>
        <v>20000</v>
      </c>
      <c r="I154" s="50">
        <v>1</v>
      </c>
      <c r="J154" s="8">
        <f t="shared" si="45"/>
        <v>20000</v>
      </c>
      <c r="K154" s="9">
        <f t="shared" si="35"/>
        <v>22000</v>
      </c>
      <c r="L154" s="18" t="s">
        <v>25</v>
      </c>
      <c r="M154" s="50"/>
      <c r="O154" s="31"/>
      <c r="P154" s="10">
        <f t="shared" si="44"/>
        <v>0</v>
      </c>
      <c r="Q154" s="10">
        <f t="shared" si="39"/>
        <v>1</v>
      </c>
      <c r="R154" s="8">
        <f t="shared" si="34"/>
        <v>0</v>
      </c>
      <c r="S154" s="8">
        <f t="shared" si="37"/>
        <v>20000</v>
      </c>
    </row>
    <row r="155" spans="1:19" ht="24" hidden="1" customHeight="1" x14ac:dyDescent="0.4">
      <c r="A155" s="62">
        <v>44769</v>
      </c>
      <c r="B155" s="32" t="s">
        <v>189</v>
      </c>
      <c r="C155" s="6" t="s">
        <v>17</v>
      </c>
      <c r="D155" s="50" t="s">
        <v>45</v>
      </c>
      <c r="E155" s="50" t="s">
        <v>85</v>
      </c>
      <c r="F155" s="50">
        <v>980</v>
      </c>
      <c r="G155" s="76">
        <v>0</v>
      </c>
      <c r="H155" s="8">
        <f t="shared" si="32"/>
        <v>980</v>
      </c>
      <c r="I155" s="50">
        <v>3</v>
      </c>
      <c r="J155" s="8">
        <f t="shared" si="45"/>
        <v>2940</v>
      </c>
      <c r="K155" s="9">
        <f t="shared" si="35"/>
        <v>3234</v>
      </c>
      <c r="L155" s="18" t="s">
        <v>25</v>
      </c>
      <c r="M155" s="50"/>
      <c r="O155" s="31"/>
      <c r="P155" s="33">
        <v>632</v>
      </c>
      <c r="Q155" s="10">
        <f t="shared" si="39"/>
        <v>3</v>
      </c>
      <c r="R155" s="8">
        <f t="shared" si="34"/>
        <v>1896</v>
      </c>
      <c r="S155" s="8">
        <f t="shared" si="37"/>
        <v>1044</v>
      </c>
    </row>
    <row r="156" spans="1:19" ht="24" hidden="1" customHeight="1" x14ac:dyDescent="0.4">
      <c r="A156" s="62">
        <v>44769</v>
      </c>
      <c r="B156" s="32" t="s">
        <v>189</v>
      </c>
      <c r="C156" s="6" t="s">
        <v>17</v>
      </c>
      <c r="D156" s="50" t="s">
        <v>32</v>
      </c>
      <c r="E156" s="50" t="s">
        <v>33</v>
      </c>
      <c r="F156" s="50">
        <v>40000</v>
      </c>
      <c r="G156" s="76">
        <v>-8000</v>
      </c>
      <c r="H156" s="8">
        <f t="shared" si="32"/>
        <v>32000</v>
      </c>
      <c r="I156" s="50">
        <v>1</v>
      </c>
      <c r="J156" s="8">
        <f t="shared" si="45"/>
        <v>32000</v>
      </c>
      <c r="K156" s="9">
        <f t="shared" si="35"/>
        <v>35200</v>
      </c>
      <c r="L156" s="18" t="s">
        <v>25</v>
      </c>
      <c r="M156" s="50"/>
      <c r="O156" s="7">
        <v>0.45</v>
      </c>
      <c r="P156" s="10">
        <f t="shared" ref="P156:P157" si="46">ROUNDDOWN(SUM(F156*O156),0)</f>
        <v>18000</v>
      </c>
      <c r="Q156" s="10">
        <f t="shared" si="39"/>
        <v>1</v>
      </c>
      <c r="R156" s="8">
        <f t="shared" si="34"/>
        <v>18000</v>
      </c>
      <c r="S156" s="8">
        <f t="shared" si="37"/>
        <v>14000</v>
      </c>
    </row>
    <row r="157" spans="1:19" ht="24" hidden="1" customHeight="1" x14ac:dyDescent="0.4">
      <c r="A157" s="62">
        <v>44769</v>
      </c>
      <c r="B157" s="32" t="s">
        <v>189</v>
      </c>
      <c r="C157" s="6" t="s">
        <v>17</v>
      </c>
      <c r="D157" s="50" t="s">
        <v>32</v>
      </c>
      <c r="E157" s="50" t="s">
        <v>33</v>
      </c>
      <c r="F157" s="50">
        <v>40000</v>
      </c>
      <c r="G157" s="76">
        <v>-8000</v>
      </c>
      <c r="H157" s="8">
        <f t="shared" si="32"/>
        <v>32000</v>
      </c>
      <c r="I157" s="50">
        <v>2</v>
      </c>
      <c r="J157" s="8">
        <f t="shared" si="45"/>
        <v>64000</v>
      </c>
      <c r="K157" s="9">
        <f t="shared" si="35"/>
        <v>70400</v>
      </c>
      <c r="L157" s="18" t="s">
        <v>25</v>
      </c>
      <c r="M157" s="50"/>
      <c r="O157" s="7">
        <v>0.45</v>
      </c>
      <c r="P157" s="10">
        <f t="shared" si="46"/>
        <v>18000</v>
      </c>
      <c r="Q157" s="10">
        <f t="shared" si="39"/>
        <v>2</v>
      </c>
      <c r="R157" s="8">
        <f t="shared" si="34"/>
        <v>36000</v>
      </c>
      <c r="S157" s="8">
        <f t="shared" si="37"/>
        <v>28000</v>
      </c>
    </row>
    <row r="158" spans="1:19" ht="24" hidden="1" customHeight="1" x14ac:dyDescent="0.4">
      <c r="A158" s="62">
        <v>44769</v>
      </c>
      <c r="B158" s="49" t="s">
        <v>208</v>
      </c>
      <c r="C158" s="6" t="s">
        <v>17</v>
      </c>
      <c r="D158" s="50" t="s">
        <v>55</v>
      </c>
      <c r="E158" s="50" t="s">
        <v>94</v>
      </c>
      <c r="F158" s="50">
        <v>5000</v>
      </c>
      <c r="G158" s="76">
        <v>0</v>
      </c>
      <c r="H158" s="8">
        <f t="shared" si="32"/>
        <v>5000</v>
      </c>
      <c r="I158" s="50">
        <v>1</v>
      </c>
      <c r="J158" s="8">
        <f t="shared" si="45"/>
        <v>5000</v>
      </c>
      <c r="K158" s="9">
        <f t="shared" si="35"/>
        <v>5500</v>
      </c>
      <c r="L158" s="18" t="s">
        <v>25</v>
      </c>
      <c r="M158" s="50"/>
      <c r="O158" s="31"/>
      <c r="P158" s="33">
        <v>4408</v>
      </c>
      <c r="Q158" s="10">
        <f t="shared" si="39"/>
        <v>1</v>
      </c>
      <c r="R158" s="8">
        <f t="shared" si="34"/>
        <v>4408</v>
      </c>
      <c r="S158" s="8">
        <f t="shared" si="37"/>
        <v>592</v>
      </c>
    </row>
    <row r="159" spans="1:19" ht="24" hidden="1" customHeight="1" x14ac:dyDescent="0.4">
      <c r="A159" s="62">
        <v>44770</v>
      </c>
      <c r="B159" s="32" t="s">
        <v>190</v>
      </c>
      <c r="C159" s="11" t="s">
        <v>22</v>
      </c>
      <c r="D159" s="50" t="s">
        <v>48</v>
      </c>
      <c r="E159" s="50" t="s">
        <v>49</v>
      </c>
      <c r="F159" s="50">
        <v>3000</v>
      </c>
      <c r="G159" s="76">
        <v>0</v>
      </c>
      <c r="H159" s="8">
        <f t="shared" si="32"/>
        <v>3000</v>
      </c>
      <c r="I159" s="50">
        <v>1</v>
      </c>
      <c r="J159" s="8">
        <f t="shared" si="45"/>
        <v>3000</v>
      </c>
      <c r="K159" s="9">
        <f t="shared" si="35"/>
        <v>3300</v>
      </c>
      <c r="L159" s="18" t="s">
        <v>25</v>
      </c>
      <c r="M159" s="50"/>
      <c r="O159" s="31"/>
      <c r="P159" s="10">
        <f t="shared" ref="P159" si="47">ROUNDDOWN(SUM(F159*O159),0)</f>
        <v>0</v>
      </c>
      <c r="Q159" s="10">
        <f t="shared" si="39"/>
        <v>1</v>
      </c>
      <c r="R159" s="8">
        <f t="shared" si="34"/>
        <v>0</v>
      </c>
      <c r="S159" s="8">
        <f t="shared" si="37"/>
        <v>3000</v>
      </c>
    </row>
    <row r="160" spans="1:19" ht="24" hidden="1" customHeight="1" x14ac:dyDescent="0.4">
      <c r="A160" s="62">
        <v>44771</v>
      </c>
      <c r="B160" s="32" t="s">
        <v>191</v>
      </c>
      <c r="C160" s="6" t="s">
        <v>17</v>
      </c>
      <c r="D160" s="50" t="s">
        <v>65</v>
      </c>
      <c r="E160" s="50" t="s">
        <v>192</v>
      </c>
      <c r="F160" s="50">
        <v>1700</v>
      </c>
      <c r="G160" s="76">
        <v>-170</v>
      </c>
      <c r="H160" s="8">
        <f t="shared" si="32"/>
        <v>1530</v>
      </c>
      <c r="I160" s="50">
        <v>3</v>
      </c>
      <c r="J160" s="8">
        <f t="shared" si="45"/>
        <v>4590</v>
      </c>
      <c r="K160" s="9">
        <f t="shared" si="35"/>
        <v>5049</v>
      </c>
      <c r="L160" s="18" t="s">
        <v>134</v>
      </c>
      <c r="M160" s="50"/>
      <c r="O160" s="31"/>
      <c r="P160" s="33">
        <v>1050</v>
      </c>
      <c r="Q160" s="10">
        <f t="shared" si="39"/>
        <v>3</v>
      </c>
      <c r="R160" s="8">
        <f t="shared" si="34"/>
        <v>3150</v>
      </c>
      <c r="S160" s="8">
        <f t="shared" si="37"/>
        <v>1440</v>
      </c>
    </row>
    <row r="161" spans="1:19" ht="24" hidden="1" customHeight="1" x14ac:dyDescent="0.4">
      <c r="A161" s="62">
        <v>44771</v>
      </c>
      <c r="B161" s="32" t="s">
        <v>193</v>
      </c>
      <c r="C161" s="6" t="s">
        <v>17</v>
      </c>
      <c r="D161" s="50" t="s">
        <v>60</v>
      </c>
      <c r="E161" s="50" t="s">
        <v>194</v>
      </c>
      <c r="F161" s="50">
        <v>500</v>
      </c>
      <c r="G161" s="76">
        <v>0</v>
      </c>
      <c r="H161" s="8">
        <f t="shared" si="32"/>
        <v>500</v>
      </c>
      <c r="I161" s="50">
        <v>2</v>
      </c>
      <c r="J161" s="8">
        <f t="shared" si="45"/>
        <v>1000</v>
      </c>
      <c r="K161" s="9">
        <f t="shared" si="35"/>
        <v>1100</v>
      </c>
      <c r="L161" s="18" t="s">
        <v>134</v>
      </c>
      <c r="M161" s="50"/>
      <c r="O161" s="31"/>
      <c r="P161" s="10">
        <f t="shared" ref="P161:P162" si="48">ROUNDDOWN(SUM(F161*O161),0)</f>
        <v>0</v>
      </c>
      <c r="Q161" s="10">
        <f t="shared" si="39"/>
        <v>2</v>
      </c>
      <c r="R161" s="8">
        <f t="shared" si="34"/>
        <v>0</v>
      </c>
      <c r="S161" s="8">
        <f t="shared" si="37"/>
        <v>1000</v>
      </c>
    </row>
    <row r="162" spans="1:19" ht="18.75" hidden="1" x14ac:dyDescent="0.4">
      <c r="A162" s="62">
        <v>44771</v>
      </c>
      <c r="B162" s="32" t="s">
        <v>193</v>
      </c>
      <c r="C162" s="6" t="s">
        <v>17</v>
      </c>
      <c r="D162" s="50" t="s">
        <v>60</v>
      </c>
      <c r="E162" s="50" t="s">
        <v>120</v>
      </c>
      <c r="F162" s="50">
        <v>500</v>
      </c>
      <c r="G162" s="76">
        <v>0</v>
      </c>
      <c r="H162" s="8">
        <f t="shared" si="32"/>
        <v>500</v>
      </c>
      <c r="I162" s="50">
        <v>2</v>
      </c>
      <c r="J162" s="8">
        <f t="shared" si="45"/>
        <v>1000</v>
      </c>
      <c r="K162" s="9">
        <f t="shared" si="35"/>
        <v>1100</v>
      </c>
      <c r="L162" s="18" t="s">
        <v>134</v>
      </c>
      <c r="M162" s="50"/>
      <c r="O162" s="31"/>
      <c r="P162" s="10">
        <f t="shared" si="48"/>
        <v>0</v>
      </c>
      <c r="Q162" s="10">
        <f t="shared" si="39"/>
        <v>2</v>
      </c>
      <c r="R162" s="8">
        <f t="shared" si="34"/>
        <v>0</v>
      </c>
      <c r="S162" s="8">
        <f t="shared" si="37"/>
        <v>1000</v>
      </c>
    </row>
    <row r="163" spans="1:19" ht="24" hidden="1" customHeight="1" x14ac:dyDescent="0.4">
      <c r="A163" s="62">
        <v>44771</v>
      </c>
      <c r="B163" s="32" t="s">
        <v>195</v>
      </c>
      <c r="C163" s="6" t="s">
        <v>17</v>
      </c>
      <c r="D163" s="50" t="s">
        <v>55</v>
      </c>
      <c r="E163" s="50" t="s">
        <v>196</v>
      </c>
      <c r="F163" s="50">
        <v>5700</v>
      </c>
      <c r="G163" s="76">
        <v>-570</v>
      </c>
      <c r="H163" s="8">
        <f t="shared" si="32"/>
        <v>5130</v>
      </c>
      <c r="I163" s="50">
        <v>1</v>
      </c>
      <c r="J163" s="8">
        <f t="shared" si="45"/>
        <v>5130</v>
      </c>
      <c r="K163" s="9">
        <f t="shared" si="35"/>
        <v>5643</v>
      </c>
      <c r="L163" s="18" t="s">
        <v>134</v>
      </c>
      <c r="M163" s="50"/>
      <c r="O163" s="31"/>
      <c r="P163" s="33">
        <v>4725</v>
      </c>
      <c r="Q163" s="10">
        <f t="shared" si="39"/>
        <v>1</v>
      </c>
      <c r="R163" s="8">
        <f t="shared" si="34"/>
        <v>4725</v>
      </c>
      <c r="S163" s="8">
        <f t="shared" si="37"/>
        <v>405</v>
      </c>
    </row>
    <row r="164" spans="1:19" ht="24" hidden="1" customHeight="1" x14ac:dyDescent="0.4">
      <c r="A164" s="62">
        <v>44772</v>
      </c>
      <c r="B164" s="32" t="s">
        <v>197</v>
      </c>
      <c r="C164" s="11" t="s">
        <v>22</v>
      </c>
      <c r="D164" s="50" t="s">
        <v>23</v>
      </c>
      <c r="E164" s="50" t="s">
        <v>96</v>
      </c>
      <c r="F164" s="50">
        <v>15000</v>
      </c>
      <c r="G164" s="76">
        <v>0</v>
      </c>
      <c r="H164" s="8">
        <f t="shared" si="32"/>
        <v>15000</v>
      </c>
      <c r="I164" s="50">
        <v>1</v>
      </c>
      <c r="J164" s="8">
        <f t="shared" si="45"/>
        <v>15000</v>
      </c>
      <c r="K164" s="9">
        <f t="shared" si="35"/>
        <v>16500</v>
      </c>
      <c r="L164" s="18" t="s">
        <v>134</v>
      </c>
      <c r="M164" s="50"/>
      <c r="O164" s="31"/>
      <c r="P164" s="10">
        <f t="shared" ref="P164:P165" si="49">ROUNDDOWN(SUM(F164*O164),0)</f>
        <v>0</v>
      </c>
      <c r="Q164" s="10">
        <f t="shared" si="39"/>
        <v>1</v>
      </c>
      <c r="R164" s="8">
        <f t="shared" si="34"/>
        <v>0</v>
      </c>
      <c r="S164" s="8">
        <f t="shared" si="37"/>
        <v>15000</v>
      </c>
    </row>
    <row r="165" spans="1:19" ht="24" hidden="1" customHeight="1" x14ac:dyDescent="0.4">
      <c r="A165" s="62">
        <v>44772</v>
      </c>
      <c r="B165" s="32" t="s">
        <v>197</v>
      </c>
      <c r="C165" s="34" t="s">
        <v>198</v>
      </c>
      <c r="D165" s="50" t="s">
        <v>23</v>
      </c>
      <c r="E165" s="50" t="s">
        <v>199</v>
      </c>
      <c r="F165" s="50"/>
      <c r="G165" s="76"/>
      <c r="H165" s="8"/>
      <c r="I165" s="50">
        <v>1</v>
      </c>
      <c r="J165" s="8">
        <v>-15000</v>
      </c>
      <c r="K165" s="9">
        <f t="shared" si="35"/>
        <v>-16500</v>
      </c>
      <c r="L165" s="18" t="s">
        <v>134</v>
      </c>
      <c r="M165" s="50"/>
      <c r="O165" s="31"/>
      <c r="P165" s="10">
        <f t="shared" si="49"/>
        <v>0</v>
      </c>
      <c r="Q165" s="10">
        <f t="shared" si="39"/>
        <v>1</v>
      </c>
      <c r="R165" s="8">
        <f t="shared" si="34"/>
        <v>0</v>
      </c>
      <c r="S165" s="8">
        <f t="shared" si="37"/>
        <v>-15000</v>
      </c>
    </row>
    <row r="166" spans="1:19" ht="24" hidden="1" customHeight="1" x14ac:dyDescent="0.4">
      <c r="A166" s="62">
        <v>44772</v>
      </c>
      <c r="B166" s="32" t="s">
        <v>197</v>
      </c>
      <c r="C166" s="6" t="s">
        <v>17</v>
      </c>
      <c r="D166" s="50" t="s">
        <v>97</v>
      </c>
      <c r="E166" s="50" t="s">
        <v>200</v>
      </c>
      <c r="F166" s="50">
        <v>3000</v>
      </c>
      <c r="G166" s="76">
        <v>0</v>
      </c>
      <c r="H166" s="8">
        <f t="shared" si="32"/>
        <v>3000</v>
      </c>
      <c r="I166" s="50">
        <v>1</v>
      </c>
      <c r="J166" s="8">
        <f t="shared" si="45"/>
        <v>3000</v>
      </c>
      <c r="K166" s="9">
        <f t="shared" si="35"/>
        <v>3300</v>
      </c>
      <c r="L166" s="18" t="s">
        <v>134</v>
      </c>
      <c r="M166" s="50"/>
      <c r="O166" s="31"/>
      <c r="P166" s="33">
        <v>2800</v>
      </c>
      <c r="Q166" s="10">
        <f t="shared" si="39"/>
        <v>1</v>
      </c>
      <c r="R166" s="33"/>
      <c r="S166" s="33"/>
    </row>
    <row r="167" spans="1:19" ht="24" hidden="1" customHeight="1" x14ac:dyDescent="0.4">
      <c r="A167" s="62">
        <v>44772</v>
      </c>
      <c r="B167" s="32" t="s">
        <v>197</v>
      </c>
      <c r="C167" s="6" t="s">
        <v>17</v>
      </c>
      <c r="D167" s="50" t="s">
        <v>32</v>
      </c>
      <c r="E167" s="50" t="s">
        <v>176</v>
      </c>
      <c r="F167" s="50">
        <v>60000</v>
      </c>
      <c r="G167" s="76">
        <v>-9000</v>
      </c>
      <c r="H167" s="8">
        <f t="shared" si="32"/>
        <v>51000</v>
      </c>
      <c r="I167" s="50">
        <v>1</v>
      </c>
      <c r="J167" s="8">
        <f t="shared" si="45"/>
        <v>51000</v>
      </c>
      <c r="K167" s="9">
        <f t="shared" si="35"/>
        <v>56100</v>
      </c>
      <c r="L167" s="18" t="s">
        <v>134</v>
      </c>
      <c r="M167" s="50"/>
      <c r="O167" s="7">
        <v>0.65</v>
      </c>
      <c r="P167" s="10">
        <f t="shared" ref="P167" si="50">ROUNDDOWN(SUM(F167*O167),0)</f>
        <v>39000</v>
      </c>
      <c r="Q167" s="10">
        <f t="shared" si="39"/>
        <v>1</v>
      </c>
      <c r="R167" s="8">
        <f t="shared" ref="R167:R172" si="51">SUM(P167*Q167)</f>
        <v>39000</v>
      </c>
      <c r="S167" s="8">
        <f t="shared" ref="S167:S174" si="52">SUM(J167-R167)</f>
        <v>12000</v>
      </c>
    </row>
    <row r="168" spans="1:19" ht="24" hidden="1" customHeight="1" x14ac:dyDescent="0.4">
      <c r="A168" s="62">
        <v>44772</v>
      </c>
      <c r="B168" s="32" t="s">
        <v>197</v>
      </c>
      <c r="C168" s="6" t="s">
        <v>17</v>
      </c>
      <c r="D168" s="50" t="s">
        <v>45</v>
      </c>
      <c r="E168" s="50" t="s">
        <v>201</v>
      </c>
      <c r="F168" s="50">
        <v>980</v>
      </c>
      <c r="G168" s="76">
        <v>0</v>
      </c>
      <c r="H168" s="8">
        <f t="shared" si="32"/>
        <v>980</v>
      </c>
      <c r="I168" s="50">
        <v>1</v>
      </c>
      <c r="J168" s="8">
        <f t="shared" si="45"/>
        <v>980</v>
      </c>
      <c r="K168" s="9">
        <f t="shared" si="35"/>
        <v>1078</v>
      </c>
      <c r="L168" s="18" t="s">
        <v>134</v>
      </c>
      <c r="M168" s="50"/>
      <c r="O168" s="31"/>
      <c r="P168" s="33">
        <v>632</v>
      </c>
      <c r="Q168" s="10">
        <f t="shared" si="39"/>
        <v>1</v>
      </c>
      <c r="R168" s="8">
        <f t="shared" si="51"/>
        <v>632</v>
      </c>
      <c r="S168" s="8">
        <f t="shared" si="52"/>
        <v>348</v>
      </c>
    </row>
    <row r="169" spans="1:19" ht="24" hidden="1" customHeight="1" x14ac:dyDescent="0.4">
      <c r="A169" s="62">
        <v>44772</v>
      </c>
      <c r="B169" s="32" t="s">
        <v>202</v>
      </c>
      <c r="C169" s="6" t="s">
        <v>17</v>
      </c>
      <c r="D169" s="50" t="s">
        <v>45</v>
      </c>
      <c r="E169" s="50" t="s">
        <v>85</v>
      </c>
      <c r="F169" s="50">
        <v>980</v>
      </c>
      <c r="G169" s="76">
        <v>-98</v>
      </c>
      <c r="H169" s="8">
        <f t="shared" si="32"/>
        <v>882</v>
      </c>
      <c r="I169" s="50">
        <v>1</v>
      </c>
      <c r="J169" s="8">
        <f t="shared" si="45"/>
        <v>882</v>
      </c>
      <c r="K169" s="9">
        <f t="shared" si="35"/>
        <v>970</v>
      </c>
      <c r="L169" s="18" t="s">
        <v>134</v>
      </c>
      <c r="M169" s="50"/>
      <c r="O169" s="31"/>
      <c r="P169" s="33">
        <v>632</v>
      </c>
      <c r="Q169" s="10">
        <f t="shared" si="39"/>
        <v>1</v>
      </c>
      <c r="R169" s="8">
        <f t="shared" si="51"/>
        <v>632</v>
      </c>
      <c r="S169" s="8">
        <f t="shared" si="52"/>
        <v>250</v>
      </c>
    </row>
    <row r="170" spans="1:19" ht="24" hidden="1" customHeight="1" x14ac:dyDescent="0.4">
      <c r="A170" s="62">
        <v>44772</v>
      </c>
      <c r="B170" s="32" t="s">
        <v>203</v>
      </c>
      <c r="C170" s="11" t="s">
        <v>22</v>
      </c>
      <c r="D170" s="50" t="s">
        <v>48</v>
      </c>
      <c r="E170" s="50" t="s">
        <v>49</v>
      </c>
      <c r="F170" s="50">
        <v>3000</v>
      </c>
      <c r="G170" s="76">
        <v>0</v>
      </c>
      <c r="H170" s="8">
        <f t="shared" si="32"/>
        <v>3000</v>
      </c>
      <c r="I170" s="50">
        <v>2</v>
      </c>
      <c r="J170" s="8">
        <f t="shared" si="45"/>
        <v>6000</v>
      </c>
      <c r="K170" s="9">
        <f t="shared" si="35"/>
        <v>6600</v>
      </c>
      <c r="L170" s="18" t="s">
        <v>25</v>
      </c>
      <c r="M170" s="50" t="s">
        <v>204</v>
      </c>
      <c r="O170" s="31"/>
      <c r="P170" s="10">
        <f t="shared" ref="P170:P172" si="53">ROUNDDOWN(SUM(F170*O170),0)</f>
        <v>0</v>
      </c>
      <c r="Q170" s="10">
        <f t="shared" si="39"/>
        <v>2</v>
      </c>
      <c r="R170" s="8">
        <f t="shared" si="51"/>
        <v>0</v>
      </c>
      <c r="S170" s="8">
        <f t="shared" si="52"/>
        <v>6000</v>
      </c>
    </row>
    <row r="171" spans="1:19" ht="24" hidden="1" customHeight="1" x14ac:dyDescent="0.4">
      <c r="A171" s="62">
        <v>44773</v>
      </c>
      <c r="B171" s="32" t="s">
        <v>153</v>
      </c>
      <c r="C171" s="11" t="s">
        <v>22</v>
      </c>
      <c r="D171" s="50" t="s">
        <v>23</v>
      </c>
      <c r="E171" s="50" t="s">
        <v>96</v>
      </c>
      <c r="F171" s="50">
        <v>15000</v>
      </c>
      <c r="G171" s="76">
        <v>0</v>
      </c>
      <c r="H171" s="8">
        <f t="shared" si="32"/>
        <v>15000</v>
      </c>
      <c r="I171" s="50">
        <v>1</v>
      </c>
      <c r="J171" s="8">
        <f t="shared" si="45"/>
        <v>15000</v>
      </c>
      <c r="K171" s="9">
        <f t="shared" si="35"/>
        <v>16500</v>
      </c>
      <c r="L171" s="18" t="s">
        <v>134</v>
      </c>
      <c r="M171" s="50"/>
      <c r="O171" s="31"/>
      <c r="P171" s="10">
        <f t="shared" si="53"/>
        <v>0</v>
      </c>
      <c r="Q171" s="10">
        <f t="shared" si="39"/>
        <v>1</v>
      </c>
      <c r="R171" s="8">
        <f t="shared" si="51"/>
        <v>0</v>
      </c>
      <c r="S171" s="8">
        <f t="shared" si="52"/>
        <v>15000</v>
      </c>
    </row>
    <row r="172" spans="1:19" ht="24" hidden="1" customHeight="1" x14ac:dyDescent="0.4">
      <c r="A172" s="62">
        <v>44773</v>
      </c>
      <c r="B172" s="32" t="s">
        <v>153</v>
      </c>
      <c r="C172" s="34" t="s">
        <v>198</v>
      </c>
      <c r="D172" s="50" t="s">
        <v>23</v>
      </c>
      <c r="E172" s="50" t="s">
        <v>199</v>
      </c>
      <c r="F172" s="50"/>
      <c r="G172" s="76"/>
      <c r="H172" s="8">
        <v>-15000</v>
      </c>
      <c r="I172" s="50">
        <v>1</v>
      </c>
      <c r="J172" s="8">
        <f t="shared" si="45"/>
        <v>-15000</v>
      </c>
      <c r="K172" s="9">
        <f t="shared" si="35"/>
        <v>-16500</v>
      </c>
      <c r="L172" s="18" t="s">
        <v>34</v>
      </c>
      <c r="M172" s="50"/>
      <c r="O172" s="31"/>
      <c r="P172" s="10">
        <f t="shared" si="53"/>
        <v>0</v>
      </c>
      <c r="Q172" s="10">
        <f t="shared" si="39"/>
        <v>1</v>
      </c>
      <c r="R172" s="8">
        <f t="shared" si="51"/>
        <v>0</v>
      </c>
      <c r="S172" s="8">
        <f t="shared" si="52"/>
        <v>-15000</v>
      </c>
    </row>
    <row r="173" spans="1:19" ht="24" hidden="1" customHeight="1" x14ac:dyDescent="0.4">
      <c r="A173" s="62">
        <v>44773</v>
      </c>
      <c r="B173" s="32" t="s">
        <v>153</v>
      </c>
      <c r="C173" s="6" t="s">
        <v>17</v>
      </c>
      <c r="D173" s="50" t="s">
        <v>45</v>
      </c>
      <c r="E173" s="50" t="s">
        <v>85</v>
      </c>
      <c r="F173" s="50">
        <v>980</v>
      </c>
      <c r="G173" s="76">
        <v>0</v>
      </c>
      <c r="H173" s="8">
        <f t="shared" si="32"/>
        <v>980</v>
      </c>
      <c r="I173" s="50">
        <v>1</v>
      </c>
      <c r="J173" s="8">
        <f t="shared" si="45"/>
        <v>980</v>
      </c>
      <c r="K173" s="9">
        <f t="shared" si="35"/>
        <v>1078</v>
      </c>
      <c r="L173" s="18" t="s">
        <v>34</v>
      </c>
      <c r="M173" s="50"/>
      <c r="O173" s="31"/>
      <c r="P173" s="33">
        <v>632</v>
      </c>
      <c r="Q173" s="10">
        <f t="shared" si="39"/>
        <v>1</v>
      </c>
      <c r="R173" s="8">
        <f t="shared" ref="R173:R174" si="54">SUM(P173*Q173)</f>
        <v>632</v>
      </c>
      <c r="S173" s="8">
        <f t="shared" si="52"/>
        <v>348</v>
      </c>
    </row>
    <row r="174" spans="1:19" ht="24" hidden="1" customHeight="1" thickBot="1" x14ac:dyDescent="0.45">
      <c r="A174" s="148">
        <v>44773</v>
      </c>
      <c r="B174" s="42" t="s">
        <v>153</v>
      </c>
      <c r="C174" s="43" t="s">
        <v>17</v>
      </c>
      <c r="D174" s="55" t="s">
        <v>32</v>
      </c>
      <c r="E174" s="55" t="s">
        <v>176</v>
      </c>
      <c r="F174" s="55">
        <v>63000</v>
      </c>
      <c r="G174" s="78">
        <v>-9450</v>
      </c>
      <c r="H174" s="45">
        <f t="shared" si="32"/>
        <v>53550</v>
      </c>
      <c r="I174" s="55">
        <v>1</v>
      </c>
      <c r="J174" s="45">
        <f t="shared" si="45"/>
        <v>53550</v>
      </c>
      <c r="K174" s="46">
        <f t="shared" si="35"/>
        <v>58905</v>
      </c>
      <c r="L174" s="66" t="s">
        <v>34</v>
      </c>
      <c r="M174" s="55"/>
      <c r="N174" s="47"/>
      <c r="O174" s="44">
        <v>0.65</v>
      </c>
      <c r="P174" s="48">
        <f t="shared" ref="P174" si="55">ROUNDDOWN(SUM(F174*O174),0)</f>
        <v>40950</v>
      </c>
      <c r="Q174" s="48">
        <f t="shared" si="39"/>
        <v>1</v>
      </c>
      <c r="R174" s="45">
        <f t="shared" si="54"/>
        <v>40950</v>
      </c>
      <c r="S174" s="45">
        <f t="shared" si="52"/>
        <v>12600</v>
      </c>
    </row>
    <row r="175" spans="1:19" ht="24" hidden="1" customHeight="1" thickTop="1" x14ac:dyDescent="0.4">
      <c r="A175" s="59">
        <v>44774</v>
      </c>
      <c r="B175" s="82" t="s">
        <v>223</v>
      </c>
      <c r="C175" s="6" t="s">
        <v>17</v>
      </c>
      <c r="D175" s="61" t="s">
        <v>18</v>
      </c>
      <c r="E175" s="56" t="s">
        <v>38</v>
      </c>
      <c r="F175" s="68">
        <v>2150</v>
      </c>
      <c r="G175" s="79">
        <v>-215</v>
      </c>
      <c r="H175" s="69">
        <f t="shared" si="32"/>
        <v>1935</v>
      </c>
      <c r="I175" s="68">
        <v>1</v>
      </c>
      <c r="J175" s="69">
        <f t="shared" si="45"/>
        <v>1935</v>
      </c>
      <c r="K175" s="70">
        <f t="shared" si="35"/>
        <v>2128</v>
      </c>
      <c r="L175" s="60" t="s">
        <v>25</v>
      </c>
      <c r="M175" s="56"/>
      <c r="O175" s="41"/>
      <c r="P175" s="40"/>
      <c r="Q175" s="40"/>
      <c r="R175" s="40"/>
      <c r="S175" s="40"/>
    </row>
    <row r="176" spans="1:19" ht="24" hidden="1" customHeight="1" x14ac:dyDescent="0.4">
      <c r="A176" s="62">
        <v>44774</v>
      </c>
      <c r="B176" s="32" t="s">
        <v>187</v>
      </c>
      <c r="C176" s="6" t="s">
        <v>17</v>
      </c>
      <c r="D176" s="63" t="s">
        <v>45</v>
      </c>
      <c r="E176" s="50" t="s">
        <v>85</v>
      </c>
      <c r="F176" s="71">
        <v>980</v>
      </c>
      <c r="G176" s="76">
        <v>-98</v>
      </c>
      <c r="H176" s="69">
        <f t="shared" si="32"/>
        <v>882</v>
      </c>
      <c r="I176" s="71">
        <v>2</v>
      </c>
      <c r="J176" s="69">
        <f t="shared" si="45"/>
        <v>1764</v>
      </c>
      <c r="K176" s="70">
        <f t="shared" si="35"/>
        <v>1940</v>
      </c>
      <c r="L176" s="18" t="s">
        <v>34</v>
      </c>
      <c r="M176" s="50"/>
      <c r="O176" s="31"/>
      <c r="P176" s="33"/>
      <c r="Q176" s="33"/>
      <c r="R176" s="33"/>
      <c r="S176" s="33"/>
    </row>
    <row r="177" spans="1:13" ht="24" hidden="1" customHeight="1" x14ac:dyDescent="0.4">
      <c r="A177" s="62">
        <v>44774</v>
      </c>
      <c r="B177" s="32" t="s">
        <v>187</v>
      </c>
      <c r="C177" s="6" t="s">
        <v>17</v>
      </c>
      <c r="D177" s="63" t="s">
        <v>32</v>
      </c>
      <c r="E177" s="50" t="s">
        <v>33</v>
      </c>
      <c r="F177" s="71">
        <v>12000</v>
      </c>
      <c r="G177" s="76">
        <v>-2400</v>
      </c>
      <c r="H177" s="69">
        <f t="shared" si="32"/>
        <v>9600</v>
      </c>
      <c r="I177" s="71">
        <v>2</v>
      </c>
      <c r="J177" s="69">
        <f t="shared" si="45"/>
        <v>19200</v>
      </c>
      <c r="K177" s="70">
        <f t="shared" si="35"/>
        <v>21120</v>
      </c>
      <c r="L177" s="18" t="s">
        <v>34</v>
      </c>
      <c r="M177" s="50"/>
    </row>
    <row r="178" spans="1:13" ht="24" hidden="1" customHeight="1" x14ac:dyDescent="0.4">
      <c r="A178" s="62">
        <v>44774</v>
      </c>
      <c r="B178" s="32" t="s">
        <v>187</v>
      </c>
      <c r="C178" s="6" t="s">
        <v>17</v>
      </c>
      <c r="D178" s="63" t="s">
        <v>209</v>
      </c>
      <c r="E178" s="50" t="s">
        <v>209</v>
      </c>
      <c r="F178" s="71">
        <v>2000</v>
      </c>
      <c r="G178" s="76">
        <v>-400</v>
      </c>
      <c r="H178" s="69">
        <f t="shared" si="32"/>
        <v>1600</v>
      </c>
      <c r="I178" s="71">
        <v>2</v>
      </c>
      <c r="J178" s="69">
        <f t="shared" si="45"/>
        <v>3200</v>
      </c>
      <c r="K178" s="70">
        <f t="shared" si="35"/>
        <v>3520</v>
      </c>
      <c r="L178" s="18" t="s">
        <v>34</v>
      </c>
      <c r="M178" s="50"/>
    </row>
    <row r="179" spans="1:13" ht="24" hidden="1" customHeight="1" x14ac:dyDescent="0.4">
      <c r="A179" s="62">
        <v>44774</v>
      </c>
      <c r="B179" s="32" t="s">
        <v>187</v>
      </c>
      <c r="C179" s="6" t="s">
        <v>17</v>
      </c>
      <c r="D179" s="63" t="s">
        <v>18</v>
      </c>
      <c r="E179" s="50" t="s">
        <v>19</v>
      </c>
      <c r="F179" s="71">
        <v>1700</v>
      </c>
      <c r="G179" s="76">
        <v>-170</v>
      </c>
      <c r="H179" s="69">
        <f t="shared" si="32"/>
        <v>1530</v>
      </c>
      <c r="I179" s="71">
        <v>1</v>
      </c>
      <c r="J179" s="69">
        <f t="shared" si="45"/>
        <v>1530</v>
      </c>
      <c r="K179" s="70">
        <f t="shared" si="35"/>
        <v>1683</v>
      </c>
      <c r="L179" s="18" t="s">
        <v>34</v>
      </c>
      <c r="M179" s="50"/>
    </row>
    <row r="180" spans="1:13" ht="24" hidden="1" customHeight="1" x14ac:dyDescent="0.4">
      <c r="A180" s="62">
        <v>44778</v>
      </c>
      <c r="B180" s="32" t="s">
        <v>228</v>
      </c>
      <c r="C180" s="11" t="s">
        <v>22</v>
      </c>
      <c r="D180" s="63" t="s">
        <v>23</v>
      </c>
      <c r="E180" s="50" t="s">
        <v>96</v>
      </c>
      <c r="F180" s="71">
        <v>15000</v>
      </c>
      <c r="G180" s="76"/>
      <c r="H180" s="69">
        <f t="shared" si="32"/>
        <v>15000</v>
      </c>
      <c r="I180" s="71">
        <v>1</v>
      </c>
      <c r="J180" s="69">
        <f t="shared" si="45"/>
        <v>15000</v>
      </c>
      <c r="K180" s="70">
        <f t="shared" si="35"/>
        <v>16500</v>
      </c>
      <c r="L180" s="18" t="s">
        <v>25</v>
      </c>
      <c r="M180" s="50"/>
    </row>
    <row r="181" spans="1:13" ht="24" hidden="1" customHeight="1" x14ac:dyDescent="0.4">
      <c r="A181" s="62">
        <v>44779</v>
      </c>
      <c r="B181" s="32" t="s">
        <v>229</v>
      </c>
      <c r="C181" s="11" t="s">
        <v>22</v>
      </c>
      <c r="D181" s="63" t="s">
        <v>23</v>
      </c>
      <c r="E181" s="50" t="s">
        <v>96</v>
      </c>
      <c r="F181" s="71">
        <v>15000</v>
      </c>
      <c r="G181" s="76"/>
      <c r="H181" s="69">
        <f t="shared" si="32"/>
        <v>15000</v>
      </c>
      <c r="I181" s="71">
        <v>1</v>
      </c>
      <c r="J181" s="69">
        <f t="shared" si="45"/>
        <v>15000</v>
      </c>
      <c r="K181" s="70">
        <f t="shared" si="35"/>
        <v>16500</v>
      </c>
      <c r="L181" s="18" t="s">
        <v>134</v>
      </c>
      <c r="M181" s="50"/>
    </row>
    <row r="182" spans="1:13" ht="24" hidden="1" customHeight="1" x14ac:dyDescent="0.4">
      <c r="A182" s="62">
        <v>44779</v>
      </c>
      <c r="B182" s="32" t="s">
        <v>224</v>
      </c>
      <c r="C182" s="6" t="s">
        <v>17</v>
      </c>
      <c r="D182" s="63" t="s">
        <v>55</v>
      </c>
      <c r="E182" s="50" t="s">
        <v>146</v>
      </c>
      <c r="F182" s="71">
        <v>5700</v>
      </c>
      <c r="G182" s="76">
        <v>-570</v>
      </c>
      <c r="H182" s="69">
        <f t="shared" si="32"/>
        <v>5130</v>
      </c>
      <c r="I182" s="71">
        <v>1</v>
      </c>
      <c r="J182" s="69">
        <f t="shared" si="45"/>
        <v>5130</v>
      </c>
      <c r="K182" s="70">
        <f t="shared" si="35"/>
        <v>5643</v>
      </c>
      <c r="L182" s="18" t="s">
        <v>25</v>
      </c>
      <c r="M182" s="50"/>
    </row>
    <row r="183" spans="1:13" ht="24" hidden="1" customHeight="1" x14ac:dyDescent="0.4">
      <c r="A183" s="62">
        <v>44779</v>
      </c>
      <c r="B183" s="32" t="s">
        <v>203</v>
      </c>
      <c r="C183" s="6" t="s">
        <v>27</v>
      </c>
      <c r="D183" s="63" t="s">
        <v>28</v>
      </c>
      <c r="E183" s="50" t="s">
        <v>29</v>
      </c>
      <c r="F183" s="71">
        <v>13120</v>
      </c>
      <c r="G183" s="76"/>
      <c r="H183" s="69">
        <f t="shared" si="32"/>
        <v>13120</v>
      </c>
      <c r="I183" s="71">
        <v>1</v>
      </c>
      <c r="J183" s="69">
        <f t="shared" si="45"/>
        <v>13120</v>
      </c>
      <c r="K183" s="70">
        <f t="shared" si="35"/>
        <v>14432</v>
      </c>
      <c r="L183" s="18" t="s">
        <v>25</v>
      </c>
      <c r="M183" s="50"/>
    </row>
    <row r="184" spans="1:13" ht="24" hidden="1" customHeight="1" x14ac:dyDescent="0.4">
      <c r="A184" s="62">
        <v>44779</v>
      </c>
      <c r="B184" s="32" t="s">
        <v>230</v>
      </c>
      <c r="C184" s="6" t="s">
        <v>27</v>
      </c>
      <c r="D184" s="63" t="s">
        <v>28</v>
      </c>
      <c r="E184" s="50" t="s">
        <v>222</v>
      </c>
      <c r="F184" s="71">
        <v>13120</v>
      </c>
      <c r="G184" s="76">
        <v>-3936</v>
      </c>
      <c r="H184" s="69">
        <f t="shared" si="32"/>
        <v>9184</v>
      </c>
      <c r="I184" s="71">
        <v>1</v>
      </c>
      <c r="J184" s="69">
        <f t="shared" ref="J184" si="56">SUM(H184*I184)</f>
        <v>9184</v>
      </c>
      <c r="K184" s="70">
        <f t="shared" ref="K184" si="57">ROUNDDOWN(J184*1.1,0)</f>
        <v>10102</v>
      </c>
      <c r="L184" s="18" t="s">
        <v>25</v>
      </c>
      <c r="M184" s="50"/>
    </row>
    <row r="185" spans="1:13" ht="24" hidden="1" customHeight="1" x14ac:dyDescent="0.4">
      <c r="A185" s="62">
        <v>44779</v>
      </c>
      <c r="B185" s="32" t="s">
        <v>203</v>
      </c>
      <c r="C185" s="6" t="s">
        <v>27</v>
      </c>
      <c r="D185" s="63" t="s">
        <v>28</v>
      </c>
      <c r="E185" s="50" t="s">
        <v>30</v>
      </c>
      <c r="F185" s="71">
        <v>15000</v>
      </c>
      <c r="G185" s="76"/>
      <c r="H185" s="69">
        <f t="shared" si="32"/>
        <v>15000</v>
      </c>
      <c r="I185" s="71">
        <v>1</v>
      </c>
      <c r="J185" s="69">
        <f t="shared" si="45"/>
        <v>15000</v>
      </c>
      <c r="K185" s="70">
        <f t="shared" si="35"/>
        <v>16500</v>
      </c>
      <c r="L185" s="18" t="s">
        <v>25</v>
      </c>
      <c r="M185" s="50"/>
    </row>
    <row r="186" spans="1:13" ht="24" hidden="1" customHeight="1" x14ac:dyDescent="0.4">
      <c r="A186" s="62">
        <v>44779</v>
      </c>
      <c r="B186" s="32" t="s">
        <v>230</v>
      </c>
      <c r="C186" s="6" t="s">
        <v>27</v>
      </c>
      <c r="D186" s="63" t="s">
        <v>28</v>
      </c>
      <c r="E186" s="50" t="s">
        <v>83</v>
      </c>
      <c r="F186" s="71">
        <v>10000</v>
      </c>
      <c r="G186" s="76"/>
      <c r="H186" s="69">
        <f t="shared" si="32"/>
        <v>10000</v>
      </c>
      <c r="I186" s="71">
        <v>1</v>
      </c>
      <c r="J186" s="69">
        <f t="shared" si="45"/>
        <v>10000</v>
      </c>
      <c r="K186" s="70">
        <f t="shared" si="35"/>
        <v>11000</v>
      </c>
      <c r="L186" s="18" t="s">
        <v>25</v>
      </c>
      <c r="M186" s="50"/>
    </row>
    <row r="187" spans="1:13" ht="24" hidden="1" customHeight="1" x14ac:dyDescent="0.4">
      <c r="A187" s="62">
        <v>44780</v>
      </c>
      <c r="B187" s="32" t="s">
        <v>190</v>
      </c>
      <c r="C187" s="6" t="s">
        <v>27</v>
      </c>
      <c r="D187" s="63" t="s">
        <v>28</v>
      </c>
      <c r="E187" s="50" t="s">
        <v>30</v>
      </c>
      <c r="F187" s="71">
        <v>15000</v>
      </c>
      <c r="G187" s="76"/>
      <c r="H187" s="69">
        <f t="shared" si="32"/>
        <v>15000</v>
      </c>
      <c r="I187" s="71">
        <v>1</v>
      </c>
      <c r="J187" s="69">
        <f t="shared" si="45"/>
        <v>15000</v>
      </c>
      <c r="K187" s="70">
        <f t="shared" si="35"/>
        <v>16500</v>
      </c>
      <c r="L187" s="18" t="s">
        <v>25</v>
      </c>
      <c r="M187" s="50"/>
    </row>
    <row r="188" spans="1:13" ht="24" hidden="1" customHeight="1" x14ac:dyDescent="0.4">
      <c r="A188" s="62">
        <v>44780</v>
      </c>
      <c r="B188" s="32" t="s">
        <v>190</v>
      </c>
      <c r="C188" s="6" t="s">
        <v>27</v>
      </c>
      <c r="D188" s="63" t="s">
        <v>103</v>
      </c>
      <c r="E188" s="50" t="s">
        <v>210</v>
      </c>
      <c r="F188" s="71">
        <v>6375</v>
      </c>
      <c r="G188" s="76"/>
      <c r="H188" s="69">
        <f t="shared" si="32"/>
        <v>6375</v>
      </c>
      <c r="I188" s="71">
        <v>1</v>
      </c>
      <c r="J188" s="69">
        <f t="shared" si="45"/>
        <v>6375</v>
      </c>
      <c r="K188" s="70">
        <f t="shared" si="35"/>
        <v>7012</v>
      </c>
      <c r="L188" s="18" t="s">
        <v>25</v>
      </c>
      <c r="M188" s="50"/>
    </row>
    <row r="189" spans="1:13" ht="24" hidden="1" customHeight="1" x14ac:dyDescent="0.4">
      <c r="A189" s="62">
        <v>44780</v>
      </c>
      <c r="B189" s="32" t="s">
        <v>273</v>
      </c>
      <c r="C189" s="6" t="s">
        <v>17</v>
      </c>
      <c r="D189" s="63" t="s">
        <v>45</v>
      </c>
      <c r="E189" s="50" t="s">
        <v>274</v>
      </c>
      <c r="F189" s="71">
        <v>980</v>
      </c>
      <c r="G189" s="76">
        <v>-98</v>
      </c>
      <c r="H189" s="69">
        <f t="shared" si="32"/>
        <v>882</v>
      </c>
      <c r="I189" s="71">
        <v>13</v>
      </c>
      <c r="J189" s="69">
        <f t="shared" si="45"/>
        <v>11466</v>
      </c>
      <c r="K189" s="70">
        <f t="shared" si="35"/>
        <v>12612</v>
      </c>
      <c r="L189" s="18" t="s">
        <v>25</v>
      </c>
      <c r="M189" s="50"/>
    </row>
    <row r="190" spans="1:13" ht="24" hidden="1" customHeight="1" x14ac:dyDescent="0.4">
      <c r="A190" s="62">
        <v>44781</v>
      </c>
      <c r="B190" s="32" t="s">
        <v>231</v>
      </c>
      <c r="C190" s="6" t="s">
        <v>27</v>
      </c>
      <c r="D190" s="63" t="s">
        <v>28</v>
      </c>
      <c r="E190" s="50" t="s">
        <v>73</v>
      </c>
      <c r="F190" s="71">
        <v>2000</v>
      </c>
      <c r="G190" s="76"/>
      <c r="H190" s="69">
        <f t="shared" si="32"/>
        <v>2000</v>
      </c>
      <c r="I190" s="71">
        <v>2</v>
      </c>
      <c r="J190" s="69">
        <f t="shared" si="45"/>
        <v>4000</v>
      </c>
      <c r="K190" s="70">
        <f t="shared" si="35"/>
        <v>4400</v>
      </c>
      <c r="L190" s="18" t="s">
        <v>25</v>
      </c>
      <c r="M190" s="50" t="s">
        <v>234</v>
      </c>
    </row>
    <row r="191" spans="1:13" ht="24" hidden="1" customHeight="1" x14ac:dyDescent="0.4">
      <c r="A191" s="62">
        <v>44781</v>
      </c>
      <c r="B191" s="32" t="s">
        <v>225</v>
      </c>
      <c r="C191" s="6" t="s">
        <v>17</v>
      </c>
      <c r="D191" s="63" t="s">
        <v>211</v>
      </c>
      <c r="E191" s="50" t="s">
        <v>212</v>
      </c>
      <c r="F191" s="71">
        <v>1500</v>
      </c>
      <c r="G191" s="76">
        <v>-150</v>
      </c>
      <c r="H191" s="69">
        <f t="shared" si="32"/>
        <v>1350</v>
      </c>
      <c r="I191" s="71">
        <v>1</v>
      </c>
      <c r="J191" s="69">
        <f t="shared" si="45"/>
        <v>1350</v>
      </c>
      <c r="K191" s="70">
        <f t="shared" si="35"/>
        <v>1485</v>
      </c>
      <c r="L191" s="18" t="s">
        <v>25</v>
      </c>
      <c r="M191" s="50"/>
    </row>
    <row r="192" spans="1:13" ht="24" hidden="1" customHeight="1" x14ac:dyDescent="0.4">
      <c r="A192" s="62">
        <v>44781</v>
      </c>
      <c r="B192" s="32" t="s">
        <v>139</v>
      </c>
      <c r="C192" s="6" t="s">
        <v>17</v>
      </c>
      <c r="D192" s="63" t="s">
        <v>45</v>
      </c>
      <c r="E192" s="50" t="s">
        <v>71</v>
      </c>
      <c r="F192" s="71">
        <v>2300</v>
      </c>
      <c r="G192" s="76">
        <v>-230</v>
      </c>
      <c r="H192" s="69">
        <f t="shared" si="32"/>
        <v>2070</v>
      </c>
      <c r="I192" s="71">
        <v>1</v>
      </c>
      <c r="J192" s="69">
        <f t="shared" si="45"/>
        <v>2070</v>
      </c>
      <c r="K192" s="70">
        <f t="shared" si="35"/>
        <v>2277</v>
      </c>
      <c r="L192" s="18" t="s">
        <v>25</v>
      </c>
      <c r="M192" s="50"/>
    </row>
    <row r="193" spans="1:13" ht="24" hidden="1" customHeight="1" x14ac:dyDescent="0.4">
      <c r="A193" s="62">
        <v>44783</v>
      </c>
      <c r="B193" s="32" t="s">
        <v>232</v>
      </c>
      <c r="C193" s="6" t="s">
        <v>27</v>
      </c>
      <c r="D193" s="63" t="s">
        <v>28</v>
      </c>
      <c r="E193" s="50" t="s">
        <v>73</v>
      </c>
      <c r="F193" s="71">
        <v>2000</v>
      </c>
      <c r="G193" s="76"/>
      <c r="H193" s="69">
        <f t="shared" ref="H193:H231" si="58">SUM(F193:G193)</f>
        <v>2000</v>
      </c>
      <c r="I193" s="71">
        <v>1</v>
      </c>
      <c r="J193" s="69">
        <f t="shared" si="45"/>
        <v>2000</v>
      </c>
      <c r="K193" s="70">
        <f t="shared" si="35"/>
        <v>2200</v>
      </c>
      <c r="L193" s="18" t="s">
        <v>134</v>
      </c>
      <c r="M193" s="50"/>
    </row>
    <row r="194" spans="1:13" ht="24" hidden="1" customHeight="1" x14ac:dyDescent="0.4">
      <c r="A194" s="62">
        <v>44783</v>
      </c>
      <c r="B194" s="32" t="s">
        <v>270</v>
      </c>
      <c r="C194" s="6" t="s">
        <v>17</v>
      </c>
      <c r="D194" s="63" t="s">
        <v>32</v>
      </c>
      <c r="E194" s="50" t="s">
        <v>33</v>
      </c>
      <c r="F194" s="71">
        <v>45000</v>
      </c>
      <c r="G194" s="76">
        <v>-9000</v>
      </c>
      <c r="H194" s="69">
        <f t="shared" si="58"/>
        <v>36000</v>
      </c>
      <c r="I194" s="71">
        <v>1</v>
      </c>
      <c r="J194" s="69">
        <f t="shared" si="45"/>
        <v>36000</v>
      </c>
      <c r="K194" s="70">
        <f t="shared" si="35"/>
        <v>39600</v>
      </c>
      <c r="L194" s="18" t="s">
        <v>34</v>
      </c>
      <c r="M194" s="50"/>
    </row>
    <row r="195" spans="1:13" ht="24" hidden="1" customHeight="1" x14ac:dyDescent="0.4">
      <c r="A195" s="62">
        <v>44783</v>
      </c>
      <c r="B195" s="32" t="s">
        <v>270</v>
      </c>
      <c r="C195" s="6" t="s">
        <v>17</v>
      </c>
      <c r="D195" s="63" t="s">
        <v>32</v>
      </c>
      <c r="E195" s="50" t="s">
        <v>33</v>
      </c>
      <c r="F195" s="71">
        <v>28000</v>
      </c>
      <c r="G195" s="76">
        <v>-5600</v>
      </c>
      <c r="H195" s="69">
        <f t="shared" si="58"/>
        <v>22400</v>
      </c>
      <c r="I195" s="71">
        <v>3</v>
      </c>
      <c r="J195" s="69">
        <f t="shared" si="45"/>
        <v>67200</v>
      </c>
      <c r="K195" s="70">
        <f t="shared" si="35"/>
        <v>73920</v>
      </c>
      <c r="L195" s="18" t="s">
        <v>34</v>
      </c>
      <c r="M195" s="50"/>
    </row>
    <row r="196" spans="1:13" ht="24" hidden="1" customHeight="1" x14ac:dyDescent="0.4">
      <c r="A196" s="62">
        <v>44783</v>
      </c>
      <c r="B196" s="32" t="s">
        <v>270</v>
      </c>
      <c r="C196" s="6" t="s">
        <v>17</v>
      </c>
      <c r="D196" s="63" t="s">
        <v>213</v>
      </c>
      <c r="E196" s="50" t="s">
        <v>214</v>
      </c>
      <c r="F196" s="71">
        <v>1300</v>
      </c>
      <c r="G196" s="76"/>
      <c r="H196" s="69">
        <f t="shared" si="58"/>
        <v>1300</v>
      </c>
      <c r="I196" s="71">
        <v>4</v>
      </c>
      <c r="J196" s="69">
        <f t="shared" si="45"/>
        <v>5200</v>
      </c>
      <c r="K196" s="70">
        <f t="shared" ref="K196:K231" si="59">ROUNDDOWN(J196*1.1,0)</f>
        <v>5720</v>
      </c>
      <c r="L196" s="18" t="s">
        <v>34</v>
      </c>
      <c r="M196" s="50"/>
    </row>
    <row r="197" spans="1:13" ht="24" hidden="1" customHeight="1" x14ac:dyDescent="0.4">
      <c r="A197" s="62">
        <v>44783</v>
      </c>
      <c r="B197" s="32" t="s">
        <v>226</v>
      </c>
      <c r="C197" s="6" t="s">
        <v>17</v>
      </c>
      <c r="D197" s="63" t="s">
        <v>18</v>
      </c>
      <c r="E197" s="50" t="s">
        <v>19</v>
      </c>
      <c r="F197" s="71">
        <v>1050</v>
      </c>
      <c r="G197" s="76"/>
      <c r="H197" s="69">
        <f t="shared" si="58"/>
        <v>1050</v>
      </c>
      <c r="I197" s="71">
        <v>3</v>
      </c>
      <c r="J197" s="69">
        <f t="shared" si="45"/>
        <v>3150</v>
      </c>
      <c r="K197" s="70">
        <f t="shared" si="59"/>
        <v>3465</v>
      </c>
      <c r="L197" s="18" t="s">
        <v>25</v>
      </c>
      <c r="M197" s="50"/>
    </row>
    <row r="198" spans="1:13" ht="24" hidden="1" customHeight="1" x14ac:dyDescent="0.4">
      <c r="A198" s="62">
        <v>44784</v>
      </c>
      <c r="B198" s="32" t="s">
        <v>271</v>
      </c>
      <c r="C198" s="6" t="s">
        <v>17</v>
      </c>
      <c r="D198" s="63" t="s">
        <v>45</v>
      </c>
      <c r="E198" s="50" t="s">
        <v>85</v>
      </c>
      <c r="F198" s="71">
        <v>980</v>
      </c>
      <c r="G198" s="76"/>
      <c r="H198" s="69">
        <f t="shared" si="58"/>
        <v>980</v>
      </c>
      <c r="I198" s="71">
        <v>1</v>
      </c>
      <c r="J198" s="69">
        <f t="shared" si="45"/>
        <v>980</v>
      </c>
      <c r="K198" s="70">
        <f t="shared" si="59"/>
        <v>1078</v>
      </c>
      <c r="L198" s="18" t="s">
        <v>34</v>
      </c>
      <c r="M198" s="50"/>
    </row>
    <row r="199" spans="1:13" ht="24" hidden="1" customHeight="1" x14ac:dyDescent="0.4">
      <c r="A199" s="62">
        <v>44784</v>
      </c>
      <c r="B199" s="32" t="s">
        <v>271</v>
      </c>
      <c r="C199" s="6" t="s">
        <v>17</v>
      </c>
      <c r="D199" s="63" t="s">
        <v>32</v>
      </c>
      <c r="E199" s="50" t="s">
        <v>215</v>
      </c>
      <c r="F199" s="71">
        <v>60000</v>
      </c>
      <c r="G199" s="76">
        <v>-12000</v>
      </c>
      <c r="H199" s="69">
        <f t="shared" si="58"/>
        <v>48000</v>
      </c>
      <c r="I199" s="71">
        <v>1</v>
      </c>
      <c r="J199" s="69">
        <f t="shared" si="45"/>
        <v>48000</v>
      </c>
      <c r="K199" s="70">
        <f t="shared" si="59"/>
        <v>52800</v>
      </c>
      <c r="L199" s="18" t="s">
        <v>34</v>
      </c>
      <c r="M199" s="50"/>
    </row>
    <row r="200" spans="1:13" ht="24" hidden="1" customHeight="1" x14ac:dyDescent="0.4">
      <c r="A200" s="62">
        <v>44785</v>
      </c>
      <c r="B200" s="32" t="s">
        <v>233</v>
      </c>
      <c r="C200" s="11" t="s">
        <v>22</v>
      </c>
      <c r="D200" s="63" t="s">
        <v>23</v>
      </c>
      <c r="E200" s="50" t="s">
        <v>96</v>
      </c>
      <c r="F200" s="71">
        <v>15000</v>
      </c>
      <c r="G200" s="76"/>
      <c r="H200" s="69">
        <f t="shared" si="58"/>
        <v>15000</v>
      </c>
      <c r="I200" s="71">
        <v>2</v>
      </c>
      <c r="J200" s="69">
        <f t="shared" si="45"/>
        <v>30000</v>
      </c>
      <c r="K200" s="70">
        <f t="shared" si="59"/>
        <v>33000</v>
      </c>
      <c r="L200" s="18" t="s">
        <v>134</v>
      </c>
      <c r="M200" s="50"/>
    </row>
    <row r="201" spans="1:13" ht="24" hidden="1" customHeight="1" x14ac:dyDescent="0.4">
      <c r="A201" s="62">
        <v>44785</v>
      </c>
      <c r="B201" s="32" t="s">
        <v>235</v>
      </c>
      <c r="C201" s="6" t="s">
        <v>17</v>
      </c>
      <c r="D201" s="63" t="s">
        <v>97</v>
      </c>
      <c r="E201" s="50" t="s">
        <v>98</v>
      </c>
      <c r="F201" s="71">
        <v>4000</v>
      </c>
      <c r="G201" s="76"/>
      <c r="H201" s="69">
        <f t="shared" si="58"/>
        <v>4000</v>
      </c>
      <c r="I201" s="71">
        <v>1</v>
      </c>
      <c r="J201" s="69">
        <f t="shared" si="45"/>
        <v>4000</v>
      </c>
      <c r="K201" s="70">
        <f t="shared" si="59"/>
        <v>4400</v>
      </c>
      <c r="L201" s="18" t="s">
        <v>34</v>
      </c>
      <c r="M201" s="50"/>
    </row>
    <row r="202" spans="1:13" ht="24" hidden="1" customHeight="1" x14ac:dyDescent="0.4">
      <c r="A202" s="62">
        <v>44785</v>
      </c>
      <c r="B202" s="32" t="s">
        <v>235</v>
      </c>
      <c r="C202" s="6" t="s">
        <v>17</v>
      </c>
      <c r="D202" s="63" t="s">
        <v>32</v>
      </c>
      <c r="E202" s="50" t="s">
        <v>33</v>
      </c>
      <c r="F202" s="71">
        <v>70000</v>
      </c>
      <c r="G202" s="76">
        <v>-14000</v>
      </c>
      <c r="H202" s="69">
        <f t="shared" si="58"/>
        <v>56000</v>
      </c>
      <c r="I202" s="71">
        <v>1</v>
      </c>
      <c r="J202" s="69">
        <f t="shared" si="45"/>
        <v>56000</v>
      </c>
      <c r="K202" s="70">
        <f t="shared" si="59"/>
        <v>61600</v>
      </c>
      <c r="L202" s="18" t="s">
        <v>34</v>
      </c>
      <c r="M202" s="50"/>
    </row>
    <row r="203" spans="1:13" ht="24" hidden="1" customHeight="1" x14ac:dyDescent="0.4">
      <c r="A203" s="62">
        <v>44785</v>
      </c>
      <c r="B203" s="32" t="s">
        <v>235</v>
      </c>
      <c r="C203" s="6" t="s">
        <v>17</v>
      </c>
      <c r="D203" s="63" t="s">
        <v>32</v>
      </c>
      <c r="E203" s="50" t="s">
        <v>33</v>
      </c>
      <c r="F203" s="71">
        <v>28000</v>
      </c>
      <c r="G203" s="76">
        <v>-5600</v>
      </c>
      <c r="H203" s="69">
        <f t="shared" si="58"/>
        <v>22400</v>
      </c>
      <c r="I203" s="71">
        <v>1</v>
      </c>
      <c r="J203" s="69">
        <f t="shared" si="45"/>
        <v>22400</v>
      </c>
      <c r="K203" s="70">
        <f t="shared" si="59"/>
        <v>24640</v>
      </c>
      <c r="L203" s="18" t="s">
        <v>34</v>
      </c>
      <c r="M203" s="50"/>
    </row>
    <row r="204" spans="1:13" ht="24" hidden="1" customHeight="1" x14ac:dyDescent="0.4">
      <c r="A204" s="62">
        <v>44785</v>
      </c>
      <c r="B204" s="32" t="s">
        <v>235</v>
      </c>
      <c r="C204" s="6" t="s">
        <v>17</v>
      </c>
      <c r="D204" s="63" t="s">
        <v>91</v>
      </c>
      <c r="E204" s="50" t="s">
        <v>216</v>
      </c>
      <c r="F204" s="71">
        <v>2000</v>
      </c>
      <c r="G204" s="76"/>
      <c r="H204" s="69">
        <f t="shared" si="58"/>
        <v>2000</v>
      </c>
      <c r="I204" s="71">
        <v>2</v>
      </c>
      <c r="J204" s="69">
        <f t="shared" si="45"/>
        <v>4000</v>
      </c>
      <c r="K204" s="70">
        <f t="shared" si="59"/>
        <v>4400</v>
      </c>
      <c r="L204" s="18" t="s">
        <v>34</v>
      </c>
      <c r="M204" s="50"/>
    </row>
    <row r="205" spans="1:13" ht="24" hidden="1" customHeight="1" x14ac:dyDescent="0.4">
      <c r="A205" s="62">
        <v>44785</v>
      </c>
      <c r="B205" s="32" t="s">
        <v>272</v>
      </c>
      <c r="C205" s="6" t="s">
        <v>17</v>
      </c>
      <c r="D205" s="63" t="s">
        <v>45</v>
      </c>
      <c r="E205" s="50" t="s">
        <v>275</v>
      </c>
      <c r="F205" s="71">
        <v>1400</v>
      </c>
      <c r="G205" s="76">
        <v>-140</v>
      </c>
      <c r="H205" s="69">
        <f t="shared" si="58"/>
        <v>1260</v>
      </c>
      <c r="I205" s="71">
        <v>1</v>
      </c>
      <c r="J205" s="69">
        <f t="shared" si="45"/>
        <v>1260</v>
      </c>
      <c r="K205" s="70">
        <f t="shared" si="59"/>
        <v>1386</v>
      </c>
      <c r="L205" s="18" t="s">
        <v>134</v>
      </c>
      <c r="M205" s="50"/>
    </row>
    <row r="206" spans="1:13" ht="24" hidden="1" customHeight="1" x14ac:dyDescent="0.4">
      <c r="A206" s="62">
        <v>44785</v>
      </c>
      <c r="B206" s="32" t="s">
        <v>236</v>
      </c>
      <c r="C206" s="11" t="s">
        <v>22</v>
      </c>
      <c r="D206" s="63" t="s">
        <v>23</v>
      </c>
      <c r="E206" s="50" t="s">
        <v>96</v>
      </c>
      <c r="F206" s="71">
        <v>15000</v>
      </c>
      <c r="G206" s="76"/>
      <c r="H206" s="69">
        <f t="shared" si="58"/>
        <v>15000</v>
      </c>
      <c r="I206" s="71">
        <v>2</v>
      </c>
      <c r="J206" s="69">
        <f t="shared" si="45"/>
        <v>30000</v>
      </c>
      <c r="K206" s="70">
        <f t="shared" si="59"/>
        <v>33000</v>
      </c>
      <c r="L206" s="18" t="s">
        <v>25</v>
      </c>
      <c r="M206" s="50" t="s">
        <v>237</v>
      </c>
    </row>
    <row r="207" spans="1:13" ht="24" hidden="1" customHeight="1" x14ac:dyDescent="0.4">
      <c r="A207" s="62">
        <v>44786</v>
      </c>
      <c r="B207" s="32" t="s">
        <v>238</v>
      </c>
      <c r="C207" s="11" t="s">
        <v>22</v>
      </c>
      <c r="D207" s="63" t="s">
        <v>23</v>
      </c>
      <c r="E207" s="50" t="s">
        <v>96</v>
      </c>
      <c r="F207" s="71">
        <v>15000</v>
      </c>
      <c r="G207" s="76"/>
      <c r="H207" s="69">
        <f t="shared" si="58"/>
        <v>15000</v>
      </c>
      <c r="I207" s="71">
        <v>1</v>
      </c>
      <c r="J207" s="69">
        <f t="shared" si="45"/>
        <v>15000</v>
      </c>
      <c r="K207" s="70">
        <f t="shared" si="59"/>
        <v>16500</v>
      </c>
      <c r="L207" s="18" t="s">
        <v>25</v>
      </c>
      <c r="M207" s="50"/>
    </row>
    <row r="208" spans="1:13" ht="24" hidden="1" customHeight="1" x14ac:dyDescent="0.4">
      <c r="A208" s="62">
        <v>44786</v>
      </c>
      <c r="B208" s="32" t="s">
        <v>239</v>
      </c>
      <c r="C208" s="11" t="s">
        <v>22</v>
      </c>
      <c r="D208" s="63" t="s">
        <v>48</v>
      </c>
      <c r="E208" s="50" t="s">
        <v>49</v>
      </c>
      <c r="F208" s="71">
        <v>3000</v>
      </c>
      <c r="G208" s="76"/>
      <c r="H208" s="69">
        <f t="shared" si="58"/>
        <v>3000</v>
      </c>
      <c r="I208" s="71">
        <v>2</v>
      </c>
      <c r="J208" s="69">
        <f t="shared" si="45"/>
        <v>6000</v>
      </c>
      <c r="K208" s="70">
        <f t="shared" si="59"/>
        <v>6600</v>
      </c>
      <c r="L208" s="18" t="s">
        <v>25</v>
      </c>
      <c r="M208" s="50" t="s">
        <v>240</v>
      </c>
    </row>
    <row r="209" spans="1:13" ht="24" hidden="1" customHeight="1" x14ac:dyDescent="0.4">
      <c r="A209" s="62">
        <v>44786</v>
      </c>
      <c r="B209" s="32" t="s">
        <v>241</v>
      </c>
      <c r="C209" s="11" t="s">
        <v>22</v>
      </c>
      <c r="D209" s="63" t="s">
        <v>23</v>
      </c>
      <c r="E209" s="50" t="s">
        <v>96</v>
      </c>
      <c r="F209" s="71">
        <v>15000</v>
      </c>
      <c r="G209" s="76"/>
      <c r="H209" s="69">
        <f t="shared" si="58"/>
        <v>15000</v>
      </c>
      <c r="I209" s="71">
        <v>1</v>
      </c>
      <c r="J209" s="69">
        <f t="shared" si="45"/>
        <v>15000</v>
      </c>
      <c r="K209" s="70">
        <f t="shared" si="59"/>
        <v>16500</v>
      </c>
      <c r="L209" s="18" t="s">
        <v>25</v>
      </c>
      <c r="M209" s="50"/>
    </row>
    <row r="210" spans="1:13" ht="24" hidden="1" customHeight="1" x14ac:dyDescent="0.4">
      <c r="A210" s="62">
        <v>44786</v>
      </c>
      <c r="B210" s="32" t="s">
        <v>241</v>
      </c>
      <c r="C210" s="6" t="s">
        <v>17</v>
      </c>
      <c r="D210" s="63" t="s">
        <v>45</v>
      </c>
      <c r="E210" s="50" t="s">
        <v>85</v>
      </c>
      <c r="F210" s="71">
        <v>980</v>
      </c>
      <c r="G210" s="76"/>
      <c r="H210" s="69">
        <f t="shared" si="58"/>
        <v>980</v>
      </c>
      <c r="I210" s="71">
        <v>1</v>
      </c>
      <c r="J210" s="69">
        <f t="shared" si="45"/>
        <v>980</v>
      </c>
      <c r="K210" s="70">
        <f t="shared" si="59"/>
        <v>1078</v>
      </c>
      <c r="L210" s="18" t="s">
        <v>34</v>
      </c>
      <c r="M210" s="50"/>
    </row>
    <row r="211" spans="1:13" ht="24" hidden="1" customHeight="1" x14ac:dyDescent="0.4">
      <c r="A211" s="62">
        <v>44786</v>
      </c>
      <c r="B211" s="32" t="s">
        <v>241</v>
      </c>
      <c r="C211" s="6" t="s">
        <v>17</v>
      </c>
      <c r="D211" s="63" t="s">
        <v>97</v>
      </c>
      <c r="E211" s="50" t="s">
        <v>200</v>
      </c>
      <c r="F211" s="71">
        <v>3000</v>
      </c>
      <c r="G211" s="76"/>
      <c r="H211" s="69">
        <f t="shared" si="58"/>
        <v>3000</v>
      </c>
      <c r="I211" s="71">
        <v>1</v>
      </c>
      <c r="J211" s="69">
        <f t="shared" si="45"/>
        <v>3000</v>
      </c>
      <c r="K211" s="70">
        <f t="shared" si="59"/>
        <v>3300</v>
      </c>
      <c r="L211" s="18" t="s">
        <v>34</v>
      </c>
      <c r="M211" s="50"/>
    </row>
    <row r="212" spans="1:13" ht="24" hidden="1" customHeight="1" x14ac:dyDescent="0.4">
      <c r="A212" s="62">
        <v>44786</v>
      </c>
      <c r="B212" s="32" t="s">
        <v>242</v>
      </c>
      <c r="C212" s="6" t="s">
        <v>17</v>
      </c>
      <c r="D212" s="63" t="s">
        <v>32</v>
      </c>
      <c r="E212" s="50" t="s">
        <v>151</v>
      </c>
      <c r="F212" s="71">
        <v>64000</v>
      </c>
      <c r="G212" s="76">
        <v>-12800</v>
      </c>
      <c r="H212" s="69">
        <f t="shared" si="58"/>
        <v>51200</v>
      </c>
      <c r="I212" s="71">
        <v>1</v>
      </c>
      <c r="J212" s="69">
        <f t="shared" si="45"/>
        <v>51200</v>
      </c>
      <c r="K212" s="70">
        <f t="shared" si="59"/>
        <v>56320</v>
      </c>
      <c r="L212" s="18" t="s">
        <v>34</v>
      </c>
      <c r="M212" s="50"/>
    </row>
    <row r="213" spans="1:13" ht="24" hidden="1" customHeight="1" x14ac:dyDescent="0.4">
      <c r="A213" s="62">
        <v>44786</v>
      </c>
      <c r="B213" s="32" t="s">
        <v>243</v>
      </c>
      <c r="C213" s="11" t="s">
        <v>22</v>
      </c>
      <c r="D213" s="63" t="s">
        <v>48</v>
      </c>
      <c r="E213" s="50" t="s">
        <v>63</v>
      </c>
      <c r="F213" s="71">
        <v>3000</v>
      </c>
      <c r="G213" s="76"/>
      <c r="H213" s="69">
        <f t="shared" si="58"/>
        <v>3000</v>
      </c>
      <c r="I213" s="71">
        <v>1</v>
      </c>
      <c r="J213" s="69">
        <f t="shared" si="45"/>
        <v>3000</v>
      </c>
      <c r="K213" s="70">
        <f t="shared" si="59"/>
        <v>3300</v>
      </c>
      <c r="L213" s="18" t="s">
        <v>25</v>
      </c>
      <c r="M213" s="50"/>
    </row>
    <row r="214" spans="1:13" ht="24" hidden="1" customHeight="1" x14ac:dyDescent="0.4">
      <c r="A214" s="62">
        <v>44787</v>
      </c>
      <c r="B214" s="32" t="s">
        <v>227</v>
      </c>
      <c r="C214" s="6" t="s">
        <v>27</v>
      </c>
      <c r="D214" s="63" t="s">
        <v>103</v>
      </c>
      <c r="E214" s="50" t="s">
        <v>217</v>
      </c>
      <c r="F214" s="71">
        <v>25000</v>
      </c>
      <c r="G214" s="76"/>
      <c r="H214" s="69">
        <f t="shared" si="58"/>
        <v>25000</v>
      </c>
      <c r="I214" s="71">
        <v>1</v>
      </c>
      <c r="J214" s="69">
        <f t="shared" si="45"/>
        <v>25000</v>
      </c>
      <c r="K214" s="70">
        <f t="shared" si="59"/>
        <v>27500</v>
      </c>
      <c r="L214" s="18" t="s">
        <v>25</v>
      </c>
      <c r="M214" s="50"/>
    </row>
    <row r="215" spans="1:13" ht="24" hidden="1" customHeight="1" x14ac:dyDescent="0.4">
      <c r="A215" s="62">
        <v>44787</v>
      </c>
      <c r="B215" s="32" t="s">
        <v>227</v>
      </c>
      <c r="C215" s="6" t="s">
        <v>27</v>
      </c>
      <c r="D215" s="63" t="s">
        <v>103</v>
      </c>
      <c r="E215" s="50" t="s">
        <v>218</v>
      </c>
      <c r="F215" s="71">
        <v>8500</v>
      </c>
      <c r="G215" s="76"/>
      <c r="H215" s="69">
        <f t="shared" si="58"/>
        <v>8500</v>
      </c>
      <c r="I215" s="71">
        <v>1</v>
      </c>
      <c r="J215" s="69">
        <f t="shared" si="45"/>
        <v>8500</v>
      </c>
      <c r="K215" s="70">
        <f t="shared" si="59"/>
        <v>9350</v>
      </c>
      <c r="L215" s="18" t="s">
        <v>25</v>
      </c>
      <c r="M215" s="50"/>
    </row>
    <row r="216" spans="1:13" ht="24" hidden="1" customHeight="1" x14ac:dyDescent="0.4">
      <c r="A216" s="62">
        <v>44787</v>
      </c>
      <c r="B216" s="32" t="s">
        <v>227</v>
      </c>
      <c r="C216" s="6" t="s">
        <v>27</v>
      </c>
      <c r="D216" s="63" t="s">
        <v>103</v>
      </c>
      <c r="E216" s="50" t="s">
        <v>30</v>
      </c>
      <c r="F216" s="71">
        <v>15000</v>
      </c>
      <c r="G216" s="76">
        <v>-5000</v>
      </c>
      <c r="H216" s="69">
        <f t="shared" si="58"/>
        <v>10000</v>
      </c>
      <c r="I216" s="71">
        <v>1</v>
      </c>
      <c r="J216" s="69">
        <f t="shared" ref="J216:J231" si="60">SUM(H216*I216)</f>
        <v>10000</v>
      </c>
      <c r="K216" s="70">
        <f t="shared" si="59"/>
        <v>11000</v>
      </c>
      <c r="L216" s="18" t="s">
        <v>25</v>
      </c>
      <c r="M216" s="50"/>
    </row>
    <row r="217" spans="1:13" ht="24" hidden="1" customHeight="1" x14ac:dyDescent="0.4">
      <c r="A217" s="62">
        <v>44787</v>
      </c>
      <c r="B217" s="32" t="s">
        <v>190</v>
      </c>
      <c r="C217" s="6" t="s">
        <v>27</v>
      </c>
      <c r="D217" s="63" t="s">
        <v>103</v>
      </c>
      <c r="E217" s="50" t="s">
        <v>217</v>
      </c>
      <c r="F217" s="71">
        <v>25000</v>
      </c>
      <c r="G217" s="76"/>
      <c r="H217" s="69">
        <f t="shared" si="58"/>
        <v>25000</v>
      </c>
      <c r="I217" s="71">
        <v>1</v>
      </c>
      <c r="J217" s="69">
        <f t="shared" si="60"/>
        <v>25000</v>
      </c>
      <c r="K217" s="70">
        <f t="shared" si="59"/>
        <v>27500</v>
      </c>
      <c r="L217" s="18" t="s">
        <v>25</v>
      </c>
      <c r="M217" s="50"/>
    </row>
    <row r="218" spans="1:13" ht="24" hidden="1" customHeight="1" x14ac:dyDescent="0.4">
      <c r="A218" s="62">
        <v>44788</v>
      </c>
      <c r="B218" s="32" t="s">
        <v>244</v>
      </c>
      <c r="C218" s="11" t="s">
        <v>22</v>
      </c>
      <c r="D218" s="63" t="s">
        <v>48</v>
      </c>
      <c r="E218" s="50" t="s">
        <v>49</v>
      </c>
      <c r="F218" s="71">
        <v>3000</v>
      </c>
      <c r="G218" s="76"/>
      <c r="H218" s="69">
        <f t="shared" si="58"/>
        <v>3000</v>
      </c>
      <c r="I218" s="71">
        <v>1</v>
      </c>
      <c r="J218" s="69">
        <f t="shared" si="60"/>
        <v>3000</v>
      </c>
      <c r="K218" s="70">
        <f t="shared" si="59"/>
        <v>3300</v>
      </c>
      <c r="L218" s="18" t="s">
        <v>134</v>
      </c>
      <c r="M218" s="50"/>
    </row>
    <row r="219" spans="1:13" ht="24" hidden="1" customHeight="1" x14ac:dyDescent="0.4">
      <c r="A219" s="62">
        <v>44788</v>
      </c>
      <c r="B219" s="32" t="s">
        <v>245</v>
      </c>
      <c r="C219" s="6" t="s">
        <v>17</v>
      </c>
      <c r="D219" s="63" t="s">
        <v>252</v>
      </c>
      <c r="E219" s="50" t="s">
        <v>46</v>
      </c>
      <c r="F219" s="71">
        <v>980</v>
      </c>
      <c r="G219" s="76">
        <v>-98</v>
      </c>
      <c r="H219" s="69">
        <f t="shared" si="58"/>
        <v>882</v>
      </c>
      <c r="I219" s="71">
        <v>1</v>
      </c>
      <c r="J219" s="69">
        <f t="shared" si="60"/>
        <v>882</v>
      </c>
      <c r="K219" s="70">
        <f t="shared" si="59"/>
        <v>970</v>
      </c>
      <c r="L219" s="18" t="s">
        <v>134</v>
      </c>
      <c r="M219" s="50"/>
    </row>
    <row r="220" spans="1:13" ht="24" hidden="1" customHeight="1" x14ac:dyDescent="0.4">
      <c r="A220" s="62">
        <v>44788</v>
      </c>
      <c r="B220" s="32" t="s">
        <v>246</v>
      </c>
      <c r="C220" s="6" t="s">
        <v>27</v>
      </c>
      <c r="D220" s="63" t="s">
        <v>28</v>
      </c>
      <c r="E220" s="50" t="s">
        <v>79</v>
      </c>
      <c r="F220" s="71">
        <v>17500</v>
      </c>
      <c r="G220" s="76"/>
      <c r="H220" s="69">
        <f t="shared" si="58"/>
        <v>17500</v>
      </c>
      <c r="I220" s="71">
        <v>1</v>
      </c>
      <c r="J220" s="69">
        <f t="shared" si="60"/>
        <v>17500</v>
      </c>
      <c r="K220" s="70">
        <f t="shared" si="59"/>
        <v>19250</v>
      </c>
      <c r="L220" s="18" t="s">
        <v>25</v>
      </c>
      <c r="M220" s="50"/>
    </row>
    <row r="221" spans="1:13" ht="24" hidden="1" customHeight="1" x14ac:dyDescent="0.4">
      <c r="A221" s="62">
        <v>44788</v>
      </c>
      <c r="B221" s="32" t="s">
        <v>246</v>
      </c>
      <c r="C221" s="6" t="s">
        <v>27</v>
      </c>
      <c r="D221" s="63" t="s">
        <v>28</v>
      </c>
      <c r="E221" s="50" t="s">
        <v>219</v>
      </c>
      <c r="F221" s="71">
        <v>4370</v>
      </c>
      <c r="G221" s="76"/>
      <c r="H221" s="69">
        <f t="shared" si="58"/>
        <v>4370</v>
      </c>
      <c r="I221" s="71">
        <v>1</v>
      </c>
      <c r="J221" s="69">
        <f t="shared" si="60"/>
        <v>4370</v>
      </c>
      <c r="K221" s="70">
        <f t="shared" si="59"/>
        <v>4807</v>
      </c>
      <c r="L221" s="18" t="s">
        <v>25</v>
      </c>
      <c r="M221" s="50"/>
    </row>
    <row r="222" spans="1:13" ht="24" hidden="1" customHeight="1" x14ac:dyDescent="0.4">
      <c r="A222" s="62">
        <v>44788</v>
      </c>
      <c r="B222" s="32" t="s">
        <v>246</v>
      </c>
      <c r="C222" s="6" t="s">
        <v>27</v>
      </c>
      <c r="D222" s="63" t="s">
        <v>28</v>
      </c>
      <c r="E222" s="50" t="s">
        <v>30</v>
      </c>
      <c r="F222" s="71">
        <v>15000</v>
      </c>
      <c r="G222" s="76"/>
      <c r="H222" s="69">
        <f t="shared" si="58"/>
        <v>15000</v>
      </c>
      <c r="I222" s="71">
        <v>1</v>
      </c>
      <c r="J222" s="69">
        <f t="shared" si="60"/>
        <v>15000</v>
      </c>
      <c r="K222" s="70">
        <f t="shared" si="59"/>
        <v>16500</v>
      </c>
      <c r="L222" s="18" t="s">
        <v>25</v>
      </c>
      <c r="M222" s="50"/>
    </row>
    <row r="223" spans="1:13" ht="24" hidden="1" customHeight="1" x14ac:dyDescent="0.4">
      <c r="A223" s="62">
        <v>44788</v>
      </c>
      <c r="B223" s="32" t="s">
        <v>247</v>
      </c>
      <c r="C223" s="11" t="s">
        <v>22</v>
      </c>
      <c r="D223" s="63" t="s">
        <v>48</v>
      </c>
      <c r="E223" s="50" t="s">
        <v>49</v>
      </c>
      <c r="F223" s="71">
        <v>3000</v>
      </c>
      <c r="G223" s="76"/>
      <c r="H223" s="69">
        <f t="shared" si="58"/>
        <v>3000</v>
      </c>
      <c r="I223" s="71">
        <v>1</v>
      </c>
      <c r="J223" s="69">
        <f t="shared" si="60"/>
        <v>3000</v>
      </c>
      <c r="K223" s="70">
        <f t="shared" si="59"/>
        <v>3300</v>
      </c>
      <c r="L223" s="18" t="s">
        <v>25</v>
      </c>
      <c r="M223" s="50"/>
    </row>
    <row r="224" spans="1:13" ht="24" hidden="1" customHeight="1" x14ac:dyDescent="0.4">
      <c r="A224" s="62">
        <v>44788</v>
      </c>
      <c r="B224" s="32" t="s">
        <v>247</v>
      </c>
      <c r="C224" s="6" t="s">
        <v>27</v>
      </c>
      <c r="D224" s="63" t="s">
        <v>28</v>
      </c>
      <c r="E224" s="50" t="s">
        <v>79</v>
      </c>
      <c r="F224" s="71">
        <v>17500</v>
      </c>
      <c r="G224" s="76"/>
      <c r="H224" s="69">
        <f t="shared" si="58"/>
        <v>17500</v>
      </c>
      <c r="I224" s="71">
        <v>1</v>
      </c>
      <c r="J224" s="69">
        <f t="shared" si="60"/>
        <v>17500</v>
      </c>
      <c r="K224" s="70">
        <f t="shared" si="59"/>
        <v>19250</v>
      </c>
      <c r="L224" s="18" t="s">
        <v>25</v>
      </c>
      <c r="M224" s="50"/>
    </row>
    <row r="225" spans="1:13" ht="24" hidden="1" customHeight="1" x14ac:dyDescent="0.4">
      <c r="A225" s="62">
        <v>44788</v>
      </c>
      <c r="B225" s="32" t="s">
        <v>247</v>
      </c>
      <c r="C225" s="6" t="s">
        <v>27</v>
      </c>
      <c r="D225" s="63" t="s">
        <v>28</v>
      </c>
      <c r="E225" s="50" t="s">
        <v>219</v>
      </c>
      <c r="F225" s="71">
        <v>4370</v>
      </c>
      <c r="G225" s="76"/>
      <c r="H225" s="69">
        <f t="shared" si="58"/>
        <v>4370</v>
      </c>
      <c r="I225" s="71">
        <v>1</v>
      </c>
      <c r="J225" s="69">
        <f t="shared" si="60"/>
        <v>4370</v>
      </c>
      <c r="K225" s="70">
        <f t="shared" si="59"/>
        <v>4807</v>
      </c>
      <c r="L225" s="18" t="s">
        <v>25</v>
      </c>
      <c r="M225" s="50"/>
    </row>
    <row r="226" spans="1:13" ht="24" hidden="1" customHeight="1" x14ac:dyDescent="0.4">
      <c r="A226" s="62">
        <v>44788</v>
      </c>
      <c r="B226" s="32" t="s">
        <v>247</v>
      </c>
      <c r="C226" s="6" t="s">
        <v>27</v>
      </c>
      <c r="D226" s="63" t="s">
        <v>28</v>
      </c>
      <c r="E226" s="50" t="s">
        <v>30</v>
      </c>
      <c r="F226" s="71">
        <v>15000</v>
      </c>
      <c r="G226" s="76"/>
      <c r="H226" s="69">
        <f t="shared" si="58"/>
        <v>15000</v>
      </c>
      <c r="I226" s="71">
        <v>1</v>
      </c>
      <c r="J226" s="69">
        <f t="shared" si="60"/>
        <v>15000</v>
      </c>
      <c r="K226" s="70">
        <f t="shared" si="59"/>
        <v>16500</v>
      </c>
      <c r="L226" s="18" t="s">
        <v>25</v>
      </c>
      <c r="M226" s="50"/>
    </row>
    <row r="227" spans="1:13" ht="24" hidden="1" customHeight="1" x14ac:dyDescent="0.4">
      <c r="A227" s="62">
        <v>44790</v>
      </c>
      <c r="B227" s="32" t="s">
        <v>249</v>
      </c>
      <c r="C227" s="11" t="s">
        <v>22</v>
      </c>
      <c r="D227" s="63" t="s">
        <v>23</v>
      </c>
      <c r="E227" s="50" t="s">
        <v>220</v>
      </c>
      <c r="F227" s="71">
        <v>10000</v>
      </c>
      <c r="G227" s="76"/>
      <c r="H227" s="69">
        <f t="shared" si="58"/>
        <v>10000</v>
      </c>
      <c r="I227" s="71">
        <v>1</v>
      </c>
      <c r="J227" s="69">
        <f t="shared" si="60"/>
        <v>10000</v>
      </c>
      <c r="K227" s="70">
        <f t="shared" si="59"/>
        <v>11000</v>
      </c>
      <c r="L227" s="18" t="s">
        <v>34</v>
      </c>
      <c r="M227" s="50"/>
    </row>
    <row r="228" spans="1:13" ht="24" hidden="1" customHeight="1" x14ac:dyDescent="0.4">
      <c r="A228" s="62">
        <v>44790</v>
      </c>
      <c r="B228" s="32" t="s">
        <v>249</v>
      </c>
      <c r="C228" s="6" t="s">
        <v>17</v>
      </c>
      <c r="D228" s="63" t="s">
        <v>32</v>
      </c>
      <c r="E228" s="50" t="s">
        <v>44</v>
      </c>
      <c r="F228" s="71">
        <v>63000</v>
      </c>
      <c r="G228" s="76">
        <v>-18900</v>
      </c>
      <c r="H228" s="69">
        <f t="shared" si="58"/>
        <v>44100</v>
      </c>
      <c r="I228" s="71">
        <v>1</v>
      </c>
      <c r="J228" s="69">
        <f t="shared" si="60"/>
        <v>44100</v>
      </c>
      <c r="K228" s="70">
        <f t="shared" si="59"/>
        <v>48510</v>
      </c>
      <c r="L228" s="18" t="s">
        <v>34</v>
      </c>
      <c r="M228" s="50"/>
    </row>
    <row r="229" spans="1:13" ht="24" hidden="1" customHeight="1" x14ac:dyDescent="0.4">
      <c r="A229" s="62">
        <v>44790</v>
      </c>
      <c r="B229" s="32" t="s">
        <v>249</v>
      </c>
      <c r="C229" s="6" t="s">
        <v>17</v>
      </c>
      <c r="D229" s="63" t="s">
        <v>45</v>
      </c>
      <c r="E229" s="50" t="s">
        <v>221</v>
      </c>
      <c r="F229" s="71">
        <v>1400</v>
      </c>
      <c r="G229" s="76">
        <v>-140</v>
      </c>
      <c r="H229" s="69">
        <f t="shared" si="58"/>
        <v>1260</v>
      </c>
      <c r="I229" s="71">
        <v>1</v>
      </c>
      <c r="J229" s="69">
        <f t="shared" si="60"/>
        <v>1260</v>
      </c>
      <c r="K229" s="70">
        <f t="shared" si="59"/>
        <v>1386</v>
      </c>
      <c r="L229" s="18" t="s">
        <v>34</v>
      </c>
      <c r="M229" s="50"/>
    </row>
    <row r="230" spans="1:13" ht="24" hidden="1" customHeight="1" x14ac:dyDescent="0.4">
      <c r="A230" s="62">
        <v>44790</v>
      </c>
      <c r="B230" s="32" t="s">
        <v>248</v>
      </c>
      <c r="C230" s="11" t="s">
        <v>22</v>
      </c>
      <c r="D230" s="63" t="s">
        <v>48</v>
      </c>
      <c r="E230" s="50" t="s">
        <v>49</v>
      </c>
      <c r="F230" s="71">
        <v>3000</v>
      </c>
      <c r="G230" s="76"/>
      <c r="H230" s="69">
        <f t="shared" si="58"/>
        <v>3000</v>
      </c>
      <c r="I230" s="71">
        <v>1</v>
      </c>
      <c r="J230" s="69">
        <f t="shared" si="60"/>
        <v>3000</v>
      </c>
      <c r="K230" s="70">
        <f t="shared" si="59"/>
        <v>3300</v>
      </c>
      <c r="L230" s="18" t="s">
        <v>25</v>
      </c>
      <c r="M230" s="50"/>
    </row>
    <row r="231" spans="1:13" ht="24" hidden="1" customHeight="1" x14ac:dyDescent="0.4">
      <c r="A231" s="62">
        <v>44793</v>
      </c>
      <c r="B231" s="32" t="s">
        <v>250</v>
      </c>
      <c r="C231" s="18" t="s">
        <v>251</v>
      </c>
      <c r="D231" s="63" t="s">
        <v>252</v>
      </c>
      <c r="E231" s="50" t="s">
        <v>253</v>
      </c>
      <c r="F231" s="57">
        <v>1450</v>
      </c>
      <c r="G231" s="76">
        <v>-145</v>
      </c>
      <c r="H231" s="57">
        <f t="shared" si="58"/>
        <v>1305</v>
      </c>
      <c r="I231" s="71">
        <v>1</v>
      </c>
      <c r="J231" s="57">
        <f t="shared" si="60"/>
        <v>1305</v>
      </c>
      <c r="K231" s="58">
        <f t="shared" si="59"/>
        <v>1435</v>
      </c>
      <c r="L231" s="18" t="s">
        <v>25</v>
      </c>
      <c r="M231" s="50"/>
    </row>
    <row r="232" spans="1:13" ht="24" hidden="1" customHeight="1" x14ac:dyDescent="0.4">
      <c r="A232" s="62">
        <v>44793</v>
      </c>
      <c r="B232" s="32" t="s">
        <v>254</v>
      </c>
      <c r="C232" s="18" t="s">
        <v>255</v>
      </c>
      <c r="D232" s="63" t="s">
        <v>256</v>
      </c>
      <c r="E232" s="50" t="s">
        <v>257</v>
      </c>
      <c r="F232" s="57">
        <v>3000</v>
      </c>
      <c r="G232" s="76"/>
      <c r="H232" s="57">
        <v>3000</v>
      </c>
      <c r="I232" s="71">
        <v>1</v>
      </c>
      <c r="J232" s="57">
        <v>3000</v>
      </c>
      <c r="K232" s="58">
        <v>3300</v>
      </c>
      <c r="L232" s="18" t="s">
        <v>258</v>
      </c>
      <c r="M232" s="50"/>
    </row>
    <row r="233" spans="1:13" ht="24" hidden="1" customHeight="1" x14ac:dyDescent="0.4">
      <c r="A233" s="62">
        <v>44794</v>
      </c>
      <c r="B233" s="32" t="s">
        <v>259</v>
      </c>
      <c r="C233" s="18" t="s">
        <v>22</v>
      </c>
      <c r="D233" s="63" t="s">
        <v>260</v>
      </c>
      <c r="E233" s="50" t="s">
        <v>261</v>
      </c>
      <c r="F233" s="57">
        <v>20000</v>
      </c>
      <c r="G233" s="76"/>
      <c r="H233" s="57">
        <v>20000</v>
      </c>
      <c r="I233" s="50">
        <v>1</v>
      </c>
      <c r="J233" s="57">
        <v>20000</v>
      </c>
      <c r="K233" s="58">
        <v>22000</v>
      </c>
      <c r="L233" s="18" t="s">
        <v>262</v>
      </c>
      <c r="M233" s="50"/>
    </row>
    <row r="234" spans="1:13" ht="24" hidden="1" customHeight="1" x14ac:dyDescent="0.4">
      <c r="A234" s="62">
        <v>44795</v>
      </c>
      <c r="B234" s="32" t="s">
        <v>263</v>
      </c>
      <c r="C234" s="18" t="s">
        <v>22</v>
      </c>
      <c r="D234" s="63" t="s">
        <v>260</v>
      </c>
      <c r="E234" s="50" t="s">
        <v>264</v>
      </c>
      <c r="F234" s="57">
        <v>15000</v>
      </c>
      <c r="G234" s="76"/>
      <c r="H234" s="57">
        <v>15000</v>
      </c>
      <c r="I234" s="50">
        <v>1</v>
      </c>
      <c r="J234" s="57">
        <v>15000</v>
      </c>
      <c r="K234" s="58">
        <v>16500</v>
      </c>
      <c r="L234" s="18" t="s">
        <v>25</v>
      </c>
      <c r="M234" s="50"/>
    </row>
    <row r="235" spans="1:13" ht="24" hidden="1" customHeight="1" x14ac:dyDescent="0.4">
      <c r="A235" s="62">
        <v>44795</v>
      </c>
      <c r="B235" s="32" t="s">
        <v>263</v>
      </c>
      <c r="C235" s="96" t="s">
        <v>198</v>
      </c>
      <c r="D235" s="63" t="s">
        <v>23</v>
      </c>
      <c r="E235" s="50" t="s">
        <v>199</v>
      </c>
      <c r="F235" s="57"/>
      <c r="G235" s="76"/>
      <c r="H235" s="57">
        <v>-15000</v>
      </c>
      <c r="I235" s="50">
        <v>1</v>
      </c>
      <c r="J235" s="57">
        <v>-15000</v>
      </c>
      <c r="K235" s="58">
        <v>-16500</v>
      </c>
      <c r="L235" s="18" t="s">
        <v>34</v>
      </c>
      <c r="M235" s="50"/>
    </row>
    <row r="236" spans="1:13" ht="24" hidden="1" customHeight="1" x14ac:dyDescent="0.4">
      <c r="A236" s="62">
        <v>44795</v>
      </c>
      <c r="B236" s="32" t="s">
        <v>263</v>
      </c>
      <c r="C236" s="18" t="s">
        <v>265</v>
      </c>
      <c r="D236" s="63" t="s">
        <v>126</v>
      </c>
      <c r="E236" s="50" t="s">
        <v>266</v>
      </c>
      <c r="F236" s="57">
        <v>70000</v>
      </c>
      <c r="G236" s="76">
        <v>-14000</v>
      </c>
      <c r="H236" s="57">
        <v>56000</v>
      </c>
      <c r="I236" s="50">
        <v>1</v>
      </c>
      <c r="J236" s="57">
        <v>56000</v>
      </c>
      <c r="K236" s="58">
        <v>61600</v>
      </c>
      <c r="L236" s="18" t="s">
        <v>34</v>
      </c>
      <c r="M236" s="50"/>
    </row>
    <row r="237" spans="1:13" ht="24" hidden="1" customHeight="1" x14ac:dyDescent="0.4">
      <c r="A237" s="62">
        <v>44795</v>
      </c>
      <c r="B237" s="32" t="s">
        <v>263</v>
      </c>
      <c r="C237" s="18" t="s">
        <v>265</v>
      </c>
      <c r="D237" s="63" t="s">
        <v>126</v>
      </c>
      <c r="E237" s="50" t="s">
        <v>267</v>
      </c>
      <c r="F237" s="57">
        <v>69000</v>
      </c>
      <c r="G237" s="76">
        <v>-10350</v>
      </c>
      <c r="H237" s="57">
        <v>58650</v>
      </c>
      <c r="I237" s="50">
        <v>1</v>
      </c>
      <c r="J237" s="57">
        <v>58650</v>
      </c>
      <c r="K237" s="58">
        <v>64515</v>
      </c>
      <c r="L237" s="18" t="s">
        <v>34</v>
      </c>
      <c r="M237" s="50"/>
    </row>
    <row r="238" spans="1:13" ht="24" hidden="1" customHeight="1" x14ac:dyDescent="0.4">
      <c r="A238" s="62">
        <v>44795</v>
      </c>
      <c r="B238" s="32" t="s">
        <v>263</v>
      </c>
      <c r="C238" s="18" t="s">
        <v>265</v>
      </c>
      <c r="D238" s="63" t="s">
        <v>268</v>
      </c>
      <c r="E238" s="50" t="s">
        <v>269</v>
      </c>
      <c r="F238" s="57">
        <v>2200</v>
      </c>
      <c r="G238" s="76"/>
      <c r="H238" s="57">
        <v>2200</v>
      </c>
      <c r="I238" s="50">
        <v>1</v>
      </c>
      <c r="J238" s="57">
        <v>2200</v>
      </c>
      <c r="K238" s="58">
        <v>2420</v>
      </c>
      <c r="L238" s="18" t="s">
        <v>34</v>
      </c>
      <c r="M238" s="50"/>
    </row>
    <row r="239" spans="1:13" ht="24" hidden="1" customHeight="1" x14ac:dyDescent="0.4">
      <c r="A239" s="62">
        <v>44797</v>
      </c>
      <c r="B239" s="32" t="s">
        <v>276</v>
      </c>
      <c r="C239" s="18" t="s">
        <v>277</v>
      </c>
      <c r="D239" s="63" t="s">
        <v>278</v>
      </c>
      <c r="E239" s="50" t="s">
        <v>279</v>
      </c>
      <c r="F239" s="57">
        <v>3000</v>
      </c>
      <c r="G239" s="76"/>
      <c r="H239" s="57">
        <v>3000</v>
      </c>
      <c r="I239" s="50">
        <v>1</v>
      </c>
      <c r="J239" s="57">
        <v>3000</v>
      </c>
      <c r="K239" s="58">
        <v>3300</v>
      </c>
      <c r="L239" s="18" t="s">
        <v>280</v>
      </c>
      <c r="M239" s="50"/>
    </row>
    <row r="240" spans="1:13" ht="24" hidden="1" customHeight="1" x14ac:dyDescent="0.4">
      <c r="A240" s="62">
        <v>44797</v>
      </c>
      <c r="B240" s="32" t="s">
        <v>281</v>
      </c>
      <c r="C240" s="18" t="s">
        <v>282</v>
      </c>
      <c r="D240" s="63" t="s">
        <v>283</v>
      </c>
      <c r="E240" s="50" t="s">
        <v>284</v>
      </c>
      <c r="F240" s="57">
        <v>7800</v>
      </c>
      <c r="G240" s="76">
        <v>-780</v>
      </c>
      <c r="H240" s="57">
        <v>7020</v>
      </c>
      <c r="I240" s="50">
        <v>1</v>
      </c>
      <c r="J240" s="57">
        <v>7020</v>
      </c>
      <c r="K240" s="58">
        <v>7722</v>
      </c>
      <c r="L240" s="18" t="s">
        <v>280</v>
      </c>
      <c r="M240" s="50"/>
    </row>
    <row r="241" spans="1:13" ht="24" hidden="1" customHeight="1" x14ac:dyDescent="0.4">
      <c r="A241" s="62">
        <v>44799</v>
      </c>
      <c r="B241" s="32" t="s">
        <v>285</v>
      </c>
      <c r="C241" s="18" t="s">
        <v>286</v>
      </c>
      <c r="D241" s="63" t="s">
        <v>287</v>
      </c>
      <c r="E241" s="50" t="s">
        <v>288</v>
      </c>
      <c r="F241" s="57">
        <v>3000</v>
      </c>
      <c r="G241" s="76"/>
      <c r="H241" s="57">
        <v>3000</v>
      </c>
      <c r="I241" s="50">
        <v>1</v>
      </c>
      <c r="J241" s="57">
        <v>3000</v>
      </c>
      <c r="K241" s="58">
        <v>3300</v>
      </c>
      <c r="L241" s="18" t="s">
        <v>289</v>
      </c>
      <c r="M241" s="50"/>
    </row>
    <row r="242" spans="1:13" ht="24" hidden="1" customHeight="1" x14ac:dyDescent="0.4">
      <c r="A242" s="62">
        <v>44799</v>
      </c>
      <c r="B242" s="32" t="s">
        <v>290</v>
      </c>
      <c r="C242" s="18" t="s">
        <v>291</v>
      </c>
      <c r="D242" s="63" t="s">
        <v>292</v>
      </c>
      <c r="E242" s="50" t="s">
        <v>293</v>
      </c>
      <c r="F242" s="57">
        <v>4800</v>
      </c>
      <c r="G242" s="76">
        <v>-480</v>
      </c>
      <c r="H242" s="57">
        <v>4320</v>
      </c>
      <c r="I242" s="50">
        <v>1</v>
      </c>
      <c r="J242" s="57">
        <v>4320</v>
      </c>
      <c r="K242" s="58">
        <v>4752</v>
      </c>
      <c r="L242" s="18" t="s">
        <v>25</v>
      </c>
      <c r="M242" s="50"/>
    </row>
    <row r="243" spans="1:13" ht="24" hidden="1" customHeight="1" x14ac:dyDescent="0.4">
      <c r="A243" s="62">
        <v>44799</v>
      </c>
      <c r="B243" s="32" t="s">
        <v>294</v>
      </c>
      <c r="C243" s="18" t="s">
        <v>286</v>
      </c>
      <c r="D243" s="63" t="s">
        <v>103</v>
      </c>
      <c r="E243" s="50" t="s">
        <v>104</v>
      </c>
      <c r="F243" s="57">
        <v>2500</v>
      </c>
      <c r="G243" s="76"/>
      <c r="H243" s="57">
        <v>2500</v>
      </c>
      <c r="I243" s="50">
        <v>1</v>
      </c>
      <c r="J243" s="57">
        <v>2500</v>
      </c>
      <c r="K243" s="58">
        <v>2750</v>
      </c>
      <c r="L243" s="18" t="s">
        <v>289</v>
      </c>
      <c r="M243" s="50"/>
    </row>
    <row r="244" spans="1:13" ht="24" hidden="1" customHeight="1" x14ac:dyDescent="0.4">
      <c r="A244" s="62">
        <v>44801</v>
      </c>
      <c r="B244" s="32" t="s">
        <v>295</v>
      </c>
      <c r="C244" s="18" t="s">
        <v>296</v>
      </c>
      <c r="D244" s="63" t="s">
        <v>297</v>
      </c>
      <c r="E244" s="50" t="s">
        <v>298</v>
      </c>
      <c r="F244" s="57">
        <v>15000</v>
      </c>
      <c r="G244" s="76"/>
      <c r="H244" s="57">
        <v>15000</v>
      </c>
      <c r="I244" s="50">
        <v>1</v>
      </c>
      <c r="J244" s="57">
        <v>15000</v>
      </c>
      <c r="K244" s="58">
        <v>16500</v>
      </c>
      <c r="L244" s="18" t="s">
        <v>299</v>
      </c>
      <c r="M244" s="50"/>
    </row>
    <row r="245" spans="1:13" ht="24" hidden="1" customHeight="1" x14ac:dyDescent="0.4">
      <c r="A245" s="62">
        <v>44802</v>
      </c>
      <c r="B245" s="32" t="s">
        <v>300</v>
      </c>
      <c r="C245" s="18" t="s">
        <v>301</v>
      </c>
      <c r="D245" s="63" t="s">
        <v>302</v>
      </c>
      <c r="E245" s="50" t="s">
        <v>303</v>
      </c>
      <c r="F245" s="57">
        <v>1800</v>
      </c>
      <c r="G245" s="76"/>
      <c r="H245" s="57">
        <v>1800</v>
      </c>
      <c r="I245" s="50">
        <v>3</v>
      </c>
      <c r="J245" s="57">
        <v>5400</v>
      </c>
      <c r="K245" s="58">
        <v>5940</v>
      </c>
      <c r="L245" s="18" t="s">
        <v>304</v>
      </c>
      <c r="M245" s="50"/>
    </row>
    <row r="246" spans="1:13" ht="24" hidden="1" customHeight="1" x14ac:dyDescent="0.4">
      <c r="A246" s="62">
        <v>44802</v>
      </c>
      <c r="B246" s="32" t="s">
        <v>305</v>
      </c>
      <c r="C246" s="18" t="s">
        <v>306</v>
      </c>
      <c r="D246" s="63" t="s">
        <v>307</v>
      </c>
      <c r="E246" s="50" t="s">
        <v>308</v>
      </c>
      <c r="F246" s="57">
        <v>5700</v>
      </c>
      <c r="G246" s="76">
        <v>-570</v>
      </c>
      <c r="H246" s="57">
        <v>5130</v>
      </c>
      <c r="I246" s="50">
        <v>1</v>
      </c>
      <c r="J246" s="57">
        <v>5130</v>
      </c>
      <c r="K246" s="58">
        <v>5643</v>
      </c>
      <c r="L246" s="18" t="s">
        <v>309</v>
      </c>
      <c r="M246" s="50"/>
    </row>
    <row r="247" spans="1:13" ht="24" hidden="1" customHeight="1" x14ac:dyDescent="0.4">
      <c r="A247" s="62">
        <v>44802</v>
      </c>
      <c r="B247" s="32" t="s">
        <v>310</v>
      </c>
      <c r="C247" s="18" t="s">
        <v>27</v>
      </c>
      <c r="D247" s="63" t="s">
        <v>28</v>
      </c>
      <c r="E247" s="50" t="s">
        <v>79</v>
      </c>
      <c r="F247" s="57">
        <v>17500</v>
      </c>
      <c r="G247" s="76"/>
      <c r="H247" s="57">
        <v>17500</v>
      </c>
      <c r="I247" s="50">
        <v>1</v>
      </c>
      <c r="J247" s="57">
        <v>17500</v>
      </c>
      <c r="K247" s="58">
        <v>19250</v>
      </c>
      <c r="L247" s="18" t="s">
        <v>311</v>
      </c>
      <c r="M247" s="50"/>
    </row>
    <row r="248" spans="1:13" ht="24" hidden="1" customHeight="1" x14ac:dyDescent="0.4">
      <c r="A248" s="62">
        <v>44804</v>
      </c>
      <c r="B248" s="32" t="s">
        <v>312</v>
      </c>
      <c r="C248" s="18" t="s">
        <v>313</v>
      </c>
      <c r="D248" s="63" t="s">
        <v>314</v>
      </c>
      <c r="E248" s="50" t="s">
        <v>284</v>
      </c>
      <c r="F248" s="57">
        <v>7800</v>
      </c>
      <c r="G248" s="76">
        <v>-780</v>
      </c>
      <c r="H248" s="57">
        <v>7020</v>
      </c>
      <c r="I248" s="50">
        <v>1</v>
      </c>
      <c r="J248" s="57">
        <v>7020</v>
      </c>
      <c r="K248" s="58">
        <v>7722</v>
      </c>
      <c r="L248" s="18" t="s">
        <v>315</v>
      </c>
      <c r="M248" s="50"/>
    </row>
    <row r="249" spans="1:13" ht="24" hidden="1" customHeight="1" x14ac:dyDescent="0.4">
      <c r="A249" s="62">
        <v>44804</v>
      </c>
      <c r="B249" s="32" t="s">
        <v>316</v>
      </c>
      <c r="C249" s="18" t="s">
        <v>317</v>
      </c>
      <c r="D249" s="63" t="s">
        <v>28</v>
      </c>
      <c r="E249" s="50" t="s">
        <v>79</v>
      </c>
      <c r="F249" s="57">
        <v>17500</v>
      </c>
      <c r="G249" s="76"/>
      <c r="H249" s="57">
        <v>17500</v>
      </c>
      <c r="I249" s="50">
        <v>1</v>
      </c>
      <c r="J249" s="57">
        <v>17500</v>
      </c>
      <c r="K249" s="58">
        <v>19250</v>
      </c>
      <c r="L249" s="18" t="s">
        <v>25</v>
      </c>
      <c r="M249" s="50"/>
    </row>
    <row r="250" spans="1:13" ht="24" hidden="1" customHeight="1" x14ac:dyDescent="0.4">
      <c r="A250" s="62">
        <v>44804</v>
      </c>
      <c r="B250" s="32" t="s">
        <v>316</v>
      </c>
      <c r="C250" s="18" t="s">
        <v>27</v>
      </c>
      <c r="D250" s="63" t="s">
        <v>28</v>
      </c>
      <c r="E250" s="50" t="s">
        <v>318</v>
      </c>
      <c r="F250" s="57">
        <v>15000</v>
      </c>
      <c r="G250" s="76"/>
      <c r="H250" s="57">
        <v>15000</v>
      </c>
      <c r="I250" s="50">
        <v>1</v>
      </c>
      <c r="J250" s="57">
        <v>15000</v>
      </c>
      <c r="K250" s="58">
        <v>16500</v>
      </c>
      <c r="L250" s="18" t="s">
        <v>25</v>
      </c>
      <c r="M250" s="50"/>
    </row>
    <row r="251" spans="1:13" ht="24" hidden="1" customHeight="1" x14ac:dyDescent="0.4">
      <c r="A251" s="62">
        <v>44804</v>
      </c>
      <c r="B251" s="32" t="s">
        <v>319</v>
      </c>
      <c r="C251" s="18" t="s">
        <v>320</v>
      </c>
      <c r="D251" s="63" t="s">
        <v>321</v>
      </c>
      <c r="E251" s="50" t="s">
        <v>264</v>
      </c>
      <c r="F251" s="57">
        <v>15000</v>
      </c>
      <c r="G251" s="76"/>
      <c r="H251" s="57">
        <v>15000</v>
      </c>
      <c r="I251" s="50">
        <v>1</v>
      </c>
      <c r="J251" s="57">
        <v>15000</v>
      </c>
      <c r="K251" s="58">
        <v>16500</v>
      </c>
      <c r="L251" s="18" t="s">
        <v>25</v>
      </c>
      <c r="M251" s="50"/>
    </row>
    <row r="252" spans="1:13" ht="24" hidden="1" customHeight="1" x14ac:dyDescent="0.4">
      <c r="A252" s="62">
        <v>44804</v>
      </c>
      <c r="B252" s="32" t="s">
        <v>322</v>
      </c>
      <c r="C252" s="18" t="s">
        <v>323</v>
      </c>
      <c r="D252" s="63" t="s">
        <v>324</v>
      </c>
      <c r="E252" s="50" t="s">
        <v>325</v>
      </c>
      <c r="F252" s="57">
        <v>3000</v>
      </c>
      <c r="G252" s="76"/>
      <c r="H252" s="57">
        <v>3000</v>
      </c>
      <c r="I252" s="50">
        <v>1</v>
      </c>
      <c r="J252" s="57">
        <v>3000</v>
      </c>
      <c r="K252" s="58">
        <v>3300</v>
      </c>
      <c r="L252" s="18" t="s">
        <v>326</v>
      </c>
      <c r="M252" s="50"/>
    </row>
    <row r="253" spans="1:13" ht="24" hidden="1" customHeight="1" x14ac:dyDescent="0.4">
      <c r="A253" s="62">
        <v>44804</v>
      </c>
      <c r="B253" s="32" t="s">
        <v>319</v>
      </c>
      <c r="C253" s="18" t="s">
        <v>327</v>
      </c>
      <c r="D253" s="63" t="s">
        <v>328</v>
      </c>
      <c r="E253" s="50" t="s">
        <v>329</v>
      </c>
      <c r="F253" s="57">
        <v>55000</v>
      </c>
      <c r="G253" s="76">
        <v>-11000</v>
      </c>
      <c r="H253" s="57">
        <v>44000</v>
      </c>
      <c r="I253" s="50">
        <v>1</v>
      </c>
      <c r="J253" s="57">
        <v>44000</v>
      </c>
      <c r="K253" s="58">
        <v>48400</v>
      </c>
      <c r="L253" s="18" t="s">
        <v>326</v>
      </c>
      <c r="M253" s="50"/>
    </row>
    <row r="254" spans="1:13" ht="24" hidden="1" customHeight="1" x14ac:dyDescent="0.4">
      <c r="A254" s="62">
        <v>44804</v>
      </c>
      <c r="B254" s="32" t="s">
        <v>319</v>
      </c>
      <c r="C254" s="18" t="s">
        <v>327</v>
      </c>
      <c r="D254" s="63" t="s">
        <v>330</v>
      </c>
      <c r="E254" s="50" t="s">
        <v>331</v>
      </c>
      <c r="F254" s="57">
        <v>4000</v>
      </c>
      <c r="G254" s="76"/>
      <c r="H254" s="57">
        <v>4000</v>
      </c>
      <c r="I254" s="50">
        <v>1</v>
      </c>
      <c r="J254" s="57">
        <v>4000</v>
      </c>
      <c r="K254" s="58">
        <v>4400</v>
      </c>
      <c r="L254" s="18" t="s">
        <v>326</v>
      </c>
      <c r="M254" s="50"/>
    </row>
    <row r="255" spans="1:13" ht="24" hidden="1" customHeight="1" x14ac:dyDescent="0.4">
      <c r="A255" s="62">
        <v>44804</v>
      </c>
      <c r="B255" s="32" t="s">
        <v>319</v>
      </c>
      <c r="C255" s="18" t="s">
        <v>327</v>
      </c>
      <c r="D255" s="63" t="s">
        <v>332</v>
      </c>
      <c r="E255" s="50" t="s">
        <v>333</v>
      </c>
      <c r="F255" s="57">
        <v>980</v>
      </c>
      <c r="G255" s="76"/>
      <c r="H255" s="57">
        <v>980</v>
      </c>
      <c r="I255" s="50">
        <v>1</v>
      </c>
      <c r="J255" s="57">
        <v>980</v>
      </c>
      <c r="K255" s="58">
        <v>1078</v>
      </c>
      <c r="L255" s="18" t="s">
        <v>326</v>
      </c>
      <c r="M255" s="50"/>
    </row>
    <row r="256" spans="1:13" ht="24" hidden="1" customHeight="1" x14ac:dyDescent="0.4">
      <c r="A256" s="62">
        <v>44804</v>
      </c>
      <c r="B256" s="32" t="s">
        <v>334</v>
      </c>
      <c r="C256" s="18" t="s">
        <v>323</v>
      </c>
      <c r="D256" s="63" t="s">
        <v>335</v>
      </c>
      <c r="E256" s="50" t="s">
        <v>264</v>
      </c>
      <c r="F256" s="57">
        <v>15000</v>
      </c>
      <c r="G256" s="76"/>
      <c r="H256" s="57">
        <v>15000</v>
      </c>
      <c r="I256" s="50">
        <v>1</v>
      </c>
      <c r="J256" s="57">
        <v>15000</v>
      </c>
      <c r="K256" s="58">
        <v>16500</v>
      </c>
      <c r="L256" s="18" t="s">
        <v>25</v>
      </c>
      <c r="M256" s="50"/>
    </row>
    <row r="257" spans="1:13" ht="24" hidden="1" customHeight="1" x14ac:dyDescent="0.4">
      <c r="A257" s="62">
        <v>44804</v>
      </c>
      <c r="B257" s="32" t="s">
        <v>336</v>
      </c>
      <c r="C257" s="18" t="s">
        <v>198</v>
      </c>
      <c r="D257" s="63" t="s">
        <v>23</v>
      </c>
      <c r="E257" s="50" t="s">
        <v>199</v>
      </c>
      <c r="F257" s="57"/>
      <c r="G257" s="76"/>
      <c r="H257" s="57"/>
      <c r="I257" s="50">
        <v>1</v>
      </c>
      <c r="J257" s="57">
        <v>-15000</v>
      </c>
      <c r="K257" s="58">
        <v>-16500</v>
      </c>
      <c r="L257" s="18" t="s">
        <v>342</v>
      </c>
      <c r="M257" s="50"/>
    </row>
    <row r="258" spans="1:13" ht="24" hidden="1" customHeight="1" x14ac:dyDescent="0.4">
      <c r="A258" s="62">
        <v>44804</v>
      </c>
      <c r="B258" s="32" t="s">
        <v>336</v>
      </c>
      <c r="C258" s="18" t="s">
        <v>337</v>
      </c>
      <c r="D258" s="63" t="s">
        <v>32</v>
      </c>
      <c r="E258" s="50" t="s">
        <v>338</v>
      </c>
      <c r="F258" s="57">
        <v>55000</v>
      </c>
      <c r="G258" s="76">
        <v>-11000</v>
      </c>
      <c r="H258" s="57">
        <v>44000</v>
      </c>
      <c r="I258" s="50">
        <v>1</v>
      </c>
      <c r="J258" s="57">
        <v>44000</v>
      </c>
      <c r="K258" s="58">
        <v>48400</v>
      </c>
      <c r="L258" s="18" t="s">
        <v>342</v>
      </c>
      <c r="M258" s="50"/>
    </row>
    <row r="259" spans="1:13" ht="24" hidden="1" customHeight="1" x14ac:dyDescent="0.4">
      <c r="A259" s="62">
        <v>44804</v>
      </c>
      <c r="B259" s="32" t="s">
        <v>336</v>
      </c>
      <c r="C259" s="18" t="s">
        <v>337</v>
      </c>
      <c r="D259" s="63" t="s">
        <v>330</v>
      </c>
      <c r="E259" s="50" t="s">
        <v>339</v>
      </c>
      <c r="F259" s="57">
        <v>3000</v>
      </c>
      <c r="G259" s="76"/>
      <c r="H259" s="57">
        <v>3000</v>
      </c>
      <c r="I259" s="50">
        <v>1</v>
      </c>
      <c r="J259" s="57">
        <v>3000</v>
      </c>
      <c r="K259" s="58">
        <v>3300</v>
      </c>
      <c r="L259" s="18" t="s">
        <v>342</v>
      </c>
      <c r="M259" s="50"/>
    </row>
    <row r="260" spans="1:13" ht="24" hidden="1" customHeight="1" x14ac:dyDescent="0.4">
      <c r="A260" s="62">
        <v>44804</v>
      </c>
      <c r="B260" s="32" t="s">
        <v>336</v>
      </c>
      <c r="C260" s="18" t="s">
        <v>337</v>
      </c>
      <c r="D260" s="63" t="s">
        <v>341</v>
      </c>
      <c r="E260" s="50" t="s">
        <v>340</v>
      </c>
      <c r="F260" s="57">
        <v>980</v>
      </c>
      <c r="G260" s="76"/>
      <c r="H260" s="57">
        <v>980</v>
      </c>
      <c r="I260" s="50">
        <v>1</v>
      </c>
      <c r="J260" s="57">
        <v>980</v>
      </c>
      <c r="K260" s="58">
        <v>1078</v>
      </c>
      <c r="L260" s="18" t="s">
        <v>342</v>
      </c>
      <c r="M260" s="50"/>
    </row>
    <row r="261" spans="1:13" ht="24" hidden="1" customHeight="1" thickBot="1" x14ac:dyDescent="0.45">
      <c r="A261" s="149">
        <v>44804</v>
      </c>
      <c r="B261" s="97" t="s">
        <v>343</v>
      </c>
      <c r="C261" s="98" t="s">
        <v>27</v>
      </c>
      <c r="D261" s="101" t="s">
        <v>28</v>
      </c>
      <c r="E261" s="102" t="s">
        <v>73</v>
      </c>
      <c r="F261" s="103">
        <v>2000</v>
      </c>
      <c r="G261" s="104"/>
      <c r="H261" s="103">
        <v>2000</v>
      </c>
      <c r="I261" s="102">
        <v>1</v>
      </c>
      <c r="J261" s="103">
        <v>2000</v>
      </c>
      <c r="K261" s="105">
        <v>2200</v>
      </c>
      <c r="L261" s="98" t="s">
        <v>344</v>
      </c>
      <c r="M261" s="102"/>
    </row>
    <row r="262" spans="1:13" ht="24" hidden="1" customHeight="1" x14ac:dyDescent="0.4">
      <c r="A262" s="59">
        <v>44805</v>
      </c>
      <c r="B262" s="82" t="s">
        <v>345</v>
      </c>
      <c r="C262" s="60" t="s">
        <v>27</v>
      </c>
      <c r="D262" s="61" t="s">
        <v>28</v>
      </c>
      <c r="E262" s="56" t="s">
        <v>30</v>
      </c>
      <c r="F262" s="99">
        <v>10000</v>
      </c>
      <c r="G262" s="79"/>
      <c r="H262" s="99">
        <v>10000</v>
      </c>
      <c r="I262" s="56">
        <v>1</v>
      </c>
      <c r="J262" s="99">
        <v>10000</v>
      </c>
      <c r="K262" s="100">
        <v>11000</v>
      </c>
      <c r="L262" s="60" t="s">
        <v>25</v>
      </c>
      <c r="M262" s="56"/>
    </row>
    <row r="263" spans="1:13" ht="24" hidden="1" customHeight="1" x14ac:dyDescent="0.4">
      <c r="A263" s="62">
        <v>44807</v>
      </c>
      <c r="B263" s="32" t="s">
        <v>346</v>
      </c>
      <c r="C263" s="18" t="s">
        <v>347</v>
      </c>
      <c r="D263" s="63" t="s">
        <v>348</v>
      </c>
      <c r="E263" s="50" t="s">
        <v>349</v>
      </c>
      <c r="F263" s="57">
        <v>7800</v>
      </c>
      <c r="G263" s="76">
        <v>-780</v>
      </c>
      <c r="H263" s="57">
        <v>7020</v>
      </c>
      <c r="I263" s="50">
        <v>1</v>
      </c>
      <c r="J263" s="57">
        <v>7020</v>
      </c>
      <c r="K263" s="58">
        <v>7722</v>
      </c>
      <c r="L263" s="18" t="s">
        <v>25</v>
      </c>
      <c r="M263" s="50"/>
    </row>
    <row r="264" spans="1:13" ht="24" hidden="1" customHeight="1" x14ac:dyDescent="0.4">
      <c r="A264" s="62">
        <v>44807</v>
      </c>
      <c r="B264" s="32" t="s">
        <v>350</v>
      </c>
      <c r="C264" s="18" t="s">
        <v>351</v>
      </c>
      <c r="D264" s="63" t="s">
        <v>352</v>
      </c>
      <c r="E264" s="50" t="s">
        <v>353</v>
      </c>
      <c r="F264" s="57">
        <v>3000</v>
      </c>
      <c r="G264" s="76"/>
      <c r="H264" s="57">
        <v>3000</v>
      </c>
      <c r="I264" s="50">
        <v>1</v>
      </c>
      <c r="J264" s="57">
        <v>3000</v>
      </c>
      <c r="K264" s="58">
        <v>3300</v>
      </c>
      <c r="L264" s="18" t="s">
        <v>25</v>
      </c>
      <c r="M264" s="50"/>
    </row>
    <row r="265" spans="1:13" ht="24" hidden="1" customHeight="1" x14ac:dyDescent="0.4">
      <c r="A265" s="62">
        <v>44807</v>
      </c>
      <c r="B265" s="32" t="s">
        <v>354</v>
      </c>
      <c r="C265" s="18" t="s">
        <v>355</v>
      </c>
      <c r="D265" s="63" t="s">
        <v>356</v>
      </c>
      <c r="E265" s="50" t="s">
        <v>357</v>
      </c>
      <c r="F265" s="57">
        <v>3000</v>
      </c>
      <c r="G265" s="76"/>
      <c r="H265" s="57">
        <v>3000</v>
      </c>
      <c r="I265" s="50">
        <v>1</v>
      </c>
      <c r="J265" s="57">
        <v>3000</v>
      </c>
      <c r="K265" s="58">
        <f>J265*1.1</f>
        <v>3300.0000000000005</v>
      </c>
      <c r="L265" s="18" t="s">
        <v>25</v>
      </c>
      <c r="M265" s="50"/>
    </row>
    <row r="266" spans="1:13" ht="24" hidden="1" customHeight="1" x14ac:dyDescent="0.4">
      <c r="A266" s="62">
        <v>44809</v>
      </c>
      <c r="B266" s="32" t="s">
        <v>358</v>
      </c>
      <c r="C266" s="18" t="s">
        <v>27</v>
      </c>
      <c r="D266" s="63" t="s">
        <v>28</v>
      </c>
      <c r="E266" s="50" t="s">
        <v>359</v>
      </c>
      <c r="F266" s="57">
        <v>9800</v>
      </c>
      <c r="G266" s="76"/>
      <c r="H266" s="57">
        <v>9800</v>
      </c>
      <c r="I266" s="50">
        <v>1</v>
      </c>
      <c r="J266" s="57">
        <v>9800</v>
      </c>
      <c r="K266" s="58">
        <f t="shared" ref="K266:K267" si="61">J266*1.1</f>
        <v>10780</v>
      </c>
      <c r="L266" s="18" t="s">
        <v>25</v>
      </c>
      <c r="M266" s="50"/>
    </row>
    <row r="267" spans="1:13" ht="24" hidden="1" customHeight="1" x14ac:dyDescent="0.4">
      <c r="A267" s="62">
        <v>44809</v>
      </c>
      <c r="B267" s="32" t="s">
        <v>358</v>
      </c>
      <c r="C267" s="18" t="s">
        <v>27</v>
      </c>
      <c r="D267" s="63" t="s">
        <v>28</v>
      </c>
      <c r="E267" s="50" t="s">
        <v>73</v>
      </c>
      <c r="F267" s="57">
        <v>2000</v>
      </c>
      <c r="G267" s="76"/>
      <c r="H267" s="57">
        <v>2000</v>
      </c>
      <c r="I267" s="50">
        <v>1</v>
      </c>
      <c r="J267" s="57">
        <v>2000</v>
      </c>
      <c r="K267" s="58">
        <f t="shared" si="61"/>
        <v>2200</v>
      </c>
      <c r="L267" s="18" t="s">
        <v>25</v>
      </c>
      <c r="M267" s="50"/>
    </row>
    <row r="268" spans="1:13" ht="24" hidden="1" customHeight="1" x14ac:dyDescent="0.4">
      <c r="A268" s="62">
        <v>44809</v>
      </c>
      <c r="B268" s="32" t="s">
        <v>360</v>
      </c>
      <c r="C268" s="18" t="s">
        <v>27</v>
      </c>
      <c r="D268" s="63" t="s">
        <v>28</v>
      </c>
      <c r="E268" s="50" t="s">
        <v>361</v>
      </c>
      <c r="F268" s="57">
        <v>9800</v>
      </c>
      <c r="G268" s="76"/>
      <c r="H268" s="57">
        <v>9800</v>
      </c>
      <c r="I268" s="50">
        <v>2</v>
      </c>
      <c r="J268" s="57">
        <v>9800</v>
      </c>
      <c r="K268" s="58">
        <f>J268*1.1*I268</f>
        <v>21560</v>
      </c>
      <c r="L268" s="18" t="s">
        <v>25</v>
      </c>
      <c r="M268" s="50" t="s">
        <v>362</v>
      </c>
    </row>
    <row r="269" spans="1:13" ht="24" hidden="1" customHeight="1" x14ac:dyDescent="0.4">
      <c r="A269" s="62">
        <v>44809</v>
      </c>
      <c r="B269" s="32" t="s">
        <v>254</v>
      </c>
      <c r="C269" s="18" t="s">
        <v>27</v>
      </c>
      <c r="D269" s="63" t="s">
        <v>28</v>
      </c>
      <c r="E269" s="50" t="s">
        <v>363</v>
      </c>
      <c r="F269" s="57">
        <v>15000</v>
      </c>
      <c r="G269" s="76"/>
      <c r="H269" s="57">
        <v>15000</v>
      </c>
      <c r="I269" s="50">
        <v>1</v>
      </c>
      <c r="J269" s="57">
        <v>15000</v>
      </c>
      <c r="K269" s="58">
        <v>16500</v>
      </c>
      <c r="L269" s="18" t="s">
        <v>25</v>
      </c>
      <c r="M269" s="50"/>
    </row>
    <row r="270" spans="1:13" ht="24" hidden="1" customHeight="1" x14ac:dyDescent="0.4">
      <c r="A270" s="62">
        <v>44809</v>
      </c>
      <c r="B270" s="32" t="s">
        <v>254</v>
      </c>
      <c r="C270" s="18" t="s">
        <v>27</v>
      </c>
      <c r="D270" s="63" t="s">
        <v>28</v>
      </c>
      <c r="E270" s="50" t="s">
        <v>364</v>
      </c>
      <c r="F270" s="57">
        <v>25000</v>
      </c>
      <c r="G270" s="76"/>
      <c r="H270" s="57">
        <v>25000</v>
      </c>
      <c r="I270" s="50">
        <v>1</v>
      </c>
      <c r="J270" s="57">
        <v>25000</v>
      </c>
      <c r="K270" s="58">
        <v>27500</v>
      </c>
      <c r="L270" s="18" t="s">
        <v>25</v>
      </c>
      <c r="M270" s="50"/>
    </row>
    <row r="271" spans="1:13" ht="24" hidden="1" customHeight="1" x14ac:dyDescent="0.4">
      <c r="A271" s="62">
        <v>44809</v>
      </c>
      <c r="B271" s="32" t="s">
        <v>254</v>
      </c>
      <c r="C271" s="18" t="s">
        <v>27</v>
      </c>
      <c r="D271" s="63" t="s">
        <v>28</v>
      </c>
      <c r="E271" s="50" t="s">
        <v>365</v>
      </c>
      <c r="F271" s="57">
        <v>6375</v>
      </c>
      <c r="G271" s="76"/>
      <c r="H271" s="57">
        <v>6375</v>
      </c>
      <c r="I271" s="50">
        <v>1</v>
      </c>
      <c r="J271" s="57">
        <v>6375</v>
      </c>
      <c r="K271" s="58">
        <v>7012</v>
      </c>
      <c r="L271" s="18" t="s">
        <v>25</v>
      </c>
      <c r="M271" s="50"/>
    </row>
    <row r="272" spans="1:13" ht="24" hidden="1" customHeight="1" x14ac:dyDescent="0.4">
      <c r="A272" s="62">
        <v>44809</v>
      </c>
      <c r="B272" s="32" t="s">
        <v>366</v>
      </c>
      <c r="C272" s="18" t="s">
        <v>22</v>
      </c>
      <c r="D272" s="63" t="s">
        <v>51</v>
      </c>
      <c r="E272" s="50" t="s">
        <v>52</v>
      </c>
      <c r="F272" s="57">
        <v>3000</v>
      </c>
      <c r="G272" s="76"/>
      <c r="H272" s="57">
        <v>3000</v>
      </c>
      <c r="I272" s="50">
        <v>1</v>
      </c>
      <c r="J272" s="57">
        <v>3000</v>
      </c>
      <c r="K272" s="58">
        <v>3300</v>
      </c>
      <c r="L272" s="18" t="s">
        <v>25</v>
      </c>
      <c r="M272" s="50"/>
    </row>
    <row r="273" spans="1:13" ht="24" hidden="1" customHeight="1" x14ac:dyDescent="0.4">
      <c r="A273" s="62">
        <v>44809</v>
      </c>
      <c r="B273" s="32" t="s">
        <v>367</v>
      </c>
      <c r="C273" s="18" t="s">
        <v>371</v>
      </c>
      <c r="D273" s="63" t="s">
        <v>368</v>
      </c>
      <c r="E273" s="50" t="s">
        <v>369</v>
      </c>
      <c r="F273" s="57">
        <v>3000</v>
      </c>
      <c r="G273" s="76"/>
      <c r="H273" s="57">
        <v>3000</v>
      </c>
      <c r="I273" s="50">
        <v>1</v>
      </c>
      <c r="J273" s="57">
        <v>3000</v>
      </c>
      <c r="K273" s="58">
        <f t="shared" ref="K273:K290" si="62">J273*1.1*I273</f>
        <v>3300.0000000000005</v>
      </c>
      <c r="L273" s="18" t="s">
        <v>370</v>
      </c>
      <c r="M273" s="50"/>
    </row>
    <row r="274" spans="1:13" ht="24" hidden="1" customHeight="1" x14ac:dyDescent="0.4">
      <c r="A274" s="62">
        <v>44809</v>
      </c>
      <c r="B274" s="32" t="s">
        <v>367</v>
      </c>
      <c r="C274" s="18" t="s">
        <v>27</v>
      </c>
      <c r="D274" s="63" t="s">
        <v>28</v>
      </c>
      <c r="E274" s="50" t="s">
        <v>363</v>
      </c>
      <c r="F274" s="57">
        <v>15000</v>
      </c>
      <c r="G274" s="76"/>
      <c r="H274" s="57">
        <v>15000</v>
      </c>
      <c r="I274" s="50">
        <v>1</v>
      </c>
      <c r="J274" s="57">
        <v>15000</v>
      </c>
      <c r="K274" s="58">
        <v>16500</v>
      </c>
      <c r="L274" s="18" t="s">
        <v>25</v>
      </c>
      <c r="M274" s="50"/>
    </row>
    <row r="275" spans="1:13" ht="24" hidden="1" customHeight="1" x14ac:dyDescent="0.4">
      <c r="A275" s="62">
        <v>44809</v>
      </c>
      <c r="B275" s="32" t="s">
        <v>367</v>
      </c>
      <c r="C275" s="18" t="s">
        <v>27</v>
      </c>
      <c r="D275" s="63" t="s">
        <v>28</v>
      </c>
      <c r="E275" s="50" t="s">
        <v>372</v>
      </c>
      <c r="F275" s="57">
        <v>13120</v>
      </c>
      <c r="G275" s="76"/>
      <c r="H275" s="57">
        <v>13120</v>
      </c>
      <c r="I275" s="50">
        <v>1</v>
      </c>
      <c r="J275" s="57">
        <v>13120</v>
      </c>
      <c r="K275" s="58">
        <f t="shared" si="62"/>
        <v>14432.000000000002</v>
      </c>
      <c r="L275" s="18" t="s">
        <v>25</v>
      </c>
      <c r="M275" s="50"/>
    </row>
    <row r="276" spans="1:13" ht="24" hidden="1" customHeight="1" x14ac:dyDescent="0.4">
      <c r="A276" s="62">
        <v>44809</v>
      </c>
      <c r="B276" s="32" t="s">
        <v>373</v>
      </c>
      <c r="C276" s="18" t="s">
        <v>374</v>
      </c>
      <c r="D276" s="63" t="s">
        <v>292</v>
      </c>
      <c r="E276" s="50" t="s">
        <v>375</v>
      </c>
      <c r="F276" s="57">
        <v>5700</v>
      </c>
      <c r="G276" s="76">
        <v>-570</v>
      </c>
      <c r="H276" s="57">
        <v>5130</v>
      </c>
      <c r="I276" s="50">
        <v>1</v>
      </c>
      <c r="J276" s="57">
        <v>5130</v>
      </c>
      <c r="K276" s="58">
        <f t="shared" si="62"/>
        <v>5643.0000000000009</v>
      </c>
      <c r="L276" s="18" t="s">
        <v>370</v>
      </c>
      <c r="M276" s="50"/>
    </row>
    <row r="277" spans="1:13" ht="24" hidden="1" customHeight="1" x14ac:dyDescent="0.4">
      <c r="A277" s="62">
        <v>44811</v>
      </c>
      <c r="B277" s="32" t="s">
        <v>376</v>
      </c>
      <c r="C277" s="18" t="s">
        <v>374</v>
      </c>
      <c r="D277" s="63" t="s">
        <v>292</v>
      </c>
      <c r="E277" s="50" t="s">
        <v>377</v>
      </c>
      <c r="F277" s="57">
        <v>5000</v>
      </c>
      <c r="G277" s="76"/>
      <c r="H277" s="57">
        <v>5000</v>
      </c>
      <c r="I277" s="50">
        <v>1</v>
      </c>
      <c r="J277" s="57">
        <v>5000</v>
      </c>
      <c r="K277" s="58">
        <v>5500</v>
      </c>
      <c r="L277" s="18" t="s">
        <v>25</v>
      </c>
      <c r="M277" s="50"/>
    </row>
    <row r="278" spans="1:13" ht="24" hidden="1" customHeight="1" x14ac:dyDescent="0.4">
      <c r="A278" s="62">
        <v>44811</v>
      </c>
      <c r="B278" s="32" t="s">
        <v>378</v>
      </c>
      <c r="C278" s="18" t="s">
        <v>374</v>
      </c>
      <c r="D278" s="63" t="s">
        <v>379</v>
      </c>
      <c r="E278" s="50" t="s">
        <v>380</v>
      </c>
      <c r="F278" s="57">
        <v>980</v>
      </c>
      <c r="G278" s="76">
        <v>-98</v>
      </c>
      <c r="H278" s="57">
        <v>882</v>
      </c>
      <c r="I278" s="50">
        <v>1</v>
      </c>
      <c r="J278" s="57">
        <v>882</v>
      </c>
      <c r="K278" s="58">
        <f t="shared" si="62"/>
        <v>970.2</v>
      </c>
      <c r="L278" s="18" t="s">
        <v>370</v>
      </c>
      <c r="M278" s="50"/>
    </row>
    <row r="279" spans="1:13" ht="24" hidden="1" customHeight="1" x14ac:dyDescent="0.4">
      <c r="A279" s="62">
        <v>44812</v>
      </c>
      <c r="B279" s="32" t="s">
        <v>381</v>
      </c>
      <c r="C279" s="18" t="s">
        <v>22</v>
      </c>
      <c r="D279" s="63" t="s">
        <v>48</v>
      </c>
      <c r="E279" s="50" t="s">
        <v>369</v>
      </c>
      <c r="F279" s="57">
        <v>3000</v>
      </c>
      <c r="G279" s="76"/>
      <c r="H279" s="57">
        <v>3000</v>
      </c>
      <c r="I279" s="50">
        <v>1</v>
      </c>
      <c r="J279" s="57">
        <v>3000</v>
      </c>
      <c r="K279" s="58">
        <f t="shared" si="62"/>
        <v>3300.0000000000005</v>
      </c>
      <c r="L279" s="18" t="s">
        <v>20</v>
      </c>
      <c r="M279" s="50"/>
    </row>
    <row r="280" spans="1:13" ht="24" hidden="1" customHeight="1" x14ac:dyDescent="0.4">
      <c r="A280" s="62">
        <v>44812</v>
      </c>
      <c r="B280" s="32" t="s">
        <v>382</v>
      </c>
      <c r="C280" s="18" t="s">
        <v>22</v>
      </c>
      <c r="D280" s="63" t="s">
        <v>48</v>
      </c>
      <c r="E280" s="50" t="s">
        <v>369</v>
      </c>
      <c r="F280" s="57">
        <v>3000</v>
      </c>
      <c r="G280" s="76"/>
      <c r="H280" s="57">
        <v>3000</v>
      </c>
      <c r="I280" s="50">
        <v>1</v>
      </c>
      <c r="J280" s="57">
        <v>3000</v>
      </c>
      <c r="K280" s="58">
        <f t="shared" si="62"/>
        <v>3300.0000000000005</v>
      </c>
      <c r="L280" s="18" t="s">
        <v>20</v>
      </c>
      <c r="M280" s="50"/>
    </row>
    <row r="281" spans="1:13" ht="24" hidden="1" customHeight="1" x14ac:dyDescent="0.4">
      <c r="A281" s="62">
        <v>44812</v>
      </c>
      <c r="B281" s="32" t="s">
        <v>383</v>
      </c>
      <c r="C281" s="18" t="s">
        <v>22</v>
      </c>
      <c r="D281" s="63" t="s">
        <v>48</v>
      </c>
      <c r="E281" s="50" t="s">
        <v>369</v>
      </c>
      <c r="F281" s="57">
        <v>3000</v>
      </c>
      <c r="G281" s="76"/>
      <c r="H281" s="57">
        <v>3000</v>
      </c>
      <c r="I281" s="50">
        <v>1</v>
      </c>
      <c r="J281" s="57">
        <v>3000</v>
      </c>
      <c r="K281" s="58">
        <f t="shared" si="62"/>
        <v>3300.0000000000005</v>
      </c>
      <c r="L281" s="18" t="s">
        <v>20</v>
      </c>
      <c r="M281" s="50"/>
    </row>
    <row r="282" spans="1:13" ht="24" hidden="1" customHeight="1" x14ac:dyDescent="0.4">
      <c r="A282" s="62">
        <v>44813</v>
      </c>
      <c r="B282" s="32" t="s">
        <v>384</v>
      </c>
      <c r="C282" s="18" t="s">
        <v>385</v>
      </c>
      <c r="D282" s="63" t="s">
        <v>386</v>
      </c>
      <c r="E282" s="50" t="s">
        <v>387</v>
      </c>
      <c r="F282" s="57">
        <v>1400</v>
      </c>
      <c r="G282" s="76">
        <v>-140</v>
      </c>
      <c r="H282" s="57">
        <v>1260</v>
      </c>
      <c r="I282" s="50">
        <v>1</v>
      </c>
      <c r="J282" s="57">
        <v>1260</v>
      </c>
      <c r="K282" s="58">
        <f t="shared" si="62"/>
        <v>1386</v>
      </c>
      <c r="L282" s="18" t="s">
        <v>20</v>
      </c>
      <c r="M282" s="50"/>
    </row>
    <row r="283" spans="1:13" ht="24" hidden="1" customHeight="1" x14ac:dyDescent="0.4">
      <c r="A283" s="62">
        <v>44813</v>
      </c>
      <c r="B283" s="32" t="s">
        <v>384</v>
      </c>
      <c r="C283" s="18" t="s">
        <v>385</v>
      </c>
      <c r="D283" s="63" t="s">
        <v>386</v>
      </c>
      <c r="E283" s="50" t="s">
        <v>387</v>
      </c>
      <c r="F283" s="57">
        <v>1400</v>
      </c>
      <c r="G283" s="76">
        <v>-140</v>
      </c>
      <c r="H283" s="57">
        <v>1260</v>
      </c>
      <c r="I283" s="50">
        <v>1</v>
      </c>
      <c r="J283" s="57">
        <v>1260</v>
      </c>
      <c r="K283" s="58">
        <v>1386</v>
      </c>
      <c r="L283" s="18" t="s">
        <v>20</v>
      </c>
      <c r="M283" s="50"/>
    </row>
    <row r="284" spans="1:13" ht="24" hidden="1" customHeight="1" x14ac:dyDescent="0.4">
      <c r="A284" s="62">
        <v>44813</v>
      </c>
      <c r="B284" s="32" t="s">
        <v>171</v>
      </c>
      <c r="C284" s="18" t="s">
        <v>17</v>
      </c>
      <c r="D284" s="63" t="s">
        <v>332</v>
      </c>
      <c r="E284" s="50" t="s">
        <v>388</v>
      </c>
      <c r="F284" s="57">
        <v>980</v>
      </c>
      <c r="G284" s="76">
        <v>-98</v>
      </c>
      <c r="H284" s="57">
        <v>882</v>
      </c>
      <c r="I284" s="50">
        <v>1</v>
      </c>
      <c r="J284" s="57">
        <v>882</v>
      </c>
      <c r="K284" s="58">
        <f t="shared" si="62"/>
        <v>970.2</v>
      </c>
      <c r="L284" s="18" t="s">
        <v>20</v>
      </c>
      <c r="M284" s="50"/>
    </row>
    <row r="285" spans="1:13" ht="24" hidden="1" customHeight="1" x14ac:dyDescent="0.4">
      <c r="A285" s="62">
        <v>44814</v>
      </c>
      <c r="B285" s="32" t="s">
        <v>389</v>
      </c>
      <c r="C285" s="18" t="s">
        <v>390</v>
      </c>
      <c r="D285" s="63" t="s">
        <v>391</v>
      </c>
      <c r="E285" s="50" t="s">
        <v>392</v>
      </c>
      <c r="F285" s="57">
        <v>15000</v>
      </c>
      <c r="G285" s="76"/>
      <c r="H285" s="57">
        <v>15000</v>
      </c>
      <c r="I285" s="50">
        <v>1</v>
      </c>
      <c r="J285" s="57">
        <v>15000</v>
      </c>
      <c r="K285" s="58">
        <f t="shared" si="62"/>
        <v>16500</v>
      </c>
      <c r="L285" s="18" t="s">
        <v>20</v>
      </c>
      <c r="M285" s="50"/>
    </row>
    <row r="286" spans="1:13" ht="24" hidden="1" customHeight="1" x14ac:dyDescent="0.4">
      <c r="A286" s="62">
        <v>44814</v>
      </c>
      <c r="B286" s="32" t="s">
        <v>383</v>
      </c>
      <c r="C286" s="18" t="s">
        <v>27</v>
      </c>
      <c r="D286" s="63" t="s">
        <v>28</v>
      </c>
      <c r="E286" s="50" t="s">
        <v>318</v>
      </c>
      <c r="F286" s="57">
        <v>15000</v>
      </c>
      <c r="G286" s="76"/>
      <c r="H286" s="57">
        <v>15000</v>
      </c>
      <c r="I286" s="50">
        <v>1</v>
      </c>
      <c r="J286" s="57">
        <v>15000</v>
      </c>
      <c r="K286" s="58">
        <f t="shared" si="62"/>
        <v>16500</v>
      </c>
      <c r="L286" s="18" t="s">
        <v>20</v>
      </c>
      <c r="M286" s="50"/>
    </row>
    <row r="287" spans="1:13" ht="24" hidden="1" customHeight="1" x14ac:dyDescent="0.4">
      <c r="A287" s="62">
        <v>44814</v>
      </c>
      <c r="B287" s="32" t="s">
        <v>383</v>
      </c>
      <c r="C287" s="18" t="s">
        <v>27</v>
      </c>
      <c r="D287" s="63" t="s">
        <v>28</v>
      </c>
      <c r="E287" s="50" t="s">
        <v>393</v>
      </c>
      <c r="F287" s="57">
        <v>8750</v>
      </c>
      <c r="G287" s="76"/>
      <c r="H287" s="57">
        <v>8750</v>
      </c>
      <c r="I287" s="50">
        <v>1</v>
      </c>
      <c r="J287" s="57">
        <v>8750</v>
      </c>
      <c r="K287" s="58">
        <f t="shared" si="62"/>
        <v>9625</v>
      </c>
      <c r="L287" s="18" t="s">
        <v>20</v>
      </c>
      <c r="M287" s="50"/>
    </row>
    <row r="288" spans="1:13" ht="24" hidden="1" customHeight="1" x14ac:dyDescent="0.4">
      <c r="A288" s="62">
        <v>44814</v>
      </c>
      <c r="B288" s="32" t="s">
        <v>394</v>
      </c>
      <c r="C288" s="18" t="s">
        <v>390</v>
      </c>
      <c r="D288" s="63" t="s">
        <v>395</v>
      </c>
      <c r="E288" s="50" t="s">
        <v>396</v>
      </c>
      <c r="F288" s="57">
        <v>3000</v>
      </c>
      <c r="G288" s="76"/>
      <c r="H288" s="57">
        <v>3000</v>
      </c>
      <c r="I288" s="50">
        <v>1</v>
      </c>
      <c r="J288" s="57">
        <v>3000</v>
      </c>
      <c r="K288" s="58">
        <f t="shared" si="62"/>
        <v>3300.0000000000005</v>
      </c>
      <c r="L288" s="18" t="s">
        <v>20</v>
      </c>
      <c r="M288" s="50"/>
    </row>
    <row r="289" spans="1:13" ht="24" hidden="1" customHeight="1" x14ac:dyDescent="0.4">
      <c r="A289" s="62">
        <v>44814</v>
      </c>
      <c r="B289" s="32" t="s">
        <v>397</v>
      </c>
      <c r="C289" s="18" t="s">
        <v>22</v>
      </c>
      <c r="D289" s="63" t="s">
        <v>23</v>
      </c>
      <c r="E289" s="50" t="s">
        <v>398</v>
      </c>
      <c r="F289" s="57">
        <v>10000</v>
      </c>
      <c r="G289" s="76"/>
      <c r="H289" s="57">
        <v>10000</v>
      </c>
      <c r="I289" s="50">
        <v>1</v>
      </c>
      <c r="J289" s="57">
        <v>10000</v>
      </c>
      <c r="K289" s="58">
        <f t="shared" si="62"/>
        <v>11000</v>
      </c>
      <c r="L289" s="18" t="s">
        <v>20</v>
      </c>
      <c r="M289" s="50"/>
    </row>
    <row r="290" spans="1:13" ht="24" hidden="1" customHeight="1" x14ac:dyDescent="0.4">
      <c r="A290" s="62">
        <v>44814</v>
      </c>
      <c r="B290" s="32" t="s">
        <v>399</v>
      </c>
      <c r="C290" s="18" t="s">
        <v>400</v>
      </c>
      <c r="D290" s="63" t="s">
        <v>292</v>
      </c>
      <c r="E290" s="50" t="s">
        <v>401</v>
      </c>
      <c r="F290" s="57">
        <v>5000</v>
      </c>
      <c r="G290" s="76"/>
      <c r="H290" s="57">
        <v>5000</v>
      </c>
      <c r="I290" s="50">
        <v>1</v>
      </c>
      <c r="J290" s="57">
        <v>5000</v>
      </c>
      <c r="K290" s="58">
        <f t="shared" si="62"/>
        <v>5500</v>
      </c>
      <c r="L290" s="18" t="s">
        <v>25</v>
      </c>
      <c r="M290" s="50"/>
    </row>
    <row r="291" spans="1:13" ht="24" hidden="1" customHeight="1" x14ac:dyDescent="0.4">
      <c r="A291" s="62">
        <v>44815</v>
      </c>
      <c r="B291" s="32" t="s">
        <v>402</v>
      </c>
      <c r="C291" s="18" t="s">
        <v>403</v>
      </c>
      <c r="D291" s="63" t="s">
        <v>404</v>
      </c>
      <c r="E291" s="50" t="s">
        <v>406</v>
      </c>
      <c r="F291" s="57">
        <v>1750</v>
      </c>
      <c r="G291" s="76"/>
      <c r="H291" s="57">
        <v>1750</v>
      </c>
      <c r="I291" s="50">
        <v>2</v>
      </c>
      <c r="J291" s="57">
        <f>H291*I291</f>
        <v>3500</v>
      </c>
      <c r="K291" s="58">
        <f>J291*1.1</f>
        <v>3850.0000000000005</v>
      </c>
      <c r="L291" s="18" t="s">
        <v>25</v>
      </c>
      <c r="M291" s="50" t="s">
        <v>405</v>
      </c>
    </row>
    <row r="292" spans="1:13" ht="24" hidden="1" customHeight="1" x14ac:dyDescent="0.4">
      <c r="A292" s="62">
        <v>44816</v>
      </c>
      <c r="B292" s="32" t="s">
        <v>249</v>
      </c>
      <c r="C292" s="18" t="s">
        <v>407</v>
      </c>
      <c r="D292" s="63" t="s">
        <v>332</v>
      </c>
      <c r="E292" s="50" t="s">
        <v>408</v>
      </c>
      <c r="F292" s="57">
        <v>1400</v>
      </c>
      <c r="G292" s="76">
        <v>-140</v>
      </c>
      <c r="H292" s="57">
        <v>1260</v>
      </c>
      <c r="I292" s="50">
        <v>5</v>
      </c>
      <c r="J292" s="57">
        <f>H292*I292</f>
        <v>6300</v>
      </c>
      <c r="K292" s="58">
        <f>J292*1.1</f>
        <v>6930.0000000000009</v>
      </c>
      <c r="L292" s="18" t="s">
        <v>25</v>
      </c>
      <c r="M292" s="50"/>
    </row>
    <row r="293" spans="1:13" ht="24" hidden="1" customHeight="1" x14ac:dyDescent="0.4">
      <c r="A293" s="62">
        <v>44816</v>
      </c>
      <c r="B293" s="32" t="s">
        <v>249</v>
      </c>
      <c r="C293" s="18" t="s">
        <v>407</v>
      </c>
      <c r="D293" s="63" t="s">
        <v>332</v>
      </c>
      <c r="E293" s="50" t="s">
        <v>409</v>
      </c>
      <c r="F293" s="57">
        <v>1600</v>
      </c>
      <c r="G293" s="76">
        <v>-160</v>
      </c>
      <c r="H293" s="57">
        <v>1440</v>
      </c>
      <c r="I293" s="50">
        <v>3</v>
      </c>
      <c r="J293" s="57">
        <f t="shared" ref="J293:J300" si="63">H293*I293</f>
        <v>4320</v>
      </c>
      <c r="K293" s="58">
        <v>4752</v>
      </c>
      <c r="L293" s="18" t="s">
        <v>25</v>
      </c>
      <c r="M293" s="50"/>
    </row>
    <row r="294" spans="1:13" ht="24" hidden="1" customHeight="1" x14ac:dyDescent="0.4">
      <c r="A294" s="62">
        <v>44816</v>
      </c>
      <c r="B294" s="32" t="s">
        <v>410</v>
      </c>
      <c r="C294" s="18" t="s">
        <v>411</v>
      </c>
      <c r="D294" s="63" t="s">
        <v>412</v>
      </c>
      <c r="E294" s="50" t="s">
        <v>413</v>
      </c>
      <c r="F294" s="57">
        <v>20000</v>
      </c>
      <c r="G294" s="76"/>
      <c r="H294" s="57">
        <v>20000</v>
      </c>
      <c r="I294" s="50">
        <v>1</v>
      </c>
      <c r="J294" s="57">
        <f t="shared" si="63"/>
        <v>20000</v>
      </c>
      <c r="K294" s="58">
        <v>22000</v>
      </c>
      <c r="L294" s="18" t="s">
        <v>414</v>
      </c>
      <c r="M294" s="50"/>
    </row>
    <row r="295" spans="1:13" ht="24" hidden="1" customHeight="1" x14ac:dyDescent="0.4">
      <c r="A295" s="62">
        <v>44816</v>
      </c>
      <c r="B295" s="32" t="s">
        <v>415</v>
      </c>
      <c r="C295" s="18" t="s">
        <v>407</v>
      </c>
      <c r="D295" s="63" t="s">
        <v>416</v>
      </c>
      <c r="E295" s="50" t="s">
        <v>417</v>
      </c>
      <c r="F295" s="57">
        <v>55000</v>
      </c>
      <c r="G295" s="76">
        <v>-11000</v>
      </c>
      <c r="H295" s="57">
        <v>44000</v>
      </c>
      <c r="I295" s="50">
        <v>3</v>
      </c>
      <c r="J295" s="57">
        <f t="shared" si="63"/>
        <v>132000</v>
      </c>
      <c r="K295" s="58">
        <v>145200</v>
      </c>
      <c r="L295" s="18" t="s">
        <v>414</v>
      </c>
      <c r="M295" s="50"/>
    </row>
    <row r="296" spans="1:13" ht="24" hidden="1" customHeight="1" x14ac:dyDescent="0.4">
      <c r="A296" s="62">
        <v>44816</v>
      </c>
      <c r="B296" s="32" t="s">
        <v>415</v>
      </c>
      <c r="C296" s="18" t="s">
        <v>407</v>
      </c>
      <c r="D296" s="63" t="s">
        <v>418</v>
      </c>
      <c r="E296" s="50" t="s">
        <v>419</v>
      </c>
      <c r="F296" s="57">
        <v>2050</v>
      </c>
      <c r="G296" s="76">
        <v>-205</v>
      </c>
      <c r="H296" s="57">
        <v>1845</v>
      </c>
      <c r="I296" s="50">
        <v>3</v>
      </c>
      <c r="J296" s="57">
        <f t="shared" si="63"/>
        <v>5535</v>
      </c>
      <c r="K296" s="58">
        <v>6088</v>
      </c>
      <c r="L296" s="18" t="s">
        <v>414</v>
      </c>
      <c r="M296" s="50"/>
    </row>
    <row r="297" spans="1:13" ht="24" hidden="1" customHeight="1" x14ac:dyDescent="0.4">
      <c r="A297" s="62">
        <v>44816</v>
      </c>
      <c r="B297" s="32" t="s">
        <v>420</v>
      </c>
      <c r="C297" s="18" t="s">
        <v>411</v>
      </c>
      <c r="D297" s="63" t="s">
        <v>421</v>
      </c>
      <c r="E297" s="50" t="s">
        <v>422</v>
      </c>
      <c r="F297" s="57">
        <v>3000</v>
      </c>
      <c r="G297" s="76"/>
      <c r="H297" s="57">
        <v>3000</v>
      </c>
      <c r="I297" s="50">
        <v>1</v>
      </c>
      <c r="J297" s="57">
        <f t="shared" si="63"/>
        <v>3000</v>
      </c>
      <c r="K297" s="58">
        <v>3300</v>
      </c>
      <c r="L297" s="18" t="s">
        <v>414</v>
      </c>
      <c r="M297" s="50"/>
    </row>
    <row r="298" spans="1:13" ht="24" hidden="1" customHeight="1" x14ac:dyDescent="0.4">
      <c r="A298" s="62">
        <v>44818</v>
      </c>
      <c r="B298" s="32" t="s">
        <v>423</v>
      </c>
      <c r="C298" s="18" t="s">
        <v>411</v>
      </c>
      <c r="D298" s="63" t="s">
        <v>412</v>
      </c>
      <c r="E298" s="50" t="s">
        <v>424</v>
      </c>
      <c r="F298" s="57">
        <v>15000</v>
      </c>
      <c r="G298" s="76"/>
      <c r="H298" s="57">
        <v>15000</v>
      </c>
      <c r="I298" s="50">
        <v>1</v>
      </c>
      <c r="J298" s="57">
        <f t="shared" si="63"/>
        <v>15000</v>
      </c>
      <c r="K298" s="58">
        <v>16500</v>
      </c>
      <c r="L298" s="18" t="s">
        <v>414</v>
      </c>
      <c r="M298" s="50"/>
    </row>
    <row r="299" spans="1:13" ht="24" hidden="1" customHeight="1" x14ac:dyDescent="0.4">
      <c r="A299" s="62">
        <v>44818</v>
      </c>
      <c r="B299" s="32" t="s">
        <v>273</v>
      </c>
      <c r="C299" s="18" t="s">
        <v>425</v>
      </c>
      <c r="D299" s="63" t="s">
        <v>426</v>
      </c>
      <c r="E299" s="50" t="s">
        <v>427</v>
      </c>
      <c r="F299" s="57">
        <v>2150</v>
      </c>
      <c r="G299" s="76">
        <v>-215</v>
      </c>
      <c r="H299" s="57">
        <v>1935</v>
      </c>
      <c r="I299" s="50">
        <v>1</v>
      </c>
      <c r="J299" s="57">
        <f t="shared" si="63"/>
        <v>1935</v>
      </c>
      <c r="K299" s="58">
        <v>2128</v>
      </c>
      <c r="L299" s="18" t="s">
        <v>25</v>
      </c>
      <c r="M299" s="50"/>
    </row>
    <row r="300" spans="1:13" ht="24" hidden="1" customHeight="1" x14ac:dyDescent="0.4">
      <c r="A300" s="62">
        <v>44819</v>
      </c>
      <c r="B300" s="32" t="s">
        <v>428</v>
      </c>
      <c r="C300" s="18" t="s">
        <v>429</v>
      </c>
      <c r="D300" s="63" t="s">
        <v>430</v>
      </c>
      <c r="E300" s="50" t="s">
        <v>431</v>
      </c>
      <c r="F300" s="57">
        <v>2000</v>
      </c>
      <c r="G300" s="76">
        <v>-200</v>
      </c>
      <c r="H300" s="57">
        <v>1800</v>
      </c>
      <c r="I300" s="50">
        <v>1</v>
      </c>
      <c r="J300" s="57">
        <f t="shared" si="63"/>
        <v>1800</v>
      </c>
      <c r="K300" s="58">
        <v>1980</v>
      </c>
      <c r="L300" s="18" t="s">
        <v>25</v>
      </c>
      <c r="M300" s="50"/>
    </row>
    <row r="301" spans="1:13" ht="24" hidden="1" customHeight="1" x14ac:dyDescent="0.4">
      <c r="A301" s="62">
        <v>44821</v>
      </c>
      <c r="B301" s="32" t="s">
        <v>432</v>
      </c>
      <c r="C301" s="18" t="s">
        <v>433</v>
      </c>
      <c r="D301" s="63" t="s">
        <v>434</v>
      </c>
      <c r="E301" s="50" t="s">
        <v>435</v>
      </c>
      <c r="F301" s="57">
        <v>20000</v>
      </c>
      <c r="G301" s="76"/>
      <c r="H301" s="57">
        <v>20000</v>
      </c>
      <c r="I301" s="50">
        <v>1</v>
      </c>
      <c r="J301" s="57">
        <v>20000</v>
      </c>
      <c r="K301" s="58">
        <v>22000</v>
      </c>
      <c r="L301" s="18" t="s">
        <v>25</v>
      </c>
      <c r="M301" s="50"/>
    </row>
    <row r="302" spans="1:13" ht="24" hidden="1" customHeight="1" x14ac:dyDescent="0.4">
      <c r="A302" s="62">
        <v>44821</v>
      </c>
      <c r="B302" s="32" t="s">
        <v>436</v>
      </c>
      <c r="C302" s="18" t="s">
        <v>27</v>
      </c>
      <c r="D302" s="63" t="s">
        <v>28</v>
      </c>
      <c r="E302" s="50" t="s">
        <v>73</v>
      </c>
      <c r="F302" s="57">
        <v>2000</v>
      </c>
      <c r="G302" s="76"/>
      <c r="H302" s="57">
        <v>2000</v>
      </c>
      <c r="I302" s="50">
        <v>2</v>
      </c>
      <c r="J302" s="57">
        <f>H302*I302</f>
        <v>4000</v>
      </c>
      <c r="K302" s="58">
        <f>J302*1.1</f>
        <v>4400</v>
      </c>
      <c r="L302" s="18" t="s">
        <v>443</v>
      </c>
      <c r="M302" s="50"/>
    </row>
    <row r="303" spans="1:13" ht="24" hidden="1" customHeight="1" x14ac:dyDescent="0.4">
      <c r="A303" s="62">
        <v>44821</v>
      </c>
      <c r="B303" s="32" t="s">
        <v>432</v>
      </c>
      <c r="C303" s="18" t="s">
        <v>437</v>
      </c>
      <c r="D303" s="63" t="s">
        <v>328</v>
      </c>
      <c r="E303" s="50" t="s">
        <v>438</v>
      </c>
      <c r="F303" s="57">
        <v>50000</v>
      </c>
      <c r="G303" s="76">
        <v>-10000</v>
      </c>
      <c r="H303" s="57">
        <v>40000</v>
      </c>
      <c r="I303" s="50">
        <v>1</v>
      </c>
      <c r="J303" s="57">
        <f t="shared" ref="J303:J334" si="64">H303*I303</f>
        <v>40000</v>
      </c>
      <c r="K303" s="58">
        <f t="shared" ref="K303:K334" si="65">J303*1.1</f>
        <v>44000</v>
      </c>
      <c r="L303" s="18" t="s">
        <v>25</v>
      </c>
      <c r="M303" s="50"/>
    </row>
    <row r="304" spans="1:13" ht="24" hidden="1" customHeight="1" x14ac:dyDescent="0.4">
      <c r="A304" s="62">
        <v>44821</v>
      </c>
      <c r="B304" s="32" t="s">
        <v>432</v>
      </c>
      <c r="C304" s="18" t="s">
        <v>437</v>
      </c>
      <c r="D304" s="63" t="s">
        <v>328</v>
      </c>
      <c r="E304" s="50" t="s">
        <v>439</v>
      </c>
      <c r="F304" s="57">
        <v>50000</v>
      </c>
      <c r="G304" s="76">
        <v>-10000</v>
      </c>
      <c r="H304" s="57">
        <v>40000</v>
      </c>
      <c r="I304" s="50">
        <v>1</v>
      </c>
      <c r="J304" s="57">
        <f t="shared" si="64"/>
        <v>40000</v>
      </c>
      <c r="K304" s="58">
        <f t="shared" si="65"/>
        <v>44000</v>
      </c>
      <c r="L304" s="18" t="s">
        <v>25</v>
      </c>
      <c r="M304" s="50"/>
    </row>
    <row r="305" spans="1:13" ht="24" hidden="1" customHeight="1" x14ac:dyDescent="0.4">
      <c r="A305" s="62">
        <v>44821</v>
      </c>
      <c r="B305" s="32" t="s">
        <v>432</v>
      </c>
      <c r="C305" s="18" t="s">
        <v>437</v>
      </c>
      <c r="D305" s="63" t="s">
        <v>332</v>
      </c>
      <c r="E305" s="50" t="s">
        <v>440</v>
      </c>
      <c r="F305" s="57">
        <v>980</v>
      </c>
      <c r="G305" s="76"/>
      <c r="H305" s="57">
        <v>980</v>
      </c>
      <c r="I305" s="50">
        <v>2</v>
      </c>
      <c r="J305" s="57">
        <f t="shared" si="64"/>
        <v>1960</v>
      </c>
      <c r="K305" s="58">
        <f t="shared" si="65"/>
        <v>2156</v>
      </c>
      <c r="L305" s="18" t="s">
        <v>25</v>
      </c>
      <c r="M305" s="50"/>
    </row>
    <row r="306" spans="1:13" ht="24" hidden="1" customHeight="1" x14ac:dyDescent="0.4">
      <c r="A306" s="62">
        <v>44821</v>
      </c>
      <c r="B306" s="32" t="s">
        <v>441</v>
      </c>
      <c r="C306" s="18" t="s">
        <v>433</v>
      </c>
      <c r="D306" s="63" t="s">
        <v>260</v>
      </c>
      <c r="E306" s="50" t="s">
        <v>442</v>
      </c>
      <c r="F306" s="57">
        <v>15000</v>
      </c>
      <c r="G306" s="76">
        <v>-7500</v>
      </c>
      <c r="H306" s="57">
        <v>7500</v>
      </c>
      <c r="I306" s="50">
        <v>1</v>
      </c>
      <c r="J306" s="57">
        <f t="shared" si="64"/>
        <v>7500</v>
      </c>
      <c r="K306" s="58">
        <f t="shared" si="65"/>
        <v>8250</v>
      </c>
      <c r="L306" s="18" t="s">
        <v>443</v>
      </c>
      <c r="M306" s="50" t="s">
        <v>451</v>
      </c>
    </row>
    <row r="307" spans="1:13" ht="24" hidden="1" customHeight="1" x14ac:dyDescent="0.4">
      <c r="A307" s="62">
        <v>44821</v>
      </c>
      <c r="B307" s="32" t="s">
        <v>441</v>
      </c>
      <c r="C307" s="18" t="s">
        <v>437</v>
      </c>
      <c r="D307" s="63" t="s">
        <v>328</v>
      </c>
      <c r="E307" s="50" t="s">
        <v>444</v>
      </c>
      <c r="F307" s="57">
        <v>60000</v>
      </c>
      <c r="G307" s="76">
        <v>-12000</v>
      </c>
      <c r="H307" s="57">
        <v>48000</v>
      </c>
      <c r="I307" s="50">
        <v>1</v>
      </c>
      <c r="J307" s="57">
        <f t="shared" si="64"/>
        <v>48000</v>
      </c>
      <c r="K307" s="58">
        <f t="shared" si="65"/>
        <v>52800.000000000007</v>
      </c>
      <c r="L307" s="18" t="s">
        <v>25</v>
      </c>
      <c r="M307" s="50"/>
    </row>
    <row r="308" spans="1:13" ht="24" hidden="1" customHeight="1" x14ac:dyDescent="0.4">
      <c r="A308" s="62">
        <v>44821</v>
      </c>
      <c r="B308" s="32" t="s">
        <v>441</v>
      </c>
      <c r="C308" s="18" t="s">
        <v>437</v>
      </c>
      <c r="D308" s="63" t="s">
        <v>445</v>
      </c>
      <c r="E308" s="50" t="s">
        <v>446</v>
      </c>
      <c r="F308" s="57">
        <v>1300</v>
      </c>
      <c r="G308" s="76"/>
      <c r="H308" s="57">
        <v>1300</v>
      </c>
      <c r="I308" s="50">
        <v>1</v>
      </c>
      <c r="J308" s="57">
        <f t="shared" si="64"/>
        <v>1300</v>
      </c>
      <c r="K308" s="58">
        <f t="shared" si="65"/>
        <v>1430.0000000000002</v>
      </c>
      <c r="L308" s="18" t="s">
        <v>25</v>
      </c>
      <c r="M308" s="50"/>
    </row>
    <row r="309" spans="1:13" ht="24" hidden="1" customHeight="1" x14ac:dyDescent="0.4">
      <c r="A309" s="62">
        <v>44821</v>
      </c>
      <c r="B309" s="32" t="s">
        <v>447</v>
      </c>
      <c r="C309" s="18" t="s">
        <v>433</v>
      </c>
      <c r="D309" s="63" t="s">
        <v>260</v>
      </c>
      <c r="E309" s="50" t="s">
        <v>442</v>
      </c>
      <c r="F309" s="57">
        <v>15000</v>
      </c>
      <c r="G309" s="76">
        <v>-5000</v>
      </c>
      <c r="H309" s="57">
        <v>10000</v>
      </c>
      <c r="I309" s="50">
        <v>1</v>
      </c>
      <c r="J309" s="57">
        <f t="shared" si="64"/>
        <v>10000</v>
      </c>
      <c r="K309" s="58">
        <f t="shared" si="65"/>
        <v>11000</v>
      </c>
      <c r="L309" s="18" t="s">
        <v>34</v>
      </c>
      <c r="M309" s="50" t="s">
        <v>451</v>
      </c>
    </row>
    <row r="310" spans="1:13" ht="24" hidden="1" customHeight="1" x14ac:dyDescent="0.4">
      <c r="A310" s="62">
        <v>44821</v>
      </c>
      <c r="B310" s="32" t="s">
        <v>447</v>
      </c>
      <c r="C310" s="18" t="s">
        <v>437</v>
      </c>
      <c r="D310" s="63" t="s">
        <v>328</v>
      </c>
      <c r="E310" s="50" t="s">
        <v>448</v>
      </c>
      <c r="F310" s="57">
        <v>60000</v>
      </c>
      <c r="G310" s="76">
        <v>-12000</v>
      </c>
      <c r="H310" s="57">
        <v>48000</v>
      </c>
      <c r="I310" s="50">
        <v>1</v>
      </c>
      <c r="J310" s="57">
        <f t="shared" si="64"/>
        <v>48000</v>
      </c>
      <c r="K310" s="58">
        <f t="shared" si="65"/>
        <v>52800.000000000007</v>
      </c>
      <c r="L310" s="18" t="s">
        <v>34</v>
      </c>
      <c r="M310" s="50"/>
    </row>
    <row r="311" spans="1:13" ht="21.75" hidden="1" customHeight="1" x14ac:dyDescent="0.4">
      <c r="A311" s="62">
        <v>44821</v>
      </c>
      <c r="B311" s="32" t="s">
        <v>447</v>
      </c>
      <c r="C311" s="18" t="s">
        <v>437</v>
      </c>
      <c r="D311" s="63" t="s">
        <v>332</v>
      </c>
      <c r="E311" s="50" t="s">
        <v>449</v>
      </c>
      <c r="F311" s="57">
        <v>980</v>
      </c>
      <c r="G311" s="76"/>
      <c r="H311" s="57">
        <v>980</v>
      </c>
      <c r="I311" s="50">
        <v>1</v>
      </c>
      <c r="J311" s="57">
        <f t="shared" si="64"/>
        <v>980</v>
      </c>
      <c r="K311" s="58">
        <f t="shared" si="65"/>
        <v>1078</v>
      </c>
      <c r="L311" s="18" t="s">
        <v>34</v>
      </c>
      <c r="M311" s="50"/>
    </row>
    <row r="312" spans="1:13" ht="21.75" hidden="1" customHeight="1" x14ac:dyDescent="0.4">
      <c r="A312" s="62">
        <v>44821</v>
      </c>
      <c r="B312" s="32" t="s">
        <v>447</v>
      </c>
      <c r="C312" s="18" t="s">
        <v>437</v>
      </c>
      <c r="D312" s="63" t="s">
        <v>330</v>
      </c>
      <c r="E312" s="50" t="s">
        <v>450</v>
      </c>
      <c r="F312" s="57">
        <v>4000</v>
      </c>
      <c r="G312" s="76"/>
      <c r="H312" s="57">
        <v>4000</v>
      </c>
      <c r="I312" s="50">
        <v>1</v>
      </c>
      <c r="J312" s="57">
        <f t="shared" si="64"/>
        <v>4000</v>
      </c>
      <c r="K312" s="58">
        <f t="shared" si="65"/>
        <v>4400</v>
      </c>
      <c r="L312" s="18" t="s">
        <v>34</v>
      </c>
      <c r="M312" s="50"/>
    </row>
    <row r="313" spans="1:13" ht="21.75" hidden="1" customHeight="1" x14ac:dyDescent="0.4">
      <c r="A313" s="62">
        <v>44822</v>
      </c>
      <c r="B313" s="32" t="s">
        <v>452</v>
      </c>
      <c r="C313" s="18" t="s">
        <v>27</v>
      </c>
      <c r="D313" s="63" t="s">
        <v>28</v>
      </c>
      <c r="E313" s="50" t="s">
        <v>318</v>
      </c>
      <c r="F313" s="57">
        <v>15000</v>
      </c>
      <c r="G313" s="76"/>
      <c r="H313" s="57">
        <v>15000</v>
      </c>
      <c r="I313" s="50">
        <v>1</v>
      </c>
      <c r="J313" s="57">
        <f t="shared" si="64"/>
        <v>15000</v>
      </c>
      <c r="K313" s="58">
        <f t="shared" si="65"/>
        <v>16500</v>
      </c>
      <c r="L313" s="18" t="s">
        <v>25</v>
      </c>
      <c r="M313" s="50"/>
    </row>
    <row r="314" spans="1:13" ht="21.75" hidden="1" customHeight="1" x14ac:dyDescent="0.4">
      <c r="A314" s="62">
        <v>44822</v>
      </c>
      <c r="B314" s="32" t="s">
        <v>452</v>
      </c>
      <c r="C314" s="18" t="s">
        <v>27</v>
      </c>
      <c r="D314" s="63" t="s">
        <v>28</v>
      </c>
      <c r="E314" s="50" t="s">
        <v>453</v>
      </c>
      <c r="F314" s="57">
        <v>4370</v>
      </c>
      <c r="G314" s="76"/>
      <c r="H314" s="57">
        <v>4370</v>
      </c>
      <c r="I314" s="50">
        <v>1</v>
      </c>
      <c r="J314" s="57">
        <f t="shared" si="64"/>
        <v>4370</v>
      </c>
      <c r="K314" s="58">
        <f t="shared" si="65"/>
        <v>4807</v>
      </c>
      <c r="L314" s="18" t="s">
        <v>25</v>
      </c>
      <c r="M314" s="50"/>
    </row>
    <row r="315" spans="1:13" ht="21.75" hidden="1" customHeight="1" x14ac:dyDescent="0.4">
      <c r="A315" s="62">
        <v>44822</v>
      </c>
      <c r="B315" s="32" t="s">
        <v>452</v>
      </c>
      <c r="C315" s="18" t="s">
        <v>27</v>
      </c>
      <c r="D315" s="63" t="s">
        <v>28</v>
      </c>
      <c r="E315" s="50" t="s">
        <v>454</v>
      </c>
      <c r="F315" s="57">
        <v>17500</v>
      </c>
      <c r="G315" s="76"/>
      <c r="H315" s="57">
        <v>17500</v>
      </c>
      <c r="I315" s="50">
        <v>1</v>
      </c>
      <c r="J315" s="57">
        <f t="shared" si="64"/>
        <v>17500</v>
      </c>
      <c r="K315" s="58">
        <f t="shared" si="65"/>
        <v>19250</v>
      </c>
      <c r="L315" s="18" t="s">
        <v>25</v>
      </c>
      <c r="M315" s="50"/>
    </row>
    <row r="316" spans="1:13" ht="21.75" hidden="1" customHeight="1" x14ac:dyDescent="0.4">
      <c r="A316" s="62">
        <v>44822</v>
      </c>
      <c r="B316" s="32" t="s">
        <v>184</v>
      </c>
      <c r="C316" s="18" t="s">
        <v>17</v>
      </c>
      <c r="D316" s="63" t="s">
        <v>455</v>
      </c>
      <c r="E316" s="50" t="s">
        <v>456</v>
      </c>
      <c r="F316" s="57">
        <v>3000</v>
      </c>
      <c r="G316" s="76">
        <v>-300</v>
      </c>
      <c r="H316" s="57">
        <v>2700</v>
      </c>
      <c r="I316" s="50">
        <v>1</v>
      </c>
      <c r="J316" s="57">
        <f t="shared" si="64"/>
        <v>2700</v>
      </c>
      <c r="K316" s="58">
        <f t="shared" si="65"/>
        <v>2970.0000000000005</v>
      </c>
      <c r="L316" s="18" t="s">
        <v>462</v>
      </c>
      <c r="M316" s="50"/>
    </row>
    <row r="317" spans="1:13" ht="21.75" hidden="1" customHeight="1" x14ac:dyDescent="0.4">
      <c r="A317" s="62">
        <v>44823</v>
      </c>
      <c r="B317" s="32" t="s">
        <v>457</v>
      </c>
      <c r="C317" s="18" t="s">
        <v>458</v>
      </c>
      <c r="D317" s="63" t="s">
        <v>459</v>
      </c>
      <c r="E317" s="50" t="s">
        <v>460</v>
      </c>
      <c r="F317" s="57">
        <v>3000</v>
      </c>
      <c r="G317" s="76"/>
      <c r="H317" s="57">
        <v>3000</v>
      </c>
      <c r="I317" s="50">
        <v>1</v>
      </c>
      <c r="J317" s="57">
        <f t="shared" si="64"/>
        <v>3000</v>
      </c>
      <c r="K317" s="58">
        <f t="shared" si="65"/>
        <v>3300.0000000000005</v>
      </c>
      <c r="L317" s="18" t="s">
        <v>25</v>
      </c>
      <c r="M317" s="50"/>
    </row>
    <row r="318" spans="1:13" ht="21.75" hidden="1" customHeight="1" x14ac:dyDescent="0.4">
      <c r="A318" s="62">
        <v>44823</v>
      </c>
      <c r="B318" s="32" t="s">
        <v>457</v>
      </c>
      <c r="C318" s="18" t="s">
        <v>458</v>
      </c>
      <c r="D318" s="63" t="s">
        <v>459</v>
      </c>
      <c r="E318" s="50" t="s">
        <v>461</v>
      </c>
      <c r="F318" s="57">
        <v>5000</v>
      </c>
      <c r="G318" s="76"/>
      <c r="H318" s="57">
        <v>5000</v>
      </c>
      <c r="I318" s="50">
        <v>1</v>
      </c>
      <c r="J318" s="57">
        <f t="shared" si="64"/>
        <v>5000</v>
      </c>
      <c r="K318" s="58">
        <f t="shared" si="65"/>
        <v>5500</v>
      </c>
      <c r="L318" s="18" t="s">
        <v>25</v>
      </c>
      <c r="M318" s="50"/>
    </row>
    <row r="319" spans="1:13" ht="21.75" hidden="1" customHeight="1" x14ac:dyDescent="0.4">
      <c r="A319" s="62">
        <v>44823</v>
      </c>
      <c r="B319" s="32" t="s">
        <v>463</v>
      </c>
      <c r="C319" s="18" t="s">
        <v>22</v>
      </c>
      <c r="D319" s="63" t="s">
        <v>23</v>
      </c>
      <c r="E319" s="50" t="s">
        <v>464</v>
      </c>
      <c r="F319" s="57">
        <v>10000</v>
      </c>
      <c r="G319" s="76"/>
      <c r="H319" s="57">
        <v>10000</v>
      </c>
      <c r="I319" s="50">
        <v>1</v>
      </c>
      <c r="J319" s="57">
        <f t="shared" si="64"/>
        <v>10000</v>
      </c>
      <c r="K319" s="58">
        <f t="shared" si="65"/>
        <v>11000</v>
      </c>
      <c r="L319" s="18" t="s">
        <v>25</v>
      </c>
      <c r="M319" s="50"/>
    </row>
    <row r="320" spans="1:13" ht="21.75" hidden="1" customHeight="1" x14ac:dyDescent="0.4">
      <c r="A320" s="62">
        <v>44823</v>
      </c>
      <c r="B320" s="32" t="s">
        <v>463</v>
      </c>
      <c r="C320" s="18" t="s">
        <v>22</v>
      </c>
      <c r="D320" s="63" t="s">
        <v>23</v>
      </c>
      <c r="E320" s="50" t="s">
        <v>464</v>
      </c>
      <c r="F320" s="57">
        <v>3500</v>
      </c>
      <c r="G320" s="76"/>
      <c r="H320" s="57">
        <v>3500</v>
      </c>
      <c r="I320" s="50">
        <v>1</v>
      </c>
      <c r="J320" s="57">
        <f t="shared" si="64"/>
        <v>3500</v>
      </c>
      <c r="K320" s="58">
        <f t="shared" si="65"/>
        <v>3850.0000000000005</v>
      </c>
      <c r="L320" s="18" t="s">
        <v>462</v>
      </c>
      <c r="M320" s="50"/>
    </row>
    <row r="321" spans="1:13" ht="21.75" hidden="1" customHeight="1" x14ac:dyDescent="0.4">
      <c r="A321" s="62">
        <v>44824</v>
      </c>
      <c r="B321" s="32" t="s">
        <v>465</v>
      </c>
      <c r="C321" s="18" t="s">
        <v>27</v>
      </c>
      <c r="D321" s="63" t="s">
        <v>28</v>
      </c>
      <c r="E321" s="50" t="s">
        <v>466</v>
      </c>
      <c r="F321" s="57">
        <v>9800</v>
      </c>
      <c r="G321" s="76"/>
      <c r="H321" s="57">
        <v>9800</v>
      </c>
      <c r="I321" s="50">
        <v>1</v>
      </c>
      <c r="J321" s="57">
        <f t="shared" si="64"/>
        <v>9800</v>
      </c>
      <c r="K321" s="58">
        <f t="shared" si="65"/>
        <v>10780</v>
      </c>
      <c r="L321" s="18" t="s">
        <v>25</v>
      </c>
      <c r="M321" s="50"/>
    </row>
    <row r="322" spans="1:13" ht="21.75" hidden="1" customHeight="1" x14ac:dyDescent="0.4">
      <c r="A322" s="62">
        <v>44824</v>
      </c>
      <c r="B322" s="32" t="s">
        <v>467</v>
      </c>
      <c r="C322" s="18" t="s">
        <v>22</v>
      </c>
      <c r="D322" s="63" t="s">
        <v>23</v>
      </c>
      <c r="E322" s="50" t="s">
        <v>442</v>
      </c>
      <c r="F322" s="57">
        <v>15000</v>
      </c>
      <c r="G322" s="76"/>
      <c r="H322" s="57">
        <v>15000</v>
      </c>
      <c r="I322" s="50">
        <v>1</v>
      </c>
      <c r="J322" s="57">
        <f t="shared" si="64"/>
        <v>15000</v>
      </c>
      <c r="K322" s="58">
        <f t="shared" si="65"/>
        <v>16500</v>
      </c>
      <c r="L322" s="18" t="s">
        <v>25</v>
      </c>
      <c r="M322" s="50"/>
    </row>
    <row r="323" spans="1:13" ht="21.75" hidden="1" customHeight="1" x14ac:dyDescent="0.4">
      <c r="A323" s="62">
        <v>44824</v>
      </c>
      <c r="B323" s="32" t="s">
        <v>468</v>
      </c>
      <c r="C323" s="18" t="s">
        <v>27</v>
      </c>
      <c r="D323" s="63" t="s">
        <v>103</v>
      </c>
      <c r="E323" s="50" t="s">
        <v>104</v>
      </c>
      <c r="F323" s="57">
        <v>2500</v>
      </c>
      <c r="G323" s="76"/>
      <c r="H323" s="57">
        <v>2500</v>
      </c>
      <c r="I323" s="50">
        <v>1</v>
      </c>
      <c r="J323" s="57">
        <f t="shared" si="64"/>
        <v>2500</v>
      </c>
      <c r="K323" s="58">
        <f t="shared" si="65"/>
        <v>2750</v>
      </c>
      <c r="L323" s="18" t="s">
        <v>469</v>
      </c>
      <c r="M323" s="50"/>
    </row>
    <row r="324" spans="1:13" ht="21.75" hidden="1" customHeight="1" x14ac:dyDescent="0.4">
      <c r="A324" s="62">
        <v>44824</v>
      </c>
      <c r="B324" s="32" t="s">
        <v>467</v>
      </c>
      <c r="C324" s="18" t="s">
        <v>198</v>
      </c>
      <c r="D324" s="63" t="s">
        <v>23</v>
      </c>
      <c r="E324" s="50" t="s">
        <v>199</v>
      </c>
      <c r="F324" s="57"/>
      <c r="G324" s="76"/>
      <c r="H324" s="57"/>
      <c r="I324" s="50">
        <v>1</v>
      </c>
      <c r="J324" s="57">
        <v>-15000</v>
      </c>
      <c r="K324" s="58">
        <v>-16500</v>
      </c>
      <c r="L324" s="18" t="s">
        <v>34</v>
      </c>
      <c r="M324" s="50" t="s">
        <v>473</v>
      </c>
    </row>
    <row r="325" spans="1:13" ht="21.75" hidden="1" customHeight="1" x14ac:dyDescent="0.4">
      <c r="A325" s="62">
        <v>44824</v>
      </c>
      <c r="B325" s="32" t="s">
        <v>467</v>
      </c>
      <c r="C325" s="18" t="s">
        <v>470</v>
      </c>
      <c r="D325" s="63" t="s">
        <v>328</v>
      </c>
      <c r="E325" s="50" t="s">
        <v>471</v>
      </c>
      <c r="F325" s="57">
        <v>50000</v>
      </c>
      <c r="G325" s="76">
        <v>-10000</v>
      </c>
      <c r="H325" s="57">
        <v>40000</v>
      </c>
      <c r="I325" s="50">
        <v>1</v>
      </c>
      <c r="J325" s="57">
        <f t="shared" si="64"/>
        <v>40000</v>
      </c>
      <c r="K325" s="58">
        <f t="shared" si="65"/>
        <v>44000</v>
      </c>
      <c r="L325" s="18" t="s">
        <v>34</v>
      </c>
      <c r="M325" s="50"/>
    </row>
    <row r="326" spans="1:13" ht="21.75" hidden="1" customHeight="1" x14ac:dyDescent="0.4">
      <c r="A326" s="62">
        <v>44824</v>
      </c>
      <c r="B326" s="32" t="s">
        <v>467</v>
      </c>
      <c r="C326" s="18" t="s">
        <v>17</v>
      </c>
      <c r="D326" s="63" t="s">
        <v>455</v>
      </c>
      <c r="E326" s="50" t="s">
        <v>472</v>
      </c>
      <c r="F326" s="57">
        <v>980</v>
      </c>
      <c r="G326" s="76"/>
      <c r="H326" s="57">
        <v>980</v>
      </c>
      <c r="I326" s="50">
        <v>1</v>
      </c>
      <c r="J326" s="57">
        <f t="shared" si="64"/>
        <v>980</v>
      </c>
      <c r="K326" s="58">
        <f t="shared" si="65"/>
        <v>1078</v>
      </c>
      <c r="L326" s="18" t="s">
        <v>34</v>
      </c>
      <c r="M326" s="50"/>
    </row>
    <row r="327" spans="1:13" ht="21.75" hidden="1" customHeight="1" x14ac:dyDescent="0.4">
      <c r="A327" s="62">
        <v>44824</v>
      </c>
      <c r="B327" s="32" t="s">
        <v>474</v>
      </c>
      <c r="C327" s="18" t="s">
        <v>22</v>
      </c>
      <c r="D327" s="63" t="s">
        <v>23</v>
      </c>
      <c r="E327" s="50" t="s">
        <v>442</v>
      </c>
      <c r="F327" s="57">
        <v>15000</v>
      </c>
      <c r="G327" s="76"/>
      <c r="H327" s="57">
        <v>15000</v>
      </c>
      <c r="I327" s="50">
        <v>1</v>
      </c>
      <c r="J327" s="57">
        <f t="shared" si="64"/>
        <v>15000</v>
      </c>
      <c r="K327" s="58">
        <f t="shared" si="65"/>
        <v>16500</v>
      </c>
      <c r="L327" s="18" t="s">
        <v>469</v>
      </c>
      <c r="M327" s="50"/>
    </row>
    <row r="328" spans="1:13" ht="21.75" hidden="1" customHeight="1" x14ac:dyDescent="0.4">
      <c r="A328" s="62">
        <v>44824</v>
      </c>
      <c r="B328" s="32" t="s">
        <v>474</v>
      </c>
      <c r="C328" s="18" t="s">
        <v>475</v>
      </c>
      <c r="D328" s="63" t="s">
        <v>328</v>
      </c>
      <c r="E328" s="50" t="s">
        <v>478</v>
      </c>
      <c r="F328" s="57">
        <v>45000</v>
      </c>
      <c r="G328" s="76">
        <v>-9000</v>
      </c>
      <c r="H328" s="57">
        <v>36000</v>
      </c>
      <c r="I328" s="50">
        <v>1</v>
      </c>
      <c r="J328" s="57">
        <f t="shared" si="64"/>
        <v>36000</v>
      </c>
      <c r="K328" s="58">
        <f t="shared" si="65"/>
        <v>39600</v>
      </c>
      <c r="L328" s="18" t="s">
        <v>34</v>
      </c>
      <c r="M328" s="50"/>
    </row>
    <row r="329" spans="1:13" ht="21.75" hidden="1" customHeight="1" x14ac:dyDescent="0.4">
      <c r="A329" s="62">
        <v>44824</v>
      </c>
      <c r="B329" s="32" t="s">
        <v>474</v>
      </c>
      <c r="C329" s="18" t="s">
        <v>475</v>
      </c>
      <c r="D329" s="63" t="s">
        <v>476</v>
      </c>
      <c r="E329" s="50" t="s">
        <v>479</v>
      </c>
      <c r="F329" s="57">
        <v>75000</v>
      </c>
      <c r="G329" s="76">
        <v>-3750</v>
      </c>
      <c r="H329" s="57">
        <v>71250</v>
      </c>
      <c r="I329" s="50">
        <v>1</v>
      </c>
      <c r="J329" s="57">
        <f t="shared" si="64"/>
        <v>71250</v>
      </c>
      <c r="K329" s="58">
        <f t="shared" si="65"/>
        <v>78375</v>
      </c>
      <c r="L329" s="18" t="s">
        <v>34</v>
      </c>
      <c r="M329" s="50"/>
    </row>
    <row r="330" spans="1:13" ht="21.75" hidden="1" customHeight="1" x14ac:dyDescent="0.4">
      <c r="A330" s="62">
        <v>44824</v>
      </c>
      <c r="B330" s="32" t="s">
        <v>474</v>
      </c>
      <c r="C330" s="18" t="s">
        <v>475</v>
      </c>
      <c r="D330" s="63" t="s">
        <v>330</v>
      </c>
      <c r="E330" s="50" t="s">
        <v>480</v>
      </c>
      <c r="F330" s="57">
        <v>4000</v>
      </c>
      <c r="G330" s="76"/>
      <c r="H330" s="57">
        <v>4000</v>
      </c>
      <c r="I330" s="50">
        <v>1</v>
      </c>
      <c r="J330" s="57">
        <f t="shared" si="64"/>
        <v>4000</v>
      </c>
      <c r="K330" s="58">
        <f t="shared" si="65"/>
        <v>4400</v>
      </c>
      <c r="L330" s="18" t="s">
        <v>34</v>
      </c>
      <c r="M330" s="50"/>
    </row>
    <row r="331" spans="1:13" ht="21.75" hidden="1" customHeight="1" x14ac:dyDescent="0.4">
      <c r="A331" s="62">
        <v>44824</v>
      </c>
      <c r="B331" s="32" t="s">
        <v>474</v>
      </c>
      <c r="C331" s="18" t="s">
        <v>475</v>
      </c>
      <c r="D331" s="63" t="s">
        <v>477</v>
      </c>
      <c r="E331" s="50" t="s">
        <v>481</v>
      </c>
      <c r="F331" s="57">
        <v>1650</v>
      </c>
      <c r="G331" s="76"/>
      <c r="H331" s="57">
        <v>1650</v>
      </c>
      <c r="I331" s="50">
        <v>1</v>
      </c>
      <c r="J331" s="57">
        <f t="shared" si="64"/>
        <v>1650</v>
      </c>
      <c r="K331" s="58">
        <f t="shared" si="65"/>
        <v>1815.0000000000002</v>
      </c>
      <c r="L331" s="18" t="s">
        <v>34</v>
      </c>
      <c r="M331" s="50"/>
    </row>
    <row r="332" spans="1:13" ht="21.75" hidden="1" customHeight="1" x14ac:dyDescent="0.4">
      <c r="A332" s="62">
        <v>44826</v>
      </c>
      <c r="B332" s="32" t="s">
        <v>410</v>
      </c>
      <c r="C332" s="18" t="s">
        <v>22</v>
      </c>
      <c r="D332" s="63" t="s">
        <v>23</v>
      </c>
      <c r="E332" s="50" t="s">
        <v>442</v>
      </c>
      <c r="F332" s="57">
        <v>15000</v>
      </c>
      <c r="G332" s="76"/>
      <c r="H332" s="57">
        <v>15000</v>
      </c>
      <c r="I332" s="50">
        <v>1</v>
      </c>
      <c r="J332" s="57">
        <f t="shared" si="64"/>
        <v>15000</v>
      </c>
      <c r="K332" s="58">
        <f t="shared" si="65"/>
        <v>16500</v>
      </c>
      <c r="L332" s="18" t="s">
        <v>482</v>
      </c>
      <c r="M332" s="50"/>
    </row>
    <row r="333" spans="1:13" ht="21.75" hidden="1" customHeight="1" x14ac:dyDescent="0.4">
      <c r="A333" s="62">
        <v>44826</v>
      </c>
      <c r="B333" s="32" t="s">
        <v>410</v>
      </c>
      <c r="C333" s="18" t="s">
        <v>483</v>
      </c>
      <c r="D333" s="63" t="s">
        <v>328</v>
      </c>
      <c r="E333" s="50" t="s">
        <v>484</v>
      </c>
      <c r="F333" s="57">
        <v>55000</v>
      </c>
      <c r="G333" s="76">
        <v>-11000</v>
      </c>
      <c r="H333" s="57">
        <v>44000</v>
      </c>
      <c r="I333" s="50">
        <v>1</v>
      </c>
      <c r="J333" s="57">
        <f t="shared" si="64"/>
        <v>44000</v>
      </c>
      <c r="K333" s="58">
        <f t="shared" si="65"/>
        <v>48400.000000000007</v>
      </c>
      <c r="L333" s="18" t="s">
        <v>25</v>
      </c>
      <c r="M333" s="50"/>
    </row>
    <row r="334" spans="1:13" ht="21.75" hidden="1" customHeight="1" x14ac:dyDescent="0.4">
      <c r="A334" s="62">
        <v>44826</v>
      </c>
      <c r="B334" s="32" t="s">
        <v>410</v>
      </c>
      <c r="C334" s="18" t="s">
        <v>483</v>
      </c>
      <c r="D334" s="63" t="s">
        <v>328</v>
      </c>
      <c r="E334" s="50" t="s">
        <v>485</v>
      </c>
      <c r="F334" s="57">
        <v>22000</v>
      </c>
      <c r="G334" s="76">
        <v>-4400</v>
      </c>
      <c r="H334" s="57">
        <v>17600</v>
      </c>
      <c r="I334" s="50">
        <v>1</v>
      </c>
      <c r="J334" s="57">
        <f t="shared" si="64"/>
        <v>17600</v>
      </c>
      <c r="K334" s="58">
        <f t="shared" si="65"/>
        <v>19360</v>
      </c>
      <c r="L334" s="18" t="s">
        <v>25</v>
      </c>
      <c r="M334" s="50"/>
    </row>
    <row r="335" spans="1:13" ht="21.75" hidden="1" customHeight="1" x14ac:dyDescent="0.4">
      <c r="A335" s="62">
        <v>44826</v>
      </c>
      <c r="B335" s="32" t="s">
        <v>410</v>
      </c>
      <c r="C335" s="18" t="s">
        <v>198</v>
      </c>
      <c r="D335" s="63" t="s">
        <v>23</v>
      </c>
      <c r="E335" s="50" t="s">
        <v>199</v>
      </c>
      <c r="F335" s="57"/>
      <c r="G335" s="76"/>
      <c r="H335" s="57"/>
      <c r="I335" s="50">
        <v>1</v>
      </c>
      <c r="J335" s="57">
        <v>-15000</v>
      </c>
      <c r="K335" s="58">
        <v>-16500</v>
      </c>
      <c r="L335" s="18" t="s">
        <v>25</v>
      </c>
      <c r="M335" s="50"/>
    </row>
    <row r="336" spans="1:13" ht="21.75" hidden="1" customHeight="1" x14ac:dyDescent="0.4">
      <c r="A336" s="62">
        <v>44826</v>
      </c>
      <c r="B336" s="32" t="s">
        <v>410</v>
      </c>
      <c r="C336" s="18" t="s">
        <v>483</v>
      </c>
      <c r="D336" s="63" t="s">
        <v>486</v>
      </c>
      <c r="E336" s="50" t="s">
        <v>487</v>
      </c>
      <c r="F336" s="57">
        <v>1650</v>
      </c>
      <c r="G336" s="76"/>
      <c r="H336" s="57">
        <v>1650</v>
      </c>
      <c r="I336" s="50">
        <v>2</v>
      </c>
      <c r="J336" s="57">
        <f>H336*I336</f>
        <v>3300</v>
      </c>
      <c r="K336" s="58">
        <f>J336*1.1</f>
        <v>3630.0000000000005</v>
      </c>
      <c r="L336" s="18" t="s">
        <v>25</v>
      </c>
      <c r="M336" s="50"/>
    </row>
    <row r="337" spans="1:13" ht="21.75" hidden="1" customHeight="1" x14ac:dyDescent="0.4">
      <c r="A337" s="62">
        <v>44826</v>
      </c>
      <c r="B337" s="32" t="s">
        <v>488</v>
      </c>
      <c r="C337" s="18" t="s">
        <v>22</v>
      </c>
      <c r="D337" s="63" t="s">
        <v>23</v>
      </c>
      <c r="E337" s="50" t="s">
        <v>489</v>
      </c>
      <c r="F337" s="57">
        <v>13500</v>
      </c>
      <c r="G337" s="76"/>
      <c r="H337" s="57">
        <v>13500</v>
      </c>
      <c r="I337" s="50">
        <v>1</v>
      </c>
      <c r="J337" s="57">
        <f t="shared" ref="J337:J383" si="66">H337*I337</f>
        <v>13500</v>
      </c>
      <c r="K337" s="58">
        <f t="shared" ref="K337:K367" si="67">J337*1.1</f>
        <v>14850.000000000002</v>
      </c>
      <c r="L337" s="18" t="s">
        <v>25</v>
      </c>
      <c r="M337" s="50" t="s">
        <v>493</v>
      </c>
    </row>
    <row r="338" spans="1:13" ht="21.75" hidden="1" customHeight="1" x14ac:dyDescent="0.4">
      <c r="A338" s="62">
        <v>44826</v>
      </c>
      <c r="B338" s="32" t="s">
        <v>490</v>
      </c>
      <c r="C338" s="18" t="s">
        <v>491</v>
      </c>
      <c r="D338" s="63" t="s">
        <v>256</v>
      </c>
      <c r="E338" s="50" t="s">
        <v>492</v>
      </c>
      <c r="F338" s="57">
        <v>3000</v>
      </c>
      <c r="G338" s="76"/>
      <c r="H338" s="57">
        <v>3000</v>
      </c>
      <c r="I338" s="50">
        <v>1</v>
      </c>
      <c r="J338" s="57">
        <f t="shared" si="66"/>
        <v>3000</v>
      </c>
      <c r="K338" s="58">
        <f t="shared" si="67"/>
        <v>3300.0000000000005</v>
      </c>
      <c r="L338" s="18" t="s">
        <v>25</v>
      </c>
      <c r="M338" s="50" t="s">
        <v>494</v>
      </c>
    </row>
    <row r="339" spans="1:13" ht="21.75" hidden="1" customHeight="1" x14ac:dyDescent="0.4">
      <c r="A339" s="62">
        <v>44826</v>
      </c>
      <c r="B339" s="32" t="s">
        <v>488</v>
      </c>
      <c r="C339" s="18" t="s">
        <v>483</v>
      </c>
      <c r="D339" s="63" t="s">
        <v>32</v>
      </c>
      <c r="E339" s="50" t="s">
        <v>495</v>
      </c>
      <c r="F339" s="57">
        <v>40000</v>
      </c>
      <c r="G339" s="76">
        <v>-8000</v>
      </c>
      <c r="H339" s="57">
        <v>32000</v>
      </c>
      <c r="I339" s="50">
        <v>1</v>
      </c>
      <c r="J339" s="57">
        <f t="shared" si="66"/>
        <v>32000</v>
      </c>
      <c r="K339" s="58">
        <f t="shared" si="67"/>
        <v>35200</v>
      </c>
      <c r="L339" s="18" t="s">
        <v>482</v>
      </c>
      <c r="M339" s="50"/>
    </row>
    <row r="340" spans="1:13" ht="21.75" hidden="1" customHeight="1" x14ac:dyDescent="0.4">
      <c r="A340" s="62">
        <v>44826</v>
      </c>
      <c r="B340" s="32" t="s">
        <v>488</v>
      </c>
      <c r="C340" s="18" t="s">
        <v>483</v>
      </c>
      <c r="D340" s="63" t="s">
        <v>330</v>
      </c>
      <c r="E340" s="50" t="s">
        <v>450</v>
      </c>
      <c r="F340" s="57">
        <v>4000</v>
      </c>
      <c r="G340" s="76"/>
      <c r="H340" s="57">
        <v>4000</v>
      </c>
      <c r="I340" s="50">
        <v>1</v>
      </c>
      <c r="J340" s="57">
        <f t="shared" si="66"/>
        <v>4000</v>
      </c>
      <c r="K340" s="58">
        <f t="shared" si="67"/>
        <v>4400</v>
      </c>
      <c r="L340" s="18" t="s">
        <v>482</v>
      </c>
      <c r="M340" s="50"/>
    </row>
    <row r="341" spans="1:13" ht="21.75" hidden="1" customHeight="1" x14ac:dyDescent="0.4">
      <c r="A341" s="62">
        <v>44827</v>
      </c>
      <c r="B341" s="32" t="s">
        <v>496</v>
      </c>
      <c r="C341" s="18" t="s">
        <v>497</v>
      </c>
      <c r="D341" s="63" t="s">
        <v>498</v>
      </c>
      <c r="E341" s="50" t="s">
        <v>442</v>
      </c>
      <c r="F341" s="57">
        <v>5000</v>
      </c>
      <c r="G341" s="76"/>
      <c r="H341" s="57">
        <v>5000</v>
      </c>
      <c r="I341" s="50">
        <v>1</v>
      </c>
      <c r="J341" s="57">
        <f t="shared" si="66"/>
        <v>5000</v>
      </c>
      <c r="K341" s="58">
        <f t="shared" si="67"/>
        <v>5500</v>
      </c>
      <c r="L341" s="18" t="s">
        <v>20</v>
      </c>
      <c r="M341" s="50"/>
    </row>
    <row r="342" spans="1:13" ht="21.75" hidden="1" customHeight="1" x14ac:dyDescent="0.4">
      <c r="A342" s="62">
        <v>44827</v>
      </c>
      <c r="B342" s="32" t="s">
        <v>496</v>
      </c>
      <c r="C342" s="18" t="s">
        <v>497</v>
      </c>
      <c r="D342" s="63" t="s">
        <v>256</v>
      </c>
      <c r="E342" s="50" t="s">
        <v>499</v>
      </c>
      <c r="F342" s="57">
        <v>2000</v>
      </c>
      <c r="G342" s="76"/>
      <c r="H342" s="57">
        <v>2000</v>
      </c>
      <c r="I342" s="50">
        <v>1</v>
      </c>
      <c r="J342" s="57">
        <f t="shared" si="66"/>
        <v>2000</v>
      </c>
      <c r="K342" s="58">
        <f t="shared" si="67"/>
        <v>2200</v>
      </c>
      <c r="L342" s="18" t="s">
        <v>20</v>
      </c>
      <c r="M342" s="50"/>
    </row>
    <row r="343" spans="1:13" ht="21.75" hidden="1" customHeight="1" x14ac:dyDescent="0.4">
      <c r="A343" s="62">
        <v>44827</v>
      </c>
      <c r="B343" s="32" t="s">
        <v>500</v>
      </c>
      <c r="C343" s="18" t="s">
        <v>501</v>
      </c>
      <c r="D343" s="63" t="s">
        <v>292</v>
      </c>
      <c r="E343" s="50" t="s">
        <v>502</v>
      </c>
      <c r="F343" s="57">
        <v>5700</v>
      </c>
      <c r="G343" s="76">
        <v>-570</v>
      </c>
      <c r="H343" s="57">
        <v>5130</v>
      </c>
      <c r="I343" s="50">
        <v>1</v>
      </c>
      <c r="J343" s="57">
        <f t="shared" si="66"/>
        <v>5130</v>
      </c>
      <c r="K343" s="58">
        <f t="shared" si="67"/>
        <v>5643.0000000000009</v>
      </c>
      <c r="L343" s="18" t="s">
        <v>25</v>
      </c>
      <c r="M343" s="50"/>
    </row>
    <row r="344" spans="1:13" ht="21.75" hidden="1" customHeight="1" x14ac:dyDescent="0.4">
      <c r="A344" s="62">
        <v>44827</v>
      </c>
      <c r="B344" s="32" t="s">
        <v>503</v>
      </c>
      <c r="C344" s="18" t="s">
        <v>501</v>
      </c>
      <c r="D344" s="63" t="s">
        <v>504</v>
      </c>
      <c r="E344" s="50" t="s">
        <v>505</v>
      </c>
      <c r="F344" s="57">
        <v>50000</v>
      </c>
      <c r="G344" s="76">
        <v>-5000</v>
      </c>
      <c r="H344" s="57">
        <v>45000</v>
      </c>
      <c r="I344" s="50">
        <v>1</v>
      </c>
      <c r="J344" s="57">
        <f t="shared" si="66"/>
        <v>45000</v>
      </c>
      <c r="K344" s="58">
        <f t="shared" si="67"/>
        <v>49500.000000000007</v>
      </c>
      <c r="L344" s="18" t="s">
        <v>25</v>
      </c>
      <c r="M344" s="50"/>
    </row>
    <row r="345" spans="1:13" ht="21.75" hidden="1" customHeight="1" x14ac:dyDescent="0.4">
      <c r="A345" s="62">
        <v>44827</v>
      </c>
      <c r="B345" s="32" t="s">
        <v>503</v>
      </c>
      <c r="C345" s="18" t="s">
        <v>501</v>
      </c>
      <c r="D345" s="63" t="s">
        <v>330</v>
      </c>
      <c r="E345" s="50" t="s">
        <v>506</v>
      </c>
      <c r="F345" s="57">
        <v>3000</v>
      </c>
      <c r="G345" s="76"/>
      <c r="H345" s="57">
        <v>3000</v>
      </c>
      <c r="I345" s="50">
        <v>1</v>
      </c>
      <c r="J345" s="57">
        <f t="shared" si="66"/>
        <v>3000</v>
      </c>
      <c r="K345" s="58">
        <f t="shared" si="67"/>
        <v>3300.0000000000005</v>
      </c>
      <c r="L345" s="18" t="s">
        <v>25</v>
      </c>
      <c r="M345" s="50"/>
    </row>
    <row r="346" spans="1:13" ht="21.75" hidden="1" customHeight="1" x14ac:dyDescent="0.4">
      <c r="A346" s="62">
        <v>44827</v>
      </c>
      <c r="B346" s="32" t="s">
        <v>503</v>
      </c>
      <c r="C346" s="18" t="s">
        <v>501</v>
      </c>
      <c r="D346" s="63" t="s">
        <v>507</v>
      </c>
      <c r="E346" s="106" t="s">
        <v>508</v>
      </c>
      <c r="F346" s="57">
        <v>2400</v>
      </c>
      <c r="G346" s="76">
        <v>-240</v>
      </c>
      <c r="H346" s="57">
        <v>2160</v>
      </c>
      <c r="I346" s="50">
        <v>1</v>
      </c>
      <c r="J346" s="57">
        <f t="shared" si="66"/>
        <v>2160</v>
      </c>
      <c r="K346" s="58">
        <f t="shared" si="67"/>
        <v>2376</v>
      </c>
      <c r="L346" s="18" t="s">
        <v>25</v>
      </c>
      <c r="M346" s="50"/>
    </row>
    <row r="347" spans="1:13" ht="21.75" hidden="1" customHeight="1" x14ac:dyDescent="0.4">
      <c r="A347" s="62">
        <v>44827</v>
      </c>
      <c r="B347" s="32" t="s">
        <v>503</v>
      </c>
      <c r="C347" s="18" t="s">
        <v>501</v>
      </c>
      <c r="D347" s="63" t="s">
        <v>292</v>
      </c>
      <c r="E347" s="50" t="s">
        <v>509</v>
      </c>
      <c r="F347" s="57">
        <v>5000</v>
      </c>
      <c r="G347" s="76"/>
      <c r="H347" s="57">
        <v>5000</v>
      </c>
      <c r="I347" s="50">
        <v>1</v>
      </c>
      <c r="J347" s="57">
        <f t="shared" si="66"/>
        <v>5000</v>
      </c>
      <c r="K347" s="58">
        <f t="shared" si="67"/>
        <v>5500</v>
      </c>
      <c r="L347" s="18" t="s">
        <v>25</v>
      </c>
      <c r="M347" s="50"/>
    </row>
    <row r="348" spans="1:13" ht="21.75" hidden="1" customHeight="1" x14ac:dyDescent="0.4">
      <c r="A348" s="62">
        <v>44828</v>
      </c>
      <c r="B348" s="32" t="s">
        <v>511</v>
      </c>
      <c r="C348" s="18" t="s">
        <v>510</v>
      </c>
      <c r="D348" s="63" t="s">
        <v>512</v>
      </c>
      <c r="E348" s="50" t="s">
        <v>513</v>
      </c>
      <c r="F348" s="57">
        <v>48000</v>
      </c>
      <c r="G348" s="76"/>
      <c r="H348" s="57">
        <v>48000</v>
      </c>
      <c r="I348" s="50">
        <v>1</v>
      </c>
      <c r="J348" s="57">
        <f t="shared" si="66"/>
        <v>48000</v>
      </c>
      <c r="K348" s="58">
        <f t="shared" si="67"/>
        <v>52800.000000000007</v>
      </c>
      <c r="L348" s="18" t="s">
        <v>34</v>
      </c>
      <c r="M348" s="50"/>
    </row>
    <row r="349" spans="1:13" ht="21.75" hidden="1" customHeight="1" x14ac:dyDescent="0.4">
      <c r="A349" s="62">
        <v>44828</v>
      </c>
      <c r="B349" s="32" t="s">
        <v>511</v>
      </c>
      <c r="C349" s="18" t="s">
        <v>510</v>
      </c>
      <c r="D349" s="63" t="s">
        <v>330</v>
      </c>
      <c r="E349" s="50" t="s">
        <v>514</v>
      </c>
      <c r="F349" s="57">
        <v>4000</v>
      </c>
      <c r="G349" s="76"/>
      <c r="H349" s="57">
        <v>4000</v>
      </c>
      <c r="I349" s="50">
        <v>1</v>
      </c>
      <c r="J349" s="57">
        <f t="shared" si="66"/>
        <v>4000</v>
      </c>
      <c r="K349" s="58">
        <f t="shared" si="67"/>
        <v>4400</v>
      </c>
      <c r="L349" s="18" t="s">
        <v>34</v>
      </c>
      <c r="M349" s="50"/>
    </row>
    <row r="350" spans="1:13" ht="21.75" hidden="1" customHeight="1" x14ac:dyDescent="0.4">
      <c r="A350" s="62">
        <v>44828</v>
      </c>
      <c r="B350" s="32" t="s">
        <v>511</v>
      </c>
      <c r="C350" s="18" t="s">
        <v>510</v>
      </c>
      <c r="D350" s="63" t="s">
        <v>516</v>
      </c>
      <c r="E350" s="50" t="s">
        <v>515</v>
      </c>
      <c r="F350" s="57">
        <v>980</v>
      </c>
      <c r="G350" s="76"/>
      <c r="H350" s="57">
        <v>980</v>
      </c>
      <c r="I350" s="50">
        <v>1</v>
      </c>
      <c r="J350" s="57">
        <f t="shared" si="66"/>
        <v>980</v>
      </c>
      <c r="K350" s="58">
        <f t="shared" si="67"/>
        <v>1078</v>
      </c>
      <c r="L350" s="18" t="s">
        <v>34</v>
      </c>
      <c r="M350" s="50"/>
    </row>
    <row r="351" spans="1:13" ht="21.75" hidden="1" customHeight="1" x14ac:dyDescent="0.4">
      <c r="A351" s="62">
        <v>44829</v>
      </c>
      <c r="B351" s="32" t="s">
        <v>517</v>
      </c>
      <c r="C351" s="18" t="s">
        <v>518</v>
      </c>
      <c r="D351" s="63" t="s">
        <v>519</v>
      </c>
      <c r="E351" s="50" t="s">
        <v>520</v>
      </c>
      <c r="F351" s="57">
        <v>980</v>
      </c>
      <c r="G351" s="76">
        <v>-98</v>
      </c>
      <c r="H351" s="57">
        <v>882</v>
      </c>
      <c r="I351" s="50">
        <v>1</v>
      </c>
      <c r="J351" s="57">
        <f t="shared" si="66"/>
        <v>882</v>
      </c>
      <c r="K351" s="58">
        <f t="shared" si="67"/>
        <v>970.2</v>
      </c>
      <c r="L351" s="18" t="s">
        <v>25</v>
      </c>
      <c r="M351" s="50"/>
    </row>
    <row r="352" spans="1:13" ht="21.75" hidden="1" customHeight="1" x14ac:dyDescent="0.4">
      <c r="A352" s="62">
        <v>44830</v>
      </c>
      <c r="B352" s="32" t="s">
        <v>521</v>
      </c>
      <c r="C352" s="18" t="s">
        <v>522</v>
      </c>
      <c r="D352" s="63" t="s">
        <v>523</v>
      </c>
      <c r="E352" s="50" t="s">
        <v>524</v>
      </c>
      <c r="F352" s="57">
        <v>1700</v>
      </c>
      <c r="G352" s="76"/>
      <c r="H352" s="57">
        <v>1700</v>
      </c>
      <c r="I352" s="50">
        <v>1</v>
      </c>
      <c r="J352" s="57">
        <f t="shared" si="66"/>
        <v>1700</v>
      </c>
      <c r="K352" s="58">
        <f t="shared" si="67"/>
        <v>1870.0000000000002</v>
      </c>
      <c r="L352" s="18" t="s">
        <v>525</v>
      </c>
      <c r="M352" s="50"/>
    </row>
    <row r="353" spans="1:13" ht="21.75" hidden="1" customHeight="1" x14ac:dyDescent="0.4">
      <c r="A353" s="62">
        <v>44830</v>
      </c>
      <c r="B353" s="32" t="s">
        <v>526</v>
      </c>
      <c r="C353" s="18" t="s">
        <v>27</v>
      </c>
      <c r="D353" s="63" t="s">
        <v>28</v>
      </c>
      <c r="E353" s="50" t="s">
        <v>79</v>
      </c>
      <c r="F353" s="57">
        <v>17500</v>
      </c>
      <c r="G353" s="76"/>
      <c r="H353" s="57">
        <v>17500</v>
      </c>
      <c r="I353" s="50">
        <v>1</v>
      </c>
      <c r="J353" s="57">
        <f t="shared" si="66"/>
        <v>17500</v>
      </c>
      <c r="K353" s="58">
        <f t="shared" si="67"/>
        <v>19250</v>
      </c>
      <c r="L353" s="18" t="s">
        <v>20</v>
      </c>
      <c r="M353" s="50"/>
    </row>
    <row r="354" spans="1:13" ht="21.75" hidden="1" customHeight="1" x14ac:dyDescent="0.4">
      <c r="A354" s="62">
        <v>44832</v>
      </c>
      <c r="B354" s="32" t="s">
        <v>527</v>
      </c>
      <c r="C354" s="18" t="s">
        <v>22</v>
      </c>
      <c r="D354" s="63" t="s">
        <v>23</v>
      </c>
      <c r="E354" s="50" t="s">
        <v>435</v>
      </c>
      <c r="F354" s="57">
        <v>20000</v>
      </c>
      <c r="G354" s="76"/>
      <c r="H354" s="57">
        <v>20000</v>
      </c>
      <c r="I354" s="50">
        <v>1</v>
      </c>
      <c r="J354" s="57">
        <f t="shared" si="66"/>
        <v>20000</v>
      </c>
      <c r="K354" s="58">
        <f t="shared" si="67"/>
        <v>22000</v>
      </c>
      <c r="L354" s="18" t="s">
        <v>25</v>
      </c>
      <c r="M354" s="50"/>
    </row>
    <row r="355" spans="1:13" ht="21.75" hidden="1" customHeight="1" x14ac:dyDescent="0.4">
      <c r="A355" s="62">
        <v>44832</v>
      </c>
      <c r="B355" s="32" t="s">
        <v>528</v>
      </c>
      <c r="C355" s="18" t="s">
        <v>22</v>
      </c>
      <c r="D355" s="63" t="s">
        <v>23</v>
      </c>
      <c r="E355" s="50" t="s">
        <v>442</v>
      </c>
      <c r="F355" s="57">
        <v>15000</v>
      </c>
      <c r="G355" s="76"/>
      <c r="H355" s="57">
        <v>15000</v>
      </c>
      <c r="I355" s="50">
        <v>1</v>
      </c>
      <c r="J355" s="57">
        <f t="shared" si="66"/>
        <v>15000</v>
      </c>
      <c r="K355" s="58">
        <f t="shared" si="67"/>
        <v>16500</v>
      </c>
      <c r="L355" s="18" t="s">
        <v>529</v>
      </c>
      <c r="M355" s="50"/>
    </row>
    <row r="356" spans="1:13" ht="21.75" hidden="1" customHeight="1" x14ac:dyDescent="0.4">
      <c r="A356" s="62">
        <v>44832</v>
      </c>
      <c r="B356" s="32" t="s">
        <v>527</v>
      </c>
      <c r="C356" s="18" t="s">
        <v>530</v>
      </c>
      <c r="D356" s="63" t="s">
        <v>531</v>
      </c>
      <c r="E356" s="50" t="s">
        <v>532</v>
      </c>
      <c r="F356" s="57">
        <v>80000</v>
      </c>
      <c r="G356" s="76">
        <v>-16000</v>
      </c>
      <c r="H356" s="57">
        <v>64000</v>
      </c>
      <c r="I356" s="50">
        <v>1</v>
      </c>
      <c r="J356" s="57">
        <f t="shared" si="66"/>
        <v>64000</v>
      </c>
      <c r="K356" s="58">
        <f t="shared" si="67"/>
        <v>70400</v>
      </c>
      <c r="L356" s="18" t="s">
        <v>34</v>
      </c>
      <c r="M356" s="50"/>
    </row>
    <row r="357" spans="1:13" ht="21.75" hidden="1" customHeight="1" x14ac:dyDescent="0.4">
      <c r="A357" s="62">
        <v>44832</v>
      </c>
      <c r="B357" s="32" t="s">
        <v>527</v>
      </c>
      <c r="C357" s="18" t="s">
        <v>530</v>
      </c>
      <c r="D357" s="63" t="s">
        <v>531</v>
      </c>
      <c r="E357" s="50" t="s">
        <v>533</v>
      </c>
      <c r="F357" s="57">
        <v>50000</v>
      </c>
      <c r="G357" s="76">
        <v>-10000</v>
      </c>
      <c r="H357" s="57">
        <v>40000</v>
      </c>
      <c r="I357" s="50">
        <v>2</v>
      </c>
      <c r="J357" s="57">
        <f t="shared" si="66"/>
        <v>80000</v>
      </c>
      <c r="K357" s="58">
        <f t="shared" si="67"/>
        <v>88000</v>
      </c>
      <c r="L357" s="18" t="s">
        <v>34</v>
      </c>
      <c r="M357" s="50"/>
    </row>
    <row r="358" spans="1:13" ht="21.75" hidden="1" customHeight="1" x14ac:dyDescent="0.4">
      <c r="A358" s="62">
        <v>44832</v>
      </c>
      <c r="B358" s="32" t="s">
        <v>527</v>
      </c>
      <c r="C358" s="18" t="s">
        <v>530</v>
      </c>
      <c r="D358" s="63" t="s">
        <v>476</v>
      </c>
      <c r="E358" s="50" t="s">
        <v>534</v>
      </c>
      <c r="F358" s="57">
        <v>79000</v>
      </c>
      <c r="G358" s="76">
        <v>-7900</v>
      </c>
      <c r="H358" s="57">
        <v>71100</v>
      </c>
      <c r="I358" s="50">
        <v>1</v>
      </c>
      <c r="J358" s="57">
        <f t="shared" si="66"/>
        <v>71100</v>
      </c>
      <c r="K358" s="58">
        <f t="shared" si="67"/>
        <v>78210</v>
      </c>
      <c r="L358" s="18" t="s">
        <v>34</v>
      </c>
      <c r="M358" s="50"/>
    </row>
    <row r="359" spans="1:13" ht="21.75" hidden="1" customHeight="1" x14ac:dyDescent="0.4">
      <c r="A359" s="62">
        <v>44832</v>
      </c>
      <c r="B359" s="32" t="s">
        <v>527</v>
      </c>
      <c r="C359" s="18" t="s">
        <v>530</v>
      </c>
      <c r="D359" s="63" t="s">
        <v>535</v>
      </c>
      <c r="E359" s="50" t="s">
        <v>536</v>
      </c>
      <c r="F359" s="57">
        <v>2200</v>
      </c>
      <c r="G359" s="76"/>
      <c r="H359" s="57">
        <v>2200</v>
      </c>
      <c r="I359" s="50">
        <v>1</v>
      </c>
      <c r="J359" s="57">
        <f t="shared" si="66"/>
        <v>2200</v>
      </c>
      <c r="K359" s="58">
        <f t="shared" si="67"/>
        <v>2420</v>
      </c>
      <c r="L359" s="18" t="s">
        <v>34</v>
      </c>
      <c r="M359" s="50"/>
    </row>
    <row r="360" spans="1:13" ht="21.75" hidden="1" customHeight="1" x14ac:dyDescent="0.4">
      <c r="A360" s="62">
        <v>44832</v>
      </c>
      <c r="B360" s="32" t="s">
        <v>527</v>
      </c>
      <c r="C360" s="18" t="s">
        <v>530</v>
      </c>
      <c r="D360" s="63" t="s">
        <v>535</v>
      </c>
      <c r="E360" s="50" t="s">
        <v>537</v>
      </c>
      <c r="F360" s="57">
        <v>2300</v>
      </c>
      <c r="G360" s="76"/>
      <c r="H360" s="57">
        <v>2300</v>
      </c>
      <c r="I360" s="50">
        <v>2</v>
      </c>
      <c r="J360" s="57">
        <f t="shared" si="66"/>
        <v>4600</v>
      </c>
      <c r="K360" s="58">
        <f t="shared" si="67"/>
        <v>5060</v>
      </c>
      <c r="L360" s="18" t="s">
        <v>34</v>
      </c>
      <c r="M360" s="50"/>
    </row>
    <row r="361" spans="1:13" ht="21.75" hidden="1" customHeight="1" x14ac:dyDescent="0.4">
      <c r="A361" s="62">
        <v>44832</v>
      </c>
      <c r="B361" s="32" t="s">
        <v>527</v>
      </c>
      <c r="C361" s="18" t="s">
        <v>530</v>
      </c>
      <c r="D361" s="63" t="s">
        <v>535</v>
      </c>
      <c r="E361" s="50" t="s">
        <v>538</v>
      </c>
      <c r="F361" s="57">
        <v>4300</v>
      </c>
      <c r="G361" s="76"/>
      <c r="H361" s="57">
        <v>4300</v>
      </c>
      <c r="I361" s="50">
        <v>1</v>
      </c>
      <c r="J361" s="57">
        <f t="shared" si="66"/>
        <v>4300</v>
      </c>
      <c r="K361" s="58">
        <f t="shared" si="67"/>
        <v>4730</v>
      </c>
      <c r="L361" s="18" t="s">
        <v>25</v>
      </c>
      <c r="M361" s="50"/>
    </row>
    <row r="362" spans="1:13" ht="21.75" hidden="1" customHeight="1" x14ac:dyDescent="0.4">
      <c r="A362" s="62">
        <v>44832</v>
      </c>
      <c r="B362" s="32" t="s">
        <v>539</v>
      </c>
      <c r="C362" s="18" t="s">
        <v>540</v>
      </c>
      <c r="D362" s="63" t="s">
        <v>332</v>
      </c>
      <c r="E362" s="50" t="s">
        <v>541</v>
      </c>
      <c r="F362" s="57">
        <v>1050</v>
      </c>
      <c r="G362" s="76">
        <v>-105</v>
      </c>
      <c r="H362" s="57">
        <v>945</v>
      </c>
      <c r="I362" s="50">
        <v>2</v>
      </c>
      <c r="J362" s="57">
        <f t="shared" si="66"/>
        <v>1890</v>
      </c>
      <c r="K362" s="58">
        <f t="shared" si="67"/>
        <v>2079</v>
      </c>
      <c r="L362" s="18" t="s">
        <v>542</v>
      </c>
      <c r="M362" s="50"/>
    </row>
    <row r="363" spans="1:13" ht="21.75" hidden="1" customHeight="1" x14ac:dyDescent="0.4">
      <c r="A363" s="62">
        <v>44833</v>
      </c>
      <c r="B363" s="32" t="s">
        <v>543</v>
      </c>
      <c r="C363" s="18" t="s">
        <v>544</v>
      </c>
      <c r="D363" s="63" t="s">
        <v>256</v>
      </c>
      <c r="E363" s="50" t="s">
        <v>545</v>
      </c>
      <c r="F363" s="57">
        <v>3000</v>
      </c>
      <c r="G363" s="76"/>
      <c r="H363" s="57">
        <v>3000</v>
      </c>
      <c r="I363" s="50">
        <v>1</v>
      </c>
      <c r="J363" s="57">
        <f t="shared" si="66"/>
        <v>3000</v>
      </c>
      <c r="K363" s="58">
        <f t="shared" si="67"/>
        <v>3300.0000000000005</v>
      </c>
      <c r="L363" s="18" t="s">
        <v>20</v>
      </c>
      <c r="M363" s="50"/>
    </row>
    <row r="364" spans="1:13" ht="21.75" hidden="1" customHeight="1" x14ac:dyDescent="0.4">
      <c r="A364" s="62">
        <v>44833</v>
      </c>
      <c r="B364" s="32" t="s">
        <v>546</v>
      </c>
      <c r="C364" s="18" t="s">
        <v>27</v>
      </c>
      <c r="D364" s="63" t="s">
        <v>28</v>
      </c>
      <c r="E364" s="50" t="s">
        <v>547</v>
      </c>
      <c r="F364" s="57">
        <v>9800</v>
      </c>
      <c r="G364" s="76"/>
      <c r="H364" s="57">
        <v>9800</v>
      </c>
      <c r="I364" s="50">
        <v>1</v>
      </c>
      <c r="J364" s="57">
        <f t="shared" si="66"/>
        <v>9800</v>
      </c>
      <c r="K364" s="58">
        <f t="shared" si="67"/>
        <v>10780</v>
      </c>
      <c r="L364" s="18" t="s">
        <v>25</v>
      </c>
      <c r="M364" s="50"/>
    </row>
    <row r="365" spans="1:13" ht="21.75" hidden="1" customHeight="1" x14ac:dyDescent="0.4">
      <c r="A365" s="62">
        <v>44833</v>
      </c>
      <c r="B365" s="32" t="s">
        <v>543</v>
      </c>
      <c r="C365" s="18" t="s">
        <v>27</v>
      </c>
      <c r="D365" s="63" t="s">
        <v>28</v>
      </c>
      <c r="E365" s="50" t="s">
        <v>318</v>
      </c>
      <c r="F365" s="57">
        <v>15000</v>
      </c>
      <c r="G365" s="76"/>
      <c r="H365" s="57">
        <v>15000</v>
      </c>
      <c r="I365" s="50">
        <v>1</v>
      </c>
      <c r="J365" s="57">
        <f t="shared" si="66"/>
        <v>15000</v>
      </c>
      <c r="K365" s="58">
        <f t="shared" si="67"/>
        <v>16500</v>
      </c>
      <c r="L365" s="18" t="s">
        <v>25</v>
      </c>
      <c r="M365" s="50"/>
    </row>
    <row r="366" spans="1:13" ht="21.75" hidden="1" customHeight="1" x14ac:dyDescent="0.4">
      <c r="A366" s="62">
        <v>44833</v>
      </c>
      <c r="B366" s="32" t="s">
        <v>543</v>
      </c>
      <c r="C366" s="18" t="s">
        <v>27</v>
      </c>
      <c r="D366" s="63" t="s">
        <v>28</v>
      </c>
      <c r="E366" s="50" t="s">
        <v>548</v>
      </c>
      <c r="F366" s="57">
        <v>17500</v>
      </c>
      <c r="G366" s="76"/>
      <c r="H366" s="57">
        <v>17500</v>
      </c>
      <c r="I366" s="50">
        <v>1</v>
      </c>
      <c r="J366" s="57">
        <f t="shared" si="66"/>
        <v>17500</v>
      </c>
      <c r="K366" s="58">
        <f t="shared" si="67"/>
        <v>19250</v>
      </c>
      <c r="L366" s="18" t="s">
        <v>25</v>
      </c>
      <c r="M366" s="50"/>
    </row>
    <row r="367" spans="1:13" ht="21.75" hidden="1" customHeight="1" x14ac:dyDescent="0.4">
      <c r="A367" s="62">
        <v>44834</v>
      </c>
      <c r="B367" s="32" t="s">
        <v>549</v>
      </c>
      <c r="C367" s="18" t="s">
        <v>22</v>
      </c>
      <c r="D367" s="63" t="s">
        <v>48</v>
      </c>
      <c r="E367" s="50" t="s">
        <v>369</v>
      </c>
      <c r="F367" s="57">
        <v>3000</v>
      </c>
      <c r="G367" s="76"/>
      <c r="H367" s="57">
        <v>3000</v>
      </c>
      <c r="I367" s="50">
        <v>1</v>
      </c>
      <c r="J367" s="57">
        <f t="shared" si="66"/>
        <v>3000</v>
      </c>
      <c r="K367" s="58">
        <f t="shared" si="67"/>
        <v>3300.0000000000005</v>
      </c>
      <c r="L367" s="18" t="s">
        <v>550</v>
      </c>
      <c r="M367" s="50"/>
    </row>
    <row r="368" spans="1:13" ht="21.75" hidden="1" customHeight="1" x14ac:dyDescent="0.4">
      <c r="A368" s="62">
        <v>44834</v>
      </c>
      <c r="B368" s="32" t="s">
        <v>551</v>
      </c>
      <c r="C368" s="18" t="s">
        <v>552</v>
      </c>
      <c r="D368" s="63" t="s">
        <v>553</v>
      </c>
      <c r="E368" s="50" t="s">
        <v>541</v>
      </c>
      <c r="F368" s="57">
        <v>1050</v>
      </c>
      <c r="G368" s="76">
        <v>-105</v>
      </c>
      <c r="H368" s="57">
        <v>945</v>
      </c>
      <c r="I368" s="50">
        <v>7</v>
      </c>
      <c r="J368" s="57">
        <f t="shared" si="66"/>
        <v>6615</v>
      </c>
      <c r="K368" s="58">
        <v>7276</v>
      </c>
      <c r="L368" s="18" t="s">
        <v>25</v>
      </c>
      <c r="M368" s="50" t="s">
        <v>561</v>
      </c>
    </row>
    <row r="369" spans="1:13" ht="21.75" hidden="1" customHeight="1" x14ac:dyDescent="0.4">
      <c r="A369" s="62">
        <v>44834</v>
      </c>
      <c r="B369" s="32" t="s">
        <v>554</v>
      </c>
      <c r="C369" s="18" t="s">
        <v>552</v>
      </c>
      <c r="D369" s="63" t="s">
        <v>555</v>
      </c>
      <c r="E369" s="50" t="s">
        <v>556</v>
      </c>
      <c r="F369" s="57">
        <v>80000</v>
      </c>
      <c r="G369" s="76">
        <v>-8000</v>
      </c>
      <c r="H369" s="57">
        <v>72000</v>
      </c>
      <c r="I369" s="50">
        <v>1</v>
      </c>
      <c r="J369" s="57">
        <f t="shared" si="66"/>
        <v>72000</v>
      </c>
      <c r="K369" s="58">
        <f>I369*J369*1.1</f>
        <v>79200</v>
      </c>
      <c r="L369" s="18" t="s">
        <v>25</v>
      </c>
      <c r="M369" s="50"/>
    </row>
    <row r="370" spans="1:13" ht="21.75" hidden="1" customHeight="1" x14ac:dyDescent="0.4">
      <c r="A370" s="62">
        <v>44834</v>
      </c>
      <c r="B370" s="32" t="s">
        <v>554</v>
      </c>
      <c r="C370" s="18" t="s">
        <v>552</v>
      </c>
      <c r="D370" s="63" t="s">
        <v>330</v>
      </c>
      <c r="E370" s="50" t="s">
        <v>557</v>
      </c>
      <c r="F370" s="57">
        <v>4000</v>
      </c>
      <c r="G370" s="76"/>
      <c r="H370" s="57">
        <v>4000</v>
      </c>
      <c r="I370" s="50">
        <v>1</v>
      </c>
      <c r="J370" s="57">
        <f t="shared" si="66"/>
        <v>4000</v>
      </c>
      <c r="K370" s="58">
        <f t="shared" ref="K370:K405" si="68">I370*J370*1.1</f>
        <v>4400</v>
      </c>
      <c r="L370" s="18" t="s">
        <v>25</v>
      </c>
      <c r="M370" s="50"/>
    </row>
    <row r="371" spans="1:13" ht="21.75" hidden="1" customHeight="1" x14ac:dyDescent="0.4">
      <c r="A371" s="62">
        <v>44834</v>
      </c>
      <c r="B371" s="32" t="s">
        <v>558</v>
      </c>
      <c r="C371" s="18" t="s">
        <v>552</v>
      </c>
      <c r="D371" s="63" t="s">
        <v>555</v>
      </c>
      <c r="E371" s="50" t="s">
        <v>559</v>
      </c>
      <c r="F371" s="57">
        <v>9000</v>
      </c>
      <c r="G371" s="76">
        <v>-900</v>
      </c>
      <c r="H371" s="57">
        <v>8100</v>
      </c>
      <c r="I371" s="50">
        <v>1</v>
      </c>
      <c r="J371" s="57">
        <f t="shared" si="66"/>
        <v>8100</v>
      </c>
      <c r="K371" s="58">
        <f t="shared" si="68"/>
        <v>8910</v>
      </c>
      <c r="L371" s="18" t="s">
        <v>25</v>
      </c>
      <c r="M371" s="50"/>
    </row>
    <row r="372" spans="1:13" ht="21.75" hidden="1" customHeight="1" x14ac:dyDescent="0.4">
      <c r="A372" s="62">
        <v>44834</v>
      </c>
      <c r="B372" s="32" t="s">
        <v>558</v>
      </c>
      <c r="C372" s="18" t="s">
        <v>552</v>
      </c>
      <c r="D372" s="63" t="s">
        <v>553</v>
      </c>
      <c r="E372" s="106" t="s">
        <v>560</v>
      </c>
      <c r="F372" s="57">
        <v>2400</v>
      </c>
      <c r="G372" s="76">
        <v>-240</v>
      </c>
      <c r="H372" s="57">
        <v>2160</v>
      </c>
      <c r="I372" s="50">
        <v>1</v>
      </c>
      <c r="J372" s="57">
        <f t="shared" si="66"/>
        <v>2160</v>
      </c>
      <c r="K372" s="58">
        <f t="shared" si="68"/>
        <v>2376</v>
      </c>
      <c r="L372" s="18" t="s">
        <v>25</v>
      </c>
      <c r="M372" s="50"/>
    </row>
    <row r="373" spans="1:13" ht="21.75" hidden="1" customHeight="1" x14ac:dyDescent="0.4">
      <c r="A373" s="62">
        <v>44834</v>
      </c>
      <c r="B373" s="32" t="s">
        <v>562</v>
      </c>
      <c r="C373" s="18" t="s">
        <v>563</v>
      </c>
      <c r="D373" s="63" t="s">
        <v>426</v>
      </c>
      <c r="E373" s="50" t="s">
        <v>564</v>
      </c>
      <c r="F373" s="57">
        <v>1650</v>
      </c>
      <c r="G373" s="76">
        <v>-165</v>
      </c>
      <c r="H373" s="57">
        <v>1485</v>
      </c>
      <c r="I373" s="50">
        <v>1</v>
      </c>
      <c r="J373" s="57">
        <f t="shared" si="66"/>
        <v>1485</v>
      </c>
      <c r="K373" s="58">
        <v>1633</v>
      </c>
      <c r="L373" s="18" t="s">
        <v>565</v>
      </c>
      <c r="M373" s="50"/>
    </row>
    <row r="374" spans="1:13" ht="21.75" hidden="1" customHeight="1" thickBot="1" x14ac:dyDescent="0.45">
      <c r="A374" s="149">
        <v>44834</v>
      </c>
      <c r="B374" s="97" t="s">
        <v>343</v>
      </c>
      <c r="C374" s="98" t="s">
        <v>27</v>
      </c>
      <c r="D374" s="101" t="s">
        <v>28</v>
      </c>
      <c r="E374" s="102" t="s">
        <v>73</v>
      </c>
      <c r="F374" s="103">
        <v>2000</v>
      </c>
      <c r="G374" s="104"/>
      <c r="H374" s="103">
        <v>2000</v>
      </c>
      <c r="I374" s="102">
        <v>1</v>
      </c>
      <c r="J374" s="103">
        <f t="shared" si="66"/>
        <v>2000</v>
      </c>
      <c r="K374" s="105">
        <f t="shared" si="68"/>
        <v>2200</v>
      </c>
      <c r="L374" s="98" t="s">
        <v>566</v>
      </c>
      <c r="M374" s="102"/>
    </row>
    <row r="375" spans="1:13" ht="21.75" hidden="1" customHeight="1" x14ac:dyDescent="0.4">
      <c r="A375" s="59">
        <v>44835</v>
      </c>
      <c r="B375" s="82" t="s">
        <v>567</v>
      </c>
      <c r="C375" s="60" t="s">
        <v>568</v>
      </c>
      <c r="D375" s="61" t="s">
        <v>569</v>
      </c>
      <c r="E375" s="56" t="s">
        <v>570</v>
      </c>
      <c r="F375" s="99">
        <v>2300</v>
      </c>
      <c r="G375" s="79">
        <v>-230</v>
      </c>
      <c r="H375" s="99">
        <v>2070</v>
      </c>
      <c r="I375" s="56">
        <v>2</v>
      </c>
      <c r="J375" s="99">
        <f t="shared" si="66"/>
        <v>4140</v>
      </c>
      <c r="K375" s="100">
        <f>J375*1.1</f>
        <v>4554</v>
      </c>
      <c r="L375" s="60" t="s">
        <v>566</v>
      </c>
      <c r="M375" s="56"/>
    </row>
    <row r="376" spans="1:13" ht="21.75" hidden="1" customHeight="1" x14ac:dyDescent="0.4">
      <c r="A376" s="62">
        <v>44835</v>
      </c>
      <c r="B376" s="32" t="s">
        <v>567</v>
      </c>
      <c r="C376" s="18" t="s">
        <v>568</v>
      </c>
      <c r="D376" s="63" t="s">
        <v>569</v>
      </c>
      <c r="E376" s="50" t="s">
        <v>570</v>
      </c>
      <c r="F376" s="57">
        <v>2300</v>
      </c>
      <c r="G376" s="76">
        <v>-230</v>
      </c>
      <c r="H376" s="57">
        <v>2070</v>
      </c>
      <c r="I376" s="50">
        <v>1</v>
      </c>
      <c r="J376" s="57">
        <f t="shared" si="66"/>
        <v>2070</v>
      </c>
      <c r="K376" s="58">
        <f t="shared" si="68"/>
        <v>2277</v>
      </c>
      <c r="L376" s="18" t="s">
        <v>566</v>
      </c>
      <c r="M376" s="50"/>
    </row>
    <row r="377" spans="1:13" ht="21.75" hidden="1" customHeight="1" x14ac:dyDescent="0.4">
      <c r="A377" s="62">
        <v>44835</v>
      </c>
      <c r="B377" s="32" t="s">
        <v>571</v>
      </c>
      <c r="C377" s="18" t="s">
        <v>22</v>
      </c>
      <c r="D377" s="63" t="s">
        <v>23</v>
      </c>
      <c r="E377" s="50" t="s">
        <v>489</v>
      </c>
      <c r="F377" s="57">
        <v>13500</v>
      </c>
      <c r="G377" s="76"/>
      <c r="H377" s="57">
        <v>13500</v>
      </c>
      <c r="I377" s="50">
        <v>1</v>
      </c>
      <c r="J377" s="57">
        <f t="shared" si="66"/>
        <v>13500</v>
      </c>
      <c r="K377" s="58">
        <f t="shared" si="68"/>
        <v>14850.000000000002</v>
      </c>
      <c r="L377" s="18" t="s">
        <v>25</v>
      </c>
      <c r="M377" s="50"/>
    </row>
    <row r="378" spans="1:13" ht="21.75" hidden="1" customHeight="1" x14ac:dyDescent="0.4">
      <c r="A378" s="62">
        <v>44835</v>
      </c>
      <c r="B378" s="32" t="s">
        <v>572</v>
      </c>
      <c r="C378" s="18" t="s">
        <v>22</v>
      </c>
      <c r="D378" s="63" t="s">
        <v>23</v>
      </c>
      <c r="E378" s="50" t="s">
        <v>489</v>
      </c>
      <c r="F378" s="57">
        <v>13500</v>
      </c>
      <c r="G378" s="76"/>
      <c r="H378" s="57">
        <v>13500</v>
      </c>
      <c r="I378" s="50">
        <v>1</v>
      </c>
      <c r="J378" s="57">
        <f t="shared" si="66"/>
        <v>13500</v>
      </c>
      <c r="K378" s="58">
        <f t="shared" si="68"/>
        <v>14850.000000000002</v>
      </c>
      <c r="L378" s="18" t="s">
        <v>566</v>
      </c>
      <c r="M378" s="50"/>
    </row>
    <row r="379" spans="1:13" ht="21.75" hidden="1" customHeight="1" x14ac:dyDescent="0.4">
      <c r="A379" s="62">
        <v>44835</v>
      </c>
      <c r="B379" s="32" t="s">
        <v>571</v>
      </c>
      <c r="C379" s="18" t="s">
        <v>573</v>
      </c>
      <c r="D379" s="63" t="s">
        <v>574</v>
      </c>
      <c r="E379" s="50" t="s">
        <v>575</v>
      </c>
      <c r="F379" s="57">
        <v>70000</v>
      </c>
      <c r="G379" s="76">
        <v>-14000</v>
      </c>
      <c r="H379" s="57">
        <v>56000</v>
      </c>
      <c r="I379" s="50">
        <v>1</v>
      </c>
      <c r="J379" s="57">
        <f t="shared" si="66"/>
        <v>56000</v>
      </c>
      <c r="K379" s="58">
        <f t="shared" si="68"/>
        <v>61600.000000000007</v>
      </c>
      <c r="L379" s="18" t="s">
        <v>25</v>
      </c>
      <c r="M379" s="50"/>
    </row>
    <row r="380" spans="1:13" ht="21.75" hidden="1" customHeight="1" x14ac:dyDescent="0.4">
      <c r="A380" s="62">
        <v>44835</v>
      </c>
      <c r="B380" s="32" t="s">
        <v>571</v>
      </c>
      <c r="C380" s="18" t="s">
        <v>573</v>
      </c>
      <c r="D380" s="63" t="s">
        <v>576</v>
      </c>
      <c r="E380" s="50" t="s">
        <v>577</v>
      </c>
      <c r="F380" s="57">
        <v>79000</v>
      </c>
      <c r="G380" s="76">
        <v>-7900</v>
      </c>
      <c r="H380" s="57">
        <v>71100</v>
      </c>
      <c r="I380" s="50">
        <v>1</v>
      </c>
      <c r="J380" s="57">
        <f t="shared" si="66"/>
        <v>71100</v>
      </c>
      <c r="K380" s="58">
        <f t="shared" si="68"/>
        <v>78210</v>
      </c>
      <c r="L380" s="18" t="s">
        <v>25</v>
      </c>
      <c r="M380" s="50"/>
    </row>
    <row r="381" spans="1:13" s="35" customFormat="1" ht="21.75" hidden="1" customHeight="1" x14ac:dyDescent="0.4">
      <c r="A381" s="62">
        <v>44835</v>
      </c>
      <c r="B381" s="32" t="s">
        <v>571</v>
      </c>
      <c r="C381" s="18" t="s">
        <v>573</v>
      </c>
      <c r="D381" s="63" t="s">
        <v>578</v>
      </c>
      <c r="E381" s="50" t="s">
        <v>579</v>
      </c>
      <c r="F381" s="57">
        <v>980</v>
      </c>
      <c r="G381" s="76"/>
      <c r="H381" s="57">
        <v>980</v>
      </c>
      <c r="I381" s="50">
        <v>1</v>
      </c>
      <c r="J381" s="57">
        <f t="shared" si="66"/>
        <v>980</v>
      </c>
      <c r="K381" s="58">
        <f t="shared" si="68"/>
        <v>1078</v>
      </c>
      <c r="L381" s="18" t="s">
        <v>25</v>
      </c>
      <c r="M381" s="50"/>
    </row>
    <row r="382" spans="1:13" ht="21.75" hidden="1" customHeight="1" x14ac:dyDescent="0.4">
      <c r="A382" s="62">
        <v>44835</v>
      </c>
      <c r="B382" s="32" t="s">
        <v>580</v>
      </c>
      <c r="C382" s="18" t="s">
        <v>573</v>
      </c>
      <c r="D382" s="63" t="s">
        <v>574</v>
      </c>
      <c r="E382" s="50" t="s">
        <v>581</v>
      </c>
      <c r="F382" s="57">
        <v>3000</v>
      </c>
      <c r="G382" s="76">
        <v>-300</v>
      </c>
      <c r="H382" s="57">
        <v>2700</v>
      </c>
      <c r="I382" s="50">
        <v>1</v>
      </c>
      <c r="J382" s="57">
        <f t="shared" si="66"/>
        <v>2700</v>
      </c>
      <c r="K382" s="58">
        <f t="shared" si="68"/>
        <v>2970.0000000000005</v>
      </c>
      <c r="L382" s="18" t="s">
        <v>25</v>
      </c>
      <c r="M382" s="50"/>
    </row>
    <row r="383" spans="1:13" ht="21.75" hidden="1" customHeight="1" x14ac:dyDescent="0.4">
      <c r="A383" s="62">
        <v>44836</v>
      </c>
      <c r="B383" s="32" t="s">
        <v>582</v>
      </c>
      <c r="C383" s="18" t="s">
        <v>583</v>
      </c>
      <c r="D383" s="63" t="s">
        <v>584</v>
      </c>
      <c r="E383" s="50" t="s">
        <v>585</v>
      </c>
      <c r="F383" s="57">
        <v>500</v>
      </c>
      <c r="G383" s="76"/>
      <c r="H383" s="57">
        <v>500</v>
      </c>
      <c r="I383" s="50">
        <v>1</v>
      </c>
      <c r="J383" s="57">
        <f t="shared" si="66"/>
        <v>500</v>
      </c>
      <c r="K383" s="58">
        <f t="shared" si="68"/>
        <v>550</v>
      </c>
      <c r="L383" s="18" t="s">
        <v>588</v>
      </c>
      <c r="M383" s="50"/>
    </row>
    <row r="384" spans="1:13" ht="21.75" hidden="1" customHeight="1" x14ac:dyDescent="0.4">
      <c r="A384" s="62">
        <v>44836</v>
      </c>
      <c r="B384" s="32" t="s">
        <v>67</v>
      </c>
      <c r="C384" s="18" t="s">
        <v>583</v>
      </c>
      <c r="D384" s="63" t="s">
        <v>586</v>
      </c>
      <c r="E384" s="50" t="s">
        <v>587</v>
      </c>
      <c r="F384" s="57">
        <v>22000</v>
      </c>
      <c r="G384" s="76">
        <v>-7700</v>
      </c>
      <c r="H384" s="57">
        <f>F384+G384</f>
        <v>14300</v>
      </c>
      <c r="I384" s="50">
        <v>1</v>
      </c>
      <c r="J384" s="57">
        <f>H384*I384</f>
        <v>14300</v>
      </c>
      <c r="K384" s="58">
        <f t="shared" si="68"/>
        <v>15730.000000000002</v>
      </c>
      <c r="L384" s="18" t="s">
        <v>25</v>
      </c>
      <c r="M384" s="50"/>
    </row>
    <row r="385" spans="1:13" ht="21.75" hidden="1" customHeight="1" x14ac:dyDescent="0.4">
      <c r="A385" s="62">
        <v>44836</v>
      </c>
      <c r="B385" s="32" t="s">
        <v>589</v>
      </c>
      <c r="C385" s="18" t="s">
        <v>27</v>
      </c>
      <c r="D385" s="63" t="s">
        <v>28</v>
      </c>
      <c r="E385" s="50" t="s">
        <v>318</v>
      </c>
      <c r="F385" s="57">
        <v>15000</v>
      </c>
      <c r="G385" s="76">
        <v>-5000</v>
      </c>
      <c r="H385" s="57">
        <f t="shared" ref="H385:H424" si="69">F385+G385</f>
        <v>10000</v>
      </c>
      <c r="I385" s="50">
        <v>1</v>
      </c>
      <c r="J385" s="57">
        <f t="shared" ref="J385:J448" si="70">H385*I385</f>
        <v>10000</v>
      </c>
      <c r="K385" s="58">
        <f t="shared" si="68"/>
        <v>11000</v>
      </c>
      <c r="L385" s="18" t="s">
        <v>25</v>
      </c>
      <c r="M385" s="50" t="s">
        <v>592</v>
      </c>
    </row>
    <row r="386" spans="1:13" ht="21.75" hidden="1" customHeight="1" x14ac:dyDescent="0.4">
      <c r="A386" s="62">
        <v>44837</v>
      </c>
      <c r="B386" s="32" t="s">
        <v>590</v>
      </c>
      <c r="C386" s="18" t="s">
        <v>583</v>
      </c>
      <c r="D386" s="63" t="s">
        <v>426</v>
      </c>
      <c r="E386" s="50" t="s">
        <v>591</v>
      </c>
      <c r="F386" s="57">
        <v>1700</v>
      </c>
      <c r="G386" s="76">
        <v>-170</v>
      </c>
      <c r="H386" s="57">
        <f t="shared" si="69"/>
        <v>1530</v>
      </c>
      <c r="I386" s="50">
        <v>1</v>
      </c>
      <c r="J386" s="57">
        <f t="shared" si="70"/>
        <v>1530</v>
      </c>
      <c r="K386" s="58">
        <f t="shared" si="68"/>
        <v>1683.0000000000002</v>
      </c>
      <c r="L386" s="18" t="s">
        <v>25</v>
      </c>
      <c r="M386" s="50"/>
    </row>
    <row r="387" spans="1:13" ht="21.75" hidden="1" customHeight="1" x14ac:dyDescent="0.4">
      <c r="A387" s="62">
        <v>44837</v>
      </c>
      <c r="B387" s="32" t="s">
        <v>590</v>
      </c>
      <c r="C387" s="18" t="s">
        <v>27</v>
      </c>
      <c r="D387" s="63" t="s">
        <v>28</v>
      </c>
      <c r="E387" s="50" t="s">
        <v>73</v>
      </c>
      <c r="F387" s="57">
        <v>2000</v>
      </c>
      <c r="G387" s="76"/>
      <c r="H387" s="57">
        <f t="shared" si="69"/>
        <v>2000</v>
      </c>
      <c r="I387" s="50">
        <v>1</v>
      </c>
      <c r="J387" s="57">
        <f t="shared" si="70"/>
        <v>2000</v>
      </c>
      <c r="K387" s="58">
        <f t="shared" si="68"/>
        <v>2200</v>
      </c>
      <c r="L387" s="18" t="s">
        <v>25</v>
      </c>
      <c r="M387" s="50"/>
    </row>
    <row r="388" spans="1:13" ht="21.75" hidden="1" customHeight="1" x14ac:dyDescent="0.4">
      <c r="A388" s="62">
        <v>44839</v>
      </c>
      <c r="B388" s="32" t="s">
        <v>593</v>
      </c>
      <c r="C388" s="18" t="s">
        <v>17</v>
      </c>
      <c r="D388" s="63" t="s">
        <v>594</v>
      </c>
      <c r="E388" s="50" t="s">
        <v>595</v>
      </c>
      <c r="F388" s="57">
        <v>22000</v>
      </c>
      <c r="G388" s="76">
        <v>-2200</v>
      </c>
      <c r="H388" s="57">
        <f t="shared" si="69"/>
        <v>19800</v>
      </c>
      <c r="I388" s="50">
        <v>1</v>
      </c>
      <c r="J388" s="57">
        <f t="shared" si="70"/>
        <v>19800</v>
      </c>
      <c r="K388" s="58">
        <f t="shared" si="68"/>
        <v>21780</v>
      </c>
      <c r="L388" s="18" t="s">
        <v>25</v>
      </c>
      <c r="M388" s="50"/>
    </row>
    <row r="389" spans="1:13" ht="21.75" hidden="1" customHeight="1" x14ac:dyDescent="0.4">
      <c r="A389" s="62">
        <v>44839</v>
      </c>
      <c r="B389" s="32" t="s">
        <v>596</v>
      </c>
      <c r="C389" s="18" t="s">
        <v>22</v>
      </c>
      <c r="D389" s="63" t="s">
        <v>48</v>
      </c>
      <c r="E389" s="50" t="s">
        <v>369</v>
      </c>
      <c r="F389" s="57">
        <v>3000</v>
      </c>
      <c r="G389" s="76"/>
      <c r="H389" s="57">
        <f t="shared" si="69"/>
        <v>3000</v>
      </c>
      <c r="I389" s="50">
        <v>1</v>
      </c>
      <c r="J389" s="57">
        <f t="shared" si="70"/>
        <v>3000</v>
      </c>
      <c r="K389" s="58">
        <f t="shared" si="68"/>
        <v>3300.0000000000005</v>
      </c>
      <c r="L389" s="18" t="s">
        <v>25</v>
      </c>
      <c r="M389" s="50"/>
    </row>
    <row r="390" spans="1:13" ht="21.75" hidden="1" customHeight="1" x14ac:dyDescent="0.4">
      <c r="A390" s="62">
        <v>44839</v>
      </c>
      <c r="B390" s="32" t="s">
        <v>596</v>
      </c>
      <c r="C390" s="18" t="s">
        <v>27</v>
      </c>
      <c r="D390" s="63" t="s">
        <v>28</v>
      </c>
      <c r="E390" s="50" t="s">
        <v>318</v>
      </c>
      <c r="F390" s="57">
        <v>15000</v>
      </c>
      <c r="G390" s="76"/>
      <c r="H390" s="57">
        <f t="shared" si="69"/>
        <v>15000</v>
      </c>
      <c r="I390" s="50">
        <v>1</v>
      </c>
      <c r="J390" s="57">
        <f t="shared" si="70"/>
        <v>15000</v>
      </c>
      <c r="K390" s="58">
        <f t="shared" si="68"/>
        <v>16500</v>
      </c>
      <c r="L390" s="18" t="s">
        <v>25</v>
      </c>
      <c r="M390" s="50"/>
    </row>
    <row r="391" spans="1:13" ht="21.75" hidden="1" customHeight="1" x14ac:dyDescent="0.4">
      <c r="A391" s="62">
        <v>44839</v>
      </c>
      <c r="B391" s="32" t="s">
        <v>596</v>
      </c>
      <c r="C391" s="18" t="s">
        <v>27</v>
      </c>
      <c r="D391" s="63" t="s">
        <v>28</v>
      </c>
      <c r="E391" s="50" t="s">
        <v>597</v>
      </c>
      <c r="F391" s="57">
        <v>13120</v>
      </c>
      <c r="G391" s="76"/>
      <c r="H391" s="57">
        <f t="shared" si="69"/>
        <v>13120</v>
      </c>
      <c r="I391" s="50">
        <v>1</v>
      </c>
      <c r="J391" s="57">
        <f t="shared" si="70"/>
        <v>13120</v>
      </c>
      <c r="K391" s="58">
        <f t="shared" si="68"/>
        <v>14432.000000000002</v>
      </c>
      <c r="L391" s="18" t="s">
        <v>25</v>
      </c>
      <c r="M391" s="50"/>
    </row>
    <row r="392" spans="1:13" ht="21.75" hidden="1" customHeight="1" x14ac:dyDescent="0.4">
      <c r="A392" s="62">
        <v>44840</v>
      </c>
      <c r="B392" s="32" t="s">
        <v>598</v>
      </c>
      <c r="C392" s="18" t="s">
        <v>22</v>
      </c>
      <c r="D392" s="63" t="s">
        <v>48</v>
      </c>
      <c r="E392" s="50" t="s">
        <v>369</v>
      </c>
      <c r="F392" s="57">
        <v>3000</v>
      </c>
      <c r="G392" s="76"/>
      <c r="H392" s="57">
        <v>3000</v>
      </c>
      <c r="I392" s="50">
        <v>1</v>
      </c>
      <c r="J392" s="57">
        <f t="shared" si="70"/>
        <v>3000</v>
      </c>
      <c r="K392" s="58">
        <f t="shared" si="68"/>
        <v>3300.0000000000005</v>
      </c>
      <c r="L392" s="18" t="s">
        <v>599</v>
      </c>
      <c r="M392" s="50"/>
    </row>
    <row r="393" spans="1:13" ht="21.75" hidden="1" customHeight="1" x14ac:dyDescent="0.4">
      <c r="A393" s="62">
        <v>44840</v>
      </c>
      <c r="B393" s="32" t="s">
        <v>600</v>
      </c>
      <c r="C393" s="18" t="s">
        <v>601</v>
      </c>
      <c r="D393" s="63" t="s">
        <v>426</v>
      </c>
      <c r="E393" s="50" t="s">
        <v>602</v>
      </c>
      <c r="F393" s="57">
        <v>1700</v>
      </c>
      <c r="G393" s="76">
        <v>-170</v>
      </c>
      <c r="H393" s="57">
        <f t="shared" si="69"/>
        <v>1530</v>
      </c>
      <c r="I393" s="50">
        <v>1</v>
      </c>
      <c r="J393" s="57">
        <f t="shared" si="70"/>
        <v>1530</v>
      </c>
      <c r="K393" s="58">
        <f t="shared" si="68"/>
        <v>1683.0000000000002</v>
      </c>
      <c r="L393" s="18" t="s">
        <v>25</v>
      </c>
      <c r="M393" s="50"/>
    </row>
    <row r="394" spans="1:13" ht="21.75" hidden="1" customHeight="1" x14ac:dyDescent="0.4">
      <c r="A394" s="62">
        <v>44840</v>
      </c>
      <c r="B394" s="32" t="s">
        <v>600</v>
      </c>
      <c r="C394" s="18" t="s">
        <v>601</v>
      </c>
      <c r="D394" s="63" t="s">
        <v>426</v>
      </c>
      <c r="E394" s="50" t="s">
        <v>603</v>
      </c>
      <c r="F394" s="57">
        <v>1700</v>
      </c>
      <c r="G394" s="76">
        <v>-170</v>
      </c>
      <c r="H394" s="57">
        <f t="shared" si="69"/>
        <v>1530</v>
      </c>
      <c r="I394" s="50">
        <v>1</v>
      </c>
      <c r="J394" s="57">
        <f t="shared" si="70"/>
        <v>1530</v>
      </c>
      <c r="K394" s="58">
        <f t="shared" si="68"/>
        <v>1683.0000000000002</v>
      </c>
      <c r="L394" s="18" t="s">
        <v>25</v>
      </c>
      <c r="M394" s="50"/>
    </row>
    <row r="395" spans="1:13" ht="21.75" hidden="1" customHeight="1" x14ac:dyDescent="0.4">
      <c r="A395" s="62">
        <v>44840</v>
      </c>
      <c r="B395" s="32" t="s">
        <v>600</v>
      </c>
      <c r="C395" s="18" t="s">
        <v>601</v>
      </c>
      <c r="D395" s="63" t="s">
        <v>426</v>
      </c>
      <c r="E395" s="50" t="s">
        <v>604</v>
      </c>
      <c r="F395" s="57">
        <v>1700</v>
      </c>
      <c r="G395" s="76">
        <v>-170</v>
      </c>
      <c r="H395" s="57">
        <f t="shared" si="69"/>
        <v>1530</v>
      </c>
      <c r="I395" s="50">
        <v>1</v>
      </c>
      <c r="J395" s="57">
        <f t="shared" si="70"/>
        <v>1530</v>
      </c>
      <c r="K395" s="58">
        <f t="shared" si="68"/>
        <v>1683.0000000000002</v>
      </c>
      <c r="L395" s="18" t="s">
        <v>25</v>
      </c>
      <c r="M395" s="50"/>
    </row>
    <row r="396" spans="1:13" ht="21.75" hidden="1" customHeight="1" x14ac:dyDescent="0.4">
      <c r="A396" s="62">
        <v>44840</v>
      </c>
      <c r="B396" s="32" t="s">
        <v>600</v>
      </c>
      <c r="C396" s="18" t="s">
        <v>601</v>
      </c>
      <c r="D396" s="63" t="s">
        <v>426</v>
      </c>
      <c r="E396" s="50" t="s">
        <v>605</v>
      </c>
      <c r="F396" s="57">
        <v>1700</v>
      </c>
      <c r="G396" s="76">
        <v>-170</v>
      </c>
      <c r="H396" s="57">
        <f t="shared" si="69"/>
        <v>1530</v>
      </c>
      <c r="I396" s="50">
        <v>1</v>
      </c>
      <c r="J396" s="57">
        <f t="shared" si="70"/>
        <v>1530</v>
      </c>
      <c r="K396" s="58">
        <f t="shared" si="68"/>
        <v>1683.0000000000002</v>
      </c>
      <c r="L396" s="18" t="s">
        <v>25</v>
      </c>
      <c r="M396" s="50"/>
    </row>
    <row r="397" spans="1:13" ht="21.75" hidden="1" customHeight="1" x14ac:dyDescent="0.4">
      <c r="A397" s="62">
        <v>44841</v>
      </c>
      <c r="B397" s="32" t="s">
        <v>606</v>
      </c>
      <c r="C397" s="18" t="s">
        <v>607</v>
      </c>
      <c r="D397" s="63" t="s">
        <v>48</v>
      </c>
      <c r="E397" s="50" t="s">
        <v>369</v>
      </c>
      <c r="F397" s="57">
        <v>3000</v>
      </c>
      <c r="G397" s="76"/>
      <c r="H397" s="57">
        <f t="shared" si="69"/>
        <v>3000</v>
      </c>
      <c r="I397" s="50">
        <v>1</v>
      </c>
      <c r="J397" s="57">
        <f t="shared" si="70"/>
        <v>3000</v>
      </c>
      <c r="K397" s="58">
        <f t="shared" si="68"/>
        <v>3300.0000000000005</v>
      </c>
      <c r="L397" s="18" t="s">
        <v>25</v>
      </c>
      <c r="M397" s="50"/>
    </row>
    <row r="398" spans="1:13" ht="21.75" hidden="1" customHeight="1" x14ac:dyDescent="0.4">
      <c r="A398" s="62">
        <v>44841</v>
      </c>
      <c r="B398" s="32" t="s">
        <v>606</v>
      </c>
      <c r="C398" s="18" t="s">
        <v>607</v>
      </c>
      <c r="D398" s="63" t="s">
        <v>48</v>
      </c>
      <c r="E398" s="50" t="s">
        <v>608</v>
      </c>
      <c r="F398" s="57">
        <v>5000</v>
      </c>
      <c r="G398" s="76"/>
      <c r="H398" s="57">
        <f t="shared" si="69"/>
        <v>5000</v>
      </c>
      <c r="I398" s="50">
        <v>1</v>
      </c>
      <c r="J398" s="57">
        <f t="shared" si="70"/>
        <v>5000</v>
      </c>
      <c r="K398" s="58">
        <f t="shared" si="68"/>
        <v>5500</v>
      </c>
      <c r="L398" s="18" t="s">
        <v>25</v>
      </c>
      <c r="M398" s="50"/>
    </row>
    <row r="399" spans="1:13" ht="21.75" hidden="1" customHeight="1" x14ac:dyDescent="0.4">
      <c r="A399" s="62">
        <v>44841</v>
      </c>
      <c r="B399" s="32" t="s">
        <v>609</v>
      </c>
      <c r="C399" s="18" t="s">
        <v>22</v>
      </c>
      <c r="D399" s="63" t="s">
        <v>23</v>
      </c>
      <c r="E399" s="50" t="s">
        <v>435</v>
      </c>
      <c r="F399" s="57">
        <v>20000</v>
      </c>
      <c r="G399" s="76"/>
      <c r="H399" s="57">
        <f t="shared" si="69"/>
        <v>20000</v>
      </c>
      <c r="I399" s="50">
        <v>1</v>
      </c>
      <c r="J399" s="57">
        <f t="shared" si="70"/>
        <v>20000</v>
      </c>
      <c r="K399" s="58">
        <f t="shared" si="68"/>
        <v>22000</v>
      </c>
      <c r="L399" s="18" t="s">
        <v>25</v>
      </c>
      <c r="M399" s="50"/>
    </row>
    <row r="400" spans="1:13" ht="21.75" hidden="1" customHeight="1" x14ac:dyDescent="0.4">
      <c r="A400" s="62">
        <v>44842</v>
      </c>
      <c r="B400" s="32" t="s">
        <v>610</v>
      </c>
      <c r="C400" s="18" t="s">
        <v>607</v>
      </c>
      <c r="D400" s="63" t="s">
        <v>48</v>
      </c>
      <c r="E400" s="50" t="s">
        <v>369</v>
      </c>
      <c r="F400" s="57">
        <v>3000</v>
      </c>
      <c r="G400" s="76"/>
      <c r="H400" s="57">
        <f t="shared" si="69"/>
        <v>3000</v>
      </c>
      <c r="I400" s="50">
        <v>1</v>
      </c>
      <c r="J400" s="57">
        <f t="shared" si="70"/>
        <v>3000</v>
      </c>
      <c r="K400" s="58">
        <f t="shared" si="68"/>
        <v>3300.0000000000005</v>
      </c>
      <c r="L400" s="18" t="s">
        <v>25</v>
      </c>
      <c r="M400" s="50" t="s">
        <v>612</v>
      </c>
    </row>
    <row r="401" spans="1:13" ht="21.75" hidden="1" customHeight="1" x14ac:dyDescent="0.4">
      <c r="A401" s="62">
        <v>44843</v>
      </c>
      <c r="B401" s="32" t="s">
        <v>611</v>
      </c>
      <c r="C401" s="18" t="s">
        <v>22</v>
      </c>
      <c r="D401" s="63" t="s">
        <v>23</v>
      </c>
      <c r="E401" s="50" t="s">
        <v>435</v>
      </c>
      <c r="F401" s="57">
        <v>20000</v>
      </c>
      <c r="G401" s="76"/>
      <c r="H401" s="57">
        <f t="shared" si="69"/>
        <v>20000</v>
      </c>
      <c r="I401" s="50">
        <v>1</v>
      </c>
      <c r="J401" s="57">
        <f t="shared" si="70"/>
        <v>20000</v>
      </c>
      <c r="K401" s="58">
        <f t="shared" si="68"/>
        <v>22000</v>
      </c>
      <c r="L401" s="18" t="s">
        <v>25</v>
      </c>
      <c r="M401" s="50"/>
    </row>
    <row r="402" spans="1:13" ht="21.75" hidden="1" customHeight="1" x14ac:dyDescent="0.4">
      <c r="A402" s="62">
        <v>44844</v>
      </c>
      <c r="B402" s="32" t="s">
        <v>613</v>
      </c>
      <c r="C402" s="18" t="s">
        <v>22</v>
      </c>
      <c r="D402" s="63" t="s">
        <v>23</v>
      </c>
      <c r="E402" s="50" t="s">
        <v>442</v>
      </c>
      <c r="F402" s="57">
        <v>15000</v>
      </c>
      <c r="G402" s="76"/>
      <c r="H402" s="57">
        <f t="shared" si="69"/>
        <v>15000</v>
      </c>
      <c r="I402" s="50">
        <v>1</v>
      </c>
      <c r="J402" s="57">
        <f t="shared" si="70"/>
        <v>15000</v>
      </c>
      <c r="K402" s="58">
        <f t="shared" si="68"/>
        <v>16500</v>
      </c>
      <c r="L402" s="18" t="s">
        <v>614</v>
      </c>
      <c r="M402" s="50"/>
    </row>
    <row r="403" spans="1:13" ht="21.75" hidden="1" customHeight="1" x14ac:dyDescent="0.4">
      <c r="A403" s="62">
        <v>44844</v>
      </c>
      <c r="B403" s="32" t="s">
        <v>615</v>
      </c>
      <c r="C403" s="18" t="s">
        <v>27</v>
      </c>
      <c r="D403" s="63" t="s">
        <v>28</v>
      </c>
      <c r="E403" s="50" t="s">
        <v>616</v>
      </c>
      <c r="F403" s="57">
        <v>5775</v>
      </c>
      <c r="G403" s="76"/>
      <c r="H403" s="57">
        <f t="shared" si="69"/>
        <v>5775</v>
      </c>
      <c r="I403" s="50">
        <v>1</v>
      </c>
      <c r="J403" s="57">
        <f t="shared" si="70"/>
        <v>5775</v>
      </c>
      <c r="K403" s="58">
        <f t="shared" si="68"/>
        <v>6352.5000000000009</v>
      </c>
      <c r="L403" s="18" t="s">
        <v>25</v>
      </c>
      <c r="M403" s="50" t="s">
        <v>617</v>
      </c>
    </row>
    <row r="404" spans="1:13" ht="21.75" hidden="1" customHeight="1" x14ac:dyDescent="0.4">
      <c r="A404" s="62">
        <v>44844</v>
      </c>
      <c r="B404" s="32" t="s">
        <v>618</v>
      </c>
      <c r="C404" s="18" t="s">
        <v>27</v>
      </c>
      <c r="D404" s="63" t="s">
        <v>28</v>
      </c>
      <c r="E404" s="50" t="s">
        <v>73</v>
      </c>
      <c r="F404" s="57">
        <v>2000</v>
      </c>
      <c r="G404" s="76"/>
      <c r="H404" s="57">
        <f t="shared" si="69"/>
        <v>2000</v>
      </c>
      <c r="I404" s="50">
        <v>1</v>
      </c>
      <c r="J404" s="57">
        <f t="shared" si="70"/>
        <v>2000</v>
      </c>
      <c r="K404" s="58">
        <f t="shared" si="68"/>
        <v>2200</v>
      </c>
      <c r="L404" s="18" t="s">
        <v>614</v>
      </c>
      <c r="M404" s="50"/>
    </row>
    <row r="405" spans="1:13" ht="21.75" hidden="1" customHeight="1" x14ac:dyDescent="0.4">
      <c r="A405" s="62">
        <v>44844</v>
      </c>
      <c r="B405" s="32" t="s">
        <v>619</v>
      </c>
      <c r="C405" s="18" t="s">
        <v>601</v>
      </c>
      <c r="D405" s="63" t="s">
        <v>620</v>
      </c>
      <c r="E405" s="50" t="s">
        <v>621</v>
      </c>
      <c r="F405" s="57">
        <v>1800</v>
      </c>
      <c r="G405" s="76">
        <v>-180</v>
      </c>
      <c r="H405" s="57">
        <f t="shared" si="69"/>
        <v>1620</v>
      </c>
      <c r="I405" s="50">
        <v>1</v>
      </c>
      <c r="J405" s="57">
        <f t="shared" si="70"/>
        <v>1620</v>
      </c>
      <c r="K405" s="58">
        <f t="shared" si="68"/>
        <v>1782.0000000000002</v>
      </c>
      <c r="L405" s="18" t="s">
        <v>614</v>
      </c>
      <c r="M405" s="50"/>
    </row>
    <row r="406" spans="1:13" ht="21.75" hidden="1" customHeight="1" x14ac:dyDescent="0.4">
      <c r="A406" s="62">
        <v>44845</v>
      </c>
      <c r="B406" s="32" t="s">
        <v>622</v>
      </c>
      <c r="C406" s="18" t="s">
        <v>623</v>
      </c>
      <c r="D406" s="63" t="s">
        <v>292</v>
      </c>
      <c r="E406" s="50" t="s">
        <v>624</v>
      </c>
      <c r="F406" s="57">
        <v>5700</v>
      </c>
      <c r="G406" s="76">
        <v>-570</v>
      </c>
      <c r="H406" s="57">
        <f t="shared" si="69"/>
        <v>5130</v>
      </c>
      <c r="I406" s="50">
        <v>2</v>
      </c>
      <c r="J406" s="57">
        <f t="shared" si="70"/>
        <v>10260</v>
      </c>
      <c r="K406" s="58">
        <f>J406*1.1</f>
        <v>11286.000000000002</v>
      </c>
      <c r="L406" s="18" t="s">
        <v>20</v>
      </c>
      <c r="M406" s="50"/>
    </row>
    <row r="407" spans="1:13" ht="21.75" hidden="1" customHeight="1" x14ac:dyDescent="0.4">
      <c r="A407" s="62">
        <v>44848</v>
      </c>
      <c r="B407" s="32" t="s">
        <v>625</v>
      </c>
      <c r="C407" s="18" t="s">
        <v>623</v>
      </c>
      <c r="D407" s="63" t="s">
        <v>292</v>
      </c>
      <c r="E407" s="50" t="s">
        <v>626</v>
      </c>
      <c r="F407" s="57">
        <v>5000</v>
      </c>
      <c r="G407" s="76"/>
      <c r="H407" s="57">
        <f t="shared" si="69"/>
        <v>5000</v>
      </c>
      <c r="I407" s="50">
        <v>1</v>
      </c>
      <c r="J407" s="57">
        <f t="shared" si="70"/>
        <v>5000</v>
      </c>
      <c r="K407" s="58">
        <f t="shared" ref="K407:K475" si="71">J407*1.1</f>
        <v>5500</v>
      </c>
      <c r="L407" s="18" t="s">
        <v>25</v>
      </c>
      <c r="M407" s="50"/>
    </row>
    <row r="408" spans="1:13" ht="21.75" hidden="1" customHeight="1" x14ac:dyDescent="0.4">
      <c r="A408" s="62">
        <v>44849</v>
      </c>
      <c r="B408" s="32" t="s">
        <v>627</v>
      </c>
      <c r="C408" s="18" t="s">
        <v>623</v>
      </c>
      <c r="D408" s="63" t="s">
        <v>426</v>
      </c>
      <c r="E408" s="50" t="s">
        <v>628</v>
      </c>
      <c r="F408" s="57">
        <v>1700</v>
      </c>
      <c r="G408" s="76">
        <v>-170</v>
      </c>
      <c r="H408" s="57">
        <f t="shared" si="69"/>
        <v>1530</v>
      </c>
      <c r="I408" s="50">
        <v>1</v>
      </c>
      <c r="J408" s="57">
        <f t="shared" si="70"/>
        <v>1530</v>
      </c>
      <c r="K408" s="58">
        <f t="shared" si="71"/>
        <v>1683.0000000000002</v>
      </c>
      <c r="L408" s="18" t="s">
        <v>629</v>
      </c>
      <c r="M408" s="50"/>
    </row>
    <row r="409" spans="1:13" ht="21.75" hidden="1" customHeight="1" x14ac:dyDescent="0.4">
      <c r="A409" s="62">
        <v>44850</v>
      </c>
      <c r="B409" s="32" t="s">
        <v>184</v>
      </c>
      <c r="C409" s="18" t="s">
        <v>623</v>
      </c>
      <c r="D409" s="63" t="s">
        <v>630</v>
      </c>
      <c r="E409" s="50" t="s">
        <v>631</v>
      </c>
      <c r="F409" s="57">
        <v>40000</v>
      </c>
      <c r="G409" s="76">
        <v>-20000</v>
      </c>
      <c r="H409" s="57">
        <f t="shared" si="69"/>
        <v>20000</v>
      </c>
      <c r="I409" s="50">
        <v>1</v>
      </c>
      <c r="J409" s="57">
        <f t="shared" si="70"/>
        <v>20000</v>
      </c>
      <c r="K409" s="58">
        <f t="shared" si="71"/>
        <v>22000</v>
      </c>
      <c r="L409" s="18" t="s">
        <v>34</v>
      </c>
      <c r="M409" s="50"/>
    </row>
    <row r="410" spans="1:13" ht="21.75" hidden="1" customHeight="1" x14ac:dyDescent="0.4">
      <c r="A410" s="62">
        <v>44850</v>
      </c>
      <c r="B410" s="32" t="s">
        <v>184</v>
      </c>
      <c r="C410" s="18" t="s">
        <v>623</v>
      </c>
      <c r="D410" s="63" t="s">
        <v>330</v>
      </c>
      <c r="E410" s="50" t="s">
        <v>632</v>
      </c>
      <c r="F410" s="57">
        <v>3000</v>
      </c>
      <c r="G410" s="76"/>
      <c r="H410" s="57">
        <f t="shared" si="69"/>
        <v>3000</v>
      </c>
      <c r="I410" s="50">
        <v>1</v>
      </c>
      <c r="J410" s="57">
        <f t="shared" si="70"/>
        <v>3000</v>
      </c>
      <c r="K410" s="58">
        <f t="shared" si="71"/>
        <v>3300.0000000000005</v>
      </c>
      <c r="L410" s="18" t="s">
        <v>34</v>
      </c>
      <c r="M410" s="50"/>
    </row>
    <row r="411" spans="1:13" ht="21.75" hidden="1" customHeight="1" x14ac:dyDescent="0.4">
      <c r="A411" s="62">
        <v>44851</v>
      </c>
      <c r="B411" s="32" t="s">
        <v>644</v>
      </c>
      <c r="C411" s="18" t="s">
        <v>27</v>
      </c>
      <c r="D411" s="63" t="s">
        <v>28</v>
      </c>
      <c r="E411" s="50" t="s">
        <v>318</v>
      </c>
      <c r="F411" s="57">
        <v>15000</v>
      </c>
      <c r="G411" s="76"/>
      <c r="H411" s="57">
        <f t="shared" si="69"/>
        <v>15000</v>
      </c>
      <c r="I411" s="50">
        <v>1</v>
      </c>
      <c r="J411" s="57">
        <f t="shared" si="70"/>
        <v>15000</v>
      </c>
      <c r="K411" s="58">
        <f t="shared" si="71"/>
        <v>16500</v>
      </c>
      <c r="L411" s="18" t="s">
        <v>25</v>
      </c>
      <c r="M411" s="50"/>
    </row>
    <row r="412" spans="1:13" ht="21.75" hidden="1" customHeight="1" x14ac:dyDescent="0.4">
      <c r="A412" s="62">
        <v>44851</v>
      </c>
      <c r="B412" s="32" t="s">
        <v>644</v>
      </c>
      <c r="C412" s="18" t="s">
        <v>27</v>
      </c>
      <c r="D412" s="63" t="s">
        <v>28</v>
      </c>
      <c r="E412" s="50" t="s">
        <v>645</v>
      </c>
      <c r="F412" s="57">
        <v>4370</v>
      </c>
      <c r="G412" s="76"/>
      <c r="H412" s="57">
        <f t="shared" si="69"/>
        <v>4370</v>
      </c>
      <c r="I412" s="50">
        <v>1</v>
      </c>
      <c r="J412" s="57">
        <f t="shared" si="70"/>
        <v>4370</v>
      </c>
      <c r="K412" s="58">
        <f t="shared" si="71"/>
        <v>4807</v>
      </c>
      <c r="L412" s="18" t="s">
        <v>25</v>
      </c>
      <c r="M412" s="50"/>
    </row>
    <row r="413" spans="1:13" ht="21.75" hidden="1" customHeight="1" x14ac:dyDescent="0.4">
      <c r="A413" s="62">
        <v>44851</v>
      </c>
      <c r="B413" s="32" t="s">
        <v>644</v>
      </c>
      <c r="C413" s="18" t="s">
        <v>27</v>
      </c>
      <c r="D413" s="63" t="s">
        <v>28</v>
      </c>
      <c r="E413" s="50" t="s">
        <v>646</v>
      </c>
      <c r="F413" s="57">
        <v>17500</v>
      </c>
      <c r="G413" s="76"/>
      <c r="H413" s="57">
        <f t="shared" si="69"/>
        <v>17500</v>
      </c>
      <c r="I413" s="50">
        <v>1</v>
      </c>
      <c r="J413" s="57">
        <f t="shared" si="70"/>
        <v>17500</v>
      </c>
      <c r="K413" s="58">
        <f t="shared" si="71"/>
        <v>19250</v>
      </c>
      <c r="L413" s="18" t="s">
        <v>25</v>
      </c>
      <c r="M413" s="50"/>
    </row>
    <row r="414" spans="1:13" ht="21.75" hidden="1" customHeight="1" x14ac:dyDescent="0.4">
      <c r="A414" s="62">
        <v>44851</v>
      </c>
      <c r="B414" s="32" t="s">
        <v>633</v>
      </c>
      <c r="C414" s="18" t="s">
        <v>17</v>
      </c>
      <c r="D414" s="63" t="s">
        <v>332</v>
      </c>
      <c r="E414" s="50" t="s">
        <v>634</v>
      </c>
      <c r="F414" s="57">
        <v>980</v>
      </c>
      <c r="G414" s="76">
        <v>-90</v>
      </c>
      <c r="H414" s="57">
        <f t="shared" si="69"/>
        <v>890</v>
      </c>
      <c r="I414" s="50">
        <v>1</v>
      </c>
      <c r="J414" s="57">
        <f t="shared" si="70"/>
        <v>890</v>
      </c>
      <c r="K414" s="58">
        <f t="shared" si="71"/>
        <v>979.00000000000011</v>
      </c>
      <c r="L414" s="18" t="s">
        <v>635</v>
      </c>
      <c r="M414" s="50"/>
    </row>
    <row r="415" spans="1:13" ht="21.75" hidden="1" customHeight="1" x14ac:dyDescent="0.4">
      <c r="A415" s="62">
        <v>44851</v>
      </c>
      <c r="B415" s="32" t="s">
        <v>647</v>
      </c>
      <c r="C415" s="18" t="s">
        <v>648</v>
      </c>
      <c r="D415" s="63" t="s">
        <v>256</v>
      </c>
      <c r="E415" s="50" t="s">
        <v>649</v>
      </c>
      <c r="F415" s="57">
        <v>3000</v>
      </c>
      <c r="G415" s="76"/>
      <c r="H415" s="57">
        <v>3000</v>
      </c>
      <c r="I415" s="50">
        <v>1</v>
      </c>
      <c r="J415" s="57">
        <v>3000</v>
      </c>
      <c r="K415" s="58">
        <v>3300</v>
      </c>
      <c r="L415" s="18" t="s">
        <v>650</v>
      </c>
      <c r="M415" s="50"/>
    </row>
    <row r="416" spans="1:13" ht="21.75" hidden="1" customHeight="1" x14ac:dyDescent="0.4">
      <c r="A416" s="62">
        <v>44853</v>
      </c>
      <c r="B416" s="32" t="s">
        <v>636</v>
      </c>
      <c r="C416" s="18" t="s">
        <v>17</v>
      </c>
      <c r="D416" s="63" t="s">
        <v>637</v>
      </c>
      <c r="E416" s="50" t="s">
        <v>638</v>
      </c>
      <c r="F416" s="57">
        <v>70000</v>
      </c>
      <c r="G416" s="76">
        <v>-14000</v>
      </c>
      <c r="H416" s="57">
        <f t="shared" si="69"/>
        <v>56000</v>
      </c>
      <c r="I416" s="50">
        <v>1</v>
      </c>
      <c r="J416" s="57">
        <f t="shared" si="70"/>
        <v>56000</v>
      </c>
      <c r="K416" s="58">
        <f t="shared" si="71"/>
        <v>61600.000000000007</v>
      </c>
      <c r="L416" s="18" t="s">
        <v>34</v>
      </c>
      <c r="M416" s="50" t="s">
        <v>643</v>
      </c>
    </row>
    <row r="417" spans="1:13" ht="21.75" hidden="1" customHeight="1" x14ac:dyDescent="0.4">
      <c r="A417" s="62">
        <v>44853</v>
      </c>
      <c r="B417" s="32" t="s">
        <v>636</v>
      </c>
      <c r="C417" s="18" t="s">
        <v>17</v>
      </c>
      <c r="D417" s="63" t="s">
        <v>330</v>
      </c>
      <c r="E417" s="50" t="s">
        <v>640</v>
      </c>
      <c r="F417" s="57">
        <v>3000</v>
      </c>
      <c r="G417" s="76"/>
      <c r="H417" s="57">
        <f t="shared" si="69"/>
        <v>3000</v>
      </c>
      <c r="I417" s="50">
        <v>1</v>
      </c>
      <c r="J417" s="57">
        <f t="shared" si="70"/>
        <v>3000</v>
      </c>
      <c r="K417" s="58">
        <f t="shared" si="71"/>
        <v>3300.0000000000005</v>
      </c>
      <c r="L417" s="18" t="s">
        <v>34</v>
      </c>
      <c r="M417" s="50" t="s">
        <v>643</v>
      </c>
    </row>
    <row r="418" spans="1:13" ht="21.75" hidden="1" customHeight="1" x14ac:dyDescent="0.4">
      <c r="A418" s="62">
        <v>44853</v>
      </c>
      <c r="B418" s="32" t="s">
        <v>636</v>
      </c>
      <c r="C418" s="18" t="s">
        <v>17</v>
      </c>
      <c r="D418" s="63" t="s">
        <v>639</v>
      </c>
      <c r="E418" s="50" t="s">
        <v>641</v>
      </c>
      <c r="F418" s="57">
        <v>1800</v>
      </c>
      <c r="G418" s="76"/>
      <c r="H418" s="57">
        <f t="shared" si="69"/>
        <v>1800</v>
      </c>
      <c r="I418" s="50">
        <v>1</v>
      </c>
      <c r="J418" s="57">
        <f t="shared" si="70"/>
        <v>1800</v>
      </c>
      <c r="K418" s="58">
        <f t="shared" si="71"/>
        <v>1980.0000000000002</v>
      </c>
      <c r="L418" s="18" t="s">
        <v>34</v>
      </c>
      <c r="M418" s="50" t="s">
        <v>643</v>
      </c>
    </row>
    <row r="419" spans="1:13" ht="21.75" hidden="1" customHeight="1" x14ac:dyDescent="0.4">
      <c r="A419" s="62">
        <v>44853</v>
      </c>
      <c r="B419" s="32" t="s">
        <v>511</v>
      </c>
      <c r="C419" s="18" t="s">
        <v>17</v>
      </c>
      <c r="D419" s="63" t="s">
        <v>330</v>
      </c>
      <c r="E419" s="50" t="s">
        <v>642</v>
      </c>
      <c r="F419" s="57">
        <v>4000</v>
      </c>
      <c r="G419" s="76"/>
      <c r="H419" s="57">
        <f t="shared" si="69"/>
        <v>4000</v>
      </c>
      <c r="I419" s="50">
        <v>1</v>
      </c>
      <c r="J419" s="57">
        <f t="shared" si="70"/>
        <v>4000</v>
      </c>
      <c r="K419" s="58">
        <f t="shared" si="71"/>
        <v>4400</v>
      </c>
      <c r="L419" s="18" t="s">
        <v>34</v>
      </c>
      <c r="M419" s="50"/>
    </row>
    <row r="420" spans="1:13" ht="21.75" hidden="1" customHeight="1" x14ac:dyDescent="0.4">
      <c r="A420" s="62">
        <v>44854</v>
      </c>
      <c r="B420" s="32" t="s">
        <v>651</v>
      </c>
      <c r="C420" s="18" t="s">
        <v>22</v>
      </c>
      <c r="D420" s="63" t="s">
        <v>48</v>
      </c>
      <c r="E420" s="50" t="s">
        <v>369</v>
      </c>
      <c r="F420" s="57">
        <v>3000</v>
      </c>
      <c r="G420" s="76"/>
      <c r="H420" s="57">
        <f t="shared" si="69"/>
        <v>3000</v>
      </c>
      <c r="I420" s="50">
        <v>1</v>
      </c>
      <c r="J420" s="57">
        <f t="shared" si="70"/>
        <v>3000</v>
      </c>
      <c r="K420" s="58">
        <f t="shared" si="71"/>
        <v>3300.0000000000005</v>
      </c>
      <c r="L420" s="18" t="s">
        <v>652</v>
      </c>
      <c r="M420" s="50"/>
    </row>
    <row r="421" spans="1:13" ht="21.75" hidden="1" customHeight="1" x14ac:dyDescent="0.4">
      <c r="A421" s="62">
        <v>44854</v>
      </c>
      <c r="B421" s="32" t="s">
        <v>651</v>
      </c>
      <c r="C421" s="18" t="s">
        <v>27</v>
      </c>
      <c r="D421" s="63" t="s">
        <v>28</v>
      </c>
      <c r="E421" s="50" t="s">
        <v>318</v>
      </c>
      <c r="F421" s="57">
        <v>15000</v>
      </c>
      <c r="G421" s="76"/>
      <c r="H421" s="57">
        <f t="shared" si="69"/>
        <v>15000</v>
      </c>
      <c r="I421" s="50">
        <v>1</v>
      </c>
      <c r="J421" s="57">
        <f t="shared" si="70"/>
        <v>15000</v>
      </c>
      <c r="K421" s="58">
        <f t="shared" si="71"/>
        <v>16500</v>
      </c>
      <c r="L421" s="18" t="s">
        <v>25</v>
      </c>
      <c r="M421" s="50"/>
    </row>
    <row r="422" spans="1:13" ht="21.75" hidden="1" customHeight="1" x14ac:dyDescent="0.4">
      <c r="A422" s="62">
        <v>44854</v>
      </c>
      <c r="B422" s="32" t="s">
        <v>651</v>
      </c>
      <c r="C422" s="18" t="s">
        <v>27</v>
      </c>
      <c r="D422" s="63" t="s">
        <v>28</v>
      </c>
      <c r="E422" s="50" t="s">
        <v>646</v>
      </c>
      <c r="F422" s="57">
        <v>17500</v>
      </c>
      <c r="G422" s="76"/>
      <c r="H422" s="57">
        <f t="shared" si="69"/>
        <v>17500</v>
      </c>
      <c r="I422" s="50">
        <v>1</v>
      </c>
      <c r="J422" s="57">
        <f t="shared" si="70"/>
        <v>17500</v>
      </c>
      <c r="K422" s="58">
        <f t="shared" si="71"/>
        <v>19250</v>
      </c>
      <c r="L422" s="18" t="s">
        <v>25</v>
      </c>
      <c r="M422" s="50"/>
    </row>
    <row r="423" spans="1:13" ht="21.75" hidden="1" customHeight="1" x14ac:dyDescent="0.4">
      <c r="A423" s="62">
        <v>44854</v>
      </c>
      <c r="B423" s="32" t="s">
        <v>651</v>
      </c>
      <c r="C423" s="18" t="s">
        <v>27</v>
      </c>
      <c r="D423" s="63" t="s">
        <v>28</v>
      </c>
      <c r="E423" s="50" t="s">
        <v>645</v>
      </c>
      <c r="F423" s="57">
        <v>4370</v>
      </c>
      <c r="G423" s="76"/>
      <c r="H423" s="57">
        <f t="shared" si="69"/>
        <v>4370</v>
      </c>
      <c r="I423" s="50">
        <v>1</v>
      </c>
      <c r="J423" s="57">
        <f t="shared" si="70"/>
        <v>4370</v>
      </c>
      <c r="K423" s="58">
        <f t="shared" si="71"/>
        <v>4807</v>
      </c>
      <c r="L423" s="18" t="s">
        <v>25</v>
      </c>
      <c r="M423" s="50"/>
    </row>
    <row r="424" spans="1:13" s="36" customFormat="1" ht="24" hidden="1" customHeight="1" x14ac:dyDescent="0.4">
      <c r="A424" s="62">
        <v>44854</v>
      </c>
      <c r="B424" s="32" t="s">
        <v>653</v>
      </c>
      <c r="C424" s="18" t="s">
        <v>654</v>
      </c>
      <c r="D424" s="63" t="s">
        <v>292</v>
      </c>
      <c r="E424" s="50" t="s">
        <v>375</v>
      </c>
      <c r="F424" s="57">
        <v>5700</v>
      </c>
      <c r="G424" s="76">
        <v>-570</v>
      </c>
      <c r="H424" s="57">
        <f t="shared" si="69"/>
        <v>5130</v>
      </c>
      <c r="I424" s="50">
        <v>2</v>
      </c>
      <c r="J424" s="57">
        <f t="shared" si="70"/>
        <v>10260</v>
      </c>
      <c r="K424" s="58">
        <f t="shared" si="71"/>
        <v>11286.000000000002</v>
      </c>
      <c r="L424" s="18" t="s">
        <v>655</v>
      </c>
      <c r="M424" s="50"/>
    </row>
    <row r="425" spans="1:13" s="36" customFormat="1" ht="24" hidden="1" customHeight="1" x14ac:dyDescent="0.4">
      <c r="A425" s="62">
        <v>44855</v>
      </c>
      <c r="B425" s="32" t="s">
        <v>656</v>
      </c>
      <c r="C425" s="18" t="s">
        <v>22</v>
      </c>
      <c r="D425" s="63" t="s">
        <v>23</v>
      </c>
      <c r="E425" s="50" t="s">
        <v>442</v>
      </c>
      <c r="F425" s="57">
        <v>15000</v>
      </c>
      <c r="G425" s="76"/>
      <c r="H425" s="57">
        <v>15000</v>
      </c>
      <c r="I425" s="50">
        <v>1</v>
      </c>
      <c r="J425" s="57">
        <f t="shared" si="70"/>
        <v>15000</v>
      </c>
      <c r="K425" s="58">
        <f t="shared" si="71"/>
        <v>16500</v>
      </c>
      <c r="L425" s="18" t="s">
        <v>25</v>
      </c>
      <c r="M425" s="50"/>
    </row>
    <row r="426" spans="1:13" s="36" customFormat="1" ht="24" hidden="1" customHeight="1" x14ac:dyDescent="0.4">
      <c r="A426" s="62">
        <v>44855</v>
      </c>
      <c r="B426" s="32" t="s">
        <v>657</v>
      </c>
      <c r="C426" s="18" t="s">
        <v>22</v>
      </c>
      <c r="D426" s="63" t="s">
        <v>23</v>
      </c>
      <c r="E426" s="50" t="s">
        <v>442</v>
      </c>
      <c r="F426" s="57">
        <v>15000</v>
      </c>
      <c r="G426" s="76"/>
      <c r="H426" s="57">
        <v>15000</v>
      </c>
      <c r="I426" s="50">
        <v>1</v>
      </c>
      <c r="J426" s="57">
        <f t="shared" si="70"/>
        <v>15000</v>
      </c>
      <c r="K426" s="58">
        <f t="shared" si="71"/>
        <v>16500</v>
      </c>
      <c r="L426" s="18" t="s">
        <v>658</v>
      </c>
      <c r="M426" s="50"/>
    </row>
    <row r="427" spans="1:13" s="36" customFormat="1" ht="24" hidden="1" customHeight="1" x14ac:dyDescent="0.4">
      <c r="A427" s="62">
        <v>44855</v>
      </c>
      <c r="B427" s="32" t="s">
        <v>656</v>
      </c>
      <c r="C427" s="18" t="s">
        <v>659</v>
      </c>
      <c r="D427" s="63" t="s">
        <v>660</v>
      </c>
      <c r="E427" s="50" t="s">
        <v>665</v>
      </c>
      <c r="F427" s="57">
        <v>70000</v>
      </c>
      <c r="G427" s="76">
        <v>-14000</v>
      </c>
      <c r="H427" s="57">
        <f>F427+G427</f>
        <v>56000</v>
      </c>
      <c r="I427" s="50">
        <v>1</v>
      </c>
      <c r="J427" s="57">
        <f t="shared" si="70"/>
        <v>56000</v>
      </c>
      <c r="K427" s="58">
        <f t="shared" si="71"/>
        <v>61600.000000000007</v>
      </c>
      <c r="L427" s="18" t="s">
        <v>34</v>
      </c>
      <c r="M427" s="50"/>
    </row>
    <row r="428" spans="1:13" s="36" customFormat="1" ht="24" hidden="1" customHeight="1" x14ac:dyDescent="0.4">
      <c r="A428" s="62">
        <v>44855</v>
      </c>
      <c r="B428" s="32" t="s">
        <v>656</v>
      </c>
      <c r="C428" s="18" t="s">
        <v>659</v>
      </c>
      <c r="D428" s="63" t="s">
        <v>330</v>
      </c>
      <c r="E428" s="50" t="s">
        <v>661</v>
      </c>
      <c r="F428" s="57">
        <v>5000</v>
      </c>
      <c r="G428" s="76"/>
      <c r="H428" s="57">
        <v>5000</v>
      </c>
      <c r="I428" s="50">
        <v>1</v>
      </c>
      <c r="J428" s="57">
        <f t="shared" si="70"/>
        <v>5000</v>
      </c>
      <c r="K428" s="58">
        <f t="shared" si="71"/>
        <v>5500</v>
      </c>
      <c r="L428" s="18" t="s">
        <v>34</v>
      </c>
      <c r="M428" s="50"/>
    </row>
    <row r="429" spans="1:13" s="36" customFormat="1" ht="24" hidden="1" customHeight="1" x14ac:dyDescent="0.4">
      <c r="A429" s="62">
        <v>44855</v>
      </c>
      <c r="B429" s="32" t="s">
        <v>656</v>
      </c>
      <c r="C429" s="18" t="s">
        <v>659</v>
      </c>
      <c r="D429" s="63" t="s">
        <v>662</v>
      </c>
      <c r="E429" s="50" t="s">
        <v>663</v>
      </c>
      <c r="F429" s="57">
        <v>1500</v>
      </c>
      <c r="G429" s="76"/>
      <c r="H429" s="57">
        <v>1500</v>
      </c>
      <c r="I429" s="50">
        <v>1</v>
      </c>
      <c r="J429" s="57">
        <f t="shared" si="70"/>
        <v>1500</v>
      </c>
      <c r="K429" s="58">
        <f t="shared" si="71"/>
        <v>1650.0000000000002</v>
      </c>
      <c r="L429" s="18" t="s">
        <v>34</v>
      </c>
      <c r="M429" s="50"/>
    </row>
    <row r="430" spans="1:13" s="36" customFormat="1" ht="24" hidden="1" customHeight="1" x14ac:dyDescent="0.4">
      <c r="A430" s="62">
        <v>44855</v>
      </c>
      <c r="B430" s="32" t="s">
        <v>664</v>
      </c>
      <c r="C430" s="18" t="s">
        <v>659</v>
      </c>
      <c r="D430" s="63" t="s">
        <v>32</v>
      </c>
      <c r="E430" s="50" t="s">
        <v>666</v>
      </c>
      <c r="F430" s="57">
        <v>70000</v>
      </c>
      <c r="G430" s="76">
        <v>-14000</v>
      </c>
      <c r="H430" s="57">
        <f>F430+G430</f>
        <v>56000</v>
      </c>
      <c r="I430" s="50">
        <v>1</v>
      </c>
      <c r="J430" s="57">
        <f t="shared" si="70"/>
        <v>56000</v>
      </c>
      <c r="K430" s="58">
        <f t="shared" si="71"/>
        <v>61600.000000000007</v>
      </c>
      <c r="L430" s="18" t="s">
        <v>34</v>
      </c>
      <c r="M430" s="50"/>
    </row>
    <row r="431" spans="1:13" s="36" customFormat="1" ht="24" hidden="1" customHeight="1" x14ac:dyDescent="0.4">
      <c r="A431" s="62">
        <v>44855</v>
      </c>
      <c r="B431" s="32" t="s">
        <v>664</v>
      </c>
      <c r="C431" s="18" t="s">
        <v>659</v>
      </c>
      <c r="D431" s="63" t="s">
        <v>330</v>
      </c>
      <c r="E431" s="50" t="s">
        <v>667</v>
      </c>
      <c r="F431" s="57">
        <v>5000</v>
      </c>
      <c r="G431" s="76"/>
      <c r="H431" s="57">
        <v>5000</v>
      </c>
      <c r="I431" s="50">
        <v>1</v>
      </c>
      <c r="J431" s="57">
        <f t="shared" si="70"/>
        <v>5000</v>
      </c>
      <c r="K431" s="58">
        <f t="shared" si="71"/>
        <v>5500</v>
      </c>
      <c r="L431" s="18" t="s">
        <v>34</v>
      </c>
      <c r="M431" s="50"/>
    </row>
    <row r="432" spans="1:13" s="36" customFormat="1" ht="24" hidden="1" customHeight="1" x14ac:dyDescent="0.4">
      <c r="A432" s="62">
        <v>44855</v>
      </c>
      <c r="B432" s="32" t="s">
        <v>664</v>
      </c>
      <c r="C432" s="18" t="s">
        <v>659</v>
      </c>
      <c r="D432" s="63" t="s">
        <v>668</v>
      </c>
      <c r="E432" s="50" t="s">
        <v>669</v>
      </c>
      <c r="F432" s="57">
        <v>1050</v>
      </c>
      <c r="G432" s="76"/>
      <c r="H432" s="57">
        <v>1050</v>
      </c>
      <c r="I432" s="50">
        <v>1</v>
      </c>
      <c r="J432" s="57">
        <f t="shared" si="70"/>
        <v>1050</v>
      </c>
      <c r="K432" s="58">
        <f t="shared" si="71"/>
        <v>1155</v>
      </c>
      <c r="L432" s="18" t="s">
        <v>34</v>
      </c>
      <c r="M432" s="50"/>
    </row>
    <row r="433" spans="1:13" s="36" customFormat="1" ht="24" hidden="1" customHeight="1" x14ac:dyDescent="0.4">
      <c r="A433" s="62">
        <v>44855</v>
      </c>
      <c r="B433" s="32" t="s">
        <v>571</v>
      </c>
      <c r="C433" s="18" t="s">
        <v>659</v>
      </c>
      <c r="D433" s="63" t="s">
        <v>668</v>
      </c>
      <c r="E433" s="50" t="s">
        <v>670</v>
      </c>
      <c r="F433" s="57">
        <v>980</v>
      </c>
      <c r="G433" s="76"/>
      <c r="H433" s="57">
        <v>980</v>
      </c>
      <c r="I433" s="50">
        <v>9</v>
      </c>
      <c r="J433" s="57">
        <f t="shared" si="70"/>
        <v>8820</v>
      </c>
      <c r="K433" s="58">
        <f t="shared" si="71"/>
        <v>9702</v>
      </c>
      <c r="L433" s="18" t="s">
        <v>34</v>
      </c>
      <c r="M433" s="50"/>
    </row>
    <row r="434" spans="1:13" s="36" customFormat="1" ht="24" hidden="1" customHeight="1" x14ac:dyDescent="0.4">
      <c r="A434" s="62">
        <v>44855</v>
      </c>
      <c r="B434" s="32" t="s">
        <v>672</v>
      </c>
      <c r="C434" s="18" t="s">
        <v>659</v>
      </c>
      <c r="D434" s="63" t="s">
        <v>668</v>
      </c>
      <c r="E434" s="50" t="s">
        <v>671</v>
      </c>
      <c r="F434" s="57">
        <v>1050</v>
      </c>
      <c r="G434" s="76">
        <v>-105</v>
      </c>
      <c r="H434" s="57">
        <f>F434+G434</f>
        <v>945</v>
      </c>
      <c r="I434" s="50">
        <v>1</v>
      </c>
      <c r="J434" s="57">
        <f t="shared" si="70"/>
        <v>945</v>
      </c>
      <c r="K434" s="58">
        <v>1039</v>
      </c>
      <c r="L434" s="18" t="s">
        <v>34</v>
      </c>
      <c r="M434" s="50"/>
    </row>
    <row r="435" spans="1:13" s="36" customFormat="1" ht="24" hidden="1" customHeight="1" x14ac:dyDescent="0.4">
      <c r="A435" s="62">
        <v>44856</v>
      </c>
      <c r="B435" s="32" t="s">
        <v>673</v>
      </c>
      <c r="C435" s="18" t="s">
        <v>22</v>
      </c>
      <c r="D435" s="63" t="s">
        <v>48</v>
      </c>
      <c r="E435" s="50" t="s">
        <v>369</v>
      </c>
      <c r="F435" s="57">
        <v>3000</v>
      </c>
      <c r="G435" s="76"/>
      <c r="H435" s="57">
        <f>F435+G435</f>
        <v>3000</v>
      </c>
      <c r="I435" s="50">
        <v>1</v>
      </c>
      <c r="J435" s="57">
        <f t="shared" si="70"/>
        <v>3000</v>
      </c>
      <c r="K435" s="58">
        <f t="shared" si="71"/>
        <v>3300.0000000000005</v>
      </c>
      <c r="L435" s="18" t="s">
        <v>25</v>
      </c>
      <c r="M435" s="50"/>
    </row>
    <row r="436" spans="1:13" s="36" customFormat="1" ht="24" hidden="1" customHeight="1" x14ac:dyDescent="0.4">
      <c r="A436" s="62">
        <v>44856</v>
      </c>
      <c r="B436" s="32" t="s">
        <v>673</v>
      </c>
      <c r="C436" s="18" t="s">
        <v>27</v>
      </c>
      <c r="D436" s="63" t="s">
        <v>28</v>
      </c>
      <c r="E436" s="50" t="s">
        <v>318</v>
      </c>
      <c r="F436" s="57">
        <v>15000</v>
      </c>
      <c r="G436" s="76"/>
      <c r="H436" s="57">
        <f t="shared" ref="H436:H501" si="72">F436+G436</f>
        <v>15000</v>
      </c>
      <c r="I436" s="50">
        <v>1</v>
      </c>
      <c r="J436" s="57">
        <f t="shared" si="70"/>
        <v>15000</v>
      </c>
      <c r="K436" s="58">
        <f t="shared" si="71"/>
        <v>16500</v>
      </c>
      <c r="L436" s="18" t="s">
        <v>25</v>
      </c>
      <c r="M436" s="50"/>
    </row>
    <row r="437" spans="1:13" s="36" customFormat="1" ht="24" hidden="1" customHeight="1" x14ac:dyDescent="0.4">
      <c r="A437" s="62">
        <v>44856</v>
      </c>
      <c r="B437" s="32" t="s">
        <v>673</v>
      </c>
      <c r="C437" s="18" t="s">
        <v>27</v>
      </c>
      <c r="D437" s="63" t="s">
        <v>28</v>
      </c>
      <c r="E437" s="50" t="s">
        <v>674</v>
      </c>
      <c r="F437" s="57">
        <v>17500</v>
      </c>
      <c r="G437" s="76"/>
      <c r="H437" s="57">
        <f t="shared" si="72"/>
        <v>17500</v>
      </c>
      <c r="I437" s="50">
        <v>1</v>
      </c>
      <c r="J437" s="57">
        <f t="shared" si="70"/>
        <v>17500</v>
      </c>
      <c r="K437" s="58">
        <f t="shared" si="71"/>
        <v>19250</v>
      </c>
      <c r="L437" s="18" t="s">
        <v>25</v>
      </c>
      <c r="M437" s="50"/>
    </row>
    <row r="438" spans="1:13" s="36" customFormat="1" ht="24" hidden="1" customHeight="1" x14ac:dyDescent="0.4">
      <c r="A438" s="62">
        <v>44856</v>
      </c>
      <c r="B438" s="32" t="s">
        <v>673</v>
      </c>
      <c r="C438" s="18" t="s">
        <v>27</v>
      </c>
      <c r="D438" s="63" t="s">
        <v>28</v>
      </c>
      <c r="E438" s="50" t="s">
        <v>675</v>
      </c>
      <c r="F438" s="57">
        <v>4370</v>
      </c>
      <c r="G438" s="76"/>
      <c r="H438" s="57">
        <f t="shared" si="72"/>
        <v>4370</v>
      </c>
      <c r="I438" s="50">
        <v>1</v>
      </c>
      <c r="J438" s="57">
        <f t="shared" si="70"/>
        <v>4370</v>
      </c>
      <c r="K438" s="58">
        <f t="shared" si="71"/>
        <v>4807</v>
      </c>
      <c r="L438" s="18" t="s">
        <v>25</v>
      </c>
      <c r="M438" s="50"/>
    </row>
    <row r="439" spans="1:13" s="36" customFormat="1" ht="24" hidden="1" customHeight="1" x14ac:dyDescent="0.4">
      <c r="A439" s="62">
        <v>44856</v>
      </c>
      <c r="B439" s="32" t="s">
        <v>678</v>
      </c>
      <c r="C439" s="18" t="s">
        <v>677</v>
      </c>
      <c r="D439" s="63" t="s">
        <v>292</v>
      </c>
      <c r="E439" s="50" t="s">
        <v>679</v>
      </c>
      <c r="F439" s="57">
        <v>5700</v>
      </c>
      <c r="G439" s="76">
        <v>-570</v>
      </c>
      <c r="H439" s="57">
        <f t="shared" si="72"/>
        <v>5130</v>
      </c>
      <c r="I439" s="50">
        <v>2</v>
      </c>
      <c r="J439" s="57">
        <f t="shared" si="70"/>
        <v>10260</v>
      </c>
      <c r="K439" s="58">
        <f t="shared" si="71"/>
        <v>11286.000000000002</v>
      </c>
      <c r="L439" s="18" t="s">
        <v>25</v>
      </c>
      <c r="M439" s="50"/>
    </row>
    <row r="440" spans="1:13" s="36" customFormat="1" ht="24" hidden="1" customHeight="1" x14ac:dyDescent="0.4">
      <c r="A440" s="62">
        <v>44856</v>
      </c>
      <c r="B440" s="32" t="s">
        <v>680</v>
      </c>
      <c r="C440" s="18" t="s">
        <v>22</v>
      </c>
      <c r="D440" s="63" t="s">
        <v>48</v>
      </c>
      <c r="E440" s="50" t="s">
        <v>369</v>
      </c>
      <c r="F440" s="57">
        <v>3000</v>
      </c>
      <c r="G440" s="76"/>
      <c r="H440" s="57">
        <f t="shared" si="72"/>
        <v>3000</v>
      </c>
      <c r="I440" s="50">
        <v>1</v>
      </c>
      <c r="J440" s="57">
        <f t="shared" si="70"/>
        <v>3000</v>
      </c>
      <c r="K440" s="58">
        <f t="shared" si="71"/>
        <v>3300.0000000000005</v>
      </c>
      <c r="L440" s="18" t="s">
        <v>681</v>
      </c>
      <c r="M440" s="50"/>
    </row>
    <row r="441" spans="1:13" s="36" customFormat="1" ht="24" hidden="1" customHeight="1" x14ac:dyDescent="0.4">
      <c r="A441" s="62">
        <v>44856</v>
      </c>
      <c r="B441" s="32" t="s">
        <v>682</v>
      </c>
      <c r="C441" s="18" t="s">
        <v>22</v>
      </c>
      <c r="D441" s="63" t="s">
        <v>48</v>
      </c>
      <c r="E441" s="50" t="s">
        <v>369</v>
      </c>
      <c r="F441" s="57">
        <v>3000</v>
      </c>
      <c r="G441" s="76"/>
      <c r="H441" s="57">
        <f t="shared" si="72"/>
        <v>3000</v>
      </c>
      <c r="I441" s="50">
        <v>1</v>
      </c>
      <c r="J441" s="57">
        <f t="shared" si="70"/>
        <v>3000</v>
      </c>
      <c r="K441" s="58">
        <f t="shared" si="71"/>
        <v>3300.0000000000005</v>
      </c>
      <c r="L441" s="18" t="s">
        <v>25</v>
      </c>
      <c r="M441" s="50"/>
    </row>
    <row r="442" spans="1:13" s="36" customFormat="1" ht="24" hidden="1" customHeight="1" x14ac:dyDescent="0.4">
      <c r="A442" s="62">
        <v>44856</v>
      </c>
      <c r="B442" s="32" t="s">
        <v>683</v>
      </c>
      <c r="C442" s="18" t="s">
        <v>22</v>
      </c>
      <c r="D442" s="63" t="s">
        <v>48</v>
      </c>
      <c r="E442" s="50" t="s">
        <v>369</v>
      </c>
      <c r="F442" s="57">
        <v>3000</v>
      </c>
      <c r="G442" s="76"/>
      <c r="H442" s="57">
        <f t="shared" si="72"/>
        <v>3000</v>
      </c>
      <c r="I442" s="50">
        <v>1</v>
      </c>
      <c r="J442" s="57">
        <f t="shared" si="70"/>
        <v>3000</v>
      </c>
      <c r="K442" s="58">
        <f t="shared" si="71"/>
        <v>3300.0000000000005</v>
      </c>
      <c r="L442" s="18" t="s">
        <v>681</v>
      </c>
      <c r="M442" s="50"/>
    </row>
    <row r="443" spans="1:13" s="36" customFormat="1" ht="24" hidden="1" customHeight="1" x14ac:dyDescent="0.4">
      <c r="A443" s="62">
        <v>44856</v>
      </c>
      <c r="B443" s="32" t="s">
        <v>676</v>
      </c>
      <c r="C443" s="18" t="s">
        <v>677</v>
      </c>
      <c r="D443" s="63" t="s">
        <v>292</v>
      </c>
      <c r="E443" s="50" t="s">
        <v>684</v>
      </c>
      <c r="F443" s="57">
        <v>4800</v>
      </c>
      <c r="G443" s="76">
        <v>-480</v>
      </c>
      <c r="H443" s="57">
        <f t="shared" si="72"/>
        <v>4320</v>
      </c>
      <c r="I443" s="50">
        <v>1</v>
      </c>
      <c r="J443" s="57">
        <f t="shared" si="70"/>
        <v>4320</v>
      </c>
      <c r="K443" s="58">
        <f t="shared" si="71"/>
        <v>4752</v>
      </c>
      <c r="L443" s="18" t="s">
        <v>25</v>
      </c>
      <c r="M443" s="50"/>
    </row>
    <row r="444" spans="1:13" s="36" customFormat="1" ht="24" hidden="1" customHeight="1" x14ac:dyDescent="0.4">
      <c r="A444" s="62">
        <v>44857</v>
      </c>
      <c r="B444" s="32" t="s">
        <v>685</v>
      </c>
      <c r="C444" s="18" t="s">
        <v>22</v>
      </c>
      <c r="D444" s="63" t="s">
        <v>48</v>
      </c>
      <c r="E444" s="50" t="s">
        <v>369</v>
      </c>
      <c r="F444" s="57">
        <v>3000</v>
      </c>
      <c r="G444" s="76"/>
      <c r="H444" s="57">
        <f t="shared" si="72"/>
        <v>3000</v>
      </c>
      <c r="I444" s="50">
        <v>1</v>
      </c>
      <c r="J444" s="57">
        <f t="shared" si="70"/>
        <v>3000</v>
      </c>
      <c r="K444" s="58">
        <f t="shared" si="71"/>
        <v>3300.0000000000005</v>
      </c>
      <c r="L444" s="18" t="s">
        <v>25</v>
      </c>
      <c r="M444" s="50"/>
    </row>
    <row r="445" spans="1:13" s="36" customFormat="1" ht="24" hidden="1" customHeight="1" x14ac:dyDescent="0.4">
      <c r="A445" s="62">
        <v>44857</v>
      </c>
      <c r="B445" s="32" t="s">
        <v>685</v>
      </c>
      <c r="C445" s="18" t="s">
        <v>27</v>
      </c>
      <c r="D445" s="63" t="s">
        <v>28</v>
      </c>
      <c r="E445" s="50" t="s">
        <v>686</v>
      </c>
      <c r="F445" s="57">
        <v>10000</v>
      </c>
      <c r="G445" s="76"/>
      <c r="H445" s="57">
        <f t="shared" si="72"/>
        <v>10000</v>
      </c>
      <c r="I445" s="50">
        <v>1</v>
      </c>
      <c r="J445" s="57">
        <f t="shared" si="70"/>
        <v>10000</v>
      </c>
      <c r="K445" s="58">
        <f t="shared" si="71"/>
        <v>11000</v>
      </c>
      <c r="L445" s="18" t="s">
        <v>25</v>
      </c>
      <c r="M445" s="50"/>
    </row>
    <row r="446" spans="1:13" s="36" customFormat="1" ht="24" hidden="1" customHeight="1" x14ac:dyDescent="0.4">
      <c r="A446" s="62">
        <v>44857</v>
      </c>
      <c r="B446" s="32" t="s">
        <v>685</v>
      </c>
      <c r="C446" s="18" t="s">
        <v>27</v>
      </c>
      <c r="D446" s="63" t="s">
        <v>28</v>
      </c>
      <c r="E446" s="50" t="s">
        <v>674</v>
      </c>
      <c r="F446" s="57">
        <v>17500</v>
      </c>
      <c r="G446" s="76"/>
      <c r="H446" s="57">
        <f t="shared" si="72"/>
        <v>17500</v>
      </c>
      <c r="I446" s="50">
        <v>1</v>
      </c>
      <c r="J446" s="57">
        <f t="shared" si="70"/>
        <v>17500</v>
      </c>
      <c r="K446" s="58">
        <f t="shared" si="71"/>
        <v>19250</v>
      </c>
      <c r="L446" s="18" t="s">
        <v>25</v>
      </c>
      <c r="M446" s="50"/>
    </row>
    <row r="447" spans="1:13" s="36" customFormat="1" ht="24" hidden="1" customHeight="1" x14ac:dyDescent="0.4">
      <c r="A447" s="62">
        <v>44857</v>
      </c>
      <c r="B447" s="32" t="s">
        <v>345</v>
      </c>
      <c r="C447" s="18" t="s">
        <v>22</v>
      </c>
      <c r="D447" s="63" t="s">
        <v>48</v>
      </c>
      <c r="E447" s="50" t="s">
        <v>687</v>
      </c>
      <c r="F447" s="57">
        <v>3000</v>
      </c>
      <c r="G447" s="76"/>
      <c r="H447" s="57">
        <f t="shared" si="72"/>
        <v>3000</v>
      </c>
      <c r="I447" s="50">
        <v>1</v>
      </c>
      <c r="J447" s="57">
        <f t="shared" si="70"/>
        <v>3000</v>
      </c>
      <c r="K447" s="58">
        <f t="shared" si="71"/>
        <v>3300.0000000000005</v>
      </c>
      <c r="L447" s="18" t="s">
        <v>25</v>
      </c>
      <c r="M447" s="50"/>
    </row>
    <row r="448" spans="1:13" s="36" customFormat="1" ht="24" hidden="1" customHeight="1" x14ac:dyDescent="0.4">
      <c r="A448" s="62">
        <v>44857</v>
      </c>
      <c r="B448" s="32" t="s">
        <v>688</v>
      </c>
      <c r="C448" s="18" t="s">
        <v>27</v>
      </c>
      <c r="D448" s="63" t="s">
        <v>28</v>
      </c>
      <c r="E448" s="50" t="s">
        <v>73</v>
      </c>
      <c r="F448" s="57">
        <v>2000</v>
      </c>
      <c r="G448" s="76"/>
      <c r="H448" s="57">
        <f t="shared" si="72"/>
        <v>2000</v>
      </c>
      <c r="I448" s="50">
        <v>1</v>
      </c>
      <c r="J448" s="57">
        <f t="shared" si="70"/>
        <v>2000</v>
      </c>
      <c r="K448" s="58">
        <f t="shared" si="71"/>
        <v>2200</v>
      </c>
      <c r="L448" s="18" t="s">
        <v>689</v>
      </c>
      <c r="M448" s="50"/>
    </row>
    <row r="449" spans="1:13" s="36" customFormat="1" ht="24" hidden="1" customHeight="1" x14ac:dyDescent="0.4">
      <c r="A449" s="62">
        <v>44858</v>
      </c>
      <c r="B449" s="32" t="s">
        <v>690</v>
      </c>
      <c r="C449" s="18" t="s">
        <v>691</v>
      </c>
      <c r="D449" s="63" t="s">
        <v>692</v>
      </c>
      <c r="E449" s="50" t="s">
        <v>693</v>
      </c>
      <c r="F449" s="57">
        <v>980</v>
      </c>
      <c r="G449" s="76">
        <v>-98</v>
      </c>
      <c r="H449" s="57">
        <f t="shared" si="72"/>
        <v>882</v>
      </c>
      <c r="I449" s="50">
        <v>1</v>
      </c>
      <c r="J449" s="57">
        <f t="shared" ref="J449:J501" si="73">H449*I449</f>
        <v>882</v>
      </c>
      <c r="K449" s="58">
        <f t="shared" si="71"/>
        <v>970.2</v>
      </c>
      <c r="L449" s="18" t="s">
        <v>25</v>
      </c>
      <c r="M449" s="50"/>
    </row>
    <row r="450" spans="1:13" s="36" customFormat="1" ht="24" hidden="1" customHeight="1" x14ac:dyDescent="0.4">
      <c r="A450" s="62">
        <v>44858</v>
      </c>
      <c r="B450" s="32" t="s">
        <v>690</v>
      </c>
      <c r="C450" s="18" t="s">
        <v>691</v>
      </c>
      <c r="D450" s="63" t="s">
        <v>426</v>
      </c>
      <c r="E450" s="50" t="s">
        <v>694</v>
      </c>
      <c r="F450" s="57">
        <v>1700</v>
      </c>
      <c r="G450" s="76">
        <v>-170</v>
      </c>
      <c r="H450" s="57">
        <f t="shared" si="72"/>
        <v>1530</v>
      </c>
      <c r="I450" s="50">
        <v>1</v>
      </c>
      <c r="J450" s="57">
        <f t="shared" si="73"/>
        <v>1530</v>
      </c>
      <c r="K450" s="58">
        <f t="shared" si="71"/>
        <v>1683.0000000000002</v>
      </c>
      <c r="L450" s="18" t="s">
        <v>25</v>
      </c>
      <c r="M450" s="50"/>
    </row>
    <row r="451" spans="1:13" s="36" customFormat="1" ht="24" hidden="1" customHeight="1" x14ac:dyDescent="0.4">
      <c r="A451" s="62">
        <v>44858</v>
      </c>
      <c r="B451" s="32" t="s">
        <v>695</v>
      </c>
      <c r="C451" s="18" t="s">
        <v>691</v>
      </c>
      <c r="D451" s="63" t="s">
        <v>455</v>
      </c>
      <c r="E451" s="50" t="s">
        <v>696</v>
      </c>
      <c r="F451" s="57">
        <v>1050</v>
      </c>
      <c r="G451" s="76">
        <v>-105</v>
      </c>
      <c r="H451" s="57">
        <f t="shared" si="72"/>
        <v>945</v>
      </c>
      <c r="I451" s="50">
        <v>1</v>
      </c>
      <c r="J451" s="57">
        <f t="shared" si="73"/>
        <v>945</v>
      </c>
      <c r="K451" s="58">
        <f t="shared" si="71"/>
        <v>1039.5</v>
      </c>
      <c r="L451" s="18" t="s">
        <v>689</v>
      </c>
      <c r="M451" s="50"/>
    </row>
    <row r="452" spans="1:13" s="36" customFormat="1" ht="24" hidden="1" customHeight="1" x14ac:dyDescent="0.4">
      <c r="A452" s="62">
        <v>44860</v>
      </c>
      <c r="B452" s="32" t="s">
        <v>697</v>
      </c>
      <c r="C452" s="18" t="s">
        <v>27</v>
      </c>
      <c r="D452" s="63" t="s">
        <v>103</v>
      </c>
      <c r="E452" s="50" t="s">
        <v>104</v>
      </c>
      <c r="F452" s="57">
        <v>2500</v>
      </c>
      <c r="G452" s="76"/>
      <c r="H452" s="57">
        <f t="shared" si="72"/>
        <v>2500</v>
      </c>
      <c r="I452" s="50">
        <v>1</v>
      </c>
      <c r="J452" s="57">
        <f t="shared" si="73"/>
        <v>2500</v>
      </c>
      <c r="K452" s="58">
        <f t="shared" si="71"/>
        <v>2750</v>
      </c>
      <c r="L452" s="18" t="s">
        <v>689</v>
      </c>
      <c r="M452" s="50"/>
    </row>
    <row r="453" spans="1:13" s="36" customFormat="1" ht="24" hidden="1" customHeight="1" x14ac:dyDescent="0.4">
      <c r="A453" s="62">
        <v>44861</v>
      </c>
      <c r="B453" s="32" t="s">
        <v>698</v>
      </c>
      <c r="C453" s="18" t="s">
        <v>699</v>
      </c>
      <c r="D453" s="63" t="s">
        <v>700</v>
      </c>
      <c r="E453" s="50" t="s">
        <v>701</v>
      </c>
      <c r="F453" s="57">
        <v>3000</v>
      </c>
      <c r="G453" s="76">
        <v>-669</v>
      </c>
      <c r="H453" s="57">
        <f t="shared" si="72"/>
        <v>2331</v>
      </c>
      <c r="I453" s="50">
        <v>1</v>
      </c>
      <c r="J453" s="57">
        <f t="shared" si="73"/>
        <v>2331</v>
      </c>
      <c r="K453" s="58">
        <f t="shared" si="71"/>
        <v>2564.1000000000004</v>
      </c>
      <c r="L453" s="18" t="s">
        <v>702</v>
      </c>
      <c r="M453" s="50"/>
    </row>
    <row r="454" spans="1:13" s="36" customFormat="1" ht="24" hidden="1" customHeight="1" x14ac:dyDescent="0.4">
      <c r="A454" s="62">
        <v>44861</v>
      </c>
      <c r="B454" s="32" t="s">
        <v>179</v>
      </c>
      <c r="C454" s="18" t="s">
        <v>699</v>
      </c>
      <c r="D454" s="63" t="s">
        <v>703</v>
      </c>
      <c r="E454" s="50" t="s">
        <v>704</v>
      </c>
      <c r="F454" s="57">
        <v>1400</v>
      </c>
      <c r="G454" s="76">
        <v>-140</v>
      </c>
      <c r="H454" s="57">
        <f t="shared" si="72"/>
        <v>1260</v>
      </c>
      <c r="I454" s="50">
        <v>1</v>
      </c>
      <c r="J454" s="57">
        <f t="shared" si="73"/>
        <v>1260</v>
      </c>
      <c r="K454" s="58">
        <f t="shared" si="71"/>
        <v>1386</v>
      </c>
      <c r="L454" s="18" t="s">
        <v>702</v>
      </c>
      <c r="M454" s="50"/>
    </row>
    <row r="455" spans="1:13" s="36" customFormat="1" ht="24" hidden="1" customHeight="1" x14ac:dyDescent="0.4">
      <c r="A455" s="62">
        <v>44861</v>
      </c>
      <c r="B455" s="32" t="s">
        <v>705</v>
      </c>
      <c r="C455" s="18" t="s">
        <v>27</v>
      </c>
      <c r="D455" s="63" t="s">
        <v>28</v>
      </c>
      <c r="E455" s="50" t="s">
        <v>674</v>
      </c>
      <c r="F455" s="57">
        <v>17500</v>
      </c>
      <c r="G455" s="76"/>
      <c r="H455" s="57">
        <f t="shared" si="72"/>
        <v>17500</v>
      </c>
      <c r="I455" s="50">
        <v>1</v>
      </c>
      <c r="J455" s="57">
        <f t="shared" si="73"/>
        <v>17500</v>
      </c>
      <c r="K455" s="58">
        <f t="shared" si="71"/>
        <v>19250</v>
      </c>
      <c r="L455" s="18" t="s">
        <v>702</v>
      </c>
      <c r="M455" s="50"/>
    </row>
    <row r="456" spans="1:13" s="36" customFormat="1" ht="24" hidden="1" customHeight="1" x14ac:dyDescent="0.4">
      <c r="A456" s="62">
        <v>44863</v>
      </c>
      <c r="B456" s="32" t="s">
        <v>346</v>
      </c>
      <c r="C456" s="18" t="s">
        <v>27</v>
      </c>
      <c r="D456" s="63" t="s">
        <v>28</v>
      </c>
      <c r="E456" s="50" t="s">
        <v>706</v>
      </c>
      <c r="F456" s="57">
        <v>5000</v>
      </c>
      <c r="G456" s="76"/>
      <c r="H456" s="57">
        <f t="shared" si="72"/>
        <v>5000</v>
      </c>
      <c r="I456" s="50">
        <v>1</v>
      </c>
      <c r="J456" s="57">
        <f t="shared" si="73"/>
        <v>5000</v>
      </c>
      <c r="K456" s="58">
        <f t="shared" si="71"/>
        <v>5500</v>
      </c>
      <c r="L456" s="18" t="s">
        <v>25</v>
      </c>
      <c r="M456" s="50"/>
    </row>
    <row r="457" spans="1:13" s="36" customFormat="1" ht="24" hidden="1" customHeight="1" x14ac:dyDescent="0.4">
      <c r="A457" s="62">
        <v>44865</v>
      </c>
      <c r="B457" s="32" t="s">
        <v>707</v>
      </c>
      <c r="C457" s="18" t="s">
        <v>708</v>
      </c>
      <c r="D457" s="63" t="s">
        <v>426</v>
      </c>
      <c r="E457" s="50" t="s">
        <v>709</v>
      </c>
      <c r="F457" s="57">
        <v>1700</v>
      </c>
      <c r="G457" s="76">
        <v>-170</v>
      </c>
      <c r="H457" s="57">
        <f t="shared" si="72"/>
        <v>1530</v>
      </c>
      <c r="I457" s="50">
        <v>1</v>
      </c>
      <c r="J457" s="57">
        <f t="shared" si="73"/>
        <v>1530</v>
      </c>
      <c r="K457" s="58">
        <f t="shared" si="71"/>
        <v>1683.0000000000002</v>
      </c>
      <c r="L457" s="18" t="s">
        <v>25</v>
      </c>
      <c r="M457" s="50"/>
    </row>
    <row r="458" spans="1:13" s="36" customFormat="1" ht="24" hidden="1" customHeight="1" x14ac:dyDescent="0.4">
      <c r="A458" s="62">
        <v>44865</v>
      </c>
      <c r="B458" s="32" t="s">
        <v>710</v>
      </c>
      <c r="C458" s="18" t="s">
        <v>708</v>
      </c>
      <c r="D458" s="63" t="s">
        <v>292</v>
      </c>
      <c r="E458" s="50" t="s">
        <v>711</v>
      </c>
      <c r="F458" s="57">
        <v>5700</v>
      </c>
      <c r="G458" s="76">
        <v>-570</v>
      </c>
      <c r="H458" s="57">
        <f t="shared" si="72"/>
        <v>5130</v>
      </c>
      <c r="I458" s="50">
        <v>1</v>
      </c>
      <c r="J458" s="57">
        <f t="shared" si="73"/>
        <v>5130</v>
      </c>
      <c r="K458" s="58">
        <f t="shared" si="71"/>
        <v>5643.0000000000009</v>
      </c>
      <c r="L458" s="18" t="s">
        <v>25</v>
      </c>
      <c r="M458" s="50"/>
    </row>
    <row r="459" spans="1:13" s="36" customFormat="1" ht="24" hidden="1" customHeight="1" x14ac:dyDescent="0.4">
      <c r="A459" s="62">
        <v>44865</v>
      </c>
      <c r="B459" s="32" t="s">
        <v>712</v>
      </c>
      <c r="C459" s="18" t="s">
        <v>22</v>
      </c>
      <c r="D459" s="63" t="s">
        <v>23</v>
      </c>
      <c r="E459" s="50" t="s">
        <v>442</v>
      </c>
      <c r="F459" s="57">
        <v>15000</v>
      </c>
      <c r="G459" s="76"/>
      <c r="H459" s="57">
        <f t="shared" si="72"/>
        <v>15000</v>
      </c>
      <c r="I459" s="50">
        <v>1</v>
      </c>
      <c r="J459" s="57">
        <f t="shared" si="73"/>
        <v>15000</v>
      </c>
      <c r="K459" s="58">
        <f t="shared" si="71"/>
        <v>16500</v>
      </c>
      <c r="L459" s="18" t="s">
        <v>34</v>
      </c>
      <c r="M459" s="50"/>
    </row>
    <row r="460" spans="1:13" s="36" customFormat="1" ht="24" hidden="1" customHeight="1" thickBot="1" x14ac:dyDescent="0.45">
      <c r="A460" s="150">
        <v>44865</v>
      </c>
      <c r="B460" s="107" t="s">
        <v>343</v>
      </c>
      <c r="C460" s="108" t="s">
        <v>27</v>
      </c>
      <c r="D460" s="109" t="s">
        <v>28</v>
      </c>
      <c r="E460" s="110" t="s">
        <v>73</v>
      </c>
      <c r="F460" s="111">
        <v>2000</v>
      </c>
      <c r="G460" s="112"/>
      <c r="H460" s="111">
        <f t="shared" si="72"/>
        <v>2000</v>
      </c>
      <c r="I460" s="110">
        <v>1</v>
      </c>
      <c r="J460" s="111">
        <f t="shared" si="73"/>
        <v>2000</v>
      </c>
      <c r="K460" s="113">
        <f t="shared" si="71"/>
        <v>2200</v>
      </c>
      <c r="L460" s="108" t="s">
        <v>713</v>
      </c>
      <c r="M460" s="110"/>
    </row>
    <row r="461" spans="1:13" s="36" customFormat="1" ht="24" hidden="1" customHeight="1" x14ac:dyDescent="0.4">
      <c r="A461" s="59">
        <v>44867</v>
      </c>
      <c r="B461" s="82" t="s">
        <v>714</v>
      </c>
      <c r="C461" s="60" t="s">
        <v>715</v>
      </c>
      <c r="D461" s="61" t="s">
        <v>426</v>
      </c>
      <c r="E461" s="56" t="s">
        <v>733</v>
      </c>
      <c r="F461" s="99">
        <v>1700</v>
      </c>
      <c r="G461" s="79">
        <v>-170</v>
      </c>
      <c r="H461" s="99">
        <f t="shared" si="72"/>
        <v>1530</v>
      </c>
      <c r="I461" s="56">
        <v>1</v>
      </c>
      <c r="J461" s="99">
        <f t="shared" si="73"/>
        <v>1530</v>
      </c>
      <c r="K461" s="100">
        <f t="shared" si="71"/>
        <v>1683.0000000000002</v>
      </c>
      <c r="L461" s="60" t="s">
        <v>716</v>
      </c>
      <c r="M461" s="56"/>
    </row>
    <row r="462" spans="1:13" s="36" customFormat="1" ht="24" hidden="1" customHeight="1" x14ac:dyDescent="0.4">
      <c r="A462" s="59">
        <v>44868</v>
      </c>
      <c r="B462" s="32" t="s">
        <v>717</v>
      </c>
      <c r="C462" s="18" t="s">
        <v>715</v>
      </c>
      <c r="D462" s="63" t="s">
        <v>718</v>
      </c>
      <c r="E462" s="50" t="s">
        <v>719</v>
      </c>
      <c r="F462" s="57">
        <v>980</v>
      </c>
      <c r="G462" s="76">
        <v>-98</v>
      </c>
      <c r="H462" s="57">
        <f t="shared" si="72"/>
        <v>882</v>
      </c>
      <c r="I462" s="50">
        <v>1</v>
      </c>
      <c r="J462" s="57">
        <f t="shared" si="73"/>
        <v>882</v>
      </c>
      <c r="K462" s="58">
        <f t="shared" si="71"/>
        <v>970.2</v>
      </c>
      <c r="L462" s="18" t="s">
        <v>716</v>
      </c>
      <c r="M462" s="50"/>
    </row>
    <row r="463" spans="1:13" s="36" customFormat="1" ht="24" hidden="1" customHeight="1" x14ac:dyDescent="0.4">
      <c r="A463" s="59">
        <v>44868</v>
      </c>
      <c r="B463" s="32" t="s">
        <v>785</v>
      </c>
      <c r="C463" s="18" t="s">
        <v>22</v>
      </c>
      <c r="D463" s="63" t="s">
        <v>48</v>
      </c>
      <c r="E463" s="50" t="s">
        <v>720</v>
      </c>
      <c r="F463" s="57">
        <v>12000</v>
      </c>
      <c r="G463" s="76"/>
      <c r="H463" s="57">
        <f t="shared" si="72"/>
        <v>12000</v>
      </c>
      <c r="I463" s="50">
        <v>1</v>
      </c>
      <c r="J463" s="57">
        <f t="shared" si="73"/>
        <v>12000</v>
      </c>
      <c r="K463" s="58">
        <f t="shared" si="71"/>
        <v>13200.000000000002</v>
      </c>
      <c r="L463" s="18" t="s">
        <v>25</v>
      </c>
      <c r="M463" s="50" t="s">
        <v>874</v>
      </c>
    </row>
    <row r="464" spans="1:13" s="36" customFormat="1" ht="24" hidden="1" customHeight="1" x14ac:dyDescent="0.4">
      <c r="A464" s="59">
        <v>44868</v>
      </c>
      <c r="B464" s="32" t="s">
        <v>712</v>
      </c>
      <c r="C464" s="18" t="s">
        <v>880</v>
      </c>
      <c r="D464" s="63" t="s">
        <v>881</v>
      </c>
      <c r="E464" s="50" t="s">
        <v>882</v>
      </c>
      <c r="F464" s="57">
        <v>60000</v>
      </c>
      <c r="G464" s="76">
        <v>-9000</v>
      </c>
      <c r="H464" s="57">
        <f t="shared" si="72"/>
        <v>51000</v>
      </c>
      <c r="I464" s="50">
        <v>1</v>
      </c>
      <c r="J464" s="57">
        <f t="shared" si="73"/>
        <v>51000</v>
      </c>
      <c r="K464" s="58">
        <f t="shared" si="71"/>
        <v>56100.000000000007</v>
      </c>
      <c r="L464" s="18" t="s">
        <v>883</v>
      </c>
      <c r="M464" s="50"/>
    </row>
    <row r="465" spans="1:13" s="36" customFormat="1" ht="24" hidden="1" customHeight="1" x14ac:dyDescent="0.4">
      <c r="A465" s="59">
        <v>44868</v>
      </c>
      <c r="B465" s="32" t="s">
        <v>712</v>
      </c>
      <c r="C465" s="18" t="s">
        <v>880</v>
      </c>
      <c r="D465" s="63" t="s">
        <v>884</v>
      </c>
      <c r="E465" s="50" t="s">
        <v>670</v>
      </c>
      <c r="F465" s="57">
        <v>980</v>
      </c>
      <c r="G465" s="76"/>
      <c r="H465" s="57">
        <v>980</v>
      </c>
      <c r="I465" s="50">
        <v>1</v>
      </c>
      <c r="J465" s="57">
        <v>980</v>
      </c>
      <c r="K465" s="58">
        <f>J465*1.1</f>
        <v>1078</v>
      </c>
      <c r="L465" s="18" t="s">
        <v>883</v>
      </c>
      <c r="M465" s="50"/>
    </row>
    <row r="466" spans="1:13" s="36" customFormat="1" ht="24" hidden="1" customHeight="1" x14ac:dyDescent="0.4">
      <c r="A466" s="59">
        <v>44868</v>
      </c>
      <c r="B466" s="32" t="s">
        <v>712</v>
      </c>
      <c r="C466" s="96" t="s">
        <v>198</v>
      </c>
      <c r="D466" s="63" t="s">
        <v>23</v>
      </c>
      <c r="E466" s="50" t="s">
        <v>199</v>
      </c>
      <c r="F466" s="57"/>
      <c r="G466" s="76"/>
      <c r="H466" s="57"/>
      <c r="I466" s="50">
        <v>1</v>
      </c>
      <c r="J466" s="57">
        <v>-15000</v>
      </c>
      <c r="K466" s="58">
        <v>-16500</v>
      </c>
      <c r="L466" s="18" t="s">
        <v>883</v>
      </c>
      <c r="M466" s="50"/>
    </row>
    <row r="467" spans="1:13" s="36" customFormat="1" ht="24" hidden="1" customHeight="1" x14ac:dyDescent="0.4">
      <c r="A467" s="59">
        <v>44868</v>
      </c>
      <c r="B467" s="32" t="s">
        <v>885</v>
      </c>
      <c r="C467" s="123" t="s">
        <v>880</v>
      </c>
      <c r="D467" s="63" t="s">
        <v>881</v>
      </c>
      <c r="E467" s="50" t="s">
        <v>886</v>
      </c>
      <c r="F467" s="57">
        <v>40000</v>
      </c>
      <c r="G467" s="76">
        <v>-18000</v>
      </c>
      <c r="H467" s="57">
        <v>22000</v>
      </c>
      <c r="I467" s="50">
        <v>1</v>
      </c>
      <c r="J467" s="57">
        <v>22000</v>
      </c>
      <c r="K467" s="58">
        <v>24200</v>
      </c>
      <c r="L467" s="18" t="s">
        <v>883</v>
      </c>
      <c r="M467" s="50"/>
    </row>
    <row r="468" spans="1:13" s="36" customFormat="1" ht="24" hidden="1" customHeight="1" x14ac:dyDescent="0.4">
      <c r="A468" s="59">
        <v>44868</v>
      </c>
      <c r="B468" s="32" t="s">
        <v>885</v>
      </c>
      <c r="C468" s="123" t="s">
        <v>887</v>
      </c>
      <c r="D468" s="63"/>
      <c r="E468" s="50"/>
      <c r="F468" s="57">
        <v>1400</v>
      </c>
      <c r="G468" s="76"/>
      <c r="H468" s="57">
        <v>1400</v>
      </c>
      <c r="I468" s="50">
        <v>1</v>
      </c>
      <c r="J468" s="57">
        <v>1400</v>
      </c>
      <c r="K468" s="58">
        <v>1540</v>
      </c>
      <c r="L468" s="18" t="s">
        <v>883</v>
      </c>
      <c r="M468" s="50"/>
    </row>
    <row r="469" spans="1:13" s="36" customFormat="1" ht="24" hidden="1" customHeight="1" x14ac:dyDescent="0.4">
      <c r="A469" s="59">
        <v>44869</v>
      </c>
      <c r="B469" s="32" t="s">
        <v>179</v>
      </c>
      <c r="C469" s="18" t="s">
        <v>721</v>
      </c>
      <c r="D469" s="63" t="s">
        <v>722</v>
      </c>
      <c r="E469" s="50" t="s">
        <v>728</v>
      </c>
      <c r="F469" s="57">
        <v>1400</v>
      </c>
      <c r="G469" s="76">
        <v>-140</v>
      </c>
      <c r="H469" s="57">
        <f t="shared" si="72"/>
        <v>1260</v>
      </c>
      <c r="I469" s="50">
        <v>1</v>
      </c>
      <c r="J469" s="57">
        <f t="shared" si="73"/>
        <v>1260</v>
      </c>
      <c r="K469" s="58">
        <f t="shared" si="71"/>
        <v>1386</v>
      </c>
      <c r="L469" s="18" t="s">
        <v>723</v>
      </c>
      <c r="M469" s="50"/>
    </row>
    <row r="470" spans="1:13" s="36" customFormat="1" ht="24" hidden="1" customHeight="1" x14ac:dyDescent="0.4">
      <c r="A470" s="59">
        <v>44870</v>
      </c>
      <c r="B470" s="32" t="s">
        <v>724</v>
      </c>
      <c r="C470" s="18" t="s">
        <v>721</v>
      </c>
      <c r="D470" s="63" t="s">
        <v>292</v>
      </c>
      <c r="E470" s="50" t="s">
        <v>725</v>
      </c>
      <c r="F470" s="57">
        <v>5700</v>
      </c>
      <c r="G470" s="76">
        <v>-570</v>
      </c>
      <c r="H470" s="57">
        <f t="shared" si="72"/>
        <v>5130</v>
      </c>
      <c r="I470" s="50">
        <v>2</v>
      </c>
      <c r="J470" s="57">
        <f t="shared" si="73"/>
        <v>10260</v>
      </c>
      <c r="K470" s="58">
        <f t="shared" si="71"/>
        <v>11286.000000000002</v>
      </c>
      <c r="L470" s="18" t="s">
        <v>25</v>
      </c>
      <c r="M470" s="50"/>
    </row>
    <row r="471" spans="1:13" s="36" customFormat="1" ht="24" hidden="1" customHeight="1" x14ac:dyDescent="0.4">
      <c r="A471" s="59">
        <v>44870</v>
      </c>
      <c r="B471" s="32" t="s">
        <v>726</v>
      </c>
      <c r="C471" s="18" t="s">
        <v>22</v>
      </c>
      <c r="D471" s="63" t="s">
        <v>48</v>
      </c>
      <c r="E471" s="50" t="s">
        <v>369</v>
      </c>
      <c r="F471" s="57">
        <v>3000</v>
      </c>
      <c r="G471" s="76"/>
      <c r="H471" s="57">
        <f t="shared" si="72"/>
        <v>3000</v>
      </c>
      <c r="I471" s="50">
        <v>1</v>
      </c>
      <c r="J471" s="57">
        <f t="shared" si="73"/>
        <v>3000</v>
      </c>
      <c r="K471" s="58">
        <f t="shared" si="71"/>
        <v>3300.0000000000005</v>
      </c>
      <c r="L471" s="18" t="s">
        <v>723</v>
      </c>
      <c r="M471" s="50"/>
    </row>
    <row r="472" spans="1:13" s="36" customFormat="1" ht="24" hidden="1" customHeight="1" x14ac:dyDescent="0.4">
      <c r="A472" s="59">
        <v>44870</v>
      </c>
      <c r="B472" s="32" t="s">
        <v>727</v>
      </c>
      <c r="C472" s="18" t="s">
        <v>721</v>
      </c>
      <c r="D472" s="63" t="s">
        <v>722</v>
      </c>
      <c r="E472" s="50" t="s">
        <v>729</v>
      </c>
      <c r="F472" s="57">
        <v>2300</v>
      </c>
      <c r="G472" s="76">
        <v>-230</v>
      </c>
      <c r="H472" s="57">
        <f t="shared" si="72"/>
        <v>2070</v>
      </c>
      <c r="I472" s="50">
        <v>1</v>
      </c>
      <c r="J472" s="57">
        <f t="shared" si="73"/>
        <v>2070</v>
      </c>
      <c r="K472" s="58">
        <f t="shared" si="71"/>
        <v>2277</v>
      </c>
      <c r="L472" s="18" t="s">
        <v>25</v>
      </c>
      <c r="M472" s="50"/>
    </row>
    <row r="473" spans="1:13" s="36" customFormat="1" ht="24" hidden="1" customHeight="1" x14ac:dyDescent="0.4">
      <c r="A473" s="59">
        <v>44870</v>
      </c>
      <c r="B473" s="32" t="s">
        <v>730</v>
      </c>
      <c r="C473" s="18" t="s">
        <v>721</v>
      </c>
      <c r="D473" s="63" t="s">
        <v>292</v>
      </c>
      <c r="E473" s="50" t="s">
        <v>731</v>
      </c>
      <c r="F473" s="57">
        <v>4200</v>
      </c>
      <c r="G473" s="76"/>
      <c r="H473" s="57">
        <f t="shared" si="72"/>
        <v>4200</v>
      </c>
      <c r="I473" s="50">
        <v>1</v>
      </c>
      <c r="J473" s="57">
        <f t="shared" si="73"/>
        <v>4200</v>
      </c>
      <c r="K473" s="58">
        <f t="shared" si="71"/>
        <v>4620</v>
      </c>
      <c r="L473" s="18" t="s">
        <v>723</v>
      </c>
      <c r="M473" s="50"/>
    </row>
    <row r="474" spans="1:13" s="36" customFormat="1" ht="24" hidden="1" customHeight="1" x14ac:dyDescent="0.4">
      <c r="A474" s="59">
        <v>44870</v>
      </c>
      <c r="B474" s="32" t="s">
        <v>730</v>
      </c>
      <c r="C474" s="18" t="s">
        <v>721</v>
      </c>
      <c r="D474" s="63" t="s">
        <v>426</v>
      </c>
      <c r="E474" s="50" t="s">
        <v>732</v>
      </c>
      <c r="F474" s="57">
        <v>1650</v>
      </c>
      <c r="G474" s="76">
        <v>-165</v>
      </c>
      <c r="H474" s="57">
        <f t="shared" si="72"/>
        <v>1485</v>
      </c>
      <c r="I474" s="50">
        <v>1</v>
      </c>
      <c r="J474" s="57">
        <f t="shared" si="73"/>
        <v>1485</v>
      </c>
      <c r="K474" s="58">
        <v>1633</v>
      </c>
      <c r="L474" s="18" t="s">
        <v>723</v>
      </c>
      <c r="M474" s="50"/>
    </row>
    <row r="475" spans="1:13" s="36" customFormat="1" ht="24" hidden="1" customHeight="1" x14ac:dyDescent="0.4">
      <c r="A475" s="59">
        <v>44872</v>
      </c>
      <c r="B475" s="32" t="s">
        <v>734</v>
      </c>
      <c r="C475" s="18" t="s">
        <v>27</v>
      </c>
      <c r="D475" s="63" t="s">
        <v>28</v>
      </c>
      <c r="E475" s="50" t="s">
        <v>73</v>
      </c>
      <c r="F475" s="57">
        <v>2000</v>
      </c>
      <c r="G475" s="76"/>
      <c r="H475" s="57">
        <f t="shared" si="72"/>
        <v>2000</v>
      </c>
      <c r="I475" s="50">
        <v>1</v>
      </c>
      <c r="J475" s="57">
        <f t="shared" si="73"/>
        <v>2000</v>
      </c>
      <c r="K475" s="58">
        <f t="shared" si="71"/>
        <v>2200</v>
      </c>
      <c r="L475" s="18" t="s">
        <v>20</v>
      </c>
      <c r="M475" s="50"/>
    </row>
    <row r="476" spans="1:13" s="36" customFormat="1" ht="24" hidden="1" customHeight="1" x14ac:dyDescent="0.4">
      <c r="A476" s="59">
        <v>44872</v>
      </c>
      <c r="B476" s="32" t="s">
        <v>735</v>
      </c>
      <c r="C476" s="18" t="s">
        <v>736</v>
      </c>
      <c r="D476" s="63" t="s">
        <v>737</v>
      </c>
      <c r="E476" s="50" t="s">
        <v>738</v>
      </c>
      <c r="F476" s="57">
        <v>2000</v>
      </c>
      <c r="G476" s="76">
        <v>-200</v>
      </c>
      <c r="H476" s="57">
        <f t="shared" si="72"/>
        <v>1800</v>
      </c>
      <c r="I476" s="50">
        <v>1</v>
      </c>
      <c r="J476" s="57">
        <f t="shared" si="73"/>
        <v>1800</v>
      </c>
      <c r="K476" s="58">
        <f t="shared" ref="K476:K541" si="74">J476*1.1</f>
        <v>1980.0000000000002</v>
      </c>
      <c r="L476" s="18" t="s">
        <v>25</v>
      </c>
      <c r="M476" s="50"/>
    </row>
    <row r="477" spans="1:13" s="36" customFormat="1" ht="24" hidden="1" customHeight="1" x14ac:dyDescent="0.4">
      <c r="A477" s="62">
        <v>44874</v>
      </c>
      <c r="B477" s="32" t="s">
        <v>179</v>
      </c>
      <c r="C477" s="96" t="s">
        <v>870</v>
      </c>
      <c r="D477" s="63"/>
      <c r="E477" s="50"/>
      <c r="F477" s="57"/>
      <c r="G477" s="76"/>
      <c r="H477" s="57"/>
      <c r="I477" s="50"/>
      <c r="J477" s="57"/>
      <c r="K477" s="58">
        <v>-154</v>
      </c>
      <c r="L477" s="18" t="s">
        <v>871</v>
      </c>
      <c r="M477" s="50" t="s">
        <v>873</v>
      </c>
    </row>
    <row r="478" spans="1:13" s="36" customFormat="1" ht="24" hidden="1" customHeight="1" x14ac:dyDescent="0.4">
      <c r="A478" s="62">
        <v>44874</v>
      </c>
      <c r="B478" s="32" t="s">
        <v>739</v>
      </c>
      <c r="C478" s="18" t="s">
        <v>22</v>
      </c>
      <c r="D478" s="63" t="s">
        <v>872</v>
      </c>
      <c r="E478" s="50" t="s">
        <v>369</v>
      </c>
      <c r="F478" s="57">
        <v>3000</v>
      </c>
      <c r="G478" s="76"/>
      <c r="H478" s="57">
        <f t="shared" si="72"/>
        <v>3000</v>
      </c>
      <c r="I478" s="50">
        <v>1</v>
      </c>
      <c r="J478" s="57">
        <f t="shared" si="73"/>
        <v>3000</v>
      </c>
      <c r="K478" s="58">
        <f t="shared" si="74"/>
        <v>3300.0000000000005</v>
      </c>
      <c r="L478" s="18" t="s">
        <v>740</v>
      </c>
      <c r="M478" s="50"/>
    </row>
    <row r="479" spans="1:13" s="36" customFormat="1" ht="24" hidden="1" customHeight="1" x14ac:dyDescent="0.4">
      <c r="A479" s="62">
        <v>44874</v>
      </c>
      <c r="B479" s="32" t="s">
        <v>741</v>
      </c>
      <c r="C479" s="18" t="s">
        <v>22</v>
      </c>
      <c r="D479" s="63" t="s">
        <v>23</v>
      </c>
      <c r="E479" s="50" t="s">
        <v>742</v>
      </c>
      <c r="F479" s="57">
        <v>13500</v>
      </c>
      <c r="G479" s="76"/>
      <c r="H479" s="57">
        <f t="shared" si="72"/>
        <v>13500</v>
      </c>
      <c r="I479" s="50">
        <v>1</v>
      </c>
      <c r="J479" s="57">
        <f t="shared" si="73"/>
        <v>13500</v>
      </c>
      <c r="K479" s="58">
        <f t="shared" si="74"/>
        <v>14850.000000000002</v>
      </c>
      <c r="L479" s="18" t="s">
        <v>25</v>
      </c>
      <c r="M479" s="50"/>
    </row>
    <row r="480" spans="1:13" s="36" customFormat="1" ht="24" hidden="1" customHeight="1" x14ac:dyDescent="0.4">
      <c r="A480" s="62">
        <v>44874</v>
      </c>
      <c r="B480" s="32" t="s">
        <v>741</v>
      </c>
      <c r="C480" s="18" t="s">
        <v>736</v>
      </c>
      <c r="D480" s="63" t="s">
        <v>743</v>
      </c>
      <c r="E480" s="50" t="s">
        <v>744</v>
      </c>
      <c r="F480" s="57">
        <v>55000</v>
      </c>
      <c r="G480" s="76">
        <v>-11000</v>
      </c>
      <c r="H480" s="57">
        <f t="shared" si="72"/>
        <v>44000</v>
      </c>
      <c r="I480" s="50">
        <v>1</v>
      </c>
      <c r="J480" s="57">
        <f t="shared" si="73"/>
        <v>44000</v>
      </c>
      <c r="K480" s="58">
        <f t="shared" si="74"/>
        <v>48400.000000000007</v>
      </c>
      <c r="L480" s="18" t="s">
        <v>34</v>
      </c>
      <c r="M480" s="50"/>
    </row>
    <row r="481" spans="1:13" s="36" customFormat="1" ht="24" hidden="1" customHeight="1" x14ac:dyDescent="0.4">
      <c r="A481" s="62">
        <v>44874</v>
      </c>
      <c r="B481" s="32" t="s">
        <v>741</v>
      </c>
      <c r="C481" s="18" t="s">
        <v>736</v>
      </c>
      <c r="D481" s="63" t="s">
        <v>737</v>
      </c>
      <c r="E481" s="50" t="s">
        <v>745</v>
      </c>
      <c r="F481" s="57">
        <v>980</v>
      </c>
      <c r="G481" s="76"/>
      <c r="H481" s="57">
        <f t="shared" si="72"/>
        <v>980</v>
      </c>
      <c r="I481" s="50">
        <v>1</v>
      </c>
      <c r="J481" s="57">
        <f t="shared" si="73"/>
        <v>980</v>
      </c>
      <c r="K481" s="58">
        <f t="shared" si="74"/>
        <v>1078</v>
      </c>
      <c r="L481" s="18" t="s">
        <v>34</v>
      </c>
      <c r="M481" s="50"/>
    </row>
    <row r="482" spans="1:13" s="36" customFormat="1" ht="24" hidden="1" customHeight="1" x14ac:dyDescent="0.4">
      <c r="A482" s="62">
        <v>44874</v>
      </c>
      <c r="B482" s="32" t="s">
        <v>746</v>
      </c>
      <c r="C482" s="18" t="s">
        <v>22</v>
      </c>
      <c r="D482" s="63" t="s">
        <v>23</v>
      </c>
      <c r="E482" s="50" t="s">
        <v>747</v>
      </c>
      <c r="F482" s="57">
        <v>15000</v>
      </c>
      <c r="G482" s="76"/>
      <c r="H482" s="57">
        <f t="shared" si="72"/>
        <v>15000</v>
      </c>
      <c r="I482" s="50">
        <v>1</v>
      </c>
      <c r="J482" s="57">
        <f t="shared" si="73"/>
        <v>15000</v>
      </c>
      <c r="K482" s="58">
        <f t="shared" si="74"/>
        <v>16500</v>
      </c>
      <c r="L482" s="18" t="s">
        <v>25</v>
      </c>
      <c r="M482" s="50"/>
    </row>
    <row r="483" spans="1:13" s="36" customFormat="1" ht="24" hidden="1" customHeight="1" x14ac:dyDescent="0.4">
      <c r="A483" s="62">
        <v>44874</v>
      </c>
      <c r="B483" s="32" t="s">
        <v>746</v>
      </c>
      <c r="C483" s="18" t="s">
        <v>736</v>
      </c>
      <c r="D483" s="63" t="s">
        <v>743</v>
      </c>
      <c r="E483" s="50" t="s">
        <v>748</v>
      </c>
      <c r="F483" s="57">
        <v>64000</v>
      </c>
      <c r="G483" s="76">
        <v>-12800</v>
      </c>
      <c r="H483" s="57">
        <f t="shared" si="72"/>
        <v>51200</v>
      </c>
      <c r="I483" s="50">
        <v>1</v>
      </c>
      <c r="J483" s="57">
        <f t="shared" si="73"/>
        <v>51200</v>
      </c>
      <c r="K483" s="58">
        <f t="shared" si="74"/>
        <v>56320.000000000007</v>
      </c>
      <c r="L483" s="18" t="s">
        <v>34</v>
      </c>
      <c r="M483" s="50"/>
    </row>
    <row r="484" spans="1:13" s="36" customFormat="1" ht="24" hidden="1" customHeight="1" x14ac:dyDescent="0.4">
      <c r="A484" s="62">
        <v>44874</v>
      </c>
      <c r="B484" s="32" t="s">
        <v>746</v>
      </c>
      <c r="C484" s="18" t="s">
        <v>736</v>
      </c>
      <c r="D484" s="63" t="s">
        <v>330</v>
      </c>
      <c r="E484" s="50" t="s">
        <v>749</v>
      </c>
      <c r="F484" s="57">
        <v>3000</v>
      </c>
      <c r="G484" s="76"/>
      <c r="H484" s="57">
        <f t="shared" si="72"/>
        <v>3000</v>
      </c>
      <c r="I484" s="50">
        <v>1</v>
      </c>
      <c r="J484" s="57">
        <f t="shared" si="73"/>
        <v>3000</v>
      </c>
      <c r="K484" s="58">
        <f t="shared" si="74"/>
        <v>3300.0000000000005</v>
      </c>
      <c r="L484" s="18" t="s">
        <v>34</v>
      </c>
      <c r="M484" s="50"/>
    </row>
    <row r="485" spans="1:13" s="36" customFormat="1" ht="24" hidden="1" customHeight="1" x14ac:dyDescent="0.4">
      <c r="A485" s="62">
        <v>44874</v>
      </c>
      <c r="B485" s="32" t="s">
        <v>746</v>
      </c>
      <c r="C485" s="18" t="s">
        <v>736</v>
      </c>
      <c r="D485" s="63" t="s">
        <v>737</v>
      </c>
      <c r="E485" s="50" t="s">
        <v>750</v>
      </c>
      <c r="F485" s="57">
        <v>1500</v>
      </c>
      <c r="G485" s="76"/>
      <c r="H485" s="57">
        <f t="shared" si="72"/>
        <v>1500</v>
      </c>
      <c r="I485" s="50">
        <v>1</v>
      </c>
      <c r="J485" s="57">
        <f t="shared" si="73"/>
        <v>1500</v>
      </c>
      <c r="K485" s="58">
        <f t="shared" si="74"/>
        <v>1650.0000000000002</v>
      </c>
      <c r="L485" s="18" t="s">
        <v>34</v>
      </c>
      <c r="M485" s="50"/>
    </row>
    <row r="486" spans="1:13" s="36" customFormat="1" ht="24" hidden="1" customHeight="1" x14ac:dyDescent="0.4">
      <c r="A486" s="62">
        <v>44874</v>
      </c>
      <c r="B486" s="32" t="s">
        <v>751</v>
      </c>
      <c r="C486" s="18" t="s">
        <v>22</v>
      </c>
      <c r="D486" s="63" t="s">
        <v>48</v>
      </c>
      <c r="E486" s="50" t="s">
        <v>369</v>
      </c>
      <c r="F486" s="57">
        <v>3000</v>
      </c>
      <c r="G486" s="76"/>
      <c r="H486" s="57">
        <f t="shared" si="72"/>
        <v>3000</v>
      </c>
      <c r="I486" s="50">
        <v>1</v>
      </c>
      <c r="J486" s="57">
        <f t="shared" si="73"/>
        <v>3000</v>
      </c>
      <c r="K486" s="58">
        <f t="shared" si="74"/>
        <v>3300.0000000000005</v>
      </c>
      <c r="L486" s="18" t="s">
        <v>25</v>
      </c>
      <c r="M486" s="50"/>
    </row>
    <row r="487" spans="1:13" s="36" customFormat="1" ht="24" hidden="1" customHeight="1" x14ac:dyDescent="0.4">
      <c r="A487" s="62">
        <v>44875</v>
      </c>
      <c r="B487" s="32" t="s">
        <v>752</v>
      </c>
      <c r="C487" s="18" t="s">
        <v>22</v>
      </c>
      <c r="D487" s="63" t="s">
        <v>48</v>
      </c>
      <c r="E487" s="50" t="s">
        <v>369</v>
      </c>
      <c r="F487" s="57">
        <v>3000</v>
      </c>
      <c r="G487" s="76"/>
      <c r="H487" s="57">
        <f t="shared" si="72"/>
        <v>3000</v>
      </c>
      <c r="I487" s="50">
        <v>1</v>
      </c>
      <c r="J487" s="57">
        <f t="shared" si="73"/>
        <v>3000</v>
      </c>
      <c r="K487" s="58">
        <f t="shared" si="74"/>
        <v>3300.0000000000005</v>
      </c>
      <c r="L487" s="18" t="s">
        <v>753</v>
      </c>
      <c r="M487" s="50"/>
    </row>
    <row r="488" spans="1:13" s="36" customFormat="1" ht="24" hidden="1" customHeight="1" x14ac:dyDescent="0.4">
      <c r="A488" s="62">
        <v>44875</v>
      </c>
      <c r="B488" s="32" t="s">
        <v>752</v>
      </c>
      <c r="C488" s="18" t="s">
        <v>27</v>
      </c>
      <c r="D488" s="63" t="s">
        <v>28</v>
      </c>
      <c r="E488" s="50" t="s">
        <v>755</v>
      </c>
      <c r="F488" s="57">
        <v>15000</v>
      </c>
      <c r="G488" s="76"/>
      <c r="H488" s="57">
        <f t="shared" si="72"/>
        <v>15000</v>
      </c>
      <c r="I488" s="50">
        <v>1</v>
      </c>
      <c r="J488" s="57">
        <f t="shared" si="73"/>
        <v>15000</v>
      </c>
      <c r="K488" s="58">
        <f t="shared" si="74"/>
        <v>16500</v>
      </c>
      <c r="L488" s="18" t="s">
        <v>25</v>
      </c>
      <c r="M488" s="50"/>
    </row>
    <row r="489" spans="1:13" s="36" customFormat="1" ht="24" hidden="1" customHeight="1" x14ac:dyDescent="0.4">
      <c r="A489" s="62">
        <v>44875</v>
      </c>
      <c r="B489" s="32" t="s">
        <v>752</v>
      </c>
      <c r="C489" s="18" t="s">
        <v>27</v>
      </c>
      <c r="D489" s="63" t="s">
        <v>28</v>
      </c>
      <c r="E489" s="50" t="s">
        <v>754</v>
      </c>
      <c r="F489" s="57">
        <v>8750</v>
      </c>
      <c r="G489" s="76"/>
      <c r="H489" s="57">
        <f t="shared" si="72"/>
        <v>8750</v>
      </c>
      <c r="I489" s="50">
        <v>1</v>
      </c>
      <c r="J489" s="57">
        <f t="shared" si="73"/>
        <v>8750</v>
      </c>
      <c r="K489" s="58">
        <f t="shared" si="74"/>
        <v>9625</v>
      </c>
      <c r="L489" s="18" t="s">
        <v>25</v>
      </c>
      <c r="M489" s="50"/>
    </row>
    <row r="490" spans="1:13" s="36" customFormat="1" ht="24" hidden="1" customHeight="1" x14ac:dyDescent="0.4">
      <c r="A490" s="62">
        <v>44875</v>
      </c>
      <c r="B490" s="32" t="s">
        <v>756</v>
      </c>
      <c r="C490" s="18" t="s">
        <v>22</v>
      </c>
      <c r="D490" s="63" t="s">
        <v>23</v>
      </c>
      <c r="E490" s="50" t="s">
        <v>747</v>
      </c>
      <c r="F490" s="57">
        <v>15000</v>
      </c>
      <c r="G490" s="76"/>
      <c r="H490" s="57">
        <f t="shared" si="72"/>
        <v>15000</v>
      </c>
      <c r="I490" s="50">
        <v>1</v>
      </c>
      <c r="J490" s="57">
        <f t="shared" si="73"/>
        <v>15000</v>
      </c>
      <c r="K490" s="58">
        <f t="shared" si="74"/>
        <v>16500</v>
      </c>
      <c r="L490" s="18" t="s">
        <v>753</v>
      </c>
      <c r="M490" s="50"/>
    </row>
    <row r="491" spans="1:13" s="36" customFormat="1" ht="24" hidden="1" customHeight="1" x14ac:dyDescent="0.4">
      <c r="A491" s="62">
        <v>44875</v>
      </c>
      <c r="B491" s="32" t="s">
        <v>757</v>
      </c>
      <c r="C491" s="18" t="s">
        <v>758</v>
      </c>
      <c r="D491" s="63" t="s">
        <v>759</v>
      </c>
      <c r="E491" s="50" t="s">
        <v>760</v>
      </c>
      <c r="F491" s="57">
        <v>1500</v>
      </c>
      <c r="G491" s="76">
        <v>-150</v>
      </c>
      <c r="H491" s="57">
        <f t="shared" si="72"/>
        <v>1350</v>
      </c>
      <c r="I491" s="50">
        <v>1</v>
      </c>
      <c r="J491" s="57">
        <f t="shared" si="73"/>
        <v>1350</v>
      </c>
      <c r="K491" s="58">
        <f t="shared" si="74"/>
        <v>1485.0000000000002</v>
      </c>
      <c r="L491" s="18" t="s">
        <v>20</v>
      </c>
      <c r="M491" s="50"/>
    </row>
    <row r="492" spans="1:13" s="36" customFormat="1" ht="24" hidden="1" customHeight="1" x14ac:dyDescent="0.4">
      <c r="A492" s="62">
        <v>44875</v>
      </c>
      <c r="B492" s="32" t="s">
        <v>761</v>
      </c>
      <c r="C492" s="18" t="s">
        <v>22</v>
      </c>
      <c r="D492" s="63" t="s">
        <v>48</v>
      </c>
      <c r="E492" s="50" t="s">
        <v>369</v>
      </c>
      <c r="F492" s="57">
        <v>3000</v>
      </c>
      <c r="G492" s="76"/>
      <c r="H492" s="57">
        <f t="shared" si="72"/>
        <v>3000</v>
      </c>
      <c r="I492" s="50">
        <v>1</v>
      </c>
      <c r="J492" s="57">
        <f t="shared" si="73"/>
        <v>3000</v>
      </c>
      <c r="K492" s="58">
        <f t="shared" si="74"/>
        <v>3300.0000000000005</v>
      </c>
      <c r="L492" s="18" t="s">
        <v>762</v>
      </c>
      <c r="M492" s="50"/>
    </row>
    <row r="493" spans="1:13" s="36" customFormat="1" ht="24" hidden="1" customHeight="1" x14ac:dyDescent="0.4">
      <c r="A493" s="62">
        <v>44875</v>
      </c>
      <c r="B493" s="32" t="s">
        <v>756</v>
      </c>
      <c r="C493" s="18" t="s">
        <v>22</v>
      </c>
      <c r="D493" s="63" t="s">
        <v>23</v>
      </c>
      <c r="E493" s="50" t="s">
        <v>435</v>
      </c>
      <c r="F493" s="57">
        <v>5000</v>
      </c>
      <c r="G493" s="76"/>
      <c r="H493" s="57">
        <f t="shared" si="72"/>
        <v>5000</v>
      </c>
      <c r="I493" s="50">
        <v>1</v>
      </c>
      <c r="J493" s="57">
        <f t="shared" si="73"/>
        <v>5000</v>
      </c>
      <c r="K493" s="58">
        <f t="shared" si="74"/>
        <v>5500</v>
      </c>
      <c r="L493" s="18" t="s">
        <v>34</v>
      </c>
      <c r="M493" s="50" t="s">
        <v>768</v>
      </c>
    </row>
    <row r="494" spans="1:13" s="36" customFormat="1" ht="24" hidden="1" customHeight="1" x14ac:dyDescent="0.4">
      <c r="A494" s="62">
        <v>44875</v>
      </c>
      <c r="B494" s="32" t="s">
        <v>756</v>
      </c>
      <c r="C494" s="18" t="s">
        <v>758</v>
      </c>
      <c r="D494" s="63" t="s">
        <v>763</v>
      </c>
      <c r="E494" s="50" t="s">
        <v>764</v>
      </c>
      <c r="F494" s="57">
        <v>40000</v>
      </c>
      <c r="G494" s="76">
        <v>-8000</v>
      </c>
      <c r="H494" s="57">
        <f t="shared" si="72"/>
        <v>32000</v>
      </c>
      <c r="I494" s="50">
        <v>1</v>
      </c>
      <c r="J494" s="57">
        <f t="shared" si="73"/>
        <v>32000</v>
      </c>
      <c r="K494" s="58">
        <f t="shared" si="74"/>
        <v>35200</v>
      </c>
      <c r="L494" s="18" t="s">
        <v>34</v>
      </c>
      <c r="M494" s="50"/>
    </row>
    <row r="495" spans="1:13" s="36" customFormat="1" ht="24" hidden="1" customHeight="1" x14ac:dyDescent="0.4">
      <c r="A495" s="62">
        <v>44875</v>
      </c>
      <c r="B495" s="32" t="s">
        <v>756</v>
      </c>
      <c r="C495" s="18" t="s">
        <v>758</v>
      </c>
      <c r="D495" s="63" t="s">
        <v>763</v>
      </c>
      <c r="E495" s="50" t="s">
        <v>765</v>
      </c>
      <c r="F495" s="57">
        <v>18000</v>
      </c>
      <c r="G495" s="76">
        <v>-3600</v>
      </c>
      <c r="H495" s="57">
        <f t="shared" si="72"/>
        <v>14400</v>
      </c>
      <c r="I495" s="50">
        <v>1</v>
      </c>
      <c r="J495" s="57">
        <f t="shared" ref="J495" si="75">H495*I495</f>
        <v>14400</v>
      </c>
      <c r="K495" s="58">
        <f t="shared" ref="K495" si="76">J495*1.1</f>
        <v>15840.000000000002</v>
      </c>
      <c r="L495" s="18" t="s">
        <v>34</v>
      </c>
      <c r="M495" s="50"/>
    </row>
    <row r="496" spans="1:13" s="36" customFormat="1" ht="24" hidden="1" customHeight="1" x14ac:dyDescent="0.4">
      <c r="A496" s="62">
        <v>44875</v>
      </c>
      <c r="B496" s="32" t="s">
        <v>756</v>
      </c>
      <c r="C496" s="18" t="s">
        <v>758</v>
      </c>
      <c r="D496" s="63" t="s">
        <v>763</v>
      </c>
      <c r="E496" s="50" t="s">
        <v>766</v>
      </c>
      <c r="F496" s="57">
        <v>18000</v>
      </c>
      <c r="G496" s="76">
        <v>-3600</v>
      </c>
      <c r="H496" s="57">
        <f t="shared" si="72"/>
        <v>14400</v>
      </c>
      <c r="I496" s="50">
        <v>1</v>
      </c>
      <c r="J496" s="57">
        <f t="shared" si="73"/>
        <v>14400</v>
      </c>
      <c r="K496" s="58">
        <f t="shared" si="74"/>
        <v>15840.000000000002</v>
      </c>
      <c r="L496" s="18" t="s">
        <v>34</v>
      </c>
      <c r="M496" s="50"/>
    </row>
    <row r="497" spans="1:13" s="36" customFormat="1" ht="24" hidden="1" customHeight="1" x14ac:dyDescent="0.4">
      <c r="A497" s="62">
        <v>44875</v>
      </c>
      <c r="B497" s="32" t="s">
        <v>756</v>
      </c>
      <c r="C497" s="18" t="s">
        <v>758</v>
      </c>
      <c r="D497" s="63" t="s">
        <v>576</v>
      </c>
      <c r="E497" s="50" t="s">
        <v>767</v>
      </c>
      <c r="F497" s="57">
        <v>69000</v>
      </c>
      <c r="G497" s="76">
        <v>-10350</v>
      </c>
      <c r="H497" s="57">
        <f t="shared" si="72"/>
        <v>58650</v>
      </c>
      <c r="I497" s="50">
        <v>1</v>
      </c>
      <c r="J497" s="57">
        <f t="shared" si="73"/>
        <v>58650</v>
      </c>
      <c r="K497" s="58">
        <f t="shared" si="74"/>
        <v>64515.000000000007</v>
      </c>
      <c r="L497" s="18" t="s">
        <v>34</v>
      </c>
      <c r="M497" s="50"/>
    </row>
    <row r="498" spans="1:13" s="36" customFormat="1" ht="24" hidden="1" customHeight="1" x14ac:dyDescent="0.4">
      <c r="A498" s="62">
        <v>44875</v>
      </c>
      <c r="B498" s="32" t="s">
        <v>756</v>
      </c>
      <c r="C498" s="18" t="s">
        <v>758</v>
      </c>
      <c r="D498" s="63" t="s">
        <v>759</v>
      </c>
      <c r="E498" s="50" t="s">
        <v>728</v>
      </c>
      <c r="F498" s="57">
        <v>1400</v>
      </c>
      <c r="G498" s="76"/>
      <c r="H498" s="57">
        <f t="shared" si="72"/>
        <v>1400</v>
      </c>
      <c r="I498" s="50">
        <v>3</v>
      </c>
      <c r="J498" s="57">
        <f t="shared" si="73"/>
        <v>4200</v>
      </c>
      <c r="K498" s="58">
        <f t="shared" si="74"/>
        <v>4620</v>
      </c>
      <c r="L498" s="18" t="s">
        <v>34</v>
      </c>
      <c r="M498" s="50"/>
    </row>
    <row r="499" spans="1:13" s="36" customFormat="1" ht="24" hidden="1" customHeight="1" x14ac:dyDescent="0.4">
      <c r="A499" s="62">
        <v>44876</v>
      </c>
      <c r="B499" s="32" t="s">
        <v>751</v>
      </c>
      <c r="C499" s="18" t="s">
        <v>27</v>
      </c>
      <c r="D499" s="63" t="s">
        <v>28</v>
      </c>
      <c r="E499" s="50" t="s">
        <v>318</v>
      </c>
      <c r="F499" s="57">
        <v>15000</v>
      </c>
      <c r="G499" s="76"/>
      <c r="H499" s="57">
        <f t="shared" si="72"/>
        <v>15000</v>
      </c>
      <c r="I499" s="50">
        <v>1</v>
      </c>
      <c r="J499" s="57">
        <f t="shared" si="73"/>
        <v>15000</v>
      </c>
      <c r="K499" s="58">
        <f t="shared" si="74"/>
        <v>16500</v>
      </c>
      <c r="L499" s="18" t="s">
        <v>25</v>
      </c>
      <c r="M499" s="487" t="s">
        <v>770</v>
      </c>
    </row>
    <row r="500" spans="1:13" s="36" customFormat="1" ht="24" hidden="1" customHeight="1" x14ac:dyDescent="0.4">
      <c r="A500" s="62">
        <v>44876</v>
      </c>
      <c r="B500" s="32" t="s">
        <v>751</v>
      </c>
      <c r="C500" s="18" t="s">
        <v>27</v>
      </c>
      <c r="D500" s="63" t="s">
        <v>28</v>
      </c>
      <c r="E500" s="50" t="s">
        <v>769</v>
      </c>
      <c r="F500" s="57">
        <v>17500</v>
      </c>
      <c r="G500" s="76"/>
      <c r="H500" s="57">
        <f t="shared" si="72"/>
        <v>17500</v>
      </c>
      <c r="I500" s="50">
        <v>1</v>
      </c>
      <c r="J500" s="57">
        <f t="shared" si="73"/>
        <v>17500</v>
      </c>
      <c r="K500" s="58">
        <f t="shared" si="74"/>
        <v>19250</v>
      </c>
      <c r="L500" s="18" t="s">
        <v>25</v>
      </c>
      <c r="M500" s="489"/>
    </row>
    <row r="501" spans="1:13" s="36" customFormat="1" ht="24" hidden="1" customHeight="1" x14ac:dyDescent="0.4">
      <c r="A501" s="62">
        <v>44877</v>
      </c>
      <c r="B501" s="32" t="s">
        <v>771</v>
      </c>
      <c r="C501" s="18" t="s">
        <v>758</v>
      </c>
      <c r="D501" s="63" t="s">
        <v>662</v>
      </c>
      <c r="E501" s="63" t="s">
        <v>772</v>
      </c>
      <c r="F501" s="57">
        <v>1500</v>
      </c>
      <c r="G501" s="76"/>
      <c r="H501" s="57">
        <f t="shared" si="72"/>
        <v>1500</v>
      </c>
      <c r="I501" s="50">
        <v>1</v>
      </c>
      <c r="J501" s="57">
        <f t="shared" si="73"/>
        <v>1500</v>
      </c>
      <c r="K501" s="58">
        <f t="shared" si="74"/>
        <v>1650.0000000000002</v>
      </c>
      <c r="L501" s="18" t="s">
        <v>762</v>
      </c>
      <c r="M501" s="50"/>
    </row>
    <row r="502" spans="1:13" s="36" customFormat="1" ht="24" hidden="1" customHeight="1" x14ac:dyDescent="0.4">
      <c r="A502" s="62">
        <v>44877</v>
      </c>
      <c r="B502" s="32" t="s">
        <v>773</v>
      </c>
      <c r="C502" s="18" t="s">
        <v>22</v>
      </c>
      <c r="D502" s="63" t="s">
        <v>23</v>
      </c>
      <c r="E502" s="50" t="s">
        <v>747</v>
      </c>
      <c r="F502" s="57">
        <v>15000</v>
      </c>
      <c r="G502" s="76"/>
      <c r="H502" s="57">
        <f>F502+G502</f>
        <v>15000</v>
      </c>
      <c r="I502" s="50">
        <v>1</v>
      </c>
      <c r="J502" s="57">
        <f>H502*I502</f>
        <v>15000</v>
      </c>
      <c r="K502" s="58">
        <f t="shared" si="74"/>
        <v>16500</v>
      </c>
      <c r="L502" s="18" t="s">
        <v>25</v>
      </c>
      <c r="M502" s="50"/>
    </row>
    <row r="503" spans="1:13" s="36" customFormat="1" ht="24" hidden="1" customHeight="1" x14ac:dyDescent="0.4">
      <c r="A503" s="62">
        <v>44877</v>
      </c>
      <c r="B503" s="32" t="s">
        <v>774</v>
      </c>
      <c r="C503" s="18" t="s">
        <v>758</v>
      </c>
      <c r="D503" s="63" t="s">
        <v>759</v>
      </c>
      <c r="E503" s="50" t="s">
        <v>775</v>
      </c>
      <c r="F503" s="57">
        <v>1650</v>
      </c>
      <c r="G503" s="76">
        <v>-165</v>
      </c>
      <c r="H503" s="57">
        <f t="shared" ref="H503:H567" si="77">F503+G503</f>
        <v>1485</v>
      </c>
      <c r="I503" s="50">
        <v>1</v>
      </c>
      <c r="J503" s="57">
        <f t="shared" ref="J503:J568" si="78">H503*I503</f>
        <v>1485</v>
      </c>
      <c r="K503" s="58">
        <v>1633</v>
      </c>
      <c r="L503" s="18" t="s">
        <v>25</v>
      </c>
      <c r="M503" s="50"/>
    </row>
    <row r="504" spans="1:13" s="36" customFormat="1" ht="24" hidden="1" customHeight="1" x14ac:dyDescent="0.4">
      <c r="A504" s="62">
        <v>44878</v>
      </c>
      <c r="B504" s="32" t="s">
        <v>776</v>
      </c>
      <c r="C504" s="18" t="s">
        <v>777</v>
      </c>
      <c r="D504" s="63" t="s">
        <v>23</v>
      </c>
      <c r="E504" s="50" t="s">
        <v>442</v>
      </c>
      <c r="F504" s="57">
        <v>15000</v>
      </c>
      <c r="G504" s="76"/>
      <c r="H504" s="57">
        <f t="shared" si="77"/>
        <v>15000</v>
      </c>
      <c r="I504" s="50">
        <v>1</v>
      </c>
      <c r="J504" s="57">
        <f t="shared" si="78"/>
        <v>15000</v>
      </c>
      <c r="K504" s="58">
        <f t="shared" si="74"/>
        <v>16500</v>
      </c>
      <c r="L504" s="18" t="s">
        <v>25</v>
      </c>
      <c r="M504" s="50"/>
    </row>
    <row r="505" spans="1:13" s="36" customFormat="1" ht="24" hidden="1" customHeight="1" x14ac:dyDescent="0.4">
      <c r="A505" s="62">
        <v>44878</v>
      </c>
      <c r="B505" s="32" t="s">
        <v>778</v>
      </c>
      <c r="C505" s="18" t="s">
        <v>777</v>
      </c>
      <c r="D505" s="63" t="s">
        <v>23</v>
      </c>
      <c r="E505" s="50" t="s">
        <v>442</v>
      </c>
      <c r="F505" s="57">
        <v>15000</v>
      </c>
      <c r="G505" s="76">
        <v>-7500</v>
      </c>
      <c r="H505" s="57">
        <f t="shared" si="77"/>
        <v>7500</v>
      </c>
      <c r="I505" s="50">
        <v>1</v>
      </c>
      <c r="J505" s="57">
        <f t="shared" si="78"/>
        <v>7500</v>
      </c>
      <c r="K505" s="58">
        <f t="shared" si="74"/>
        <v>8250</v>
      </c>
      <c r="L505" s="18" t="s">
        <v>25</v>
      </c>
      <c r="M505" s="50" t="s">
        <v>779</v>
      </c>
    </row>
    <row r="506" spans="1:13" s="36" customFormat="1" ht="24" hidden="1" customHeight="1" x14ac:dyDescent="0.4">
      <c r="A506" s="62">
        <v>44881</v>
      </c>
      <c r="B506" s="32" t="s">
        <v>780</v>
      </c>
      <c r="C506" s="18" t="s">
        <v>781</v>
      </c>
      <c r="D506" s="63" t="s">
        <v>426</v>
      </c>
      <c r="E506" s="50" t="s">
        <v>782</v>
      </c>
      <c r="F506" s="57">
        <v>2150</v>
      </c>
      <c r="G506" s="76">
        <v>-215</v>
      </c>
      <c r="H506" s="57">
        <f t="shared" si="77"/>
        <v>1935</v>
      </c>
      <c r="I506" s="50">
        <v>1</v>
      </c>
      <c r="J506" s="57">
        <f t="shared" si="78"/>
        <v>1935</v>
      </c>
      <c r="K506" s="58">
        <f t="shared" si="74"/>
        <v>2128.5</v>
      </c>
      <c r="L506" s="18" t="s">
        <v>25</v>
      </c>
      <c r="M506" s="50"/>
    </row>
    <row r="507" spans="1:13" s="36" customFormat="1" ht="24" hidden="1" customHeight="1" x14ac:dyDescent="0.4">
      <c r="A507" s="62">
        <v>44881</v>
      </c>
      <c r="B507" s="32" t="s">
        <v>783</v>
      </c>
      <c r="C507" s="18" t="s">
        <v>27</v>
      </c>
      <c r="D507" s="63" t="s">
        <v>103</v>
      </c>
      <c r="E507" s="50" t="s">
        <v>104</v>
      </c>
      <c r="F507" s="57">
        <v>2500</v>
      </c>
      <c r="G507" s="76"/>
      <c r="H507" s="57">
        <f t="shared" si="77"/>
        <v>2500</v>
      </c>
      <c r="I507" s="50">
        <v>1</v>
      </c>
      <c r="J507" s="57">
        <f t="shared" si="78"/>
        <v>2500</v>
      </c>
      <c r="K507" s="58">
        <f t="shared" si="74"/>
        <v>2750</v>
      </c>
      <c r="L507" s="18" t="s">
        <v>784</v>
      </c>
      <c r="M507" s="50"/>
    </row>
    <row r="508" spans="1:13" s="36" customFormat="1" ht="24" hidden="1" customHeight="1" x14ac:dyDescent="0.4">
      <c r="A508" s="62">
        <v>44881</v>
      </c>
      <c r="B508" s="32" t="s">
        <v>785</v>
      </c>
      <c r="C508" s="18" t="s">
        <v>22</v>
      </c>
      <c r="D508" s="63" t="s">
        <v>48</v>
      </c>
      <c r="E508" s="50" t="s">
        <v>369</v>
      </c>
      <c r="F508" s="57">
        <v>3000</v>
      </c>
      <c r="G508" s="76"/>
      <c r="H508" s="57">
        <f t="shared" si="77"/>
        <v>3000</v>
      </c>
      <c r="I508" s="50">
        <v>1</v>
      </c>
      <c r="J508" s="57">
        <f t="shared" si="78"/>
        <v>3000</v>
      </c>
      <c r="K508" s="58">
        <f t="shared" si="74"/>
        <v>3300.0000000000005</v>
      </c>
      <c r="L508" s="18" t="s">
        <v>25</v>
      </c>
      <c r="M508" s="50"/>
    </row>
    <row r="509" spans="1:13" s="36" customFormat="1" ht="24" hidden="1" customHeight="1" x14ac:dyDescent="0.4">
      <c r="A509" s="62">
        <v>44882</v>
      </c>
      <c r="B509" s="32" t="s">
        <v>786</v>
      </c>
      <c r="C509" s="18" t="s">
        <v>27</v>
      </c>
      <c r="D509" s="63" t="s">
        <v>28</v>
      </c>
      <c r="E509" s="50" t="s">
        <v>787</v>
      </c>
      <c r="F509" s="57">
        <v>2000</v>
      </c>
      <c r="G509" s="76"/>
      <c r="H509" s="57">
        <f t="shared" si="77"/>
        <v>2000</v>
      </c>
      <c r="I509" s="50">
        <v>3</v>
      </c>
      <c r="J509" s="57">
        <f t="shared" si="78"/>
        <v>6000</v>
      </c>
      <c r="K509" s="58">
        <f t="shared" si="74"/>
        <v>6600.0000000000009</v>
      </c>
      <c r="L509" s="18" t="s">
        <v>25</v>
      </c>
      <c r="M509" s="50"/>
    </row>
    <row r="510" spans="1:13" s="36" customFormat="1" ht="24" hidden="1" customHeight="1" x14ac:dyDescent="0.4">
      <c r="A510" s="62">
        <v>44883</v>
      </c>
      <c r="B510" s="32" t="s">
        <v>778</v>
      </c>
      <c r="C510" s="18" t="s">
        <v>781</v>
      </c>
      <c r="D510" s="63" t="s">
        <v>788</v>
      </c>
      <c r="E510" s="50" t="s">
        <v>789</v>
      </c>
      <c r="F510" s="57">
        <v>55000</v>
      </c>
      <c r="G510" s="76">
        <v>-11000</v>
      </c>
      <c r="H510" s="57">
        <f t="shared" si="77"/>
        <v>44000</v>
      </c>
      <c r="I510" s="50">
        <v>1</v>
      </c>
      <c r="J510" s="57">
        <f t="shared" si="78"/>
        <v>44000</v>
      </c>
      <c r="K510" s="58">
        <f t="shared" si="74"/>
        <v>48400.000000000007</v>
      </c>
      <c r="L510" s="18" t="s">
        <v>34</v>
      </c>
      <c r="M510" s="50"/>
    </row>
    <row r="511" spans="1:13" s="36" customFormat="1" ht="24" hidden="1" customHeight="1" x14ac:dyDescent="0.4">
      <c r="A511" s="62">
        <v>44883</v>
      </c>
      <c r="B511" s="32" t="s">
        <v>778</v>
      </c>
      <c r="C511" s="18" t="s">
        <v>781</v>
      </c>
      <c r="D511" s="63" t="s">
        <v>790</v>
      </c>
      <c r="E511" s="50" t="s">
        <v>791</v>
      </c>
      <c r="F511" s="57">
        <v>5000</v>
      </c>
      <c r="G511" s="76"/>
      <c r="H511" s="57">
        <f t="shared" si="77"/>
        <v>5000</v>
      </c>
      <c r="I511" s="50">
        <v>1</v>
      </c>
      <c r="J511" s="57">
        <f t="shared" si="78"/>
        <v>5000</v>
      </c>
      <c r="K511" s="58">
        <f t="shared" si="74"/>
        <v>5500</v>
      </c>
      <c r="L511" s="18" t="s">
        <v>34</v>
      </c>
      <c r="M511" s="50"/>
    </row>
    <row r="512" spans="1:13" s="36" customFormat="1" ht="24" hidden="1" customHeight="1" x14ac:dyDescent="0.4">
      <c r="A512" s="62">
        <v>44883</v>
      </c>
      <c r="B512" s="32" t="s">
        <v>778</v>
      </c>
      <c r="C512" s="18" t="s">
        <v>781</v>
      </c>
      <c r="D512" s="63" t="s">
        <v>792</v>
      </c>
      <c r="E512" s="50" t="s">
        <v>793</v>
      </c>
      <c r="F512" s="57">
        <v>980</v>
      </c>
      <c r="G512" s="76"/>
      <c r="H512" s="57">
        <f t="shared" si="77"/>
        <v>980</v>
      </c>
      <c r="I512" s="50">
        <v>1</v>
      </c>
      <c r="J512" s="57">
        <f t="shared" si="78"/>
        <v>980</v>
      </c>
      <c r="K512" s="58">
        <f t="shared" si="74"/>
        <v>1078</v>
      </c>
      <c r="L512" s="18" t="s">
        <v>34</v>
      </c>
      <c r="M512" s="50"/>
    </row>
    <row r="513" spans="1:13" s="36" customFormat="1" ht="24" hidden="1" customHeight="1" x14ac:dyDescent="0.4">
      <c r="A513" s="62">
        <v>44884</v>
      </c>
      <c r="B513" s="32" t="s">
        <v>710</v>
      </c>
      <c r="C513" s="18" t="s">
        <v>781</v>
      </c>
      <c r="D513" s="63" t="s">
        <v>426</v>
      </c>
      <c r="E513" s="50" t="s">
        <v>794</v>
      </c>
      <c r="F513" s="57">
        <v>1700</v>
      </c>
      <c r="G513" s="76">
        <v>-170</v>
      </c>
      <c r="H513" s="57">
        <f t="shared" si="77"/>
        <v>1530</v>
      </c>
      <c r="I513" s="50">
        <v>1</v>
      </c>
      <c r="J513" s="57">
        <f t="shared" si="78"/>
        <v>1530</v>
      </c>
      <c r="K513" s="58">
        <f t="shared" si="74"/>
        <v>1683.0000000000002</v>
      </c>
      <c r="L513" s="18" t="s">
        <v>25</v>
      </c>
      <c r="M513" s="50"/>
    </row>
    <row r="514" spans="1:13" s="36" customFormat="1" ht="24" hidden="1" customHeight="1" x14ac:dyDescent="0.4">
      <c r="A514" s="62">
        <v>44884</v>
      </c>
      <c r="B514" s="32" t="s">
        <v>795</v>
      </c>
      <c r="C514" s="18" t="s">
        <v>22</v>
      </c>
      <c r="D514" s="63" t="s">
        <v>23</v>
      </c>
      <c r="E514" s="50" t="s">
        <v>442</v>
      </c>
      <c r="F514" s="57">
        <v>15000</v>
      </c>
      <c r="G514" s="76"/>
      <c r="H514" s="57">
        <f t="shared" si="77"/>
        <v>15000</v>
      </c>
      <c r="I514" s="50">
        <v>1</v>
      </c>
      <c r="J514" s="57">
        <f t="shared" si="78"/>
        <v>15000</v>
      </c>
      <c r="K514" s="58">
        <f t="shared" si="74"/>
        <v>16500</v>
      </c>
      <c r="L514" s="18" t="s">
        <v>784</v>
      </c>
      <c r="M514" s="50" t="s">
        <v>779</v>
      </c>
    </row>
    <row r="515" spans="1:13" s="36" customFormat="1" ht="24" hidden="1" customHeight="1" x14ac:dyDescent="0.4">
      <c r="A515" s="62">
        <v>44884</v>
      </c>
      <c r="B515" s="32" t="s">
        <v>795</v>
      </c>
      <c r="C515" s="96" t="s">
        <v>875</v>
      </c>
      <c r="D515" s="63"/>
      <c r="E515" s="50"/>
      <c r="F515" s="57"/>
      <c r="G515" s="76"/>
      <c r="H515" s="57"/>
      <c r="I515" s="50"/>
      <c r="J515" s="57">
        <v>-7500</v>
      </c>
      <c r="K515" s="58">
        <v>-8250</v>
      </c>
      <c r="L515" s="18" t="s">
        <v>20</v>
      </c>
      <c r="M515" s="50"/>
    </row>
    <row r="516" spans="1:13" s="36" customFormat="1" ht="24" hidden="1" customHeight="1" x14ac:dyDescent="0.4">
      <c r="A516" s="62">
        <v>44884</v>
      </c>
      <c r="B516" s="32" t="s">
        <v>796</v>
      </c>
      <c r="C516" s="18" t="s">
        <v>22</v>
      </c>
      <c r="D516" s="63" t="s">
        <v>23</v>
      </c>
      <c r="E516" s="50" t="s">
        <v>442</v>
      </c>
      <c r="F516" s="57">
        <v>15000</v>
      </c>
      <c r="G516" s="76"/>
      <c r="H516" s="57">
        <f t="shared" si="77"/>
        <v>15000</v>
      </c>
      <c r="I516" s="50">
        <v>1</v>
      </c>
      <c r="J516" s="57">
        <f t="shared" si="78"/>
        <v>15000</v>
      </c>
      <c r="K516" s="58">
        <f t="shared" si="74"/>
        <v>16500</v>
      </c>
      <c r="L516" s="18" t="s">
        <v>784</v>
      </c>
      <c r="M516" s="50"/>
    </row>
    <row r="517" spans="1:13" s="36" customFormat="1" ht="24" hidden="1" customHeight="1" x14ac:dyDescent="0.4">
      <c r="A517" s="62">
        <v>44884</v>
      </c>
      <c r="B517" s="32" t="s">
        <v>171</v>
      </c>
      <c r="C517" s="18" t="s">
        <v>781</v>
      </c>
      <c r="D517" s="63" t="s">
        <v>792</v>
      </c>
      <c r="E517" s="50" t="s">
        <v>797</v>
      </c>
      <c r="F517" s="57">
        <v>2300</v>
      </c>
      <c r="G517" s="76">
        <v>-230</v>
      </c>
      <c r="H517" s="57">
        <f t="shared" si="77"/>
        <v>2070</v>
      </c>
      <c r="I517" s="50">
        <v>1</v>
      </c>
      <c r="J517" s="57">
        <f t="shared" si="78"/>
        <v>2070</v>
      </c>
      <c r="K517" s="58">
        <f t="shared" si="74"/>
        <v>2277</v>
      </c>
      <c r="L517" s="18" t="s">
        <v>25</v>
      </c>
      <c r="M517" s="50"/>
    </row>
    <row r="518" spans="1:13" s="36" customFormat="1" ht="24" hidden="1" customHeight="1" x14ac:dyDescent="0.4">
      <c r="A518" s="62">
        <v>44884</v>
      </c>
      <c r="B518" s="32" t="s">
        <v>171</v>
      </c>
      <c r="C518" s="18" t="s">
        <v>781</v>
      </c>
      <c r="D518" s="63" t="s">
        <v>292</v>
      </c>
      <c r="E518" s="50" t="s">
        <v>798</v>
      </c>
      <c r="F518" s="57">
        <v>5000</v>
      </c>
      <c r="G518" s="76"/>
      <c r="H518" s="57">
        <f t="shared" si="77"/>
        <v>5000</v>
      </c>
      <c r="I518" s="50">
        <v>1</v>
      </c>
      <c r="J518" s="57">
        <f t="shared" si="78"/>
        <v>5000</v>
      </c>
      <c r="K518" s="58">
        <f t="shared" si="74"/>
        <v>5500</v>
      </c>
      <c r="L518" s="18" t="s">
        <v>25</v>
      </c>
      <c r="M518" s="50"/>
    </row>
    <row r="519" spans="1:13" s="36" customFormat="1" ht="24" hidden="1" customHeight="1" x14ac:dyDescent="0.4">
      <c r="A519" s="62">
        <v>44885</v>
      </c>
      <c r="B519" s="32" t="s">
        <v>799</v>
      </c>
      <c r="C519" s="18" t="s">
        <v>22</v>
      </c>
      <c r="D519" s="63" t="s">
        <v>48</v>
      </c>
      <c r="E519" s="50" t="s">
        <v>369</v>
      </c>
      <c r="F519" s="57">
        <v>3000</v>
      </c>
      <c r="G519" s="76"/>
      <c r="H519" s="57">
        <f t="shared" si="77"/>
        <v>3000</v>
      </c>
      <c r="I519" s="50">
        <v>1</v>
      </c>
      <c r="J519" s="57">
        <f t="shared" si="78"/>
        <v>3000</v>
      </c>
      <c r="K519" s="58">
        <f t="shared" si="74"/>
        <v>3300.0000000000005</v>
      </c>
      <c r="L519" s="18" t="s">
        <v>784</v>
      </c>
      <c r="M519" s="50"/>
    </row>
    <row r="520" spans="1:13" s="36" customFormat="1" ht="24" hidden="1" customHeight="1" x14ac:dyDescent="0.4">
      <c r="A520" s="62">
        <v>44885</v>
      </c>
      <c r="B520" s="32" t="s">
        <v>800</v>
      </c>
      <c r="C520" s="18" t="s">
        <v>801</v>
      </c>
      <c r="D520" s="63" t="s">
        <v>23</v>
      </c>
      <c r="E520" s="50" t="s">
        <v>802</v>
      </c>
      <c r="F520" s="57">
        <v>10000</v>
      </c>
      <c r="G520" s="76"/>
      <c r="H520" s="57">
        <f t="shared" si="77"/>
        <v>10000</v>
      </c>
      <c r="I520" s="50">
        <v>1</v>
      </c>
      <c r="J520" s="57">
        <f t="shared" si="78"/>
        <v>10000</v>
      </c>
      <c r="K520" s="58">
        <f t="shared" si="74"/>
        <v>11000</v>
      </c>
      <c r="L520" s="18" t="s">
        <v>25</v>
      </c>
      <c r="M520" s="50"/>
    </row>
    <row r="521" spans="1:13" s="36" customFormat="1" ht="24" hidden="1" customHeight="1" x14ac:dyDescent="0.4">
      <c r="A521" s="62">
        <v>44885</v>
      </c>
      <c r="B521" s="32" t="s">
        <v>800</v>
      </c>
      <c r="C521" s="18" t="s">
        <v>781</v>
      </c>
      <c r="D521" s="63" t="s">
        <v>803</v>
      </c>
      <c r="E521" s="50" t="s">
        <v>804</v>
      </c>
      <c r="F521" s="57">
        <v>50000</v>
      </c>
      <c r="G521" s="76">
        <v>-10000</v>
      </c>
      <c r="H521" s="57">
        <f t="shared" si="77"/>
        <v>40000</v>
      </c>
      <c r="I521" s="50">
        <v>1</v>
      </c>
      <c r="J521" s="57">
        <f t="shared" si="78"/>
        <v>40000</v>
      </c>
      <c r="K521" s="58">
        <f t="shared" si="74"/>
        <v>44000</v>
      </c>
      <c r="L521" s="18" t="s">
        <v>34</v>
      </c>
      <c r="M521" s="50"/>
    </row>
    <row r="522" spans="1:13" s="36" customFormat="1" ht="24" hidden="1" customHeight="1" x14ac:dyDescent="0.4">
      <c r="A522" s="62">
        <v>44885</v>
      </c>
      <c r="B522" s="32" t="s">
        <v>800</v>
      </c>
      <c r="C522" s="18" t="s">
        <v>781</v>
      </c>
      <c r="D522" s="63" t="s">
        <v>330</v>
      </c>
      <c r="E522" s="50" t="s">
        <v>805</v>
      </c>
      <c r="F522" s="57">
        <v>3000</v>
      </c>
      <c r="G522" s="76"/>
      <c r="H522" s="57">
        <f t="shared" si="77"/>
        <v>3000</v>
      </c>
      <c r="I522" s="50">
        <v>1</v>
      </c>
      <c r="J522" s="57">
        <f t="shared" si="78"/>
        <v>3000</v>
      </c>
      <c r="K522" s="58">
        <f t="shared" si="74"/>
        <v>3300.0000000000005</v>
      </c>
      <c r="L522" s="18" t="s">
        <v>34</v>
      </c>
      <c r="M522" s="50"/>
    </row>
    <row r="523" spans="1:13" s="36" customFormat="1" ht="24" hidden="1" customHeight="1" x14ac:dyDescent="0.4">
      <c r="A523" s="62">
        <v>44885</v>
      </c>
      <c r="B523" s="32" t="s">
        <v>800</v>
      </c>
      <c r="C523" s="18" t="s">
        <v>781</v>
      </c>
      <c r="D523" s="63" t="s">
        <v>792</v>
      </c>
      <c r="E523" s="50" t="s">
        <v>806</v>
      </c>
      <c r="F523" s="57">
        <v>1800</v>
      </c>
      <c r="G523" s="76"/>
      <c r="H523" s="57">
        <f t="shared" si="77"/>
        <v>1800</v>
      </c>
      <c r="I523" s="50">
        <v>1</v>
      </c>
      <c r="J523" s="57">
        <f t="shared" si="78"/>
        <v>1800</v>
      </c>
      <c r="K523" s="58">
        <f t="shared" si="74"/>
        <v>1980.0000000000002</v>
      </c>
      <c r="L523" s="18" t="s">
        <v>34</v>
      </c>
      <c r="M523" s="50"/>
    </row>
    <row r="524" spans="1:13" s="36" customFormat="1" ht="24" hidden="1" customHeight="1" x14ac:dyDescent="0.4">
      <c r="A524" s="62">
        <v>44886</v>
      </c>
      <c r="B524" s="32" t="s">
        <v>807</v>
      </c>
      <c r="C524" s="18" t="s">
        <v>808</v>
      </c>
      <c r="D524" s="63" t="s">
        <v>809</v>
      </c>
      <c r="E524" s="50" t="s">
        <v>810</v>
      </c>
      <c r="F524" s="57">
        <v>50000</v>
      </c>
      <c r="G524" s="76">
        <v>-10000</v>
      </c>
      <c r="H524" s="57">
        <f t="shared" si="77"/>
        <v>40000</v>
      </c>
      <c r="I524" s="50">
        <v>1</v>
      </c>
      <c r="J524" s="57">
        <f t="shared" si="78"/>
        <v>40000</v>
      </c>
      <c r="K524" s="58">
        <f t="shared" si="74"/>
        <v>44000</v>
      </c>
      <c r="L524" s="18" t="s">
        <v>34</v>
      </c>
      <c r="M524" s="50"/>
    </row>
    <row r="525" spans="1:13" s="36" customFormat="1" ht="24" hidden="1" customHeight="1" x14ac:dyDescent="0.4">
      <c r="A525" s="62">
        <v>44886</v>
      </c>
      <c r="B525" s="32" t="s">
        <v>807</v>
      </c>
      <c r="C525" s="18" t="s">
        <v>808</v>
      </c>
      <c r="D525" s="63" t="s">
        <v>576</v>
      </c>
      <c r="E525" s="50" t="s">
        <v>811</v>
      </c>
      <c r="F525" s="57">
        <v>69000</v>
      </c>
      <c r="G525" s="76">
        <v>-13800</v>
      </c>
      <c r="H525" s="57">
        <f t="shared" si="77"/>
        <v>55200</v>
      </c>
      <c r="I525" s="50">
        <v>1</v>
      </c>
      <c r="J525" s="57">
        <f t="shared" si="78"/>
        <v>55200</v>
      </c>
      <c r="K525" s="58">
        <f t="shared" si="74"/>
        <v>60720.000000000007</v>
      </c>
      <c r="L525" s="18" t="s">
        <v>34</v>
      </c>
      <c r="M525" s="50"/>
    </row>
    <row r="526" spans="1:13" s="36" customFormat="1" ht="24" hidden="1" customHeight="1" x14ac:dyDescent="0.4">
      <c r="A526" s="62">
        <v>44886</v>
      </c>
      <c r="B526" s="32" t="s">
        <v>807</v>
      </c>
      <c r="C526" s="18" t="s">
        <v>808</v>
      </c>
      <c r="D526" s="63" t="s">
        <v>812</v>
      </c>
      <c r="E526" s="50" t="s">
        <v>813</v>
      </c>
      <c r="F526" s="57">
        <v>980</v>
      </c>
      <c r="G526" s="76"/>
      <c r="H526" s="57">
        <f t="shared" si="77"/>
        <v>980</v>
      </c>
      <c r="I526" s="50">
        <v>1</v>
      </c>
      <c r="J526" s="57">
        <f t="shared" si="78"/>
        <v>980</v>
      </c>
      <c r="K526" s="58">
        <f t="shared" si="74"/>
        <v>1078</v>
      </c>
      <c r="L526" s="18" t="s">
        <v>34</v>
      </c>
      <c r="M526" s="50"/>
    </row>
    <row r="527" spans="1:13" s="36" customFormat="1" ht="24" hidden="1" customHeight="1" x14ac:dyDescent="0.4">
      <c r="A527" s="62">
        <v>44888</v>
      </c>
      <c r="B527" s="32" t="s">
        <v>814</v>
      </c>
      <c r="C527" s="18" t="s">
        <v>22</v>
      </c>
      <c r="D527" s="63" t="s">
        <v>23</v>
      </c>
      <c r="E527" s="50" t="s">
        <v>442</v>
      </c>
      <c r="F527" s="57">
        <v>15000</v>
      </c>
      <c r="G527" s="76"/>
      <c r="H527" s="57">
        <f t="shared" si="77"/>
        <v>15000</v>
      </c>
      <c r="I527" s="50">
        <v>1</v>
      </c>
      <c r="J527" s="57">
        <f t="shared" si="78"/>
        <v>15000</v>
      </c>
      <c r="K527" s="58">
        <f t="shared" si="74"/>
        <v>16500</v>
      </c>
      <c r="L527" s="18" t="s">
        <v>25</v>
      </c>
      <c r="M527" s="50"/>
    </row>
    <row r="528" spans="1:13" s="36" customFormat="1" ht="24" hidden="1" customHeight="1" x14ac:dyDescent="0.4">
      <c r="A528" s="62">
        <v>44888</v>
      </c>
      <c r="B528" s="32" t="s">
        <v>814</v>
      </c>
      <c r="C528" s="18" t="s">
        <v>808</v>
      </c>
      <c r="D528" s="63" t="s">
        <v>809</v>
      </c>
      <c r="E528" s="50" t="s">
        <v>815</v>
      </c>
      <c r="F528" s="57">
        <v>40000</v>
      </c>
      <c r="G528" s="76">
        <v>-8000</v>
      </c>
      <c r="H528" s="57">
        <f t="shared" si="77"/>
        <v>32000</v>
      </c>
      <c r="I528" s="50">
        <v>1</v>
      </c>
      <c r="J528" s="57">
        <f t="shared" si="78"/>
        <v>32000</v>
      </c>
      <c r="K528" s="58">
        <f t="shared" si="74"/>
        <v>35200</v>
      </c>
      <c r="L528" s="18" t="s">
        <v>34</v>
      </c>
      <c r="M528" s="50"/>
    </row>
    <row r="529" spans="1:13" s="36" customFormat="1" ht="24" hidden="1" customHeight="1" x14ac:dyDescent="0.4">
      <c r="A529" s="62">
        <v>44888</v>
      </c>
      <c r="B529" s="32" t="s">
        <v>814</v>
      </c>
      <c r="C529" s="18" t="s">
        <v>808</v>
      </c>
      <c r="D529" s="63" t="s">
        <v>455</v>
      </c>
      <c r="E529" s="50" t="s">
        <v>813</v>
      </c>
      <c r="F529" s="57">
        <v>980</v>
      </c>
      <c r="G529" s="76"/>
      <c r="H529" s="57">
        <f t="shared" si="77"/>
        <v>980</v>
      </c>
      <c r="I529" s="50">
        <v>1</v>
      </c>
      <c r="J529" s="57">
        <f t="shared" si="78"/>
        <v>980</v>
      </c>
      <c r="K529" s="58">
        <f t="shared" si="74"/>
        <v>1078</v>
      </c>
      <c r="L529" s="18" t="s">
        <v>34</v>
      </c>
      <c r="M529" s="50"/>
    </row>
    <row r="530" spans="1:13" s="36" customFormat="1" ht="24" hidden="1" customHeight="1" x14ac:dyDescent="0.4">
      <c r="A530" s="62">
        <v>44888</v>
      </c>
      <c r="B530" s="32" t="s">
        <v>816</v>
      </c>
      <c r="C530" s="18" t="s">
        <v>22</v>
      </c>
      <c r="D530" s="63" t="s">
        <v>48</v>
      </c>
      <c r="E530" s="50" t="s">
        <v>369</v>
      </c>
      <c r="F530" s="57">
        <v>3000</v>
      </c>
      <c r="G530" s="76"/>
      <c r="H530" s="57">
        <f t="shared" si="77"/>
        <v>3000</v>
      </c>
      <c r="I530" s="50">
        <v>1</v>
      </c>
      <c r="J530" s="57">
        <f t="shared" si="78"/>
        <v>3000</v>
      </c>
      <c r="K530" s="58">
        <f t="shared" si="74"/>
        <v>3300.0000000000005</v>
      </c>
      <c r="L530" s="18" t="s">
        <v>25</v>
      </c>
      <c r="M530" s="50"/>
    </row>
    <row r="531" spans="1:13" s="36" customFormat="1" ht="24" hidden="1" customHeight="1" x14ac:dyDescent="0.4">
      <c r="A531" s="62">
        <v>44888</v>
      </c>
      <c r="B531" s="32" t="s">
        <v>817</v>
      </c>
      <c r="C531" s="18" t="s">
        <v>818</v>
      </c>
      <c r="D531" s="63" t="s">
        <v>820</v>
      </c>
      <c r="E531" s="50" t="s">
        <v>822</v>
      </c>
      <c r="F531" s="57">
        <v>1000</v>
      </c>
      <c r="G531" s="76"/>
      <c r="H531" s="57">
        <f t="shared" si="77"/>
        <v>1000</v>
      </c>
      <c r="I531" s="50">
        <v>1</v>
      </c>
      <c r="J531" s="57">
        <f t="shared" si="78"/>
        <v>1000</v>
      </c>
      <c r="K531" s="58">
        <f t="shared" si="74"/>
        <v>1100</v>
      </c>
      <c r="L531" s="18" t="s">
        <v>823</v>
      </c>
      <c r="M531" s="50"/>
    </row>
    <row r="532" spans="1:13" s="36" customFormat="1" ht="24" hidden="1" customHeight="1" x14ac:dyDescent="0.4">
      <c r="A532" s="62">
        <v>44889</v>
      </c>
      <c r="B532" s="32" t="s">
        <v>824</v>
      </c>
      <c r="C532" s="18" t="s">
        <v>808</v>
      </c>
      <c r="D532" s="63" t="s">
        <v>292</v>
      </c>
      <c r="E532" s="50" t="s">
        <v>825</v>
      </c>
      <c r="F532" s="57">
        <v>4200</v>
      </c>
      <c r="G532" s="76"/>
      <c r="H532" s="57">
        <f t="shared" si="77"/>
        <v>4200</v>
      </c>
      <c r="I532" s="50">
        <v>1</v>
      </c>
      <c r="J532" s="57">
        <f t="shared" si="78"/>
        <v>4200</v>
      </c>
      <c r="K532" s="58">
        <f t="shared" si="74"/>
        <v>4620</v>
      </c>
      <c r="L532" s="18" t="s">
        <v>823</v>
      </c>
      <c r="M532" s="50"/>
    </row>
    <row r="533" spans="1:13" s="36" customFormat="1" ht="24" hidden="1" customHeight="1" x14ac:dyDescent="0.4">
      <c r="A533" s="62">
        <v>44889</v>
      </c>
      <c r="B533" s="32" t="s">
        <v>826</v>
      </c>
      <c r="C533" s="18" t="s">
        <v>22</v>
      </c>
      <c r="D533" s="63" t="s">
        <v>23</v>
      </c>
      <c r="E533" s="50" t="s">
        <v>827</v>
      </c>
      <c r="F533" s="57">
        <v>15000</v>
      </c>
      <c r="G533" s="76">
        <v>-5000</v>
      </c>
      <c r="H533" s="57">
        <f t="shared" si="77"/>
        <v>10000</v>
      </c>
      <c r="I533" s="50">
        <v>1</v>
      </c>
      <c r="J533" s="57">
        <f t="shared" si="78"/>
        <v>10000</v>
      </c>
      <c r="K533" s="58">
        <f t="shared" si="74"/>
        <v>11000</v>
      </c>
      <c r="L533" s="18" t="s">
        <v>25</v>
      </c>
      <c r="M533" s="50" t="s">
        <v>876</v>
      </c>
    </row>
    <row r="534" spans="1:13" s="36" customFormat="1" ht="24" hidden="1" customHeight="1" x14ac:dyDescent="0.4">
      <c r="A534" s="62">
        <v>44889</v>
      </c>
      <c r="B534" s="32" t="s">
        <v>828</v>
      </c>
      <c r="C534" s="18" t="s">
        <v>22</v>
      </c>
      <c r="D534" s="63" t="s">
        <v>48</v>
      </c>
      <c r="E534" s="50" t="s">
        <v>369</v>
      </c>
      <c r="F534" s="57">
        <v>3000</v>
      </c>
      <c r="G534" s="76"/>
      <c r="H534" s="57">
        <f t="shared" si="77"/>
        <v>3000</v>
      </c>
      <c r="I534" s="50">
        <v>1</v>
      </c>
      <c r="J534" s="57">
        <f t="shared" si="78"/>
        <v>3000</v>
      </c>
      <c r="K534" s="58">
        <f t="shared" si="74"/>
        <v>3300.0000000000005</v>
      </c>
      <c r="L534" s="18" t="s">
        <v>823</v>
      </c>
      <c r="M534" s="50"/>
    </row>
    <row r="535" spans="1:13" s="36" customFormat="1" ht="24" hidden="1" customHeight="1" x14ac:dyDescent="0.4">
      <c r="A535" s="62">
        <v>44889</v>
      </c>
      <c r="B535" s="32" t="s">
        <v>829</v>
      </c>
      <c r="C535" s="18" t="s">
        <v>808</v>
      </c>
      <c r="D535" s="63" t="s">
        <v>292</v>
      </c>
      <c r="E535" s="50" t="s">
        <v>830</v>
      </c>
      <c r="F535" s="57">
        <v>4200</v>
      </c>
      <c r="G535" s="76"/>
      <c r="H535" s="57">
        <f t="shared" si="77"/>
        <v>4200</v>
      </c>
      <c r="I535" s="50">
        <v>1</v>
      </c>
      <c r="J535" s="57">
        <f t="shared" si="78"/>
        <v>4200</v>
      </c>
      <c r="K535" s="58">
        <f t="shared" si="74"/>
        <v>4620</v>
      </c>
      <c r="L535" s="18" t="s">
        <v>25</v>
      </c>
      <c r="M535" s="50"/>
    </row>
    <row r="536" spans="1:13" s="36" customFormat="1" ht="24" hidden="1" customHeight="1" x14ac:dyDescent="0.4">
      <c r="A536" s="62">
        <v>44890</v>
      </c>
      <c r="B536" s="32" t="s">
        <v>831</v>
      </c>
      <c r="C536" s="18" t="s">
        <v>22</v>
      </c>
      <c r="D536" s="63" t="s">
        <v>48</v>
      </c>
      <c r="E536" s="50" t="s">
        <v>832</v>
      </c>
      <c r="F536" s="57">
        <v>3000</v>
      </c>
      <c r="G536" s="76"/>
      <c r="H536" s="57">
        <f t="shared" si="77"/>
        <v>3000</v>
      </c>
      <c r="I536" s="50">
        <v>1</v>
      </c>
      <c r="J536" s="57">
        <f t="shared" si="78"/>
        <v>3000</v>
      </c>
      <c r="K536" s="58">
        <f t="shared" si="74"/>
        <v>3300.0000000000005</v>
      </c>
      <c r="L536" s="18" t="s">
        <v>25</v>
      </c>
      <c r="M536" s="50"/>
    </row>
    <row r="537" spans="1:13" s="36" customFormat="1" ht="24" hidden="1" customHeight="1" x14ac:dyDescent="0.4">
      <c r="A537" s="62">
        <v>44890</v>
      </c>
      <c r="B537" s="32" t="s">
        <v>833</v>
      </c>
      <c r="C537" s="18" t="s">
        <v>808</v>
      </c>
      <c r="D537" s="63" t="s">
        <v>426</v>
      </c>
      <c r="E537" s="50" t="s">
        <v>834</v>
      </c>
      <c r="F537" s="57">
        <v>1700</v>
      </c>
      <c r="G537" s="76">
        <v>-170</v>
      </c>
      <c r="H537" s="57">
        <f t="shared" si="77"/>
        <v>1530</v>
      </c>
      <c r="I537" s="50">
        <v>1</v>
      </c>
      <c r="J537" s="57">
        <f t="shared" si="78"/>
        <v>1530</v>
      </c>
      <c r="K537" s="58">
        <f t="shared" si="74"/>
        <v>1683.0000000000002</v>
      </c>
      <c r="L537" s="18" t="s">
        <v>823</v>
      </c>
      <c r="M537" s="50"/>
    </row>
    <row r="538" spans="1:13" s="36" customFormat="1" ht="24" hidden="1" customHeight="1" x14ac:dyDescent="0.4">
      <c r="A538" s="62">
        <v>44890</v>
      </c>
      <c r="B538" s="32" t="s">
        <v>179</v>
      </c>
      <c r="C538" s="18" t="s">
        <v>808</v>
      </c>
      <c r="D538" s="63" t="s">
        <v>812</v>
      </c>
      <c r="E538" s="50" t="s">
        <v>835</v>
      </c>
      <c r="F538" s="57">
        <v>1400</v>
      </c>
      <c r="G538" s="76">
        <v>-140</v>
      </c>
      <c r="H538" s="57">
        <f t="shared" si="77"/>
        <v>1260</v>
      </c>
      <c r="I538" s="50">
        <v>1</v>
      </c>
      <c r="J538" s="57">
        <f t="shared" si="78"/>
        <v>1260</v>
      </c>
      <c r="K538" s="58">
        <f t="shared" si="74"/>
        <v>1386</v>
      </c>
      <c r="L538" s="18" t="s">
        <v>823</v>
      </c>
      <c r="M538" s="50"/>
    </row>
    <row r="539" spans="1:13" s="36" customFormat="1" ht="24" hidden="1" customHeight="1" x14ac:dyDescent="0.4">
      <c r="A539" s="62">
        <v>44890</v>
      </c>
      <c r="B539" s="32" t="s">
        <v>836</v>
      </c>
      <c r="C539" s="18" t="s">
        <v>27</v>
      </c>
      <c r="D539" s="63" t="s">
        <v>28</v>
      </c>
      <c r="E539" s="50" t="s">
        <v>674</v>
      </c>
      <c r="F539" s="57">
        <v>17500</v>
      </c>
      <c r="G539" s="76"/>
      <c r="H539" s="57">
        <f t="shared" si="77"/>
        <v>17500</v>
      </c>
      <c r="I539" s="50">
        <v>1</v>
      </c>
      <c r="J539" s="57">
        <f t="shared" si="78"/>
        <v>17500</v>
      </c>
      <c r="K539" s="58">
        <f t="shared" si="74"/>
        <v>19250</v>
      </c>
      <c r="L539" s="18" t="s">
        <v>823</v>
      </c>
      <c r="M539" s="50"/>
    </row>
    <row r="540" spans="1:13" s="36" customFormat="1" ht="24" hidden="1" customHeight="1" x14ac:dyDescent="0.4">
      <c r="A540" s="62">
        <v>44891</v>
      </c>
      <c r="B540" s="32" t="s">
        <v>503</v>
      </c>
      <c r="C540" s="18" t="s">
        <v>818</v>
      </c>
      <c r="D540" s="63" t="s">
        <v>819</v>
      </c>
      <c r="E540" s="50" t="s">
        <v>821</v>
      </c>
      <c r="F540" s="57">
        <v>1000</v>
      </c>
      <c r="G540" s="76"/>
      <c r="H540" s="57">
        <f t="shared" si="77"/>
        <v>1000</v>
      </c>
      <c r="I540" s="50">
        <v>1</v>
      </c>
      <c r="J540" s="57">
        <f t="shared" si="78"/>
        <v>1000</v>
      </c>
      <c r="K540" s="58">
        <f t="shared" si="74"/>
        <v>1100</v>
      </c>
      <c r="L540" s="18" t="s">
        <v>823</v>
      </c>
      <c r="M540" s="50"/>
    </row>
    <row r="541" spans="1:13" s="36" customFormat="1" ht="24" hidden="1" customHeight="1" x14ac:dyDescent="0.4">
      <c r="A541" s="62">
        <v>44891</v>
      </c>
      <c r="B541" s="32" t="s">
        <v>816</v>
      </c>
      <c r="C541" s="18" t="s">
        <v>27</v>
      </c>
      <c r="D541" s="63" t="s">
        <v>28</v>
      </c>
      <c r="E541" s="50" t="s">
        <v>318</v>
      </c>
      <c r="F541" s="57">
        <v>15000</v>
      </c>
      <c r="G541" s="76"/>
      <c r="H541" s="57">
        <f t="shared" si="77"/>
        <v>15000</v>
      </c>
      <c r="I541" s="50">
        <v>1</v>
      </c>
      <c r="J541" s="57">
        <f t="shared" si="78"/>
        <v>15000</v>
      </c>
      <c r="K541" s="58">
        <f t="shared" si="74"/>
        <v>16500</v>
      </c>
      <c r="L541" s="18" t="s">
        <v>25</v>
      </c>
      <c r="M541" s="50"/>
    </row>
    <row r="542" spans="1:13" s="36" customFormat="1" ht="24" hidden="1" customHeight="1" x14ac:dyDescent="0.4">
      <c r="A542" s="62">
        <v>44891</v>
      </c>
      <c r="B542" s="32" t="s">
        <v>816</v>
      </c>
      <c r="C542" s="18" t="s">
        <v>27</v>
      </c>
      <c r="D542" s="63" t="s">
        <v>28</v>
      </c>
      <c r="E542" s="50" t="s">
        <v>674</v>
      </c>
      <c r="F542" s="57">
        <v>17500</v>
      </c>
      <c r="G542" s="76"/>
      <c r="H542" s="57">
        <f t="shared" si="77"/>
        <v>17500</v>
      </c>
      <c r="I542" s="50">
        <v>1</v>
      </c>
      <c r="J542" s="57">
        <f t="shared" si="78"/>
        <v>17500</v>
      </c>
      <c r="K542" s="58">
        <f t="shared" ref="K542:K605" si="79">J542*1.1</f>
        <v>19250</v>
      </c>
      <c r="L542" s="18" t="s">
        <v>25</v>
      </c>
      <c r="M542" s="50"/>
    </row>
    <row r="543" spans="1:13" s="36" customFormat="1" ht="24" hidden="1" customHeight="1" x14ac:dyDescent="0.4">
      <c r="A543" s="62">
        <v>44891</v>
      </c>
      <c r="B543" s="32" t="s">
        <v>837</v>
      </c>
      <c r="C543" s="18" t="s">
        <v>22</v>
      </c>
      <c r="D543" s="63" t="s">
        <v>48</v>
      </c>
      <c r="E543" s="50" t="s">
        <v>369</v>
      </c>
      <c r="F543" s="57">
        <v>3000</v>
      </c>
      <c r="G543" s="76"/>
      <c r="H543" s="57">
        <f t="shared" si="77"/>
        <v>3000</v>
      </c>
      <c r="I543" s="50">
        <v>1</v>
      </c>
      <c r="J543" s="57">
        <f t="shared" si="78"/>
        <v>3000</v>
      </c>
      <c r="K543" s="58">
        <f t="shared" si="79"/>
        <v>3300.0000000000005</v>
      </c>
      <c r="L543" s="18" t="s">
        <v>823</v>
      </c>
      <c r="M543" s="50"/>
    </row>
    <row r="544" spans="1:13" s="36" customFormat="1" ht="24" hidden="1" customHeight="1" x14ac:dyDescent="0.4">
      <c r="A544" s="62">
        <v>44892</v>
      </c>
      <c r="B544" s="32" t="s">
        <v>816</v>
      </c>
      <c r="C544" s="18" t="s">
        <v>22</v>
      </c>
      <c r="D544" s="63" t="s">
        <v>48</v>
      </c>
      <c r="E544" s="50" t="s">
        <v>832</v>
      </c>
      <c r="F544" s="57">
        <v>3000</v>
      </c>
      <c r="G544" s="76"/>
      <c r="H544" s="57">
        <f t="shared" si="77"/>
        <v>3000</v>
      </c>
      <c r="I544" s="50">
        <v>1</v>
      </c>
      <c r="J544" s="57">
        <f t="shared" si="78"/>
        <v>3000</v>
      </c>
      <c r="K544" s="58">
        <f t="shared" si="79"/>
        <v>3300.0000000000005</v>
      </c>
      <c r="L544" s="18" t="s">
        <v>25</v>
      </c>
      <c r="M544" s="50"/>
    </row>
    <row r="545" spans="1:13" s="36" customFormat="1" ht="24" hidden="1" customHeight="1" x14ac:dyDescent="0.4">
      <c r="A545" s="62">
        <v>44892</v>
      </c>
      <c r="B545" s="32" t="s">
        <v>503</v>
      </c>
      <c r="C545" s="18" t="s">
        <v>808</v>
      </c>
      <c r="D545" s="63" t="s">
        <v>292</v>
      </c>
      <c r="E545" s="50" t="s">
        <v>798</v>
      </c>
      <c r="F545" s="57">
        <v>5000</v>
      </c>
      <c r="G545" s="76"/>
      <c r="H545" s="57">
        <f t="shared" si="77"/>
        <v>5000</v>
      </c>
      <c r="I545" s="50">
        <v>1</v>
      </c>
      <c r="J545" s="57">
        <f t="shared" si="78"/>
        <v>5000</v>
      </c>
      <c r="K545" s="58">
        <f t="shared" si="79"/>
        <v>5500</v>
      </c>
      <c r="L545" s="18" t="s">
        <v>25</v>
      </c>
      <c r="M545" s="50"/>
    </row>
    <row r="546" spans="1:13" s="36" customFormat="1" ht="24" hidden="1" customHeight="1" x14ac:dyDescent="0.4">
      <c r="A546" s="62">
        <v>44892</v>
      </c>
      <c r="B546" s="32" t="s">
        <v>838</v>
      </c>
      <c r="C546" s="18" t="s">
        <v>22</v>
      </c>
      <c r="D546" s="63" t="s">
        <v>48</v>
      </c>
      <c r="E546" s="50" t="s">
        <v>369</v>
      </c>
      <c r="F546" s="57">
        <v>3000</v>
      </c>
      <c r="G546" s="76"/>
      <c r="H546" s="57">
        <f t="shared" si="77"/>
        <v>3000</v>
      </c>
      <c r="I546" s="50">
        <v>1</v>
      </c>
      <c r="J546" s="57">
        <f t="shared" si="78"/>
        <v>3000</v>
      </c>
      <c r="K546" s="58">
        <f t="shared" si="79"/>
        <v>3300.0000000000005</v>
      </c>
      <c r="L546" s="18" t="s">
        <v>823</v>
      </c>
      <c r="M546" s="50"/>
    </row>
    <row r="547" spans="1:13" s="36" customFormat="1" ht="24" hidden="1" customHeight="1" x14ac:dyDescent="0.4">
      <c r="A547" s="62">
        <v>44893</v>
      </c>
      <c r="B547" s="32" t="s">
        <v>839</v>
      </c>
      <c r="C547" s="18" t="s">
        <v>840</v>
      </c>
      <c r="D547" s="63" t="s">
        <v>841</v>
      </c>
      <c r="E547" s="50" t="s">
        <v>842</v>
      </c>
      <c r="F547" s="57">
        <v>980</v>
      </c>
      <c r="G547" s="76">
        <v>-98</v>
      </c>
      <c r="H547" s="57">
        <f t="shared" si="77"/>
        <v>882</v>
      </c>
      <c r="I547" s="50">
        <v>1</v>
      </c>
      <c r="J547" s="57">
        <f t="shared" si="78"/>
        <v>882</v>
      </c>
      <c r="K547" s="58">
        <f t="shared" si="79"/>
        <v>970.2</v>
      </c>
      <c r="L547" s="18" t="s">
        <v>843</v>
      </c>
      <c r="M547" s="50" t="s">
        <v>877</v>
      </c>
    </row>
    <row r="548" spans="1:13" s="36" customFormat="1" ht="24" hidden="1" customHeight="1" x14ac:dyDescent="0.4">
      <c r="A548" s="62">
        <v>44893</v>
      </c>
      <c r="B548" s="32" t="s">
        <v>844</v>
      </c>
      <c r="C548" s="18" t="s">
        <v>840</v>
      </c>
      <c r="D548" s="63" t="s">
        <v>845</v>
      </c>
      <c r="E548" s="50" t="s">
        <v>846</v>
      </c>
      <c r="F548" s="57">
        <v>1000</v>
      </c>
      <c r="G548" s="76">
        <v>-100</v>
      </c>
      <c r="H548" s="57">
        <f t="shared" si="77"/>
        <v>900</v>
      </c>
      <c r="I548" s="50">
        <v>1</v>
      </c>
      <c r="J548" s="57">
        <f t="shared" si="78"/>
        <v>900</v>
      </c>
      <c r="K548" s="58">
        <f t="shared" si="79"/>
        <v>990.00000000000011</v>
      </c>
      <c r="L548" s="18" t="s">
        <v>25</v>
      </c>
      <c r="M548" s="50"/>
    </row>
    <row r="549" spans="1:13" s="36" customFormat="1" ht="24" hidden="1" customHeight="1" x14ac:dyDescent="0.4">
      <c r="A549" s="62">
        <v>44893</v>
      </c>
      <c r="B549" s="32" t="s">
        <v>367</v>
      </c>
      <c r="C549" s="18" t="s">
        <v>867</v>
      </c>
      <c r="D549" s="63" t="s">
        <v>28</v>
      </c>
      <c r="E549" s="50" t="s">
        <v>869</v>
      </c>
      <c r="F549" s="57">
        <v>17500</v>
      </c>
      <c r="G549" s="76"/>
      <c r="H549" s="57">
        <f t="shared" si="77"/>
        <v>17500</v>
      </c>
      <c r="I549" s="50">
        <v>1</v>
      </c>
      <c r="J549" s="57">
        <f t="shared" si="78"/>
        <v>17500</v>
      </c>
      <c r="K549" s="58">
        <f t="shared" si="79"/>
        <v>19250</v>
      </c>
      <c r="L549" s="18" t="s">
        <v>847</v>
      </c>
      <c r="M549" s="50" t="s">
        <v>878</v>
      </c>
    </row>
    <row r="550" spans="1:13" s="36" customFormat="1" ht="24" hidden="1" customHeight="1" x14ac:dyDescent="0.4">
      <c r="A550" s="62">
        <v>44895</v>
      </c>
      <c r="B550" s="32" t="s">
        <v>848</v>
      </c>
      <c r="C550" s="18" t="s">
        <v>849</v>
      </c>
      <c r="D550" s="63" t="s">
        <v>850</v>
      </c>
      <c r="E550" s="50" t="s">
        <v>851</v>
      </c>
      <c r="F550" s="57">
        <v>1400</v>
      </c>
      <c r="G550" s="76">
        <v>-140</v>
      </c>
      <c r="H550" s="57">
        <f t="shared" si="77"/>
        <v>1260</v>
      </c>
      <c r="I550" s="50">
        <v>3</v>
      </c>
      <c r="J550" s="57">
        <f t="shared" si="78"/>
        <v>3780</v>
      </c>
      <c r="K550" s="58">
        <f t="shared" si="79"/>
        <v>4158</v>
      </c>
      <c r="L550" s="18" t="s">
        <v>25</v>
      </c>
      <c r="M550" s="50"/>
    </row>
    <row r="551" spans="1:13" s="36" customFormat="1" ht="24" hidden="1" customHeight="1" x14ac:dyDescent="0.4">
      <c r="A551" s="62">
        <v>44895</v>
      </c>
      <c r="B551" s="32" t="s">
        <v>848</v>
      </c>
      <c r="C551" s="18" t="s">
        <v>849</v>
      </c>
      <c r="D551" s="63" t="s">
        <v>426</v>
      </c>
      <c r="E551" s="50" t="s">
        <v>852</v>
      </c>
      <c r="F551" s="57">
        <v>1700</v>
      </c>
      <c r="G551" s="76">
        <v>-170</v>
      </c>
      <c r="H551" s="57">
        <f t="shared" si="77"/>
        <v>1530</v>
      </c>
      <c r="I551" s="50">
        <v>1</v>
      </c>
      <c r="J551" s="57">
        <f t="shared" si="78"/>
        <v>1530</v>
      </c>
      <c r="K551" s="58">
        <f t="shared" si="79"/>
        <v>1683.0000000000002</v>
      </c>
      <c r="L551" s="18" t="s">
        <v>25</v>
      </c>
      <c r="M551" s="50"/>
    </row>
    <row r="552" spans="1:13" s="36" customFormat="1" ht="24" hidden="1" customHeight="1" x14ac:dyDescent="0.4">
      <c r="A552" s="62">
        <v>44895</v>
      </c>
      <c r="B552" s="32" t="s">
        <v>853</v>
      </c>
      <c r="C552" s="18" t="s">
        <v>849</v>
      </c>
      <c r="D552" s="63" t="s">
        <v>662</v>
      </c>
      <c r="E552" s="50" t="s">
        <v>854</v>
      </c>
      <c r="F552" s="57">
        <v>1000</v>
      </c>
      <c r="G552" s="76"/>
      <c r="H552" s="57">
        <f t="shared" si="77"/>
        <v>1000</v>
      </c>
      <c r="I552" s="50">
        <v>1</v>
      </c>
      <c r="J552" s="57">
        <f t="shared" si="78"/>
        <v>1000</v>
      </c>
      <c r="K552" s="58">
        <f t="shared" si="79"/>
        <v>1100</v>
      </c>
      <c r="L552" s="18" t="s">
        <v>847</v>
      </c>
      <c r="M552" s="50"/>
    </row>
    <row r="553" spans="1:13" s="36" customFormat="1" ht="24" hidden="1" customHeight="1" x14ac:dyDescent="0.4">
      <c r="A553" s="62">
        <v>44895</v>
      </c>
      <c r="B553" s="32" t="s">
        <v>855</v>
      </c>
      <c r="C553" s="18" t="s">
        <v>849</v>
      </c>
      <c r="D553" s="63" t="s">
        <v>856</v>
      </c>
      <c r="E553" s="50" t="s">
        <v>857</v>
      </c>
      <c r="F553" s="57">
        <v>1000</v>
      </c>
      <c r="G553" s="76">
        <v>-100</v>
      </c>
      <c r="H553" s="57">
        <f t="shared" si="77"/>
        <v>900</v>
      </c>
      <c r="I553" s="50">
        <v>1</v>
      </c>
      <c r="J553" s="57">
        <f t="shared" si="78"/>
        <v>900</v>
      </c>
      <c r="K553" s="58">
        <f t="shared" si="79"/>
        <v>990.00000000000011</v>
      </c>
      <c r="L553" s="18" t="s">
        <v>847</v>
      </c>
      <c r="M553" s="50"/>
    </row>
    <row r="554" spans="1:13" s="36" customFormat="1" ht="24" hidden="1" customHeight="1" x14ac:dyDescent="0.4">
      <c r="A554" s="62">
        <v>44895</v>
      </c>
      <c r="B554" s="32" t="s">
        <v>858</v>
      </c>
      <c r="C554" s="18" t="s">
        <v>849</v>
      </c>
      <c r="D554" s="63" t="s">
        <v>859</v>
      </c>
      <c r="E554" s="50" t="s">
        <v>860</v>
      </c>
      <c r="F554" s="57">
        <v>1050</v>
      </c>
      <c r="G554" s="76">
        <v>-105</v>
      </c>
      <c r="H554" s="57">
        <f t="shared" si="77"/>
        <v>945</v>
      </c>
      <c r="I554" s="50">
        <v>1</v>
      </c>
      <c r="J554" s="57">
        <f t="shared" si="78"/>
        <v>945</v>
      </c>
      <c r="K554" s="58">
        <f t="shared" si="79"/>
        <v>1039.5</v>
      </c>
      <c r="L554" s="18" t="s">
        <v>847</v>
      </c>
      <c r="M554" s="50"/>
    </row>
    <row r="555" spans="1:13" s="36" customFormat="1" ht="24" hidden="1" customHeight="1" x14ac:dyDescent="0.4">
      <c r="A555" s="62">
        <v>44895</v>
      </c>
      <c r="B555" s="32" t="s">
        <v>861</v>
      </c>
      <c r="C555" s="18" t="s">
        <v>22</v>
      </c>
      <c r="D555" s="63" t="s">
        <v>23</v>
      </c>
      <c r="E555" s="50" t="s">
        <v>862</v>
      </c>
      <c r="F555" s="57">
        <v>20000</v>
      </c>
      <c r="G555" s="76">
        <v>-10000</v>
      </c>
      <c r="H555" s="57">
        <f t="shared" si="77"/>
        <v>10000</v>
      </c>
      <c r="I555" s="50">
        <v>1</v>
      </c>
      <c r="J555" s="57">
        <f t="shared" si="78"/>
        <v>10000</v>
      </c>
      <c r="K555" s="58">
        <f t="shared" si="79"/>
        <v>11000</v>
      </c>
      <c r="L555" s="18" t="s">
        <v>847</v>
      </c>
      <c r="M555" s="50" t="s">
        <v>863</v>
      </c>
    </row>
    <row r="556" spans="1:13" s="36" customFormat="1" ht="24" hidden="1" customHeight="1" x14ac:dyDescent="0.4">
      <c r="A556" s="62">
        <v>44895</v>
      </c>
      <c r="B556" s="32" t="s">
        <v>343</v>
      </c>
      <c r="C556" s="18" t="s">
        <v>27</v>
      </c>
      <c r="D556" s="63" t="s">
        <v>28</v>
      </c>
      <c r="E556" s="50" t="s">
        <v>864</v>
      </c>
      <c r="F556" s="57">
        <v>2000</v>
      </c>
      <c r="G556" s="76"/>
      <c r="H556" s="57">
        <f t="shared" si="77"/>
        <v>2000</v>
      </c>
      <c r="I556" s="50">
        <v>1</v>
      </c>
      <c r="J556" s="57">
        <f t="shared" si="78"/>
        <v>2000</v>
      </c>
      <c r="K556" s="58">
        <f t="shared" si="79"/>
        <v>2200</v>
      </c>
      <c r="L556" s="18" t="s">
        <v>847</v>
      </c>
      <c r="M556" s="50"/>
    </row>
    <row r="557" spans="1:13" s="36" customFormat="1" ht="24" hidden="1" customHeight="1" x14ac:dyDescent="0.4">
      <c r="A557" s="62">
        <v>44895</v>
      </c>
      <c r="B557" s="32" t="s">
        <v>865</v>
      </c>
      <c r="C557" s="18" t="s">
        <v>22</v>
      </c>
      <c r="D557" s="63" t="s">
        <v>48</v>
      </c>
      <c r="E557" s="50" t="s">
        <v>369</v>
      </c>
      <c r="F557" s="57">
        <v>3000</v>
      </c>
      <c r="G557" s="76"/>
      <c r="H557" s="57">
        <f t="shared" si="77"/>
        <v>3000</v>
      </c>
      <c r="I557" s="50">
        <v>1</v>
      </c>
      <c r="J557" s="57">
        <f t="shared" si="78"/>
        <v>3000</v>
      </c>
      <c r="K557" s="58">
        <f t="shared" si="79"/>
        <v>3300.0000000000005</v>
      </c>
      <c r="L557" s="18" t="s">
        <v>25</v>
      </c>
      <c r="M557" s="50"/>
    </row>
    <row r="558" spans="1:13" s="36" customFormat="1" ht="24" hidden="1" customHeight="1" x14ac:dyDescent="0.4">
      <c r="A558" s="62">
        <v>44895</v>
      </c>
      <c r="B558" s="32" t="s">
        <v>866</v>
      </c>
      <c r="C558" s="18" t="s">
        <v>27</v>
      </c>
      <c r="D558" s="63" t="s">
        <v>28</v>
      </c>
      <c r="E558" s="50" t="s">
        <v>868</v>
      </c>
      <c r="F558" s="57">
        <v>17500</v>
      </c>
      <c r="G558" s="76"/>
      <c r="H558" s="57">
        <f t="shared" si="77"/>
        <v>17500</v>
      </c>
      <c r="I558" s="50">
        <v>2</v>
      </c>
      <c r="J558" s="57">
        <f t="shared" si="78"/>
        <v>35000</v>
      </c>
      <c r="K558" s="58">
        <f t="shared" si="79"/>
        <v>38500</v>
      </c>
      <c r="L558" s="18" t="s">
        <v>25</v>
      </c>
      <c r="M558" s="50" t="s">
        <v>879</v>
      </c>
    </row>
    <row r="559" spans="1:13" s="36" customFormat="1" ht="24" hidden="1" customHeight="1" x14ac:dyDescent="0.4">
      <c r="A559" s="62">
        <v>44895</v>
      </c>
      <c r="B559" s="32" t="s">
        <v>865</v>
      </c>
      <c r="C559" s="18" t="s">
        <v>27</v>
      </c>
      <c r="D559" s="63" t="s">
        <v>28</v>
      </c>
      <c r="E559" s="50" t="s">
        <v>318</v>
      </c>
      <c r="F559" s="57">
        <v>15000</v>
      </c>
      <c r="G559" s="76"/>
      <c r="H559" s="57">
        <f t="shared" si="77"/>
        <v>15000</v>
      </c>
      <c r="I559" s="50">
        <v>1</v>
      </c>
      <c r="J559" s="57">
        <f t="shared" si="78"/>
        <v>15000</v>
      </c>
      <c r="K559" s="58">
        <f t="shared" si="79"/>
        <v>16500</v>
      </c>
      <c r="L559" s="18" t="s">
        <v>25</v>
      </c>
      <c r="M559" s="50"/>
    </row>
    <row r="560" spans="1:13" s="36" customFormat="1" ht="24" hidden="1" customHeight="1" thickBot="1" x14ac:dyDescent="0.45">
      <c r="A560" s="151">
        <v>44895</v>
      </c>
      <c r="B560" s="97" t="s">
        <v>865</v>
      </c>
      <c r="C560" s="98" t="s">
        <v>27</v>
      </c>
      <c r="D560" s="116" t="s">
        <v>28</v>
      </c>
      <c r="E560" s="117" t="s">
        <v>889</v>
      </c>
      <c r="F560" s="118">
        <v>16870</v>
      </c>
      <c r="G560" s="119"/>
      <c r="H560" s="103">
        <f t="shared" si="77"/>
        <v>16870</v>
      </c>
      <c r="I560" s="102">
        <v>1</v>
      </c>
      <c r="J560" s="103">
        <f t="shared" si="78"/>
        <v>16870</v>
      </c>
      <c r="K560" s="105">
        <f t="shared" si="79"/>
        <v>18557</v>
      </c>
      <c r="L560" s="98" t="s">
        <v>25</v>
      </c>
      <c r="M560" s="102"/>
    </row>
    <row r="561" spans="1:13" s="36" customFormat="1" ht="24" hidden="1" customHeight="1" x14ac:dyDescent="0.4">
      <c r="A561" s="152">
        <v>44896</v>
      </c>
      <c r="B561" s="82" t="s">
        <v>180</v>
      </c>
      <c r="C561" s="60" t="s">
        <v>890</v>
      </c>
      <c r="D561" s="120" t="s">
        <v>891</v>
      </c>
      <c r="E561" s="115" t="s">
        <v>892</v>
      </c>
      <c r="F561" s="122">
        <v>5000</v>
      </c>
      <c r="G561" s="121"/>
      <c r="H561" s="99">
        <f t="shared" si="77"/>
        <v>5000</v>
      </c>
      <c r="I561" s="56">
        <v>1</v>
      </c>
      <c r="J561" s="99">
        <f t="shared" si="78"/>
        <v>5000</v>
      </c>
      <c r="K561" s="100">
        <f t="shared" si="79"/>
        <v>5500</v>
      </c>
      <c r="L561" s="60" t="s">
        <v>25</v>
      </c>
      <c r="M561" s="56"/>
    </row>
    <row r="562" spans="1:13" s="36" customFormat="1" ht="24" hidden="1" customHeight="1" x14ac:dyDescent="0.4">
      <c r="A562" s="62">
        <v>44896</v>
      </c>
      <c r="B562" s="32" t="s">
        <v>799</v>
      </c>
      <c r="C562" s="18" t="s">
        <v>27</v>
      </c>
      <c r="D562" s="63" t="s">
        <v>28</v>
      </c>
      <c r="E562" s="50" t="s">
        <v>318</v>
      </c>
      <c r="F562" s="57">
        <v>15000</v>
      </c>
      <c r="G562" s="76"/>
      <c r="H562" s="57">
        <f t="shared" si="77"/>
        <v>15000</v>
      </c>
      <c r="I562" s="50">
        <v>1</v>
      </c>
      <c r="J562" s="57">
        <f t="shared" si="78"/>
        <v>15000</v>
      </c>
      <c r="K562" s="58">
        <f t="shared" si="79"/>
        <v>16500</v>
      </c>
      <c r="L562" s="60" t="s">
        <v>25</v>
      </c>
      <c r="M562" s="50"/>
    </row>
    <row r="563" spans="1:13" s="36" customFormat="1" ht="24" hidden="1" customHeight="1" x14ac:dyDescent="0.4">
      <c r="A563" s="62">
        <v>44896</v>
      </c>
      <c r="B563" s="32" t="s">
        <v>799</v>
      </c>
      <c r="C563" s="18" t="s">
        <v>27</v>
      </c>
      <c r="D563" s="63" t="s">
        <v>28</v>
      </c>
      <c r="E563" s="50" t="s">
        <v>888</v>
      </c>
      <c r="F563" s="57">
        <v>16870</v>
      </c>
      <c r="G563" s="76"/>
      <c r="H563" s="57">
        <f t="shared" si="77"/>
        <v>16870</v>
      </c>
      <c r="I563" s="50">
        <v>1</v>
      </c>
      <c r="J563" s="57">
        <f t="shared" si="78"/>
        <v>16870</v>
      </c>
      <c r="K563" s="58">
        <f t="shared" si="79"/>
        <v>18557</v>
      </c>
      <c r="L563" s="60" t="s">
        <v>25</v>
      </c>
      <c r="M563" s="50"/>
    </row>
    <row r="564" spans="1:13" s="36" customFormat="1" ht="24" hidden="1" customHeight="1" x14ac:dyDescent="0.4">
      <c r="A564" s="62">
        <v>44897</v>
      </c>
      <c r="B564" s="32" t="s">
        <v>894</v>
      </c>
      <c r="C564" s="18" t="s">
        <v>893</v>
      </c>
      <c r="D564" s="63" t="s">
        <v>292</v>
      </c>
      <c r="E564" s="50" t="s">
        <v>895</v>
      </c>
      <c r="F564" s="57">
        <v>4800</v>
      </c>
      <c r="G564" s="76">
        <v>-480</v>
      </c>
      <c r="H564" s="57">
        <f t="shared" si="77"/>
        <v>4320</v>
      </c>
      <c r="I564" s="50">
        <v>2</v>
      </c>
      <c r="J564" s="57">
        <f t="shared" si="78"/>
        <v>8640</v>
      </c>
      <c r="K564" s="58">
        <f t="shared" si="79"/>
        <v>9504</v>
      </c>
      <c r="L564" s="60" t="s">
        <v>25</v>
      </c>
      <c r="M564" s="50"/>
    </row>
    <row r="565" spans="1:13" s="36" customFormat="1" ht="24" hidden="1" customHeight="1" x14ac:dyDescent="0.4">
      <c r="A565" s="62">
        <v>44898</v>
      </c>
      <c r="B565" s="32" t="s">
        <v>896</v>
      </c>
      <c r="C565" s="18" t="s">
        <v>893</v>
      </c>
      <c r="D565" s="63" t="s">
        <v>897</v>
      </c>
      <c r="E565" s="50" t="s">
        <v>898</v>
      </c>
      <c r="F565" s="57">
        <v>55000</v>
      </c>
      <c r="G565" s="76">
        <v>-11000</v>
      </c>
      <c r="H565" s="57">
        <f t="shared" si="77"/>
        <v>44000</v>
      </c>
      <c r="I565" s="50">
        <v>2</v>
      </c>
      <c r="J565" s="57">
        <f t="shared" si="78"/>
        <v>88000</v>
      </c>
      <c r="K565" s="58">
        <f t="shared" si="79"/>
        <v>96800.000000000015</v>
      </c>
      <c r="L565" s="18" t="s">
        <v>34</v>
      </c>
      <c r="M565" s="50"/>
    </row>
    <row r="566" spans="1:13" s="36" customFormat="1" ht="24" hidden="1" customHeight="1" x14ac:dyDescent="0.4">
      <c r="A566" s="62">
        <v>44898</v>
      </c>
      <c r="B566" s="32" t="s">
        <v>896</v>
      </c>
      <c r="C566" s="18" t="s">
        <v>893</v>
      </c>
      <c r="D566" s="63" t="s">
        <v>897</v>
      </c>
      <c r="E566" s="50" t="s">
        <v>899</v>
      </c>
      <c r="F566" s="57">
        <v>35000</v>
      </c>
      <c r="G566" s="76">
        <v>-7000</v>
      </c>
      <c r="H566" s="57">
        <f t="shared" si="77"/>
        <v>28000</v>
      </c>
      <c r="I566" s="50">
        <v>1</v>
      </c>
      <c r="J566" s="57">
        <f t="shared" si="78"/>
        <v>28000</v>
      </c>
      <c r="K566" s="58">
        <f t="shared" si="79"/>
        <v>30800.000000000004</v>
      </c>
      <c r="L566" s="18" t="s">
        <v>34</v>
      </c>
      <c r="M566" s="50"/>
    </row>
    <row r="567" spans="1:13" s="36" customFormat="1" ht="24" hidden="1" customHeight="1" x14ac:dyDescent="0.4">
      <c r="A567" s="62">
        <v>44898</v>
      </c>
      <c r="B567" s="32" t="s">
        <v>896</v>
      </c>
      <c r="C567" s="18" t="s">
        <v>893</v>
      </c>
      <c r="D567" s="63" t="s">
        <v>576</v>
      </c>
      <c r="E567" s="50" t="s">
        <v>904</v>
      </c>
      <c r="F567" s="57">
        <v>65000</v>
      </c>
      <c r="G567" s="76">
        <v>-6500</v>
      </c>
      <c r="H567" s="57">
        <f t="shared" si="77"/>
        <v>58500</v>
      </c>
      <c r="I567" s="50">
        <v>1</v>
      </c>
      <c r="J567" s="57">
        <f t="shared" si="78"/>
        <v>58500</v>
      </c>
      <c r="K567" s="58">
        <f t="shared" si="79"/>
        <v>64350.000000000007</v>
      </c>
      <c r="L567" s="18" t="s">
        <v>34</v>
      </c>
      <c r="M567" s="50"/>
    </row>
    <row r="568" spans="1:13" s="36" customFormat="1" ht="24" hidden="1" customHeight="1" x14ac:dyDescent="0.4">
      <c r="A568" s="62">
        <v>44898</v>
      </c>
      <c r="B568" s="32" t="s">
        <v>896</v>
      </c>
      <c r="C568" s="18" t="s">
        <v>893</v>
      </c>
      <c r="D568" s="63" t="s">
        <v>426</v>
      </c>
      <c r="E568" s="50" t="s">
        <v>900</v>
      </c>
      <c r="F568" s="57">
        <v>1700</v>
      </c>
      <c r="G568" s="76"/>
      <c r="H568" s="57">
        <f>F568+G568</f>
        <v>1700</v>
      </c>
      <c r="I568" s="50">
        <v>1</v>
      </c>
      <c r="J568" s="57">
        <f t="shared" si="78"/>
        <v>1700</v>
      </c>
      <c r="K568" s="58">
        <f t="shared" si="79"/>
        <v>1870.0000000000002</v>
      </c>
      <c r="L568" s="18" t="s">
        <v>34</v>
      </c>
      <c r="M568" s="50"/>
    </row>
    <row r="569" spans="1:13" s="36" customFormat="1" ht="24" hidden="1" customHeight="1" x14ac:dyDescent="0.4">
      <c r="A569" s="62">
        <v>44898</v>
      </c>
      <c r="B569" s="32" t="s">
        <v>896</v>
      </c>
      <c r="C569" s="18" t="s">
        <v>893</v>
      </c>
      <c r="D569" s="63" t="s">
        <v>901</v>
      </c>
      <c r="E569" s="50" t="s">
        <v>902</v>
      </c>
      <c r="F569" s="57">
        <v>1800</v>
      </c>
      <c r="G569" s="76"/>
      <c r="H569" s="57">
        <f t="shared" ref="H569:H632" si="80">F569+G569</f>
        <v>1800</v>
      </c>
      <c r="I569" s="50">
        <v>3</v>
      </c>
      <c r="J569" s="57">
        <f t="shared" ref="J569:J632" si="81">H569*I569</f>
        <v>5400</v>
      </c>
      <c r="K569" s="58">
        <f t="shared" si="79"/>
        <v>5940.0000000000009</v>
      </c>
      <c r="L569" s="18" t="s">
        <v>34</v>
      </c>
      <c r="M569" s="50"/>
    </row>
    <row r="570" spans="1:13" s="36" customFormat="1" ht="24" hidden="1" customHeight="1" x14ac:dyDescent="0.4">
      <c r="A570" s="62">
        <v>44898</v>
      </c>
      <c r="B570" s="32" t="s">
        <v>896</v>
      </c>
      <c r="C570" s="96" t="s">
        <v>903</v>
      </c>
      <c r="D570" s="63" t="s">
        <v>23</v>
      </c>
      <c r="E570" s="50" t="s">
        <v>199</v>
      </c>
      <c r="F570" s="57"/>
      <c r="G570" s="76"/>
      <c r="H570" s="57">
        <f t="shared" si="80"/>
        <v>0</v>
      </c>
      <c r="I570" s="50"/>
      <c r="J570" s="57">
        <f t="shared" si="81"/>
        <v>0</v>
      </c>
      <c r="K570" s="58">
        <v>-11000</v>
      </c>
      <c r="L570" s="18" t="s">
        <v>34</v>
      </c>
      <c r="M570" s="50"/>
    </row>
    <row r="571" spans="1:13" s="36" customFormat="1" ht="24" hidden="1" customHeight="1" x14ac:dyDescent="0.4">
      <c r="A571" s="62">
        <v>44898</v>
      </c>
      <c r="B571" s="32" t="s">
        <v>905</v>
      </c>
      <c r="C571" s="18" t="s">
        <v>22</v>
      </c>
      <c r="D571" s="63" t="s">
        <v>48</v>
      </c>
      <c r="E571" s="50" t="s">
        <v>369</v>
      </c>
      <c r="F571" s="57">
        <v>3000</v>
      </c>
      <c r="G571" s="76"/>
      <c r="H571" s="57">
        <f t="shared" si="80"/>
        <v>3000</v>
      </c>
      <c r="I571" s="50">
        <v>1</v>
      </c>
      <c r="J571" s="57">
        <f t="shared" si="81"/>
        <v>3000</v>
      </c>
      <c r="K571" s="58">
        <f t="shared" si="79"/>
        <v>3300.0000000000005</v>
      </c>
      <c r="L571" s="18" t="s">
        <v>25</v>
      </c>
      <c r="M571" s="50"/>
    </row>
    <row r="572" spans="1:13" s="36" customFormat="1" ht="24" hidden="1" customHeight="1" x14ac:dyDescent="0.4">
      <c r="A572" s="62">
        <v>44898</v>
      </c>
      <c r="B572" s="32" t="s">
        <v>905</v>
      </c>
      <c r="C572" s="18" t="s">
        <v>27</v>
      </c>
      <c r="D572" s="63" t="s">
        <v>28</v>
      </c>
      <c r="E572" s="50" t="s">
        <v>907</v>
      </c>
      <c r="F572" s="57">
        <v>10000</v>
      </c>
      <c r="G572" s="76"/>
      <c r="H572" s="57">
        <f t="shared" si="80"/>
        <v>10000</v>
      </c>
      <c r="I572" s="50">
        <v>1</v>
      </c>
      <c r="J572" s="57">
        <f t="shared" si="81"/>
        <v>10000</v>
      </c>
      <c r="K572" s="58">
        <f t="shared" si="79"/>
        <v>11000</v>
      </c>
      <c r="L572" s="18" t="s">
        <v>25</v>
      </c>
      <c r="M572" s="50"/>
    </row>
    <row r="573" spans="1:13" s="36" customFormat="1" ht="24" hidden="1" customHeight="1" x14ac:dyDescent="0.4">
      <c r="A573" s="62">
        <v>44898</v>
      </c>
      <c r="B573" s="32" t="s">
        <v>905</v>
      </c>
      <c r="C573" s="18" t="s">
        <v>27</v>
      </c>
      <c r="D573" s="63" t="s">
        <v>28</v>
      </c>
      <c r="E573" s="50" t="s">
        <v>906</v>
      </c>
      <c r="F573" s="57">
        <v>6375</v>
      </c>
      <c r="G573" s="76"/>
      <c r="H573" s="57">
        <f t="shared" si="80"/>
        <v>6375</v>
      </c>
      <c r="I573" s="50">
        <v>1</v>
      </c>
      <c r="J573" s="57">
        <f t="shared" si="81"/>
        <v>6375</v>
      </c>
      <c r="K573" s="58">
        <v>7012</v>
      </c>
      <c r="L573" s="18" t="s">
        <v>25</v>
      </c>
      <c r="M573" s="50"/>
    </row>
    <row r="574" spans="1:13" s="36" customFormat="1" ht="24" hidden="1" customHeight="1" x14ac:dyDescent="0.4">
      <c r="A574" s="62">
        <v>44898</v>
      </c>
      <c r="B574" s="32" t="s">
        <v>905</v>
      </c>
      <c r="C574" s="18" t="s">
        <v>27</v>
      </c>
      <c r="D574" s="63" t="s">
        <v>103</v>
      </c>
      <c r="E574" s="50" t="s">
        <v>908</v>
      </c>
      <c r="F574" s="57">
        <v>25000</v>
      </c>
      <c r="G574" s="76"/>
      <c r="H574" s="57">
        <f t="shared" si="80"/>
        <v>25000</v>
      </c>
      <c r="I574" s="50">
        <v>1</v>
      </c>
      <c r="J574" s="57">
        <f t="shared" si="81"/>
        <v>25000</v>
      </c>
      <c r="K574" s="58">
        <f t="shared" si="79"/>
        <v>27500.000000000004</v>
      </c>
      <c r="L574" s="18" t="s">
        <v>25</v>
      </c>
      <c r="M574" s="50"/>
    </row>
    <row r="575" spans="1:13" s="36" customFormat="1" ht="24" hidden="1" customHeight="1" x14ac:dyDescent="0.4">
      <c r="A575" s="62">
        <v>44899</v>
      </c>
      <c r="B575" s="32" t="s">
        <v>909</v>
      </c>
      <c r="C575" s="18" t="s">
        <v>910</v>
      </c>
      <c r="D575" s="63" t="s">
        <v>911</v>
      </c>
      <c r="E575" s="50" t="s">
        <v>912</v>
      </c>
      <c r="F575" s="57">
        <v>3000</v>
      </c>
      <c r="G575" s="76">
        <v>-300</v>
      </c>
      <c r="H575" s="57">
        <f t="shared" si="80"/>
        <v>2700</v>
      </c>
      <c r="I575" s="50">
        <v>1</v>
      </c>
      <c r="J575" s="57">
        <f t="shared" si="81"/>
        <v>2700</v>
      </c>
      <c r="K575" s="58">
        <f t="shared" si="79"/>
        <v>2970.0000000000005</v>
      </c>
      <c r="L575" s="18" t="s">
        <v>25</v>
      </c>
      <c r="M575" s="50"/>
    </row>
    <row r="576" spans="1:13" s="36" customFormat="1" ht="24" hidden="1" customHeight="1" x14ac:dyDescent="0.4">
      <c r="A576" s="62">
        <v>44900</v>
      </c>
      <c r="B576" s="32" t="s">
        <v>913</v>
      </c>
      <c r="C576" s="18" t="s">
        <v>914</v>
      </c>
      <c r="D576" s="63" t="s">
        <v>915</v>
      </c>
      <c r="E576" s="50" t="s">
        <v>916</v>
      </c>
      <c r="F576" s="57">
        <v>2000</v>
      </c>
      <c r="G576" s="76"/>
      <c r="H576" s="57">
        <f t="shared" si="80"/>
        <v>2000</v>
      </c>
      <c r="I576" s="50">
        <v>1</v>
      </c>
      <c r="J576" s="57">
        <f t="shared" si="81"/>
        <v>2000</v>
      </c>
      <c r="K576" s="58">
        <f t="shared" si="79"/>
        <v>2200</v>
      </c>
      <c r="L576" s="18" t="s">
        <v>917</v>
      </c>
      <c r="M576" s="50"/>
    </row>
    <row r="577" spans="1:13" s="36" customFormat="1" ht="24" hidden="1" customHeight="1" x14ac:dyDescent="0.4">
      <c r="A577" s="62">
        <v>44900</v>
      </c>
      <c r="B577" s="32" t="s">
        <v>918</v>
      </c>
      <c r="C577" s="18" t="s">
        <v>914</v>
      </c>
      <c r="D577" s="63" t="s">
        <v>915</v>
      </c>
      <c r="E577" s="50" t="s">
        <v>916</v>
      </c>
      <c r="F577" s="57">
        <v>2000</v>
      </c>
      <c r="G577" s="76"/>
      <c r="H577" s="57">
        <f t="shared" si="80"/>
        <v>2000</v>
      </c>
      <c r="I577" s="50">
        <v>1</v>
      </c>
      <c r="J577" s="57">
        <f t="shared" si="81"/>
        <v>2000</v>
      </c>
      <c r="K577" s="58">
        <f t="shared" si="79"/>
        <v>2200</v>
      </c>
      <c r="L577" s="18" t="s">
        <v>917</v>
      </c>
      <c r="M577" s="50"/>
    </row>
    <row r="578" spans="1:13" s="36" customFormat="1" ht="24" hidden="1" customHeight="1" x14ac:dyDescent="0.4">
      <c r="A578" s="62">
        <v>44900</v>
      </c>
      <c r="B578" s="32" t="s">
        <v>919</v>
      </c>
      <c r="C578" s="18" t="s">
        <v>27</v>
      </c>
      <c r="D578" s="63" t="s">
        <v>28</v>
      </c>
      <c r="E578" s="50" t="s">
        <v>318</v>
      </c>
      <c r="F578" s="57">
        <v>15000</v>
      </c>
      <c r="G578" s="76"/>
      <c r="H578" s="57">
        <f t="shared" si="80"/>
        <v>15000</v>
      </c>
      <c r="I578" s="50">
        <v>1</v>
      </c>
      <c r="J578" s="57">
        <f t="shared" si="81"/>
        <v>15000</v>
      </c>
      <c r="K578" s="58">
        <f t="shared" si="79"/>
        <v>16500</v>
      </c>
      <c r="L578" s="18" t="s">
        <v>25</v>
      </c>
      <c r="M578" s="50"/>
    </row>
    <row r="579" spans="1:13" s="36" customFormat="1" ht="24" hidden="1" customHeight="1" x14ac:dyDescent="0.4">
      <c r="A579" s="62">
        <v>44900</v>
      </c>
      <c r="B579" s="32" t="s">
        <v>919</v>
      </c>
      <c r="C579" s="18" t="s">
        <v>27</v>
      </c>
      <c r="D579" s="63" t="s">
        <v>28</v>
      </c>
      <c r="E579" s="50" t="s">
        <v>920</v>
      </c>
      <c r="F579" s="57">
        <v>13120</v>
      </c>
      <c r="G579" s="76"/>
      <c r="H579" s="57">
        <f t="shared" si="80"/>
        <v>13120</v>
      </c>
      <c r="I579" s="50">
        <v>1</v>
      </c>
      <c r="J579" s="57">
        <f t="shared" si="81"/>
        <v>13120</v>
      </c>
      <c r="K579" s="58">
        <f t="shared" si="79"/>
        <v>14432.000000000002</v>
      </c>
      <c r="L579" s="18" t="s">
        <v>25</v>
      </c>
      <c r="M579" s="50"/>
    </row>
    <row r="580" spans="1:13" s="36" customFormat="1" ht="24" hidden="1" customHeight="1" x14ac:dyDescent="0.4">
      <c r="A580" s="62">
        <v>44900</v>
      </c>
      <c r="B580" s="32" t="s">
        <v>511</v>
      </c>
      <c r="C580" s="18" t="s">
        <v>910</v>
      </c>
      <c r="D580" s="63" t="s">
        <v>921</v>
      </c>
      <c r="E580" s="50" t="s">
        <v>922</v>
      </c>
      <c r="F580" s="57">
        <v>1650</v>
      </c>
      <c r="G580" s="76"/>
      <c r="H580" s="57">
        <f t="shared" si="80"/>
        <v>1650</v>
      </c>
      <c r="I580" s="50">
        <v>3</v>
      </c>
      <c r="J580" s="57">
        <f t="shared" si="81"/>
        <v>4950</v>
      </c>
      <c r="K580" s="58">
        <f t="shared" si="79"/>
        <v>5445</v>
      </c>
      <c r="L580" s="18" t="s">
        <v>25</v>
      </c>
      <c r="M580" s="50"/>
    </row>
    <row r="581" spans="1:13" s="36" customFormat="1" ht="24" hidden="1" customHeight="1" x14ac:dyDescent="0.4">
      <c r="A581" s="62">
        <v>44900</v>
      </c>
      <c r="B581" s="32" t="s">
        <v>511</v>
      </c>
      <c r="C581" s="18" t="s">
        <v>59</v>
      </c>
      <c r="D581" s="63" t="s">
        <v>60</v>
      </c>
      <c r="E581" s="50" t="s">
        <v>61</v>
      </c>
      <c r="F581" s="57">
        <v>500</v>
      </c>
      <c r="G581" s="76"/>
      <c r="H581" s="57">
        <f t="shared" si="80"/>
        <v>500</v>
      </c>
      <c r="I581" s="50">
        <v>1</v>
      </c>
      <c r="J581" s="57">
        <f t="shared" si="81"/>
        <v>500</v>
      </c>
      <c r="K581" s="58">
        <f t="shared" si="79"/>
        <v>550</v>
      </c>
      <c r="L581" s="18" t="s">
        <v>25</v>
      </c>
      <c r="M581" s="50"/>
    </row>
    <row r="582" spans="1:13" s="36" customFormat="1" ht="24" hidden="1" customHeight="1" x14ac:dyDescent="0.4">
      <c r="A582" s="62">
        <v>44902</v>
      </c>
      <c r="B582" s="32" t="s">
        <v>923</v>
      </c>
      <c r="C582" s="18" t="s">
        <v>27</v>
      </c>
      <c r="D582" s="63" t="s">
        <v>28</v>
      </c>
      <c r="E582" s="50" t="s">
        <v>73</v>
      </c>
      <c r="F582" s="57">
        <v>2000</v>
      </c>
      <c r="G582" s="76"/>
      <c r="H582" s="57">
        <f t="shared" si="80"/>
        <v>2000</v>
      </c>
      <c r="I582" s="50">
        <v>1</v>
      </c>
      <c r="J582" s="57">
        <f t="shared" si="81"/>
        <v>2000</v>
      </c>
      <c r="K582" s="58">
        <f t="shared" si="79"/>
        <v>2200</v>
      </c>
      <c r="L582" s="18" t="s">
        <v>25</v>
      </c>
      <c r="M582" s="50"/>
    </row>
    <row r="583" spans="1:13" s="36" customFormat="1" ht="24" hidden="1" customHeight="1" x14ac:dyDescent="0.4">
      <c r="A583" s="62">
        <v>44902</v>
      </c>
      <c r="B583" s="32" t="s">
        <v>924</v>
      </c>
      <c r="C583" s="18" t="s">
        <v>22</v>
      </c>
      <c r="D583" s="63" t="s">
        <v>48</v>
      </c>
      <c r="E583" s="50" t="s">
        <v>369</v>
      </c>
      <c r="F583" s="57">
        <v>3000</v>
      </c>
      <c r="G583" s="76"/>
      <c r="H583" s="57">
        <f t="shared" si="80"/>
        <v>3000</v>
      </c>
      <c r="I583" s="50">
        <v>1</v>
      </c>
      <c r="J583" s="57">
        <f t="shared" si="81"/>
        <v>3000</v>
      </c>
      <c r="K583" s="58">
        <f t="shared" si="79"/>
        <v>3300.0000000000005</v>
      </c>
      <c r="L583" s="18" t="s">
        <v>25</v>
      </c>
      <c r="M583" s="50"/>
    </row>
    <row r="584" spans="1:13" s="36" customFormat="1" ht="24" hidden="1" customHeight="1" x14ac:dyDescent="0.4">
      <c r="A584" s="62">
        <v>44903</v>
      </c>
      <c r="B584" s="32" t="s">
        <v>925</v>
      </c>
      <c r="C584" s="18" t="s">
        <v>22</v>
      </c>
      <c r="D584" s="63" t="s">
        <v>48</v>
      </c>
      <c r="E584" s="50" t="s">
        <v>832</v>
      </c>
      <c r="F584" s="57">
        <v>3000</v>
      </c>
      <c r="G584" s="76"/>
      <c r="H584" s="57">
        <f t="shared" si="80"/>
        <v>3000</v>
      </c>
      <c r="I584" s="50">
        <v>1</v>
      </c>
      <c r="J584" s="57">
        <f t="shared" si="81"/>
        <v>3000</v>
      </c>
      <c r="K584" s="58">
        <f t="shared" si="79"/>
        <v>3300.0000000000005</v>
      </c>
      <c r="L584" s="18" t="s">
        <v>25</v>
      </c>
      <c r="M584" s="50"/>
    </row>
    <row r="585" spans="1:13" s="36" customFormat="1" ht="24" hidden="1" customHeight="1" x14ac:dyDescent="0.4">
      <c r="A585" s="62">
        <v>44903</v>
      </c>
      <c r="B585" s="32" t="s">
        <v>926</v>
      </c>
      <c r="C585" s="18" t="s">
        <v>22</v>
      </c>
      <c r="D585" s="63" t="s">
        <v>48</v>
      </c>
      <c r="E585" s="50" t="s">
        <v>369</v>
      </c>
      <c r="F585" s="57">
        <v>3000</v>
      </c>
      <c r="G585" s="76"/>
      <c r="H585" s="57">
        <f t="shared" si="80"/>
        <v>3000</v>
      </c>
      <c r="I585" s="50">
        <v>1</v>
      </c>
      <c r="J585" s="57">
        <f t="shared" si="81"/>
        <v>3000</v>
      </c>
      <c r="K585" s="58">
        <f t="shared" si="79"/>
        <v>3300.0000000000005</v>
      </c>
      <c r="L585" s="18" t="s">
        <v>917</v>
      </c>
      <c r="M585" s="50"/>
    </row>
    <row r="586" spans="1:13" s="36" customFormat="1" ht="24" hidden="1" customHeight="1" x14ac:dyDescent="0.4">
      <c r="A586" s="62">
        <v>44903</v>
      </c>
      <c r="B586" s="32" t="s">
        <v>927</v>
      </c>
      <c r="C586" s="18" t="s">
        <v>910</v>
      </c>
      <c r="D586" s="63" t="s">
        <v>283</v>
      </c>
      <c r="E586" s="50" t="s">
        <v>928</v>
      </c>
      <c r="F586" s="57">
        <v>1500</v>
      </c>
      <c r="G586" s="76">
        <v>-150</v>
      </c>
      <c r="H586" s="57">
        <f t="shared" si="80"/>
        <v>1350</v>
      </c>
      <c r="I586" s="50">
        <v>1</v>
      </c>
      <c r="J586" s="57">
        <f t="shared" si="81"/>
        <v>1350</v>
      </c>
      <c r="K586" s="58">
        <f t="shared" si="79"/>
        <v>1485.0000000000002</v>
      </c>
      <c r="L586" s="18" t="s">
        <v>917</v>
      </c>
      <c r="M586" s="50"/>
    </row>
    <row r="587" spans="1:13" s="36" customFormat="1" ht="24" hidden="1" customHeight="1" x14ac:dyDescent="0.4">
      <c r="A587" s="62">
        <v>44903</v>
      </c>
      <c r="B587" s="32" t="s">
        <v>929</v>
      </c>
      <c r="C587" s="18" t="s">
        <v>910</v>
      </c>
      <c r="D587" s="63" t="s">
        <v>921</v>
      </c>
      <c r="E587" s="50" t="s">
        <v>930</v>
      </c>
      <c r="F587" s="57">
        <v>1400</v>
      </c>
      <c r="G587" s="76">
        <v>-140</v>
      </c>
      <c r="H587" s="57">
        <f t="shared" si="80"/>
        <v>1260</v>
      </c>
      <c r="I587" s="50">
        <v>3</v>
      </c>
      <c r="J587" s="57">
        <f t="shared" si="81"/>
        <v>3780</v>
      </c>
      <c r="K587" s="58">
        <f t="shared" si="79"/>
        <v>4158</v>
      </c>
      <c r="L587" s="18" t="s">
        <v>917</v>
      </c>
      <c r="M587" s="50"/>
    </row>
    <row r="588" spans="1:13" s="36" customFormat="1" ht="24" hidden="1" customHeight="1" x14ac:dyDescent="0.4">
      <c r="A588" s="62">
        <v>44904</v>
      </c>
      <c r="B588" s="32" t="s">
        <v>710</v>
      </c>
      <c r="C588" s="18" t="s">
        <v>910</v>
      </c>
      <c r="D588" s="63" t="s">
        <v>292</v>
      </c>
      <c r="E588" s="50" t="s">
        <v>931</v>
      </c>
      <c r="F588" s="57">
        <v>5700</v>
      </c>
      <c r="G588" s="76">
        <v>-570</v>
      </c>
      <c r="H588" s="57">
        <f t="shared" si="80"/>
        <v>5130</v>
      </c>
      <c r="I588" s="50">
        <v>1</v>
      </c>
      <c r="J588" s="57">
        <f t="shared" si="81"/>
        <v>5130</v>
      </c>
      <c r="K588" s="58">
        <f t="shared" si="79"/>
        <v>5643.0000000000009</v>
      </c>
      <c r="L588" s="18" t="s">
        <v>25</v>
      </c>
      <c r="M588" s="50"/>
    </row>
    <row r="589" spans="1:13" s="36" customFormat="1" ht="24" hidden="1" customHeight="1" x14ac:dyDescent="0.4">
      <c r="A589" s="62">
        <v>44904</v>
      </c>
      <c r="B589" s="32" t="s">
        <v>171</v>
      </c>
      <c r="C589" s="18" t="s">
        <v>910</v>
      </c>
      <c r="D589" s="63" t="s">
        <v>921</v>
      </c>
      <c r="E589" s="50" t="s">
        <v>932</v>
      </c>
      <c r="F589" s="57">
        <v>1050</v>
      </c>
      <c r="G589" s="76">
        <v>-105</v>
      </c>
      <c r="H589" s="57">
        <f t="shared" si="80"/>
        <v>945</v>
      </c>
      <c r="I589" s="50">
        <v>1</v>
      </c>
      <c r="J589" s="57">
        <f t="shared" si="81"/>
        <v>945</v>
      </c>
      <c r="K589" s="58">
        <v>1039</v>
      </c>
      <c r="L589" s="18" t="s">
        <v>25</v>
      </c>
      <c r="M589" s="50"/>
    </row>
    <row r="590" spans="1:13" s="36" customFormat="1" ht="24" hidden="1" customHeight="1" x14ac:dyDescent="0.4">
      <c r="A590" s="62">
        <v>44904</v>
      </c>
      <c r="B590" s="32" t="s">
        <v>933</v>
      </c>
      <c r="C590" s="18" t="s">
        <v>22</v>
      </c>
      <c r="D590" s="63" t="s">
        <v>23</v>
      </c>
      <c r="E590" s="50" t="s">
        <v>934</v>
      </c>
      <c r="F590" s="57">
        <v>13500</v>
      </c>
      <c r="G590" s="76"/>
      <c r="H590" s="57">
        <f t="shared" si="80"/>
        <v>13500</v>
      </c>
      <c r="I590" s="50">
        <v>1</v>
      </c>
      <c r="J590" s="57">
        <f t="shared" si="81"/>
        <v>13500</v>
      </c>
      <c r="K590" s="58">
        <f t="shared" si="79"/>
        <v>14850.000000000002</v>
      </c>
      <c r="L590" s="18" t="s">
        <v>917</v>
      </c>
      <c r="M590" s="50"/>
    </row>
    <row r="591" spans="1:13" s="36" customFormat="1" ht="24" hidden="1" customHeight="1" x14ac:dyDescent="0.4">
      <c r="A591" s="62">
        <v>44904</v>
      </c>
      <c r="B591" s="32" t="s">
        <v>933</v>
      </c>
      <c r="C591" s="18" t="s">
        <v>910</v>
      </c>
      <c r="D591" s="63" t="s">
        <v>911</v>
      </c>
      <c r="E591" s="50" t="s">
        <v>935</v>
      </c>
      <c r="F591" s="57">
        <v>50000</v>
      </c>
      <c r="G591" s="76">
        <v>-10000</v>
      </c>
      <c r="H591" s="57">
        <f t="shared" si="80"/>
        <v>40000</v>
      </c>
      <c r="I591" s="50">
        <v>1</v>
      </c>
      <c r="J591" s="57">
        <f t="shared" si="81"/>
        <v>40000</v>
      </c>
      <c r="K591" s="58">
        <f t="shared" si="79"/>
        <v>44000</v>
      </c>
      <c r="L591" s="18" t="s">
        <v>34</v>
      </c>
      <c r="M591" s="50"/>
    </row>
    <row r="592" spans="1:13" s="36" customFormat="1" ht="24" hidden="1" customHeight="1" x14ac:dyDescent="0.4">
      <c r="A592" s="62">
        <v>44904</v>
      </c>
      <c r="B592" s="32" t="s">
        <v>933</v>
      </c>
      <c r="C592" s="18" t="s">
        <v>910</v>
      </c>
      <c r="D592" s="63" t="s">
        <v>330</v>
      </c>
      <c r="E592" s="50" t="s">
        <v>557</v>
      </c>
      <c r="F592" s="57">
        <v>4000</v>
      </c>
      <c r="G592" s="76"/>
      <c r="H592" s="57">
        <f t="shared" si="80"/>
        <v>4000</v>
      </c>
      <c r="I592" s="50">
        <v>1</v>
      </c>
      <c r="J592" s="57">
        <f t="shared" si="81"/>
        <v>4000</v>
      </c>
      <c r="K592" s="58">
        <f t="shared" si="79"/>
        <v>4400</v>
      </c>
      <c r="L592" s="18" t="s">
        <v>34</v>
      </c>
      <c r="M592" s="50"/>
    </row>
    <row r="593" spans="1:13" s="36" customFormat="1" ht="24" hidden="1" customHeight="1" x14ac:dyDescent="0.4">
      <c r="A593" s="62">
        <v>44904</v>
      </c>
      <c r="B593" s="32" t="s">
        <v>933</v>
      </c>
      <c r="C593" s="18" t="s">
        <v>910</v>
      </c>
      <c r="D593" s="63" t="s">
        <v>921</v>
      </c>
      <c r="E593" s="50" t="s">
        <v>936</v>
      </c>
      <c r="F593" s="57">
        <v>1800</v>
      </c>
      <c r="G593" s="76"/>
      <c r="H593" s="57">
        <f t="shared" si="80"/>
        <v>1800</v>
      </c>
      <c r="I593" s="50">
        <v>1</v>
      </c>
      <c r="J593" s="57">
        <f t="shared" si="81"/>
        <v>1800</v>
      </c>
      <c r="K593" s="58">
        <f t="shared" si="79"/>
        <v>1980.0000000000002</v>
      </c>
      <c r="L593" s="18" t="s">
        <v>34</v>
      </c>
      <c r="M593" s="50"/>
    </row>
    <row r="594" spans="1:13" s="36" customFormat="1" ht="24" hidden="1" customHeight="1" x14ac:dyDescent="0.4">
      <c r="A594" s="62">
        <v>44904</v>
      </c>
      <c r="B594" s="32" t="s">
        <v>937</v>
      </c>
      <c r="C594" s="18" t="s">
        <v>910</v>
      </c>
      <c r="D594" s="63" t="s">
        <v>576</v>
      </c>
      <c r="E594" s="50" t="s">
        <v>938</v>
      </c>
      <c r="F594" s="57">
        <v>52000</v>
      </c>
      <c r="G594" s="76">
        <v>-5200</v>
      </c>
      <c r="H594" s="57">
        <f t="shared" si="80"/>
        <v>46800</v>
      </c>
      <c r="I594" s="50">
        <v>1</v>
      </c>
      <c r="J594" s="57">
        <f t="shared" si="81"/>
        <v>46800</v>
      </c>
      <c r="K594" s="58">
        <f t="shared" si="79"/>
        <v>51480.000000000007</v>
      </c>
      <c r="L594" s="18" t="s">
        <v>34</v>
      </c>
      <c r="M594" s="50"/>
    </row>
    <row r="595" spans="1:13" s="36" customFormat="1" ht="24" hidden="1" customHeight="1" x14ac:dyDescent="0.4">
      <c r="A595" s="62">
        <v>44904</v>
      </c>
      <c r="B595" s="32" t="s">
        <v>937</v>
      </c>
      <c r="C595" s="18" t="s">
        <v>910</v>
      </c>
      <c r="D595" s="63" t="s">
        <v>911</v>
      </c>
      <c r="E595" s="50" t="s">
        <v>939</v>
      </c>
      <c r="F595" s="57">
        <v>23000</v>
      </c>
      <c r="G595" s="76">
        <v>-4600</v>
      </c>
      <c r="H595" s="57">
        <f t="shared" si="80"/>
        <v>18400</v>
      </c>
      <c r="I595" s="50">
        <v>2</v>
      </c>
      <c r="J595" s="57">
        <f t="shared" si="81"/>
        <v>36800</v>
      </c>
      <c r="K595" s="58">
        <f t="shared" si="79"/>
        <v>40480</v>
      </c>
      <c r="L595" s="18" t="s">
        <v>34</v>
      </c>
      <c r="M595" s="50"/>
    </row>
    <row r="596" spans="1:13" s="36" customFormat="1" ht="24" hidden="1" customHeight="1" x14ac:dyDescent="0.4">
      <c r="A596" s="62">
        <v>44904</v>
      </c>
      <c r="B596" s="32" t="s">
        <v>937</v>
      </c>
      <c r="C596" s="18" t="s">
        <v>910</v>
      </c>
      <c r="D596" s="63" t="s">
        <v>455</v>
      </c>
      <c r="E596" s="50" t="s">
        <v>940</v>
      </c>
      <c r="F596" s="57">
        <v>1800</v>
      </c>
      <c r="G596" s="76"/>
      <c r="H596" s="57">
        <f t="shared" si="80"/>
        <v>1800</v>
      </c>
      <c r="I596" s="50">
        <v>2</v>
      </c>
      <c r="J596" s="57">
        <f t="shared" si="81"/>
        <v>3600</v>
      </c>
      <c r="K596" s="58">
        <f t="shared" si="79"/>
        <v>3960.0000000000005</v>
      </c>
      <c r="L596" s="18" t="s">
        <v>34</v>
      </c>
      <c r="M596" s="50"/>
    </row>
    <row r="597" spans="1:13" s="36" customFormat="1" ht="24" hidden="1" customHeight="1" x14ac:dyDescent="0.4">
      <c r="A597" s="62">
        <v>44905</v>
      </c>
      <c r="B597" s="32" t="s">
        <v>941</v>
      </c>
      <c r="C597" s="18" t="s">
        <v>910</v>
      </c>
      <c r="D597" s="63" t="s">
        <v>921</v>
      </c>
      <c r="E597" s="50" t="s">
        <v>942</v>
      </c>
      <c r="F597" s="57">
        <v>980</v>
      </c>
      <c r="G597" s="76">
        <v>-98</v>
      </c>
      <c r="H597" s="57">
        <f t="shared" si="80"/>
        <v>882</v>
      </c>
      <c r="I597" s="50">
        <v>1</v>
      </c>
      <c r="J597" s="57">
        <f t="shared" si="81"/>
        <v>882</v>
      </c>
      <c r="K597" s="58">
        <f t="shared" si="79"/>
        <v>970.2</v>
      </c>
      <c r="L597" s="18" t="s">
        <v>917</v>
      </c>
      <c r="M597" s="50"/>
    </row>
    <row r="598" spans="1:13" s="36" customFormat="1" ht="24" hidden="1" customHeight="1" x14ac:dyDescent="0.4">
      <c r="A598" s="62">
        <v>44905</v>
      </c>
      <c r="B598" s="32" t="s">
        <v>943</v>
      </c>
      <c r="C598" s="18" t="s">
        <v>27</v>
      </c>
      <c r="D598" s="63" t="s">
        <v>28</v>
      </c>
      <c r="E598" s="50" t="s">
        <v>73</v>
      </c>
      <c r="F598" s="57">
        <v>2000</v>
      </c>
      <c r="G598" s="76"/>
      <c r="H598" s="57">
        <f t="shared" si="80"/>
        <v>2000</v>
      </c>
      <c r="I598" s="50">
        <v>1</v>
      </c>
      <c r="J598" s="57">
        <f t="shared" si="81"/>
        <v>2000</v>
      </c>
      <c r="K598" s="58">
        <f t="shared" si="79"/>
        <v>2200</v>
      </c>
      <c r="L598" s="18" t="s">
        <v>917</v>
      </c>
      <c r="M598" s="50"/>
    </row>
    <row r="599" spans="1:13" s="36" customFormat="1" ht="24" hidden="1" customHeight="1" x14ac:dyDescent="0.4">
      <c r="A599" s="62">
        <v>44905</v>
      </c>
      <c r="B599" s="32" t="s">
        <v>399</v>
      </c>
      <c r="C599" s="18" t="s">
        <v>910</v>
      </c>
      <c r="D599" s="63" t="s">
        <v>330</v>
      </c>
      <c r="E599" s="50" t="s">
        <v>944</v>
      </c>
      <c r="F599" s="57">
        <v>4000</v>
      </c>
      <c r="G599" s="76"/>
      <c r="H599" s="57">
        <f t="shared" si="80"/>
        <v>4000</v>
      </c>
      <c r="I599" s="50">
        <v>1</v>
      </c>
      <c r="J599" s="57">
        <f t="shared" si="81"/>
        <v>4000</v>
      </c>
      <c r="K599" s="58">
        <f t="shared" si="79"/>
        <v>4400</v>
      </c>
      <c r="L599" s="18" t="s">
        <v>25</v>
      </c>
      <c r="M599" s="50"/>
    </row>
    <row r="600" spans="1:13" s="36" customFormat="1" ht="24" hidden="1" customHeight="1" x14ac:dyDescent="0.4">
      <c r="A600" s="62">
        <v>44905</v>
      </c>
      <c r="B600" s="32" t="s">
        <v>399</v>
      </c>
      <c r="C600" s="18" t="s">
        <v>910</v>
      </c>
      <c r="D600" s="63" t="s">
        <v>921</v>
      </c>
      <c r="E600" s="50" t="s">
        <v>945</v>
      </c>
      <c r="F600" s="57">
        <v>1800</v>
      </c>
      <c r="G600" s="76">
        <v>-180</v>
      </c>
      <c r="H600" s="57">
        <f t="shared" si="80"/>
        <v>1620</v>
      </c>
      <c r="I600" s="50">
        <v>1</v>
      </c>
      <c r="J600" s="57">
        <f t="shared" si="81"/>
        <v>1620</v>
      </c>
      <c r="K600" s="58">
        <f t="shared" si="79"/>
        <v>1782.0000000000002</v>
      </c>
      <c r="L600" s="18" t="s">
        <v>25</v>
      </c>
      <c r="M600" s="50"/>
    </row>
    <row r="601" spans="1:13" s="36" customFormat="1" ht="24" hidden="1" customHeight="1" x14ac:dyDescent="0.4">
      <c r="A601" s="62">
        <v>44907</v>
      </c>
      <c r="B601" s="32" t="s">
        <v>933</v>
      </c>
      <c r="C601" s="18" t="s">
        <v>910</v>
      </c>
      <c r="D601" s="63" t="s">
        <v>292</v>
      </c>
      <c r="E601" s="50" t="s">
        <v>946</v>
      </c>
      <c r="F601" s="57">
        <v>4200</v>
      </c>
      <c r="G601" s="76"/>
      <c r="H601" s="57">
        <f t="shared" si="80"/>
        <v>4200</v>
      </c>
      <c r="I601" s="50">
        <v>1</v>
      </c>
      <c r="J601" s="57">
        <f t="shared" si="81"/>
        <v>4200</v>
      </c>
      <c r="K601" s="58">
        <f t="shared" si="79"/>
        <v>4620</v>
      </c>
      <c r="L601" s="18" t="s">
        <v>917</v>
      </c>
      <c r="M601" s="50"/>
    </row>
    <row r="602" spans="1:13" s="36" customFormat="1" ht="24" hidden="1" customHeight="1" x14ac:dyDescent="0.4">
      <c r="A602" s="62">
        <v>44907</v>
      </c>
      <c r="B602" s="32" t="s">
        <v>947</v>
      </c>
      <c r="C602" s="18" t="s">
        <v>59</v>
      </c>
      <c r="D602" s="63" t="s">
        <v>60</v>
      </c>
      <c r="E602" s="50" t="s">
        <v>61</v>
      </c>
      <c r="F602" s="57">
        <v>500</v>
      </c>
      <c r="G602" s="76"/>
      <c r="H602" s="57">
        <f t="shared" si="80"/>
        <v>500</v>
      </c>
      <c r="I602" s="50">
        <v>1</v>
      </c>
      <c r="J602" s="57">
        <f t="shared" si="81"/>
        <v>500</v>
      </c>
      <c r="K602" s="58">
        <f t="shared" si="79"/>
        <v>550</v>
      </c>
      <c r="L602" s="18" t="s">
        <v>917</v>
      </c>
      <c r="M602" s="50"/>
    </row>
    <row r="603" spans="1:13" s="36" customFormat="1" ht="24" hidden="1" customHeight="1" x14ac:dyDescent="0.4">
      <c r="A603" s="62">
        <v>44907</v>
      </c>
      <c r="B603" s="32" t="s">
        <v>949</v>
      </c>
      <c r="C603" s="18" t="s">
        <v>910</v>
      </c>
      <c r="D603" s="63" t="s">
        <v>911</v>
      </c>
      <c r="E603" s="50" t="s">
        <v>948</v>
      </c>
      <c r="F603" s="57">
        <v>3000</v>
      </c>
      <c r="G603" s="76">
        <v>-300</v>
      </c>
      <c r="H603" s="57">
        <f t="shared" si="80"/>
        <v>2700</v>
      </c>
      <c r="I603" s="50">
        <v>2</v>
      </c>
      <c r="J603" s="57">
        <f t="shared" si="81"/>
        <v>5400</v>
      </c>
      <c r="K603" s="58">
        <f t="shared" si="79"/>
        <v>5940.0000000000009</v>
      </c>
      <c r="L603" s="18" t="s">
        <v>25</v>
      </c>
      <c r="M603" s="50"/>
    </row>
    <row r="604" spans="1:13" s="36" customFormat="1" ht="24" hidden="1" customHeight="1" x14ac:dyDescent="0.4">
      <c r="A604" s="62">
        <v>44909</v>
      </c>
      <c r="B604" s="32" t="s">
        <v>950</v>
      </c>
      <c r="C604" s="18" t="s">
        <v>910</v>
      </c>
      <c r="D604" s="63" t="s">
        <v>426</v>
      </c>
      <c r="E604" s="50" t="s">
        <v>951</v>
      </c>
      <c r="F604" s="57">
        <v>1650</v>
      </c>
      <c r="G604" s="76">
        <v>-165</v>
      </c>
      <c r="H604" s="57">
        <f t="shared" si="80"/>
        <v>1485</v>
      </c>
      <c r="I604" s="50">
        <v>1</v>
      </c>
      <c r="J604" s="57">
        <f t="shared" si="81"/>
        <v>1485</v>
      </c>
      <c r="K604" s="58">
        <f t="shared" si="79"/>
        <v>1633.5000000000002</v>
      </c>
      <c r="L604" s="18" t="s">
        <v>917</v>
      </c>
      <c r="M604" s="50"/>
    </row>
    <row r="605" spans="1:13" s="36" customFormat="1" ht="24" hidden="1" customHeight="1" x14ac:dyDescent="0.4">
      <c r="A605" s="62">
        <v>44909</v>
      </c>
      <c r="B605" s="32" t="s">
        <v>950</v>
      </c>
      <c r="C605" s="18" t="s">
        <v>910</v>
      </c>
      <c r="D605" s="63" t="s">
        <v>426</v>
      </c>
      <c r="E605" s="50" t="s">
        <v>952</v>
      </c>
      <c r="F605" s="57">
        <v>1700</v>
      </c>
      <c r="G605" s="76">
        <v>-170</v>
      </c>
      <c r="H605" s="57">
        <f t="shared" si="80"/>
        <v>1530</v>
      </c>
      <c r="I605" s="50">
        <v>1</v>
      </c>
      <c r="J605" s="57">
        <f t="shared" si="81"/>
        <v>1530</v>
      </c>
      <c r="K605" s="58">
        <f t="shared" si="79"/>
        <v>1683.0000000000002</v>
      </c>
      <c r="L605" s="18" t="s">
        <v>917</v>
      </c>
      <c r="M605" s="50"/>
    </row>
    <row r="606" spans="1:13" s="36" customFormat="1" ht="24" hidden="1" customHeight="1" x14ac:dyDescent="0.4">
      <c r="A606" s="62">
        <v>44910</v>
      </c>
      <c r="B606" s="32" t="s">
        <v>953</v>
      </c>
      <c r="C606" s="18" t="s">
        <v>22</v>
      </c>
      <c r="D606" s="63" t="s">
        <v>48</v>
      </c>
      <c r="E606" s="50" t="s">
        <v>369</v>
      </c>
      <c r="F606" s="57">
        <v>3000</v>
      </c>
      <c r="G606" s="76"/>
      <c r="H606" s="57">
        <f t="shared" si="80"/>
        <v>3000</v>
      </c>
      <c r="I606" s="50">
        <v>1</v>
      </c>
      <c r="J606" s="57">
        <f t="shared" si="81"/>
        <v>3000</v>
      </c>
      <c r="K606" s="58">
        <f t="shared" ref="K606:K671" si="82">J606*1.1</f>
        <v>3300.0000000000005</v>
      </c>
      <c r="L606" s="18" t="s">
        <v>25</v>
      </c>
      <c r="M606" s="50"/>
    </row>
    <row r="607" spans="1:13" s="36" customFormat="1" ht="24" hidden="1" customHeight="1" x14ac:dyDescent="0.4">
      <c r="A607" s="62">
        <v>44911</v>
      </c>
      <c r="B607" s="32" t="s">
        <v>954</v>
      </c>
      <c r="C607" s="18" t="s">
        <v>22</v>
      </c>
      <c r="D607" s="63" t="s">
        <v>48</v>
      </c>
      <c r="E607" s="50" t="s">
        <v>955</v>
      </c>
      <c r="F607" s="57">
        <v>7500</v>
      </c>
      <c r="G607" s="76"/>
      <c r="H607" s="57">
        <f t="shared" si="80"/>
        <v>7500</v>
      </c>
      <c r="I607" s="50">
        <v>1</v>
      </c>
      <c r="J607" s="57">
        <f t="shared" si="81"/>
        <v>7500</v>
      </c>
      <c r="K607" s="58">
        <f t="shared" si="82"/>
        <v>8250</v>
      </c>
      <c r="L607" s="18" t="s">
        <v>25</v>
      </c>
      <c r="M607" s="50"/>
    </row>
    <row r="608" spans="1:13" s="36" customFormat="1" ht="24" hidden="1" customHeight="1" x14ac:dyDescent="0.4">
      <c r="A608" s="62">
        <v>44912</v>
      </c>
      <c r="B608" s="32" t="s">
        <v>153</v>
      </c>
      <c r="C608" s="18" t="s">
        <v>22</v>
      </c>
      <c r="D608" s="63" t="s">
        <v>48</v>
      </c>
      <c r="E608" s="50" t="s">
        <v>955</v>
      </c>
      <c r="F608" s="57">
        <v>7500</v>
      </c>
      <c r="G608" s="76"/>
      <c r="H608" s="57">
        <f t="shared" si="80"/>
        <v>7500</v>
      </c>
      <c r="I608" s="50">
        <v>1</v>
      </c>
      <c r="J608" s="57">
        <f t="shared" si="81"/>
        <v>7500</v>
      </c>
      <c r="K608" s="58">
        <f t="shared" si="82"/>
        <v>8250</v>
      </c>
      <c r="L608" s="18" t="s">
        <v>917</v>
      </c>
      <c r="M608" s="50"/>
    </row>
    <row r="609" spans="1:13" s="36" customFormat="1" ht="24" hidden="1" customHeight="1" x14ac:dyDescent="0.4">
      <c r="A609" s="62">
        <v>44912</v>
      </c>
      <c r="B609" s="32" t="s">
        <v>956</v>
      </c>
      <c r="C609" s="18" t="s">
        <v>22</v>
      </c>
      <c r="D609" s="63" t="s">
        <v>48</v>
      </c>
      <c r="E609" s="50" t="s">
        <v>369</v>
      </c>
      <c r="F609" s="57">
        <v>3000</v>
      </c>
      <c r="G609" s="76"/>
      <c r="H609" s="57">
        <f t="shared" si="80"/>
        <v>3000</v>
      </c>
      <c r="I609" s="50">
        <v>1</v>
      </c>
      <c r="J609" s="57">
        <f t="shared" si="81"/>
        <v>3000</v>
      </c>
      <c r="K609" s="58">
        <f t="shared" si="82"/>
        <v>3300.0000000000005</v>
      </c>
      <c r="L609" s="18" t="s">
        <v>25</v>
      </c>
      <c r="M609" s="50"/>
    </row>
    <row r="610" spans="1:13" s="36" customFormat="1" ht="24" hidden="1" customHeight="1" x14ac:dyDescent="0.4">
      <c r="A610" s="62">
        <v>44913</v>
      </c>
      <c r="B610" s="32" t="s">
        <v>957</v>
      </c>
      <c r="C610" s="18" t="s">
        <v>910</v>
      </c>
      <c r="D610" s="63" t="s">
        <v>292</v>
      </c>
      <c r="E610" s="50" t="s">
        <v>958</v>
      </c>
      <c r="F610" s="57">
        <v>4500</v>
      </c>
      <c r="G610" s="76"/>
      <c r="H610" s="57">
        <f t="shared" si="80"/>
        <v>4500</v>
      </c>
      <c r="I610" s="50">
        <v>1</v>
      </c>
      <c r="J610" s="57">
        <f t="shared" si="81"/>
        <v>4500</v>
      </c>
      <c r="K610" s="58">
        <f t="shared" si="82"/>
        <v>4950</v>
      </c>
      <c r="L610" s="18" t="s">
        <v>917</v>
      </c>
      <c r="M610" s="50"/>
    </row>
    <row r="611" spans="1:13" s="36" customFormat="1" ht="24" hidden="1" customHeight="1" x14ac:dyDescent="0.4">
      <c r="A611" s="62">
        <v>44914</v>
      </c>
      <c r="B611" s="32" t="s">
        <v>959</v>
      </c>
      <c r="C611" s="18" t="s">
        <v>22</v>
      </c>
      <c r="D611" s="63" t="s">
        <v>23</v>
      </c>
      <c r="E611" s="50" t="s">
        <v>827</v>
      </c>
      <c r="F611" s="57">
        <v>15000</v>
      </c>
      <c r="G611" s="76"/>
      <c r="H611" s="57">
        <f t="shared" si="80"/>
        <v>15000</v>
      </c>
      <c r="I611" s="50">
        <v>1</v>
      </c>
      <c r="J611" s="57">
        <f t="shared" si="81"/>
        <v>15000</v>
      </c>
      <c r="K611" s="58">
        <f t="shared" si="82"/>
        <v>16500</v>
      </c>
      <c r="L611" s="18" t="s">
        <v>917</v>
      </c>
      <c r="M611" s="50"/>
    </row>
    <row r="612" spans="1:13" s="36" customFormat="1" ht="24" hidden="1" customHeight="1" x14ac:dyDescent="0.4">
      <c r="A612" s="62">
        <v>44914</v>
      </c>
      <c r="B612" s="32" t="s">
        <v>960</v>
      </c>
      <c r="C612" s="18" t="s">
        <v>22</v>
      </c>
      <c r="D612" s="63" t="s">
        <v>48</v>
      </c>
      <c r="E612" s="50" t="s">
        <v>369</v>
      </c>
      <c r="F612" s="57">
        <v>3000</v>
      </c>
      <c r="G612" s="76"/>
      <c r="H612" s="57">
        <f t="shared" si="80"/>
        <v>3000</v>
      </c>
      <c r="I612" s="50">
        <v>1</v>
      </c>
      <c r="J612" s="57">
        <f t="shared" si="81"/>
        <v>3000</v>
      </c>
      <c r="K612" s="58">
        <f t="shared" si="82"/>
        <v>3300.0000000000005</v>
      </c>
      <c r="L612" s="18" t="s">
        <v>25</v>
      </c>
      <c r="M612" s="50"/>
    </row>
    <row r="613" spans="1:13" s="36" customFormat="1" ht="24" hidden="1" customHeight="1" x14ac:dyDescent="0.4">
      <c r="A613" s="62">
        <v>44914</v>
      </c>
      <c r="B613" s="32" t="s">
        <v>961</v>
      </c>
      <c r="C613" s="18" t="s">
        <v>22</v>
      </c>
      <c r="D613" s="63" t="s">
        <v>23</v>
      </c>
      <c r="E613" s="50" t="s">
        <v>827</v>
      </c>
      <c r="F613" s="57">
        <v>15000</v>
      </c>
      <c r="G613" s="76"/>
      <c r="H613" s="57">
        <f t="shared" si="80"/>
        <v>15000</v>
      </c>
      <c r="I613" s="50">
        <v>1</v>
      </c>
      <c r="J613" s="57">
        <f t="shared" si="81"/>
        <v>15000</v>
      </c>
      <c r="K613" s="58">
        <f t="shared" si="82"/>
        <v>16500</v>
      </c>
      <c r="L613" s="18" t="s">
        <v>25</v>
      </c>
      <c r="M613" s="50"/>
    </row>
    <row r="614" spans="1:13" s="36" customFormat="1" ht="24" hidden="1" customHeight="1" x14ac:dyDescent="0.4">
      <c r="A614" s="62">
        <v>44914</v>
      </c>
      <c r="B614" s="32" t="s">
        <v>962</v>
      </c>
      <c r="C614" s="18" t="s">
        <v>22</v>
      </c>
      <c r="D614" s="63" t="s">
        <v>23</v>
      </c>
      <c r="E614" s="50" t="s">
        <v>827</v>
      </c>
      <c r="F614" s="57">
        <v>15000</v>
      </c>
      <c r="G614" s="76"/>
      <c r="H614" s="57">
        <f t="shared" si="80"/>
        <v>15000</v>
      </c>
      <c r="I614" s="50">
        <v>1</v>
      </c>
      <c r="J614" s="57">
        <f t="shared" si="81"/>
        <v>15000</v>
      </c>
      <c r="K614" s="58">
        <f t="shared" si="82"/>
        <v>16500</v>
      </c>
      <c r="L614" s="18" t="s">
        <v>25</v>
      </c>
      <c r="M614" s="50"/>
    </row>
    <row r="615" spans="1:13" s="36" customFormat="1" ht="24" hidden="1" customHeight="1" x14ac:dyDescent="0.4">
      <c r="A615" s="62">
        <v>44914</v>
      </c>
      <c r="B615" s="32" t="s">
        <v>959</v>
      </c>
      <c r="C615" s="18" t="s">
        <v>910</v>
      </c>
      <c r="D615" s="63" t="s">
        <v>911</v>
      </c>
      <c r="E615" s="50" t="s">
        <v>963</v>
      </c>
      <c r="F615" s="57">
        <v>50000</v>
      </c>
      <c r="G615" s="76">
        <v>-10000</v>
      </c>
      <c r="H615" s="57">
        <f t="shared" si="80"/>
        <v>40000</v>
      </c>
      <c r="I615" s="50">
        <v>1</v>
      </c>
      <c r="J615" s="57">
        <f t="shared" si="81"/>
        <v>40000</v>
      </c>
      <c r="K615" s="58">
        <f t="shared" si="82"/>
        <v>44000</v>
      </c>
      <c r="L615" s="18" t="s">
        <v>917</v>
      </c>
      <c r="M615" s="50"/>
    </row>
    <row r="616" spans="1:13" s="36" customFormat="1" ht="24" hidden="1" customHeight="1" x14ac:dyDescent="0.4">
      <c r="A616" s="62">
        <v>44914</v>
      </c>
      <c r="B616" s="32" t="s">
        <v>959</v>
      </c>
      <c r="C616" s="18" t="s">
        <v>910</v>
      </c>
      <c r="D616" s="63" t="s">
        <v>576</v>
      </c>
      <c r="E616" s="50" t="s">
        <v>964</v>
      </c>
      <c r="F616" s="57">
        <v>69000</v>
      </c>
      <c r="G616" s="76">
        <v>-10350</v>
      </c>
      <c r="H616" s="57">
        <f t="shared" si="80"/>
        <v>58650</v>
      </c>
      <c r="I616" s="50">
        <v>1</v>
      </c>
      <c r="J616" s="57">
        <f t="shared" si="81"/>
        <v>58650</v>
      </c>
      <c r="K616" s="58">
        <f t="shared" si="82"/>
        <v>64515.000000000007</v>
      </c>
      <c r="L616" s="18" t="s">
        <v>917</v>
      </c>
      <c r="M616" s="50"/>
    </row>
    <row r="617" spans="1:13" s="36" customFormat="1" ht="24" hidden="1" customHeight="1" x14ac:dyDescent="0.4">
      <c r="A617" s="62">
        <v>44914</v>
      </c>
      <c r="B617" s="32" t="s">
        <v>959</v>
      </c>
      <c r="C617" s="18" t="s">
        <v>910</v>
      </c>
      <c r="D617" s="63" t="s">
        <v>921</v>
      </c>
      <c r="E617" s="50" t="s">
        <v>965</v>
      </c>
      <c r="F617" s="57">
        <v>2000</v>
      </c>
      <c r="G617" s="76"/>
      <c r="H617" s="57">
        <f t="shared" si="80"/>
        <v>2000</v>
      </c>
      <c r="I617" s="50">
        <v>1</v>
      </c>
      <c r="J617" s="57">
        <f t="shared" si="81"/>
        <v>2000</v>
      </c>
      <c r="K617" s="58">
        <f t="shared" si="82"/>
        <v>2200</v>
      </c>
      <c r="L617" s="18" t="s">
        <v>917</v>
      </c>
      <c r="M617" s="50"/>
    </row>
    <row r="618" spans="1:13" s="36" customFormat="1" ht="24" hidden="1" customHeight="1" x14ac:dyDescent="0.4">
      <c r="A618" s="62">
        <v>44914</v>
      </c>
      <c r="B618" s="32" t="s">
        <v>962</v>
      </c>
      <c r="C618" s="18" t="s">
        <v>910</v>
      </c>
      <c r="D618" s="63" t="s">
        <v>32</v>
      </c>
      <c r="E618" s="50" t="s">
        <v>966</v>
      </c>
      <c r="F618" s="57">
        <v>60000</v>
      </c>
      <c r="G618" s="76">
        <v>-9000</v>
      </c>
      <c r="H618" s="57">
        <f t="shared" si="80"/>
        <v>51000</v>
      </c>
      <c r="I618" s="50">
        <v>1</v>
      </c>
      <c r="J618" s="57">
        <f t="shared" si="81"/>
        <v>51000</v>
      </c>
      <c r="K618" s="58">
        <f t="shared" si="82"/>
        <v>56100.000000000007</v>
      </c>
      <c r="L618" s="18" t="s">
        <v>34</v>
      </c>
      <c r="M618" s="50"/>
    </row>
    <row r="619" spans="1:13" s="36" customFormat="1" ht="24" hidden="1" customHeight="1" x14ac:dyDescent="0.4">
      <c r="A619" s="62">
        <v>44914</v>
      </c>
      <c r="B619" s="32" t="s">
        <v>962</v>
      </c>
      <c r="C619" s="18" t="s">
        <v>910</v>
      </c>
      <c r="D619" s="63" t="s">
        <v>576</v>
      </c>
      <c r="E619" s="50" t="s">
        <v>967</v>
      </c>
      <c r="F619" s="57">
        <v>69000</v>
      </c>
      <c r="G619" s="76">
        <v>-10350</v>
      </c>
      <c r="H619" s="57">
        <f t="shared" si="80"/>
        <v>58650</v>
      </c>
      <c r="I619" s="50">
        <v>1</v>
      </c>
      <c r="J619" s="57">
        <f t="shared" si="81"/>
        <v>58650</v>
      </c>
      <c r="K619" s="58">
        <f t="shared" si="82"/>
        <v>64515.000000000007</v>
      </c>
      <c r="L619" s="18" t="s">
        <v>34</v>
      </c>
      <c r="M619" s="50"/>
    </row>
    <row r="620" spans="1:13" s="36" customFormat="1" ht="24" hidden="1" customHeight="1" x14ac:dyDescent="0.4">
      <c r="A620" s="62">
        <v>44914</v>
      </c>
      <c r="B620" s="32" t="s">
        <v>962</v>
      </c>
      <c r="C620" s="18" t="s">
        <v>910</v>
      </c>
      <c r="D620" s="63" t="s">
        <v>455</v>
      </c>
      <c r="E620" s="50" t="s">
        <v>945</v>
      </c>
      <c r="F620" s="57">
        <v>1800</v>
      </c>
      <c r="G620" s="76"/>
      <c r="H620" s="57">
        <f t="shared" si="80"/>
        <v>1800</v>
      </c>
      <c r="I620" s="50">
        <v>1</v>
      </c>
      <c r="J620" s="57">
        <f t="shared" si="81"/>
        <v>1800</v>
      </c>
      <c r="K620" s="58">
        <f t="shared" si="82"/>
        <v>1980.0000000000002</v>
      </c>
      <c r="L620" s="18" t="s">
        <v>34</v>
      </c>
      <c r="M620" s="50"/>
    </row>
    <row r="621" spans="1:13" s="36" customFormat="1" ht="24" hidden="1" customHeight="1" x14ac:dyDescent="0.4">
      <c r="A621" s="62">
        <v>44914</v>
      </c>
      <c r="B621" s="32" t="s">
        <v>968</v>
      </c>
      <c r="C621" s="18" t="s">
        <v>910</v>
      </c>
      <c r="D621" s="63" t="s">
        <v>292</v>
      </c>
      <c r="E621" s="50" t="s">
        <v>969</v>
      </c>
      <c r="F621" s="57">
        <v>4500</v>
      </c>
      <c r="G621" s="76"/>
      <c r="H621" s="57">
        <f t="shared" si="80"/>
        <v>4500</v>
      </c>
      <c r="I621" s="50">
        <v>1</v>
      </c>
      <c r="J621" s="57">
        <f t="shared" si="81"/>
        <v>4500</v>
      </c>
      <c r="K621" s="58">
        <f t="shared" si="82"/>
        <v>4950</v>
      </c>
      <c r="L621" s="18" t="s">
        <v>25</v>
      </c>
      <c r="M621" s="50"/>
    </row>
    <row r="622" spans="1:13" s="36" customFormat="1" ht="24" hidden="1" customHeight="1" x14ac:dyDescent="0.4">
      <c r="A622" s="62">
        <v>44916</v>
      </c>
      <c r="B622" s="32" t="s">
        <v>970</v>
      </c>
      <c r="C622" s="18" t="s">
        <v>971</v>
      </c>
      <c r="D622" s="63" t="s">
        <v>292</v>
      </c>
      <c r="E622" s="50" t="s">
        <v>972</v>
      </c>
      <c r="F622" s="57">
        <v>4500</v>
      </c>
      <c r="G622" s="76"/>
      <c r="H622" s="57">
        <f t="shared" si="80"/>
        <v>4500</v>
      </c>
      <c r="I622" s="50">
        <v>1</v>
      </c>
      <c r="J622" s="57">
        <f t="shared" si="81"/>
        <v>4500</v>
      </c>
      <c r="K622" s="58">
        <f t="shared" si="82"/>
        <v>4950</v>
      </c>
      <c r="L622" s="18" t="s">
        <v>20</v>
      </c>
      <c r="M622" s="50"/>
    </row>
    <row r="623" spans="1:13" s="36" customFormat="1" ht="24" hidden="1" customHeight="1" x14ac:dyDescent="0.4">
      <c r="A623" s="62">
        <v>44916</v>
      </c>
      <c r="B623" s="32" t="s">
        <v>973</v>
      </c>
      <c r="C623" s="18" t="s">
        <v>22</v>
      </c>
      <c r="D623" s="63" t="s">
        <v>23</v>
      </c>
      <c r="E623" s="50" t="s">
        <v>974</v>
      </c>
      <c r="F623" s="57">
        <v>10000</v>
      </c>
      <c r="G623" s="76"/>
      <c r="H623" s="57">
        <f t="shared" si="80"/>
        <v>10000</v>
      </c>
      <c r="I623" s="50">
        <v>1</v>
      </c>
      <c r="J623" s="57">
        <f t="shared" si="81"/>
        <v>10000</v>
      </c>
      <c r="K623" s="58">
        <f t="shared" si="82"/>
        <v>11000</v>
      </c>
      <c r="L623" s="18" t="s">
        <v>34</v>
      </c>
      <c r="M623" s="50" t="s">
        <v>975</v>
      </c>
    </row>
    <row r="624" spans="1:13" s="36" customFormat="1" ht="24" hidden="1" customHeight="1" x14ac:dyDescent="0.4">
      <c r="A624" s="62">
        <v>44916</v>
      </c>
      <c r="B624" s="32" t="s">
        <v>973</v>
      </c>
      <c r="C624" s="18" t="s">
        <v>971</v>
      </c>
      <c r="D624" s="63" t="s">
        <v>976</v>
      </c>
      <c r="E624" s="124" t="s">
        <v>977</v>
      </c>
      <c r="F624" s="57">
        <v>40000</v>
      </c>
      <c r="G624" s="76">
        <v>-8000</v>
      </c>
      <c r="H624" s="57">
        <f t="shared" si="80"/>
        <v>32000</v>
      </c>
      <c r="I624" s="50">
        <v>1</v>
      </c>
      <c r="J624" s="57">
        <f t="shared" si="81"/>
        <v>32000</v>
      </c>
      <c r="K624" s="58">
        <f t="shared" si="82"/>
        <v>35200</v>
      </c>
      <c r="L624" s="18" t="s">
        <v>34</v>
      </c>
      <c r="M624" s="50"/>
    </row>
    <row r="625" spans="1:13" s="36" customFormat="1" ht="24" hidden="1" customHeight="1" x14ac:dyDescent="0.4">
      <c r="A625" s="62">
        <v>44916</v>
      </c>
      <c r="B625" s="32" t="s">
        <v>973</v>
      </c>
      <c r="C625" s="18" t="s">
        <v>971</v>
      </c>
      <c r="D625" s="63" t="s">
        <v>978</v>
      </c>
      <c r="E625" s="50" t="s">
        <v>979</v>
      </c>
      <c r="F625" s="57">
        <v>980</v>
      </c>
      <c r="G625" s="76"/>
      <c r="H625" s="57">
        <f t="shared" si="80"/>
        <v>980</v>
      </c>
      <c r="I625" s="50">
        <v>1</v>
      </c>
      <c r="J625" s="57">
        <f t="shared" si="81"/>
        <v>980</v>
      </c>
      <c r="K625" s="58">
        <f t="shared" si="82"/>
        <v>1078</v>
      </c>
      <c r="L625" s="18" t="s">
        <v>34</v>
      </c>
      <c r="M625" s="50"/>
    </row>
    <row r="626" spans="1:13" s="36" customFormat="1" ht="24" hidden="1" customHeight="1" x14ac:dyDescent="0.4">
      <c r="A626" s="62">
        <v>44916</v>
      </c>
      <c r="B626" s="32" t="s">
        <v>980</v>
      </c>
      <c r="C626" s="18" t="s">
        <v>22</v>
      </c>
      <c r="D626" s="63" t="s">
        <v>48</v>
      </c>
      <c r="E626" s="50" t="s">
        <v>369</v>
      </c>
      <c r="F626" s="57">
        <v>3000</v>
      </c>
      <c r="G626" s="76"/>
      <c r="H626" s="57">
        <f t="shared" si="80"/>
        <v>3000</v>
      </c>
      <c r="I626" s="50">
        <v>1</v>
      </c>
      <c r="J626" s="57">
        <f t="shared" si="81"/>
        <v>3000</v>
      </c>
      <c r="K626" s="58">
        <f t="shared" si="82"/>
        <v>3300.0000000000005</v>
      </c>
      <c r="L626" s="18" t="s">
        <v>34</v>
      </c>
      <c r="M626" s="18" t="s">
        <v>981</v>
      </c>
    </row>
    <row r="627" spans="1:13" s="36" customFormat="1" ht="24" hidden="1" customHeight="1" x14ac:dyDescent="0.4">
      <c r="A627" s="62">
        <v>44916</v>
      </c>
      <c r="B627" s="32" t="s">
        <v>982</v>
      </c>
      <c r="C627" s="18" t="s">
        <v>971</v>
      </c>
      <c r="D627" s="63" t="s">
        <v>55</v>
      </c>
      <c r="E627" s="50" t="s">
        <v>983</v>
      </c>
      <c r="F627" s="57">
        <v>4500</v>
      </c>
      <c r="G627" s="76"/>
      <c r="H627" s="57">
        <f t="shared" si="80"/>
        <v>4500</v>
      </c>
      <c r="I627" s="50">
        <v>1</v>
      </c>
      <c r="J627" s="57">
        <f t="shared" si="81"/>
        <v>4500</v>
      </c>
      <c r="K627" s="58">
        <f t="shared" si="82"/>
        <v>4950</v>
      </c>
      <c r="L627" s="18" t="s">
        <v>25</v>
      </c>
      <c r="M627" s="50"/>
    </row>
    <row r="628" spans="1:13" s="36" customFormat="1" ht="24" hidden="1" customHeight="1" x14ac:dyDescent="0.4">
      <c r="A628" s="62">
        <v>44918</v>
      </c>
      <c r="B628" s="32" t="s">
        <v>984</v>
      </c>
      <c r="C628" s="18" t="s">
        <v>22</v>
      </c>
      <c r="D628" s="63" t="s">
        <v>48</v>
      </c>
      <c r="E628" s="50" t="s">
        <v>369</v>
      </c>
      <c r="F628" s="57">
        <v>3000</v>
      </c>
      <c r="G628" s="76"/>
      <c r="H628" s="57">
        <f t="shared" si="80"/>
        <v>3000</v>
      </c>
      <c r="I628" s="50">
        <v>1</v>
      </c>
      <c r="J628" s="57">
        <f t="shared" si="81"/>
        <v>3000</v>
      </c>
      <c r="K628" s="58">
        <f t="shared" si="82"/>
        <v>3300.0000000000005</v>
      </c>
      <c r="L628" s="18" t="s">
        <v>20</v>
      </c>
      <c r="M628" s="50"/>
    </row>
    <row r="629" spans="1:13" s="36" customFormat="1" ht="24" hidden="1" customHeight="1" x14ac:dyDescent="0.4">
      <c r="A629" s="62">
        <v>44918</v>
      </c>
      <c r="B629" s="32" t="s">
        <v>984</v>
      </c>
      <c r="C629" s="18" t="s">
        <v>27</v>
      </c>
      <c r="D629" s="63" t="s">
        <v>28</v>
      </c>
      <c r="E629" s="50" t="s">
        <v>318</v>
      </c>
      <c r="F629" s="57">
        <v>15000</v>
      </c>
      <c r="G629" s="76"/>
      <c r="H629" s="57">
        <f t="shared" si="80"/>
        <v>15000</v>
      </c>
      <c r="I629" s="50">
        <v>1</v>
      </c>
      <c r="J629" s="57">
        <f t="shared" si="81"/>
        <v>15000</v>
      </c>
      <c r="K629" s="58">
        <f t="shared" si="82"/>
        <v>16500</v>
      </c>
      <c r="L629" s="18" t="s">
        <v>25</v>
      </c>
      <c r="M629" s="50"/>
    </row>
    <row r="630" spans="1:13" s="36" customFormat="1" ht="24" hidden="1" customHeight="1" x14ac:dyDescent="0.4">
      <c r="A630" s="62">
        <v>44918</v>
      </c>
      <c r="B630" s="32" t="s">
        <v>984</v>
      </c>
      <c r="C630" s="18" t="s">
        <v>27</v>
      </c>
      <c r="D630" s="63" t="s">
        <v>28</v>
      </c>
      <c r="E630" s="50" t="s">
        <v>985</v>
      </c>
      <c r="F630" s="57">
        <v>4370</v>
      </c>
      <c r="G630" s="76"/>
      <c r="H630" s="57">
        <f t="shared" si="80"/>
        <v>4370</v>
      </c>
      <c r="I630" s="50">
        <v>1</v>
      </c>
      <c r="J630" s="57">
        <f t="shared" si="81"/>
        <v>4370</v>
      </c>
      <c r="K630" s="58">
        <f t="shared" si="82"/>
        <v>4807</v>
      </c>
      <c r="L630" s="18" t="s">
        <v>25</v>
      </c>
      <c r="M630" s="50"/>
    </row>
    <row r="631" spans="1:13" s="36" customFormat="1" ht="24" hidden="1" customHeight="1" x14ac:dyDescent="0.4">
      <c r="A631" s="62">
        <v>44918</v>
      </c>
      <c r="B631" s="32" t="s">
        <v>984</v>
      </c>
      <c r="C631" s="18" t="s">
        <v>27</v>
      </c>
      <c r="D631" s="63" t="s">
        <v>28</v>
      </c>
      <c r="E631" s="50" t="s">
        <v>869</v>
      </c>
      <c r="F631" s="57">
        <v>17500</v>
      </c>
      <c r="G631" s="76"/>
      <c r="H631" s="57">
        <f t="shared" si="80"/>
        <v>17500</v>
      </c>
      <c r="I631" s="50">
        <v>1</v>
      </c>
      <c r="J631" s="57">
        <f t="shared" si="81"/>
        <v>17500</v>
      </c>
      <c r="K631" s="58">
        <f t="shared" si="82"/>
        <v>19250</v>
      </c>
      <c r="L631" s="18" t="s">
        <v>25</v>
      </c>
      <c r="M631" s="50"/>
    </row>
    <row r="632" spans="1:13" s="36" customFormat="1" ht="24" hidden="1" customHeight="1" x14ac:dyDescent="0.4">
      <c r="A632" s="62">
        <v>44918</v>
      </c>
      <c r="B632" s="32" t="s">
        <v>961</v>
      </c>
      <c r="C632" s="18" t="s">
        <v>986</v>
      </c>
      <c r="D632" s="63" t="s">
        <v>987</v>
      </c>
      <c r="E632" s="50" t="s">
        <v>988</v>
      </c>
      <c r="F632" s="57">
        <v>50000</v>
      </c>
      <c r="G632" s="76">
        <v>-10000</v>
      </c>
      <c r="H632" s="57">
        <f t="shared" si="80"/>
        <v>40000</v>
      </c>
      <c r="I632" s="50">
        <v>1</v>
      </c>
      <c r="J632" s="57">
        <f t="shared" si="81"/>
        <v>40000</v>
      </c>
      <c r="K632" s="58">
        <f t="shared" si="82"/>
        <v>44000</v>
      </c>
      <c r="L632" s="18" t="s">
        <v>34</v>
      </c>
      <c r="M632" s="50"/>
    </row>
    <row r="633" spans="1:13" s="36" customFormat="1" ht="24" hidden="1" customHeight="1" x14ac:dyDescent="0.4">
      <c r="A633" s="62">
        <v>44918</v>
      </c>
      <c r="B633" s="32" t="s">
        <v>961</v>
      </c>
      <c r="C633" s="18" t="s">
        <v>986</v>
      </c>
      <c r="D633" s="63" t="s">
        <v>990</v>
      </c>
      <c r="E633" s="50" t="s">
        <v>989</v>
      </c>
      <c r="F633" s="57">
        <v>1800</v>
      </c>
      <c r="G633" s="76"/>
      <c r="H633" s="57">
        <f t="shared" ref="H633:H696" si="83">F633+G633</f>
        <v>1800</v>
      </c>
      <c r="I633" s="50">
        <v>1</v>
      </c>
      <c r="J633" s="57">
        <f t="shared" ref="J633:J696" si="84">H633*I633</f>
        <v>1800</v>
      </c>
      <c r="K633" s="58">
        <f t="shared" si="82"/>
        <v>1980.0000000000002</v>
      </c>
      <c r="L633" s="18" t="s">
        <v>34</v>
      </c>
      <c r="M633" s="50"/>
    </row>
    <row r="634" spans="1:13" s="36" customFormat="1" ht="24" hidden="1" customHeight="1" x14ac:dyDescent="0.4">
      <c r="A634" s="62">
        <v>44919</v>
      </c>
      <c r="B634" s="32" t="s">
        <v>190</v>
      </c>
      <c r="C634" s="18" t="s">
        <v>27</v>
      </c>
      <c r="D634" s="63" t="s">
        <v>103</v>
      </c>
      <c r="E634" s="50" t="s">
        <v>217</v>
      </c>
      <c r="F634" s="57">
        <v>25000</v>
      </c>
      <c r="G634" s="76"/>
      <c r="H634" s="57">
        <f t="shared" si="83"/>
        <v>25000</v>
      </c>
      <c r="I634" s="50">
        <v>1</v>
      </c>
      <c r="J634" s="57">
        <f t="shared" si="84"/>
        <v>25000</v>
      </c>
      <c r="K634" s="58">
        <f t="shared" si="82"/>
        <v>27500.000000000004</v>
      </c>
      <c r="L634" s="18" t="s">
        <v>25</v>
      </c>
      <c r="M634" s="50"/>
    </row>
    <row r="635" spans="1:13" s="36" customFormat="1" ht="24" hidden="1" customHeight="1" x14ac:dyDescent="0.4">
      <c r="A635" s="62">
        <v>44920</v>
      </c>
      <c r="B635" s="32" t="s">
        <v>174</v>
      </c>
      <c r="C635" s="18" t="s">
        <v>22</v>
      </c>
      <c r="D635" s="63" t="s">
        <v>48</v>
      </c>
      <c r="E635" s="50" t="s">
        <v>832</v>
      </c>
      <c r="F635" s="57">
        <v>3000</v>
      </c>
      <c r="G635" s="76"/>
      <c r="H635" s="57">
        <f t="shared" si="83"/>
        <v>3000</v>
      </c>
      <c r="I635" s="50">
        <v>1</v>
      </c>
      <c r="J635" s="57">
        <f t="shared" si="84"/>
        <v>3000</v>
      </c>
      <c r="K635" s="58">
        <f t="shared" si="82"/>
        <v>3300.0000000000005</v>
      </c>
      <c r="L635" s="18" t="s">
        <v>25</v>
      </c>
      <c r="M635" s="50"/>
    </row>
    <row r="636" spans="1:13" s="36" customFormat="1" ht="24" hidden="1" customHeight="1" x14ac:dyDescent="0.4">
      <c r="A636" s="62">
        <v>44920</v>
      </c>
      <c r="B636" s="32" t="s">
        <v>991</v>
      </c>
      <c r="C636" s="18" t="s">
        <v>22</v>
      </c>
      <c r="D636" s="63" t="s">
        <v>48</v>
      </c>
      <c r="E636" s="50" t="s">
        <v>369</v>
      </c>
      <c r="F636" s="57">
        <v>3000</v>
      </c>
      <c r="G636" s="76"/>
      <c r="H636" s="57">
        <f t="shared" si="83"/>
        <v>3000</v>
      </c>
      <c r="I636" s="50">
        <v>1</v>
      </c>
      <c r="J636" s="57">
        <f t="shared" si="84"/>
        <v>3000</v>
      </c>
      <c r="K636" s="58">
        <f t="shared" si="82"/>
        <v>3300.0000000000005</v>
      </c>
      <c r="L636" s="18" t="s">
        <v>20</v>
      </c>
      <c r="M636" s="50"/>
    </row>
    <row r="637" spans="1:13" s="36" customFormat="1" ht="24" hidden="1" customHeight="1" x14ac:dyDescent="0.4">
      <c r="A637" s="62">
        <v>44920</v>
      </c>
      <c r="B637" s="32" t="s">
        <v>993</v>
      </c>
      <c r="C637" s="18" t="s">
        <v>992</v>
      </c>
      <c r="D637" s="63" t="s">
        <v>426</v>
      </c>
      <c r="E637" s="50" t="s">
        <v>994</v>
      </c>
      <c r="F637" s="57">
        <v>1700</v>
      </c>
      <c r="G637" s="76">
        <v>-170</v>
      </c>
      <c r="H637" s="57">
        <f t="shared" si="83"/>
        <v>1530</v>
      </c>
      <c r="I637" s="50">
        <v>1</v>
      </c>
      <c r="J637" s="57">
        <f t="shared" si="84"/>
        <v>1530</v>
      </c>
      <c r="K637" s="58">
        <f t="shared" si="82"/>
        <v>1683.0000000000002</v>
      </c>
      <c r="L637" s="18" t="s">
        <v>25</v>
      </c>
      <c r="M637" s="50" t="s">
        <v>995</v>
      </c>
    </row>
    <row r="638" spans="1:13" s="36" customFormat="1" ht="24" hidden="1" customHeight="1" x14ac:dyDescent="0.4">
      <c r="A638" s="62">
        <v>44921</v>
      </c>
      <c r="B638" s="32" t="s">
        <v>996</v>
      </c>
      <c r="C638" s="18" t="s">
        <v>992</v>
      </c>
      <c r="D638" s="63" t="s">
        <v>455</v>
      </c>
      <c r="E638" s="50" t="s">
        <v>997</v>
      </c>
      <c r="F638" s="57">
        <v>980</v>
      </c>
      <c r="G638" s="76">
        <v>-98</v>
      </c>
      <c r="H638" s="57">
        <f t="shared" si="83"/>
        <v>882</v>
      </c>
      <c r="I638" s="50">
        <v>1</v>
      </c>
      <c r="J638" s="57">
        <f t="shared" si="84"/>
        <v>882</v>
      </c>
      <c r="K638" s="58">
        <f t="shared" si="82"/>
        <v>970.2</v>
      </c>
      <c r="L638" s="18" t="s">
        <v>998</v>
      </c>
      <c r="M638" s="50"/>
    </row>
    <row r="639" spans="1:13" s="36" customFormat="1" ht="24" hidden="1" customHeight="1" x14ac:dyDescent="0.4">
      <c r="A639" s="62">
        <v>44921</v>
      </c>
      <c r="B639" s="32" t="s">
        <v>148</v>
      </c>
      <c r="C639" s="18" t="s">
        <v>27</v>
      </c>
      <c r="D639" s="63" t="s">
        <v>28</v>
      </c>
      <c r="E639" s="50" t="s">
        <v>674</v>
      </c>
      <c r="F639" s="57">
        <v>17500</v>
      </c>
      <c r="G639" s="76"/>
      <c r="H639" s="57">
        <f t="shared" si="83"/>
        <v>17500</v>
      </c>
      <c r="I639" s="50">
        <v>1</v>
      </c>
      <c r="J639" s="57">
        <f t="shared" si="84"/>
        <v>17500</v>
      </c>
      <c r="K639" s="58">
        <f t="shared" si="82"/>
        <v>19250</v>
      </c>
      <c r="L639" s="18" t="s">
        <v>998</v>
      </c>
      <c r="M639" s="50"/>
    </row>
    <row r="640" spans="1:13" s="36" customFormat="1" ht="24" hidden="1" customHeight="1" x14ac:dyDescent="0.4">
      <c r="A640" s="62">
        <v>44921</v>
      </c>
      <c r="B640" s="32" t="s">
        <v>148</v>
      </c>
      <c r="C640" s="96" t="s">
        <v>1011</v>
      </c>
      <c r="D640" s="63"/>
      <c r="E640" s="50"/>
      <c r="F640" s="57"/>
      <c r="G640" s="76"/>
      <c r="H640" s="57"/>
      <c r="I640" s="50"/>
      <c r="J640" s="57"/>
      <c r="K640" s="58">
        <v>-1000</v>
      </c>
      <c r="L640" s="18" t="s">
        <v>20</v>
      </c>
      <c r="M640" s="125" t="s">
        <v>1012</v>
      </c>
    </row>
    <row r="641" spans="1:13" s="36" customFormat="1" ht="24" hidden="1" customHeight="1" x14ac:dyDescent="0.4">
      <c r="A641" s="62">
        <v>44923</v>
      </c>
      <c r="B641" s="32" t="s">
        <v>254</v>
      </c>
      <c r="C641" s="18" t="s">
        <v>22</v>
      </c>
      <c r="D641" s="63" t="s">
        <v>23</v>
      </c>
      <c r="E641" s="50" t="s">
        <v>999</v>
      </c>
      <c r="F641" s="57">
        <v>10000</v>
      </c>
      <c r="G641" s="76"/>
      <c r="H641" s="57">
        <f t="shared" si="83"/>
        <v>10000</v>
      </c>
      <c r="I641" s="50">
        <v>1</v>
      </c>
      <c r="J641" s="57">
        <f t="shared" si="84"/>
        <v>10000</v>
      </c>
      <c r="K641" s="58">
        <f t="shared" si="82"/>
        <v>11000</v>
      </c>
      <c r="L641" s="18" t="s">
        <v>25</v>
      </c>
      <c r="M641" s="50"/>
    </row>
    <row r="642" spans="1:13" s="36" customFormat="1" ht="24" hidden="1" customHeight="1" x14ac:dyDescent="0.4">
      <c r="A642" s="62">
        <v>44923</v>
      </c>
      <c r="B642" s="32" t="s">
        <v>1004</v>
      </c>
      <c r="C642" s="18" t="s">
        <v>22</v>
      </c>
      <c r="D642" s="63" t="s">
        <v>48</v>
      </c>
      <c r="E642" s="50" t="s">
        <v>369</v>
      </c>
      <c r="F642" s="57">
        <v>3000</v>
      </c>
      <c r="G642" s="76">
        <v>-3000</v>
      </c>
      <c r="H642" s="57">
        <f t="shared" si="83"/>
        <v>0</v>
      </c>
      <c r="I642" s="50">
        <v>1</v>
      </c>
      <c r="J642" s="57">
        <f t="shared" si="84"/>
        <v>0</v>
      </c>
      <c r="K642" s="58">
        <f t="shared" si="82"/>
        <v>0</v>
      </c>
      <c r="L642" s="18"/>
      <c r="M642" s="50" t="s">
        <v>1005</v>
      </c>
    </row>
    <row r="643" spans="1:13" s="36" customFormat="1" ht="24" hidden="1" customHeight="1" x14ac:dyDescent="0.4">
      <c r="A643" s="62">
        <v>44923</v>
      </c>
      <c r="B643" s="32" t="s">
        <v>254</v>
      </c>
      <c r="C643" s="18" t="s">
        <v>992</v>
      </c>
      <c r="D643" s="63" t="s">
        <v>576</v>
      </c>
      <c r="E643" s="124" t="s">
        <v>1000</v>
      </c>
      <c r="F643" s="57">
        <v>69000</v>
      </c>
      <c r="G643" s="76">
        <v>-13800</v>
      </c>
      <c r="H643" s="57">
        <f t="shared" si="83"/>
        <v>55200</v>
      </c>
      <c r="I643" s="50">
        <v>1</v>
      </c>
      <c r="J643" s="57">
        <f t="shared" si="84"/>
        <v>55200</v>
      </c>
      <c r="K643" s="58">
        <f t="shared" si="82"/>
        <v>60720.000000000007</v>
      </c>
      <c r="L643" s="18" t="s">
        <v>34</v>
      </c>
      <c r="M643" s="50"/>
    </row>
    <row r="644" spans="1:13" s="36" customFormat="1" ht="24" hidden="1" customHeight="1" x14ac:dyDescent="0.4">
      <c r="A644" s="62">
        <v>44923</v>
      </c>
      <c r="B644" s="32" t="s">
        <v>1001</v>
      </c>
      <c r="C644" s="18" t="s">
        <v>992</v>
      </c>
      <c r="D644" s="63" t="s">
        <v>1002</v>
      </c>
      <c r="E644" s="50" t="s">
        <v>1003</v>
      </c>
      <c r="F644" s="57">
        <v>3500</v>
      </c>
      <c r="G644" s="76">
        <v>-700</v>
      </c>
      <c r="H644" s="57">
        <f t="shared" si="83"/>
        <v>2800</v>
      </c>
      <c r="I644" s="50">
        <v>1</v>
      </c>
      <c r="J644" s="57">
        <f t="shared" si="84"/>
        <v>2800</v>
      </c>
      <c r="K644" s="58">
        <f t="shared" si="82"/>
        <v>3080.0000000000005</v>
      </c>
      <c r="L644" s="18" t="s">
        <v>998</v>
      </c>
      <c r="M644" s="50"/>
    </row>
    <row r="645" spans="1:13" s="36" customFormat="1" ht="24" hidden="1" customHeight="1" x14ac:dyDescent="0.4">
      <c r="A645" s="62">
        <v>44924</v>
      </c>
      <c r="B645" s="32" t="s">
        <v>1006</v>
      </c>
      <c r="C645" s="18" t="s">
        <v>22</v>
      </c>
      <c r="D645" s="63" t="s">
        <v>23</v>
      </c>
      <c r="E645" s="50" t="s">
        <v>1007</v>
      </c>
      <c r="F645" s="57">
        <v>15000</v>
      </c>
      <c r="G645" s="76"/>
      <c r="H645" s="57">
        <f t="shared" si="83"/>
        <v>15000</v>
      </c>
      <c r="I645" s="50">
        <v>1</v>
      </c>
      <c r="J645" s="57">
        <f t="shared" si="84"/>
        <v>15000</v>
      </c>
      <c r="K645" s="58">
        <f t="shared" si="82"/>
        <v>16500</v>
      </c>
      <c r="L645" s="18" t="s">
        <v>25</v>
      </c>
      <c r="M645" s="50"/>
    </row>
    <row r="646" spans="1:13" s="36" customFormat="1" ht="24" hidden="1" customHeight="1" x14ac:dyDescent="0.4">
      <c r="A646" s="62">
        <v>44924</v>
      </c>
      <c r="B646" s="32" t="s">
        <v>1006</v>
      </c>
      <c r="C646" s="18" t="s">
        <v>1008</v>
      </c>
      <c r="D646" s="63" t="s">
        <v>1009</v>
      </c>
      <c r="E646" s="50" t="s">
        <v>1010</v>
      </c>
      <c r="F646" s="57">
        <v>50000</v>
      </c>
      <c r="G646" s="76">
        <v>-10000</v>
      </c>
      <c r="H646" s="57">
        <f t="shared" si="83"/>
        <v>40000</v>
      </c>
      <c r="I646" s="50">
        <v>1</v>
      </c>
      <c r="J646" s="57">
        <f t="shared" si="84"/>
        <v>40000</v>
      </c>
      <c r="K646" s="58">
        <f t="shared" si="82"/>
        <v>44000</v>
      </c>
      <c r="L646" s="18" t="s">
        <v>34</v>
      </c>
      <c r="M646" s="50"/>
    </row>
    <row r="647" spans="1:13" s="36" customFormat="1" ht="24" hidden="1" customHeight="1" thickBot="1" x14ac:dyDescent="0.45">
      <c r="A647" s="150">
        <v>44924</v>
      </c>
      <c r="B647" s="107" t="s">
        <v>1006</v>
      </c>
      <c r="C647" s="108" t="s">
        <v>1008</v>
      </c>
      <c r="D647" s="109" t="s">
        <v>330</v>
      </c>
      <c r="E647" s="117" t="s">
        <v>557</v>
      </c>
      <c r="F647" s="118">
        <v>4000</v>
      </c>
      <c r="G647" s="119"/>
      <c r="H647" s="111">
        <f t="shared" si="83"/>
        <v>4000</v>
      </c>
      <c r="I647" s="110">
        <v>1</v>
      </c>
      <c r="J647" s="111">
        <f t="shared" si="84"/>
        <v>4000</v>
      </c>
      <c r="K647" s="113">
        <f t="shared" si="82"/>
        <v>4400</v>
      </c>
      <c r="L647" s="108" t="s">
        <v>34</v>
      </c>
      <c r="M647" s="110"/>
    </row>
    <row r="648" spans="1:13" s="36" customFormat="1" ht="24" hidden="1" customHeight="1" x14ac:dyDescent="0.4">
      <c r="A648" s="59">
        <v>44930</v>
      </c>
      <c r="B648" s="82" t="s">
        <v>1013</v>
      </c>
      <c r="C648" s="60" t="s">
        <v>22</v>
      </c>
      <c r="D648" s="61" t="s">
        <v>48</v>
      </c>
      <c r="E648" s="126" t="s">
        <v>369</v>
      </c>
      <c r="F648" s="127">
        <v>3000</v>
      </c>
      <c r="G648" s="128"/>
      <c r="H648" s="99">
        <f t="shared" si="83"/>
        <v>3000</v>
      </c>
      <c r="I648" s="56">
        <v>1</v>
      </c>
      <c r="J648" s="99">
        <f t="shared" si="84"/>
        <v>3000</v>
      </c>
      <c r="K648" s="100">
        <f t="shared" si="82"/>
        <v>3300.0000000000005</v>
      </c>
      <c r="L648" s="60" t="s">
        <v>25</v>
      </c>
      <c r="M648" s="56"/>
    </row>
    <row r="649" spans="1:13" s="36" customFormat="1" ht="24" hidden="1" customHeight="1" x14ac:dyDescent="0.4">
      <c r="A649" s="59">
        <v>44930</v>
      </c>
      <c r="B649" s="32" t="s">
        <v>1014</v>
      </c>
      <c r="C649" s="18" t="s">
        <v>1015</v>
      </c>
      <c r="D649" s="63" t="s">
        <v>426</v>
      </c>
      <c r="E649" s="50" t="s">
        <v>1016</v>
      </c>
      <c r="F649" s="57">
        <v>1650</v>
      </c>
      <c r="G649" s="76">
        <v>-165</v>
      </c>
      <c r="H649" s="57">
        <f t="shared" si="83"/>
        <v>1485</v>
      </c>
      <c r="I649" s="50">
        <v>1</v>
      </c>
      <c r="J649" s="57">
        <f t="shared" si="84"/>
        <v>1485</v>
      </c>
      <c r="K649" s="58">
        <f t="shared" si="82"/>
        <v>1633.5000000000002</v>
      </c>
      <c r="L649" s="18" t="s">
        <v>1017</v>
      </c>
      <c r="M649" s="50"/>
    </row>
    <row r="650" spans="1:13" s="36" customFormat="1" ht="24" hidden="1" customHeight="1" x14ac:dyDescent="0.4">
      <c r="A650" s="59">
        <v>44930</v>
      </c>
      <c r="B650" s="32" t="s">
        <v>1018</v>
      </c>
      <c r="C650" s="18" t="s">
        <v>22</v>
      </c>
      <c r="D650" s="63" t="s">
        <v>48</v>
      </c>
      <c r="E650" s="50" t="s">
        <v>369</v>
      </c>
      <c r="F650" s="57">
        <v>3000</v>
      </c>
      <c r="G650" s="76">
        <v>-500</v>
      </c>
      <c r="H650" s="57">
        <f t="shared" si="83"/>
        <v>2500</v>
      </c>
      <c r="I650" s="50">
        <v>1</v>
      </c>
      <c r="J650" s="57">
        <f t="shared" si="84"/>
        <v>2500</v>
      </c>
      <c r="K650" s="58">
        <f t="shared" si="82"/>
        <v>2750</v>
      </c>
      <c r="L650" s="18" t="s">
        <v>1017</v>
      </c>
      <c r="M650" s="50" t="s">
        <v>1019</v>
      </c>
    </row>
    <row r="651" spans="1:13" s="36" customFormat="1" ht="24" hidden="1" customHeight="1" x14ac:dyDescent="0.4">
      <c r="A651" s="59">
        <v>44930</v>
      </c>
      <c r="B651" s="32" t="s">
        <v>1021</v>
      </c>
      <c r="C651" s="18" t="s">
        <v>27</v>
      </c>
      <c r="D651" s="63" t="s">
        <v>28</v>
      </c>
      <c r="E651" s="50" t="s">
        <v>318</v>
      </c>
      <c r="F651" s="57">
        <v>15000</v>
      </c>
      <c r="G651" s="76"/>
      <c r="H651" s="57">
        <f t="shared" si="83"/>
        <v>15000</v>
      </c>
      <c r="I651" s="50">
        <v>1</v>
      </c>
      <c r="J651" s="57">
        <f t="shared" si="84"/>
        <v>15000</v>
      </c>
      <c r="K651" s="58">
        <f t="shared" si="82"/>
        <v>16500</v>
      </c>
      <c r="L651" s="18" t="s">
        <v>25</v>
      </c>
      <c r="M651" s="50"/>
    </row>
    <row r="652" spans="1:13" s="36" customFormat="1" ht="24" hidden="1" customHeight="1" x14ac:dyDescent="0.4">
      <c r="A652" s="59">
        <v>44930</v>
      </c>
      <c r="B652" s="32" t="s">
        <v>1021</v>
      </c>
      <c r="C652" s="18" t="s">
        <v>27</v>
      </c>
      <c r="D652" s="63" t="s">
        <v>28</v>
      </c>
      <c r="E652" s="50" t="s">
        <v>920</v>
      </c>
      <c r="F652" s="57">
        <v>13120</v>
      </c>
      <c r="G652" s="76"/>
      <c r="H652" s="57">
        <f t="shared" si="83"/>
        <v>13120</v>
      </c>
      <c r="I652" s="50">
        <v>1</v>
      </c>
      <c r="J652" s="57">
        <f t="shared" si="84"/>
        <v>13120</v>
      </c>
      <c r="K652" s="58">
        <f t="shared" si="82"/>
        <v>14432.000000000002</v>
      </c>
      <c r="L652" s="18" t="s">
        <v>25</v>
      </c>
      <c r="M652" s="50"/>
    </row>
    <row r="653" spans="1:13" s="36" customFormat="1" ht="24" hidden="1" customHeight="1" x14ac:dyDescent="0.4">
      <c r="A653" s="59">
        <v>44930</v>
      </c>
      <c r="B653" s="32" t="s">
        <v>1020</v>
      </c>
      <c r="C653" s="18" t="s">
        <v>22</v>
      </c>
      <c r="D653" s="63" t="s">
        <v>48</v>
      </c>
      <c r="E653" s="50" t="s">
        <v>369</v>
      </c>
      <c r="F653" s="57">
        <v>3000</v>
      </c>
      <c r="G653" s="76">
        <v>-500</v>
      </c>
      <c r="H653" s="57">
        <f t="shared" si="83"/>
        <v>2500</v>
      </c>
      <c r="I653" s="50">
        <v>1</v>
      </c>
      <c r="J653" s="57">
        <f t="shared" si="84"/>
        <v>2500</v>
      </c>
      <c r="K653" s="58">
        <f t="shared" si="82"/>
        <v>2750</v>
      </c>
      <c r="L653" s="18" t="s">
        <v>25</v>
      </c>
      <c r="M653" s="50"/>
    </row>
    <row r="654" spans="1:13" s="36" customFormat="1" ht="24" hidden="1" customHeight="1" x14ac:dyDescent="0.4">
      <c r="A654" s="59">
        <v>44930</v>
      </c>
      <c r="B654" s="32" t="s">
        <v>1020</v>
      </c>
      <c r="C654" s="18" t="s">
        <v>27</v>
      </c>
      <c r="D654" s="63" t="s">
        <v>28</v>
      </c>
      <c r="E654" s="50" t="s">
        <v>920</v>
      </c>
      <c r="F654" s="57">
        <v>13120</v>
      </c>
      <c r="G654" s="76"/>
      <c r="H654" s="57">
        <f t="shared" si="83"/>
        <v>13120</v>
      </c>
      <c r="I654" s="50">
        <v>1</v>
      </c>
      <c r="J654" s="57">
        <f t="shared" si="84"/>
        <v>13120</v>
      </c>
      <c r="K654" s="58">
        <f t="shared" si="82"/>
        <v>14432.000000000002</v>
      </c>
      <c r="L654" s="18" t="s">
        <v>25</v>
      </c>
      <c r="M654" s="50"/>
    </row>
    <row r="655" spans="1:13" s="36" customFormat="1" ht="24" hidden="1" customHeight="1" x14ac:dyDescent="0.4">
      <c r="A655" s="59">
        <v>44930</v>
      </c>
      <c r="B655" s="32" t="s">
        <v>1018</v>
      </c>
      <c r="C655" s="18" t="s">
        <v>27</v>
      </c>
      <c r="D655" s="63" t="s">
        <v>28</v>
      </c>
      <c r="E655" s="50" t="s">
        <v>920</v>
      </c>
      <c r="F655" s="57">
        <v>13120</v>
      </c>
      <c r="G655" s="76"/>
      <c r="H655" s="57">
        <f t="shared" si="83"/>
        <v>13120</v>
      </c>
      <c r="I655" s="50">
        <v>1</v>
      </c>
      <c r="J655" s="57">
        <f t="shared" si="84"/>
        <v>13120</v>
      </c>
      <c r="K655" s="58">
        <f t="shared" si="82"/>
        <v>14432.000000000002</v>
      </c>
      <c r="L655" s="18" t="s">
        <v>25</v>
      </c>
      <c r="M655" s="50"/>
    </row>
    <row r="656" spans="1:13" s="36" customFormat="1" ht="24" hidden="1" customHeight="1" x14ac:dyDescent="0.4">
      <c r="A656" s="59">
        <v>44930</v>
      </c>
      <c r="B656" s="32" t="s">
        <v>171</v>
      </c>
      <c r="C656" s="18" t="s">
        <v>1015</v>
      </c>
      <c r="D656" s="63" t="s">
        <v>292</v>
      </c>
      <c r="E656" s="50" t="s">
        <v>830</v>
      </c>
      <c r="F656" s="57">
        <v>4200</v>
      </c>
      <c r="G656" s="76">
        <v>-420</v>
      </c>
      <c r="H656" s="57">
        <f t="shared" si="83"/>
        <v>3780</v>
      </c>
      <c r="I656" s="50">
        <v>1</v>
      </c>
      <c r="J656" s="57">
        <f t="shared" si="84"/>
        <v>3780</v>
      </c>
      <c r="K656" s="58">
        <f t="shared" si="82"/>
        <v>4158</v>
      </c>
      <c r="L656" s="18" t="s">
        <v>34</v>
      </c>
      <c r="M656" s="50"/>
    </row>
    <row r="657" spans="1:13" s="36" customFormat="1" ht="24" hidden="1" customHeight="1" x14ac:dyDescent="0.4">
      <c r="A657" s="59">
        <v>44931</v>
      </c>
      <c r="B657" s="32" t="s">
        <v>1022</v>
      </c>
      <c r="C657" s="18" t="s">
        <v>22</v>
      </c>
      <c r="D657" s="63" t="s">
        <v>48</v>
      </c>
      <c r="E657" s="50" t="s">
        <v>369</v>
      </c>
      <c r="F657" s="57">
        <v>3000</v>
      </c>
      <c r="G657" s="76"/>
      <c r="H657" s="57">
        <f t="shared" si="83"/>
        <v>3000</v>
      </c>
      <c r="I657" s="50">
        <v>1</v>
      </c>
      <c r="J657" s="57">
        <f t="shared" si="84"/>
        <v>3000</v>
      </c>
      <c r="K657" s="58">
        <f t="shared" si="82"/>
        <v>3300.0000000000005</v>
      </c>
      <c r="L657" s="18" t="s">
        <v>25</v>
      </c>
      <c r="M657" s="50"/>
    </row>
    <row r="658" spans="1:13" s="36" customFormat="1" ht="24" hidden="1" customHeight="1" x14ac:dyDescent="0.4">
      <c r="A658" s="59">
        <v>44931</v>
      </c>
      <c r="B658" s="32" t="s">
        <v>1023</v>
      </c>
      <c r="C658" s="18" t="s">
        <v>22</v>
      </c>
      <c r="D658" s="63" t="s">
        <v>48</v>
      </c>
      <c r="E658" s="50" t="s">
        <v>369</v>
      </c>
      <c r="F658" s="57">
        <v>3000</v>
      </c>
      <c r="G658" s="76"/>
      <c r="H658" s="57">
        <f t="shared" si="83"/>
        <v>3000</v>
      </c>
      <c r="I658" s="50">
        <v>1</v>
      </c>
      <c r="J658" s="57">
        <f t="shared" si="84"/>
        <v>3000</v>
      </c>
      <c r="K658" s="58">
        <f t="shared" si="82"/>
        <v>3300.0000000000005</v>
      </c>
      <c r="L658" s="18" t="s">
        <v>25</v>
      </c>
      <c r="M658" s="50" t="s">
        <v>1024</v>
      </c>
    </row>
    <row r="659" spans="1:13" s="36" customFormat="1" ht="24" hidden="1" customHeight="1" x14ac:dyDescent="0.4">
      <c r="A659" s="59">
        <v>44931</v>
      </c>
      <c r="B659" s="32" t="s">
        <v>1022</v>
      </c>
      <c r="C659" s="18" t="s">
        <v>27</v>
      </c>
      <c r="D659" s="63" t="s">
        <v>28</v>
      </c>
      <c r="E659" s="50" t="s">
        <v>318</v>
      </c>
      <c r="F659" s="57">
        <v>15000</v>
      </c>
      <c r="G659" s="76"/>
      <c r="H659" s="57">
        <f t="shared" si="83"/>
        <v>15000</v>
      </c>
      <c r="I659" s="50">
        <v>1</v>
      </c>
      <c r="J659" s="57">
        <f t="shared" si="84"/>
        <v>15000</v>
      </c>
      <c r="K659" s="58">
        <f t="shared" si="82"/>
        <v>16500</v>
      </c>
      <c r="L659" s="18" t="s">
        <v>25</v>
      </c>
      <c r="M659" s="50"/>
    </row>
    <row r="660" spans="1:13" s="36" customFormat="1" ht="24" hidden="1" customHeight="1" x14ac:dyDescent="0.4">
      <c r="A660" s="59">
        <v>44931</v>
      </c>
      <c r="B660" s="32" t="s">
        <v>1022</v>
      </c>
      <c r="C660" s="18" t="s">
        <v>27</v>
      </c>
      <c r="D660" s="63" t="s">
        <v>28</v>
      </c>
      <c r="E660" s="50" t="s">
        <v>920</v>
      </c>
      <c r="F660" s="57">
        <v>13120</v>
      </c>
      <c r="G660" s="76"/>
      <c r="H660" s="57">
        <f t="shared" si="83"/>
        <v>13120</v>
      </c>
      <c r="I660" s="50">
        <v>1</v>
      </c>
      <c r="J660" s="57">
        <f t="shared" si="84"/>
        <v>13120</v>
      </c>
      <c r="K660" s="58">
        <f t="shared" si="82"/>
        <v>14432.000000000002</v>
      </c>
      <c r="L660" s="18" t="s">
        <v>25</v>
      </c>
      <c r="M660" s="50"/>
    </row>
    <row r="661" spans="1:13" s="36" customFormat="1" ht="24" hidden="1" customHeight="1" x14ac:dyDescent="0.4">
      <c r="A661" s="59">
        <v>44932</v>
      </c>
      <c r="B661" s="32" t="s">
        <v>539</v>
      </c>
      <c r="C661" s="18" t="s">
        <v>1015</v>
      </c>
      <c r="D661" s="63" t="s">
        <v>1025</v>
      </c>
      <c r="E661" s="50" t="s">
        <v>538</v>
      </c>
      <c r="F661" s="57">
        <v>5000</v>
      </c>
      <c r="G661" s="76">
        <v>-500</v>
      </c>
      <c r="H661" s="57">
        <f t="shared" si="83"/>
        <v>4500</v>
      </c>
      <c r="I661" s="50">
        <v>1</v>
      </c>
      <c r="J661" s="57">
        <f t="shared" si="84"/>
        <v>4500</v>
      </c>
      <c r="K661" s="58">
        <f t="shared" si="82"/>
        <v>4950</v>
      </c>
      <c r="L661" s="18" t="s">
        <v>25</v>
      </c>
      <c r="M661" s="50"/>
    </row>
    <row r="662" spans="1:13" s="36" customFormat="1" ht="24" hidden="1" customHeight="1" x14ac:dyDescent="0.4">
      <c r="A662" s="59">
        <v>44933</v>
      </c>
      <c r="B662" s="32" t="s">
        <v>1026</v>
      </c>
      <c r="C662" s="18" t="s">
        <v>22</v>
      </c>
      <c r="D662" s="63" t="s">
        <v>23</v>
      </c>
      <c r="E662" s="50" t="s">
        <v>1007</v>
      </c>
      <c r="F662" s="57">
        <v>15000</v>
      </c>
      <c r="G662" s="76"/>
      <c r="H662" s="57">
        <f t="shared" si="83"/>
        <v>15000</v>
      </c>
      <c r="I662" s="50">
        <v>1</v>
      </c>
      <c r="J662" s="57">
        <f t="shared" si="84"/>
        <v>15000</v>
      </c>
      <c r="K662" s="58">
        <f t="shared" si="82"/>
        <v>16500</v>
      </c>
      <c r="L662" s="18" t="s">
        <v>25</v>
      </c>
      <c r="M662" s="50"/>
    </row>
    <row r="663" spans="1:13" s="36" customFormat="1" ht="24" hidden="1" customHeight="1" x14ac:dyDescent="0.4">
      <c r="A663" s="59">
        <v>44933</v>
      </c>
      <c r="B663" s="32" t="s">
        <v>816</v>
      </c>
      <c r="C663" s="18" t="s">
        <v>22</v>
      </c>
      <c r="D663" s="63" t="s">
        <v>48</v>
      </c>
      <c r="E663" s="50" t="s">
        <v>832</v>
      </c>
      <c r="F663" s="57">
        <v>3000</v>
      </c>
      <c r="G663" s="76"/>
      <c r="H663" s="57">
        <f t="shared" si="83"/>
        <v>3000</v>
      </c>
      <c r="I663" s="50">
        <v>1</v>
      </c>
      <c r="J663" s="57">
        <f t="shared" si="84"/>
        <v>3000</v>
      </c>
      <c r="K663" s="58">
        <f t="shared" si="82"/>
        <v>3300.0000000000005</v>
      </c>
      <c r="L663" s="18" t="s">
        <v>25</v>
      </c>
      <c r="M663" s="50"/>
    </row>
    <row r="664" spans="1:13" s="36" customFormat="1" ht="24" hidden="1" customHeight="1" x14ac:dyDescent="0.4">
      <c r="A664" s="59">
        <v>44934</v>
      </c>
      <c r="B664" s="32" t="s">
        <v>1023</v>
      </c>
      <c r="C664" s="18" t="s">
        <v>22</v>
      </c>
      <c r="D664" s="63" t="s">
        <v>48</v>
      </c>
      <c r="E664" s="50" t="s">
        <v>1028</v>
      </c>
      <c r="F664" s="57">
        <v>3000</v>
      </c>
      <c r="G664" s="76"/>
      <c r="H664" s="57">
        <f t="shared" si="83"/>
        <v>3000</v>
      </c>
      <c r="I664" s="50">
        <v>1</v>
      </c>
      <c r="J664" s="57">
        <f t="shared" si="84"/>
        <v>3000</v>
      </c>
      <c r="K664" s="58">
        <f t="shared" si="82"/>
        <v>3300.0000000000005</v>
      </c>
      <c r="L664" s="18" t="s">
        <v>25</v>
      </c>
      <c r="M664" s="50"/>
    </row>
    <row r="665" spans="1:13" s="36" customFormat="1" ht="24" hidden="1" customHeight="1" x14ac:dyDescent="0.4">
      <c r="A665" s="59">
        <v>44934</v>
      </c>
      <c r="B665" s="32" t="s">
        <v>1029</v>
      </c>
      <c r="C665" s="18" t="s">
        <v>22</v>
      </c>
      <c r="D665" s="63" t="s">
        <v>23</v>
      </c>
      <c r="E665" s="50" t="s">
        <v>862</v>
      </c>
      <c r="F665" s="57">
        <v>20000</v>
      </c>
      <c r="G665" s="76">
        <v>-10000</v>
      </c>
      <c r="H665" s="57">
        <f t="shared" si="83"/>
        <v>10000</v>
      </c>
      <c r="I665" s="50">
        <v>1</v>
      </c>
      <c r="J665" s="57">
        <f t="shared" si="84"/>
        <v>10000</v>
      </c>
      <c r="K665" s="58">
        <f t="shared" si="82"/>
        <v>11000</v>
      </c>
      <c r="L665" s="18" t="s">
        <v>25</v>
      </c>
      <c r="M665" s="50" t="s">
        <v>1019</v>
      </c>
    </row>
    <row r="666" spans="1:13" s="36" customFormat="1" ht="24" hidden="1" customHeight="1" x14ac:dyDescent="0.4">
      <c r="A666" s="59">
        <v>44934</v>
      </c>
      <c r="B666" s="32" t="s">
        <v>1030</v>
      </c>
      <c r="C666" s="18" t="s">
        <v>22</v>
      </c>
      <c r="D666" s="63" t="s">
        <v>23</v>
      </c>
      <c r="E666" s="50" t="s">
        <v>1112</v>
      </c>
      <c r="F666" s="57">
        <v>15000</v>
      </c>
      <c r="G666" s="76"/>
      <c r="H666" s="57">
        <f t="shared" si="83"/>
        <v>15000</v>
      </c>
      <c r="I666" s="50">
        <v>1</v>
      </c>
      <c r="J666" s="57">
        <f t="shared" si="84"/>
        <v>15000</v>
      </c>
      <c r="K666" s="58">
        <f t="shared" si="82"/>
        <v>16500</v>
      </c>
      <c r="L666" s="18" t="s">
        <v>25</v>
      </c>
      <c r="M666" s="50"/>
    </row>
    <row r="667" spans="1:13" s="36" customFormat="1" ht="24" hidden="1" customHeight="1" x14ac:dyDescent="0.4">
      <c r="A667" s="59">
        <v>44935</v>
      </c>
      <c r="B667" s="32" t="s">
        <v>1031</v>
      </c>
      <c r="C667" s="18" t="s">
        <v>22</v>
      </c>
      <c r="D667" s="63" t="s">
        <v>48</v>
      </c>
      <c r="E667" s="50" t="s">
        <v>369</v>
      </c>
      <c r="F667" s="57">
        <v>3000</v>
      </c>
      <c r="G667" s="76"/>
      <c r="H667" s="57">
        <f t="shared" si="83"/>
        <v>3000</v>
      </c>
      <c r="I667" s="50">
        <v>1</v>
      </c>
      <c r="J667" s="57">
        <f t="shared" si="84"/>
        <v>3000</v>
      </c>
      <c r="K667" s="58">
        <f t="shared" si="82"/>
        <v>3300.0000000000005</v>
      </c>
      <c r="L667" s="18" t="s">
        <v>1017</v>
      </c>
      <c r="M667" s="50"/>
    </row>
    <row r="668" spans="1:13" s="36" customFormat="1" ht="24" hidden="1" customHeight="1" x14ac:dyDescent="0.4">
      <c r="A668" s="59">
        <v>44935</v>
      </c>
      <c r="B668" s="32" t="s">
        <v>1032</v>
      </c>
      <c r="C668" s="18" t="s">
        <v>22</v>
      </c>
      <c r="D668" s="63" t="s">
        <v>48</v>
      </c>
      <c r="E668" s="50" t="s">
        <v>369</v>
      </c>
      <c r="F668" s="57">
        <v>3000</v>
      </c>
      <c r="G668" s="76"/>
      <c r="H668" s="57">
        <f t="shared" si="83"/>
        <v>3000</v>
      </c>
      <c r="I668" s="50">
        <v>1</v>
      </c>
      <c r="J668" s="57">
        <f t="shared" si="84"/>
        <v>3000</v>
      </c>
      <c r="K668" s="58">
        <f t="shared" si="82"/>
        <v>3300.0000000000005</v>
      </c>
      <c r="L668" s="18" t="s">
        <v>1017</v>
      </c>
      <c r="M668" s="50"/>
    </row>
    <row r="669" spans="1:13" s="36" customFormat="1" ht="24" hidden="1" customHeight="1" x14ac:dyDescent="0.4">
      <c r="A669" s="59">
        <v>44935</v>
      </c>
      <c r="B669" s="32" t="s">
        <v>1026</v>
      </c>
      <c r="C669" s="18" t="s">
        <v>1015</v>
      </c>
      <c r="D669" s="63" t="s">
        <v>1033</v>
      </c>
      <c r="E669" s="50" t="s">
        <v>1034</v>
      </c>
      <c r="F669" s="57">
        <v>40000</v>
      </c>
      <c r="G669" s="76">
        <v>-8000</v>
      </c>
      <c r="H669" s="57">
        <f t="shared" si="83"/>
        <v>32000</v>
      </c>
      <c r="I669" s="50">
        <v>1</v>
      </c>
      <c r="J669" s="57">
        <f t="shared" si="84"/>
        <v>32000</v>
      </c>
      <c r="K669" s="58">
        <f t="shared" si="82"/>
        <v>35200</v>
      </c>
      <c r="L669" s="18" t="s">
        <v>34</v>
      </c>
      <c r="M669" s="50"/>
    </row>
    <row r="670" spans="1:13" s="36" customFormat="1" ht="24" hidden="1" customHeight="1" x14ac:dyDescent="0.4">
      <c r="A670" s="59">
        <v>44935</v>
      </c>
      <c r="B670" s="32" t="s">
        <v>1026</v>
      </c>
      <c r="C670" s="18" t="s">
        <v>1015</v>
      </c>
      <c r="D670" s="63" t="s">
        <v>330</v>
      </c>
      <c r="E670" s="50" t="s">
        <v>557</v>
      </c>
      <c r="F670" s="57">
        <v>4000</v>
      </c>
      <c r="G670" s="76"/>
      <c r="H670" s="57">
        <f t="shared" si="83"/>
        <v>4000</v>
      </c>
      <c r="I670" s="50">
        <v>1</v>
      </c>
      <c r="J670" s="57">
        <f t="shared" si="84"/>
        <v>4000</v>
      </c>
      <c r="K670" s="58">
        <f t="shared" si="82"/>
        <v>4400</v>
      </c>
      <c r="L670" s="18" t="s">
        <v>34</v>
      </c>
      <c r="M670" s="50"/>
    </row>
    <row r="671" spans="1:13" s="36" customFormat="1" ht="24" hidden="1" customHeight="1" x14ac:dyDescent="0.4">
      <c r="A671" s="59">
        <v>44935</v>
      </c>
      <c r="B671" s="32" t="s">
        <v>1026</v>
      </c>
      <c r="C671" s="18" t="s">
        <v>1015</v>
      </c>
      <c r="D671" s="63" t="s">
        <v>1035</v>
      </c>
      <c r="E671" s="50" t="s">
        <v>1036</v>
      </c>
      <c r="F671" s="57">
        <v>1050</v>
      </c>
      <c r="G671" s="76"/>
      <c r="H671" s="57">
        <v>1050</v>
      </c>
      <c r="I671" s="50">
        <v>1</v>
      </c>
      <c r="J671" s="57">
        <f t="shared" si="84"/>
        <v>1050</v>
      </c>
      <c r="K671" s="58">
        <f t="shared" si="82"/>
        <v>1155</v>
      </c>
      <c r="L671" s="18" t="s">
        <v>34</v>
      </c>
      <c r="M671" s="50"/>
    </row>
    <row r="672" spans="1:13" s="36" customFormat="1" ht="24" hidden="1" customHeight="1" x14ac:dyDescent="0.4">
      <c r="A672" s="59">
        <v>44935</v>
      </c>
      <c r="B672" s="32" t="s">
        <v>1037</v>
      </c>
      <c r="C672" s="18" t="s">
        <v>27</v>
      </c>
      <c r="D672" s="63" t="s">
        <v>103</v>
      </c>
      <c r="E672" s="50" t="s">
        <v>104</v>
      </c>
      <c r="F672" s="57">
        <v>2500</v>
      </c>
      <c r="G672" s="76"/>
      <c r="H672" s="57">
        <f t="shared" si="83"/>
        <v>2500</v>
      </c>
      <c r="I672" s="50">
        <v>1</v>
      </c>
      <c r="J672" s="57">
        <f t="shared" si="84"/>
        <v>2500</v>
      </c>
      <c r="K672" s="58">
        <f t="shared" ref="K672:K735" si="85">J672*1.1</f>
        <v>2750</v>
      </c>
      <c r="L672" s="18" t="s">
        <v>1017</v>
      </c>
      <c r="M672" s="50"/>
    </row>
    <row r="673" spans="1:13" s="36" customFormat="1" ht="24" hidden="1" customHeight="1" x14ac:dyDescent="0.4">
      <c r="A673" s="59">
        <v>44935</v>
      </c>
      <c r="B673" s="32" t="s">
        <v>1038</v>
      </c>
      <c r="C673" s="18" t="s">
        <v>27</v>
      </c>
      <c r="D673" s="63" t="s">
        <v>28</v>
      </c>
      <c r="E673" s="50" t="s">
        <v>73</v>
      </c>
      <c r="F673" s="57">
        <v>2000</v>
      </c>
      <c r="G673" s="76"/>
      <c r="H673" s="57">
        <f t="shared" si="83"/>
        <v>2000</v>
      </c>
      <c r="I673" s="50">
        <v>1</v>
      </c>
      <c r="J673" s="57">
        <f t="shared" si="84"/>
        <v>2000</v>
      </c>
      <c r="K673" s="58">
        <f t="shared" si="85"/>
        <v>2200</v>
      </c>
      <c r="L673" s="18" t="s">
        <v>1017</v>
      </c>
      <c r="M673" s="50"/>
    </row>
    <row r="674" spans="1:13" s="36" customFormat="1" ht="24" hidden="1" customHeight="1" x14ac:dyDescent="0.4">
      <c r="A674" s="59">
        <v>44937</v>
      </c>
      <c r="B674" s="32" t="s">
        <v>1039</v>
      </c>
      <c r="C674" s="18" t="s">
        <v>1015</v>
      </c>
      <c r="D674" s="63" t="s">
        <v>1035</v>
      </c>
      <c r="E674" s="50" t="s">
        <v>701</v>
      </c>
      <c r="F674" s="57">
        <v>3000</v>
      </c>
      <c r="G674" s="76">
        <v>-300</v>
      </c>
      <c r="H674" s="57">
        <f t="shared" si="83"/>
        <v>2700</v>
      </c>
      <c r="I674" s="50">
        <v>1</v>
      </c>
      <c r="J674" s="57">
        <f t="shared" si="84"/>
        <v>2700</v>
      </c>
      <c r="K674" s="58">
        <f t="shared" si="85"/>
        <v>2970.0000000000005</v>
      </c>
      <c r="L674" s="18" t="s">
        <v>1017</v>
      </c>
      <c r="M674" s="50"/>
    </row>
    <row r="675" spans="1:13" s="36" customFormat="1" ht="24" hidden="1" customHeight="1" x14ac:dyDescent="0.4">
      <c r="A675" s="59">
        <v>44937</v>
      </c>
      <c r="B675" s="32" t="s">
        <v>1040</v>
      </c>
      <c r="C675" s="18" t="s">
        <v>1015</v>
      </c>
      <c r="D675" s="63" t="s">
        <v>1035</v>
      </c>
      <c r="E675" s="50" t="s">
        <v>1041</v>
      </c>
      <c r="F675" s="57">
        <v>980</v>
      </c>
      <c r="G675" s="76">
        <v>-98</v>
      </c>
      <c r="H675" s="57">
        <f t="shared" si="83"/>
        <v>882</v>
      </c>
      <c r="I675" s="50">
        <v>1</v>
      </c>
      <c r="J675" s="57">
        <f t="shared" si="84"/>
        <v>882</v>
      </c>
      <c r="K675" s="58">
        <f t="shared" si="85"/>
        <v>970.2</v>
      </c>
      <c r="L675" s="18" t="s">
        <v>1017</v>
      </c>
      <c r="M675" s="50"/>
    </row>
    <row r="676" spans="1:13" s="36" customFormat="1" ht="24" hidden="1" customHeight="1" x14ac:dyDescent="0.4">
      <c r="A676" s="59">
        <v>44937</v>
      </c>
      <c r="B676" s="32" t="s">
        <v>1040</v>
      </c>
      <c r="C676" s="18" t="s">
        <v>1015</v>
      </c>
      <c r="D676" s="63" t="s">
        <v>1035</v>
      </c>
      <c r="E676" s="50" t="s">
        <v>1042</v>
      </c>
      <c r="F676" s="57">
        <v>980</v>
      </c>
      <c r="G676" s="76">
        <v>-98</v>
      </c>
      <c r="H676" s="57">
        <f t="shared" si="83"/>
        <v>882</v>
      </c>
      <c r="I676" s="50">
        <v>1</v>
      </c>
      <c r="J676" s="57">
        <f t="shared" si="84"/>
        <v>882</v>
      </c>
      <c r="K676" s="58">
        <f t="shared" si="85"/>
        <v>970.2</v>
      </c>
      <c r="L676" s="18" t="s">
        <v>1017</v>
      </c>
      <c r="M676" s="50"/>
    </row>
    <row r="677" spans="1:13" s="36" customFormat="1" ht="24" hidden="1" customHeight="1" x14ac:dyDescent="0.4">
      <c r="A677" s="59">
        <v>44937</v>
      </c>
      <c r="B677" s="32" t="s">
        <v>1040</v>
      </c>
      <c r="C677" s="18" t="s">
        <v>1015</v>
      </c>
      <c r="D677" s="63" t="s">
        <v>1035</v>
      </c>
      <c r="E677" s="50" t="s">
        <v>1043</v>
      </c>
      <c r="F677" s="57">
        <v>980</v>
      </c>
      <c r="G677" s="76">
        <v>-98</v>
      </c>
      <c r="H677" s="57">
        <f t="shared" si="83"/>
        <v>882</v>
      </c>
      <c r="I677" s="50">
        <v>1</v>
      </c>
      <c r="J677" s="57">
        <f t="shared" si="84"/>
        <v>882</v>
      </c>
      <c r="K677" s="58">
        <f t="shared" si="85"/>
        <v>970.2</v>
      </c>
      <c r="L677" s="18" t="s">
        <v>1017</v>
      </c>
      <c r="M677" s="50"/>
    </row>
    <row r="678" spans="1:13" s="36" customFormat="1" ht="24" hidden="1" customHeight="1" x14ac:dyDescent="0.4">
      <c r="A678" s="59">
        <v>44938</v>
      </c>
      <c r="B678" s="32" t="s">
        <v>1044</v>
      </c>
      <c r="C678" s="18" t="s">
        <v>22</v>
      </c>
      <c r="D678" s="63" t="s">
        <v>23</v>
      </c>
      <c r="E678" s="50" t="s">
        <v>1027</v>
      </c>
      <c r="F678" s="57">
        <v>15000</v>
      </c>
      <c r="G678" s="76"/>
      <c r="H678" s="57">
        <f t="shared" si="83"/>
        <v>15000</v>
      </c>
      <c r="I678" s="50">
        <v>1</v>
      </c>
      <c r="J678" s="57">
        <f t="shared" si="84"/>
        <v>15000</v>
      </c>
      <c r="K678" s="58">
        <f t="shared" si="85"/>
        <v>16500</v>
      </c>
      <c r="L678" s="18" t="s">
        <v>1017</v>
      </c>
      <c r="M678" s="50"/>
    </row>
    <row r="679" spans="1:13" s="36" customFormat="1" ht="24" hidden="1" customHeight="1" x14ac:dyDescent="0.4">
      <c r="A679" s="59">
        <v>44938</v>
      </c>
      <c r="B679" s="32" t="s">
        <v>180</v>
      </c>
      <c r="C679" s="18" t="s">
        <v>1015</v>
      </c>
      <c r="D679" s="63" t="s">
        <v>283</v>
      </c>
      <c r="E679" s="50" t="s">
        <v>1045</v>
      </c>
      <c r="F679" s="57">
        <v>15000</v>
      </c>
      <c r="G679" s="76">
        <v>-1500</v>
      </c>
      <c r="H679" s="57">
        <f t="shared" si="83"/>
        <v>13500</v>
      </c>
      <c r="I679" s="50">
        <v>1</v>
      </c>
      <c r="J679" s="57">
        <f t="shared" si="84"/>
        <v>13500</v>
      </c>
      <c r="K679" s="58">
        <f t="shared" si="85"/>
        <v>14850.000000000002</v>
      </c>
      <c r="L679" s="18" t="s">
        <v>25</v>
      </c>
      <c r="M679" s="50"/>
    </row>
    <row r="680" spans="1:13" s="36" customFormat="1" ht="24" hidden="1" customHeight="1" x14ac:dyDescent="0.4">
      <c r="A680" s="59">
        <v>44939</v>
      </c>
      <c r="B680" s="32" t="s">
        <v>1047</v>
      </c>
      <c r="C680" s="18" t="s">
        <v>22</v>
      </c>
      <c r="D680" s="63" t="s">
        <v>23</v>
      </c>
      <c r="E680" s="50" t="s">
        <v>1112</v>
      </c>
      <c r="F680" s="57">
        <v>15000</v>
      </c>
      <c r="G680" s="76"/>
      <c r="H680" s="57">
        <f t="shared" si="83"/>
        <v>15000</v>
      </c>
      <c r="I680" s="50">
        <v>1</v>
      </c>
      <c r="J680" s="57">
        <f t="shared" si="84"/>
        <v>15000</v>
      </c>
      <c r="K680" s="58">
        <f t="shared" si="85"/>
        <v>16500</v>
      </c>
      <c r="L680" s="18" t="s">
        <v>25</v>
      </c>
      <c r="M680" s="50"/>
    </row>
    <row r="681" spans="1:13" s="36" customFormat="1" ht="24" hidden="1" customHeight="1" x14ac:dyDescent="0.4">
      <c r="A681" s="59">
        <v>44939</v>
      </c>
      <c r="B681" s="32" t="s">
        <v>1046</v>
      </c>
      <c r="C681" s="18" t="s">
        <v>22</v>
      </c>
      <c r="D681" s="63" t="s">
        <v>48</v>
      </c>
      <c r="E681" s="50" t="s">
        <v>369</v>
      </c>
      <c r="F681" s="57">
        <v>3000</v>
      </c>
      <c r="G681" s="76"/>
      <c r="H681" s="57">
        <f t="shared" si="83"/>
        <v>3000</v>
      </c>
      <c r="I681" s="50">
        <v>1</v>
      </c>
      <c r="J681" s="57">
        <f t="shared" si="84"/>
        <v>3000</v>
      </c>
      <c r="K681" s="58">
        <f t="shared" si="85"/>
        <v>3300.0000000000005</v>
      </c>
      <c r="L681" s="18" t="s">
        <v>1017</v>
      </c>
      <c r="M681" s="50"/>
    </row>
    <row r="682" spans="1:13" s="36" customFormat="1" ht="24" hidden="1" customHeight="1" x14ac:dyDescent="0.4">
      <c r="A682" s="59">
        <v>44939</v>
      </c>
      <c r="B682" s="32" t="s">
        <v>1046</v>
      </c>
      <c r="C682" s="18" t="s">
        <v>27</v>
      </c>
      <c r="D682" s="63" t="s">
        <v>28</v>
      </c>
      <c r="E682" s="50" t="s">
        <v>318</v>
      </c>
      <c r="F682" s="57">
        <v>15000</v>
      </c>
      <c r="G682" s="76"/>
      <c r="H682" s="57">
        <f t="shared" si="83"/>
        <v>15000</v>
      </c>
      <c r="I682" s="50">
        <v>1</v>
      </c>
      <c r="J682" s="57">
        <f t="shared" si="84"/>
        <v>15000</v>
      </c>
      <c r="K682" s="58">
        <f t="shared" si="85"/>
        <v>16500</v>
      </c>
      <c r="L682" s="18" t="s">
        <v>25</v>
      </c>
      <c r="M682" s="50"/>
    </row>
    <row r="683" spans="1:13" s="36" customFormat="1" ht="24" hidden="1" customHeight="1" x14ac:dyDescent="0.4">
      <c r="A683" s="59">
        <v>44939</v>
      </c>
      <c r="B683" s="32" t="s">
        <v>1046</v>
      </c>
      <c r="C683" s="18" t="s">
        <v>27</v>
      </c>
      <c r="D683" s="63" t="s">
        <v>28</v>
      </c>
      <c r="E683" s="50" t="s">
        <v>1048</v>
      </c>
      <c r="F683" s="57">
        <v>8750</v>
      </c>
      <c r="G683" s="76"/>
      <c r="H683" s="57">
        <f t="shared" si="83"/>
        <v>8750</v>
      </c>
      <c r="I683" s="50">
        <v>1</v>
      </c>
      <c r="J683" s="57">
        <f t="shared" si="84"/>
        <v>8750</v>
      </c>
      <c r="K683" s="58">
        <f t="shared" si="85"/>
        <v>9625</v>
      </c>
      <c r="L683" s="18" t="s">
        <v>25</v>
      </c>
      <c r="M683" s="50" t="s">
        <v>1049</v>
      </c>
    </row>
    <row r="684" spans="1:13" s="36" customFormat="1" ht="24" hidden="1" customHeight="1" x14ac:dyDescent="0.4">
      <c r="A684" s="59">
        <v>44939</v>
      </c>
      <c r="B684" s="32" t="s">
        <v>1046</v>
      </c>
      <c r="C684" s="18" t="s">
        <v>27</v>
      </c>
      <c r="D684" s="63" t="s">
        <v>28</v>
      </c>
      <c r="E684" s="50" t="s">
        <v>869</v>
      </c>
      <c r="F684" s="57">
        <v>17500</v>
      </c>
      <c r="G684" s="76"/>
      <c r="H684" s="57">
        <f t="shared" si="83"/>
        <v>17500</v>
      </c>
      <c r="I684" s="50">
        <v>1</v>
      </c>
      <c r="J684" s="57">
        <f t="shared" si="84"/>
        <v>17500</v>
      </c>
      <c r="K684" s="58">
        <f t="shared" si="85"/>
        <v>19250</v>
      </c>
      <c r="L684" s="18" t="s">
        <v>25</v>
      </c>
      <c r="M684" s="50"/>
    </row>
    <row r="685" spans="1:13" ht="24" hidden="1" customHeight="1" x14ac:dyDescent="0.4">
      <c r="A685" s="59">
        <v>44939</v>
      </c>
      <c r="B685" s="32" t="s">
        <v>1047</v>
      </c>
      <c r="C685" s="18" t="s">
        <v>1015</v>
      </c>
      <c r="D685" s="63" t="s">
        <v>1033</v>
      </c>
      <c r="E685" s="50" t="s">
        <v>1050</v>
      </c>
      <c r="F685" s="57">
        <v>40000</v>
      </c>
      <c r="G685" s="76">
        <v>-8000</v>
      </c>
      <c r="H685" s="57">
        <f t="shared" si="83"/>
        <v>32000</v>
      </c>
      <c r="I685" s="50">
        <v>1</v>
      </c>
      <c r="J685" s="57">
        <f t="shared" si="84"/>
        <v>32000</v>
      </c>
      <c r="K685" s="58">
        <f t="shared" si="85"/>
        <v>35200</v>
      </c>
      <c r="L685" s="18" t="s">
        <v>34</v>
      </c>
      <c r="M685" s="50"/>
    </row>
    <row r="686" spans="1:13" s="36" customFormat="1" ht="24" hidden="1" customHeight="1" x14ac:dyDescent="0.4">
      <c r="A686" s="59">
        <v>44939</v>
      </c>
      <c r="B686" s="32" t="s">
        <v>1047</v>
      </c>
      <c r="C686" s="18" t="s">
        <v>1015</v>
      </c>
      <c r="D686" s="63" t="s">
        <v>330</v>
      </c>
      <c r="E686" s="50" t="s">
        <v>1051</v>
      </c>
      <c r="F686" s="57">
        <v>5000</v>
      </c>
      <c r="G686" s="76"/>
      <c r="H686" s="57">
        <f t="shared" si="83"/>
        <v>5000</v>
      </c>
      <c r="I686" s="50">
        <v>1</v>
      </c>
      <c r="J686" s="57">
        <f t="shared" si="84"/>
        <v>5000</v>
      </c>
      <c r="K686" s="58">
        <f t="shared" si="85"/>
        <v>5500</v>
      </c>
      <c r="L686" s="18" t="s">
        <v>34</v>
      </c>
      <c r="M686" s="50"/>
    </row>
    <row r="687" spans="1:13" s="36" customFormat="1" ht="24" hidden="1" customHeight="1" x14ac:dyDescent="0.4">
      <c r="A687" s="59">
        <v>44939</v>
      </c>
      <c r="B687" s="32" t="s">
        <v>1047</v>
      </c>
      <c r="C687" s="96" t="s">
        <v>1052</v>
      </c>
      <c r="D687" s="63"/>
      <c r="E687" s="50" t="s">
        <v>1053</v>
      </c>
      <c r="F687" s="57">
        <v>-15000</v>
      </c>
      <c r="G687" s="76"/>
      <c r="H687" s="57">
        <f t="shared" si="83"/>
        <v>-15000</v>
      </c>
      <c r="I687" s="50">
        <v>1</v>
      </c>
      <c r="J687" s="57">
        <f t="shared" si="84"/>
        <v>-15000</v>
      </c>
      <c r="K687" s="58">
        <f t="shared" si="85"/>
        <v>-16500</v>
      </c>
      <c r="L687" s="18" t="s">
        <v>34</v>
      </c>
      <c r="M687" s="50" t="s">
        <v>1054</v>
      </c>
    </row>
    <row r="688" spans="1:13" s="36" customFormat="1" ht="24" hidden="1" customHeight="1" x14ac:dyDescent="0.4">
      <c r="A688" s="59">
        <v>44939</v>
      </c>
      <c r="B688" s="32" t="s">
        <v>1055</v>
      </c>
      <c r="C688" s="18" t="s">
        <v>1015</v>
      </c>
      <c r="D688" s="63" t="s">
        <v>292</v>
      </c>
      <c r="E688" s="50" t="s">
        <v>1056</v>
      </c>
      <c r="F688" s="57">
        <v>5700</v>
      </c>
      <c r="G688" s="76">
        <v>-570</v>
      </c>
      <c r="H688" s="57">
        <f t="shared" si="83"/>
        <v>5130</v>
      </c>
      <c r="I688" s="50">
        <v>2</v>
      </c>
      <c r="J688" s="57">
        <f t="shared" si="84"/>
        <v>10260</v>
      </c>
      <c r="K688" s="58">
        <f t="shared" si="85"/>
        <v>11286.000000000002</v>
      </c>
      <c r="L688" s="18" t="s">
        <v>1057</v>
      </c>
      <c r="M688" s="50" t="s">
        <v>1058</v>
      </c>
    </row>
    <row r="689" spans="1:13" s="36" customFormat="1" ht="24" hidden="1" customHeight="1" x14ac:dyDescent="0.4">
      <c r="A689" s="59">
        <v>44940</v>
      </c>
      <c r="B689" s="32" t="s">
        <v>1059</v>
      </c>
      <c r="C689" s="18" t="s">
        <v>22</v>
      </c>
      <c r="D689" s="63" t="s">
        <v>48</v>
      </c>
      <c r="E689" s="50" t="s">
        <v>369</v>
      </c>
      <c r="F689" s="57">
        <v>3000</v>
      </c>
      <c r="G689" s="76"/>
      <c r="H689" s="57">
        <f t="shared" si="83"/>
        <v>3000</v>
      </c>
      <c r="I689" s="50">
        <v>1</v>
      </c>
      <c r="J689" s="57">
        <f t="shared" si="84"/>
        <v>3000</v>
      </c>
      <c r="K689" s="58">
        <f t="shared" si="85"/>
        <v>3300.0000000000005</v>
      </c>
      <c r="L689" s="18" t="s">
        <v>25</v>
      </c>
      <c r="M689" s="50"/>
    </row>
    <row r="690" spans="1:13" s="36" customFormat="1" ht="24" hidden="1" customHeight="1" x14ac:dyDescent="0.4">
      <c r="A690" s="59">
        <v>44940</v>
      </c>
      <c r="B690" s="32" t="s">
        <v>1060</v>
      </c>
      <c r="C690" s="18" t="s">
        <v>27</v>
      </c>
      <c r="D690" s="63" t="s">
        <v>28</v>
      </c>
      <c r="E690" s="50" t="s">
        <v>73</v>
      </c>
      <c r="F690" s="57">
        <v>2000</v>
      </c>
      <c r="G690" s="76"/>
      <c r="H690" s="57">
        <f t="shared" si="83"/>
        <v>2000</v>
      </c>
      <c r="I690" s="50">
        <v>1</v>
      </c>
      <c r="J690" s="57">
        <f t="shared" si="84"/>
        <v>2000</v>
      </c>
      <c r="K690" s="58">
        <f t="shared" si="85"/>
        <v>2200</v>
      </c>
      <c r="L690" s="18" t="s">
        <v>25</v>
      </c>
      <c r="M690" s="50"/>
    </row>
    <row r="691" spans="1:13" s="36" customFormat="1" ht="24" hidden="1" customHeight="1" x14ac:dyDescent="0.4">
      <c r="A691" s="59">
        <v>44940</v>
      </c>
      <c r="B691" s="32" t="s">
        <v>1059</v>
      </c>
      <c r="C691" s="18" t="s">
        <v>27</v>
      </c>
      <c r="D691" s="63" t="s">
        <v>28</v>
      </c>
      <c r="E691" s="50" t="s">
        <v>1061</v>
      </c>
      <c r="F691" s="57">
        <v>10000</v>
      </c>
      <c r="G691" s="76"/>
      <c r="H691" s="57">
        <f t="shared" si="83"/>
        <v>10000</v>
      </c>
      <c r="I691" s="50">
        <v>1</v>
      </c>
      <c r="J691" s="57">
        <f t="shared" si="84"/>
        <v>10000</v>
      </c>
      <c r="K691" s="58">
        <f t="shared" si="85"/>
        <v>11000</v>
      </c>
      <c r="L691" s="18" t="s">
        <v>25</v>
      </c>
      <c r="M691" s="50"/>
    </row>
    <row r="692" spans="1:13" s="36" customFormat="1" ht="24" hidden="1" customHeight="1" x14ac:dyDescent="0.4">
      <c r="A692" s="59">
        <v>44940</v>
      </c>
      <c r="B692" s="32" t="s">
        <v>1059</v>
      </c>
      <c r="C692" s="18" t="s">
        <v>27</v>
      </c>
      <c r="D692" s="63" t="s">
        <v>28</v>
      </c>
      <c r="E692" s="50" t="s">
        <v>1062</v>
      </c>
      <c r="F692" s="57">
        <v>12250</v>
      </c>
      <c r="G692" s="76"/>
      <c r="H692" s="57">
        <f t="shared" si="83"/>
        <v>12250</v>
      </c>
      <c r="I692" s="50">
        <v>1</v>
      </c>
      <c r="J692" s="57">
        <f t="shared" si="84"/>
        <v>12250</v>
      </c>
      <c r="K692" s="58">
        <f t="shared" si="85"/>
        <v>13475.000000000002</v>
      </c>
      <c r="L692" s="18" t="s">
        <v>25</v>
      </c>
      <c r="M692" s="50"/>
    </row>
    <row r="693" spans="1:13" s="36" customFormat="1" ht="24" hidden="1" customHeight="1" x14ac:dyDescent="0.4">
      <c r="A693" s="59">
        <v>44940</v>
      </c>
      <c r="B693" s="32" t="s">
        <v>1059</v>
      </c>
      <c r="C693" s="18" t="s">
        <v>27</v>
      </c>
      <c r="D693" s="63" t="s">
        <v>28</v>
      </c>
      <c r="E693" s="50" t="s">
        <v>1063</v>
      </c>
      <c r="F693" s="57">
        <v>6125</v>
      </c>
      <c r="G693" s="76"/>
      <c r="H693" s="57">
        <f t="shared" si="83"/>
        <v>6125</v>
      </c>
      <c r="I693" s="50">
        <v>1</v>
      </c>
      <c r="J693" s="57">
        <f t="shared" si="84"/>
        <v>6125</v>
      </c>
      <c r="K693" s="58">
        <f t="shared" si="85"/>
        <v>6737.5000000000009</v>
      </c>
      <c r="L693" s="18" t="s">
        <v>25</v>
      </c>
      <c r="M693" s="50"/>
    </row>
    <row r="694" spans="1:13" s="36" customFormat="1" ht="24" hidden="1" customHeight="1" x14ac:dyDescent="0.4">
      <c r="A694" s="59">
        <v>44940</v>
      </c>
      <c r="B694" s="32" t="s">
        <v>1059</v>
      </c>
      <c r="C694" s="18" t="s">
        <v>1015</v>
      </c>
      <c r="D694" s="63" t="s">
        <v>283</v>
      </c>
      <c r="E694" s="50" t="s">
        <v>1064</v>
      </c>
      <c r="F694" s="57">
        <v>1500</v>
      </c>
      <c r="G694" s="76">
        <v>-150</v>
      </c>
      <c r="H694" s="57">
        <f t="shared" si="83"/>
        <v>1350</v>
      </c>
      <c r="I694" s="50">
        <v>1</v>
      </c>
      <c r="J694" s="57">
        <f t="shared" si="84"/>
        <v>1350</v>
      </c>
      <c r="K694" s="58">
        <f t="shared" si="85"/>
        <v>1485.0000000000002</v>
      </c>
      <c r="L694" s="18" t="s">
        <v>25</v>
      </c>
      <c r="M694" s="50"/>
    </row>
    <row r="695" spans="1:13" s="36" customFormat="1" ht="24" hidden="1" customHeight="1" x14ac:dyDescent="0.4">
      <c r="A695" s="59">
        <v>44940</v>
      </c>
      <c r="B695" s="32" t="s">
        <v>1065</v>
      </c>
      <c r="C695" s="18" t="s">
        <v>22</v>
      </c>
      <c r="D695" s="63" t="s">
        <v>23</v>
      </c>
      <c r="E695" s="50" t="s">
        <v>1112</v>
      </c>
      <c r="F695" s="57">
        <v>15000</v>
      </c>
      <c r="G695" s="76"/>
      <c r="H695" s="57">
        <f t="shared" si="83"/>
        <v>15000</v>
      </c>
      <c r="I695" s="50">
        <v>1</v>
      </c>
      <c r="J695" s="57">
        <f t="shared" si="84"/>
        <v>15000</v>
      </c>
      <c r="K695" s="58">
        <f t="shared" si="85"/>
        <v>16500</v>
      </c>
      <c r="L695" s="18" t="s">
        <v>25</v>
      </c>
      <c r="M695" s="50"/>
    </row>
    <row r="696" spans="1:13" s="36" customFormat="1" ht="24" hidden="1" customHeight="1" x14ac:dyDescent="0.4">
      <c r="A696" s="59">
        <v>44940</v>
      </c>
      <c r="B696" s="32" t="s">
        <v>1029</v>
      </c>
      <c r="C696" s="18" t="s">
        <v>1015</v>
      </c>
      <c r="D696" s="63" t="s">
        <v>1033</v>
      </c>
      <c r="E696" s="50" t="s">
        <v>1066</v>
      </c>
      <c r="F696" s="57">
        <v>70000</v>
      </c>
      <c r="G696" s="76">
        <v>-14000</v>
      </c>
      <c r="H696" s="57">
        <f t="shared" si="83"/>
        <v>56000</v>
      </c>
      <c r="I696" s="50">
        <v>1</v>
      </c>
      <c r="J696" s="57">
        <f t="shared" si="84"/>
        <v>56000</v>
      </c>
      <c r="K696" s="58">
        <f t="shared" si="85"/>
        <v>61600.000000000007</v>
      </c>
      <c r="L696" s="18" t="s">
        <v>34</v>
      </c>
      <c r="M696" s="50"/>
    </row>
    <row r="697" spans="1:13" s="36" customFormat="1" ht="24" hidden="1" customHeight="1" x14ac:dyDescent="0.4">
      <c r="A697" s="59">
        <v>44940</v>
      </c>
      <c r="B697" s="32" t="s">
        <v>1029</v>
      </c>
      <c r="C697" s="18" t="s">
        <v>1015</v>
      </c>
      <c r="D697" s="63" t="s">
        <v>1033</v>
      </c>
      <c r="E697" s="50" t="s">
        <v>1067</v>
      </c>
      <c r="F697" s="57">
        <v>45000</v>
      </c>
      <c r="G697" s="76">
        <v>-9000</v>
      </c>
      <c r="H697" s="57">
        <f t="shared" ref="H697:H760" si="86">F697+G697</f>
        <v>36000</v>
      </c>
      <c r="I697" s="50">
        <v>2</v>
      </c>
      <c r="J697" s="57">
        <f t="shared" ref="J697:J760" si="87">H697*I697</f>
        <v>72000</v>
      </c>
      <c r="K697" s="58">
        <f t="shared" si="85"/>
        <v>79200</v>
      </c>
      <c r="L697" s="18" t="s">
        <v>34</v>
      </c>
      <c r="M697" s="50"/>
    </row>
    <row r="698" spans="1:13" s="36" customFormat="1" ht="24" hidden="1" customHeight="1" x14ac:dyDescent="0.4">
      <c r="A698" s="59">
        <v>44940</v>
      </c>
      <c r="B698" s="32" t="s">
        <v>1029</v>
      </c>
      <c r="C698" s="18" t="s">
        <v>1015</v>
      </c>
      <c r="D698" s="63" t="s">
        <v>1033</v>
      </c>
      <c r="E698" s="50" t="s">
        <v>1068</v>
      </c>
      <c r="F698" s="57">
        <v>16000</v>
      </c>
      <c r="G698" s="76">
        <v>-3200</v>
      </c>
      <c r="H698" s="57">
        <f t="shared" si="86"/>
        <v>12800</v>
      </c>
      <c r="I698" s="50">
        <v>2</v>
      </c>
      <c r="J698" s="57">
        <f t="shared" si="87"/>
        <v>25600</v>
      </c>
      <c r="K698" s="58">
        <f t="shared" si="85"/>
        <v>28160.000000000004</v>
      </c>
      <c r="L698" s="18" t="s">
        <v>34</v>
      </c>
      <c r="M698" s="50"/>
    </row>
    <row r="699" spans="1:13" s="36" customFormat="1" ht="24" hidden="1" customHeight="1" x14ac:dyDescent="0.4">
      <c r="A699" s="59">
        <v>44940</v>
      </c>
      <c r="B699" s="32" t="s">
        <v>1029</v>
      </c>
      <c r="C699" s="18" t="s">
        <v>1015</v>
      </c>
      <c r="D699" s="63" t="s">
        <v>576</v>
      </c>
      <c r="E699" s="50" t="s">
        <v>1069</v>
      </c>
      <c r="F699" s="57">
        <v>85000</v>
      </c>
      <c r="G699" s="76">
        <v>-12750</v>
      </c>
      <c r="H699" s="57">
        <f t="shared" si="86"/>
        <v>72250</v>
      </c>
      <c r="I699" s="50">
        <v>1</v>
      </c>
      <c r="J699" s="57">
        <f t="shared" si="87"/>
        <v>72250</v>
      </c>
      <c r="K699" s="58">
        <f t="shared" si="85"/>
        <v>79475</v>
      </c>
      <c r="L699" s="18" t="s">
        <v>34</v>
      </c>
      <c r="M699" s="50"/>
    </row>
    <row r="700" spans="1:13" s="36" customFormat="1" ht="24" hidden="1" customHeight="1" x14ac:dyDescent="0.4">
      <c r="A700" s="59">
        <v>44940</v>
      </c>
      <c r="B700" s="32" t="s">
        <v>1029</v>
      </c>
      <c r="C700" s="18" t="s">
        <v>1015</v>
      </c>
      <c r="D700" s="63" t="s">
        <v>576</v>
      </c>
      <c r="E700" s="50" t="s">
        <v>1070</v>
      </c>
      <c r="F700" s="57">
        <v>55000</v>
      </c>
      <c r="G700" s="76">
        <v>-8250</v>
      </c>
      <c r="H700" s="57">
        <f t="shared" si="86"/>
        <v>46750</v>
      </c>
      <c r="I700" s="50">
        <v>1</v>
      </c>
      <c r="J700" s="57">
        <f t="shared" si="87"/>
        <v>46750</v>
      </c>
      <c r="K700" s="58">
        <f t="shared" si="85"/>
        <v>51425.000000000007</v>
      </c>
      <c r="L700" s="18" t="s">
        <v>34</v>
      </c>
      <c r="M700" s="50"/>
    </row>
    <row r="701" spans="1:13" s="36" customFormat="1" ht="24" hidden="1" customHeight="1" x14ac:dyDescent="0.4">
      <c r="A701" s="59">
        <v>44940</v>
      </c>
      <c r="B701" s="32" t="s">
        <v>1029</v>
      </c>
      <c r="C701" s="18" t="s">
        <v>1015</v>
      </c>
      <c r="D701" s="63" t="s">
        <v>576</v>
      </c>
      <c r="E701" s="50" t="s">
        <v>1071</v>
      </c>
      <c r="F701" s="57">
        <v>55000</v>
      </c>
      <c r="G701" s="76">
        <v>-8250</v>
      </c>
      <c r="H701" s="57">
        <f t="shared" si="86"/>
        <v>46750</v>
      </c>
      <c r="I701" s="50">
        <v>1</v>
      </c>
      <c r="J701" s="57">
        <f t="shared" si="87"/>
        <v>46750</v>
      </c>
      <c r="K701" s="58">
        <f t="shared" si="85"/>
        <v>51425.000000000007</v>
      </c>
      <c r="L701" s="18" t="s">
        <v>34</v>
      </c>
      <c r="M701" s="50"/>
    </row>
    <row r="702" spans="1:13" s="36" customFormat="1" ht="24" hidden="1" customHeight="1" x14ac:dyDescent="0.4">
      <c r="A702" s="59">
        <v>44940</v>
      </c>
      <c r="B702" s="32" t="s">
        <v>1029</v>
      </c>
      <c r="C702" s="18" t="s">
        <v>1015</v>
      </c>
      <c r="D702" s="63" t="s">
        <v>576</v>
      </c>
      <c r="E702" s="50" t="s">
        <v>1072</v>
      </c>
      <c r="F702" s="57">
        <v>43000</v>
      </c>
      <c r="G702" s="76">
        <v>-6450</v>
      </c>
      <c r="H702" s="57">
        <f t="shared" si="86"/>
        <v>36550</v>
      </c>
      <c r="I702" s="50">
        <v>1</v>
      </c>
      <c r="J702" s="57">
        <f t="shared" si="87"/>
        <v>36550</v>
      </c>
      <c r="K702" s="58">
        <f t="shared" si="85"/>
        <v>40205</v>
      </c>
      <c r="L702" s="18" t="s">
        <v>34</v>
      </c>
      <c r="M702" s="50"/>
    </row>
    <row r="703" spans="1:13" s="36" customFormat="1" ht="24" hidden="1" customHeight="1" x14ac:dyDescent="0.4">
      <c r="A703" s="59">
        <v>44940</v>
      </c>
      <c r="B703" s="32" t="s">
        <v>1029</v>
      </c>
      <c r="C703" s="18" t="s">
        <v>1015</v>
      </c>
      <c r="D703" s="63" t="s">
        <v>576</v>
      </c>
      <c r="E703" s="50" t="s">
        <v>1073</v>
      </c>
      <c r="F703" s="57">
        <v>43000</v>
      </c>
      <c r="G703" s="76">
        <v>-6450</v>
      </c>
      <c r="H703" s="57">
        <f t="shared" si="86"/>
        <v>36550</v>
      </c>
      <c r="I703" s="50">
        <v>1</v>
      </c>
      <c r="J703" s="57">
        <f t="shared" si="87"/>
        <v>36550</v>
      </c>
      <c r="K703" s="58">
        <f t="shared" si="85"/>
        <v>40205</v>
      </c>
      <c r="L703" s="18" t="s">
        <v>34</v>
      </c>
      <c r="M703" s="50"/>
    </row>
    <row r="704" spans="1:13" s="36" customFormat="1" ht="24" hidden="1" customHeight="1" x14ac:dyDescent="0.4">
      <c r="A704" s="59">
        <v>44940</v>
      </c>
      <c r="B704" s="32" t="s">
        <v>1029</v>
      </c>
      <c r="C704" s="18" t="s">
        <v>1015</v>
      </c>
      <c r="D704" s="63" t="s">
        <v>1035</v>
      </c>
      <c r="E704" s="50" t="s">
        <v>1074</v>
      </c>
      <c r="F704" s="57">
        <v>980</v>
      </c>
      <c r="G704" s="76"/>
      <c r="H704" s="57">
        <f t="shared" si="86"/>
        <v>980</v>
      </c>
      <c r="I704" s="50">
        <v>1</v>
      </c>
      <c r="J704" s="57">
        <f t="shared" si="87"/>
        <v>980</v>
      </c>
      <c r="K704" s="58">
        <f t="shared" si="85"/>
        <v>1078</v>
      </c>
      <c r="L704" s="18" t="s">
        <v>34</v>
      </c>
      <c r="M704" s="50"/>
    </row>
    <row r="705" spans="1:13" s="36" customFormat="1" ht="24" hidden="1" customHeight="1" x14ac:dyDescent="0.4">
      <c r="A705" s="59">
        <v>44940</v>
      </c>
      <c r="B705" s="32" t="s">
        <v>1029</v>
      </c>
      <c r="C705" s="18" t="s">
        <v>1015</v>
      </c>
      <c r="D705" s="63" t="s">
        <v>1035</v>
      </c>
      <c r="E705" s="50" t="s">
        <v>1075</v>
      </c>
      <c r="F705" s="57">
        <v>980</v>
      </c>
      <c r="G705" s="76"/>
      <c r="H705" s="57">
        <f t="shared" si="86"/>
        <v>980</v>
      </c>
      <c r="I705" s="50">
        <v>1</v>
      </c>
      <c r="J705" s="57">
        <f t="shared" si="87"/>
        <v>980</v>
      </c>
      <c r="K705" s="58">
        <f t="shared" si="85"/>
        <v>1078</v>
      </c>
      <c r="L705" s="18" t="s">
        <v>34</v>
      </c>
      <c r="M705" s="50"/>
    </row>
    <row r="706" spans="1:13" s="36" customFormat="1" ht="24" hidden="1" customHeight="1" x14ac:dyDescent="0.4">
      <c r="A706" s="59">
        <v>44940</v>
      </c>
      <c r="B706" s="32" t="s">
        <v>1029</v>
      </c>
      <c r="C706" s="18" t="s">
        <v>1015</v>
      </c>
      <c r="D706" s="63" t="s">
        <v>1035</v>
      </c>
      <c r="E706" s="50" t="s">
        <v>1076</v>
      </c>
      <c r="F706" s="57">
        <v>980</v>
      </c>
      <c r="G706" s="76"/>
      <c r="H706" s="57">
        <f t="shared" si="86"/>
        <v>980</v>
      </c>
      <c r="I706" s="50">
        <v>1</v>
      </c>
      <c r="J706" s="57">
        <f t="shared" si="87"/>
        <v>980</v>
      </c>
      <c r="K706" s="58">
        <f t="shared" si="85"/>
        <v>1078</v>
      </c>
      <c r="L706" s="18" t="s">
        <v>34</v>
      </c>
      <c r="M706" s="50"/>
    </row>
    <row r="707" spans="1:13" s="36" customFormat="1" ht="24" hidden="1" customHeight="1" x14ac:dyDescent="0.4">
      <c r="A707" s="59">
        <v>44941</v>
      </c>
      <c r="B707" s="32" t="s">
        <v>1077</v>
      </c>
      <c r="C707" s="18" t="s">
        <v>22</v>
      </c>
      <c r="D707" s="63" t="s">
        <v>48</v>
      </c>
      <c r="E707" s="50" t="s">
        <v>369</v>
      </c>
      <c r="F707" s="57">
        <v>3000</v>
      </c>
      <c r="G707" s="76"/>
      <c r="H707" s="57">
        <f t="shared" si="86"/>
        <v>3000</v>
      </c>
      <c r="I707" s="50">
        <v>1</v>
      </c>
      <c r="J707" s="57">
        <f t="shared" si="87"/>
        <v>3000</v>
      </c>
      <c r="K707" s="58">
        <f t="shared" si="85"/>
        <v>3300.0000000000005</v>
      </c>
      <c r="L707" s="18" t="s">
        <v>1017</v>
      </c>
      <c r="M707" s="50"/>
    </row>
    <row r="708" spans="1:13" s="36" customFormat="1" ht="24" hidden="1" customHeight="1" x14ac:dyDescent="0.4">
      <c r="A708" s="59">
        <v>44941</v>
      </c>
      <c r="B708" s="32" t="s">
        <v>1078</v>
      </c>
      <c r="C708" s="18" t="s">
        <v>1015</v>
      </c>
      <c r="D708" s="63" t="s">
        <v>1035</v>
      </c>
      <c r="E708" s="124" t="s">
        <v>1079</v>
      </c>
      <c r="F708" s="57">
        <v>2400</v>
      </c>
      <c r="G708" s="76">
        <v>-240</v>
      </c>
      <c r="H708" s="57">
        <f t="shared" si="86"/>
        <v>2160</v>
      </c>
      <c r="I708" s="50">
        <v>1</v>
      </c>
      <c r="J708" s="57">
        <f t="shared" si="87"/>
        <v>2160</v>
      </c>
      <c r="K708" s="58">
        <f t="shared" si="85"/>
        <v>2376</v>
      </c>
      <c r="L708" s="18" t="s">
        <v>25</v>
      </c>
      <c r="M708" s="50"/>
    </row>
    <row r="709" spans="1:13" s="36" customFormat="1" ht="24" hidden="1" customHeight="1" x14ac:dyDescent="0.4">
      <c r="A709" s="59">
        <v>44941</v>
      </c>
      <c r="B709" s="32" t="s">
        <v>710</v>
      </c>
      <c r="C709" s="18" t="s">
        <v>1015</v>
      </c>
      <c r="D709" s="63" t="s">
        <v>292</v>
      </c>
      <c r="E709" s="50" t="s">
        <v>1080</v>
      </c>
      <c r="F709" s="57">
        <v>5700</v>
      </c>
      <c r="G709" s="76">
        <v>-570</v>
      </c>
      <c r="H709" s="57">
        <f t="shared" si="86"/>
        <v>5130</v>
      </c>
      <c r="I709" s="50">
        <v>1</v>
      </c>
      <c r="J709" s="57">
        <f t="shared" si="87"/>
        <v>5130</v>
      </c>
      <c r="K709" s="58">
        <f t="shared" si="85"/>
        <v>5643.0000000000009</v>
      </c>
      <c r="L709" s="18" t="s">
        <v>25</v>
      </c>
      <c r="M709" s="50"/>
    </row>
    <row r="710" spans="1:13" s="36" customFormat="1" ht="24" hidden="1" customHeight="1" x14ac:dyDescent="0.4">
      <c r="A710" s="59">
        <v>44941</v>
      </c>
      <c r="B710" s="32" t="s">
        <v>1023</v>
      </c>
      <c r="C710" s="18" t="s">
        <v>22</v>
      </c>
      <c r="D710" s="63" t="s">
        <v>48</v>
      </c>
      <c r="E710" s="50" t="s">
        <v>1028</v>
      </c>
      <c r="F710" s="57">
        <v>3000</v>
      </c>
      <c r="G710" s="76"/>
      <c r="H710" s="57">
        <f t="shared" si="86"/>
        <v>3000</v>
      </c>
      <c r="I710" s="50">
        <v>1</v>
      </c>
      <c r="J710" s="57">
        <f t="shared" si="87"/>
        <v>3000</v>
      </c>
      <c r="K710" s="58">
        <f t="shared" si="85"/>
        <v>3300.0000000000005</v>
      </c>
      <c r="L710" s="18" t="s">
        <v>25</v>
      </c>
      <c r="M710" s="50"/>
    </row>
    <row r="711" spans="1:13" s="36" customFormat="1" ht="24" hidden="1" customHeight="1" x14ac:dyDescent="0.4">
      <c r="A711" s="59">
        <v>44941</v>
      </c>
      <c r="B711" s="32" t="s">
        <v>1077</v>
      </c>
      <c r="C711" s="18" t="s">
        <v>27</v>
      </c>
      <c r="D711" s="63" t="s">
        <v>28</v>
      </c>
      <c r="E711" s="50" t="s">
        <v>869</v>
      </c>
      <c r="F711" s="57">
        <v>17500</v>
      </c>
      <c r="G711" s="76"/>
      <c r="H711" s="57">
        <f t="shared" si="86"/>
        <v>17500</v>
      </c>
      <c r="I711" s="50">
        <v>1</v>
      </c>
      <c r="J711" s="57">
        <f t="shared" si="87"/>
        <v>17500</v>
      </c>
      <c r="K711" s="58">
        <f t="shared" si="85"/>
        <v>19250</v>
      </c>
      <c r="L711" s="18" t="s">
        <v>25</v>
      </c>
      <c r="M711" s="50"/>
    </row>
    <row r="712" spans="1:13" s="36" customFormat="1" ht="24" hidden="1" customHeight="1" x14ac:dyDescent="0.4">
      <c r="A712" s="59">
        <v>44941</v>
      </c>
      <c r="B712" s="32" t="s">
        <v>1032</v>
      </c>
      <c r="C712" s="18" t="s">
        <v>22</v>
      </c>
      <c r="D712" s="63" t="s">
        <v>48</v>
      </c>
      <c r="E712" s="50" t="s">
        <v>1081</v>
      </c>
      <c r="F712" s="57">
        <v>8000</v>
      </c>
      <c r="G712" s="76"/>
      <c r="H712" s="57">
        <f t="shared" si="86"/>
        <v>8000</v>
      </c>
      <c r="I712" s="50">
        <v>1</v>
      </c>
      <c r="J712" s="57">
        <f t="shared" si="87"/>
        <v>8000</v>
      </c>
      <c r="K712" s="58">
        <f t="shared" si="85"/>
        <v>8800</v>
      </c>
      <c r="L712" s="18" t="s">
        <v>1017</v>
      </c>
      <c r="M712" s="50"/>
    </row>
    <row r="713" spans="1:13" s="36" customFormat="1" ht="24" hidden="1" customHeight="1" x14ac:dyDescent="0.4">
      <c r="A713" s="59">
        <v>44941</v>
      </c>
      <c r="B713" s="32" t="s">
        <v>1082</v>
      </c>
      <c r="C713" s="18" t="s">
        <v>22</v>
      </c>
      <c r="D713" s="63" t="s">
        <v>48</v>
      </c>
      <c r="E713" s="50" t="s">
        <v>369</v>
      </c>
      <c r="F713" s="57">
        <v>3000</v>
      </c>
      <c r="G713" s="76"/>
      <c r="H713" s="57">
        <f t="shared" si="86"/>
        <v>3000</v>
      </c>
      <c r="I713" s="50">
        <v>1</v>
      </c>
      <c r="J713" s="57">
        <f t="shared" si="87"/>
        <v>3000</v>
      </c>
      <c r="K713" s="58">
        <f t="shared" si="85"/>
        <v>3300.0000000000005</v>
      </c>
      <c r="L713" s="18" t="s">
        <v>25</v>
      </c>
      <c r="M713" s="50"/>
    </row>
    <row r="714" spans="1:13" s="36" customFormat="1" ht="24" hidden="1" customHeight="1" x14ac:dyDescent="0.4">
      <c r="A714" s="59">
        <v>44942</v>
      </c>
      <c r="B714" s="32" t="s">
        <v>839</v>
      </c>
      <c r="C714" s="18" t="s">
        <v>1083</v>
      </c>
      <c r="D714" s="63" t="s">
        <v>1084</v>
      </c>
      <c r="E714" s="50" t="s">
        <v>1085</v>
      </c>
      <c r="F714" s="57">
        <v>980</v>
      </c>
      <c r="G714" s="76">
        <v>-98</v>
      </c>
      <c r="H714" s="57">
        <f t="shared" si="86"/>
        <v>882</v>
      </c>
      <c r="I714" s="50">
        <v>1</v>
      </c>
      <c r="J714" s="57">
        <f t="shared" si="87"/>
        <v>882</v>
      </c>
      <c r="K714" s="58">
        <f t="shared" si="85"/>
        <v>970.2</v>
      </c>
      <c r="L714" s="18" t="s">
        <v>1086</v>
      </c>
      <c r="M714" s="50" t="s">
        <v>1087</v>
      </c>
    </row>
    <row r="715" spans="1:13" s="36" customFormat="1" ht="24" hidden="1" customHeight="1" x14ac:dyDescent="0.4">
      <c r="A715" s="59">
        <v>44942</v>
      </c>
      <c r="B715" s="32" t="s">
        <v>1088</v>
      </c>
      <c r="C715" s="18" t="s">
        <v>1083</v>
      </c>
      <c r="D715" s="63" t="s">
        <v>1084</v>
      </c>
      <c r="E715" s="50" t="s">
        <v>1089</v>
      </c>
      <c r="F715" s="57">
        <v>2200</v>
      </c>
      <c r="G715" s="76">
        <v>-220</v>
      </c>
      <c r="H715" s="57">
        <f t="shared" si="86"/>
        <v>1980</v>
      </c>
      <c r="I715" s="50">
        <v>1</v>
      </c>
      <c r="J715" s="57">
        <f t="shared" si="87"/>
        <v>1980</v>
      </c>
      <c r="K715" s="58">
        <f t="shared" si="85"/>
        <v>2178</v>
      </c>
      <c r="L715" s="18" t="s">
        <v>25</v>
      </c>
      <c r="M715" s="50"/>
    </row>
    <row r="716" spans="1:13" s="36" customFormat="1" ht="24" hidden="1" customHeight="1" x14ac:dyDescent="0.4">
      <c r="A716" s="59">
        <v>44942</v>
      </c>
      <c r="B716" s="32" t="s">
        <v>1046</v>
      </c>
      <c r="C716" s="96" t="s">
        <v>1090</v>
      </c>
      <c r="D716" s="63"/>
      <c r="E716" s="129" t="s">
        <v>869</v>
      </c>
      <c r="F716" s="57">
        <v>-8750</v>
      </c>
      <c r="G716" s="76"/>
      <c r="H716" s="57">
        <f t="shared" si="86"/>
        <v>-8750</v>
      </c>
      <c r="I716" s="50">
        <v>1</v>
      </c>
      <c r="J716" s="57">
        <f t="shared" si="87"/>
        <v>-8750</v>
      </c>
      <c r="K716" s="58">
        <f t="shared" si="85"/>
        <v>-9625</v>
      </c>
      <c r="L716" s="18" t="s">
        <v>1092</v>
      </c>
      <c r="M716" s="50" t="s">
        <v>1091</v>
      </c>
    </row>
    <row r="717" spans="1:13" s="36" customFormat="1" ht="24" hidden="1" customHeight="1" x14ac:dyDescent="0.4">
      <c r="A717" s="59">
        <v>44942</v>
      </c>
      <c r="B717" s="32" t="s">
        <v>1077</v>
      </c>
      <c r="C717" s="18" t="s">
        <v>27</v>
      </c>
      <c r="D717" s="63" t="s">
        <v>28</v>
      </c>
      <c r="E717" s="50" t="s">
        <v>686</v>
      </c>
      <c r="F717" s="57">
        <v>10000</v>
      </c>
      <c r="G717" s="76"/>
      <c r="H717" s="57">
        <f t="shared" si="86"/>
        <v>10000</v>
      </c>
      <c r="I717" s="50">
        <v>1</v>
      </c>
      <c r="J717" s="57">
        <f t="shared" si="87"/>
        <v>10000</v>
      </c>
      <c r="K717" s="58">
        <f t="shared" si="85"/>
        <v>11000</v>
      </c>
      <c r="L717" s="18" t="s">
        <v>25</v>
      </c>
      <c r="M717" s="50"/>
    </row>
    <row r="718" spans="1:13" s="36" customFormat="1" ht="24" hidden="1" customHeight="1" x14ac:dyDescent="0.4">
      <c r="A718" s="59">
        <v>44942</v>
      </c>
      <c r="B718" s="32" t="s">
        <v>1093</v>
      </c>
      <c r="C718" s="18" t="s">
        <v>1083</v>
      </c>
      <c r="D718" s="63" t="s">
        <v>292</v>
      </c>
      <c r="E718" s="50" t="s">
        <v>1094</v>
      </c>
      <c r="F718" s="57">
        <v>4800</v>
      </c>
      <c r="G718" s="76">
        <v>-480</v>
      </c>
      <c r="H718" s="57">
        <f t="shared" si="86"/>
        <v>4320</v>
      </c>
      <c r="I718" s="50">
        <v>1</v>
      </c>
      <c r="J718" s="57">
        <f t="shared" si="87"/>
        <v>4320</v>
      </c>
      <c r="K718" s="58">
        <f t="shared" si="85"/>
        <v>4752</v>
      </c>
      <c r="L718" s="18" t="s">
        <v>1086</v>
      </c>
      <c r="M718" s="490" t="s">
        <v>1096</v>
      </c>
    </row>
    <row r="719" spans="1:13" s="36" customFormat="1" ht="24" hidden="1" customHeight="1" x14ac:dyDescent="0.4">
      <c r="A719" s="59">
        <v>44942</v>
      </c>
      <c r="B719" s="32" t="s">
        <v>1093</v>
      </c>
      <c r="C719" s="18" t="s">
        <v>1083</v>
      </c>
      <c r="D719" s="63" t="s">
        <v>1084</v>
      </c>
      <c r="E719" s="50" t="s">
        <v>1095</v>
      </c>
      <c r="F719" s="57">
        <v>1050</v>
      </c>
      <c r="G719" s="76">
        <v>-105</v>
      </c>
      <c r="H719" s="57">
        <f t="shared" si="86"/>
        <v>945</v>
      </c>
      <c r="I719" s="50">
        <v>1</v>
      </c>
      <c r="J719" s="57">
        <f t="shared" si="87"/>
        <v>945</v>
      </c>
      <c r="K719" s="58">
        <f t="shared" si="85"/>
        <v>1039.5</v>
      </c>
      <c r="L719" s="18" t="s">
        <v>1092</v>
      </c>
      <c r="M719" s="491"/>
    </row>
    <row r="720" spans="1:13" s="36" customFormat="1" ht="24" hidden="1" customHeight="1" x14ac:dyDescent="0.4">
      <c r="A720" s="59">
        <v>44942</v>
      </c>
      <c r="B720" s="32" t="s">
        <v>1097</v>
      </c>
      <c r="C720" s="18" t="s">
        <v>1083</v>
      </c>
      <c r="D720" s="63" t="s">
        <v>576</v>
      </c>
      <c r="E720" s="50" t="s">
        <v>1098</v>
      </c>
      <c r="F720" s="57">
        <v>90000</v>
      </c>
      <c r="G720" s="76">
        <v>-13500</v>
      </c>
      <c r="H720" s="57">
        <f t="shared" si="86"/>
        <v>76500</v>
      </c>
      <c r="I720" s="50">
        <v>1</v>
      </c>
      <c r="J720" s="57">
        <f t="shared" si="87"/>
        <v>76500</v>
      </c>
      <c r="K720" s="58">
        <f t="shared" si="85"/>
        <v>84150</v>
      </c>
      <c r="L720" s="18" t="s">
        <v>34</v>
      </c>
      <c r="M720" s="50"/>
    </row>
    <row r="721" spans="1:13" s="36" customFormat="1" ht="24" hidden="1" customHeight="1" x14ac:dyDescent="0.4">
      <c r="A721" s="59">
        <v>44942</v>
      </c>
      <c r="B721" s="32" t="s">
        <v>1099</v>
      </c>
      <c r="C721" s="18" t="s">
        <v>27</v>
      </c>
      <c r="D721" s="63" t="s">
        <v>28</v>
      </c>
      <c r="E721" s="50" t="s">
        <v>318</v>
      </c>
      <c r="F721" s="57">
        <v>15000</v>
      </c>
      <c r="G721" s="76"/>
      <c r="H721" s="57">
        <f t="shared" si="86"/>
        <v>15000</v>
      </c>
      <c r="I721" s="50">
        <v>1</v>
      </c>
      <c r="J721" s="57">
        <f t="shared" si="87"/>
        <v>15000</v>
      </c>
      <c r="K721" s="58">
        <f t="shared" si="85"/>
        <v>16500</v>
      </c>
      <c r="L721" s="18" t="s">
        <v>25</v>
      </c>
      <c r="M721" s="50"/>
    </row>
    <row r="722" spans="1:13" s="36" customFormat="1" ht="24" hidden="1" customHeight="1" x14ac:dyDescent="0.4">
      <c r="A722" s="59">
        <v>44942</v>
      </c>
      <c r="B722" s="32" t="s">
        <v>1099</v>
      </c>
      <c r="C722" s="18" t="s">
        <v>27</v>
      </c>
      <c r="D722" s="63" t="s">
        <v>28</v>
      </c>
      <c r="E722" s="50" t="s">
        <v>985</v>
      </c>
      <c r="F722" s="57">
        <v>4370</v>
      </c>
      <c r="G722" s="76"/>
      <c r="H722" s="57">
        <f t="shared" si="86"/>
        <v>4370</v>
      </c>
      <c r="I722" s="50">
        <v>1</v>
      </c>
      <c r="J722" s="57">
        <f t="shared" si="87"/>
        <v>4370</v>
      </c>
      <c r="K722" s="58">
        <f t="shared" si="85"/>
        <v>4807</v>
      </c>
      <c r="L722" s="18" t="s">
        <v>25</v>
      </c>
      <c r="M722" s="50"/>
    </row>
    <row r="723" spans="1:13" s="36" customFormat="1" ht="24" hidden="1" customHeight="1" x14ac:dyDescent="0.4">
      <c r="A723" s="59">
        <v>44942</v>
      </c>
      <c r="B723" s="32" t="s">
        <v>1099</v>
      </c>
      <c r="C723" s="18" t="s">
        <v>27</v>
      </c>
      <c r="D723" s="63" t="s">
        <v>28</v>
      </c>
      <c r="E723" s="50" t="s">
        <v>869</v>
      </c>
      <c r="F723" s="57">
        <v>17500</v>
      </c>
      <c r="G723" s="76"/>
      <c r="H723" s="57">
        <f t="shared" si="86"/>
        <v>17500</v>
      </c>
      <c r="I723" s="50">
        <v>1</v>
      </c>
      <c r="J723" s="57">
        <f t="shared" si="87"/>
        <v>17500</v>
      </c>
      <c r="K723" s="58">
        <f t="shared" si="85"/>
        <v>19250</v>
      </c>
      <c r="L723" s="18" t="s">
        <v>25</v>
      </c>
      <c r="M723" s="50"/>
    </row>
    <row r="724" spans="1:13" s="36" customFormat="1" ht="24" hidden="1" customHeight="1" x14ac:dyDescent="0.4">
      <c r="A724" s="59">
        <v>44944</v>
      </c>
      <c r="B724" s="32" t="s">
        <v>1100</v>
      </c>
      <c r="C724" s="18" t="s">
        <v>22</v>
      </c>
      <c r="D724" s="63" t="s">
        <v>48</v>
      </c>
      <c r="E724" s="50" t="s">
        <v>369</v>
      </c>
      <c r="F724" s="57">
        <v>3000</v>
      </c>
      <c r="G724" s="76"/>
      <c r="H724" s="57">
        <f t="shared" si="86"/>
        <v>3000</v>
      </c>
      <c r="I724" s="50">
        <v>1</v>
      </c>
      <c r="J724" s="57">
        <f t="shared" si="87"/>
        <v>3000</v>
      </c>
      <c r="K724" s="58">
        <f t="shared" si="85"/>
        <v>3300.0000000000005</v>
      </c>
      <c r="L724" s="18" t="s">
        <v>25</v>
      </c>
      <c r="M724" s="50"/>
    </row>
    <row r="725" spans="1:13" s="36" customFormat="1" ht="24" hidden="1" customHeight="1" x14ac:dyDescent="0.4">
      <c r="A725" s="59">
        <v>44944</v>
      </c>
      <c r="B725" s="32" t="s">
        <v>1078</v>
      </c>
      <c r="C725" s="18" t="s">
        <v>1101</v>
      </c>
      <c r="D725" s="63" t="s">
        <v>1102</v>
      </c>
      <c r="E725" s="50" t="s">
        <v>538</v>
      </c>
      <c r="F725" s="57">
        <v>5000</v>
      </c>
      <c r="G725" s="76">
        <v>-500</v>
      </c>
      <c r="H725" s="57">
        <f t="shared" si="86"/>
        <v>4500</v>
      </c>
      <c r="I725" s="50">
        <v>1</v>
      </c>
      <c r="J725" s="57">
        <f t="shared" si="87"/>
        <v>4500</v>
      </c>
      <c r="K725" s="58">
        <f t="shared" si="85"/>
        <v>4950</v>
      </c>
      <c r="L725" s="18" t="s">
        <v>25</v>
      </c>
      <c r="M725" s="50"/>
    </row>
    <row r="726" spans="1:13" s="36" customFormat="1" ht="24" hidden="1" customHeight="1" x14ac:dyDescent="0.4">
      <c r="A726" s="59">
        <v>44944</v>
      </c>
      <c r="B726" s="32" t="s">
        <v>1103</v>
      </c>
      <c r="C726" s="18" t="s">
        <v>1101</v>
      </c>
      <c r="D726" s="63" t="s">
        <v>1102</v>
      </c>
      <c r="E726" s="50" t="s">
        <v>1104</v>
      </c>
      <c r="F726" s="57">
        <v>1800</v>
      </c>
      <c r="G726" s="76">
        <v>-180</v>
      </c>
      <c r="H726" s="57">
        <f t="shared" si="86"/>
        <v>1620</v>
      </c>
      <c r="I726" s="50">
        <v>1</v>
      </c>
      <c r="J726" s="57">
        <f t="shared" si="87"/>
        <v>1620</v>
      </c>
      <c r="K726" s="58">
        <f t="shared" si="85"/>
        <v>1782.0000000000002</v>
      </c>
      <c r="L726" s="18" t="s">
        <v>1105</v>
      </c>
      <c r="M726" s="50"/>
    </row>
    <row r="727" spans="1:13" s="36" customFormat="1" ht="24" hidden="1" customHeight="1" x14ac:dyDescent="0.4">
      <c r="A727" s="59">
        <v>44945</v>
      </c>
      <c r="B727" s="32" t="s">
        <v>1018</v>
      </c>
      <c r="C727" s="18" t="s">
        <v>1101</v>
      </c>
      <c r="D727" s="63" t="s">
        <v>1106</v>
      </c>
      <c r="E727" s="50" t="s">
        <v>1107</v>
      </c>
      <c r="F727" s="57">
        <v>1000</v>
      </c>
      <c r="G727" s="76"/>
      <c r="H727" s="57">
        <f t="shared" si="86"/>
        <v>1000</v>
      </c>
      <c r="I727" s="50">
        <v>1</v>
      </c>
      <c r="J727" s="57">
        <f t="shared" si="87"/>
        <v>1000</v>
      </c>
      <c r="K727" s="58">
        <f t="shared" si="85"/>
        <v>1100</v>
      </c>
      <c r="L727" s="18" t="s">
        <v>1105</v>
      </c>
      <c r="M727" s="50"/>
    </row>
    <row r="728" spans="1:13" s="36" customFormat="1" ht="24" hidden="1" customHeight="1" x14ac:dyDescent="0.4">
      <c r="A728" s="59">
        <v>44945</v>
      </c>
      <c r="B728" s="32" t="s">
        <v>179</v>
      </c>
      <c r="C728" s="18" t="s">
        <v>1101</v>
      </c>
      <c r="D728" s="63" t="s">
        <v>1102</v>
      </c>
      <c r="E728" s="50" t="s">
        <v>1108</v>
      </c>
      <c r="F728" s="57">
        <v>1400</v>
      </c>
      <c r="G728" s="76">
        <v>-140</v>
      </c>
      <c r="H728" s="57">
        <f t="shared" si="86"/>
        <v>1260</v>
      </c>
      <c r="I728" s="50">
        <v>3</v>
      </c>
      <c r="J728" s="57">
        <f t="shared" si="87"/>
        <v>3780</v>
      </c>
      <c r="K728" s="58">
        <f t="shared" si="85"/>
        <v>4158</v>
      </c>
      <c r="L728" s="18" t="s">
        <v>1105</v>
      </c>
      <c r="M728" s="50"/>
    </row>
    <row r="729" spans="1:13" s="36" customFormat="1" ht="24" hidden="1" customHeight="1" x14ac:dyDescent="0.4">
      <c r="A729" s="59">
        <v>44945</v>
      </c>
      <c r="B729" s="32" t="s">
        <v>1109</v>
      </c>
      <c r="C729" s="18" t="s">
        <v>1101</v>
      </c>
      <c r="D729" s="63" t="s">
        <v>292</v>
      </c>
      <c r="E729" s="50" t="s">
        <v>1110</v>
      </c>
      <c r="F729" s="57">
        <v>5700</v>
      </c>
      <c r="G729" s="76">
        <v>-570</v>
      </c>
      <c r="H729" s="57">
        <f t="shared" si="86"/>
        <v>5130</v>
      </c>
      <c r="I729" s="50">
        <v>1</v>
      </c>
      <c r="J729" s="57">
        <f t="shared" si="87"/>
        <v>5130</v>
      </c>
      <c r="K729" s="58">
        <f t="shared" si="85"/>
        <v>5643.0000000000009</v>
      </c>
      <c r="L729" s="18" t="s">
        <v>25</v>
      </c>
      <c r="M729" s="50"/>
    </row>
    <row r="730" spans="1:13" s="36" customFormat="1" ht="24" hidden="1" customHeight="1" x14ac:dyDescent="0.4">
      <c r="A730" s="59">
        <v>44946</v>
      </c>
      <c r="B730" s="32" t="s">
        <v>1111</v>
      </c>
      <c r="C730" s="18" t="s">
        <v>22</v>
      </c>
      <c r="D730" s="63" t="s">
        <v>23</v>
      </c>
      <c r="E730" s="50" t="s">
        <v>1113</v>
      </c>
      <c r="F730" s="57">
        <v>13500</v>
      </c>
      <c r="G730" s="76"/>
      <c r="H730" s="57">
        <f t="shared" si="86"/>
        <v>13500</v>
      </c>
      <c r="I730" s="50">
        <v>1</v>
      </c>
      <c r="J730" s="57">
        <f t="shared" si="87"/>
        <v>13500</v>
      </c>
      <c r="K730" s="58">
        <f t="shared" si="85"/>
        <v>14850.000000000002</v>
      </c>
      <c r="L730" s="18" t="s">
        <v>1105</v>
      </c>
      <c r="M730" s="50"/>
    </row>
    <row r="731" spans="1:13" s="36" customFormat="1" ht="24" hidden="1" customHeight="1" x14ac:dyDescent="0.4">
      <c r="A731" s="59">
        <v>44946</v>
      </c>
      <c r="B731" s="32" t="s">
        <v>1114</v>
      </c>
      <c r="C731" s="18" t="s">
        <v>27</v>
      </c>
      <c r="D731" s="63" t="s">
        <v>28</v>
      </c>
      <c r="E731" s="50" t="s">
        <v>318</v>
      </c>
      <c r="F731" s="57">
        <v>15000</v>
      </c>
      <c r="G731" s="76"/>
      <c r="H731" s="57">
        <f t="shared" si="86"/>
        <v>15000</v>
      </c>
      <c r="I731" s="50">
        <v>1</v>
      </c>
      <c r="J731" s="57">
        <f t="shared" si="87"/>
        <v>15000</v>
      </c>
      <c r="K731" s="58">
        <f t="shared" si="85"/>
        <v>16500</v>
      </c>
      <c r="L731" s="18" t="s">
        <v>25</v>
      </c>
      <c r="M731" s="50"/>
    </row>
    <row r="732" spans="1:13" s="36" customFormat="1" ht="24" hidden="1" customHeight="1" x14ac:dyDescent="0.4">
      <c r="A732" s="59">
        <v>44946</v>
      </c>
      <c r="B732" s="32" t="s">
        <v>1114</v>
      </c>
      <c r="C732" s="18" t="s">
        <v>27</v>
      </c>
      <c r="D732" s="63" t="s">
        <v>28</v>
      </c>
      <c r="E732" s="50" t="s">
        <v>1115</v>
      </c>
      <c r="F732" s="57">
        <v>8500</v>
      </c>
      <c r="G732" s="76"/>
      <c r="H732" s="57">
        <f t="shared" si="86"/>
        <v>8500</v>
      </c>
      <c r="I732" s="50">
        <v>1</v>
      </c>
      <c r="J732" s="57">
        <f t="shared" si="87"/>
        <v>8500</v>
      </c>
      <c r="K732" s="58">
        <f t="shared" si="85"/>
        <v>9350</v>
      </c>
      <c r="L732" s="18" t="s">
        <v>25</v>
      </c>
      <c r="M732" s="50"/>
    </row>
    <row r="733" spans="1:13" s="36" customFormat="1" ht="24" hidden="1" customHeight="1" x14ac:dyDescent="0.4">
      <c r="A733" s="59">
        <v>44946</v>
      </c>
      <c r="B733" s="32" t="s">
        <v>1114</v>
      </c>
      <c r="C733" s="18" t="s">
        <v>27</v>
      </c>
      <c r="D733" s="63" t="s">
        <v>28</v>
      </c>
      <c r="E733" s="50" t="s">
        <v>1116</v>
      </c>
      <c r="F733" s="57">
        <v>2125</v>
      </c>
      <c r="G733" s="76"/>
      <c r="H733" s="57">
        <f t="shared" si="86"/>
        <v>2125</v>
      </c>
      <c r="I733" s="50">
        <v>1</v>
      </c>
      <c r="J733" s="57">
        <f t="shared" si="87"/>
        <v>2125</v>
      </c>
      <c r="K733" s="58">
        <f t="shared" si="85"/>
        <v>2337.5</v>
      </c>
      <c r="L733" s="18" t="s">
        <v>25</v>
      </c>
      <c r="M733" s="50"/>
    </row>
    <row r="734" spans="1:13" s="36" customFormat="1" ht="24" hidden="1" customHeight="1" x14ac:dyDescent="0.4">
      <c r="A734" s="59">
        <v>44946</v>
      </c>
      <c r="B734" s="32" t="s">
        <v>1111</v>
      </c>
      <c r="C734" s="18" t="s">
        <v>1101</v>
      </c>
      <c r="D734" s="63" t="s">
        <v>1117</v>
      </c>
      <c r="E734" s="50" t="s">
        <v>1118</v>
      </c>
      <c r="F734" s="57">
        <v>55000</v>
      </c>
      <c r="G734" s="76">
        <v>-11000</v>
      </c>
      <c r="H734" s="57">
        <f t="shared" si="86"/>
        <v>44000</v>
      </c>
      <c r="I734" s="50">
        <v>1</v>
      </c>
      <c r="J734" s="57">
        <f t="shared" si="87"/>
        <v>44000</v>
      </c>
      <c r="K734" s="58">
        <f t="shared" si="85"/>
        <v>48400.000000000007</v>
      </c>
      <c r="L734" s="18" t="s">
        <v>1121</v>
      </c>
      <c r="M734" s="50"/>
    </row>
    <row r="735" spans="1:13" s="36" customFormat="1" ht="24" hidden="1" customHeight="1" x14ac:dyDescent="0.4">
      <c r="A735" s="59">
        <v>44946</v>
      </c>
      <c r="B735" s="32" t="s">
        <v>1111</v>
      </c>
      <c r="C735" s="18" t="s">
        <v>1101</v>
      </c>
      <c r="D735" s="63" t="s">
        <v>1102</v>
      </c>
      <c r="E735" s="50" t="s">
        <v>1119</v>
      </c>
      <c r="F735" s="57">
        <v>1400</v>
      </c>
      <c r="G735" s="76"/>
      <c r="H735" s="57">
        <f t="shared" si="86"/>
        <v>1400</v>
      </c>
      <c r="I735" s="50">
        <v>1</v>
      </c>
      <c r="J735" s="57">
        <f t="shared" si="87"/>
        <v>1400</v>
      </c>
      <c r="K735" s="58">
        <f t="shared" si="85"/>
        <v>1540.0000000000002</v>
      </c>
      <c r="L735" s="18" t="s">
        <v>1121</v>
      </c>
      <c r="M735" s="50"/>
    </row>
    <row r="736" spans="1:13" s="36" customFormat="1" ht="24" hidden="1" customHeight="1" x14ac:dyDescent="0.4">
      <c r="A736" s="59">
        <v>44946</v>
      </c>
      <c r="B736" s="32" t="s">
        <v>678</v>
      </c>
      <c r="C736" s="18" t="s">
        <v>1101</v>
      </c>
      <c r="D736" s="63" t="s">
        <v>1102</v>
      </c>
      <c r="E736" s="50" t="s">
        <v>1120</v>
      </c>
      <c r="F736" s="57">
        <v>980</v>
      </c>
      <c r="G736" s="76">
        <v>-98</v>
      </c>
      <c r="H736" s="57">
        <f t="shared" si="86"/>
        <v>882</v>
      </c>
      <c r="I736" s="50">
        <v>1</v>
      </c>
      <c r="J736" s="57">
        <f t="shared" si="87"/>
        <v>882</v>
      </c>
      <c r="K736" s="58">
        <f t="shared" ref="K736:K801" si="88">J736*1.1</f>
        <v>970.2</v>
      </c>
      <c r="L736" s="18" t="s">
        <v>1105</v>
      </c>
      <c r="M736" s="50"/>
    </row>
    <row r="737" spans="1:13" s="36" customFormat="1" ht="24" hidden="1" customHeight="1" x14ac:dyDescent="0.4">
      <c r="A737" s="59">
        <v>44946</v>
      </c>
      <c r="B737" s="32" t="s">
        <v>511</v>
      </c>
      <c r="C737" s="18" t="s">
        <v>1101</v>
      </c>
      <c r="D737" s="63" t="s">
        <v>1117</v>
      </c>
      <c r="E737" s="50" t="s">
        <v>1122</v>
      </c>
      <c r="F737" s="57">
        <v>20000</v>
      </c>
      <c r="G737" s="76">
        <v>-2000</v>
      </c>
      <c r="H737" s="57">
        <f t="shared" si="86"/>
        <v>18000</v>
      </c>
      <c r="I737" s="50">
        <v>2</v>
      </c>
      <c r="J737" s="57">
        <f t="shared" si="87"/>
        <v>36000</v>
      </c>
      <c r="K737" s="58">
        <f t="shared" si="88"/>
        <v>39600</v>
      </c>
      <c r="L737" s="18" t="s">
        <v>1121</v>
      </c>
      <c r="M737" s="50"/>
    </row>
    <row r="738" spans="1:13" s="36" customFormat="1" ht="24" hidden="1" customHeight="1" x14ac:dyDescent="0.4">
      <c r="A738" s="59">
        <v>44946</v>
      </c>
      <c r="B738" s="32" t="s">
        <v>511</v>
      </c>
      <c r="C738" s="18" t="s">
        <v>1101</v>
      </c>
      <c r="D738" s="63" t="s">
        <v>1117</v>
      </c>
      <c r="E738" s="50" t="s">
        <v>1123</v>
      </c>
      <c r="F738" s="57">
        <v>20000</v>
      </c>
      <c r="G738" s="76">
        <v>-2000</v>
      </c>
      <c r="H738" s="57">
        <f t="shared" si="86"/>
        <v>18000</v>
      </c>
      <c r="I738" s="50">
        <v>4</v>
      </c>
      <c r="J738" s="57">
        <f t="shared" si="87"/>
        <v>72000</v>
      </c>
      <c r="K738" s="58">
        <f t="shared" si="88"/>
        <v>79200</v>
      </c>
      <c r="L738" s="18" t="s">
        <v>1121</v>
      </c>
      <c r="M738" s="50"/>
    </row>
    <row r="739" spans="1:13" s="36" customFormat="1" ht="24" hidden="1" customHeight="1" x14ac:dyDescent="0.4">
      <c r="A739" s="59">
        <v>44946</v>
      </c>
      <c r="B739" s="32" t="s">
        <v>511</v>
      </c>
      <c r="C739" s="18" t="s">
        <v>1101</v>
      </c>
      <c r="D739" s="63" t="s">
        <v>1102</v>
      </c>
      <c r="E739" s="50" t="s">
        <v>1124</v>
      </c>
      <c r="F739" s="57">
        <v>980</v>
      </c>
      <c r="G739" s="76"/>
      <c r="H739" s="57">
        <f t="shared" si="86"/>
        <v>980</v>
      </c>
      <c r="I739" s="50">
        <v>6</v>
      </c>
      <c r="J739" s="57">
        <f t="shared" si="87"/>
        <v>5880</v>
      </c>
      <c r="K739" s="58">
        <f t="shared" si="88"/>
        <v>6468.0000000000009</v>
      </c>
      <c r="L739" s="18" t="s">
        <v>1121</v>
      </c>
      <c r="M739" s="50"/>
    </row>
    <row r="740" spans="1:13" s="36" customFormat="1" ht="24" hidden="1" customHeight="1" x14ac:dyDescent="0.4">
      <c r="A740" s="59">
        <v>44947</v>
      </c>
      <c r="B740" s="32" t="s">
        <v>1125</v>
      </c>
      <c r="C740" s="18" t="s">
        <v>22</v>
      </c>
      <c r="D740" s="63" t="s">
        <v>48</v>
      </c>
      <c r="E740" s="50" t="s">
        <v>1126</v>
      </c>
      <c r="F740" s="57">
        <v>3000</v>
      </c>
      <c r="G740" s="76"/>
      <c r="H740" s="57">
        <f t="shared" si="86"/>
        <v>3000</v>
      </c>
      <c r="I740" s="50">
        <v>1</v>
      </c>
      <c r="J740" s="57">
        <f t="shared" si="87"/>
        <v>3000</v>
      </c>
      <c r="K740" s="58">
        <f t="shared" si="88"/>
        <v>3300.0000000000005</v>
      </c>
      <c r="L740" s="18" t="s">
        <v>25</v>
      </c>
      <c r="M740" s="50" t="s">
        <v>1134</v>
      </c>
    </row>
    <row r="741" spans="1:13" s="36" customFormat="1" ht="24" hidden="1" customHeight="1" x14ac:dyDescent="0.4">
      <c r="A741" s="59">
        <v>44947</v>
      </c>
      <c r="B741" s="32" t="s">
        <v>1127</v>
      </c>
      <c r="C741" s="18" t="s">
        <v>22</v>
      </c>
      <c r="D741" s="63" t="s">
        <v>23</v>
      </c>
      <c r="E741" s="50" t="s">
        <v>1128</v>
      </c>
      <c r="F741" s="57">
        <v>20000</v>
      </c>
      <c r="G741" s="76"/>
      <c r="H741" s="57">
        <f t="shared" si="86"/>
        <v>20000</v>
      </c>
      <c r="I741" s="50">
        <v>1</v>
      </c>
      <c r="J741" s="57">
        <f t="shared" si="87"/>
        <v>20000</v>
      </c>
      <c r="K741" s="58">
        <f t="shared" si="88"/>
        <v>22000</v>
      </c>
      <c r="L741" s="18" t="s">
        <v>25</v>
      </c>
      <c r="M741" s="50"/>
    </row>
    <row r="742" spans="1:13" s="36" customFormat="1" ht="24" hidden="1" customHeight="1" x14ac:dyDescent="0.4">
      <c r="A742" s="59">
        <v>44947</v>
      </c>
      <c r="B742" s="32" t="s">
        <v>1082</v>
      </c>
      <c r="C742" s="18" t="s">
        <v>27</v>
      </c>
      <c r="D742" s="63" t="s">
        <v>28</v>
      </c>
      <c r="E742" s="50" t="s">
        <v>318</v>
      </c>
      <c r="F742" s="57">
        <v>15000</v>
      </c>
      <c r="G742" s="76"/>
      <c r="H742" s="57">
        <f t="shared" si="86"/>
        <v>15000</v>
      </c>
      <c r="I742" s="50">
        <v>1</v>
      </c>
      <c r="J742" s="57">
        <f t="shared" si="87"/>
        <v>15000</v>
      </c>
      <c r="K742" s="58">
        <f t="shared" si="88"/>
        <v>16500</v>
      </c>
      <c r="L742" s="18" t="s">
        <v>25</v>
      </c>
      <c r="M742" s="50"/>
    </row>
    <row r="743" spans="1:13" s="36" customFormat="1" ht="24" hidden="1" customHeight="1" x14ac:dyDescent="0.4">
      <c r="A743" s="59">
        <v>44947</v>
      </c>
      <c r="B743" s="32" t="s">
        <v>1082</v>
      </c>
      <c r="C743" s="18" t="s">
        <v>27</v>
      </c>
      <c r="D743" s="63" t="s">
        <v>28</v>
      </c>
      <c r="E743" s="50" t="s">
        <v>1115</v>
      </c>
      <c r="F743" s="57">
        <v>8500</v>
      </c>
      <c r="G743" s="76"/>
      <c r="H743" s="57">
        <f t="shared" si="86"/>
        <v>8500</v>
      </c>
      <c r="I743" s="50">
        <v>1</v>
      </c>
      <c r="J743" s="57">
        <f t="shared" si="87"/>
        <v>8500</v>
      </c>
      <c r="K743" s="58">
        <f t="shared" si="88"/>
        <v>9350</v>
      </c>
      <c r="L743" s="18" t="s">
        <v>25</v>
      </c>
      <c r="M743" s="50"/>
    </row>
    <row r="744" spans="1:13" s="36" customFormat="1" ht="24" hidden="1" customHeight="1" x14ac:dyDescent="0.4">
      <c r="A744" s="59">
        <v>44947</v>
      </c>
      <c r="B744" s="32" t="s">
        <v>1082</v>
      </c>
      <c r="C744" s="18" t="s">
        <v>27</v>
      </c>
      <c r="D744" s="63" t="s">
        <v>28</v>
      </c>
      <c r="E744" s="50" t="s">
        <v>1116</v>
      </c>
      <c r="F744" s="57">
        <v>2125</v>
      </c>
      <c r="G744" s="76"/>
      <c r="H744" s="57">
        <f t="shared" si="86"/>
        <v>2125</v>
      </c>
      <c r="I744" s="50">
        <v>1</v>
      </c>
      <c r="J744" s="57">
        <f t="shared" si="87"/>
        <v>2125</v>
      </c>
      <c r="K744" s="58">
        <f t="shared" si="88"/>
        <v>2337.5</v>
      </c>
      <c r="L744" s="18" t="s">
        <v>25</v>
      </c>
      <c r="M744" s="50"/>
    </row>
    <row r="745" spans="1:13" s="36" customFormat="1" ht="24" hidden="1" customHeight="1" x14ac:dyDescent="0.4">
      <c r="A745" s="59">
        <v>44947</v>
      </c>
      <c r="B745" s="32" t="s">
        <v>1082</v>
      </c>
      <c r="C745" s="18" t="s">
        <v>27</v>
      </c>
      <c r="D745" s="63" t="s">
        <v>103</v>
      </c>
      <c r="E745" s="50" t="s">
        <v>104</v>
      </c>
      <c r="F745" s="57">
        <v>2500</v>
      </c>
      <c r="G745" s="76"/>
      <c r="H745" s="57">
        <f t="shared" si="86"/>
        <v>2500</v>
      </c>
      <c r="I745" s="50">
        <v>1</v>
      </c>
      <c r="J745" s="57">
        <f t="shared" si="87"/>
        <v>2500</v>
      </c>
      <c r="K745" s="58">
        <f t="shared" si="88"/>
        <v>2750</v>
      </c>
      <c r="L745" s="18" t="s">
        <v>25</v>
      </c>
      <c r="M745" s="50"/>
    </row>
    <row r="746" spans="1:13" s="36" customFormat="1" ht="24" hidden="1" customHeight="1" x14ac:dyDescent="0.4">
      <c r="A746" s="59">
        <v>44947</v>
      </c>
      <c r="B746" s="32" t="s">
        <v>1129</v>
      </c>
      <c r="C746" s="18" t="s">
        <v>1101</v>
      </c>
      <c r="D746" s="63" t="s">
        <v>1117</v>
      </c>
      <c r="E746" s="50" t="s">
        <v>1130</v>
      </c>
      <c r="F746" s="57">
        <v>23000</v>
      </c>
      <c r="G746" s="76">
        <v>-5060</v>
      </c>
      <c r="H746" s="57">
        <f t="shared" si="86"/>
        <v>17940</v>
      </c>
      <c r="I746" s="50">
        <v>1</v>
      </c>
      <c r="J746" s="57">
        <f t="shared" si="87"/>
        <v>17940</v>
      </c>
      <c r="K746" s="58">
        <f t="shared" si="88"/>
        <v>19734</v>
      </c>
      <c r="L746" s="18" t="s">
        <v>1105</v>
      </c>
      <c r="M746" s="50"/>
    </row>
    <row r="747" spans="1:13" s="36" customFormat="1" ht="24" hidden="1" customHeight="1" x14ac:dyDescent="0.4">
      <c r="A747" s="59">
        <v>44947</v>
      </c>
      <c r="B747" s="32" t="s">
        <v>1131</v>
      </c>
      <c r="C747" s="18" t="s">
        <v>22</v>
      </c>
      <c r="D747" s="63" t="s">
        <v>48</v>
      </c>
      <c r="E747" s="50" t="s">
        <v>369</v>
      </c>
      <c r="F747" s="57">
        <v>3000</v>
      </c>
      <c r="G747" s="76"/>
      <c r="H747" s="57">
        <f t="shared" si="86"/>
        <v>3000</v>
      </c>
      <c r="I747" s="50">
        <v>1</v>
      </c>
      <c r="J747" s="57">
        <f t="shared" si="87"/>
        <v>3000</v>
      </c>
      <c r="K747" s="58">
        <f t="shared" si="88"/>
        <v>3300.0000000000005</v>
      </c>
      <c r="L747" s="18" t="s">
        <v>25</v>
      </c>
      <c r="M747" s="50"/>
    </row>
    <row r="748" spans="1:13" s="36" customFormat="1" ht="24" hidden="1" customHeight="1" x14ac:dyDescent="0.4">
      <c r="A748" s="59">
        <v>44947</v>
      </c>
      <c r="B748" s="32" t="s">
        <v>1131</v>
      </c>
      <c r="C748" s="18" t="s">
        <v>27</v>
      </c>
      <c r="D748" s="63" t="s">
        <v>28</v>
      </c>
      <c r="E748" s="50" t="s">
        <v>318</v>
      </c>
      <c r="F748" s="57">
        <v>15000</v>
      </c>
      <c r="G748" s="76"/>
      <c r="H748" s="57">
        <f t="shared" si="86"/>
        <v>15000</v>
      </c>
      <c r="I748" s="50">
        <v>1</v>
      </c>
      <c r="J748" s="57">
        <f t="shared" si="87"/>
        <v>15000</v>
      </c>
      <c r="K748" s="58">
        <f t="shared" si="88"/>
        <v>16500</v>
      </c>
      <c r="L748" s="18" t="s">
        <v>25</v>
      </c>
      <c r="M748" s="50"/>
    </row>
    <row r="749" spans="1:13" s="36" customFormat="1" ht="24" hidden="1" customHeight="1" x14ac:dyDescent="0.4">
      <c r="A749" s="59">
        <v>44947</v>
      </c>
      <c r="B749" s="32" t="s">
        <v>1131</v>
      </c>
      <c r="C749" s="18" t="s">
        <v>27</v>
      </c>
      <c r="D749" s="63" t="s">
        <v>28</v>
      </c>
      <c r="E749" s="50" t="s">
        <v>1115</v>
      </c>
      <c r="F749" s="57">
        <v>8500</v>
      </c>
      <c r="G749" s="76"/>
      <c r="H749" s="57">
        <f t="shared" si="86"/>
        <v>8500</v>
      </c>
      <c r="I749" s="50">
        <v>1</v>
      </c>
      <c r="J749" s="57">
        <f t="shared" si="87"/>
        <v>8500</v>
      </c>
      <c r="K749" s="58">
        <f t="shared" si="88"/>
        <v>9350</v>
      </c>
      <c r="L749" s="18" t="s">
        <v>25</v>
      </c>
      <c r="M749" s="50"/>
    </row>
    <row r="750" spans="1:13" s="36" customFormat="1" ht="24" hidden="1" customHeight="1" x14ac:dyDescent="0.4">
      <c r="A750" s="59">
        <v>44947</v>
      </c>
      <c r="B750" s="32" t="s">
        <v>1131</v>
      </c>
      <c r="C750" s="18" t="s">
        <v>27</v>
      </c>
      <c r="D750" s="63" t="s">
        <v>28</v>
      </c>
      <c r="E750" s="50" t="s">
        <v>1116</v>
      </c>
      <c r="F750" s="57">
        <v>2125</v>
      </c>
      <c r="G750" s="76"/>
      <c r="H750" s="57">
        <f t="shared" si="86"/>
        <v>2125</v>
      </c>
      <c r="I750" s="50">
        <v>1</v>
      </c>
      <c r="J750" s="57">
        <f t="shared" si="87"/>
        <v>2125</v>
      </c>
      <c r="K750" s="58">
        <f t="shared" si="88"/>
        <v>2337.5</v>
      </c>
      <c r="L750" s="18" t="s">
        <v>25</v>
      </c>
      <c r="M750" s="50"/>
    </row>
    <row r="751" spans="1:13" s="36" customFormat="1" ht="24" hidden="1" customHeight="1" x14ac:dyDescent="0.4">
      <c r="A751" s="59">
        <v>44947</v>
      </c>
      <c r="B751" s="32" t="s">
        <v>1131</v>
      </c>
      <c r="C751" s="18" t="s">
        <v>27</v>
      </c>
      <c r="D751" s="63" t="s">
        <v>103</v>
      </c>
      <c r="E751" s="50" t="s">
        <v>1132</v>
      </c>
      <c r="F751" s="57">
        <v>25000</v>
      </c>
      <c r="G751" s="76"/>
      <c r="H751" s="57">
        <f t="shared" si="86"/>
        <v>25000</v>
      </c>
      <c r="I751" s="50">
        <v>1</v>
      </c>
      <c r="J751" s="57">
        <f t="shared" si="87"/>
        <v>25000</v>
      </c>
      <c r="K751" s="58">
        <f t="shared" si="88"/>
        <v>27500.000000000004</v>
      </c>
      <c r="L751" s="18" t="s">
        <v>25</v>
      </c>
      <c r="M751" s="50"/>
    </row>
    <row r="752" spans="1:13" s="36" customFormat="1" ht="24" hidden="1" customHeight="1" x14ac:dyDescent="0.4">
      <c r="A752" s="59">
        <v>44949</v>
      </c>
      <c r="B752" s="32" t="s">
        <v>1133</v>
      </c>
      <c r="C752" s="18" t="s">
        <v>22</v>
      </c>
      <c r="D752" s="63" t="s">
        <v>48</v>
      </c>
      <c r="E752" s="50" t="s">
        <v>369</v>
      </c>
      <c r="F752" s="57">
        <v>3000</v>
      </c>
      <c r="G752" s="76"/>
      <c r="H752" s="57">
        <f t="shared" si="86"/>
        <v>3000</v>
      </c>
      <c r="I752" s="50">
        <v>1</v>
      </c>
      <c r="J752" s="57">
        <f t="shared" si="87"/>
        <v>3000</v>
      </c>
      <c r="K752" s="58">
        <f t="shared" si="88"/>
        <v>3300.0000000000005</v>
      </c>
      <c r="L752" s="18" t="s">
        <v>1105</v>
      </c>
      <c r="M752" s="50"/>
    </row>
    <row r="753" spans="1:13" s="36" customFormat="1" ht="24" hidden="1" customHeight="1" x14ac:dyDescent="0.4">
      <c r="A753" s="62">
        <v>44951</v>
      </c>
      <c r="B753" s="32" t="s">
        <v>1135</v>
      </c>
      <c r="C753" s="18" t="s">
        <v>22</v>
      </c>
      <c r="D753" s="63" t="s">
        <v>48</v>
      </c>
      <c r="E753" s="50" t="s">
        <v>1136</v>
      </c>
      <c r="F753" s="57">
        <v>7500</v>
      </c>
      <c r="G753" s="76"/>
      <c r="H753" s="57">
        <f t="shared" si="86"/>
        <v>7500</v>
      </c>
      <c r="I753" s="50">
        <v>1</v>
      </c>
      <c r="J753" s="57">
        <f t="shared" si="87"/>
        <v>7500</v>
      </c>
      <c r="K753" s="58">
        <f t="shared" si="88"/>
        <v>8250</v>
      </c>
      <c r="L753" s="18" t="s">
        <v>1105</v>
      </c>
      <c r="M753" s="50"/>
    </row>
    <row r="754" spans="1:13" s="36" customFormat="1" ht="24" hidden="1" customHeight="1" x14ac:dyDescent="0.4">
      <c r="A754" s="62">
        <v>44951</v>
      </c>
      <c r="B754" s="32" t="s">
        <v>839</v>
      </c>
      <c r="C754" s="18" t="s">
        <v>1101</v>
      </c>
      <c r="D754" s="63" t="s">
        <v>426</v>
      </c>
      <c r="E754" s="50" t="s">
        <v>1137</v>
      </c>
      <c r="F754" s="57">
        <v>2150</v>
      </c>
      <c r="G754" s="76">
        <v>-215</v>
      </c>
      <c r="H754" s="57">
        <f t="shared" si="86"/>
        <v>1935</v>
      </c>
      <c r="I754" s="50">
        <v>1</v>
      </c>
      <c r="J754" s="57">
        <f t="shared" si="87"/>
        <v>1935</v>
      </c>
      <c r="K754" s="58">
        <v>2128</v>
      </c>
      <c r="L754" s="18" t="s">
        <v>1138</v>
      </c>
      <c r="M754" s="50" t="s">
        <v>1140</v>
      </c>
    </row>
    <row r="755" spans="1:13" s="36" customFormat="1" ht="24" hidden="1" customHeight="1" x14ac:dyDescent="0.4">
      <c r="A755" s="62">
        <v>44951</v>
      </c>
      <c r="B755" s="32" t="s">
        <v>1135</v>
      </c>
      <c r="C755" s="18" t="s">
        <v>1139</v>
      </c>
      <c r="D755" s="63"/>
      <c r="E755" s="50" t="s">
        <v>1141</v>
      </c>
      <c r="F755" s="57">
        <v>2000</v>
      </c>
      <c r="G755" s="76"/>
      <c r="H755" s="57">
        <f t="shared" si="86"/>
        <v>2000</v>
      </c>
      <c r="I755" s="50">
        <v>1</v>
      </c>
      <c r="J755" s="57">
        <f t="shared" si="87"/>
        <v>2000</v>
      </c>
      <c r="K755" s="58">
        <f t="shared" si="88"/>
        <v>2200</v>
      </c>
      <c r="L755" s="18" t="s">
        <v>1105</v>
      </c>
      <c r="M755" s="50"/>
    </row>
    <row r="756" spans="1:13" s="36" customFormat="1" ht="24" hidden="1" customHeight="1" x14ac:dyDescent="0.4">
      <c r="A756" s="62">
        <v>44951</v>
      </c>
      <c r="B756" s="32" t="s">
        <v>1133</v>
      </c>
      <c r="C756" s="18" t="s">
        <v>22</v>
      </c>
      <c r="D756" s="63" t="s">
        <v>48</v>
      </c>
      <c r="E756" s="50" t="s">
        <v>1126</v>
      </c>
      <c r="F756" s="57">
        <v>3000</v>
      </c>
      <c r="G756" s="76"/>
      <c r="H756" s="57">
        <f t="shared" si="86"/>
        <v>3000</v>
      </c>
      <c r="I756" s="50">
        <v>1</v>
      </c>
      <c r="J756" s="57">
        <f t="shared" si="87"/>
        <v>3000</v>
      </c>
      <c r="K756" s="58">
        <f t="shared" si="88"/>
        <v>3300.0000000000005</v>
      </c>
      <c r="L756" s="18" t="s">
        <v>1105</v>
      </c>
      <c r="M756" s="50"/>
    </row>
    <row r="757" spans="1:13" s="36" customFormat="1" ht="24" hidden="1" customHeight="1" x14ac:dyDescent="0.4">
      <c r="A757" s="62">
        <v>44952</v>
      </c>
      <c r="B757" s="32" t="s">
        <v>756</v>
      </c>
      <c r="C757" s="18" t="s">
        <v>1142</v>
      </c>
      <c r="D757" s="63" t="s">
        <v>1143</v>
      </c>
      <c r="E757" s="50" t="s">
        <v>1144</v>
      </c>
      <c r="F757" s="57">
        <v>1400</v>
      </c>
      <c r="G757" s="76"/>
      <c r="H757" s="57">
        <f t="shared" si="86"/>
        <v>1400</v>
      </c>
      <c r="I757" s="50">
        <v>1</v>
      </c>
      <c r="J757" s="57">
        <f t="shared" si="87"/>
        <v>1400</v>
      </c>
      <c r="K757" s="58">
        <f t="shared" si="88"/>
        <v>1540.0000000000002</v>
      </c>
      <c r="L757" s="18" t="s">
        <v>25</v>
      </c>
      <c r="M757" s="50"/>
    </row>
    <row r="758" spans="1:13" s="36" customFormat="1" ht="24" hidden="1" customHeight="1" x14ac:dyDescent="0.4">
      <c r="A758" s="62">
        <v>44952</v>
      </c>
      <c r="B758" s="32" t="s">
        <v>756</v>
      </c>
      <c r="C758" s="18" t="s">
        <v>1142</v>
      </c>
      <c r="D758" s="63" t="s">
        <v>292</v>
      </c>
      <c r="E758" s="50" t="s">
        <v>1145</v>
      </c>
      <c r="F758" s="57">
        <v>4200</v>
      </c>
      <c r="G758" s="76"/>
      <c r="H758" s="57">
        <f t="shared" si="86"/>
        <v>4200</v>
      </c>
      <c r="I758" s="50">
        <v>2</v>
      </c>
      <c r="J758" s="57">
        <f t="shared" si="87"/>
        <v>8400</v>
      </c>
      <c r="K758" s="58">
        <f t="shared" si="88"/>
        <v>9240</v>
      </c>
      <c r="L758" s="18" t="s">
        <v>25</v>
      </c>
      <c r="M758" s="50"/>
    </row>
    <row r="759" spans="1:13" s="36" customFormat="1" ht="24" hidden="1" customHeight="1" x14ac:dyDescent="0.4">
      <c r="A759" s="62">
        <v>44952</v>
      </c>
      <c r="B759" s="32" t="s">
        <v>1146</v>
      </c>
      <c r="C759" s="18" t="s">
        <v>27</v>
      </c>
      <c r="D759" s="63" t="s">
        <v>28</v>
      </c>
      <c r="E759" s="50" t="s">
        <v>869</v>
      </c>
      <c r="F759" s="57">
        <v>17500</v>
      </c>
      <c r="G759" s="76"/>
      <c r="H759" s="57">
        <f t="shared" si="86"/>
        <v>17500</v>
      </c>
      <c r="I759" s="50">
        <v>1</v>
      </c>
      <c r="J759" s="57">
        <f t="shared" si="87"/>
        <v>17500</v>
      </c>
      <c r="K759" s="58">
        <f t="shared" si="88"/>
        <v>19250</v>
      </c>
      <c r="L759" s="18" t="s">
        <v>1147</v>
      </c>
      <c r="M759" s="50"/>
    </row>
    <row r="760" spans="1:13" s="36" customFormat="1" ht="24" hidden="1" customHeight="1" x14ac:dyDescent="0.4">
      <c r="A760" s="62">
        <v>44953</v>
      </c>
      <c r="B760" s="32" t="s">
        <v>1148</v>
      </c>
      <c r="C760" s="18" t="s">
        <v>22</v>
      </c>
      <c r="D760" s="63" t="s">
        <v>23</v>
      </c>
      <c r="E760" s="50" t="s">
        <v>1149</v>
      </c>
      <c r="F760" s="57">
        <v>15000</v>
      </c>
      <c r="G760" s="76"/>
      <c r="H760" s="57">
        <f t="shared" si="86"/>
        <v>15000</v>
      </c>
      <c r="I760" s="50">
        <v>1</v>
      </c>
      <c r="J760" s="57">
        <f t="shared" si="87"/>
        <v>15000</v>
      </c>
      <c r="K760" s="58">
        <f t="shared" si="88"/>
        <v>16500</v>
      </c>
      <c r="L760" s="18" t="s">
        <v>1147</v>
      </c>
      <c r="M760" s="50"/>
    </row>
    <row r="761" spans="1:13" s="36" customFormat="1" ht="24" hidden="1" customHeight="1" x14ac:dyDescent="0.4">
      <c r="A761" s="62">
        <v>44953</v>
      </c>
      <c r="B761" s="32" t="s">
        <v>1133</v>
      </c>
      <c r="C761" s="18" t="s">
        <v>22</v>
      </c>
      <c r="D761" s="63" t="s">
        <v>48</v>
      </c>
      <c r="E761" s="50" t="s">
        <v>1126</v>
      </c>
      <c r="F761" s="57">
        <v>3000</v>
      </c>
      <c r="G761" s="76"/>
      <c r="H761" s="57">
        <f t="shared" ref="H761:H824" si="89">F761+G761</f>
        <v>3000</v>
      </c>
      <c r="I761" s="50">
        <v>1</v>
      </c>
      <c r="J761" s="57">
        <f t="shared" ref="J761:J826" si="90">H761*I761</f>
        <v>3000</v>
      </c>
      <c r="K761" s="58">
        <f t="shared" si="88"/>
        <v>3300.0000000000005</v>
      </c>
      <c r="L761" s="18" t="s">
        <v>1147</v>
      </c>
      <c r="M761" s="50"/>
    </row>
    <row r="762" spans="1:13" s="36" customFormat="1" ht="24" hidden="1" customHeight="1" x14ac:dyDescent="0.4">
      <c r="A762" s="62">
        <v>44953</v>
      </c>
      <c r="B762" s="32" t="s">
        <v>1150</v>
      </c>
      <c r="C762" s="18" t="s">
        <v>1142</v>
      </c>
      <c r="D762" s="63" t="s">
        <v>1151</v>
      </c>
      <c r="E762" s="50" t="s">
        <v>1152</v>
      </c>
      <c r="F762" s="57">
        <v>50000</v>
      </c>
      <c r="G762" s="76">
        <v>-15000</v>
      </c>
      <c r="H762" s="57">
        <f t="shared" si="89"/>
        <v>35000</v>
      </c>
      <c r="I762" s="50">
        <v>1</v>
      </c>
      <c r="J762" s="57">
        <f t="shared" si="90"/>
        <v>35000</v>
      </c>
      <c r="K762" s="58">
        <f t="shared" si="88"/>
        <v>38500</v>
      </c>
      <c r="L762" s="18" t="s">
        <v>34</v>
      </c>
      <c r="M762" s="50"/>
    </row>
    <row r="763" spans="1:13" s="36" customFormat="1" ht="24" hidden="1" customHeight="1" x14ac:dyDescent="0.4">
      <c r="A763" s="62">
        <v>44953</v>
      </c>
      <c r="B763" s="32" t="s">
        <v>1150</v>
      </c>
      <c r="C763" s="18" t="s">
        <v>1142</v>
      </c>
      <c r="D763" s="63" t="s">
        <v>576</v>
      </c>
      <c r="E763" s="50" t="s">
        <v>479</v>
      </c>
      <c r="F763" s="57">
        <v>75000</v>
      </c>
      <c r="G763" s="76">
        <v>-15000</v>
      </c>
      <c r="H763" s="57">
        <f t="shared" si="89"/>
        <v>60000</v>
      </c>
      <c r="I763" s="50">
        <v>1</v>
      </c>
      <c r="J763" s="57">
        <f t="shared" si="90"/>
        <v>60000</v>
      </c>
      <c r="K763" s="58">
        <f t="shared" si="88"/>
        <v>66000</v>
      </c>
      <c r="L763" s="18" t="s">
        <v>34</v>
      </c>
      <c r="M763" s="50"/>
    </row>
    <row r="764" spans="1:13" s="36" customFormat="1" ht="24" hidden="1" customHeight="1" x14ac:dyDescent="0.4">
      <c r="A764" s="62">
        <v>44953</v>
      </c>
      <c r="B764" s="32" t="s">
        <v>1150</v>
      </c>
      <c r="C764" s="18" t="s">
        <v>1142</v>
      </c>
      <c r="D764" s="63" t="s">
        <v>1143</v>
      </c>
      <c r="E764" s="50" t="s">
        <v>1153</v>
      </c>
      <c r="F764" s="57">
        <v>1500</v>
      </c>
      <c r="G764" s="76">
        <v>-150</v>
      </c>
      <c r="H764" s="57">
        <f t="shared" si="89"/>
        <v>1350</v>
      </c>
      <c r="I764" s="50">
        <v>1</v>
      </c>
      <c r="J764" s="57">
        <f t="shared" si="90"/>
        <v>1350</v>
      </c>
      <c r="K764" s="58">
        <f t="shared" si="88"/>
        <v>1485.0000000000002</v>
      </c>
      <c r="L764" s="18" t="s">
        <v>34</v>
      </c>
      <c r="M764" s="50"/>
    </row>
    <row r="765" spans="1:13" s="36" customFormat="1" ht="24" hidden="1" customHeight="1" x14ac:dyDescent="0.4">
      <c r="A765" s="62">
        <v>44953</v>
      </c>
      <c r="B765" s="32" t="s">
        <v>1154</v>
      </c>
      <c r="C765" s="18" t="s">
        <v>1142</v>
      </c>
      <c r="D765" s="63" t="s">
        <v>1143</v>
      </c>
      <c r="E765" s="50" t="s">
        <v>1155</v>
      </c>
      <c r="F765" s="57">
        <v>3800</v>
      </c>
      <c r="G765" s="76">
        <v>-380</v>
      </c>
      <c r="H765" s="57">
        <f t="shared" si="89"/>
        <v>3420</v>
      </c>
      <c r="I765" s="50">
        <v>1</v>
      </c>
      <c r="J765" s="57">
        <f t="shared" si="90"/>
        <v>3420</v>
      </c>
      <c r="K765" s="58">
        <f t="shared" si="88"/>
        <v>3762.0000000000005</v>
      </c>
      <c r="L765" s="18" t="s">
        <v>25</v>
      </c>
      <c r="M765" s="50"/>
    </row>
    <row r="766" spans="1:13" s="36" customFormat="1" ht="24" hidden="1" customHeight="1" x14ac:dyDescent="0.4">
      <c r="A766" s="62">
        <v>44953</v>
      </c>
      <c r="B766" s="32" t="s">
        <v>1127</v>
      </c>
      <c r="C766" s="18" t="s">
        <v>1171</v>
      </c>
      <c r="D766" s="63" t="s">
        <v>1172</v>
      </c>
      <c r="E766" s="50" t="s">
        <v>1173</v>
      </c>
      <c r="F766" s="57">
        <v>23000</v>
      </c>
      <c r="G766" s="76">
        <v>-9200</v>
      </c>
      <c r="H766" s="57">
        <f t="shared" si="89"/>
        <v>13800</v>
      </c>
      <c r="I766" s="50">
        <v>1</v>
      </c>
      <c r="J766" s="57">
        <f t="shared" si="90"/>
        <v>13800</v>
      </c>
      <c r="K766" s="58">
        <f t="shared" si="88"/>
        <v>15180.000000000002</v>
      </c>
      <c r="L766" s="18" t="s">
        <v>1175</v>
      </c>
      <c r="M766" s="50"/>
    </row>
    <row r="767" spans="1:13" s="36" customFormat="1" ht="24" hidden="1" customHeight="1" x14ac:dyDescent="0.4">
      <c r="A767" s="62">
        <v>44953</v>
      </c>
      <c r="B767" s="32" t="s">
        <v>1127</v>
      </c>
      <c r="C767" s="18" t="s">
        <v>1171</v>
      </c>
      <c r="D767" s="63" t="s">
        <v>1172</v>
      </c>
      <c r="E767" s="50" t="s">
        <v>1174</v>
      </c>
      <c r="F767" s="57">
        <v>23000</v>
      </c>
      <c r="G767" s="76">
        <v>-9200</v>
      </c>
      <c r="H767" s="57">
        <f t="shared" si="89"/>
        <v>13800</v>
      </c>
      <c r="I767" s="50">
        <v>1</v>
      </c>
      <c r="J767" s="57">
        <f t="shared" si="90"/>
        <v>13800</v>
      </c>
      <c r="K767" s="58">
        <f t="shared" si="88"/>
        <v>15180.000000000002</v>
      </c>
      <c r="L767" s="18" t="s">
        <v>1175</v>
      </c>
      <c r="M767" s="50"/>
    </row>
    <row r="768" spans="1:13" s="36" customFormat="1" ht="24" hidden="1" customHeight="1" x14ac:dyDescent="0.4">
      <c r="A768" s="62">
        <v>44954</v>
      </c>
      <c r="B768" s="32" t="s">
        <v>1156</v>
      </c>
      <c r="C768" s="18" t="s">
        <v>22</v>
      </c>
      <c r="D768" s="63" t="s">
        <v>23</v>
      </c>
      <c r="E768" s="50" t="s">
        <v>827</v>
      </c>
      <c r="F768" s="57">
        <v>15000</v>
      </c>
      <c r="G768" s="76"/>
      <c r="H768" s="57">
        <f t="shared" si="89"/>
        <v>15000</v>
      </c>
      <c r="I768" s="50">
        <v>1</v>
      </c>
      <c r="J768" s="57">
        <f t="shared" si="90"/>
        <v>15000</v>
      </c>
      <c r="K768" s="58">
        <f t="shared" si="88"/>
        <v>16500</v>
      </c>
      <c r="L768" s="18" t="s">
        <v>25</v>
      </c>
      <c r="M768" s="50"/>
    </row>
    <row r="769" spans="1:13" s="36" customFormat="1" ht="24" hidden="1" customHeight="1" x14ac:dyDescent="0.4">
      <c r="A769" s="62">
        <v>44954</v>
      </c>
      <c r="B769" s="32" t="s">
        <v>1156</v>
      </c>
      <c r="C769" s="18" t="s">
        <v>1142</v>
      </c>
      <c r="D769" s="63" t="s">
        <v>1151</v>
      </c>
      <c r="E769" s="50" t="s">
        <v>1157</v>
      </c>
      <c r="F769" s="57">
        <v>72000</v>
      </c>
      <c r="G769" s="76">
        <v>-14400</v>
      </c>
      <c r="H769" s="57">
        <f t="shared" si="89"/>
        <v>57600</v>
      </c>
      <c r="I769" s="50">
        <v>1</v>
      </c>
      <c r="J769" s="57">
        <f t="shared" si="90"/>
        <v>57600</v>
      </c>
      <c r="K769" s="58">
        <f t="shared" si="88"/>
        <v>63360.000000000007</v>
      </c>
      <c r="L769" s="18" t="s">
        <v>1147</v>
      </c>
      <c r="M769" s="50"/>
    </row>
    <row r="770" spans="1:13" s="36" customFormat="1" ht="24" hidden="1" customHeight="1" x14ac:dyDescent="0.4">
      <c r="A770" s="62">
        <v>44954</v>
      </c>
      <c r="B770" s="32" t="s">
        <v>1156</v>
      </c>
      <c r="C770" s="18" t="s">
        <v>1142</v>
      </c>
      <c r="D770" s="63" t="s">
        <v>330</v>
      </c>
      <c r="E770" s="50" t="s">
        <v>1158</v>
      </c>
      <c r="F770" s="57">
        <v>5000</v>
      </c>
      <c r="G770" s="76"/>
      <c r="H770" s="57">
        <f t="shared" si="89"/>
        <v>5000</v>
      </c>
      <c r="I770" s="50">
        <v>1</v>
      </c>
      <c r="J770" s="57">
        <f t="shared" si="90"/>
        <v>5000</v>
      </c>
      <c r="K770" s="58">
        <f t="shared" si="88"/>
        <v>5500</v>
      </c>
      <c r="L770" s="18" t="s">
        <v>1147</v>
      </c>
      <c r="M770" s="50"/>
    </row>
    <row r="771" spans="1:13" s="36" customFormat="1" ht="24" hidden="1" customHeight="1" x14ac:dyDescent="0.4">
      <c r="A771" s="62">
        <v>44954</v>
      </c>
      <c r="B771" s="32" t="s">
        <v>1156</v>
      </c>
      <c r="C771" s="18" t="s">
        <v>1142</v>
      </c>
      <c r="D771" s="63" t="s">
        <v>1143</v>
      </c>
      <c r="E771" s="50" t="s">
        <v>1159</v>
      </c>
      <c r="F771" s="57">
        <v>980</v>
      </c>
      <c r="G771" s="76"/>
      <c r="H771" s="57">
        <f t="shared" si="89"/>
        <v>980</v>
      </c>
      <c r="I771" s="50">
        <v>1</v>
      </c>
      <c r="J771" s="57">
        <f t="shared" si="90"/>
        <v>980</v>
      </c>
      <c r="K771" s="58">
        <f t="shared" si="88"/>
        <v>1078</v>
      </c>
      <c r="L771" s="18" t="s">
        <v>1147</v>
      </c>
      <c r="M771" s="50"/>
    </row>
    <row r="772" spans="1:13" s="36" customFormat="1" ht="24" hidden="1" customHeight="1" x14ac:dyDescent="0.4">
      <c r="A772" s="62">
        <v>44954</v>
      </c>
      <c r="B772" s="32" t="s">
        <v>1160</v>
      </c>
      <c r="C772" s="18" t="s">
        <v>1142</v>
      </c>
      <c r="D772" s="63" t="s">
        <v>662</v>
      </c>
      <c r="E772" s="50" t="s">
        <v>1161</v>
      </c>
      <c r="F772" s="57">
        <v>1000</v>
      </c>
      <c r="G772" s="76">
        <v>-100</v>
      </c>
      <c r="H772" s="57">
        <f t="shared" si="89"/>
        <v>900</v>
      </c>
      <c r="I772" s="50">
        <v>1</v>
      </c>
      <c r="J772" s="57">
        <f t="shared" si="90"/>
        <v>900</v>
      </c>
      <c r="K772" s="58">
        <f t="shared" si="88"/>
        <v>990.00000000000011</v>
      </c>
      <c r="L772" s="18" t="s">
        <v>1147</v>
      </c>
      <c r="M772" s="50"/>
    </row>
    <row r="773" spans="1:13" s="36" customFormat="1" ht="24" hidden="1" customHeight="1" x14ac:dyDescent="0.4">
      <c r="A773" s="62">
        <v>44954</v>
      </c>
      <c r="B773" s="32" t="s">
        <v>1162</v>
      </c>
      <c r="C773" s="18" t="s">
        <v>27</v>
      </c>
      <c r="D773" s="63" t="s">
        <v>103</v>
      </c>
      <c r="E773" s="50" t="s">
        <v>104</v>
      </c>
      <c r="F773" s="57">
        <v>2500</v>
      </c>
      <c r="G773" s="76"/>
      <c r="H773" s="57">
        <f t="shared" si="89"/>
        <v>2500</v>
      </c>
      <c r="I773" s="50">
        <v>1</v>
      </c>
      <c r="J773" s="57">
        <f t="shared" si="90"/>
        <v>2500</v>
      </c>
      <c r="K773" s="58">
        <f t="shared" si="88"/>
        <v>2750</v>
      </c>
      <c r="L773" s="18" t="s">
        <v>1147</v>
      </c>
      <c r="M773" s="50"/>
    </row>
    <row r="774" spans="1:13" s="36" customFormat="1" ht="24" hidden="1" customHeight="1" x14ac:dyDescent="0.4">
      <c r="A774" s="62">
        <v>44954</v>
      </c>
      <c r="B774" s="32" t="s">
        <v>1163</v>
      </c>
      <c r="C774" s="18" t="s">
        <v>22</v>
      </c>
      <c r="D774" s="63" t="s">
        <v>48</v>
      </c>
      <c r="E774" s="50" t="s">
        <v>369</v>
      </c>
      <c r="F774" s="57">
        <v>3000</v>
      </c>
      <c r="G774" s="76"/>
      <c r="H774" s="57">
        <f t="shared" si="89"/>
        <v>3000</v>
      </c>
      <c r="I774" s="50">
        <v>1</v>
      </c>
      <c r="J774" s="57">
        <f t="shared" si="90"/>
        <v>3000</v>
      </c>
      <c r="K774" s="58">
        <f t="shared" si="88"/>
        <v>3300.0000000000005</v>
      </c>
      <c r="L774" s="18" t="s">
        <v>1147</v>
      </c>
      <c r="M774" s="50"/>
    </row>
    <row r="775" spans="1:13" s="36" customFormat="1" ht="24" hidden="1" customHeight="1" x14ac:dyDescent="0.4">
      <c r="A775" s="62">
        <v>44955</v>
      </c>
      <c r="B775" s="32" t="s">
        <v>1082</v>
      </c>
      <c r="C775" s="18" t="s">
        <v>27</v>
      </c>
      <c r="D775" s="63" t="s">
        <v>103</v>
      </c>
      <c r="E775" s="50" t="s">
        <v>104</v>
      </c>
      <c r="F775" s="57">
        <v>3000</v>
      </c>
      <c r="G775" s="76"/>
      <c r="H775" s="57">
        <f t="shared" si="89"/>
        <v>3000</v>
      </c>
      <c r="I775" s="50">
        <v>1</v>
      </c>
      <c r="J775" s="57">
        <f t="shared" si="90"/>
        <v>3000</v>
      </c>
      <c r="K775" s="58">
        <f t="shared" si="88"/>
        <v>3300.0000000000005</v>
      </c>
      <c r="L775" s="18" t="s">
        <v>25</v>
      </c>
      <c r="M775" s="50"/>
    </row>
    <row r="776" spans="1:13" s="36" customFormat="1" ht="24" hidden="1" customHeight="1" x14ac:dyDescent="0.4">
      <c r="A776" s="62">
        <v>44955</v>
      </c>
      <c r="B776" s="32" t="s">
        <v>1164</v>
      </c>
      <c r="C776" s="18" t="s">
        <v>22</v>
      </c>
      <c r="D776" s="63" t="s">
        <v>23</v>
      </c>
      <c r="E776" s="50" t="s">
        <v>827</v>
      </c>
      <c r="F776" s="57">
        <v>15000</v>
      </c>
      <c r="G776" s="76"/>
      <c r="H776" s="57">
        <f t="shared" si="89"/>
        <v>15000</v>
      </c>
      <c r="I776" s="50">
        <v>1</v>
      </c>
      <c r="J776" s="57">
        <f t="shared" si="90"/>
        <v>15000</v>
      </c>
      <c r="K776" s="58">
        <f t="shared" si="88"/>
        <v>16500</v>
      </c>
      <c r="L776" s="18" t="s">
        <v>1147</v>
      </c>
      <c r="M776" s="50"/>
    </row>
    <row r="777" spans="1:13" s="36" customFormat="1" ht="24" hidden="1" customHeight="1" x14ac:dyDescent="0.4">
      <c r="A777" s="62">
        <v>44955</v>
      </c>
      <c r="B777" s="32" t="s">
        <v>254</v>
      </c>
      <c r="C777" s="18" t="s">
        <v>27</v>
      </c>
      <c r="D777" s="63" t="s">
        <v>103</v>
      </c>
      <c r="E777" s="50" t="s">
        <v>1165</v>
      </c>
      <c r="F777" s="57">
        <v>25000</v>
      </c>
      <c r="G777" s="76"/>
      <c r="H777" s="57">
        <f t="shared" si="89"/>
        <v>25000</v>
      </c>
      <c r="I777" s="50">
        <v>1</v>
      </c>
      <c r="J777" s="57">
        <f t="shared" si="90"/>
        <v>25000</v>
      </c>
      <c r="K777" s="58">
        <f t="shared" si="88"/>
        <v>27500.000000000004</v>
      </c>
      <c r="L777" s="18" t="s">
        <v>25</v>
      </c>
      <c r="M777" s="50"/>
    </row>
    <row r="778" spans="1:13" s="36" customFormat="1" ht="24" hidden="1" customHeight="1" x14ac:dyDescent="0.4">
      <c r="A778" s="62">
        <v>44955</v>
      </c>
      <c r="B778" s="32" t="s">
        <v>1166</v>
      </c>
      <c r="C778" s="18" t="s">
        <v>22</v>
      </c>
      <c r="D778" s="63" t="s">
        <v>23</v>
      </c>
      <c r="E778" s="50" t="s">
        <v>1167</v>
      </c>
      <c r="F778" s="57">
        <v>20000</v>
      </c>
      <c r="G778" s="76"/>
      <c r="H778" s="57">
        <f t="shared" si="89"/>
        <v>20000</v>
      </c>
      <c r="I778" s="50">
        <v>1</v>
      </c>
      <c r="J778" s="57">
        <f t="shared" si="90"/>
        <v>20000</v>
      </c>
      <c r="K778" s="58">
        <f t="shared" si="88"/>
        <v>22000</v>
      </c>
      <c r="L778" s="18" t="s">
        <v>25</v>
      </c>
      <c r="M778" s="50"/>
    </row>
    <row r="779" spans="1:13" s="36" customFormat="1" ht="24" hidden="1" customHeight="1" x14ac:dyDescent="0.4">
      <c r="A779" s="62">
        <v>44955</v>
      </c>
      <c r="B779" s="32" t="s">
        <v>1166</v>
      </c>
      <c r="C779" s="18" t="s">
        <v>1142</v>
      </c>
      <c r="D779" s="63" t="s">
        <v>1151</v>
      </c>
      <c r="E779" s="50" t="s">
        <v>1168</v>
      </c>
      <c r="F779" s="57">
        <v>40000</v>
      </c>
      <c r="G779" s="76">
        <v>-8000</v>
      </c>
      <c r="H779" s="57">
        <f t="shared" si="89"/>
        <v>32000</v>
      </c>
      <c r="I779" s="50">
        <v>1</v>
      </c>
      <c r="J779" s="57">
        <f t="shared" si="90"/>
        <v>32000</v>
      </c>
      <c r="K779" s="58">
        <f t="shared" si="88"/>
        <v>35200</v>
      </c>
      <c r="L779" s="18" t="s">
        <v>34</v>
      </c>
      <c r="M779" s="50"/>
    </row>
    <row r="780" spans="1:13" s="36" customFormat="1" ht="24" hidden="1" customHeight="1" x14ac:dyDescent="0.4">
      <c r="A780" s="62">
        <v>44955</v>
      </c>
      <c r="B780" s="32" t="s">
        <v>1166</v>
      </c>
      <c r="C780" s="18" t="s">
        <v>1142</v>
      </c>
      <c r="D780" s="63" t="s">
        <v>1151</v>
      </c>
      <c r="E780" s="50" t="s">
        <v>1169</v>
      </c>
      <c r="F780" s="57">
        <v>23000</v>
      </c>
      <c r="G780" s="76">
        <v>-4600</v>
      </c>
      <c r="H780" s="57">
        <f t="shared" si="89"/>
        <v>18400</v>
      </c>
      <c r="I780" s="50">
        <v>1</v>
      </c>
      <c r="J780" s="57">
        <f t="shared" si="90"/>
        <v>18400</v>
      </c>
      <c r="K780" s="58">
        <f t="shared" si="88"/>
        <v>20240</v>
      </c>
      <c r="L780" s="18" t="s">
        <v>34</v>
      </c>
      <c r="M780" s="50"/>
    </row>
    <row r="781" spans="1:13" s="36" customFormat="1" ht="24" hidden="1" customHeight="1" thickBot="1" x14ac:dyDescent="0.45">
      <c r="A781" s="150">
        <v>44956</v>
      </c>
      <c r="B781" s="107" t="s">
        <v>1170</v>
      </c>
      <c r="C781" s="108" t="s">
        <v>27</v>
      </c>
      <c r="D781" s="109" t="s">
        <v>103</v>
      </c>
      <c r="E781" s="110" t="s">
        <v>104</v>
      </c>
      <c r="F781" s="111">
        <v>2500</v>
      </c>
      <c r="G781" s="112"/>
      <c r="H781" s="111">
        <f t="shared" si="89"/>
        <v>2500</v>
      </c>
      <c r="I781" s="110">
        <v>1</v>
      </c>
      <c r="J781" s="111">
        <f t="shared" si="90"/>
        <v>2500</v>
      </c>
      <c r="K781" s="113">
        <f t="shared" si="88"/>
        <v>2750</v>
      </c>
      <c r="L781" s="108" t="s">
        <v>1147</v>
      </c>
      <c r="M781" s="110"/>
    </row>
    <row r="782" spans="1:13" s="36" customFormat="1" ht="24" hidden="1" customHeight="1" x14ac:dyDescent="0.4">
      <c r="A782" s="59">
        <v>44958</v>
      </c>
      <c r="B782" s="82" t="s">
        <v>1176</v>
      </c>
      <c r="C782" s="60" t="s">
        <v>1177</v>
      </c>
      <c r="D782" s="61" t="s">
        <v>1178</v>
      </c>
      <c r="E782" s="56" t="s">
        <v>1179</v>
      </c>
      <c r="F782" s="99">
        <v>2400</v>
      </c>
      <c r="G782" s="79">
        <v>-240</v>
      </c>
      <c r="H782" s="99">
        <f t="shared" si="89"/>
        <v>2160</v>
      </c>
      <c r="I782" s="56">
        <v>1</v>
      </c>
      <c r="J782" s="99">
        <f t="shared" si="90"/>
        <v>2160</v>
      </c>
      <c r="K782" s="100">
        <f t="shared" si="88"/>
        <v>2376</v>
      </c>
      <c r="L782" s="60" t="s">
        <v>25</v>
      </c>
      <c r="M782" s="56"/>
    </row>
    <row r="783" spans="1:13" s="36" customFormat="1" ht="24" hidden="1" customHeight="1" x14ac:dyDescent="0.4">
      <c r="A783" s="59">
        <v>44958</v>
      </c>
      <c r="B783" s="32" t="s">
        <v>1180</v>
      </c>
      <c r="C783" s="18" t="s">
        <v>1181</v>
      </c>
      <c r="D783" s="63" t="s">
        <v>28</v>
      </c>
      <c r="E783" s="50" t="s">
        <v>907</v>
      </c>
      <c r="F783" s="57">
        <v>10000</v>
      </c>
      <c r="G783" s="76"/>
      <c r="H783" s="57">
        <f t="shared" si="89"/>
        <v>10000</v>
      </c>
      <c r="I783" s="50">
        <v>1</v>
      </c>
      <c r="J783" s="57">
        <f t="shared" si="90"/>
        <v>10000</v>
      </c>
      <c r="K783" s="58">
        <f t="shared" si="88"/>
        <v>11000</v>
      </c>
      <c r="L783" s="60" t="s">
        <v>25</v>
      </c>
      <c r="M783" s="50"/>
    </row>
    <row r="784" spans="1:13" s="36" customFormat="1" ht="24" hidden="1" customHeight="1" x14ac:dyDescent="0.4">
      <c r="A784" s="59">
        <v>44958</v>
      </c>
      <c r="B784" s="32" t="s">
        <v>168</v>
      </c>
      <c r="C784" s="18" t="s">
        <v>1177</v>
      </c>
      <c r="D784" s="63" t="s">
        <v>1182</v>
      </c>
      <c r="E784" s="50" t="s">
        <v>1183</v>
      </c>
      <c r="F784" s="57">
        <v>23000</v>
      </c>
      <c r="G784" s="76">
        <v>-4600</v>
      </c>
      <c r="H784" s="57">
        <f t="shared" si="89"/>
        <v>18400</v>
      </c>
      <c r="I784" s="50">
        <v>2</v>
      </c>
      <c r="J784" s="57">
        <f t="shared" si="90"/>
        <v>36800</v>
      </c>
      <c r="K784" s="58">
        <f t="shared" si="88"/>
        <v>40480</v>
      </c>
      <c r="L784" s="18" t="s">
        <v>34</v>
      </c>
      <c r="M784" s="50"/>
    </row>
    <row r="785" spans="1:13" s="36" customFormat="1" ht="24" hidden="1" customHeight="1" x14ac:dyDescent="0.4">
      <c r="A785" s="59">
        <v>44958</v>
      </c>
      <c r="B785" s="32" t="s">
        <v>168</v>
      </c>
      <c r="C785" s="18" t="s">
        <v>1177</v>
      </c>
      <c r="D785" s="63" t="s">
        <v>1178</v>
      </c>
      <c r="E785" s="50" t="s">
        <v>446</v>
      </c>
      <c r="F785" s="57">
        <v>1700</v>
      </c>
      <c r="G785" s="76"/>
      <c r="H785" s="57">
        <f t="shared" si="89"/>
        <v>1700</v>
      </c>
      <c r="I785" s="50">
        <v>2</v>
      </c>
      <c r="J785" s="57">
        <f t="shared" si="90"/>
        <v>3400</v>
      </c>
      <c r="K785" s="58">
        <f t="shared" si="88"/>
        <v>3740.0000000000005</v>
      </c>
      <c r="L785" s="18" t="s">
        <v>34</v>
      </c>
      <c r="M785" s="50"/>
    </row>
    <row r="786" spans="1:13" s="36" customFormat="1" ht="24" hidden="1" customHeight="1" x14ac:dyDescent="0.4">
      <c r="A786" s="62">
        <v>44961</v>
      </c>
      <c r="B786" s="32" t="s">
        <v>1156</v>
      </c>
      <c r="C786" s="18" t="s">
        <v>1184</v>
      </c>
      <c r="D786" s="63" t="s">
        <v>1185</v>
      </c>
      <c r="E786" s="50" t="s">
        <v>827</v>
      </c>
      <c r="F786" s="57">
        <v>15000</v>
      </c>
      <c r="G786" s="76"/>
      <c r="H786" s="57">
        <f t="shared" si="89"/>
        <v>15000</v>
      </c>
      <c r="I786" s="50">
        <v>1</v>
      </c>
      <c r="J786" s="57">
        <f t="shared" si="90"/>
        <v>15000</v>
      </c>
      <c r="K786" s="58">
        <f t="shared" si="88"/>
        <v>16500</v>
      </c>
      <c r="L786" s="18" t="s">
        <v>25</v>
      </c>
      <c r="M786" s="50"/>
    </row>
    <row r="787" spans="1:13" s="36" customFormat="1" ht="24" hidden="1" customHeight="1" x14ac:dyDescent="0.4">
      <c r="A787" s="62">
        <v>44961</v>
      </c>
      <c r="B787" s="32" t="s">
        <v>1186</v>
      </c>
      <c r="C787" s="18" t="s">
        <v>1184</v>
      </c>
      <c r="D787" s="63" t="s">
        <v>1187</v>
      </c>
      <c r="E787" s="50" t="s">
        <v>1188</v>
      </c>
      <c r="F787" s="57">
        <v>3000</v>
      </c>
      <c r="G787" s="76"/>
      <c r="H787" s="57">
        <f t="shared" si="89"/>
        <v>3000</v>
      </c>
      <c r="I787" s="50">
        <v>1</v>
      </c>
      <c r="J787" s="57">
        <f t="shared" si="90"/>
        <v>3000</v>
      </c>
      <c r="K787" s="58">
        <f t="shared" si="88"/>
        <v>3300.0000000000005</v>
      </c>
      <c r="L787" s="18" t="s">
        <v>25</v>
      </c>
      <c r="M787" s="50"/>
    </row>
    <row r="788" spans="1:13" s="36" customFormat="1" ht="24" hidden="1" customHeight="1" x14ac:dyDescent="0.4">
      <c r="A788" s="62">
        <v>44961</v>
      </c>
      <c r="B788" s="32" t="s">
        <v>1156</v>
      </c>
      <c r="C788" s="18" t="s">
        <v>17</v>
      </c>
      <c r="D788" s="63" t="s">
        <v>1182</v>
      </c>
      <c r="E788" s="50" t="s">
        <v>1189</v>
      </c>
      <c r="F788" s="57">
        <v>48000</v>
      </c>
      <c r="G788" s="76">
        <v>-9600</v>
      </c>
      <c r="H788" s="57">
        <f t="shared" si="89"/>
        <v>38400</v>
      </c>
      <c r="I788" s="50">
        <v>2</v>
      </c>
      <c r="J788" s="57">
        <f t="shared" si="90"/>
        <v>76800</v>
      </c>
      <c r="K788" s="58">
        <f t="shared" si="88"/>
        <v>84480</v>
      </c>
      <c r="L788" s="18" t="s">
        <v>1193</v>
      </c>
      <c r="M788" s="50"/>
    </row>
    <row r="789" spans="1:13" s="36" customFormat="1" ht="24" hidden="1" customHeight="1" x14ac:dyDescent="0.4">
      <c r="A789" s="62">
        <v>44961</v>
      </c>
      <c r="B789" s="32" t="s">
        <v>1156</v>
      </c>
      <c r="C789" s="18" t="s">
        <v>17</v>
      </c>
      <c r="D789" s="63" t="s">
        <v>1182</v>
      </c>
      <c r="E789" s="50" t="s">
        <v>1190</v>
      </c>
      <c r="F789" s="57">
        <v>33000</v>
      </c>
      <c r="G789" s="76">
        <v>-6600</v>
      </c>
      <c r="H789" s="57">
        <f t="shared" si="89"/>
        <v>26400</v>
      </c>
      <c r="I789" s="50">
        <v>1</v>
      </c>
      <c r="J789" s="57">
        <f t="shared" si="90"/>
        <v>26400</v>
      </c>
      <c r="K789" s="58">
        <f t="shared" si="88"/>
        <v>29040.000000000004</v>
      </c>
      <c r="L789" s="18" t="s">
        <v>1193</v>
      </c>
      <c r="M789" s="50"/>
    </row>
    <row r="790" spans="1:13" s="36" customFormat="1" ht="24" hidden="1" customHeight="1" x14ac:dyDescent="0.4">
      <c r="A790" s="62">
        <v>44961</v>
      </c>
      <c r="B790" s="32" t="s">
        <v>1156</v>
      </c>
      <c r="C790" s="18" t="s">
        <v>17</v>
      </c>
      <c r="D790" s="63" t="s">
        <v>330</v>
      </c>
      <c r="E790" s="50" t="s">
        <v>1191</v>
      </c>
      <c r="F790" s="57">
        <v>3000</v>
      </c>
      <c r="G790" s="76"/>
      <c r="H790" s="57">
        <f t="shared" si="89"/>
        <v>3000</v>
      </c>
      <c r="I790" s="50">
        <v>2</v>
      </c>
      <c r="J790" s="57">
        <f t="shared" si="90"/>
        <v>6000</v>
      </c>
      <c r="K790" s="58">
        <f t="shared" si="88"/>
        <v>6600.0000000000009</v>
      </c>
      <c r="L790" s="18" t="s">
        <v>1193</v>
      </c>
      <c r="M790" s="50"/>
    </row>
    <row r="791" spans="1:13" s="36" customFormat="1" ht="24" hidden="1" customHeight="1" x14ac:dyDescent="0.4">
      <c r="A791" s="62">
        <v>44961</v>
      </c>
      <c r="B791" s="32" t="s">
        <v>1156</v>
      </c>
      <c r="C791" s="18" t="s">
        <v>17</v>
      </c>
      <c r="D791" s="63" t="s">
        <v>330</v>
      </c>
      <c r="E791" s="50" t="s">
        <v>1192</v>
      </c>
      <c r="F791" s="57">
        <v>2800</v>
      </c>
      <c r="G791" s="76"/>
      <c r="H791" s="57">
        <f t="shared" si="89"/>
        <v>2800</v>
      </c>
      <c r="I791" s="50">
        <v>1</v>
      </c>
      <c r="J791" s="57">
        <f t="shared" si="90"/>
        <v>2800</v>
      </c>
      <c r="K791" s="58">
        <f t="shared" si="88"/>
        <v>3080.0000000000005</v>
      </c>
      <c r="L791" s="18" t="s">
        <v>1193</v>
      </c>
      <c r="M791" s="50"/>
    </row>
    <row r="792" spans="1:13" s="36" customFormat="1" ht="24" hidden="1" customHeight="1" x14ac:dyDescent="0.4">
      <c r="A792" s="62">
        <v>44961</v>
      </c>
      <c r="B792" s="32" t="s">
        <v>1156</v>
      </c>
      <c r="C792" s="18" t="s">
        <v>17</v>
      </c>
      <c r="D792" s="63" t="s">
        <v>1178</v>
      </c>
      <c r="E792" s="50" t="s">
        <v>1159</v>
      </c>
      <c r="F792" s="57">
        <v>980</v>
      </c>
      <c r="G792" s="76"/>
      <c r="H792" s="57">
        <f t="shared" si="89"/>
        <v>980</v>
      </c>
      <c r="I792" s="50">
        <v>3</v>
      </c>
      <c r="J792" s="57">
        <f t="shared" si="90"/>
        <v>2940</v>
      </c>
      <c r="K792" s="58">
        <f t="shared" si="88"/>
        <v>3234.0000000000005</v>
      </c>
      <c r="L792" s="18" t="s">
        <v>1193</v>
      </c>
      <c r="M792" s="50"/>
    </row>
    <row r="793" spans="1:13" s="36" customFormat="1" ht="24" hidden="1" customHeight="1" x14ac:dyDescent="0.4">
      <c r="A793" s="62">
        <v>44961</v>
      </c>
      <c r="B793" s="32" t="s">
        <v>1156</v>
      </c>
      <c r="C793" s="96" t="s">
        <v>1194</v>
      </c>
      <c r="D793" s="63" t="s">
        <v>23</v>
      </c>
      <c r="E793" s="50" t="s">
        <v>199</v>
      </c>
      <c r="F793" s="57">
        <v>-15000</v>
      </c>
      <c r="G793" s="76"/>
      <c r="H793" s="57">
        <f t="shared" si="89"/>
        <v>-15000</v>
      </c>
      <c r="I793" s="50">
        <v>1</v>
      </c>
      <c r="J793" s="57">
        <f t="shared" si="90"/>
        <v>-15000</v>
      </c>
      <c r="K793" s="58">
        <f t="shared" si="88"/>
        <v>-16500</v>
      </c>
      <c r="L793" s="18" t="s">
        <v>1193</v>
      </c>
      <c r="M793" s="50" t="s">
        <v>1195</v>
      </c>
    </row>
    <row r="794" spans="1:13" s="36" customFormat="1" ht="24" hidden="1" customHeight="1" x14ac:dyDescent="0.4">
      <c r="A794" s="62">
        <v>44961</v>
      </c>
      <c r="B794" s="32" t="s">
        <v>861</v>
      </c>
      <c r="C794" s="18" t="s">
        <v>1177</v>
      </c>
      <c r="D794" s="63" t="s">
        <v>1182</v>
      </c>
      <c r="E794" s="50" t="s">
        <v>1196</v>
      </c>
      <c r="F794" s="57">
        <v>70000</v>
      </c>
      <c r="G794" s="76">
        <v>-14000</v>
      </c>
      <c r="H794" s="57">
        <f t="shared" si="89"/>
        <v>56000</v>
      </c>
      <c r="I794" s="50">
        <v>1</v>
      </c>
      <c r="J794" s="57">
        <f t="shared" si="90"/>
        <v>56000</v>
      </c>
      <c r="K794" s="58">
        <f t="shared" si="88"/>
        <v>61600.000000000007</v>
      </c>
      <c r="L794" s="18" t="s">
        <v>34</v>
      </c>
      <c r="M794" s="50"/>
    </row>
    <row r="795" spans="1:13" s="36" customFormat="1" ht="24" hidden="1" customHeight="1" x14ac:dyDescent="0.4">
      <c r="A795" s="62">
        <v>44961</v>
      </c>
      <c r="B795" s="32" t="s">
        <v>861</v>
      </c>
      <c r="C795" s="18" t="s">
        <v>1177</v>
      </c>
      <c r="D795" s="63" t="s">
        <v>576</v>
      </c>
      <c r="E795" s="50" t="s">
        <v>1197</v>
      </c>
      <c r="F795" s="57">
        <v>75000</v>
      </c>
      <c r="G795" s="76"/>
      <c r="H795" s="57">
        <f t="shared" si="89"/>
        <v>75000</v>
      </c>
      <c r="I795" s="50">
        <v>1</v>
      </c>
      <c r="J795" s="57">
        <f t="shared" si="90"/>
        <v>75000</v>
      </c>
      <c r="K795" s="58">
        <f t="shared" si="88"/>
        <v>82500</v>
      </c>
      <c r="L795" s="18" t="s">
        <v>34</v>
      </c>
      <c r="M795" s="50"/>
    </row>
    <row r="796" spans="1:13" s="36" customFormat="1" ht="24" hidden="1" customHeight="1" x14ac:dyDescent="0.4">
      <c r="A796" s="62">
        <v>44961</v>
      </c>
      <c r="B796" s="32" t="s">
        <v>861</v>
      </c>
      <c r="C796" s="18" t="s">
        <v>1177</v>
      </c>
      <c r="D796" s="63" t="s">
        <v>1198</v>
      </c>
      <c r="E796" s="50" t="s">
        <v>1199</v>
      </c>
      <c r="F796" s="57">
        <v>3273</v>
      </c>
      <c r="G796" s="76">
        <v>-327</v>
      </c>
      <c r="H796" s="57">
        <f t="shared" si="89"/>
        <v>2946</v>
      </c>
      <c r="I796" s="50">
        <v>1</v>
      </c>
      <c r="J796" s="57">
        <f t="shared" si="90"/>
        <v>2946</v>
      </c>
      <c r="K796" s="58">
        <v>3240</v>
      </c>
      <c r="L796" s="18" t="s">
        <v>34</v>
      </c>
      <c r="M796" s="50"/>
    </row>
    <row r="797" spans="1:13" s="36" customFormat="1" ht="24" hidden="1" customHeight="1" x14ac:dyDescent="0.4">
      <c r="A797" s="62">
        <v>44961</v>
      </c>
      <c r="B797" s="32" t="s">
        <v>861</v>
      </c>
      <c r="C797" s="18" t="s">
        <v>1177</v>
      </c>
      <c r="D797" s="63" t="s">
        <v>1178</v>
      </c>
      <c r="E797" s="50" t="s">
        <v>1200</v>
      </c>
      <c r="F797" s="57">
        <v>980</v>
      </c>
      <c r="G797" s="76"/>
      <c r="H797" s="57">
        <f t="shared" si="89"/>
        <v>980</v>
      </c>
      <c r="I797" s="50">
        <v>1</v>
      </c>
      <c r="J797" s="57">
        <f t="shared" si="90"/>
        <v>980</v>
      </c>
      <c r="K797" s="58">
        <f t="shared" si="88"/>
        <v>1078</v>
      </c>
      <c r="L797" s="18" t="s">
        <v>34</v>
      </c>
      <c r="M797" s="50"/>
    </row>
    <row r="798" spans="1:13" s="36" customFormat="1" ht="24" hidden="1" customHeight="1" x14ac:dyDescent="0.4">
      <c r="A798" s="62">
        <v>44961</v>
      </c>
      <c r="B798" s="32" t="s">
        <v>171</v>
      </c>
      <c r="C798" s="18" t="s">
        <v>1177</v>
      </c>
      <c r="D798" s="63" t="s">
        <v>292</v>
      </c>
      <c r="E798" s="50" t="s">
        <v>1201</v>
      </c>
      <c r="F798" s="57">
        <v>5500</v>
      </c>
      <c r="G798" s="76"/>
      <c r="H798" s="57">
        <f t="shared" si="89"/>
        <v>5500</v>
      </c>
      <c r="I798" s="50">
        <v>2</v>
      </c>
      <c r="J798" s="57">
        <f t="shared" si="90"/>
        <v>11000</v>
      </c>
      <c r="K798" s="58">
        <f t="shared" si="88"/>
        <v>12100.000000000002</v>
      </c>
      <c r="L798" s="18" t="s">
        <v>25</v>
      </c>
      <c r="M798" s="50"/>
    </row>
    <row r="799" spans="1:13" s="36" customFormat="1" ht="24" hidden="1" customHeight="1" x14ac:dyDescent="0.4">
      <c r="A799" s="62">
        <v>44962</v>
      </c>
      <c r="B799" s="32" t="s">
        <v>1202</v>
      </c>
      <c r="C799" s="18" t="s">
        <v>22</v>
      </c>
      <c r="D799" s="63" t="s">
        <v>23</v>
      </c>
      <c r="E799" s="50" t="s">
        <v>1203</v>
      </c>
      <c r="F799" s="57">
        <v>15000</v>
      </c>
      <c r="G799" s="76"/>
      <c r="H799" s="57">
        <f t="shared" si="89"/>
        <v>15000</v>
      </c>
      <c r="I799" s="50">
        <v>1</v>
      </c>
      <c r="J799" s="57">
        <f t="shared" si="90"/>
        <v>15000</v>
      </c>
      <c r="K799" s="58">
        <f t="shared" si="88"/>
        <v>16500</v>
      </c>
      <c r="L799" s="18" t="s">
        <v>25</v>
      </c>
      <c r="M799" s="50"/>
    </row>
    <row r="800" spans="1:13" s="36" customFormat="1" ht="24" hidden="1" customHeight="1" x14ac:dyDescent="0.4">
      <c r="A800" s="62">
        <v>44962</v>
      </c>
      <c r="B800" s="32" t="s">
        <v>1202</v>
      </c>
      <c r="C800" s="18" t="s">
        <v>17</v>
      </c>
      <c r="D800" s="63" t="s">
        <v>1204</v>
      </c>
      <c r="E800" s="50" t="s">
        <v>1205</v>
      </c>
      <c r="F800" s="57">
        <v>60000</v>
      </c>
      <c r="G800" s="76">
        <v>-12000</v>
      </c>
      <c r="H800" s="57">
        <f t="shared" si="89"/>
        <v>48000</v>
      </c>
      <c r="I800" s="50">
        <v>1</v>
      </c>
      <c r="J800" s="57">
        <f t="shared" si="90"/>
        <v>48000</v>
      </c>
      <c r="K800" s="58">
        <f t="shared" si="88"/>
        <v>52800.000000000007</v>
      </c>
      <c r="L800" s="18" t="s">
        <v>34</v>
      </c>
      <c r="M800" s="50"/>
    </row>
    <row r="801" spans="1:13" s="36" customFormat="1" ht="24" hidden="1" customHeight="1" x14ac:dyDescent="0.4">
      <c r="A801" s="62">
        <v>44962</v>
      </c>
      <c r="B801" s="32" t="s">
        <v>1202</v>
      </c>
      <c r="C801" s="18" t="s">
        <v>17</v>
      </c>
      <c r="D801" s="63" t="s">
        <v>1204</v>
      </c>
      <c r="E801" s="50" t="s">
        <v>513</v>
      </c>
      <c r="F801" s="57">
        <v>48000</v>
      </c>
      <c r="G801" s="76">
        <v>-9600</v>
      </c>
      <c r="H801" s="57">
        <f t="shared" si="89"/>
        <v>38400</v>
      </c>
      <c r="I801" s="50">
        <v>1</v>
      </c>
      <c r="J801" s="57">
        <f t="shared" si="90"/>
        <v>38400</v>
      </c>
      <c r="K801" s="58">
        <f t="shared" si="88"/>
        <v>42240</v>
      </c>
      <c r="L801" s="18" t="s">
        <v>34</v>
      </c>
      <c r="M801" s="50"/>
    </row>
    <row r="802" spans="1:13" s="36" customFormat="1" ht="24" hidden="1" customHeight="1" x14ac:dyDescent="0.4">
      <c r="A802" s="62">
        <v>44962</v>
      </c>
      <c r="B802" s="32" t="s">
        <v>1202</v>
      </c>
      <c r="C802" s="18" t="s">
        <v>17</v>
      </c>
      <c r="D802" s="63" t="s">
        <v>1204</v>
      </c>
      <c r="E802" s="50" t="s">
        <v>1206</v>
      </c>
      <c r="F802" s="57">
        <v>48000</v>
      </c>
      <c r="G802" s="76">
        <v>-9600</v>
      </c>
      <c r="H802" s="57">
        <f t="shared" si="89"/>
        <v>38400</v>
      </c>
      <c r="I802" s="50">
        <v>1</v>
      </c>
      <c r="J802" s="57">
        <f t="shared" si="90"/>
        <v>38400</v>
      </c>
      <c r="K802" s="58">
        <f t="shared" ref="K802:K865" si="91">J802*1.1</f>
        <v>42240</v>
      </c>
      <c r="L802" s="18" t="s">
        <v>34</v>
      </c>
      <c r="M802" s="50"/>
    </row>
    <row r="803" spans="1:13" s="36" customFormat="1" ht="24" hidden="1" customHeight="1" x14ac:dyDescent="0.4">
      <c r="A803" s="62">
        <v>44962</v>
      </c>
      <c r="B803" s="32" t="s">
        <v>1202</v>
      </c>
      <c r="C803" s="18" t="s">
        <v>17</v>
      </c>
      <c r="D803" s="63" t="s">
        <v>1207</v>
      </c>
      <c r="E803" s="50" t="s">
        <v>1208</v>
      </c>
      <c r="F803" s="57">
        <v>980</v>
      </c>
      <c r="G803" s="76"/>
      <c r="H803" s="57">
        <f t="shared" si="89"/>
        <v>980</v>
      </c>
      <c r="I803" s="50">
        <v>3</v>
      </c>
      <c r="J803" s="57">
        <f t="shared" si="90"/>
        <v>2940</v>
      </c>
      <c r="K803" s="58">
        <f t="shared" si="91"/>
        <v>3234.0000000000005</v>
      </c>
      <c r="L803" s="18" t="s">
        <v>34</v>
      </c>
      <c r="M803" s="50"/>
    </row>
    <row r="804" spans="1:13" s="36" customFormat="1" ht="24" hidden="1" customHeight="1" x14ac:dyDescent="0.4">
      <c r="A804" s="62">
        <v>44962</v>
      </c>
      <c r="B804" s="32" t="s">
        <v>1082</v>
      </c>
      <c r="C804" s="18" t="s">
        <v>27</v>
      </c>
      <c r="D804" s="63" t="s">
        <v>103</v>
      </c>
      <c r="E804" s="50" t="s">
        <v>217</v>
      </c>
      <c r="F804" s="57">
        <v>25000</v>
      </c>
      <c r="G804" s="76"/>
      <c r="H804" s="57">
        <f t="shared" si="89"/>
        <v>25000</v>
      </c>
      <c r="I804" s="50">
        <v>1</v>
      </c>
      <c r="J804" s="57">
        <f t="shared" si="90"/>
        <v>25000</v>
      </c>
      <c r="K804" s="58">
        <f t="shared" si="91"/>
        <v>27500.000000000004</v>
      </c>
      <c r="L804" s="18" t="s">
        <v>25</v>
      </c>
      <c r="M804" s="50"/>
    </row>
    <row r="805" spans="1:13" s="36" customFormat="1" ht="24" hidden="1" customHeight="1" x14ac:dyDescent="0.4">
      <c r="A805" s="62">
        <v>44962</v>
      </c>
      <c r="B805" s="32" t="s">
        <v>1209</v>
      </c>
      <c r="C805" s="18" t="s">
        <v>27</v>
      </c>
      <c r="D805" s="63" t="s">
        <v>28</v>
      </c>
      <c r="E805" s="50" t="s">
        <v>73</v>
      </c>
      <c r="F805" s="57">
        <v>2000</v>
      </c>
      <c r="G805" s="76"/>
      <c r="H805" s="57">
        <f t="shared" si="89"/>
        <v>2000</v>
      </c>
      <c r="I805" s="50">
        <v>1</v>
      </c>
      <c r="J805" s="57">
        <f t="shared" si="90"/>
        <v>2000</v>
      </c>
      <c r="K805" s="58">
        <f t="shared" si="91"/>
        <v>2200</v>
      </c>
      <c r="L805" s="18" t="s">
        <v>25</v>
      </c>
      <c r="M805" s="50"/>
    </row>
    <row r="806" spans="1:13" s="36" customFormat="1" ht="24" hidden="1" customHeight="1" x14ac:dyDescent="0.4">
      <c r="A806" s="62">
        <v>44964</v>
      </c>
      <c r="B806" s="32" t="s">
        <v>1210</v>
      </c>
      <c r="C806" s="18" t="s">
        <v>1211</v>
      </c>
      <c r="D806" s="63" t="s">
        <v>292</v>
      </c>
      <c r="E806" s="50" t="s">
        <v>1212</v>
      </c>
      <c r="F806" s="57">
        <v>5700</v>
      </c>
      <c r="G806" s="76">
        <v>-570</v>
      </c>
      <c r="H806" s="57">
        <f t="shared" si="89"/>
        <v>5130</v>
      </c>
      <c r="I806" s="50">
        <v>1</v>
      </c>
      <c r="J806" s="57">
        <f t="shared" si="90"/>
        <v>5130</v>
      </c>
      <c r="K806" s="58">
        <f t="shared" si="91"/>
        <v>5643.0000000000009</v>
      </c>
      <c r="L806" s="18" t="s">
        <v>1213</v>
      </c>
      <c r="M806" s="50"/>
    </row>
    <row r="807" spans="1:13" s="36" customFormat="1" ht="24" hidden="1" customHeight="1" x14ac:dyDescent="0.4">
      <c r="A807" s="62">
        <v>44965</v>
      </c>
      <c r="B807" s="32" t="s">
        <v>244</v>
      </c>
      <c r="C807" s="18" t="s">
        <v>27</v>
      </c>
      <c r="D807" s="63" t="s">
        <v>28</v>
      </c>
      <c r="E807" s="50" t="s">
        <v>1215</v>
      </c>
      <c r="F807" s="57">
        <v>2000</v>
      </c>
      <c r="G807" s="76"/>
      <c r="H807" s="57">
        <f t="shared" si="89"/>
        <v>2000</v>
      </c>
      <c r="I807" s="50">
        <v>3</v>
      </c>
      <c r="J807" s="57">
        <f t="shared" si="90"/>
        <v>6000</v>
      </c>
      <c r="K807" s="58">
        <f t="shared" si="91"/>
        <v>6600.0000000000009</v>
      </c>
      <c r="L807" s="18" t="s">
        <v>25</v>
      </c>
      <c r="M807" s="50"/>
    </row>
    <row r="808" spans="1:13" s="36" customFormat="1" ht="24" hidden="1" customHeight="1" x14ac:dyDescent="0.4">
      <c r="A808" s="62">
        <v>44965</v>
      </c>
      <c r="B808" s="32" t="s">
        <v>1214</v>
      </c>
      <c r="C808" s="18" t="s">
        <v>22</v>
      </c>
      <c r="D808" s="63" t="s">
        <v>48</v>
      </c>
      <c r="E808" s="50" t="s">
        <v>369</v>
      </c>
      <c r="F808" s="57">
        <v>3000</v>
      </c>
      <c r="G808" s="76"/>
      <c r="H808" s="57">
        <f t="shared" si="89"/>
        <v>3000</v>
      </c>
      <c r="I808" s="50">
        <v>1</v>
      </c>
      <c r="J808" s="57">
        <f t="shared" si="90"/>
        <v>3000</v>
      </c>
      <c r="K808" s="58">
        <f t="shared" si="91"/>
        <v>3300.0000000000005</v>
      </c>
      <c r="L808" s="18" t="s">
        <v>1213</v>
      </c>
      <c r="M808" s="50"/>
    </row>
    <row r="809" spans="1:13" s="36" customFormat="1" ht="24" hidden="1" customHeight="1" x14ac:dyDescent="0.4">
      <c r="A809" s="62">
        <v>44966</v>
      </c>
      <c r="B809" s="32" t="s">
        <v>1216</v>
      </c>
      <c r="C809" s="18" t="s">
        <v>1211</v>
      </c>
      <c r="D809" s="63" t="s">
        <v>426</v>
      </c>
      <c r="E809" s="50" t="s">
        <v>1217</v>
      </c>
      <c r="F809" s="57">
        <v>1800</v>
      </c>
      <c r="G809" s="76">
        <v>-180</v>
      </c>
      <c r="H809" s="57">
        <f t="shared" si="89"/>
        <v>1620</v>
      </c>
      <c r="I809" s="50">
        <v>1</v>
      </c>
      <c r="J809" s="57">
        <f t="shared" si="90"/>
        <v>1620</v>
      </c>
      <c r="K809" s="58">
        <f t="shared" si="91"/>
        <v>1782.0000000000002</v>
      </c>
      <c r="L809" s="18" t="s">
        <v>1213</v>
      </c>
      <c r="M809" s="50"/>
    </row>
    <row r="810" spans="1:13" s="36" customFormat="1" ht="24" hidden="1" customHeight="1" x14ac:dyDescent="0.4">
      <c r="A810" s="62">
        <v>44966</v>
      </c>
      <c r="B810" s="32" t="s">
        <v>1216</v>
      </c>
      <c r="C810" s="18" t="s">
        <v>1211</v>
      </c>
      <c r="D810" s="63" t="s">
        <v>426</v>
      </c>
      <c r="E810" s="50" t="s">
        <v>1218</v>
      </c>
      <c r="F810" s="57">
        <v>1800</v>
      </c>
      <c r="G810" s="76">
        <v>-180</v>
      </c>
      <c r="H810" s="57">
        <f t="shared" si="89"/>
        <v>1620</v>
      </c>
      <c r="I810" s="50">
        <v>1</v>
      </c>
      <c r="J810" s="57">
        <f t="shared" si="90"/>
        <v>1620</v>
      </c>
      <c r="K810" s="58">
        <f t="shared" si="91"/>
        <v>1782.0000000000002</v>
      </c>
      <c r="L810" s="18" t="s">
        <v>1213</v>
      </c>
      <c r="M810" s="50"/>
    </row>
    <row r="811" spans="1:13" s="36" customFormat="1" ht="24" hidden="1" customHeight="1" x14ac:dyDescent="0.4">
      <c r="A811" s="62">
        <v>44966</v>
      </c>
      <c r="B811" s="32" t="s">
        <v>1219</v>
      </c>
      <c r="C811" s="18" t="s">
        <v>1211</v>
      </c>
      <c r="D811" s="63" t="s">
        <v>1207</v>
      </c>
      <c r="E811" s="50" t="s">
        <v>1220</v>
      </c>
      <c r="F811" s="57">
        <v>1450</v>
      </c>
      <c r="G811" s="76">
        <v>-145</v>
      </c>
      <c r="H811" s="57">
        <f t="shared" si="89"/>
        <v>1305</v>
      </c>
      <c r="I811" s="50">
        <v>1</v>
      </c>
      <c r="J811" s="57">
        <f t="shared" si="90"/>
        <v>1305</v>
      </c>
      <c r="K811" s="58">
        <f t="shared" si="91"/>
        <v>1435.5000000000002</v>
      </c>
      <c r="L811" s="18" t="s">
        <v>1213</v>
      </c>
      <c r="M811" s="50"/>
    </row>
    <row r="812" spans="1:13" s="36" customFormat="1" ht="24" hidden="1" customHeight="1" x14ac:dyDescent="0.4">
      <c r="A812" s="62">
        <v>44966</v>
      </c>
      <c r="B812" s="32" t="s">
        <v>1221</v>
      </c>
      <c r="C812" s="18" t="s">
        <v>27</v>
      </c>
      <c r="D812" s="63" t="s">
        <v>103</v>
      </c>
      <c r="E812" s="50" t="s">
        <v>1222</v>
      </c>
      <c r="F812" s="57">
        <v>2500</v>
      </c>
      <c r="G812" s="76"/>
      <c r="H812" s="57">
        <f t="shared" si="89"/>
        <v>2500</v>
      </c>
      <c r="I812" s="50">
        <v>1</v>
      </c>
      <c r="J812" s="57">
        <f t="shared" si="90"/>
        <v>2500</v>
      </c>
      <c r="K812" s="58">
        <f t="shared" si="91"/>
        <v>2750</v>
      </c>
      <c r="L812" s="18" t="s">
        <v>1213</v>
      </c>
      <c r="M812" s="50"/>
    </row>
    <row r="813" spans="1:13" s="36" customFormat="1" ht="24" hidden="1" customHeight="1" x14ac:dyDescent="0.4">
      <c r="A813" s="62">
        <v>44967</v>
      </c>
      <c r="B813" s="32" t="s">
        <v>1223</v>
      </c>
      <c r="C813" s="18" t="s">
        <v>27</v>
      </c>
      <c r="D813" s="63" t="s">
        <v>28</v>
      </c>
      <c r="E813" s="50" t="s">
        <v>73</v>
      </c>
      <c r="F813" s="57">
        <v>2000</v>
      </c>
      <c r="G813" s="76"/>
      <c r="H813" s="57">
        <f t="shared" si="89"/>
        <v>2000</v>
      </c>
      <c r="I813" s="50">
        <v>1</v>
      </c>
      <c r="J813" s="57">
        <f t="shared" si="90"/>
        <v>2000</v>
      </c>
      <c r="K813" s="58">
        <f t="shared" si="91"/>
        <v>2200</v>
      </c>
      <c r="L813" s="18" t="s">
        <v>1213</v>
      </c>
      <c r="M813" s="50"/>
    </row>
    <row r="814" spans="1:13" s="36" customFormat="1" ht="24" hidden="1" customHeight="1" x14ac:dyDescent="0.4">
      <c r="A814" s="62">
        <v>44967</v>
      </c>
      <c r="B814" s="32" t="s">
        <v>1224</v>
      </c>
      <c r="C814" s="18" t="s">
        <v>22</v>
      </c>
      <c r="D814" s="63" t="s">
        <v>23</v>
      </c>
      <c r="E814" s="50" t="s">
        <v>827</v>
      </c>
      <c r="F814" s="57">
        <v>15000</v>
      </c>
      <c r="G814" s="76"/>
      <c r="H814" s="57">
        <f t="shared" si="89"/>
        <v>15000</v>
      </c>
      <c r="I814" s="50">
        <v>1</v>
      </c>
      <c r="J814" s="57">
        <f t="shared" si="90"/>
        <v>15000</v>
      </c>
      <c r="K814" s="58">
        <f t="shared" si="91"/>
        <v>16500</v>
      </c>
      <c r="L814" s="18" t="s">
        <v>25</v>
      </c>
      <c r="M814" s="50"/>
    </row>
    <row r="815" spans="1:13" s="36" customFormat="1" ht="24" hidden="1" customHeight="1" x14ac:dyDescent="0.4">
      <c r="A815" s="62">
        <v>44967</v>
      </c>
      <c r="B815" s="32" t="s">
        <v>1224</v>
      </c>
      <c r="C815" s="18" t="s">
        <v>1211</v>
      </c>
      <c r="D815" s="63" t="s">
        <v>1204</v>
      </c>
      <c r="E815" s="50" t="s">
        <v>1225</v>
      </c>
      <c r="F815" s="57">
        <v>40000</v>
      </c>
      <c r="G815" s="76">
        <v>-8000</v>
      </c>
      <c r="H815" s="57">
        <f t="shared" si="89"/>
        <v>32000</v>
      </c>
      <c r="I815" s="50">
        <v>1</v>
      </c>
      <c r="J815" s="57">
        <f t="shared" si="90"/>
        <v>32000</v>
      </c>
      <c r="K815" s="58">
        <f t="shared" si="91"/>
        <v>35200</v>
      </c>
      <c r="L815" s="18" t="s">
        <v>34</v>
      </c>
      <c r="M815" s="50"/>
    </row>
    <row r="816" spans="1:13" s="36" customFormat="1" ht="24" hidden="1" customHeight="1" x14ac:dyDescent="0.4">
      <c r="A816" s="62">
        <v>44967</v>
      </c>
      <c r="B816" s="32" t="s">
        <v>1224</v>
      </c>
      <c r="C816" s="18" t="s">
        <v>17</v>
      </c>
      <c r="D816" s="63" t="s">
        <v>1207</v>
      </c>
      <c r="E816" s="50" t="s">
        <v>1200</v>
      </c>
      <c r="F816" s="57">
        <v>980</v>
      </c>
      <c r="G816" s="76"/>
      <c r="H816" s="57">
        <f t="shared" si="89"/>
        <v>980</v>
      </c>
      <c r="I816" s="50">
        <v>1</v>
      </c>
      <c r="J816" s="57">
        <f t="shared" si="90"/>
        <v>980</v>
      </c>
      <c r="K816" s="58">
        <f t="shared" si="91"/>
        <v>1078</v>
      </c>
      <c r="L816" s="18" t="s">
        <v>34</v>
      </c>
      <c r="M816" s="50"/>
    </row>
    <row r="817" spans="1:13" s="36" customFormat="1" ht="24" hidden="1" customHeight="1" x14ac:dyDescent="0.4">
      <c r="A817" s="62">
        <v>44967</v>
      </c>
      <c r="B817" s="32" t="s">
        <v>1226</v>
      </c>
      <c r="C817" s="18" t="s">
        <v>22</v>
      </c>
      <c r="D817" s="63" t="s">
        <v>23</v>
      </c>
      <c r="E817" s="50" t="s">
        <v>827</v>
      </c>
      <c r="F817" s="57">
        <v>15000</v>
      </c>
      <c r="G817" s="76">
        <v>-7500</v>
      </c>
      <c r="H817" s="57">
        <f t="shared" si="89"/>
        <v>7500</v>
      </c>
      <c r="I817" s="50">
        <v>1</v>
      </c>
      <c r="J817" s="57">
        <f t="shared" si="90"/>
        <v>7500</v>
      </c>
      <c r="K817" s="58">
        <f t="shared" si="91"/>
        <v>8250</v>
      </c>
      <c r="L817" s="18" t="s">
        <v>25</v>
      </c>
      <c r="M817" s="50" t="s">
        <v>1227</v>
      </c>
    </row>
    <row r="818" spans="1:13" s="36" customFormat="1" ht="24" hidden="1" customHeight="1" x14ac:dyDescent="0.4">
      <c r="A818" s="62">
        <v>44969</v>
      </c>
      <c r="B818" s="32" t="s">
        <v>1228</v>
      </c>
      <c r="C818" s="18" t="s">
        <v>22</v>
      </c>
      <c r="D818" s="63" t="s">
        <v>48</v>
      </c>
      <c r="E818" s="50" t="s">
        <v>369</v>
      </c>
      <c r="F818" s="57">
        <v>3000</v>
      </c>
      <c r="G818" s="76"/>
      <c r="H818" s="57">
        <f t="shared" si="89"/>
        <v>3000</v>
      </c>
      <c r="I818" s="50">
        <v>1</v>
      </c>
      <c r="J818" s="57">
        <f t="shared" si="90"/>
        <v>3000</v>
      </c>
      <c r="K818" s="58">
        <f t="shared" si="91"/>
        <v>3300.0000000000005</v>
      </c>
      <c r="L818" s="18" t="s">
        <v>25</v>
      </c>
      <c r="M818" s="50"/>
    </row>
    <row r="819" spans="1:13" s="36" customFormat="1" ht="24" hidden="1" customHeight="1" x14ac:dyDescent="0.4">
      <c r="A819" s="62">
        <v>44969</v>
      </c>
      <c r="B819" s="32" t="s">
        <v>1229</v>
      </c>
      <c r="C819" s="18" t="s">
        <v>22</v>
      </c>
      <c r="D819" s="63" t="s">
        <v>23</v>
      </c>
      <c r="E819" s="50" t="s">
        <v>827</v>
      </c>
      <c r="F819" s="57">
        <v>15000</v>
      </c>
      <c r="G819" s="76"/>
      <c r="H819" s="57">
        <f t="shared" si="89"/>
        <v>15000</v>
      </c>
      <c r="I819" s="50">
        <v>1</v>
      </c>
      <c r="J819" s="57">
        <f t="shared" si="90"/>
        <v>15000</v>
      </c>
      <c r="K819" s="58">
        <f t="shared" si="91"/>
        <v>16500</v>
      </c>
      <c r="L819" s="18" t="s">
        <v>25</v>
      </c>
      <c r="M819" s="50"/>
    </row>
    <row r="820" spans="1:13" s="36" customFormat="1" ht="24" hidden="1" customHeight="1" x14ac:dyDescent="0.4">
      <c r="A820" s="62">
        <v>44969</v>
      </c>
      <c r="B820" s="32" t="s">
        <v>1001</v>
      </c>
      <c r="C820" s="18" t="s">
        <v>1230</v>
      </c>
      <c r="D820" s="63" t="s">
        <v>1231</v>
      </c>
      <c r="E820" s="50" t="s">
        <v>1232</v>
      </c>
      <c r="F820" s="57">
        <v>5400</v>
      </c>
      <c r="G820" s="76">
        <v>-3000</v>
      </c>
      <c r="H820" s="57">
        <f t="shared" si="89"/>
        <v>2400</v>
      </c>
      <c r="I820" s="50">
        <v>6</v>
      </c>
      <c r="J820" s="57">
        <f t="shared" si="90"/>
        <v>14400</v>
      </c>
      <c r="K820" s="58">
        <f t="shared" si="91"/>
        <v>15840.000000000002</v>
      </c>
      <c r="L820" s="18" t="s">
        <v>1233</v>
      </c>
      <c r="M820" s="50" t="s">
        <v>1236</v>
      </c>
    </row>
    <row r="821" spans="1:13" s="36" customFormat="1" ht="24" hidden="1" customHeight="1" x14ac:dyDescent="0.4">
      <c r="A821" s="62">
        <v>44969</v>
      </c>
      <c r="B821" s="32" t="s">
        <v>1001</v>
      </c>
      <c r="C821" s="18" t="s">
        <v>1230</v>
      </c>
      <c r="D821" s="63" t="s">
        <v>1234</v>
      </c>
      <c r="E821" s="50" t="s">
        <v>1235</v>
      </c>
      <c r="F821" s="57">
        <v>980</v>
      </c>
      <c r="G821" s="76">
        <v>-348</v>
      </c>
      <c r="H821" s="57">
        <f t="shared" si="89"/>
        <v>632</v>
      </c>
      <c r="I821" s="50">
        <v>6</v>
      </c>
      <c r="J821" s="57">
        <f t="shared" si="90"/>
        <v>3792</v>
      </c>
      <c r="K821" s="58">
        <f t="shared" si="91"/>
        <v>4171.2000000000007</v>
      </c>
      <c r="L821" s="18" t="s">
        <v>1233</v>
      </c>
      <c r="M821" s="50" t="s">
        <v>1236</v>
      </c>
    </row>
    <row r="822" spans="1:13" s="36" customFormat="1" ht="24" hidden="1" customHeight="1" x14ac:dyDescent="0.4">
      <c r="A822" s="62">
        <v>44972</v>
      </c>
      <c r="B822" s="32" t="s">
        <v>1237</v>
      </c>
      <c r="C822" s="18" t="s">
        <v>1230</v>
      </c>
      <c r="D822" s="63" t="s">
        <v>283</v>
      </c>
      <c r="E822" s="50" t="s">
        <v>1239</v>
      </c>
      <c r="F822" s="57">
        <v>1000</v>
      </c>
      <c r="G822" s="76">
        <v>-100</v>
      </c>
      <c r="H822" s="57">
        <f t="shared" si="89"/>
        <v>900</v>
      </c>
      <c r="I822" s="50">
        <v>1</v>
      </c>
      <c r="J822" s="57">
        <f t="shared" si="90"/>
        <v>900</v>
      </c>
      <c r="K822" s="58">
        <f t="shared" si="91"/>
        <v>990.00000000000011</v>
      </c>
      <c r="L822" s="18" t="s">
        <v>1233</v>
      </c>
      <c r="M822" s="50"/>
    </row>
    <row r="823" spans="1:13" s="36" customFormat="1" ht="24" hidden="1" customHeight="1" x14ac:dyDescent="0.4">
      <c r="A823" s="62">
        <v>44972</v>
      </c>
      <c r="B823" s="32" t="s">
        <v>1240</v>
      </c>
      <c r="C823" s="18" t="s">
        <v>1230</v>
      </c>
      <c r="D823" s="63" t="s">
        <v>426</v>
      </c>
      <c r="E823" s="50" t="s">
        <v>1241</v>
      </c>
      <c r="F823" s="57">
        <v>1650</v>
      </c>
      <c r="G823" s="76">
        <v>-165</v>
      </c>
      <c r="H823" s="57">
        <f t="shared" si="89"/>
        <v>1485</v>
      </c>
      <c r="I823" s="50">
        <v>1</v>
      </c>
      <c r="J823" s="57">
        <f t="shared" si="90"/>
        <v>1485</v>
      </c>
      <c r="K823" s="58">
        <v>1633</v>
      </c>
      <c r="L823" s="18" t="s">
        <v>1233</v>
      </c>
      <c r="M823" s="50"/>
    </row>
    <row r="824" spans="1:13" s="36" customFormat="1" ht="24" hidden="1" customHeight="1" x14ac:dyDescent="0.4">
      <c r="A824" s="62">
        <v>44972</v>
      </c>
      <c r="B824" s="32" t="s">
        <v>1242</v>
      </c>
      <c r="C824" s="18" t="s">
        <v>22</v>
      </c>
      <c r="D824" s="63" t="s">
        <v>48</v>
      </c>
      <c r="E824" s="50" t="s">
        <v>369</v>
      </c>
      <c r="F824" s="57">
        <v>3000</v>
      </c>
      <c r="G824" s="76"/>
      <c r="H824" s="57">
        <f t="shared" si="89"/>
        <v>3000</v>
      </c>
      <c r="I824" s="50">
        <v>1</v>
      </c>
      <c r="J824" s="57">
        <f t="shared" si="90"/>
        <v>3000</v>
      </c>
      <c r="K824" s="58">
        <f t="shared" si="91"/>
        <v>3300.0000000000005</v>
      </c>
      <c r="L824" s="18" t="s">
        <v>1233</v>
      </c>
      <c r="M824" s="50"/>
    </row>
    <row r="825" spans="1:13" s="36" customFormat="1" ht="24" hidden="1" customHeight="1" x14ac:dyDescent="0.4">
      <c r="A825" s="62">
        <v>44973</v>
      </c>
      <c r="B825" s="32" t="s">
        <v>1243</v>
      </c>
      <c r="C825" s="18" t="s">
        <v>1230</v>
      </c>
      <c r="D825" s="63" t="s">
        <v>1234</v>
      </c>
      <c r="E825" s="50" t="s">
        <v>1244</v>
      </c>
      <c r="F825" s="57">
        <v>980</v>
      </c>
      <c r="G825" s="76">
        <v>-98</v>
      </c>
      <c r="H825" s="57">
        <f t="shared" ref="H825:H888" si="92">F825+G825</f>
        <v>882</v>
      </c>
      <c r="I825" s="50">
        <v>1</v>
      </c>
      <c r="J825" s="57">
        <f t="shared" si="90"/>
        <v>882</v>
      </c>
      <c r="K825" s="58">
        <f t="shared" si="91"/>
        <v>970.2</v>
      </c>
      <c r="L825" s="18" t="s">
        <v>25</v>
      </c>
      <c r="M825" s="50"/>
    </row>
    <row r="826" spans="1:13" s="36" customFormat="1" ht="24" hidden="1" customHeight="1" x14ac:dyDescent="0.4">
      <c r="A826" s="62">
        <v>44974</v>
      </c>
      <c r="B826" s="32" t="s">
        <v>1245</v>
      </c>
      <c r="C826" s="18" t="s">
        <v>22</v>
      </c>
      <c r="D826" s="63" t="s">
        <v>48</v>
      </c>
      <c r="E826" s="50" t="s">
        <v>369</v>
      </c>
      <c r="F826" s="57">
        <v>3000</v>
      </c>
      <c r="G826" s="76"/>
      <c r="H826" s="57">
        <f t="shared" si="92"/>
        <v>3000</v>
      </c>
      <c r="I826" s="50">
        <v>1</v>
      </c>
      <c r="J826" s="57">
        <f t="shared" si="90"/>
        <v>3000</v>
      </c>
      <c r="K826" s="58">
        <f t="shared" si="91"/>
        <v>3300.0000000000005</v>
      </c>
      <c r="L826" s="18" t="s">
        <v>25</v>
      </c>
      <c r="M826" s="50"/>
    </row>
    <row r="827" spans="1:13" s="36" customFormat="1" ht="24" hidden="1" customHeight="1" x14ac:dyDescent="0.4">
      <c r="A827" s="62">
        <v>44974</v>
      </c>
      <c r="B827" s="32" t="s">
        <v>1246</v>
      </c>
      <c r="C827" s="18" t="s">
        <v>1230</v>
      </c>
      <c r="D827" s="63" t="s">
        <v>1231</v>
      </c>
      <c r="E827" s="50" t="s">
        <v>1247</v>
      </c>
      <c r="F827" s="57">
        <v>55000</v>
      </c>
      <c r="G827" s="76">
        <v>-11000</v>
      </c>
      <c r="H827" s="57">
        <f t="shared" si="92"/>
        <v>44000</v>
      </c>
      <c r="I827" s="50">
        <v>1</v>
      </c>
      <c r="J827" s="57">
        <f t="shared" ref="J827:J830" si="93">H827*I827</f>
        <v>44000</v>
      </c>
      <c r="K827" s="58">
        <f t="shared" si="91"/>
        <v>48400.000000000007</v>
      </c>
      <c r="L827" s="18" t="s">
        <v>34</v>
      </c>
      <c r="M827" s="50"/>
    </row>
    <row r="828" spans="1:13" s="36" customFormat="1" ht="24" hidden="1" customHeight="1" x14ac:dyDescent="0.4">
      <c r="A828" s="62">
        <v>44974</v>
      </c>
      <c r="B828" s="32" t="s">
        <v>1246</v>
      </c>
      <c r="C828" s="18" t="s">
        <v>1230</v>
      </c>
      <c r="D828" s="63" t="s">
        <v>1231</v>
      </c>
      <c r="E828" s="50" t="s">
        <v>1248</v>
      </c>
      <c r="F828" s="57">
        <v>35000</v>
      </c>
      <c r="G828" s="76">
        <v>-7000</v>
      </c>
      <c r="H828" s="57">
        <f t="shared" si="92"/>
        <v>28000</v>
      </c>
      <c r="I828" s="50">
        <v>2</v>
      </c>
      <c r="J828" s="57">
        <f t="shared" si="93"/>
        <v>56000</v>
      </c>
      <c r="K828" s="58">
        <f t="shared" si="91"/>
        <v>61600.000000000007</v>
      </c>
      <c r="L828" s="18" t="s">
        <v>34</v>
      </c>
      <c r="M828" s="50"/>
    </row>
    <row r="829" spans="1:13" s="36" customFormat="1" ht="24" hidden="1" customHeight="1" x14ac:dyDescent="0.4">
      <c r="A829" s="62">
        <v>44974</v>
      </c>
      <c r="B829" s="32" t="s">
        <v>1246</v>
      </c>
      <c r="C829" s="18" t="s">
        <v>1230</v>
      </c>
      <c r="D829" s="63" t="s">
        <v>1231</v>
      </c>
      <c r="E829" s="50" t="s">
        <v>1249</v>
      </c>
      <c r="F829" s="57">
        <v>35000</v>
      </c>
      <c r="G829" s="76">
        <v>-7000</v>
      </c>
      <c r="H829" s="57">
        <f t="shared" si="92"/>
        <v>28000</v>
      </c>
      <c r="I829" s="50">
        <v>1</v>
      </c>
      <c r="J829" s="57">
        <f t="shared" si="93"/>
        <v>28000</v>
      </c>
      <c r="K829" s="58">
        <f t="shared" si="91"/>
        <v>30800.000000000004</v>
      </c>
      <c r="L829" s="18" t="s">
        <v>34</v>
      </c>
      <c r="M829" s="50"/>
    </row>
    <row r="830" spans="1:13" s="36" customFormat="1" ht="24" hidden="1" customHeight="1" x14ac:dyDescent="0.4">
      <c r="A830" s="62">
        <v>44974</v>
      </c>
      <c r="B830" s="32" t="s">
        <v>1246</v>
      </c>
      <c r="C830" s="18" t="s">
        <v>1230</v>
      </c>
      <c r="D830" s="63" t="s">
        <v>455</v>
      </c>
      <c r="E830" s="50" t="s">
        <v>1250</v>
      </c>
      <c r="F830" s="57">
        <v>980</v>
      </c>
      <c r="G830" s="76"/>
      <c r="H830" s="57">
        <f t="shared" si="92"/>
        <v>980</v>
      </c>
      <c r="I830" s="50">
        <v>4</v>
      </c>
      <c r="J830" s="57">
        <f t="shared" si="93"/>
        <v>3920</v>
      </c>
      <c r="K830" s="58">
        <f t="shared" si="91"/>
        <v>4312</v>
      </c>
      <c r="L830" s="18" t="s">
        <v>34</v>
      </c>
      <c r="M830" s="50"/>
    </row>
    <row r="831" spans="1:13" s="36" customFormat="1" ht="24" hidden="1" customHeight="1" x14ac:dyDescent="0.4">
      <c r="A831" s="62">
        <v>44974</v>
      </c>
      <c r="B831" s="32" t="s">
        <v>1246</v>
      </c>
      <c r="C831" s="18" t="s">
        <v>1230</v>
      </c>
      <c r="D831" s="63" t="s">
        <v>576</v>
      </c>
      <c r="E831" s="50" t="s">
        <v>1251</v>
      </c>
      <c r="F831" s="57">
        <v>80000</v>
      </c>
      <c r="G831" s="76">
        <v>-8000</v>
      </c>
      <c r="H831" s="57">
        <f t="shared" si="92"/>
        <v>72000</v>
      </c>
      <c r="I831" s="50">
        <v>1</v>
      </c>
      <c r="J831" s="57">
        <f t="shared" ref="J831:J848" si="94">H831*I831</f>
        <v>72000</v>
      </c>
      <c r="K831" s="58">
        <f t="shared" si="91"/>
        <v>79200</v>
      </c>
      <c r="L831" s="18" t="s">
        <v>34</v>
      </c>
      <c r="M831" s="50"/>
    </row>
    <row r="832" spans="1:13" s="36" customFormat="1" ht="24" hidden="1" customHeight="1" x14ac:dyDescent="0.4">
      <c r="A832" s="62">
        <v>44974</v>
      </c>
      <c r="B832" s="32" t="s">
        <v>1252</v>
      </c>
      <c r="C832" s="18" t="s">
        <v>22</v>
      </c>
      <c r="D832" s="63" t="s">
        <v>48</v>
      </c>
      <c r="E832" s="50" t="s">
        <v>1253</v>
      </c>
      <c r="F832" s="57">
        <v>7500</v>
      </c>
      <c r="G832" s="76"/>
      <c r="H832" s="57">
        <f t="shared" si="92"/>
        <v>7500</v>
      </c>
      <c r="I832" s="50">
        <v>1</v>
      </c>
      <c r="J832" s="57">
        <f t="shared" si="94"/>
        <v>7500</v>
      </c>
      <c r="K832" s="58">
        <f t="shared" si="91"/>
        <v>8250</v>
      </c>
      <c r="L832" s="18" t="s">
        <v>25</v>
      </c>
      <c r="M832" s="50"/>
    </row>
    <row r="833" spans="1:13" s="36" customFormat="1" ht="24" hidden="1" customHeight="1" x14ac:dyDescent="0.4">
      <c r="A833" s="62">
        <v>44976</v>
      </c>
      <c r="B833" s="32" t="s">
        <v>1228</v>
      </c>
      <c r="C833" s="18" t="s">
        <v>1255</v>
      </c>
      <c r="D833" s="63" t="s">
        <v>28</v>
      </c>
      <c r="E833" s="50" t="s">
        <v>318</v>
      </c>
      <c r="F833" s="57">
        <v>15000</v>
      </c>
      <c r="G833" s="76"/>
      <c r="H833" s="57">
        <f t="shared" si="92"/>
        <v>15000</v>
      </c>
      <c r="I833" s="50">
        <v>1</v>
      </c>
      <c r="J833" s="57">
        <f t="shared" si="94"/>
        <v>15000</v>
      </c>
      <c r="K833" s="58">
        <f t="shared" si="91"/>
        <v>16500</v>
      </c>
      <c r="L833" s="18" t="s">
        <v>25</v>
      </c>
      <c r="M833" s="50"/>
    </row>
    <row r="834" spans="1:13" s="36" customFormat="1" ht="24" hidden="1" customHeight="1" x14ac:dyDescent="0.4">
      <c r="A834" s="62">
        <v>44976</v>
      </c>
      <c r="B834" s="32" t="s">
        <v>1228</v>
      </c>
      <c r="C834" s="18" t="s">
        <v>1255</v>
      </c>
      <c r="D834" s="63" t="s">
        <v>28</v>
      </c>
      <c r="E834" s="50" t="s">
        <v>1254</v>
      </c>
      <c r="F834" s="57">
        <v>17500</v>
      </c>
      <c r="G834" s="76"/>
      <c r="H834" s="57">
        <f t="shared" si="92"/>
        <v>17500</v>
      </c>
      <c r="I834" s="50">
        <v>1</v>
      </c>
      <c r="J834" s="57">
        <f t="shared" si="94"/>
        <v>17500</v>
      </c>
      <c r="K834" s="58">
        <f t="shared" si="91"/>
        <v>19250</v>
      </c>
      <c r="L834" s="18" t="s">
        <v>25</v>
      </c>
      <c r="M834" s="50"/>
    </row>
    <row r="835" spans="1:13" s="36" customFormat="1" ht="24" hidden="1" customHeight="1" x14ac:dyDescent="0.4">
      <c r="A835" s="62">
        <v>44976</v>
      </c>
      <c r="B835" s="32" t="s">
        <v>1256</v>
      </c>
      <c r="C835" s="18" t="s">
        <v>22</v>
      </c>
      <c r="D835" s="63" t="s">
        <v>48</v>
      </c>
      <c r="E835" s="50" t="s">
        <v>369</v>
      </c>
      <c r="F835" s="57">
        <v>3000</v>
      </c>
      <c r="G835" s="76"/>
      <c r="H835" s="57">
        <f t="shared" si="92"/>
        <v>3000</v>
      </c>
      <c r="I835" s="50">
        <v>1</v>
      </c>
      <c r="J835" s="57">
        <f t="shared" si="94"/>
        <v>3000</v>
      </c>
      <c r="K835" s="58">
        <f t="shared" si="91"/>
        <v>3300.0000000000005</v>
      </c>
      <c r="L835" s="18" t="s">
        <v>1233</v>
      </c>
      <c r="M835" s="50"/>
    </row>
    <row r="836" spans="1:13" s="36" customFormat="1" ht="24" hidden="1" customHeight="1" x14ac:dyDescent="0.4">
      <c r="A836" s="62">
        <v>44977</v>
      </c>
      <c r="B836" s="32" t="s">
        <v>1257</v>
      </c>
      <c r="C836" s="18" t="s">
        <v>22</v>
      </c>
      <c r="D836" s="63" t="s">
        <v>48</v>
      </c>
      <c r="E836" s="50" t="s">
        <v>369</v>
      </c>
      <c r="F836" s="57">
        <v>3000</v>
      </c>
      <c r="G836" s="76"/>
      <c r="H836" s="57">
        <f t="shared" si="92"/>
        <v>3000</v>
      </c>
      <c r="I836" s="50">
        <v>1</v>
      </c>
      <c r="J836" s="57">
        <f t="shared" si="94"/>
        <v>3000</v>
      </c>
      <c r="K836" s="58">
        <f t="shared" si="91"/>
        <v>3300.0000000000005</v>
      </c>
      <c r="L836" s="18" t="s">
        <v>25</v>
      </c>
      <c r="M836" s="50"/>
    </row>
    <row r="837" spans="1:13" s="36" customFormat="1" ht="24" hidden="1" customHeight="1" x14ac:dyDescent="0.4">
      <c r="A837" s="62">
        <v>44977</v>
      </c>
      <c r="B837" s="32" t="s">
        <v>1258</v>
      </c>
      <c r="C837" s="18" t="s">
        <v>22</v>
      </c>
      <c r="D837" s="63" t="s">
        <v>48</v>
      </c>
      <c r="E837" s="50" t="s">
        <v>369</v>
      </c>
      <c r="F837" s="57">
        <v>3000</v>
      </c>
      <c r="G837" s="76"/>
      <c r="H837" s="57">
        <f t="shared" si="92"/>
        <v>3000</v>
      </c>
      <c r="I837" s="50">
        <v>1</v>
      </c>
      <c r="J837" s="57">
        <f t="shared" si="94"/>
        <v>3000</v>
      </c>
      <c r="K837" s="58">
        <f t="shared" si="91"/>
        <v>3300.0000000000005</v>
      </c>
      <c r="L837" s="18" t="s">
        <v>25</v>
      </c>
      <c r="M837" s="50"/>
    </row>
    <row r="838" spans="1:13" s="36" customFormat="1" ht="24" hidden="1" customHeight="1" x14ac:dyDescent="0.4">
      <c r="A838" s="62">
        <v>44977</v>
      </c>
      <c r="B838" s="32" t="s">
        <v>710</v>
      </c>
      <c r="C838" s="18" t="s">
        <v>1230</v>
      </c>
      <c r="D838" s="63" t="s">
        <v>211</v>
      </c>
      <c r="E838" s="50" t="s">
        <v>1238</v>
      </c>
      <c r="F838" s="57">
        <v>1000</v>
      </c>
      <c r="G838" s="76">
        <v>-100</v>
      </c>
      <c r="H838" s="57">
        <f t="shared" si="92"/>
        <v>900</v>
      </c>
      <c r="I838" s="50">
        <v>1</v>
      </c>
      <c r="J838" s="57">
        <f t="shared" si="94"/>
        <v>900</v>
      </c>
      <c r="K838" s="58">
        <f t="shared" si="91"/>
        <v>990.00000000000011</v>
      </c>
      <c r="L838" s="18" t="s">
        <v>1233</v>
      </c>
      <c r="M838" s="50"/>
    </row>
    <row r="839" spans="1:13" s="36" customFormat="1" ht="24" hidden="1" customHeight="1" x14ac:dyDescent="0.4">
      <c r="A839" s="62">
        <v>44977</v>
      </c>
      <c r="B839" s="32" t="s">
        <v>1259</v>
      </c>
      <c r="C839" s="18" t="s">
        <v>22</v>
      </c>
      <c r="D839" s="63" t="s">
        <v>23</v>
      </c>
      <c r="E839" s="50" t="s">
        <v>827</v>
      </c>
      <c r="F839" s="57">
        <v>15000</v>
      </c>
      <c r="G839" s="76"/>
      <c r="H839" s="57">
        <f t="shared" si="92"/>
        <v>15000</v>
      </c>
      <c r="I839" s="50">
        <v>1</v>
      </c>
      <c r="J839" s="57">
        <f t="shared" si="94"/>
        <v>15000</v>
      </c>
      <c r="K839" s="58">
        <f t="shared" si="91"/>
        <v>16500</v>
      </c>
      <c r="L839" s="18" t="s">
        <v>25</v>
      </c>
      <c r="M839" s="50"/>
    </row>
    <row r="840" spans="1:13" s="36" customFormat="1" ht="24" hidden="1" customHeight="1" x14ac:dyDescent="0.4">
      <c r="A840" s="62">
        <v>44977</v>
      </c>
      <c r="B840" s="32" t="s">
        <v>1260</v>
      </c>
      <c r="C840" s="18" t="s">
        <v>27</v>
      </c>
      <c r="D840" s="63" t="s">
        <v>28</v>
      </c>
      <c r="E840" s="50" t="s">
        <v>318</v>
      </c>
      <c r="F840" s="57">
        <v>15000</v>
      </c>
      <c r="G840" s="76"/>
      <c r="H840" s="57">
        <f t="shared" si="92"/>
        <v>15000</v>
      </c>
      <c r="I840" s="50">
        <v>1</v>
      </c>
      <c r="J840" s="57">
        <f t="shared" si="94"/>
        <v>15000</v>
      </c>
      <c r="K840" s="58">
        <f t="shared" si="91"/>
        <v>16500</v>
      </c>
      <c r="L840" s="18" t="s">
        <v>1233</v>
      </c>
      <c r="M840" s="50"/>
    </row>
    <row r="841" spans="1:13" s="36" customFormat="1" ht="24" hidden="1" customHeight="1" x14ac:dyDescent="0.4">
      <c r="A841" s="62">
        <v>44977</v>
      </c>
      <c r="B841" s="32" t="s">
        <v>1260</v>
      </c>
      <c r="C841" s="18" t="s">
        <v>27</v>
      </c>
      <c r="D841" s="63" t="s">
        <v>28</v>
      </c>
      <c r="E841" s="50" t="s">
        <v>1254</v>
      </c>
      <c r="F841" s="57">
        <v>17500</v>
      </c>
      <c r="G841" s="76"/>
      <c r="H841" s="57">
        <v>17500</v>
      </c>
      <c r="I841" s="50">
        <v>1</v>
      </c>
      <c r="J841" s="57">
        <f t="shared" si="94"/>
        <v>17500</v>
      </c>
      <c r="K841" s="58">
        <f t="shared" si="91"/>
        <v>19250</v>
      </c>
      <c r="L841" s="18" t="s">
        <v>25</v>
      </c>
      <c r="M841" s="50"/>
    </row>
    <row r="842" spans="1:13" s="36" customFormat="1" ht="24" hidden="1" customHeight="1" x14ac:dyDescent="0.4">
      <c r="A842" s="62">
        <v>44977</v>
      </c>
      <c r="B842" s="32" t="s">
        <v>1260</v>
      </c>
      <c r="C842" s="18" t="s">
        <v>27</v>
      </c>
      <c r="D842" s="63" t="s">
        <v>28</v>
      </c>
      <c r="E842" s="50" t="s">
        <v>1261</v>
      </c>
      <c r="F842" s="57">
        <v>4370</v>
      </c>
      <c r="G842" s="76"/>
      <c r="H842" s="57">
        <f t="shared" si="92"/>
        <v>4370</v>
      </c>
      <c r="I842" s="50">
        <v>1</v>
      </c>
      <c r="J842" s="57">
        <f t="shared" si="94"/>
        <v>4370</v>
      </c>
      <c r="K842" s="58">
        <f t="shared" si="91"/>
        <v>4807</v>
      </c>
      <c r="L842" s="18" t="s">
        <v>1233</v>
      </c>
      <c r="M842" s="50"/>
    </row>
    <row r="843" spans="1:13" s="36" customFormat="1" ht="24" hidden="1" customHeight="1" x14ac:dyDescent="0.4">
      <c r="A843" s="62">
        <v>44977</v>
      </c>
      <c r="B843" s="32" t="s">
        <v>1262</v>
      </c>
      <c r="C843" s="18" t="s">
        <v>1230</v>
      </c>
      <c r="D843" s="63" t="s">
        <v>426</v>
      </c>
      <c r="E843" s="50" t="s">
        <v>1263</v>
      </c>
      <c r="F843" s="57">
        <v>1650</v>
      </c>
      <c r="G843" s="76">
        <v>-165</v>
      </c>
      <c r="H843" s="57">
        <f t="shared" si="92"/>
        <v>1485</v>
      </c>
      <c r="I843" s="50">
        <v>1</v>
      </c>
      <c r="J843" s="57">
        <f t="shared" si="94"/>
        <v>1485</v>
      </c>
      <c r="K843" s="58">
        <v>1633</v>
      </c>
      <c r="L843" s="18" t="s">
        <v>20</v>
      </c>
      <c r="M843" s="50"/>
    </row>
    <row r="844" spans="1:13" s="36" customFormat="1" ht="24" hidden="1" customHeight="1" x14ac:dyDescent="0.4">
      <c r="A844" s="62">
        <v>44977</v>
      </c>
      <c r="B844" s="32" t="s">
        <v>1228</v>
      </c>
      <c r="C844" s="18" t="s">
        <v>27</v>
      </c>
      <c r="D844" s="63" t="s">
        <v>28</v>
      </c>
      <c r="E844" s="50" t="s">
        <v>1261</v>
      </c>
      <c r="F844" s="57">
        <v>4370</v>
      </c>
      <c r="G844" s="76"/>
      <c r="H844" s="57">
        <f t="shared" si="92"/>
        <v>4370</v>
      </c>
      <c r="I844" s="50">
        <v>1</v>
      </c>
      <c r="J844" s="57">
        <f t="shared" si="94"/>
        <v>4370</v>
      </c>
      <c r="K844" s="58">
        <f t="shared" si="91"/>
        <v>4807</v>
      </c>
      <c r="L844" s="18" t="s">
        <v>25</v>
      </c>
      <c r="M844" s="50"/>
    </row>
    <row r="845" spans="1:13" s="36" customFormat="1" ht="24" hidden="1" customHeight="1" x14ac:dyDescent="0.4">
      <c r="A845" s="62">
        <v>44977</v>
      </c>
      <c r="B845" s="32" t="s">
        <v>1264</v>
      </c>
      <c r="C845" s="18" t="s">
        <v>1265</v>
      </c>
      <c r="D845" s="63" t="s">
        <v>1266</v>
      </c>
      <c r="E845" s="50" t="s">
        <v>1267</v>
      </c>
      <c r="F845" s="57">
        <v>1400</v>
      </c>
      <c r="G845" s="76">
        <v>-140</v>
      </c>
      <c r="H845" s="57">
        <f t="shared" si="92"/>
        <v>1260</v>
      </c>
      <c r="I845" s="50">
        <v>5</v>
      </c>
      <c r="J845" s="57">
        <f t="shared" si="94"/>
        <v>6300</v>
      </c>
      <c r="K845" s="58">
        <f t="shared" si="91"/>
        <v>6930.0000000000009</v>
      </c>
      <c r="L845" s="18" t="s">
        <v>1268</v>
      </c>
      <c r="M845" s="50"/>
    </row>
    <row r="846" spans="1:13" s="36" customFormat="1" ht="24" hidden="1" customHeight="1" x14ac:dyDescent="0.4">
      <c r="A846" s="62">
        <v>44979</v>
      </c>
      <c r="B846" s="32" t="s">
        <v>1269</v>
      </c>
      <c r="C846" s="18" t="s">
        <v>22</v>
      </c>
      <c r="D846" s="63" t="s">
        <v>48</v>
      </c>
      <c r="E846" s="50" t="s">
        <v>369</v>
      </c>
      <c r="F846" s="57">
        <v>3000</v>
      </c>
      <c r="G846" s="76"/>
      <c r="H846" s="57">
        <f t="shared" si="92"/>
        <v>3000</v>
      </c>
      <c r="I846" s="50">
        <v>1</v>
      </c>
      <c r="J846" s="57">
        <f t="shared" si="94"/>
        <v>3000</v>
      </c>
      <c r="K846" s="58">
        <f t="shared" si="91"/>
        <v>3300.0000000000005</v>
      </c>
      <c r="L846" s="18" t="s">
        <v>1270</v>
      </c>
      <c r="M846" s="50"/>
    </row>
    <row r="847" spans="1:13" s="36" customFormat="1" ht="24" hidden="1" customHeight="1" x14ac:dyDescent="0.4">
      <c r="A847" s="62">
        <v>44979</v>
      </c>
      <c r="B847" s="32" t="s">
        <v>179</v>
      </c>
      <c r="C847" s="18" t="s">
        <v>1271</v>
      </c>
      <c r="D847" s="63" t="s">
        <v>1272</v>
      </c>
      <c r="E847" s="50" t="s">
        <v>1273</v>
      </c>
      <c r="F847" s="57">
        <v>1400</v>
      </c>
      <c r="G847" s="76">
        <v>-140</v>
      </c>
      <c r="H847" s="57">
        <f t="shared" si="92"/>
        <v>1260</v>
      </c>
      <c r="I847" s="50">
        <v>1</v>
      </c>
      <c r="J847" s="57">
        <f t="shared" si="94"/>
        <v>1260</v>
      </c>
      <c r="K847" s="58">
        <f t="shared" si="91"/>
        <v>1386</v>
      </c>
      <c r="L847" s="18" t="s">
        <v>1270</v>
      </c>
      <c r="M847" s="50"/>
    </row>
    <row r="848" spans="1:13" s="36" customFormat="1" ht="24" hidden="1" customHeight="1" x14ac:dyDescent="0.4">
      <c r="A848" s="62">
        <v>44979</v>
      </c>
      <c r="B848" s="32" t="s">
        <v>1274</v>
      </c>
      <c r="C848" s="18" t="s">
        <v>27</v>
      </c>
      <c r="D848" s="63" t="s">
        <v>103</v>
      </c>
      <c r="E848" s="50" t="s">
        <v>1275</v>
      </c>
      <c r="F848" s="57">
        <v>25000</v>
      </c>
      <c r="G848" s="76"/>
      <c r="H848" s="57">
        <f t="shared" si="92"/>
        <v>25000</v>
      </c>
      <c r="I848" s="50">
        <v>1</v>
      </c>
      <c r="J848" s="57">
        <f t="shared" si="94"/>
        <v>25000</v>
      </c>
      <c r="K848" s="58">
        <f t="shared" si="91"/>
        <v>27500.000000000004</v>
      </c>
      <c r="L848" s="18" t="s">
        <v>25</v>
      </c>
      <c r="M848" s="50"/>
    </row>
    <row r="849" spans="1:13" s="36" customFormat="1" ht="24" hidden="1" customHeight="1" x14ac:dyDescent="0.4">
      <c r="A849" s="62">
        <v>44979</v>
      </c>
      <c r="B849" s="32" t="s">
        <v>678</v>
      </c>
      <c r="C849" s="18" t="s">
        <v>1271</v>
      </c>
      <c r="D849" s="63" t="s">
        <v>1272</v>
      </c>
      <c r="E849" s="50" t="s">
        <v>1276</v>
      </c>
      <c r="F849" s="57">
        <v>1150</v>
      </c>
      <c r="G849" s="76">
        <v>-115</v>
      </c>
      <c r="H849" s="57">
        <f t="shared" si="92"/>
        <v>1035</v>
      </c>
      <c r="I849" s="50">
        <v>7</v>
      </c>
      <c r="J849" s="57">
        <f t="shared" ref="J849:J914" si="95">H849*I849</f>
        <v>7245</v>
      </c>
      <c r="K849" s="58">
        <v>7969</v>
      </c>
      <c r="L849" s="18" t="s">
        <v>1270</v>
      </c>
      <c r="M849" s="50"/>
    </row>
    <row r="850" spans="1:13" s="36" customFormat="1" ht="24" customHeight="1" x14ac:dyDescent="0.4">
      <c r="A850" s="62">
        <v>44980</v>
      </c>
      <c r="B850" s="32" t="s">
        <v>861</v>
      </c>
      <c r="C850" s="18" t="s">
        <v>1271</v>
      </c>
      <c r="D850" s="63" t="s">
        <v>1277</v>
      </c>
      <c r="E850" s="50" t="s">
        <v>1280</v>
      </c>
      <c r="F850" s="57">
        <v>86000</v>
      </c>
      <c r="G850" s="76">
        <v>-8600</v>
      </c>
      <c r="H850" s="57">
        <f t="shared" si="92"/>
        <v>77400</v>
      </c>
      <c r="I850" s="50">
        <v>1</v>
      </c>
      <c r="J850" s="57">
        <f t="shared" si="95"/>
        <v>77400</v>
      </c>
      <c r="K850" s="58">
        <f t="shared" si="91"/>
        <v>85140</v>
      </c>
      <c r="L850" s="18" t="s">
        <v>34</v>
      </c>
      <c r="M850" s="50"/>
    </row>
    <row r="851" spans="1:13" s="36" customFormat="1" ht="24" customHeight="1" x14ac:dyDescent="0.4">
      <c r="A851" s="62">
        <v>44981</v>
      </c>
      <c r="B851" s="32" t="s">
        <v>1278</v>
      </c>
      <c r="C851" s="18" t="s">
        <v>1279</v>
      </c>
      <c r="D851" s="63" t="s">
        <v>1277</v>
      </c>
      <c r="E851" s="50" t="s">
        <v>1281</v>
      </c>
      <c r="F851" s="57">
        <v>86000</v>
      </c>
      <c r="G851" s="76">
        <v>-8600</v>
      </c>
      <c r="H851" s="57">
        <f t="shared" si="92"/>
        <v>77400</v>
      </c>
      <c r="I851" s="50">
        <v>1</v>
      </c>
      <c r="J851" s="57">
        <f t="shared" si="95"/>
        <v>77400</v>
      </c>
      <c r="K851" s="58">
        <f t="shared" si="91"/>
        <v>85140</v>
      </c>
      <c r="L851" s="18" t="s">
        <v>34</v>
      </c>
      <c r="M851" s="50"/>
    </row>
    <row r="852" spans="1:13" s="36" customFormat="1" ht="24" hidden="1" customHeight="1" x14ac:dyDescent="0.4">
      <c r="A852" s="62">
        <v>44981</v>
      </c>
      <c r="B852" s="32" t="s">
        <v>1278</v>
      </c>
      <c r="C852" s="18" t="s">
        <v>1279</v>
      </c>
      <c r="D852" s="63" t="s">
        <v>211</v>
      </c>
      <c r="E852" s="50" t="s">
        <v>1282</v>
      </c>
      <c r="F852" s="57">
        <v>1500</v>
      </c>
      <c r="G852" s="76">
        <v>-150</v>
      </c>
      <c r="H852" s="57">
        <f t="shared" si="92"/>
        <v>1350</v>
      </c>
      <c r="I852" s="50">
        <v>1</v>
      </c>
      <c r="J852" s="57">
        <f t="shared" si="95"/>
        <v>1350</v>
      </c>
      <c r="K852" s="58">
        <f t="shared" si="91"/>
        <v>1485.0000000000002</v>
      </c>
      <c r="L852" s="18" t="s">
        <v>34</v>
      </c>
      <c r="M852" s="50"/>
    </row>
    <row r="853" spans="1:13" s="36" customFormat="1" ht="24" hidden="1" customHeight="1" x14ac:dyDescent="0.4">
      <c r="A853" s="62">
        <v>44982</v>
      </c>
      <c r="B853" s="32" t="s">
        <v>752</v>
      </c>
      <c r="C853" s="18" t="s">
        <v>1283</v>
      </c>
      <c r="D853" s="63" t="s">
        <v>292</v>
      </c>
      <c r="E853" s="50" t="s">
        <v>1284</v>
      </c>
      <c r="F853" s="57">
        <v>5500</v>
      </c>
      <c r="G853" s="76"/>
      <c r="H853" s="57">
        <f t="shared" si="92"/>
        <v>5500</v>
      </c>
      <c r="I853" s="50">
        <v>1</v>
      </c>
      <c r="J853" s="57">
        <f t="shared" si="95"/>
        <v>5500</v>
      </c>
      <c r="K853" s="58">
        <f t="shared" si="91"/>
        <v>6050.0000000000009</v>
      </c>
      <c r="L853" s="18" t="s">
        <v>25</v>
      </c>
      <c r="M853" s="50"/>
    </row>
    <row r="854" spans="1:13" s="36" customFormat="1" ht="24" hidden="1" customHeight="1" x14ac:dyDescent="0.4">
      <c r="A854" s="62">
        <v>44982</v>
      </c>
      <c r="B854" s="32" t="s">
        <v>752</v>
      </c>
      <c r="C854" s="18" t="s">
        <v>1283</v>
      </c>
      <c r="D854" s="63" t="s">
        <v>292</v>
      </c>
      <c r="E854" s="50" t="s">
        <v>1285</v>
      </c>
      <c r="F854" s="57">
        <v>4200</v>
      </c>
      <c r="G854" s="76"/>
      <c r="H854" s="57">
        <f t="shared" si="92"/>
        <v>4200</v>
      </c>
      <c r="I854" s="50">
        <v>1</v>
      </c>
      <c r="J854" s="57">
        <f t="shared" si="95"/>
        <v>4200</v>
      </c>
      <c r="K854" s="58">
        <f t="shared" si="91"/>
        <v>4620</v>
      </c>
      <c r="L854" s="18" t="s">
        <v>25</v>
      </c>
      <c r="M854" s="50"/>
    </row>
    <row r="855" spans="1:13" s="36" customFormat="1" ht="24" hidden="1" customHeight="1" x14ac:dyDescent="0.4">
      <c r="A855" s="62">
        <v>44982</v>
      </c>
      <c r="B855" s="32" t="s">
        <v>678</v>
      </c>
      <c r="C855" s="18" t="s">
        <v>59</v>
      </c>
      <c r="D855" s="63" t="s">
        <v>60</v>
      </c>
      <c r="E855" s="50" t="s">
        <v>61</v>
      </c>
      <c r="F855" s="57">
        <v>1000</v>
      </c>
      <c r="G855" s="76"/>
      <c r="H855" s="57">
        <f t="shared" si="92"/>
        <v>1000</v>
      </c>
      <c r="I855" s="50">
        <v>1</v>
      </c>
      <c r="J855" s="57">
        <f t="shared" si="95"/>
        <v>1000</v>
      </c>
      <c r="K855" s="58">
        <f t="shared" si="91"/>
        <v>1100</v>
      </c>
      <c r="L855" s="18" t="s">
        <v>1287</v>
      </c>
      <c r="M855" s="50"/>
    </row>
    <row r="856" spans="1:13" s="36" customFormat="1" ht="24" hidden="1" customHeight="1" x14ac:dyDescent="0.4">
      <c r="A856" s="62">
        <v>44982</v>
      </c>
      <c r="B856" s="32" t="s">
        <v>1288</v>
      </c>
      <c r="C856" s="18" t="s">
        <v>22</v>
      </c>
      <c r="D856" s="63" t="s">
        <v>23</v>
      </c>
      <c r="E856" s="50" t="s">
        <v>827</v>
      </c>
      <c r="F856" s="57">
        <v>15000</v>
      </c>
      <c r="G856" s="76"/>
      <c r="H856" s="57">
        <f t="shared" si="92"/>
        <v>15000</v>
      </c>
      <c r="I856" s="50">
        <v>1</v>
      </c>
      <c r="J856" s="57">
        <f t="shared" si="95"/>
        <v>15000</v>
      </c>
      <c r="K856" s="58">
        <f t="shared" si="91"/>
        <v>16500</v>
      </c>
      <c r="L856" s="18" t="s">
        <v>25</v>
      </c>
      <c r="M856" s="50"/>
    </row>
    <row r="857" spans="1:13" s="36" customFormat="1" ht="24" customHeight="1" x14ac:dyDescent="0.4">
      <c r="A857" s="62">
        <v>44982</v>
      </c>
      <c r="B857" s="32" t="s">
        <v>1289</v>
      </c>
      <c r="C857" s="18" t="s">
        <v>1286</v>
      </c>
      <c r="D857" s="63" t="s">
        <v>1290</v>
      </c>
      <c r="E857" s="50" t="s">
        <v>1291</v>
      </c>
      <c r="F857" s="57">
        <v>86000</v>
      </c>
      <c r="G857" s="76">
        <v>-8600</v>
      </c>
      <c r="H857" s="57">
        <f t="shared" si="92"/>
        <v>77400</v>
      </c>
      <c r="I857" s="50">
        <v>1</v>
      </c>
      <c r="J857" s="57">
        <f t="shared" si="95"/>
        <v>77400</v>
      </c>
      <c r="K857" s="58">
        <f t="shared" si="91"/>
        <v>85140</v>
      </c>
      <c r="L857" s="18" t="s">
        <v>34</v>
      </c>
      <c r="M857" s="50"/>
    </row>
    <row r="858" spans="1:13" s="36" customFormat="1" ht="24" hidden="1" customHeight="1" x14ac:dyDescent="0.4">
      <c r="A858" s="62">
        <v>44982</v>
      </c>
      <c r="B858" s="32" t="s">
        <v>1292</v>
      </c>
      <c r="C858" s="18" t="s">
        <v>22</v>
      </c>
      <c r="D858" s="63" t="s">
        <v>48</v>
      </c>
      <c r="E858" s="50" t="s">
        <v>369</v>
      </c>
      <c r="F858" s="57">
        <v>3000</v>
      </c>
      <c r="G858" s="76"/>
      <c r="H858" s="57">
        <f t="shared" si="92"/>
        <v>3000</v>
      </c>
      <c r="I858" s="50">
        <v>1</v>
      </c>
      <c r="J858" s="57">
        <f t="shared" si="95"/>
        <v>3000</v>
      </c>
      <c r="K858" s="58">
        <f t="shared" si="91"/>
        <v>3300.0000000000005</v>
      </c>
      <c r="L858" s="18" t="s">
        <v>1287</v>
      </c>
      <c r="M858" s="50"/>
    </row>
    <row r="859" spans="1:13" s="36" customFormat="1" ht="24" hidden="1" customHeight="1" x14ac:dyDescent="0.4">
      <c r="A859" s="62">
        <v>44982</v>
      </c>
      <c r="B859" s="32" t="s">
        <v>1293</v>
      </c>
      <c r="C859" s="18" t="s">
        <v>22</v>
      </c>
      <c r="D859" s="63" t="s">
        <v>48</v>
      </c>
      <c r="E859" s="50" t="s">
        <v>369</v>
      </c>
      <c r="F859" s="57">
        <v>3000</v>
      </c>
      <c r="G859" s="76"/>
      <c r="H859" s="57">
        <f t="shared" si="92"/>
        <v>3000</v>
      </c>
      <c r="I859" s="50">
        <v>2</v>
      </c>
      <c r="J859" s="57">
        <f t="shared" si="95"/>
        <v>6000</v>
      </c>
      <c r="K859" s="58">
        <f t="shared" si="91"/>
        <v>6600.0000000000009</v>
      </c>
      <c r="L859" s="18" t="s">
        <v>25</v>
      </c>
      <c r="M859" s="50" t="s">
        <v>1294</v>
      </c>
    </row>
    <row r="860" spans="1:13" s="36" customFormat="1" ht="24" hidden="1" customHeight="1" x14ac:dyDescent="0.4">
      <c r="A860" s="62">
        <v>44983</v>
      </c>
      <c r="B860" s="32" t="s">
        <v>1295</v>
      </c>
      <c r="C860" s="18" t="s">
        <v>22</v>
      </c>
      <c r="D860" s="63" t="s">
        <v>48</v>
      </c>
      <c r="E860" s="50" t="s">
        <v>1126</v>
      </c>
      <c r="F860" s="57">
        <v>3000</v>
      </c>
      <c r="G860" s="76"/>
      <c r="H860" s="57">
        <f t="shared" si="92"/>
        <v>3000</v>
      </c>
      <c r="I860" s="50">
        <v>1</v>
      </c>
      <c r="J860" s="57">
        <f t="shared" si="95"/>
        <v>3000</v>
      </c>
      <c r="K860" s="58">
        <f t="shared" si="91"/>
        <v>3300.0000000000005</v>
      </c>
      <c r="L860" s="18" t="s">
        <v>1287</v>
      </c>
      <c r="M860" s="50" t="s">
        <v>1296</v>
      </c>
    </row>
    <row r="861" spans="1:13" s="36" customFormat="1" ht="24" hidden="1" customHeight="1" x14ac:dyDescent="0.4">
      <c r="A861" s="62">
        <v>44983</v>
      </c>
      <c r="B861" s="32" t="s">
        <v>1297</v>
      </c>
      <c r="C861" s="18" t="s">
        <v>22</v>
      </c>
      <c r="D861" s="63" t="s">
        <v>48</v>
      </c>
      <c r="E861" s="50" t="s">
        <v>369</v>
      </c>
      <c r="F861" s="57">
        <v>3000</v>
      </c>
      <c r="G861" s="76"/>
      <c r="H861" s="57">
        <f t="shared" si="92"/>
        <v>3000</v>
      </c>
      <c r="I861" s="50">
        <v>1</v>
      </c>
      <c r="J861" s="57">
        <f t="shared" si="95"/>
        <v>3000</v>
      </c>
      <c r="K861" s="58">
        <f t="shared" si="91"/>
        <v>3300.0000000000005</v>
      </c>
      <c r="L861" s="18" t="s">
        <v>25</v>
      </c>
      <c r="M861" s="50"/>
    </row>
    <row r="862" spans="1:13" s="36" customFormat="1" ht="24" hidden="1" customHeight="1" x14ac:dyDescent="0.4">
      <c r="A862" s="62">
        <v>44983</v>
      </c>
      <c r="B862" s="32" t="s">
        <v>1298</v>
      </c>
      <c r="C862" s="18" t="s">
        <v>27</v>
      </c>
      <c r="D862" s="63" t="s">
        <v>28</v>
      </c>
      <c r="E862" s="50" t="s">
        <v>318</v>
      </c>
      <c r="F862" s="57">
        <v>15000</v>
      </c>
      <c r="G862" s="76"/>
      <c r="H862" s="57">
        <f t="shared" si="92"/>
        <v>15000</v>
      </c>
      <c r="I862" s="50">
        <v>1</v>
      </c>
      <c r="J862" s="57">
        <f t="shared" si="95"/>
        <v>15000</v>
      </c>
      <c r="K862" s="58">
        <f t="shared" si="91"/>
        <v>16500</v>
      </c>
      <c r="L862" s="18" t="s">
        <v>1287</v>
      </c>
      <c r="M862" s="50"/>
    </row>
    <row r="863" spans="1:13" s="36" customFormat="1" ht="24" hidden="1" customHeight="1" x14ac:dyDescent="0.4">
      <c r="A863" s="62">
        <v>44983</v>
      </c>
      <c r="B863" s="32" t="s">
        <v>1298</v>
      </c>
      <c r="C863" s="18" t="s">
        <v>27</v>
      </c>
      <c r="D863" s="63" t="s">
        <v>28</v>
      </c>
      <c r="E863" s="50" t="s">
        <v>1299</v>
      </c>
      <c r="F863" s="57">
        <v>8500</v>
      </c>
      <c r="G863" s="76"/>
      <c r="H863" s="57">
        <f t="shared" si="92"/>
        <v>8500</v>
      </c>
      <c r="I863" s="50">
        <v>1</v>
      </c>
      <c r="J863" s="57">
        <f t="shared" si="95"/>
        <v>8500</v>
      </c>
      <c r="K863" s="58">
        <f t="shared" si="91"/>
        <v>9350</v>
      </c>
      <c r="L863" s="18" t="s">
        <v>1287</v>
      </c>
      <c r="M863" s="50"/>
    </row>
    <row r="864" spans="1:13" s="36" customFormat="1" ht="24" hidden="1" customHeight="1" x14ac:dyDescent="0.4">
      <c r="A864" s="62">
        <v>44984</v>
      </c>
      <c r="B864" s="32" t="s">
        <v>839</v>
      </c>
      <c r="C864" s="18" t="s">
        <v>1286</v>
      </c>
      <c r="D864" s="63" t="s">
        <v>292</v>
      </c>
      <c r="E864" s="50" t="s">
        <v>1300</v>
      </c>
      <c r="F864" s="57">
        <v>4200</v>
      </c>
      <c r="G864" s="76"/>
      <c r="H864" s="57">
        <f t="shared" si="92"/>
        <v>4200</v>
      </c>
      <c r="I864" s="50">
        <v>1</v>
      </c>
      <c r="J864" s="57">
        <f t="shared" si="95"/>
        <v>4200</v>
      </c>
      <c r="K864" s="58">
        <f t="shared" si="91"/>
        <v>4620</v>
      </c>
      <c r="L864" s="18" t="s">
        <v>1303</v>
      </c>
      <c r="M864" s="50"/>
    </row>
    <row r="865" spans="1:13" s="36" customFormat="1" ht="24" hidden="1" customHeight="1" x14ac:dyDescent="0.4">
      <c r="A865" s="62">
        <v>44984</v>
      </c>
      <c r="B865" s="32" t="s">
        <v>839</v>
      </c>
      <c r="C865" s="18" t="s">
        <v>1286</v>
      </c>
      <c r="D865" s="63" t="s">
        <v>292</v>
      </c>
      <c r="E865" s="50" t="s">
        <v>1301</v>
      </c>
      <c r="F865" s="57">
        <v>4200</v>
      </c>
      <c r="G865" s="76"/>
      <c r="H865" s="57">
        <f t="shared" si="92"/>
        <v>4200</v>
      </c>
      <c r="I865" s="50">
        <v>1</v>
      </c>
      <c r="J865" s="57">
        <f t="shared" si="95"/>
        <v>4200</v>
      </c>
      <c r="K865" s="58">
        <f t="shared" si="91"/>
        <v>4620</v>
      </c>
      <c r="L865" s="18" t="s">
        <v>1303</v>
      </c>
      <c r="M865" s="50"/>
    </row>
    <row r="866" spans="1:13" s="36" customFormat="1" ht="24" hidden="1" customHeight="1" x14ac:dyDescent="0.4">
      <c r="A866" s="62">
        <v>44984</v>
      </c>
      <c r="B866" s="32" t="s">
        <v>839</v>
      </c>
      <c r="C866" s="18" t="s">
        <v>1286</v>
      </c>
      <c r="D866" s="63" t="s">
        <v>292</v>
      </c>
      <c r="E866" s="50" t="s">
        <v>1302</v>
      </c>
      <c r="F866" s="57">
        <v>5700</v>
      </c>
      <c r="G866" s="76">
        <v>-570</v>
      </c>
      <c r="H866" s="57">
        <f t="shared" si="92"/>
        <v>5130</v>
      </c>
      <c r="I866" s="50">
        <v>1</v>
      </c>
      <c r="J866" s="57">
        <f t="shared" si="95"/>
        <v>5130</v>
      </c>
      <c r="K866" s="58">
        <f t="shared" ref="K866:K868" si="96">J866*1.1</f>
        <v>5643.0000000000009</v>
      </c>
      <c r="L866" s="18" t="s">
        <v>1303</v>
      </c>
      <c r="M866" s="50"/>
    </row>
    <row r="867" spans="1:13" s="36" customFormat="1" ht="24" hidden="1" customHeight="1" x14ac:dyDescent="0.4">
      <c r="A867" s="62">
        <v>44984</v>
      </c>
      <c r="B867" s="32" t="s">
        <v>1304</v>
      </c>
      <c r="C867" s="18" t="s">
        <v>1286</v>
      </c>
      <c r="D867" s="63" t="s">
        <v>426</v>
      </c>
      <c r="E867" s="50" t="s">
        <v>427</v>
      </c>
      <c r="F867" s="57">
        <v>2150</v>
      </c>
      <c r="G867" s="76">
        <v>-215</v>
      </c>
      <c r="H867" s="57">
        <f t="shared" si="92"/>
        <v>1935</v>
      </c>
      <c r="I867" s="50">
        <v>1</v>
      </c>
      <c r="J867" s="57">
        <f t="shared" si="95"/>
        <v>1935</v>
      </c>
      <c r="K867" s="58">
        <v>2128</v>
      </c>
      <c r="L867" s="18" t="s">
        <v>1287</v>
      </c>
      <c r="M867" s="50"/>
    </row>
    <row r="868" spans="1:13" s="36" customFormat="1" ht="24" hidden="1" customHeight="1" thickBot="1" x14ac:dyDescent="0.45">
      <c r="A868" s="150">
        <v>44984</v>
      </c>
      <c r="B868" s="107" t="s">
        <v>1305</v>
      </c>
      <c r="C868" s="108" t="s">
        <v>27</v>
      </c>
      <c r="D868" s="109" t="s">
        <v>28</v>
      </c>
      <c r="E868" s="110" t="s">
        <v>1254</v>
      </c>
      <c r="F868" s="111">
        <v>17500</v>
      </c>
      <c r="G868" s="112"/>
      <c r="H868" s="111">
        <f t="shared" si="92"/>
        <v>17500</v>
      </c>
      <c r="I868" s="110">
        <v>1</v>
      </c>
      <c r="J868" s="111">
        <f t="shared" si="95"/>
        <v>17500</v>
      </c>
      <c r="K868" s="113">
        <f t="shared" si="96"/>
        <v>19250</v>
      </c>
      <c r="L868" s="108" t="s">
        <v>1287</v>
      </c>
      <c r="M868" s="110"/>
    </row>
    <row r="869" spans="1:13" s="36" customFormat="1" ht="24" hidden="1" customHeight="1" x14ac:dyDescent="0.4">
      <c r="A869" s="59">
        <v>44986</v>
      </c>
      <c r="B869" s="82" t="s">
        <v>1306</v>
      </c>
      <c r="C869" s="60" t="s">
        <v>22</v>
      </c>
      <c r="D869" s="61" t="s">
        <v>48</v>
      </c>
      <c r="E869" s="56" t="s">
        <v>369</v>
      </c>
      <c r="F869" s="99">
        <v>3000</v>
      </c>
      <c r="G869" s="79"/>
      <c r="H869" s="99">
        <f t="shared" si="92"/>
        <v>3000</v>
      </c>
      <c r="I869" s="56">
        <v>1</v>
      </c>
      <c r="J869" s="99">
        <f t="shared" si="95"/>
        <v>3000</v>
      </c>
      <c r="K869" s="100">
        <f>ROUNDDOWN(J869*1.1,0)</f>
        <v>3300</v>
      </c>
      <c r="L869" s="60" t="s">
        <v>25</v>
      </c>
      <c r="M869" s="56"/>
    </row>
    <row r="870" spans="1:13" s="36" customFormat="1" ht="24" hidden="1" customHeight="1" x14ac:dyDescent="0.4">
      <c r="A870" s="59">
        <v>44986</v>
      </c>
      <c r="B870" s="32" t="s">
        <v>1307</v>
      </c>
      <c r="C870" s="18" t="s">
        <v>27</v>
      </c>
      <c r="D870" s="63" t="s">
        <v>28</v>
      </c>
      <c r="E870" s="50" t="s">
        <v>318</v>
      </c>
      <c r="F870" s="57">
        <v>15000</v>
      </c>
      <c r="G870" s="76"/>
      <c r="H870" s="57">
        <f t="shared" si="92"/>
        <v>15000</v>
      </c>
      <c r="I870" s="50">
        <v>1</v>
      </c>
      <c r="J870" s="57">
        <f t="shared" si="95"/>
        <v>15000</v>
      </c>
      <c r="K870" s="100">
        <f>ROUNDDOWN(J870*1.1,0)</f>
        <v>16500</v>
      </c>
      <c r="L870" s="60" t="s">
        <v>25</v>
      </c>
      <c r="M870" s="50"/>
    </row>
    <row r="871" spans="1:13" s="36" customFormat="1" ht="24" hidden="1" customHeight="1" x14ac:dyDescent="0.4">
      <c r="A871" s="59">
        <v>44986</v>
      </c>
      <c r="B871" s="32" t="s">
        <v>1307</v>
      </c>
      <c r="C871" s="18" t="s">
        <v>27</v>
      </c>
      <c r="D871" s="63" t="s">
        <v>28</v>
      </c>
      <c r="E871" s="50" t="s">
        <v>1254</v>
      </c>
      <c r="F871" s="57">
        <v>17500</v>
      </c>
      <c r="G871" s="76"/>
      <c r="H871" s="57">
        <f t="shared" si="92"/>
        <v>17500</v>
      </c>
      <c r="I871" s="50">
        <v>1</v>
      </c>
      <c r="J871" s="57">
        <f t="shared" si="95"/>
        <v>17500</v>
      </c>
      <c r="K871" s="100">
        <f t="shared" ref="K871:K934" si="97">ROUNDDOWN(J871*1.1,0)</f>
        <v>19250</v>
      </c>
      <c r="L871" s="60" t="s">
        <v>25</v>
      </c>
      <c r="M871" s="50"/>
    </row>
    <row r="872" spans="1:13" s="36" customFormat="1" ht="24" hidden="1" customHeight="1" x14ac:dyDescent="0.4">
      <c r="A872" s="59">
        <v>44986</v>
      </c>
      <c r="B872" s="32" t="s">
        <v>1308</v>
      </c>
      <c r="C872" s="18" t="s">
        <v>27</v>
      </c>
      <c r="D872" s="63" t="s">
        <v>28</v>
      </c>
      <c r="E872" s="50" t="s">
        <v>1254</v>
      </c>
      <c r="F872" s="57">
        <v>17500</v>
      </c>
      <c r="G872" s="76"/>
      <c r="H872" s="57">
        <f t="shared" si="92"/>
        <v>17500</v>
      </c>
      <c r="I872" s="50">
        <v>1</v>
      </c>
      <c r="J872" s="57">
        <f t="shared" si="95"/>
        <v>17500</v>
      </c>
      <c r="K872" s="100">
        <f t="shared" si="97"/>
        <v>19250</v>
      </c>
      <c r="L872" s="60" t="s">
        <v>25</v>
      </c>
      <c r="M872" s="50"/>
    </row>
    <row r="873" spans="1:13" s="36" customFormat="1" ht="24" hidden="1" customHeight="1" x14ac:dyDescent="0.4">
      <c r="A873" s="59">
        <v>44986</v>
      </c>
      <c r="B873" s="32" t="s">
        <v>1309</v>
      </c>
      <c r="C873" s="18" t="s">
        <v>1310</v>
      </c>
      <c r="D873" s="63" t="s">
        <v>1311</v>
      </c>
      <c r="E873" s="50" t="s">
        <v>772</v>
      </c>
      <c r="F873" s="57">
        <v>1500</v>
      </c>
      <c r="G873" s="76"/>
      <c r="H873" s="57">
        <f t="shared" si="92"/>
        <v>1500</v>
      </c>
      <c r="I873" s="50">
        <v>1</v>
      </c>
      <c r="J873" s="57">
        <f t="shared" si="95"/>
        <v>1500</v>
      </c>
      <c r="K873" s="100">
        <f t="shared" si="97"/>
        <v>1650</v>
      </c>
      <c r="L873" s="18" t="s">
        <v>1312</v>
      </c>
      <c r="M873" s="50"/>
    </row>
    <row r="874" spans="1:13" s="36" customFormat="1" ht="24" hidden="1" customHeight="1" x14ac:dyDescent="0.4">
      <c r="A874" s="59">
        <v>44986</v>
      </c>
      <c r="B874" s="32" t="s">
        <v>1313</v>
      </c>
      <c r="C874" s="18" t="s">
        <v>22</v>
      </c>
      <c r="D874" s="63" t="s">
        <v>23</v>
      </c>
      <c r="E874" s="50" t="s">
        <v>1314</v>
      </c>
      <c r="F874" s="57">
        <v>20000</v>
      </c>
      <c r="G874" s="76"/>
      <c r="H874" s="57">
        <f t="shared" si="92"/>
        <v>20000</v>
      </c>
      <c r="I874" s="50">
        <v>1</v>
      </c>
      <c r="J874" s="57">
        <f t="shared" si="95"/>
        <v>20000</v>
      </c>
      <c r="K874" s="100">
        <f t="shared" si="97"/>
        <v>22000</v>
      </c>
      <c r="L874" s="18" t="s">
        <v>25</v>
      </c>
      <c r="M874" s="50"/>
    </row>
    <row r="875" spans="1:13" s="36" customFormat="1" ht="24" hidden="1" customHeight="1" x14ac:dyDescent="0.4">
      <c r="A875" s="59">
        <v>44986</v>
      </c>
      <c r="B875" s="32" t="s">
        <v>1313</v>
      </c>
      <c r="C875" s="18" t="s">
        <v>1310</v>
      </c>
      <c r="D875" s="63" t="s">
        <v>1315</v>
      </c>
      <c r="E875" s="50" t="s">
        <v>1316</v>
      </c>
      <c r="F875" s="57">
        <v>16000</v>
      </c>
      <c r="G875" s="76">
        <v>-3200</v>
      </c>
      <c r="H875" s="57">
        <f t="shared" si="92"/>
        <v>12800</v>
      </c>
      <c r="I875" s="50">
        <v>2</v>
      </c>
      <c r="J875" s="57">
        <f t="shared" si="95"/>
        <v>25600</v>
      </c>
      <c r="K875" s="100">
        <f t="shared" si="97"/>
        <v>28160</v>
      </c>
      <c r="L875" s="18" t="s">
        <v>34</v>
      </c>
      <c r="M875" s="50"/>
    </row>
    <row r="876" spans="1:13" s="36" customFormat="1" ht="24" hidden="1" customHeight="1" x14ac:dyDescent="0.4">
      <c r="A876" s="59">
        <v>44986</v>
      </c>
      <c r="B876" s="32" t="s">
        <v>1313</v>
      </c>
      <c r="C876" s="18" t="s">
        <v>1310</v>
      </c>
      <c r="D876" s="63" t="s">
        <v>576</v>
      </c>
      <c r="E876" s="50" t="s">
        <v>1320</v>
      </c>
      <c r="F876" s="57">
        <v>43000</v>
      </c>
      <c r="G876" s="76">
        <v>-4300</v>
      </c>
      <c r="H876" s="57">
        <f t="shared" si="92"/>
        <v>38700</v>
      </c>
      <c r="I876" s="50">
        <v>1</v>
      </c>
      <c r="J876" s="57">
        <f t="shared" si="95"/>
        <v>38700</v>
      </c>
      <c r="K876" s="100">
        <f t="shared" si="97"/>
        <v>42570</v>
      </c>
      <c r="L876" s="18" t="s">
        <v>34</v>
      </c>
      <c r="M876" s="50"/>
    </row>
    <row r="877" spans="1:13" s="36" customFormat="1" ht="24" hidden="1" customHeight="1" x14ac:dyDescent="0.4">
      <c r="A877" s="59">
        <v>44986</v>
      </c>
      <c r="B877" s="32" t="s">
        <v>1313</v>
      </c>
      <c r="C877" s="18" t="s">
        <v>1310</v>
      </c>
      <c r="D877" s="63" t="s">
        <v>576</v>
      </c>
      <c r="E877" s="50" t="s">
        <v>1321</v>
      </c>
      <c r="F877" s="57">
        <v>43000</v>
      </c>
      <c r="G877" s="76">
        <v>-4300</v>
      </c>
      <c r="H877" s="57">
        <f t="shared" si="92"/>
        <v>38700</v>
      </c>
      <c r="I877" s="50">
        <v>1</v>
      </c>
      <c r="J877" s="57">
        <f t="shared" si="95"/>
        <v>38700</v>
      </c>
      <c r="K877" s="100">
        <f t="shared" si="97"/>
        <v>42570</v>
      </c>
      <c r="L877" s="18" t="s">
        <v>34</v>
      </c>
      <c r="M877" s="50"/>
    </row>
    <row r="878" spans="1:13" s="36" customFormat="1" ht="24" hidden="1" customHeight="1" x14ac:dyDescent="0.4">
      <c r="A878" s="59">
        <v>44986</v>
      </c>
      <c r="B878" s="32" t="s">
        <v>1313</v>
      </c>
      <c r="C878" s="18" t="s">
        <v>1310</v>
      </c>
      <c r="D878" s="63" t="s">
        <v>1317</v>
      </c>
      <c r="E878" s="50" t="s">
        <v>1318</v>
      </c>
      <c r="F878" s="57">
        <v>980</v>
      </c>
      <c r="G878" s="76"/>
      <c r="H878" s="57">
        <f t="shared" si="92"/>
        <v>980</v>
      </c>
      <c r="I878" s="50">
        <v>2</v>
      </c>
      <c r="J878" s="57">
        <f t="shared" si="95"/>
        <v>1960</v>
      </c>
      <c r="K878" s="100">
        <f t="shared" si="97"/>
        <v>2156</v>
      </c>
      <c r="L878" s="18" t="s">
        <v>34</v>
      </c>
      <c r="M878" s="50"/>
    </row>
    <row r="879" spans="1:13" s="36" customFormat="1" ht="24" hidden="1" customHeight="1" x14ac:dyDescent="0.4">
      <c r="A879" s="59">
        <v>44986</v>
      </c>
      <c r="B879" s="32" t="s">
        <v>1313</v>
      </c>
      <c r="C879" s="96" t="s">
        <v>1319</v>
      </c>
      <c r="D879" s="63"/>
      <c r="E879" s="130" t="s">
        <v>1053</v>
      </c>
      <c r="F879" s="57"/>
      <c r="G879" s="76"/>
      <c r="H879" s="57">
        <f t="shared" si="92"/>
        <v>0</v>
      </c>
      <c r="I879" s="50">
        <v>1</v>
      </c>
      <c r="J879" s="57">
        <v>-15000</v>
      </c>
      <c r="K879" s="100">
        <f t="shared" si="97"/>
        <v>-16500</v>
      </c>
      <c r="L879" s="18" t="s">
        <v>34</v>
      </c>
      <c r="M879" s="50"/>
    </row>
    <row r="880" spans="1:13" s="36" customFormat="1" ht="24" hidden="1" customHeight="1" x14ac:dyDescent="0.4">
      <c r="A880" s="59">
        <v>44986</v>
      </c>
      <c r="B880" s="32" t="s">
        <v>1269</v>
      </c>
      <c r="C880" s="18" t="s">
        <v>27</v>
      </c>
      <c r="D880" s="63" t="s">
        <v>28</v>
      </c>
      <c r="E880" s="50" t="s">
        <v>907</v>
      </c>
      <c r="F880" s="57">
        <v>10000</v>
      </c>
      <c r="G880" s="76"/>
      <c r="H880" s="57">
        <f t="shared" si="92"/>
        <v>10000</v>
      </c>
      <c r="I880" s="50">
        <v>1</v>
      </c>
      <c r="J880" s="57">
        <f t="shared" si="95"/>
        <v>10000</v>
      </c>
      <c r="K880" s="100">
        <f t="shared" si="97"/>
        <v>11000</v>
      </c>
      <c r="L880" s="18" t="s">
        <v>25</v>
      </c>
      <c r="M880" s="50" t="s">
        <v>1323</v>
      </c>
    </row>
    <row r="881" spans="1:13" s="36" customFormat="1" ht="24" hidden="1" customHeight="1" x14ac:dyDescent="0.4">
      <c r="A881" s="59">
        <v>44986</v>
      </c>
      <c r="B881" s="32" t="s">
        <v>1257</v>
      </c>
      <c r="C881" s="18" t="s">
        <v>27</v>
      </c>
      <c r="D881" s="63" t="s">
        <v>28</v>
      </c>
      <c r="E881" s="50" t="s">
        <v>318</v>
      </c>
      <c r="F881" s="57">
        <v>15000</v>
      </c>
      <c r="G881" s="76"/>
      <c r="H881" s="57">
        <f t="shared" si="92"/>
        <v>15000</v>
      </c>
      <c r="I881" s="50">
        <v>1</v>
      </c>
      <c r="J881" s="57">
        <f t="shared" si="95"/>
        <v>15000</v>
      </c>
      <c r="K881" s="100">
        <f t="shared" si="97"/>
        <v>16500</v>
      </c>
      <c r="L881" s="18" t="s">
        <v>25</v>
      </c>
      <c r="M881" s="50" t="s">
        <v>1324</v>
      </c>
    </row>
    <row r="882" spans="1:13" s="36" customFormat="1" ht="24" hidden="1" customHeight="1" x14ac:dyDescent="0.4">
      <c r="A882" s="59">
        <v>44986</v>
      </c>
      <c r="B882" s="32" t="s">
        <v>1257</v>
      </c>
      <c r="C882" s="18" t="s">
        <v>27</v>
      </c>
      <c r="D882" s="63" t="s">
        <v>28</v>
      </c>
      <c r="E882" s="50" t="s">
        <v>1322</v>
      </c>
      <c r="F882" s="57">
        <v>41250</v>
      </c>
      <c r="G882" s="76"/>
      <c r="H882" s="57">
        <f t="shared" si="92"/>
        <v>41250</v>
      </c>
      <c r="I882" s="50">
        <v>1</v>
      </c>
      <c r="J882" s="57">
        <f t="shared" si="95"/>
        <v>41250</v>
      </c>
      <c r="K882" s="100">
        <f t="shared" si="97"/>
        <v>45375</v>
      </c>
      <c r="L882" s="18" t="s">
        <v>25</v>
      </c>
      <c r="M882" s="50"/>
    </row>
    <row r="883" spans="1:13" s="36" customFormat="1" ht="24" hidden="1" customHeight="1" x14ac:dyDescent="0.4">
      <c r="A883" s="59">
        <v>44986</v>
      </c>
      <c r="B883" s="32" t="s">
        <v>1325</v>
      </c>
      <c r="C883" s="18" t="s">
        <v>1310</v>
      </c>
      <c r="D883" s="63" t="s">
        <v>1317</v>
      </c>
      <c r="E883" s="50" t="s">
        <v>1326</v>
      </c>
      <c r="F883" s="57">
        <v>1650</v>
      </c>
      <c r="G883" s="76">
        <v>-165</v>
      </c>
      <c r="H883" s="57">
        <f t="shared" si="92"/>
        <v>1485</v>
      </c>
      <c r="I883" s="50">
        <v>5</v>
      </c>
      <c r="J883" s="57">
        <f t="shared" si="95"/>
        <v>7425</v>
      </c>
      <c r="K883" s="100">
        <f t="shared" si="97"/>
        <v>8167</v>
      </c>
      <c r="L883" s="18" t="s">
        <v>25</v>
      </c>
      <c r="M883" s="50"/>
    </row>
    <row r="884" spans="1:13" s="36" customFormat="1" ht="24" customHeight="1" x14ac:dyDescent="0.4">
      <c r="A884" s="59">
        <v>44986</v>
      </c>
      <c r="B884" s="32" t="s">
        <v>1327</v>
      </c>
      <c r="C884" s="18" t="s">
        <v>1310</v>
      </c>
      <c r="D884" s="63" t="s">
        <v>1277</v>
      </c>
      <c r="E884" s="124" t="s">
        <v>1328</v>
      </c>
      <c r="F884" s="57">
        <v>86000</v>
      </c>
      <c r="G884" s="76">
        <v>-8600</v>
      </c>
      <c r="H884" s="57">
        <f t="shared" si="92"/>
        <v>77400</v>
      </c>
      <c r="I884" s="50">
        <v>1</v>
      </c>
      <c r="J884" s="57">
        <f t="shared" si="95"/>
        <v>77400</v>
      </c>
      <c r="K884" s="100">
        <f t="shared" si="97"/>
        <v>85140</v>
      </c>
      <c r="L884" s="18" t="s">
        <v>1312</v>
      </c>
      <c r="M884" s="50"/>
    </row>
    <row r="885" spans="1:13" s="36" customFormat="1" ht="24" hidden="1" customHeight="1" x14ac:dyDescent="0.4">
      <c r="A885" s="62">
        <v>44987</v>
      </c>
      <c r="B885" s="32" t="s">
        <v>1329</v>
      </c>
      <c r="C885" s="18" t="s">
        <v>22</v>
      </c>
      <c r="D885" s="63" t="s">
        <v>23</v>
      </c>
      <c r="E885" s="50" t="s">
        <v>827</v>
      </c>
      <c r="F885" s="57">
        <v>15000</v>
      </c>
      <c r="G885" s="76"/>
      <c r="H885" s="57">
        <f t="shared" si="92"/>
        <v>15000</v>
      </c>
      <c r="I885" s="50">
        <v>1</v>
      </c>
      <c r="J885" s="57">
        <f t="shared" si="95"/>
        <v>15000</v>
      </c>
      <c r="K885" s="100">
        <f t="shared" si="97"/>
        <v>16500</v>
      </c>
      <c r="L885" s="18" t="s">
        <v>1312</v>
      </c>
      <c r="M885" s="50"/>
    </row>
    <row r="886" spans="1:13" s="36" customFormat="1" ht="24" hidden="1" customHeight="1" x14ac:dyDescent="0.4">
      <c r="A886" s="62">
        <v>44987</v>
      </c>
      <c r="B886" s="32" t="s">
        <v>1330</v>
      </c>
      <c r="C886" s="18" t="s">
        <v>22</v>
      </c>
      <c r="D886" s="63" t="s">
        <v>23</v>
      </c>
      <c r="E886" s="50" t="s">
        <v>1331</v>
      </c>
      <c r="F886" s="57">
        <v>15000</v>
      </c>
      <c r="G886" s="76"/>
      <c r="H886" s="57">
        <f t="shared" si="92"/>
        <v>15000</v>
      </c>
      <c r="I886" s="50">
        <v>1</v>
      </c>
      <c r="J886" s="57">
        <f t="shared" si="95"/>
        <v>15000</v>
      </c>
      <c r="K886" s="100">
        <f t="shared" si="97"/>
        <v>16500</v>
      </c>
      <c r="L886" s="18" t="s">
        <v>25</v>
      </c>
      <c r="M886" s="50"/>
    </row>
    <row r="887" spans="1:13" s="36" customFormat="1" ht="24" hidden="1" customHeight="1" x14ac:dyDescent="0.4">
      <c r="A887" s="62">
        <v>44987</v>
      </c>
      <c r="B887" s="32" t="s">
        <v>1332</v>
      </c>
      <c r="C887" s="18" t="s">
        <v>1310</v>
      </c>
      <c r="D887" s="63" t="s">
        <v>1317</v>
      </c>
      <c r="E887" s="50" t="s">
        <v>1333</v>
      </c>
      <c r="F887" s="57">
        <v>1800</v>
      </c>
      <c r="G887" s="76">
        <v>-180</v>
      </c>
      <c r="H887" s="57">
        <f t="shared" si="92"/>
        <v>1620</v>
      </c>
      <c r="I887" s="50">
        <v>11</v>
      </c>
      <c r="J887" s="57">
        <f t="shared" si="95"/>
        <v>17820</v>
      </c>
      <c r="K887" s="100">
        <f t="shared" si="97"/>
        <v>19602</v>
      </c>
      <c r="L887" s="18" t="s">
        <v>1312</v>
      </c>
      <c r="M887" s="50"/>
    </row>
    <row r="888" spans="1:13" s="36" customFormat="1" ht="24" hidden="1" customHeight="1" x14ac:dyDescent="0.4">
      <c r="A888" s="62">
        <v>44987</v>
      </c>
      <c r="B888" s="32" t="s">
        <v>1330</v>
      </c>
      <c r="C888" s="18" t="s">
        <v>1310</v>
      </c>
      <c r="D888" s="63" t="s">
        <v>1315</v>
      </c>
      <c r="E888" s="50" t="s">
        <v>1334</v>
      </c>
      <c r="F888" s="57">
        <v>50000</v>
      </c>
      <c r="G888" s="76">
        <v>-10000</v>
      </c>
      <c r="H888" s="57">
        <f t="shared" si="92"/>
        <v>40000</v>
      </c>
      <c r="I888" s="50">
        <v>1</v>
      </c>
      <c r="J888" s="57">
        <f t="shared" si="95"/>
        <v>40000</v>
      </c>
      <c r="K888" s="100">
        <f t="shared" si="97"/>
        <v>44000</v>
      </c>
      <c r="L888" s="18" t="s">
        <v>34</v>
      </c>
      <c r="M888" s="50"/>
    </row>
    <row r="889" spans="1:13" s="36" customFormat="1" ht="24" hidden="1" customHeight="1" x14ac:dyDescent="0.4">
      <c r="A889" s="62">
        <v>44987</v>
      </c>
      <c r="B889" s="32" t="s">
        <v>1330</v>
      </c>
      <c r="C889" s="18" t="s">
        <v>1310</v>
      </c>
      <c r="D889" s="63" t="s">
        <v>576</v>
      </c>
      <c r="E889" s="50" t="s">
        <v>1335</v>
      </c>
      <c r="F889" s="57">
        <v>85000</v>
      </c>
      <c r="G889" s="76">
        <v>-8500</v>
      </c>
      <c r="H889" s="57">
        <f t="shared" ref="H889:H956" si="98">F889+G889</f>
        <v>76500</v>
      </c>
      <c r="I889" s="50">
        <v>1</v>
      </c>
      <c r="J889" s="57">
        <f t="shared" si="95"/>
        <v>76500</v>
      </c>
      <c r="K889" s="100">
        <f t="shared" si="97"/>
        <v>84150</v>
      </c>
      <c r="L889" s="18" t="s">
        <v>34</v>
      </c>
      <c r="M889" s="50"/>
    </row>
    <row r="890" spans="1:13" s="36" customFormat="1" ht="24" hidden="1" customHeight="1" x14ac:dyDescent="0.4">
      <c r="A890" s="62">
        <v>44987</v>
      </c>
      <c r="B890" s="32" t="s">
        <v>1330</v>
      </c>
      <c r="C890" s="18" t="s">
        <v>1310</v>
      </c>
      <c r="D890" s="63" t="s">
        <v>1317</v>
      </c>
      <c r="E890" s="50" t="s">
        <v>1318</v>
      </c>
      <c r="F890" s="57">
        <v>980</v>
      </c>
      <c r="G890" s="76"/>
      <c r="H890" s="57">
        <f t="shared" si="98"/>
        <v>980</v>
      </c>
      <c r="I890" s="50">
        <v>1</v>
      </c>
      <c r="J890" s="57">
        <f t="shared" si="95"/>
        <v>980</v>
      </c>
      <c r="K890" s="100">
        <f t="shared" si="97"/>
        <v>1078</v>
      </c>
      <c r="L890" s="18" t="s">
        <v>34</v>
      </c>
      <c r="M890" s="50"/>
    </row>
    <row r="891" spans="1:13" s="36" customFormat="1" ht="24" hidden="1" customHeight="1" x14ac:dyDescent="0.4">
      <c r="A891" s="62">
        <v>44987</v>
      </c>
      <c r="B891" s="32" t="s">
        <v>1329</v>
      </c>
      <c r="C891" s="18" t="s">
        <v>1310</v>
      </c>
      <c r="D891" s="63" t="s">
        <v>1315</v>
      </c>
      <c r="E891" s="50" t="s">
        <v>1336</v>
      </c>
      <c r="F891" s="57">
        <v>55000</v>
      </c>
      <c r="G891" s="76">
        <v>-11000</v>
      </c>
      <c r="H891" s="57">
        <f t="shared" si="98"/>
        <v>44000</v>
      </c>
      <c r="I891" s="50">
        <v>1</v>
      </c>
      <c r="J891" s="57">
        <f t="shared" si="95"/>
        <v>44000</v>
      </c>
      <c r="K891" s="100">
        <f t="shared" si="97"/>
        <v>48400</v>
      </c>
      <c r="L891" s="18" t="s">
        <v>34</v>
      </c>
      <c r="M891" s="50"/>
    </row>
    <row r="892" spans="1:13" s="36" customFormat="1" ht="24" hidden="1" customHeight="1" x14ac:dyDescent="0.4">
      <c r="A892" s="62">
        <v>44987</v>
      </c>
      <c r="B892" s="32" t="s">
        <v>1329</v>
      </c>
      <c r="C892" s="18" t="s">
        <v>1310</v>
      </c>
      <c r="D892" s="63" t="s">
        <v>1317</v>
      </c>
      <c r="E892" s="50" t="s">
        <v>1318</v>
      </c>
      <c r="F892" s="57">
        <v>980</v>
      </c>
      <c r="G892" s="76"/>
      <c r="H892" s="57">
        <f t="shared" si="98"/>
        <v>980</v>
      </c>
      <c r="I892" s="50">
        <v>1</v>
      </c>
      <c r="J892" s="57">
        <f t="shared" si="95"/>
        <v>980</v>
      </c>
      <c r="K892" s="100">
        <f t="shared" si="97"/>
        <v>1078</v>
      </c>
      <c r="L892" s="18" t="s">
        <v>34</v>
      </c>
      <c r="M892" s="50"/>
    </row>
    <row r="893" spans="1:13" s="36" customFormat="1" ht="24" hidden="1" customHeight="1" x14ac:dyDescent="0.4">
      <c r="A893" s="62">
        <v>44987</v>
      </c>
      <c r="B893" s="32" t="s">
        <v>1337</v>
      </c>
      <c r="C893" s="18" t="s">
        <v>1310</v>
      </c>
      <c r="D893" s="63" t="s">
        <v>1317</v>
      </c>
      <c r="E893" s="50" t="s">
        <v>1338</v>
      </c>
      <c r="F893" s="57">
        <v>1400</v>
      </c>
      <c r="G893" s="76">
        <v>-140</v>
      </c>
      <c r="H893" s="57">
        <f t="shared" si="98"/>
        <v>1260</v>
      </c>
      <c r="I893" s="50">
        <v>1</v>
      </c>
      <c r="J893" s="57">
        <f t="shared" si="95"/>
        <v>1260</v>
      </c>
      <c r="K893" s="100">
        <f t="shared" si="97"/>
        <v>1386</v>
      </c>
      <c r="L893" s="18" t="s">
        <v>1312</v>
      </c>
      <c r="M893" s="50"/>
    </row>
    <row r="894" spans="1:13" s="36" customFormat="1" ht="24" hidden="1" customHeight="1" x14ac:dyDescent="0.4">
      <c r="A894" s="62">
        <v>44988</v>
      </c>
      <c r="B894" s="32" t="s">
        <v>1325</v>
      </c>
      <c r="C894" s="18" t="s">
        <v>1310</v>
      </c>
      <c r="D894" s="63" t="s">
        <v>455</v>
      </c>
      <c r="E894" s="50" t="s">
        <v>1326</v>
      </c>
      <c r="F894" s="57">
        <v>1650</v>
      </c>
      <c r="G894" s="76">
        <v>-165</v>
      </c>
      <c r="H894" s="57">
        <f t="shared" si="98"/>
        <v>1485</v>
      </c>
      <c r="I894" s="50">
        <v>7</v>
      </c>
      <c r="J894" s="57">
        <f t="shared" si="95"/>
        <v>10395</v>
      </c>
      <c r="K894" s="100">
        <f t="shared" si="97"/>
        <v>11434</v>
      </c>
      <c r="L894" s="18" t="s">
        <v>25</v>
      </c>
      <c r="M894" s="50"/>
    </row>
    <row r="895" spans="1:13" s="36" customFormat="1" ht="24" hidden="1" customHeight="1" x14ac:dyDescent="0.4">
      <c r="A895" s="62">
        <v>44989</v>
      </c>
      <c r="B895" s="32" t="s">
        <v>1288</v>
      </c>
      <c r="C895" s="18" t="s">
        <v>1310</v>
      </c>
      <c r="D895" s="63" t="s">
        <v>1315</v>
      </c>
      <c r="E895" s="50" t="s">
        <v>1339</v>
      </c>
      <c r="F895" s="57">
        <v>55000</v>
      </c>
      <c r="G895" s="76">
        <v>-11000</v>
      </c>
      <c r="H895" s="57">
        <f t="shared" si="98"/>
        <v>44000</v>
      </c>
      <c r="I895" s="50">
        <v>1</v>
      </c>
      <c r="J895" s="57">
        <f t="shared" si="95"/>
        <v>44000</v>
      </c>
      <c r="K895" s="100">
        <f t="shared" si="97"/>
        <v>48400</v>
      </c>
      <c r="L895" s="18" t="s">
        <v>34</v>
      </c>
      <c r="M895" s="50"/>
    </row>
    <row r="896" spans="1:13" s="36" customFormat="1" ht="24" hidden="1" customHeight="1" x14ac:dyDescent="0.4">
      <c r="A896" s="62">
        <v>44989</v>
      </c>
      <c r="B896" s="32" t="s">
        <v>1288</v>
      </c>
      <c r="C896" s="18" t="s">
        <v>17</v>
      </c>
      <c r="D896" s="63" t="s">
        <v>1340</v>
      </c>
      <c r="E896" s="50" t="s">
        <v>1318</v>
      </c>
      <c r="F896" s="57">
        <v>980</v>
      </c>
      <c r="G896" s="76"/>
      <c r="H896" s="57">
        <f t="shared" si="98"/>
        <v>980</v>
      </c>
      <c r="I896" s="50">
        <v>1</v>
      </c>
      <c r="J896" s="57">
        <f t="shared" si="95"/>
        <v>980</v>
      </c>
      <c r="K896" s="100">
        <f t="shared" si="97"/>
        <v>1078</v>
      </c>
      <c r="L896" s="18" t="s">
        <v>34</v>
      </c>
      <c r="M896" s="50"/>
    </row>
    <row r="897" spans="1:13" s="36" customFormat="1" ht="24" hidden="1" customHeight="1" x14ac:dyDescent="0.4">
      <c r="A897" s="62">
        <v>44989</v>
      </c>
      <c r="B897" s="32" t="s">
        <v>1341</v>
      </c>
      <c r="C897" s="18" t="s">
        <v>27</v>
      </c>
      <c r="D897" s="63" t="s">
        <v>103</v>
      </c>
      <c r="E897" s="50" t="s">
        <v>217</v>
      </c>
      <c r="F897" s="57">
        <v>25000</v>
      </c>
      <c r="G897" s="76"/>
      <c r="H897" s="57">
        <f t="shared" si="98"/>
        <v>25000</v>
      </c>
      <c r="I897" s="50">
        <v>1</v>
      </c>
      <c r="J897" s="57">
        <f t="shared" si="95"/>
        <v>25000</v>
      </c>
      <c r="K897" s="100">
        <f t="shared" si="97"/>
        <v>27500</v>
      </c>
      <c r="L897" s="18" t="s">
        <v>1342</v>
      </c>
      <c r="M897" s="50"/>
    </row>
    <row r="898" spans="1:13" s="36" customFormat="1" ht="24" hidden="1" customHeight="1" x14ac:dyDescent="0.4">
      <c r="A898" s="62">
        <v>44990</v>
      </c>
      <c r="B898" s="32" t="s">
        <v>1343</v>
      </c>
      <c r="C898" s="18" t="s">
        <v>1344</v>
      </c>
      <c r="D898" s="63" t="s">
        <v>426</v>
      </c>
      <c r="E898" s="50" t="s">
        <v>1345</v>
      </c>
      <c r="F898" s="57">
        <v>1700</v>
      </c>
      <c r="G898" s="76">
        <v>-170</v>
      </c>
      <c r="H898" s="57">
        <f t="shared" si="98"/>
        <v>1530</v>
      </c>
      <c r="I898" s="50">
        <v>1</v>
      </c>
      <c r="J898" s="57">
        <f t="shared" si="95"/>
        <v>1530</v>
      </c>
      <c r="K898" s="100">
        <f t="shared" si="97"/>
        <v>1683</v>
      </c>
      <c r="L898" s="18" t="s">
        <v>25</v>
      </c>
      <c r="M898" s="50"/>
    </row>
    <row r="899" spans="1:13" s="36" customFormat="1" ht="24" hidden="1" customHeight="1" x14ac:dyDescent="0.4">
      <c r="A899" s="62">
        <v>44990</v>
      </c>
      <c r="B899" s="32" t="s">
        <v>1346</v>
      </c>
      <c r="C899" s="18" t="s">
        <v>17</v>
      </c>
      <c r="D899" s="63" t="s">
        <v>55</v>
      </c>
      <c r="E899" s="50" t="s">
        <v>122</v>
      </c>
      <c r="F899" s="57">
        <v>4800</v>
      </c>
      <c r="G899" s="76">
        <v>-480</v>
      </c>
      <c r="H899" s="57">
        <f t="shared" si="98"/>
        <v>4320</v>
      </c>
      <c r="I899" s="50">
        <v>1</v>
      </c>
      <c r="J899" s="57">
        <f t="shared" si="95"/>
        <v>4320</v>
      </c>
      <c r="K899" s="100">
        <f t="shared" si="97"/>
        <v>4752</v>
      </c>
      <c r="L899" s="18" t="s">
        <v>25</v>
      </c>
      <c r="M899" s="50"/>
    </row>
    <row r="900" spans="1:13" s="36" customFormat="1" ht="24" hidden="1" customHeight="1" x14ac:dyDescent="0.4">
      <c r="A900" s="62">
        <v>44991</v>
      </c>
      <c r="B900" s="32" t="s">
        <v>1347</v>
      </c>
      <c r="C900" s="18" t="s">
        <v>1344</v>
      </c>
      <c r="D900" s="63" t="s">
        <v>1348</v>
      </c>
      <c r="E900" s="50" t="s">
        <v>1349</v>
      </c>
      <c r="F900" s="57">
        <v>2200</v>
      </c>
      <c r="G900" s="76">
        <v>-220</v>
      </c>
      <c r="H900" s="57">
        <f t="shared" si="98"/>
        <v>1980</v>
      </c>
      <c r="I900" s="50">
        <v>1</v>
      </c>
      <c r="J900" s="57">
        <f t="shared" si="95"/>
        <v>1980</v>
      </c>
      <c r="K900" s="100">
        <f t="shared" si="97"/>
        <v>2178</v>
      </c>
      <c r="L900" s="18" t="s">
        <v>25</v>
      </c>
      <c r="M900" s="50"/>
    </row>
    <row r="901" spans="1:13" s="36" customFormat="1" ht="24" hidden="1" customHeight="1" x14ac:dyDescent="0.4">
      <c r="A901" s="62">
        <v>44991</v>
      </c>
      <c r="B901" s="32" t="s">
        <v>1350</v>
      </c>
      <c r="C901" s="18" t="s">
        <v>27</v>
      </c>
      <c r="D901" s="63" t="s">
        <v>28</v>
      </c>
      <c r="E901" s="50" t="s">
        <v>318</v>
      </c>
      <c r="F901" s="57">
        <v>15000</v>
      </c>
      <c r="G901" s="76"/>
      <c r="H901" s="57">
        <f t="shared" si="98"/>
        <v>15000</v>
      </c>
      <c r="I901" s="50">
        <v>1</v>
      </c>
      <c r="J901" s="57">
        <f t="shared" si="95"/>
        <v>15000</v>
      </c>
      <c r="K901" s="100">
        <f t="shared" si="97"/>
        <v>16500</v>
      </c>
      <c r="L901" s="18" t="s">
        <v>25</v>
      </c>
      <c r="M901" s="50"/>
    </row>
    <row r="902" spans="1:13" s="36" customFormat="1" ht="24" hidden="1" customHeight="1" x14ac:dyDescent="0.4">
      <c r="A902" s="62">
        <v>44991</v>
      </c>
      <c r="B902" s="32" t="s">
        <v>1350</v>
      </c>
      <c r="C902" s="18" t="s">
        <v>27</v>
      </c>
      <c r="D902" s="63" t="s">
        <v>28</v>
      </c>
      <c r="E902" s="50" t="s">
        <v>1351</v>
      </c>
      <c r="F902" s="57">
        <v>13120</v>
      </c>
      <c r="G902" s="76"/>
      <c r="H902" s="57">
        <f t="shared" si="98"/>
        <v>13120</v>
      </c>
      <c r="I902" s="50">
        <v>1</v>
      </c>
      <c r="J902" s="57">
        <f t="shared" si="95"/>
        <v>13120</v>
      </c>
      <c r="K902" s="100">
        <f t="shared" si="97"/>
        <v>14432</v>
      </c>
      <c r="L902" s="18" t="s">
        <v>25</v>
      </c>
      <c r="M902" s="50"/>
    </row>
    <row r="903" spans="1:13" s="36" customFormat="1" ht="24" hidden="1" customHeight="1" x14ac:dyDescent="0.4">
      <c r="A903" s="62">
        <v>44991</v>
      </c>
      <c r="B903" s="32" t="s">
        <v>195</v>
      </c>
      <c r="C903" s="18" t="s">
        <v>1344</v>
      </c>
      <c r="D903" s="63" t="s">
        <v>292</v>
      </c>
      <c r="E903" s="50" t="s">
        <v>1352</v>
      </c>
      <c r="F903" s="57">
        <v>5500</v>
      </c>
      <c r="G903" s="76"/>
      <c r="H903" s="57">
        <f t="shared" si="98"/>
        <v>5500</v>
      </c>
      <c r="I903" s="50">
        <v>1</v>
      </c>
      <c r="J903" s="57">
        <f t="shared" si="95"/>
        <v>5500</v>
      </c>
      <c r="K903" s="100">
        <f t="shared" si="97"/>
        <v>6050</v>
      </c>
      <c r="L903" s="18" t="s">
        <v>25</v>
      </c>
      <c r="M903" s="50"/>
    </row>
    <row r="904" spans="1:13" s="36" customFormat="1" ht="24" hidden="1" customHeight="1" x14ac:dyDescent="0.4">
      <c r="A904" s="62">
        <v>44993</v>
      </c>
      <c r="B904" s="32" t="s">
        <v>1004</v>
      </c>
      <c r="C904" s="18" t="s">
        <v>27</v>
      </c>
      <c r="D904" s="63" t="s">
        <v>28</v>
      </c>
      <c r="E904" s="50" t="s">
        <v>1353</v>
      </c>
      <c r="F904" s="57">
        <v>8750</v>
      </c>
      <c r="G904" s="76"/>
      <c r="H904" s="57">
        <f t="shared" si="98"/>
        <v>8750</v>
      </c>
      <c r="I904" s="50">
        <v>1</v>
      </c>
      <c r="J904" s="57">
        <f t="shared" si="95"/>
        <v>8750</v>
      </c>
      <c r="K904" s="100">
        <f t="shared" si="97"/>
        <v>9625</v>
      </c>
      <c r="L904" s="18" t="s">
        <v>1354</v>
      </c>
      <c r="M904" s="50"/>
    </row>
    <row r="905" spans="1:13" s="36" customFormat="1" ht="24" hidden="1" customHeight="1" x14ac:dyDescent="0.4">
      <c r="A905" s="62">
        <v>44993</v>
      </c>
      <c r="B905" s="32" t="s">
        <v>927</v>
      </c>
      <c r="C905" s="18" t="s">
        <v>1344</v>
      </c>
      <c r="D905" s="63" t="s">
        <v>1348</v>
      </c>
      <c r="E905" s="50" t="s">
        <v>1355</v>
      </c>
      <c r="F905" s="57">
        <v>3500</v>
      </c>
      <c r="G905" s="76">
        <v>-350</v>
      </c>
      <c r="H905" s="57">
        <f t="shared" si="98"/>
        <v>3150</v>
      </c>
      <c r="I905" s="50">
        <v>1</v>
      </c>
      <c r="J905" s="57">
        <f t="shared" si="95"/>
        <v>3150</v>
      </c>
      <c r="K905" s="100">
        <f t="shared" si="97"/>
        <v>3465</v>
      </c>
      <c r="L905" s="18" t="s">
        <v>1354</v>
      </c>
      <c r="M905" s="50"/>
    </row>
    <row r="906" spans="1:13" ht="24" hidden="1" customHeight="1" x14ac:dyDescent="0.4">
      <c r="A906" s="62">
        <v>44994</v>
      </c>
      <c r="B906" s="32" t="s">
        <v>436</v>
      </c>
      <c r="C906" s="18" t="s">
        <v>27</v>
      </c>
      <c r="D906" s="63" t="s">
        <v>28</v>
      </c>
      <c r="E906" s="50" t="s">
        <v>1215</v>
      </c>
      <c r="F906" s="57">
        <v>2000</v>
      </c>
      <c r="G906" s="76"/>
      <c r="H906" s="57">
        <f t="shared" si="98"/>
        <v>2000</v>
      </c>
      <c r="I906" s="50">
        <v>3</v>
      </c>
      <c r="J906" s="57">
        <f t="shared" si="95"/>
        <v>6000</v>
      </c>
      <c r="K906" s="100">
        <f t="shared" si="97"/>
        <v>6600</v>
      </c>
      <c r="L906" s="18" t="s">
        <v>25</v>
      </c>
      <c r="M906" s="50"/>
    </row>
    <row r="907" spans="1:13" ht="24" hidden="1" customHeight="1" x14ac:dyDescent="0.4">
      <c r="A907" s="62">
        <v>44994</v>
      </c>
      <c r="B907" s="32" t="s">
        <v>799</v>
      </c>
      <c r="C907" s="18" t="s">
        <v>27</v>
      </c>
      <c r="D907" s="63" t="s">
        <v>28</v>
      </c>
      <c r="E907" s="50" t="s">
        <v>1215</v>
      </c>
      <c r="F907" s="57">
        <v>2000</v>
      </c>
      <c r="G907" s="76"/>
      <c r="H907" s="57">
        <f t="shared" si="98"/>
        <v>2000</v>
      </c>
      <c r="I907" s="50">
        <v>3</v>
      </c>
      <c r="J907" s="57">
        <f t="shared" si="95"/>
        <v>6000</v>
      </c>
      <c r="K907" s="100">
        <f t="shared" si="97"/>
        <v>6600</v>
      </c>
      <c r="L907" s="18" t="s">
        <v>25</v>
      </c>
      <c r="M907" s="50"/>
    </row>
    <row r="908" spans="1:13" ht="24" hidden="1" customHeight="1" x14ac:dyDescent="0.4">
      <c r="A908" s="62">
        <v>44994</v>
      </c>
      <c r="B908" s="32" t="s">
        <v>1356</v>
      </c>
      <c r="C908" s="18" t="s">
        <v>1344</v>
      </c>
      <c r="D908" s="63" t="s">
        <v>292</v>
      </c>
      <c r="E908" s="50" t="s">
        <v>1352</v>
      </c>
      <c r="F908" s="57">
        <v>4872</v>
      </c>
      <c r="G908" s="76"/>
      <c r="H908" s="57">
        <f t="shared" si="98"/>
        <v>4872</v>
      </c>
      <c r="I908" s="50">
        <v>1</v>
      </c>
      <c r="J908" s="57">
        <f t="shared" si="95"/>
        <v>4872</v>
      </c>
      <c r="K908" s="100">
        <f t="shared" si="97"/>
        <v>5359</v>
      </c>
      <c r="L908" s="18" t="s">
        <v>25</v>
      </c>
      <c r="M908" s="50"/>
    </row>
    <row r="909" spans="1:13" ht="24" hidden="1" customHeight="1" x14ac:dyDescent="0.4">
      <c r="A909" s="62">
        <v>44995</v>
      </c>
      <c r="B909" s="32" t="s">
        <v>1357</v>
      </c>
      <c r="C909" s="18" t="s">
        <v>22</v>
      </c>
      <c r="D909" s="63" t="s">
        <v>48</v>
      </c>
      <c r="E909" s="50" t="s">
        <v>1126</v>
      </c>
      <c r="F909" s="57">
        <v>3000</v>
      </c>
      <c r="G909" s="76"/>
      <c r="H909" s="57">
        <f t="shared" si="98"/>
        <v>3000</v>
      </c>
      <c r="I909" s="50">
        <v>1</v>
      </c>
      <c r="J909" s="57">
        <f t="shared" si="95"/>
        <v>3000</v>
      </c>
      <c r="K909" s="100">
        <f t="shared" si="97"/>
        <v>3300</v>
      </c>
      <c r="L909" s="18" t="s">
        <v>25</v>
      </c>
      <c r="M909" s="50" t="s">
        <v>1296</v>
      </c>
    </row>
    <row r="910" spans="1:13" ht="24" hidden="1" customHeight="1" x14ac:dyDescent="0.4">
      <c r="A910" s="62">
        <v>44995</v>
      </c>
      <c r="B910" s="32" t="s">
        <v>1453</v>
      </c>
      <c r="C910" s="18" t="s">
        <v>27</v>
      </c>
      <c r="D910" s="63" t="s">
        <v>28</v>
      </c>
      <c r="E910" s="50" t="s">
        <v>1254</v>
      </c>
      <c r="F910" s="57">
        <v>2500</v>
      </c>
      <c r="G910" s="76"/>
      <c r="H910" s="57">
        <f t="shared" si="98"/>
        <v>2500</v>
      </c>
      <c r="I910" s="50">
        <v>1</v>
      </c>
      <c r="J910" s="57">
        <f t="shared" si="95"/>
        <v>2500</v>
      </c>
      <c r="K910" s="100">
        <f t="shared" si="97"/>
        <v>2750</v>
      </c>
      <c r="L910" s="18" t="s">
        <v>1380</v>
      </c>
      <c r="M910" s="130" t="s">
        <v>1454</v>
      </c>
    </row>
    <row r="911" spans="1:13" ht="24" hidden="1" customHeight="1" x14ac:dyDescent="0.4">
      <c r="A911" s="62">
        <v>44995</v>
      </c>
      <c r="B911" s="32" t="s">
        <v>1453</v>
      </c>
      <c r="C911" s="18" t="s">
        <v>27</v>
      </c>
      <c r="D911" s="63" t="s">
        <v>28</v>
      </c>
      <c r="E911" s="50" t="s">
        <v>1445</v>
      </c>
      <c r="F911" s="57">
        <v>2000</v>
      </c>
      <c r="G911" s="76"/>
      <c r="H911" s="57">
        <f t="shared" si="98"/>
        <v>2000</v>
      </c>
      <c r="I911" s="50">
        <v>1</v>
      </c>
      <c r="J911" s="57">
        <f t="shared" si="95"/>
        <v>2000</v>
      </c>
      <c r="K911" s="100">
        <f t="shared" si="97"/>
        <v>2200</v>
      </c>
      <c r="L911" s="18" t="s">
        <v>1380</v>
      </c>
      <c r="M911" s="50"/>
    </row>
    <row r="912" spans="1:13" ht="24" hidden="1" customHeight="1" x14ac:dyDescent="0.4">
      <c r="A912" s="62">
        <v>44996</v>
      </c>
      <c r="B912" s="32" t="s">
        <v>1358</v>
      </c>
      <c r="C912" s="18" t="s">
        <v>22</v>
      </c>
      <c r="D912" s="63" t="s">
        <v>23</v>
      </c>
      <c r="E912" s="50" t="s">
        <v>827</v>
      </c>
      <c r="F912" s="57">
        <v>15000</v>
      </c>
      <c r="G912" s="76"/>
      <c r="H912" s="57">
        <f t="shared" si="98"/>
        <v>15000</v>
      </c>
      <c r="I912" s="50">
        <v>1</v>
      </c>
      <c r="J912" s="57">
        <f t="shared" si="95"/>
        <v>15000</v>
      </c>
      <c r="K912" s="100">
        <f t="shared" si="97"/>
        <v>16500</v>
      </c>
      <c r="L912" s="18" t="s">
        <v>25</v>
      </c>
      <c r="M912" s="50"/>
    </row>
    <row r="913" spans="1:13" ht="24" hidden="1" customHeight="1" x14ac:dyDescent="0.4">
      <c r="A913" s="62">
        <v>44996</v>
      </c>
      <c r="B913" s="32" t="s">
        <v>1359</v>
      </c>
      <c r="C913" s="18" t="s">
        <v>22</v>
      </c>
      <c r="D913" s="63" t="s">
        <v>23</v>
      </c>
      <c r="E913" s="50" t="s">
        <v>827</v>
      </c>
      <c r="F913" s="57">
        <v>15000</v>
      </c>
      <c r="G913" s="76"/>
      <c r="H913" s="57">
        <f t="shared" si="98"/>
        <v>15000</v>
      </c>
      <c r="I913" s="50">
        <v>1</v>
      </c>
      <c r="J913" s="57">
        <f t="shared" si="95"/>
        <v>15000</v>
      </c>
      <c r="K913" s="100">
        <f t="shared" si="97"/>
        <v>16500</v>
      </c>
      <c r="L913" s="18" t="s">
        <v>25</v>
      </c>
      <c r="M913" s="50"/>
    </row>
    <row r="914" spans="1:13" ht="24" hidden="1" customHeight="1" x14ac:dyDescent="0.4">
      <c r="A914" s="62">
        <v>44996</v>
      </c>
      <c r="B914" s="32" t="s">
        <v>1360</v>
      </c>
      <c r="C914" s="18" t="s">
        <v>22</v>
      </c>
      <c r="D914" s="63" t="s">
        <v>48</v>
      </c>
      <c r="E914" s="50" t="s">
        <v>369</v>
      </c>
      <c r="F914" s="57">
        <v>3000</v>
      </c>
      <c r="G914" s="76"/>
      <c r="H914" s="57">
        <f t="shared" si="98"/>
        <v>3000</v>
      </c>
      <c r="I914" s="50">
        <v>1</v>
      </c>
      <c r="J914" s="57">
        <f t="shared" si="95"/>
        <v>3000</v>
      </c>
      <c r="K914" s="100">
        <f t="shared" si="97"/>
        <v>3300</v>
      </c>
      <c r="L914" s="18" t="s">
        <v>25</v>
      </c>
      <c r="M914" s="50"/>
    </row>
    <row r="915" spans="1:13" ht="24" hidden="1" customHeight="1" x14ac:dyDescent="0.4">
      <c r="A915" s="62">
        <v>44997</v>
      </c>
      <c r="B915" s="32" t="s">
        <v>1361</v>
      </c>
      <c r="C915" s="18" t="s">
        <v>1344</v>
      </c>
      <c r="D915" s="63" t="s">
        <v>292</v>
      </c>
      <c r="E915" s="50" t="s">
        <v>1362</v>
      </c>
      <c r="F915" s="57">
        <v>5500</v>
      </c>
      <c r="G915" s="76"/>
      <c r="H915" s="57">
        <f t="shared" si="98"/>
        <v>5500</v>
      </c>
      <c r="I915" s="50">
        <v>3</v>
      </c>
      <c r="J915" s="57">
        <f t="shared" ref="J915:J980" si="99">H915*I915</f>
        <v>16500</v>
      </c>
      <c r="K915" s="100">
        <f t="shared" si="97"/>
        <v>18150</v>
      </c>
      <c r="L915" s="18" t="s">
        <v>1354</v>
      </c>
      <c r="M915" s="50"/>
    </row>
    <row r="916" spans="1:13" ht="24" hidden="1" customHeight="1" x14ac:dyDescent="0.4">
      <c r="A916" s="62">
        <v>44997</v>
      </c>
      <c r="B916" s="32" t="s">
        <v>1363</v>
      </c>
      <c r="C916" s="18" t="s">
        <v>22</v>
      </c>
      <c r="D916" s="63" t="s">
        <v>23</v>
      </c>
      <c r="E916" s="50" t="s">
        <v>827</v>
      </c>
      <c r="F916" s="57">
        <v>15000</v>
      </c>
      <c r="G916" s="76"/>
      <c r="H916" s="57">
        <f t="shared" si="98"/>
        <v>15000</v>
      </c>
      <c r="I916" s="50">
        <v>1</v>
      </c>
      <c r="J916" s="57">
        <f t="shared" si="99"/>
        <v>15000</v>
      </c>
      <c r="K916" s="100">
        <f t="shared" si="97"/>
        <v>16500</v>
      </c>
      <c r="L916" s="18" t="s">
        <v>25</v>
      </c>
      <c r="M916" s="50"/>
    </row>
    <row r="917" spans="1:13" ht="24" hidden="1" customHeight="1" x14ac:dyDescent="0.4">
      <c r="A917" s="62">
        <v>44997</v>
      </c>
      <c r="B917" s="32" t="s">
        <v>1364</v>
      </c>
      <c r="C917" s="18" t="s">
        <v>22</v>
      </c>
      <c r="D917" s="63" t="s">
        <v>23</v>
      </c>
      <c r="E917" s="50" t="s">
        <v>1365</v>
      </c>
      <c r="F917" s="57">
        <v>20000</v>
      </c>
      <c r="G917" s="76">
        <v>-10000</v>
      </c>
      <c r="H917" s="57">
        <f t="shared" si="98"/>
        <v>10000</v>
      </c>
      <c r="I917" s="50">
        <v>1</v>
      </c>
      <c r="J917" s="57">
        <f t="shared" si="99"/>
        <v>10000</v>
      </c>
      <c r="K917" s="100">
        <f t="shared" si="97"/>
        <v>11000</v>
      </c>
      <c r="L917" s="18" t="s">
        <v>25</v>
      </c>
      <c r="M917" s="50" t="s">
        <v>1227</v>
      </c>
    </row>
    <row r="918" spans="1:13" ht="24" hidden="1" customHeight="1" x14ac:dyDescent="0.4">
      <c r="A918" s="62">
        <v>44997</v>
      </c>
      <c r="B918" s="32" t="s">
        <v>1364</v>
      </c>
      <c r="C918" s="18" t="s">
        <v>1344</v>
      </c>
      <c r="D918" s="63" t="s">
        <v>576</v>
      </c>
      <c r="E918" s="50" t="s">
        <v>1366</v>
      </c>
      <c r="F918" s="57">
        <v>70000</v>
      </c>
      <c r="G918" s="76">
        <v>-7000</v>
      </c>
      <c r="H918" s="57">
        <f t="shared" si="98"/>
        <v>63000</v>
      </c>
      <c r="I918" s="50">
        <v>1</v>
      </c>
      <c r="J918" s="57">
        <f t="shared" si="99"/>
        <v>63000</v>
      </c>
      <c r="K918" s="100">
        <f t="shared" si="97"/>
        <v>69300</v>
      </c>
      <c r="L918" s="18" t="s">
        <v>34</v>
      </c>
      <c r="M918" s="50"/>
    </row>
    <row r="919" spans="1:13" ht="24" hidden="1" customHeight="1" x14ac:dyDescent="0.4">
      <c r="A919" s="62">
        <v>44997</v>
      </c>
      <c r="B919" s="32" t="s">
        <v>1364</v>
      </c>
      <c r="C919" s="18" t="s">
        <v>1344</v>
      </c>
      <c r="D919" s="63" t="s">
        <v>576</v>
      </c>
      <c r="E919" s="50" t="s">
        <v>1367</v>
      </c>
      <c r="F919" s="57">
        <v>52000</v>
      </c>
      <c r="G919" s="76">
        <v>-5200</v>
      </c>
      <c r="H919" s="57">
        <f t="shared" si="98"/>
        <v>46800</v>
      </c>
      <c r="I919" s="50">
        <v>1</v>
      </c>
      <c r="J919" s="57">
        <f t="shared" si="99"/>
        <v>46800</v>
      </c>
      <c r="K919" s="100">
        <f t="shared" si="97"/>
        <v>51480</v>
      </c>
      <c r="L919" s="18" t="s">
        <v>34</v>
      </c>
      <c r="M919" s="50"/>
    </row>
    <row r="920" spans="1:13" ht="24" hidden="1" customHeight="1" x14ac:dyDescent="0.4">
      <c r="A920" s="62">
        <v>44997</v>
      </c>
      <c r="B920" s="32" t="s">
        <v>1364</v>
      </c>
      <c r="C920" s="18" t="s">
        <v>1344</v>
      </c>
      <c r="D920" s="63" t="s">
        <v>1368</v>
      </c>
      <c r="E920" s="50" t="s">
        <v>1369</v>
      </c>
      <c r="F920" s="57">
        <v>50000</v>
      </c>
      <c r="G920" s="76">
        <v>-10000</v>
      </c>
      <c r="H920" s="57">
        <f t="shared" si="98"/>
        <v>40000</v>
      </c>
      <c r="I920" s="50">
        <v>2</v>
      </c>
      <c r="J920" s="57">
        <f t="shared" si="99"/>
        <v>80000</v>
      </c>
      <c r="K920" s="100">
        <f t="shared" si="97"/>
        <v>88000</v>
      </c>
      <c r="L920" s="18" t="s">
        <v>34</v>
      </c>
      <c r="M920" s="50"/>
    </row>
    <row r="921" spans="1:13" ht="24" hidden="1" customHeight="1" x14ac:dyDescent="0.4">
      <c r="A921" s="62">
        <v>44997</v>
      </c>
      <c r="B921" s="32" t="s">
        <v>1364</v>
      </c>
      <c r="C921" s="18" t="s">
        <v>1344</v>
      </c>
      <c r="D921" s="63" t="s">
        <v>1348</v>
      </c>
      <c r="E921" s="50" t="s">
        <v>1208</v>
      </c>
      <c r="F921" s="57">
        <v>980</v>
      </c>
      <c r="G921" s="76"/>
      <c r="H921" s="57">
        <f t="shared" si="98"/>
        <v>980</v>
      </c>
      <c r="I921" s="50">
        <v>2</v>
      </c>
      <c r="J921" s="57">
        <f t="shared" si="99"/>
        <v>1960</v>
      </c>
      <c r="K921" s="100">
        <f t="shared" si="97"/>
        <v>2156</v>
      </c>
      <c r="L921" s="18" t="s">
        <v>34</v>
      </c>
      <c r="M921" s="50"/>
    </row>
    <row r="922" spans="1:13" ht="24" hidden="1" customHeight="1" x14ac:dyDescent="0.4">
      <c r="A922" s="62">
        <v>44998</v>
      </c>
      <c r="B922" s="32" t="s">
        <v>1256</v>
      </c>
      <c r="C922" s="18" t="s">
        <v>27</v>
      </c>
      <c r="D922" s="63" t="s">
        <v>28</v>
      </c>
      <c r="E922" s="50" t="s">
        <v>318</v>
      </c>
      <c r="F922" s="57">
        <v>15000</v>
      </c>
      <c r="G922" s="76"/>
      <c r="H922" s="57">
        <f t="shared" si="98"/>
        <v>15000</v>
      </c>
      <c r="I922" s="50">
        <v>1</v>
      </c>
      <c r="J922" s="57">
        <f t="shared" si="99"/>
        <v>15000</v>
      </c>
      <c r="K922" s="100">
        <f t="shared" si="97"/>
        <v>16500</v>
      </c>
      <c r="L922" s="18" t="s">
        <v>1370</v>
      </c>
      <c r="M922" s="50"/>
    </row>
    <row r="923" spans="1:13" ht="24" hidden="1" customHeight="1" x14ac:dyDescent="0.4">
      <c r="A923" s="62">
        <v>44998</v>
      </c>
      <c r="B923" s="32" t="s">
        <v>1256</v>
      </c>
      <c r="C923" s="18" t="s">
        <v>27</v>
      </c>
      <c r="D923" s="63" t="s">
        <v>28</v>
      </c>
      <c r="E923" s="50" t="s">
        <v>1254</v>
      </c>
      <c r="F923" s="57">
        <v>8500</v>
      </c>
      <c r="G923" s="76"/>
      <c r="H923" s="57">
        <f t="shared" si="98"/>
        <v>8500</v>
      </c>
      <c r="I923" s="50">
        <v>1</v>
      </c>
      <c r="J923" s="57">
        <f t="shared" si="99"/>
        <v>8500</v>
      </c>
      <c r="K923" s="100">
        <f t="shared" si="97"/>
        <v>9350</v>
      </c>
      <c r="L923" s="18" t="s">
        <v>1370</v>
      </c>
      <c r="M923" s="50"/>
    </row>
    <row r="924" spans="1:13" ht="24" hidden="1" customHeight="1" x14ac:dyDescent="0.4">
      <c r="A924" s="62">
        <v>44998</v>
      </c>
      <c r="B924" s="32" t="s">
        <v>1256</v>
      </c>
      <c r="C924" s="18" t="s">
        <v>27</v>
      </c>
      <c r="D924" s="63" t="s">
        <v>28</v>
      </c>
      <c r="E924" s="50" t="s">
        <v>1353</v>
      </c>
      <c r="F924" s="57">
        <v>4250</v>
      </c>
      <c r="G924" s="76"/>
      <c r="H924" s="57">
        <f t="shared" si="98"/>
        <v>4250</v>
      </c>
      <c r="I924" s="50">
        <v>1</v>
      </c>
      <c r="J924" s="57">
        <f t="shared" si="99"/>
        <v>4250</v>
      </c>
      <c r="K924" s="100">
        <f t="shared" si="97"/>
        <v>4675</v>
      </c>
      <c r="L924" s="18" t="s">
        <v>1370</v>
      </c>
      <c r="M924" s="50"/>
    </row>
    <row r="925" spans="1:13" ht="24" hidden="1" customHeight="1" x14ac:dyDescent="0.4">
      <c r="A925" s="62">
        <v>44998</v>
      </c>
      <c r="B925" s="32" t="s">
        <v>1256</v>
      </c>
      <c r="C925" s="18" t="s">
        <v>27</v>
      </c>
      <c r="D925" s="63" t="s">
        <v>103</v>
      </c>
      <c r="E925" s="50" t="s">
        <v>217</v>
      </c>
      <c r="F925" s="57">
        <v>25000</v>
      </c>
      <c r="G925" s="76"/>
      <c r="H925" s="57">
        <f t="shared" si="98"/>
        <v>25000</v>
      </c>
      <c r="I925" s="50">
        <v>1</v>
      </c>
      <c r="J925" s="57">
        <f t="shared" si="99"/>
        <v>25000</v>
      </c>
      <c r="K925" s="100">
        <f t="shared" si="97"/>
        <v>27500</v>
      </c>
      <c r="L925" s="18" t="s">
        <v>1370</v>
      </c>
      <c r="M925" s="50"/>
    </row>
    <row r="926" spans="1:13" ht="24" hidden="1" customHeight="1" x14ac:dyDescent="0.4">
      <c r="A926" s="62">
        <v>44998</v>
      </c>
      <c r="B926" s="32" t="s">
        <v>1371</v>
      </c>
      <c r="C926" s="18" t="s">
        <v>1372</v>
      </c>
      <c r="D926" s="63" t="s">
        <v>1373</v>
      </c>
      <c r="E926" s="50" t="s">
        <v>1374</v>
      </c>
      <c r="F926" s="57">
        <v>60000</v>
      </c>
      <c r="G926" s="76">
        <v>-6000</v>
      </c>
      <c r="H926" s="57">
        <f t="shared" si="98"/>
        <v>54000</v>
      </c>
      <c r="I926" s="50">
        <v>1</v>
      </c>
      <c r="J926" s="57">
        <f t="shared" si="99"/>
        <v>54000</v>
      </c>
      <c r="K926" s="100">
        <f t="shared" si="97"/>
        <v>59400</v>
      </c>
      <c r="L926" s="18" t="s">
        <v>34</v>
      </c>
      <c r="M926" s="50"/>
    </row>
    <row r="927" spans="1:13" ht="24" hidden="1" customHeight="1" x14ac:dyDescent="0.4">
      <c r="A927" s="62">
        <v>44998</v>
      </c>
      <c r="B927" s="32" t="s">
        <v>1371</v>
      </c>
      <c r="C927" s="18" t="s">
        <v>1372</v>
      </c>
      <c r="D927" s="63" t="s">
        <v>576</v>
      </c>
      <c r="E927" s="50" t="s">
        <v>1375</v>
      </c>
      <c r="F927" s="57">
        <v>88000</v>
      </c>
      <c r="G927" s="76">
        <v>-13200</v>
      </c>
      <c r="H927" s="57">
        <f t="shared" si="98"/>
        <v>74800</v>
      </c>
      <c r="I927" s="50">
        <v>1</v>
      </c>
      <c r="J927" s="57">
        <f t="shared" si="99"/>
        <v>74800</v>
      </c>
      <c r="K927" s="100">
        <f t="shared" si="97"/>
        <v>82280</v>
      </c>
      <c r="L927" s="18" t="s">
        <v>34</v>
      </c>
      <c r="M927" s="50"/>
    </row>
    <row r="928" spans="1:13" ht="24" hidden="1" customHeight="1" x14ac:dyDescent="0.4">
      <c r="A928" s="62">
        <v>44998</v>
      </c>
      <c r="B928" s="32" t="s">
        <v>1376</v>
      </c>
      <c r="C928" s="18" t="s">
        <v>1372</v>
      </c>
      <c r="D928" s="63" t="s">
        <v>1377</v>
      </c>
      <c r="E928" s="50" t="s">
        <v>1426</v>
      </c>
      <c r="F928" s="57">
        <v>5500</v>
      </c>
      <c r="G928" s="76"/>
      <c r="H928" s="57">
        <f t="shared" si="98"/>
        <v>5500</v>
      </c>
      <c r="I928" s="50">
        <v>1</v>
      </c>
      <c r="J928" s="57">
        <f t="shared" si="99"/>
        <v>5500</v>
      </c>
      <c r="K928" s="100">
        <f t="shared" si="97"/>
        <v>6050</v>
      </c>
      <c r="L928" s="18" t="s">
        <v>25</v>
      </c>
      <c r="M928" s="50"/>
    </row>
    <row r="929" spans="1:13" ht="24" customHeight="1" x14ac:dyDescent="0.4">
      <c r="A929" s="62">
        <v>44999</v>
      </c>
      <c r="B929" s="32" t="s">
        <v>1378</v>
      </c>
      <c r="C929" s="18" t="s">
        <v>1372</v>
      </c>
      <c r="D929" s="63" t="s">
        <v>1277</v>
      </c>
      <c r="E929" s="50" t="s">
        <v>1379</v>
      </c>
      <c r="F929" s="57">
        <v>86000</v>
      </c>
      <c r="G929" s="76">
        <v>-8600</v>
      </c>
      <c r="H929" s="57">
        <f t="shared" si="98"/>
        <v>77400</v>
      </c>
      <c r="I929" s="50">
        <v>1</v>
      </c>
      <c r="J929" s="57">
        <f t="shared" si="99"/>
        <v>77400</v>
      </c>
      <c r="K929" s="100">
        <f t="shared" si="97"/>
        <v>85140</v>
      </c>
      <c r="L929" s="18" t="s">
        <v>1380</v>
      </c>
      <c r="M929" s="50"/>
    </row>
    <row r="930" spans="1:13" ht="24" hidden="1" customHeight="1" x14ac:dyDescent="0.4">
      <c r="A930" s="62">
        <v>45000</v>
      </c>
      <c r="B930" s="32" t="s">
        <v>1381</v>
      </c>
      <c r="C930" s="18" t="s">
        <v>27</v>
      </c>
      <c r="D930" s="63" t="s">
        <v>28</v>
      </c>
      <c r="E930" s="50" t="s">
        <v>1382</v>
      </c>
      <c r="F930" s="57">
        <v>2000</v>
      </c>
      <c r="G930" s="76"/>
      <c r="H930" s="57">
        <f t="shared" si="98"/>
        <v>2000</v>
      </c>
      <c r="I930" s="50">
        <v>2</v>
      </c>
      <c r="J930" s="57">
        <f t="shared" si="99"/>
        <v>4000</v>
      </c>
      <c r="K930" s="100">
        <f t="shared" si="97"/>
        <v>4400</v>
      </c>
      <c r="L930" s="18" t="s">
        <v>1380</v>
      </c>
      <c r="M930" s="50"/>
    </row>
    <row r="931" spans="1:13" ht="24" hidden="1" customHeight="1" x14ac:dyDescent="0.4">
      <c r="A931" s="62">
        <v>45000</v>
      </c>
      <c r="B931" s="32" t="s">
        <v>1383</v>
      </c>
      <c r="C931" s="18" t="s">
        <v>22</v>
      </c>
      <c r="D931" s="63" t="s">
        <v>48</v>
      </c>
      <c r="E931" s="50" t="s">
        <v>369</v>
      </c>
      <c r="F931" s="57">
        <v>3000</v>
      </c>
      <c r="G931" s="76"/>
      <c r="H931" s="57">
        <f t="shared" si="98"/>
        <v>3000</v>
      </c>
      <c r="I931" s="50">
        <v>1</v>
      </c>
      <c r="J931" s="57">
        <f t="shared" si="99"/>
        <v>3000</v>
      </c>
      <c r="K931" s="100">
        <f t="shared" si="97"/>
        <v>3300</v>
      </c>
      <c r="L931" s="18" t="s">
        <v>1380</v>
      </c>
      <c r="M931" s="50"/>
    </row>
    <row r="932" spans="1:13" ht="24" hidden="1" customHeight="1" x14ac:dyDescent="0.4">
      <c r="A932" s="62">
        <v>45000</v>
      </c>
      <c r="B932" s="32" t="s">
        <v>1099</v>
      </c>
      <c r="C932" s="18" t="s">
        <v>27</v>
      </c>
      <c r="D932" s="63" t="s">
        <v>28</v>
      </c>
      <c r="E932" s="50" t="s">
        <v>1215</v>
      </c>
      <c r="F932" s="57">
        <v>2000</v>
      </c>
      <c r="G932" s="76"/>
      <c r="H932" s="57">
        <f t="shared" si="98"/>
        <v>2000</v>
      </c>
      <c r="I932" s="50">
        <v>3</v>
      </c>
      <c r="J932" s="57">
        <f t="shared" si="99"/>
        <v>6000</v>
      </c>
      <c r="K932" s="100">
        <f t="shared" si="97"/>
        <v>6600</v>
      </c>
      <c r="L932" s="18" t="s">
        <v>25</v>
      </c>
      <c r="M932" s="50"/>
    </row>
    <row r="933" spans="1:13" ht="24" hidden="1" customHeight="1" x14ac:dyDescent="0.4">
      <c r="A933" s="62">
        <v>45000</v>
      </c>
      <c r="B933" s="32" t="s">
        <v>1384</v>
      </c>
      <c r="C933" s="18" t="s">
        <v>22</v>
      </c>
      <c r="D933" s="63" t="s">
        <v>23</v>
      </c>
      <c r="E933" s="50" t="s">
        <v>827</v>
      </c>
      <c r="F933" s="57">
        <v>15000</v>
      </c>
      <c r="G933" s="76"/>
      <c r="H933" s="57">
        <f t="shared" si="98"/>
        <v>15000</v>
      </c>
      <c r="I933" s="50">
        <v>1</v>
      </c>
      <c r="J933" s="57">
        <f t="shared" si="99"/>
        <v>15000</v>
      </c>
      <c r="K933" s="100">
        <f t="shared" si="97"/>
        <v>16500</v>
      </c>
      <c r="L933" s="18" t="s">
        <v>1380</v>
      </c>
      <c r="M933" s="50"/>
    </row>
    <row r="934" spans="1:13" ht="24" hidden="1" customHeight="1" x14ac:dyDescent="0.4">
      <c r="A934" s="62">
        <v>45000</v>
      </c>
      <c r="B934" s="32" t="s">
        <v>1385</v>
      </c>
      <c r="C934" s="18" t="s">
        <v>22</v>
      </c>
      <c r="D934" s="63" t="s">
        <v>51</v>
      </c>
      <c r="E934" s="50" t="s">
        <v>52</v>
      </c>
      <c r="F934" s="57">
        <v>3000</v>
      </c>
      <c r="G934" s="76"/>
      <c r="H934" s="57">
        <f t="shared" si="98"/>
        <v>3000</v>
      </c>
      <c r="I934" s="50">
        <v>1</v>
      </c>
      <c r="J934" s="57">
        <f t="shared" si="99"/>
        <v>3000</v>
      </c>
      <c r="K934" s="100">
        <f t="shared" si="97"/>
        <v>3300</v>
      </c>
      <c r="L934" s="18" t="s">
        <v>25</v>
      </c>
      <c r="M934" s="50"/>
    </row>
    <row r="935" spans="1:13" ht="24" hidden="1" customHeight="1" x14ac:dyDescent="0.4">
      <c r="A935" s="62">
        <v>45001</v>
      </c>
      <c r="B935" s="32" t="s">
        <v>756</v>
      </c>
      <c r="C935" s="18" t="s">
        <v>1372</v>
      </c>
      <c r="D935" s="63" t="s">
        <v>1386</v>
      </c>
      <c r="E935" s="50" t="s">
        <v>1387</v>
      </c>
      <c r="F935" s="57">
        <v>1400</v>
      </c>
      <c r="G935" s="76"/>
      <c r="H935" s="57">
        <f t="shared" si="98"/>
        <v>1400</v>
      </c>
      <c r="I935" s="50">
        <v>1</v>
      </c>
      <c r="J935" s="57">
        <f t="shared" si="99"/>
        <v>1400</v>
      </c>
      <c r="K935" s="100">
        <f t="shared" ref="K935:K1000" si="100">ROUNDDOWN(J935*1.1,0)</f>
        <v>1540</v>
      </c>
      <c r="L935" s="18" t="s">
        <v>1380</v>
      </c>
      <c r="M935" s="50"/>
    </row>
    <row r="936" spans="1:13" ht="24" hidden="1" customHeight="1" x14ac:dyDescent="0.4">
      <c r="A936" s="62">
        <v>45001</v>
      </c>
      <c r="B936" s="32" t="s">
        <v>1388</v>
      </c>
      <c r="C936" s="96" t="s">
        <v>1389</v>
      </c>
      <c r="D936" s="63"/>
      <c r="E936" s="130" t="s">
        <v>1390</v>
      </c>
      <c r="F936" s="57">
        <v>-2000</v>
      </c>
      <c r="G936" s="76"/>
      <c r="H936" s="57">
        <f t="shared" si="98"/>
        <v>-2000</v>
      </c>
      <c r="I936" s="50">
        <v>1</v>
      </c>
      <c r="J936" s="57">
        <f t="shared" si="99"/>
        <v>-2000</v>
      </c>
      <c r="K936" s="100">
        <f t="shared" si="100"/>
        <v>-2200</v>
      </c>
      <c r="L936" s="18" t="s">
        <v>1380</v>
      </c>
      <c r="M936" s="50"/>
    </row>
    <row r="937" spans="1:13" ht="24" hidden="1" customHeight="1" x14ac:dyDescent="0.4">
      <c r="A937" s="62">
        <v>45001</v>
      </c>
      <c r="B937" s="32" t="s">
        <v>171</v>
      </c>
      <c r="C937" s="18" t="s">
        <v>1372</v>
      </c>
      <c r="D937" s="63" t="s">
        <v>1386</v>
      </c>
      <c r="E937" s="50" t="s">
        <v>1391</v>
      </c>
      <c r="F937" s="57">
        <v>1050</v>
      </c>
      <c r="G937" s="76">
        <v>-105</v>
      </c>
      <c r="H937" s="57">
        <f t="shared" si="98"/>
        <v>945</v>
      </c>
      <c r="I937" s="50">
        <v>1</v>
      </c>
      <c r="J937" s="57">
        <f t="shared" si="99"/>
        <v>945</v>
      </c>
      <c r="K937" s="100">
        <f t="shared" si="100"/>
        <v>1039</v>
      </c>
      <c r="L937" s="18" t="s">
        <v>25</v>
      </c>
      <c r="M937" s="50"/>
    </row>
    <row r="938" spans="1:13" ht="24" hidden="1" customHeight="1" x14ac:dyDescent="0.4">
      <c r="A938" s="62">
        <v>45001</v>
      </c>
      <c r="B938" s="32" t="s">
        <v>1392</v>
      </c>
      <c r="C938" s="18" t="s">
        <v>1372</v>
      </c>
      <c r="D938" s="63" t="s">
        <v>1393</v>
      </c>
      <c r="E938" s="50" t="s">
        <v>1394</v>
      </c>
      <c r="F938" s="57">
        <v>12000</v>
      </c>
      <c r="G938" s="76">
        <v>-1200</v>
      </c>
      <c r="H938" s="57">
        <f t="shared" si="98"/>
        <v>10800</v>
      </c>
      <c r="I938" s="50">
        <v>1</v>
      </c>
      <c r="J938" s="57">
        <f t="shared" si="99"/>
        <v>10800</v>
      </c>
      <c r="K938" s="100">
        <f t="shared" si="100"/>
        <v>11880</v>
      </c>
      <c r="L938" s="18" t="s">
        <v>25</v>
      </c>
      <c r="M938" s="50"/>
    </row>
    <row r="939" spans="1:13" ht="24" hidden="1" customHeight="1" x14ac:dyDescent="0.4">
      <c r="A939" s="62">
        <v>45002</v>
      </c>
      <c r="B939" s="32" t="s">
        <v>1395</v>
      </c>
      <c r="C939" s="18" t="s">
        <v>22</v>
      </c>
      <c r="D939" s="63" t="s">
        <v>23</v>
      </c>
      <c r="E939" s="50" t="s">
        <v>1396</v>
      </c>
      <c r="F939" s="57">
        <v>20000</v>
      </c>
      <c r="G939" s="76">
        <v>-10000</v>
      </c>
      <c r="H939" s="57">
        <f t="shared" si="98"/>
        <v>10000</v>
      </c>
      <c r="I939" s="50">
        <v>1</v>
      </c>
      <c r="J939" s="57">
        <f t="shared" si="99"/>
        <v>10000</v>
      </c>
      <c r="K939" s="100">
        <f t="shared" si="100"/>
        <v>11000</v>
      </c>
      <c r="L939" s="18" t="s">
        <v>1380</v>
      </c>
      <c r="M939" s="50" t="s">
        <v>1397</v>
      </c>
    </row>
    <row r="940" spans="1:13" ht="24" hidden="1" customHeight="1" x14ac:dyDescent="0.4">
      <c r="A940" s="62">
        <v>45002</v>
      </c>
      <c r="B940" s="32" t="s">
        <v>1395</v>
      </c>
      <c r="C940" s="18" t="s">
        <v>1372</v>
      </c>
      <c r="D940" s="63" t="s">
        <v>1373</v>
      </c>
      <c r="E940" s="50" t="s">
        <v>1398</v>
      </c>
      <c r="F940" s="57">
        <v>55000</v>
      </c>
      <c r="G940" s="76">
        <v>-11000</v>
      </c>
      <c r="H940" s="57">
        <f t="shared" si="98"/>
        <v>44000</v>
      </c>
      <c r="I940" s="50">
        <v>1</v>
      </c>
      <c r="J940" s="57">
        <f t="shared" si="99"/>
        <v>44000</v>
      </c>
      <c r="K940" s="100">
        <f t="shared" si="100"/>
        <v>48400</v>
      </c>
      <c r="L940" s="18" t="s">
        <v>34</v>
      </c>
      <c r="M940" s="50"/>
    </row>
    <row r="941" spans="1:13" ht="24" hidden="1" customHeight="1" x14ac:dyDescent="0.4">
      <c r="A941" s="62">
        <v>45002</v>
      </c>
      <c r="B941" s="32" t="s">
        <v>1395</v>
      </c>
      <c r="C941" s="18" t="s">
        <v>1372</v>
      </c>
      <c r="D941" s="63" t="s">
        <v>1373</v>
      </c>
      <c r="E941" s="50" t="s">
        <v>1399</v>
      </c>
      <c r="F941" s="57">
        <v>35000</v>
      </c>
      <c r="G941" s="76">
        <v>-7000</v>
      </c>
      <c r="H941" s="57">
        <f t="shared" si="98"/>
        <v>28000</v>
      </c>
      <c r="I941" s="50">
        <v>2</v>
      </c>
      <c r="J941" s="57">
        <f t="shared" si="99"/>
        <v>56000</v>
      </c>
      <c r="K941" s="100">
        <f t="shared" si="100"/>
        <v>61600</v>
      </c>
      <c r="L941" s="18" t="s">
        <v>34</v>
      </c>
      <c r="M941" s="50"/>
    </row>
    <row r="942" spans="1:13" ht="24" hidden="1" customHeight="1" x14ac:dyDescent="0.4">
      <c r="A942" s="62">
        <v>45002</v>
      </c>
      <c r="B942" s="32" t="s">
        <v>1395</v>
      </c>
      <c r="C942" s="18" t="s">
        <v>1372</v>
      </c>
      <c r="D942" s="63" t="s">
        <v>1386</v>
      </c>
      <c r="E942" s="50" t="s">
        <v>1400</v>
      </c>
      <c r="F942" s="57">
        <v>980</v>
      </c>
      <c r="G942" s="76"/>
      <c r="H942" s="57">
        <f t="shared" si="98"/>
        <v>980</v>
      </c>
      <c r="I942" s="50">
        <v>3</v>
      </c>
      <c r="J942" s="57">
        <f t="shared" si="99"/>
        <v>2940</v>
      </c>
      <c r="K942" s="100">
        <f t="shared" si="100"/>
        <v>3234</v>
      </c>
      <c r="L942" s="18" t="s">
        <v>34</v>
      </c>
      <c r="M942" s="50"/>
    </row>
    <row r="943" spans="1:13" ht="24" hidden="1" customHeight="1" x14ac:dyDescent="0.4">
      <c r="A943" s="62">
        <v>45002</v>
      </c>
      <c r="B943" s="32" t="s">
        <v>1488</v>
      </c>
      <c r="C943" s="18" t="s">
        <v>17</v>
      </c>
      <c r="D943" s="63" t="s">
        <v>1373</v>
      </c>
      <c r="E943" s="50" t="s">
        <v>1489</v>
      </c>
      <c r="F943" s="57">
        <v>4800</v>
      </c>
      <c r="G943" s="76">
        <v>-480</v>
      </c>
      <c r="H943" s="57">
        <f t="shared" si="98"/>
        <v>4320</v>
      </c>
      <c r="I943" s="50">
        <v>2</v>
      </c>
      <c r="J943" s="57">
        <f t="shared" si="99"/>
        <v>8640</v>
      </c>
      <c r="K943" s="132">
        <f t="shared" si="100"/>
        <v>9504</v>
      </c>
      <c r="L943" s="18" t="s">
        <v>34</v>
      </c>
      <c r="M943" s="133"/>
    </row>
    <row r="944" spans="1:13" ht="24" hidden="1" customHeight="1" x14ac:dyDescent="0.4">
      <c r="A944" s="62">
        <v>45002</v>
      </c>
      <c r="B944" s="32" t="s">
        <v>1488</v>
      </c>
      <c r="C944" s="18" t="s">
        <v>17</v>
      </c>
      <c r="D944" s="63" t="s">
        <v>332</v>
      </c>
      <c r="E944" s="50" t="s">
        <v>1490</v>
      </c>
      <c r="F944" s="57">
        <v>1400</v>
      </c>
      <c r="G944" s="76">
        <v>-140</v>
      </c>
      <c r="H944" s="57">
        <f t="shared" si="98"/>
        <v>1260</v>
      </c>
      <c r="I944" s="50">
        <v>2</v>
      </c>
      <c r="J944" s="57">
        <f t="shared" si="99"/>
        <v>2520</v>
      </c>
      <c r="K944" s="132">
        <f t="shared" si="100"/>
        <v>2772</v>
      </c>
      <c r="L944" s="18" t="s">
        <v>34</v>
      </c>
      <c r="M944" s="133"/>
    </row>
    <row r="945" spans="1:13" ht="24" hidden="1" customHeight="1" x14ac:dyDescent="0.4">
      <c r="A945" s="62">
        <v>45003</v>
      </c>
      <c r="B945" s="32" t="s">
        <v>1401</v>
      </c>
      <c r="C945" s="18" t="s">
        <v>27</v>
      </c>
      <c r="D945" s="63" t="s">
        <v>28</v>
      </c>
      <c r="E945" s="50" t="s">
        <v>318</v>
      </c>
      <c r="F945" s="57">
        <v>15000</v>
      </c>
      <c r="G945" s="76"/>
      <c r="H945" s="57">
        <f t="shared" si="98"/>
        <v>15000</v>
      </c>
      <c r="I945" s="50">
        <v>1</v>
      </c>
      <c r="J945" s="57">
        <f t="shared" si="99"/>
        <v>15000</v>
      </c>
      <c r="K945" s="100">
        <f t="shared" si="100"/>
        <v>16500</v>
      </c>
      <c r="L945" s="18" t="s">
        <v>25</v>
      </c>
      <c r="M945" s="50"/>
    </row>
    <row r="946" spans="1:13" ht="24" hidden="1" customHeight="1" x14ac:dyDescent="0.4">
      <c r="A946" s="62">
        <v>45003</v>
      </c>
      <c r="B946" s="32" t="s">
        <v>1401</v>
      </c>
      <c r="C946" s="18" t="s">
        <v>27</v>
      </c>
      <c r="D946" s="63" t="s">
        <v>28</v>
      </c>
      <c r="E946" s="50" t="s">
        <v>1261</v>
      </c>
      <c r="F946" s="57">
        <v>4370</v>
      </c>
      <c r="G946" s="76"/>
      <c r="H946" s="57">
        <f t="shared" si="98"/>
        <v>4370</v>
      </c>
      <c r="I946" s="50">
        <v>1</v>
      </c>
      <c r="J946" s="57">
        <f t="shared" si="99"/>
        <v>4370</v>
      </c>
      <c r="K946" s="100">
        <f t="shared" si="100"/>
        <v>4807</v>
      </c>
      <c r="L946" s="18" t="s">
        <v>25</v>
      </c>
      <c r="M946" s="50"/>
    </row>
    <row r="947" spans="1:13" ht="24" hidden="1" customHeight="1" x14ac:dyDescent="0.4">
      <c r="A947" s="62">
        <v>45003</v>
      </c>
      <c r="B947" s="32" t="s">
        <v>1401</v>
      </c>
      <c r="C947" s="18" t="s">
        <v>27</v>
      </c>
      <c r="D947" s="63" t="s">
        <v>28</v>
      </c>
      <c r="E947" s="50" t="s">
        <v>1254</v>
      </c>
      <c r="F947" s="57">
        <v>17500</v>
      </c>
      <c r="G947" s="76"/>
      <c r="H947" s="57">
        <f t="shared" si="98"/>
        <v>17500</v>
      </c>
      <c r="I947" s="50">
        <v>1</v>
      </c>
      <c r="J947" s="57">
        <f t="shared" si="99"/>
        <v>17500</v>
      </c>
      <c r="K947" s="100">
        <f t="shared" si="100"/>
        <v>19250</v>
      </c>
      <c r="L947" s="18" t="s">
        <v>25</v>
      </c>
      <c r="M947" s="50"/>
    </row>
    <row r="948" spans="1:13" ht="24" hidden="1" customHeight="1" x14ac:dyDescent="0.4">
      <c r="A948" s="62">
        <v>45003</v>
      </c>
      <c r="B948" s="32" t="s">
        <v>1402</v>
      </c>
      <c r="C948" s="18" t="s">
        <v>22</v>
      </c>
      <c r="D948" s="63" t="s">
        <v>23</v>
      </c>
      <c r="E948" s="50" t="s">
        <v>1403</v>
      </c>
      <c r="F948" s="57">
        <v>15000</v>
      </c>
      <c r="G948" s="76"/>
      <c r="H948" s="57">
        <f t="shared" si="98"/>
        <v>15000</v>
      </c>
      <c r="I948" s="50">
        <v>1</v>
      </c>
      <c r="J948" s="57">
        <f t="shared" si="99"/>
        <v>15000</v>
      </c>
      <c r="K948" s="100">
        <f t="shared" si="100"/>
        <v>16500</v>
      </c>
      <c r="L948" s="18" t="s">
        <v>25</v>
      </c>
      <c r="M948" s="50"/>
    </row>
    <row r="949" spans="1:13" ht="24" hidden="1" customHeight="1" x14ac:dyDescent="0.4">
      <c r="A949" s="62">
        <v>45003</v>
      </c>
      <c r="B949" s="32" t="s">
        <v>1402</v>
      </c>
      <c r="C949" s="18" t="s">
        <v>1372</v>
      </c>
      <c r="D949" s="63" t="s">
        <v>1373</v>
      </c>
      <c r="E949" s="50" t="s">
        <v>1404</v>
      </c>
      <c r="F949" s="57">
        <v>60000</v>
      </c>
      <c r="G949" s="76">
        <v>-12000</v>
      </c>
      <c r="H949" s="57">
        <f t="shared" si="98"/>
        <v>48000</v>
      </c>
      <c r="I949" s="50">
        <v>1</v>
      </c>
      <c r="J949" s="57">
        <f t="shared" si="99"/>
        <v>48000</v>
      </c>
      <c r="K949" s="100">
        <f t="shared" si="100"/>
        <v>52800</v>
      </c>
      <c r="L949" s="18" t="s">
        <v>34</v>
      </c>
      <c r="M949" s="50"/>
    </row>
    <row r="950" spans="1:13" ht="24" hidden="1" customHeight="1" x14ac:dyDescent="0.4">
      <c r="A950" s="62">
        <v>45003</v>
      </c>
      <c r="B950" s="32" t="s">
        <v>1402</v>
      </c>
      <c r="C950" s="18" t="s">
        <v>1372</v>
      </c>
      <c r="D950" s="63" t="s">
        <v>1386</v>
      </c>
      <c r="E950" s="50" t="s">
        <v>1405</v>
      </c>
      <c r="F950" s="57">
        <v>1700</v>
      </c>
      <c r="G950" s="76"/>
      <c r="H950" s="57">
        <f t="shared" si="98"/>
        <v>1700</v>
      </c>
      <c r="I950" s="50">
        <v>1</v>
      </c>
      <c r="J950" s="57">
        <f t="shared" si="99"/>
        <v>1700</v>
      </c>
      <c r="K950" s="100">
        <f t="shared" si="100"/>
        <v>1870</v>
      </c>
      <c r="L950" s="18" t="s">
        <v>34</v>
      </c>
      <c r="M950" s="50"/>
    </row>
    <row r="951" spans="1:13" ht="24" hidden="1" customHeight="1" x14ac:dyDescent="0.4">
      <c r="A951" s="62">
        <v>45003</v>
      </c>
      <c r="B951" s="32" t="s">
        <v>1406</v>
      </c>
      <c r="C951" s="18" t="s">
        <v>22</v>
      </c>
      <c r="D951" s="63" t="s">
        <v>23</v>
      </c>
      <c r="E951" s="50" t="s">
        <v>827</v>
      </c>
      <c r="F951" s="57">
        <v>15000</v>
      </c>
      <c r="G951" s="76"/>
      <c r="H951" s="57">
        <f t="shared" si="98"/>
        <v>15000</v>
      </c>
      <c r="I951" s="50">
        <v>1</v>
      </c>
      <c r="J951" s="57">
        <f t="shared" si="99"/>
        <v>15000</v>
      </c>
      <c r="K951" s="100">
        <f t="shared" si="100"/>
        <v>16500</v>
      </c>
      <c r="L951" s="18" t="s">
        <v>20</v>
      </c>
      <c r="M951" s="50"/>
    </row>
    <row r="952" spans="1:13" ht="24" hidden="1" customHeight="1" x14ac:dyDescent="0.4">
      <c r="A952" s="62">
        <v>45003</v>
      </c>
      <c r="B952" s="32" t="s">
        <v>1407</v>
      </c>
      <c r="C952" s="18" t="s">
        <v>22</v>
      </c>
      <c r="D952" s="63" t="s">
        <v>23</v>
      </c>
      <c r="E952" s="50" t="s">
        <v>827</v>
      </c>
      <c r="F952" s="57">
        <v>15000</v>
      </c>
      <c r="G952" s="76">
        <v>-5000</v>
      </c>
      <c r="H952" s="57">
        <f t="shared" si="98"/>
        <v>10000</v>
      </c>
      <c r="I952" s="50">
        <v>1</v>
      </c>
      <c r="J952" s="57">
        <f t="shared" si="99"/>
        <v>10000</v>
      </c>
      <c r="K952" s="100">
        <f t="shared" si="100"/>
        <v>11000</v>
      </c>
      <c r="L952" s="18" t="s">
        <v>25</v>
      </c>
      <c r="M952" s="492" t="s">
        <v>1413</v>
      </c>
    </row>
    <row r="953" spans="1:13" ht="24" hidden="1" customHeight="1" x14ac:dyDescent="0.4">
      <c r="A953" s="62">
        <v>45003</v>
      </c>
      <c r="B953" s="32" t="s">
        <v>1401</v>
      </c>
      <c r="C953" s="18" t="s">
        <v>27</v>
      </c>
      <c r="D953" s="63" t="s">
        <v>28</v>
      </c>
      <c r="E953" s="50" t="s">
        <v>318</v>
      </c>
      <c r="F953" s="57">
        <v>15000</v>
      </c>
      <c r="G953" s="76"/>
      <c r="H953" s="57">
        <f t="shared" si="98"/>
        <v>15000</v>
      </c>
      <c r="I953" s="50">
        <v>1</v>
      </c>
      <c r="J953" s="57">
        <f t="shared" si="99"/>
        <v>15000</v>
      </c>
      <c r="K953" s="100">
        <f t="shared" si="100"/>
        <v>16500</v>
      </c>
      <c r="L953" s="18" t="s">
        <v>25</v>
      </c>
      <c r="M953" s="493"/>
    </row>
    <row r="954" spans="1:13" ht="24" hidden="1" customHeight="1" x14ac:dyDescent="0.4">
      <c r="A954" s="62">
        <v>45003</v>
      </c>
      <c r="B954" s="32" t="s">
        <v>1401</v>
      </c>
      <c r="C954" s="18" t="s">
        <v>27</v>
      </c>
      <c r="D954" s="63" t="s">
        <v>28</v>
      </c>
      <c r="E954" s="50" t="s">
        <v>1408</v>
      </c>
      <c r="F954" s="57">
        <v>2125</v>
      </c>
      <c r="G954" s="76"/>
      <c r="H954" s="57">
        <f t="shared" si="98"/>
        <v>2125</v>
      </c>
      <c r="I954" s="50">
        <v>1</v>
      </c>
      <c r="J954" s="57">
        <f t="shared" si="99"/>
        <v>2125</v>
      </c>
      <c r="K954" s="100">
        <f t="shared" si="100"/>
        <v>2337</v>
      </c>
      <c r="L954" s="18" t="s">
        <v>25</v>
      </c>
      <c r="M954" s="493"/>
    </row>
    <row r="955" spans="1:13" ht="24" hidden="1" customHeight="1" x14ac:dyDescent="0.4">
      <c r="A955" s="62">
        <v>45003</v>
      </c>
      <c r="B955" s="32" t="s">
        <v>1401</v>
      </c>
      <c r="C955" s="18" t="s">
        <v>27</v>
      </c>
      <c r="D955" s="63" t="s">
        <v>28</v>
      </c>
      <c r="E955" s="50" t="s">
        <v>318</v>
      </c>
      <c r="F955" s="57">
        <v>15000</v>
      </c>
      <c r="G955" s="76"/>
      <c r="H955" s="57">
        <f t="shared" si="98"/>
        <v>15000</v>
      </c>
      <c r="I955" s="50">
        <v>1</v>
      </c>
      <c r="J955" s="57">
        <f t="shared" si="99"/>
        <v>15000</v>
      </c>
      <c r="K955" s="100">
        <f t="shared" si="100"/>
        <v>16500</v>
      </c>
      <c r="L955" s="18" t="s">
        <v>25</v>
      </c>
      <c r="M955" s="493"/>
    </row>
    <row r="956" spans="1:13" ht="24" hidden="1" customHeight="1" x14ac:dyDescent="0.4">
      <c r="A956" s="62">
        <v>45003</v>
      </c>
      <c r="B956" s="32" t="s">
        <v>1401</v>
      </c>
      <c r="C956" s="18" t="s">
        <v>27</v>
      </c>
      <c r="D956" s="63" t="s">
        <v>28</v>
      </c>
      <c r="E956" s="50" t="s">
        <v>1299</v>
      </c>
      <c r="F956" s="57">
        <v>8500</v>
      </c>
      <c r="G956" s="76"/>
      <c r="H956" s="57">
        <f t="shared" si="98"/>
        <v>8500</v>
      </c>
      <c r="I956" s="50">
        <v>1</v>
      </c>
      <c r="J956" s="57">
        <f t="shared" si="99"/>
        <v>8500</v>
      </c>
      <c r="K956" s="100">
        <f t="shared" si="100"/>
        <v>9350</v>
      </c>
      <c r="L956" s="18" t="s">
        <v>25</v>
      </c>
      <c r="M956" s="494"/>
    </row>
    <row r="957" spans="1:13" ht="24" hidden="1" customHeight="1" x14ac:dyDescent="0.4">
      <c r="A957" s="62">
        <v>45003</v>
      </c>
      <c r="B957" s="32" t="s">
        <v>1407</v>
      </c>
      <c r="C957" s="18" t="s">
        <v>1372</v>
      </c>
      <c r="D957" s="63" t="s">
        <v>1373</v>
      </c>
      <c r="E957" s="50" t="s">
        <v>1409</v>
      </c>
      <c r="F957" s="57">
        <v>70000</v>
      </c>
      <c r="G957" s="76">
        <v>-21000</v>
      </c>
      <c r="H957" s="57">
        <f t="shared" ref="H957:H1020" si="101">F957+G957</f>
        <v>49000</v>
      </c>
      <c r="I957" s="50">
        <v>1</v>
      </c>
      <c r="J957" s="57">
        <f t="shared" si="99"/>
        <v>49000</v>
      </c>
      <c r="K957" s="100">
        <f t="shared" si="100"/>
        <v>53900</v>
      </c>
      <c r="L957" s="18" t="s">
        <v>34</v>
      </c>
      <c r="M957" s="50"/>
    </row>
    <row r="958" spans="1:13" ht="24" hidden="1" customHeight="1" x14ac:dyDescent="0.4">
      <c r="A958" s="62">
        <v>45003</v>
      </c>
      <c r="B958" s="32" t="s">
        <v>1407</v>
      </c>
      <c r="C958" s="18" t="s">
        <v>1372</v>
      </c>
      <c r="D958" s="63" t="s">
        <v>576</v>
      </c>
      <c r="E958" s="50" t="s">
        <v>1410</v>
      </c>
      <c r="F958" s="57">
        <v>80000</v>
      </c>
      <c r="G958" s="76">
        <v>-8000</v>
      </c>
      <c r="H958" s="57">
        <f t="shared" si="101"/>
        <v>72000</v>
      </c>
      <c r="I958" s="50">
        <v>1</v>
      </c>
      <c r="J958" s="57">
        <f t="shared" si="99"/>
        <v>72000</v>
      </c>
      <c r="K958" s="100">
        <f t="shared" si="100"/>
        <v>79200</v>
      </c>
      <c r="L958" s="18" t="s">
        <v>34</v>
      </c>
      <c r="M958" s="50"/>
    </row>
    <row r="959" spans="1:13" ht="24" hidden="1" customHeight="1" x14ac:dyDescent="0.4">
      <c r="A959" s="62">
        <v>45003</v>
      </c>
      <c r="B959" s="32" t="s">
        <v>1407</v>
      </c>
      <c r="C959" s="18" t="s">
        <v>1372</v>
      </c>
      <c r="D959" s="63" t="s">
        <v>1386</v>
      </c>
      <c r="E959" s="50" t="s">
        <v>1411</v>
      </c>
      <c r="F959" s="57">
        <v>1650</v>
      </c>
      <c r="G959" s="76"/>
      <c r="H959" s="57">
        <f t="shared" si="101"/>
        <v>1650</v>
      </c>
      <c r="I959" s="50">
        <v>1</v>
      </c>
      <c r="J959" s="57">
        <f t="shared" si="99"/>
        <v>1650</v>
      </c>
      <c r="K959" s="100">
        <f t="shared" si="100"/>
        <v>1815</v>
      </c>
      <c r="L959" s="18" t="s">
        <v>34</v>
      </c>
      <c r="M959" s="50"/>
    </row>
    <row r="960" spans="1:13" ht="24" hidden="1" customHeight="1" x14ac:dyDescent="0.4">
      <c r="A960" s="62">
        <v>45004</v>
      </c>
      <c r="B960" s="32" t="s">
        <v>1401</v>
      </c>
      <c r="C960" s="96" t="s">
        <v>1389</v>
      </c>
      <c r="D960" s="131" t="s">
        <v>28</v>
      </c>
      <c r="E960" s="130" t="s">
        <v>318</v>
      </c>
      <c r="F960" s="57">
        <v>-15000</v>
      </c>
      <c r="G960" s="76"/>
      <c r="H960" s="57">
        <f t="shared" si="101"/>
        <v>-15000</v>
      </c>
      <c r="I960" s="50">
        <v>1</v>
      </c>
      <c r="J960" s="57">
        <f t="shared" si="99"/>
        <v>-15000</v>
      </c>
      <c r="K960" s="100">
        <f t="shared" si="100"/>
        <v>-16500</v>
      </c>
      <c r="L960" s="18" t="s">
        <v>1380</v>
      </c>
      <c r="M960" s="50" t="s">
        <v>1412</v>
      </c>
    </row>
    <row r="961" spans="1:13" ht="24" hidden="1" customHeight="1" x14ac:dyDescent="0.4">
      <c r="A961" s="62">
        <v>45004</v>
      </c>
      <c r="B961" s="32" t="s">
        <v>1401</v>
      </c>
      <c r="C961" s="18" t="s">
        <v>27</v>
      </c>
      <c r="D961" s="63" t="s">
        <v>103</v>
      </c>
      <c r="E961" s="50" t="s">
        <v>1414</v>
      </c>
      <c r="F961" s="57">
        <v>2500</v>
      </c>
      <c r="G961" s="76"/>
      <c r="H961" s="57">
        <f t="shared" si="101"/>
        <v>2500</v>
      </c>
      <c r="I961" s="50">
        <v>1</v>
      </c>
      <c r="J961" s="57">
        <f t="shared" si="99"/>
        <v>2500</v>
      </c>
      <c r="K961" s="100">
        <f t="shared" si="100"/>
        <v>2750</v>
      </c>
      <c r="L961" s="18" t="s">
        <v>1380</v>
      </c>
      <c r="M961" s="50"/>
    </row>
    <row r="962" spans="1:13" ht="24" hidden="1" customHeight="1" x14ac:dyDescent="0.4">
      <c r="A962" s="62">
        <v>45004</v>
      </c>
      <c r="B962" s="32" t="s">
        <v>171</v>
      </c>
      <c r="C962" s="18" t="s">
        <v>1372</v>
      </c>
      <c r="D962" s="63" t="s">
        <v>1386</v>
      </c>
      <c r="E962" s="50" t="s">
        <v>1415</v>
      </c>
      <c r="F962" s="57">
        <v>1050</v>
      </c>
      <c r="G962" s="76">
        <v>-105</v>
      </c>
      <c r="H962" s="57">
        <f t="shared" si="101"/>
        <v>945</v>
      </c>
      <c r="I962" s="50">
        <v>1</v>
      </c>
      <c r="J962" s="57">
        <f t="shared" si="99"/>
        <v>945</v>
      </c>
      <c r="K962" s="100">
        <f t="shared" si="100"/>
        <v>1039</v>
      </c>
      <c r="L962" s="18" t="s">
        <v>25</v>
      </c>
      <c r="M962" s="50"/>
    </row>
    <row r="963" spans="1:13" ht="24" hidden="1" customHeight="1" x14ac:dyDescent="0.4">
      <c r="A963" s="62">
        <v>45005</v>
      </c>
      <c r="B963" s="32" t="s">
        <v>1416</v>
      </c>
      <c r="C963" s="18" t="s">
        <v>1372</v>
      </c>
      <c r="D963" s="63" t="s">
        <v>292</v>
      </c>
      <c r="E963" s="50" t="s">
        <v>1418</v>
      </c>
      <c r="F963" s="57">
        <v>4825</v>
      </c>
      <c r="G963" s="76"/>
      <c r="H963" s="57">
        <f t="shared" si="101"/>
        <v>4825</v>
      </c>
      <c r="I963" s="50">
        <v>1</v>
      </c>
      <c r="J963" s="57">
        <f t="shared" si="99"/>
        <v>4825</v>
      </c>
      <c r="K963" s="100">
        <f t="shared" si="100"/>
        <v>5307</v>
      </c>
      <c r="L963" s="18" t="s">
        <v>1380</v>
      </c>
      <c r="M963" s="50"/>
    </row>
    <row r="964" spans="1:13" ht="24" hidden="1" customHeight="1" x14ac:dyDescent="0.4">
      <c r="A964" s="62">
        <v>45005</v>
      </c>
      <c r="B964" s="32" t="s">
        <v>1419</v>
      </c>
      <c r="C964" s="18" t="s">
        <v>22</v>
      </c>
      <c r="D964" s="63" t="s">
        <v>48</v>
      </c>
      <c r="E964" s="50" t="s">
        <v>369</v>
      </c>
      <c r="F964" s="57">
        <v>3000</v>
      </c>
      <c r="G964" s="76"/>
      <c r="H964" s="57">
        <f t="shared" si="101"/>
        <v>3000</v>
      </c>
      <c r="I964" s="50">
        <v>1</v>
      </c>
      <c r="J964" s="57">
        <f t="shared" si="99"/>
        <v>3000</v>
      </c>
      <c r="K964" s="100">
        <f t="shared" si="100"/>
        <v>3300</v>
      </c>
      <c r="L964" s="18" t="s">
        <v>1380</v>
      </c>
      <c r="M964" s="50"/>
    </row>
    <row r="965" spans="1:13" ht="24" hidden="1" customHeight="1" x14ac:dyDescent="0.4">
      <c r="A965" s="62">
        <v>45005</v>
      </c>
      <c r="B965" s="32" t="s">
        <v>1219</v>
      </c>
      <c r="C965" s="18" t="s">
        <v>1372</v>
      </c>
      <c r="D965" s="63" t="s">
        <v>1386</v>
      </c>
      <c r="E965" s="50" t="s">
        <v>1420</v>
      </c>
      <c r="F965" s="57">
        <v>1450</v>
      </c>
      <c r="G965" s="76">
        <v>-145</v>
      </c>
      <c r="H965" s="57">
        <f t="shared" si="101"/>
        <v>1305</v>
      </c>
      <c r="I965" s="50">
        <v>1</v>
      </c>
      <c r="J965" s="57">
        <f t="shared" si="99"/>
        <v>1305</v>
      </c>
      <c r="K965" s="100">
        <f t="shared" si="100"/>
        <v>1435</v>
      </c>
      <c r="L965" s="18" t="s">
        <v>1380</v>
      </c>
      <c r="M965" s="50"/>
    </row>
    <row r="966" spans="1:13" ht="24" hidden="1" customHeight="1" x14ac:dyDescent="0.4">
      <c r="A966" s="62">
        <v>45005</v>
      </c>
      <c r="B966" s="32" t="s">
        <v>1401</v>
      </c>
      <c r="C966" s="18" t="s">
        <v>27</v>
      </c>
      <c r="D966" s="63" t="s">
        <v>103</v>
      </c>
      <c r="E966" s="50" t="s">
        <v>104</v>
      </c>
      <c r="F966" s="57">
        <v>2500</v>
      </c>
      <c r="G966" s="76"/>
      <c r="H966" s="57">
        <f t="shared" si="101"/>
        <v>2500</v>
      </c>
      <c r="I966" s="50">
        <v>1</v>
      </c>
      <c r="J966" s="57">
        <f t="shared" si="99"/>
        <v>2500</v>
      </c>
      <c r="K966" s="100">
        <f t="shared" si="100"/>
        <v>2750</v>
      </c>
      <c r="L966" s="18" t="s">
        <v>1380</v>
      </c>
      <c r="M966" s="50"/>
    </row>
    <row r="967" spans="1:13" ht="24" hidden="1" customHeight="1" x14ac:dyDescent="0.4">
      <c r="A967" s="62">
        <v>45005</v>
      </c>
      <c r="B967" s="32" t="s">
        <v>1421</v>
      </c>
      <c r="C967" s="18" t="s">
        <v>1372</v>
      </c>
      <c r="D967" s="63" t="s">
        <v>1386</v>
      </c>
      <c r="E967" s="50" t="s">
        <v>1422</v>
      </c>
      <c r="F967" s="57">
        <v>1150</v>
      </c>
      <c r="G967" s="76">
        <v>-115</v>
      </c>
      <c r="H967" s="57">
        <f t="shared" si="101"/>
        <v>1035</v>
      </c>
      <c r="I967" s="50">
        <v>2</v>
      </c>
      <c r="J967" s="57">
        <f t="shared" si="99"/>
        <v>2070</v>
      </c>
      <c r="K967" s="100">
        <f t="shared" si="100"/>
        <v>2277</v>
      </c>
      <c r="L967" s="18" t="s">
        <v>1380</v>
      </c>
      <c r="M967" s="50"/>
    </row>
    <row r="968" spans="1:13" ht="24" hidden="1" customHeight="1" x14ac:dyDescent="0.4">
      <c r="A968" s="62">
        <v>45006</v>
      </c>
      <c r="B968" s="32" t="s">
        <v>1423</v>
      </c>
      <c r="C968" s="18" t="s">
        <v>22</v>
      </c>
      <c r="D968" s="63" t="s">
        <v>48</v>
      </c>
      <c r="E968" s="50" t="s">
        <v>369</v>
      </c>
      <c r="F968" s="57">
        <v>3000</v>
      </c>
      <c r="G968" s="76"/>
      <c r="H968" s="57">
        <f t="shared" si="101"/>
        <v>3000</v>
      </c>
      <c r="I968" s="50">
        <v>1</v>
      </c>
      <c r="J968" s="57">
        <f t="shared" si="99"/>
        <v>3000</v>
      </c>
      <c r="K968" s="100">
        <f t="shared" si="100"/>
        <v>3300</v>
      </c>
      <c r="L968" s="18" t="s">
        <v>25</v>
      </c>
      <c r="M968" s="50"/>
    </row>
    <row r="969" spans="1:13" ht="24" hidden="1" customHeight="1" x14ac:dyDescent="0.4">
      <c r="A969" s="62">
        <v>45007</v>
      </c>
      <c r="B969" s="32" t="s">
        <v>1424</v>
      </c>
      <c r="C969" s="18" t="s">
        <v>22</v>
      </c>
      <c r="D969" s="63" t="s">
        <v>48</v>
      </c>
      <c r="E969" s="50" t="s">
        <v>369</v>
      </c>
      <c r="F969" s="57">
        <v>3000</v>
      </c>
      <c r="G969" s="76"/>
      <c r="H969" s="57">
        <f t="shared" si="101"/>
        <v>3000</v>
      </c>
      <c r="I969" s="50">
        <v>1</v>
      </c>
      <c r="J969" s="57">
        <f t="shared" si="99"/>
        <v>3000</v>
      </c>
      <c r="K969" s="100">
        <f t="shared" si="100"/>
        <v>3300</v>
      </c>
      <c r="L969" s="18" t="s">
        <v>1380</v>
      </c>
      <c r="M969" s="50"/>
    </row>
    <row r="970" spans="1:13" ht="24" hidden="1" customHeight="1" x14ac:dyDescent="0.4">
      <c r="A970" s="62">
        <v>45007</v>
      </c>
      <c r="B970" s="32" t="s">
        <v>1424</v>
      </c>
      <c r="C970" s="18" t="s">
        <v>1372</v>
      </c>
      <c r="D970" s="63" t="s">
        <v>426</v>
      </c>
      <c r="E970" s="50" t="s">
        <v>1425</v>
      </c>
      <c r="F970" s="57">
        <v>1700</v>
      </c>
      <c r="G970" s="76"/>
      <c r="H970" s="57">
        <f t="shared" si="101"/>
        <v>1700</v>
      </c>
      <c r="I970" s="50">
        <v>1</v>
      </c>
      <c r="J970" s="57">
        <f t="shared" si="99"/>
        <v>1700</v>
      </c>
      <c r="K970" s="100">
        <f t="shared" si="100"/>
        <v>1870</v>
      </c>
      <c r="L970" s="18" t="s">
        <v>20</v>
      </c>
      <c r="M970" s="50"/>
    </row>
    <row r="971" spans="1:13" ht="24" hidden="1" customHeight="1" x14ac:dyDescent="0.4">
      <c r="A971" s="62">
        <v>45007</v>
      </c>
      <c r="B971" s="32" t="s">
        <v>710</v>
      </c>
      <c r="C971" s="18" t="s">
        <v>1372</v>
      </c>
      <c r="D971" s="63" t="s">
        <v>1377</v>
      </c>
      <c r="E971" s="50" t="s">
        <v>1427</v>
      </c>
      <c r="F971" s="57">
        <v>5500</v>
      </c>
      <c r="G971" s="76"/>
      <c r="H971" s="57">
        <f t="shared" si="101"/>
        <v>5500</v>
      </c>
      <c r="I971" s="50">
        <v>1</v>
      </c>
      <c r="J971" s="57">
        <f t="shared" si="99"/>
        <v>5500</v>
      </c>
      <c r="K971" s="100">
        <f t="shared" si="100"/>
        <v>6050</v>
      </c>
      <c r="L971" s="18" t="s">
        <v>25</v>
      </c>
      <c r="M971" s="50"/>
    </row>
    <row r="972" spans="1:13" ht="24" hidden="1" customHeight="1" x14ac:dyDescent="0.4">
      <c r="A972" s="62">
        <v>45007</v>
      </c>
      <c r="B972" s="32" t="s">
        <v>1395</v>
      </c>
      <c r="C972" s="18" t="s">
        <v>1372</v>
      </c>
      <c r="D972" s="63" t="s">
        <v>330</v>
      </c>
      <c r="E972" s="50" t="s">
        <v>1428</v>
      </c>
      <c r="F972" s="57">
        <v>5000</v>
      </c>
      <c r="G972" s="76"/>
      <c r="H972" s="57">
        <f t="shared" si="101"/>
        <v>5000</v>
      </c>
      <c r="I972" s="50">
        <v>1</v>
      </c>
      <c r="J972" s="57">
        <f t="shared" si="99"/>
        <v>5000</v>
      </c>
      <c r="K972" s="100">
        <f t="shared" si="100"/>
        <v>5500</v>
      </c>
      <c r="L972" s="18" t="s">
        <v>1380</v>
      </c>
      <c r="M972" s="50"/>
    </row>
    <row r="973" spans="1:13" ht="24" hidden="1" customHeight="1" x14ac:dyDescent="0.4">
      <c r="A973" s="62">
        <v>45007</v>
      </c>
      <c r="B973" s="32" t="s">
        <v>1392</v>
      </c>
      <c r="C973" s="18" t="s">
        <v>1372</v>
      </c>
      <c r="D973" s="63" t="s">
        <v>426</v>
      </c>
      <c r="E973" s="50" t="s">
        <v>1429</v>
      </c>
      <c r="F973" s="57">
        <v>1700</v>
      </c>
      <c r="G973" s="76">
        <v>-170</v>
      </c>
      <c r="H973" s="57">
        <f t="shared" si="101"/>
        <v>1530</v>
      </c>
      <c r="I973" s="50">
        <v>1</v>
      </c>
      <c r="J973" s="57">
        <f t="shared" si="99"/>
        <v>1530</v>
      </c>
      <c r="K973" s="100">
        <f t="shared" si="100"/>
        <v>1683</v>
      </c>
      <c r="L973" s="18" t="s">
        <v>25</v>
      </c>
      <c r="M973" s="50"/>
    </row>
    <row r="974" spans="1:13" ht="24" hidden="1" customHeight="1" x14ac:dyDescent="0.4">
      <c r="A974" s="62">
        <v>45007</v>
      </c>
      <c r="B974" s="32" t="s">
        <v>1392</v>
      </c>
      <c r="C974" s="18" t="s">
        <v>1372</v>
      </c>
      <c r="D974" s="63" t="s">
        <v>426</v>
      </c>
      <c r="E974" s="50" t="s">
        <v>1430</v>
      </c>
      <c r="F974" s="57">
        <v>1700</v>
      </c>
      <c r="G974" s="76">
        <v>-170</v>
      </c>
      <c r="H974" s="57">
        <f t="shared" si="101"/>
        <v>1530</v>
      </c>
      <c r="I974" s="50">
        <v>1</v>
      </c>
      <c r="J974" s="57">
        <f t="shared" si="99"/>
        <v>1530</v>
      </c>
      <c r="K974" s="100">
        <f t="shared" si="100"/>
        <v>1683</v>
      </c>
      <c r="L974" s="18" t="s">
        <v>25</v>
      </c>
      <c r="M974" s="50"/>
    </row>
    <row r="975" spans="1:13" ht="24" hidden="1" customHeight="1" x14ac:dyDescent="0.4">
      <c r="A975" s="62">
        <v>45007</v>
      </c>
      <c r="B975" s="32" t="s">
        <v>1392</v>
      </c>
      <c r="C975" s="18" t="s">
        <v>1372</v>
      </c>
      <c r="D975" s="63" t="s">
        <v>1377</v>
      </c>
      <c r="E975" s="50" t="s">
        <v>1431</v>
      </c>
      <c r="F975" s="57">
        <v>4800</v>
      </c>
      <c r="G975" s="76">
        <v>-480</v>
      </c>
      <c r="H975" s="57">
        <f t="shared" si="101"/>
        <v>4320</v>
      </c>
      <c r="I975" s="50">
        <v>1</v>
      </c>
      <c r="J975" s="57">
        <f t="shared" si="99"/>
        <v>4320</v>
      </c>
      <c r="K975" s="100">
        <f t="shared" si="100"/>
        <v>4752</v>
      </c>
      <c r="L975" s="18" t="s">
        <v>25</v>
      </c>
      <c r="M975" s="50"/>
    </row>
    <row r="976" spans="1:13" ht="24" hidden="1" customHeight="1" x14ac:dyDescent="0.4">
      <c r="A976" s="62">
        <v>45007</v>
      </c>
      <c r="B976" s="32" t="s">
        <v>1406</v>
      </c>
      <c r="C976" s="18" t="s">
        <v>1372</v>
      </c>
      <c r="D976" s="63" t="s">
        <v>1373</v>
      </c>
      <c r="E976" s="50" t="s">
        <v>1432</v>
      </c>
      <c r="F976" s="57">
        <v>55000</v>
      </c>
      <c r="G976" s="76">
        <v>-11000</v>
      </c>
      <c r="H976" s="57">
        <f t="shared" si="101"/>
        <v>44000</v>
      </c>
      <c r="I976" s="50">
        <v>1</v>
      </c>
      <c r="J976" s="57">
        <f t="shared" si="99"/>
        <v>44000</v>
      </c>
      <c r="K976" s="100">
        <f t="shared" si="100"/>
        <v>48400</v>
      </c>
      <c r="L976" s="18" t="s">
        <v>34</v>
      </c>
      <c r="M976" s="50"/>
    </row>
    <row r="977" spans="1:13" ht="24" hidden="1" customHeight="1" x14ac:dyDescent="0.4">
      <c r="A977" s="62">
        <v>45007</v>
      </c>
      <c r="B977" s="32" t="s">
        <v>1406</v>
      </c>
      <c r="C977" s="18" t="s">
        <v>1372</v>
      </c>
      <c r="D977" s="63" t="s">
        <v>330</v>
      </c>
      <c r="E977" s="50" t="s">
        <v>1433</v>
      </c>
      <c r="F977" s="57">
        <v>4200</v>
      </c>
      <c r="G977" s="76"/>
      <c r="H977" s="57">
        <f t="shared" si="101"/>
        <v>4200</v>
      </c>
      <c r="I977" s="50">
        <v>1</v>
      </c>
      <c r="J977" s="57">
        <f t="shared" si="99"/>
        <v>4200</v>
      </c>
      <c r="K977" s="100">
        <f t="shared" si="100"/>
        <v>4620</v>
      </c>
      <c r="L977" s="18" t="s">
        <v>34</v>
      </c>
      <c r="M977" s="50"/>
    </row>
    <row r="978" spans="1:13" ht="24" hidden="1" customHeight="1" x14ac:dyDescent="0.4">
      <c r="A978" s="62">
        <v>45007</v>
      </c>
      <c r="B978" s="32" t="s">
        <v>1406</v>
      </c>
      <c r="C978" s="18" t="s">
        <v>1372</v>
      </c>
      <c r="D978" s="63" t="s">
        <v>1386</v>
      </c>
      <c r="E978" s="50" t="s">
        <v>1434</v>
      </c>
      <c r="F978" s="57">
        <v>980</v>
      </c>
      <c r="G978" s="76"/>
      <c r="H978" s="57">
        <f t="shared" si="101"/>
        <v>980</v>
      </c>
      <c r="I978" s="50">
        <v>1</v>
      </c>
      <c r="J978" s="57">
        <f t="shared" si="99"/>
        <v>980</v>
      </c>
      <c r="K978" s="100">
        <f t="shared" si="100"/>
        <v>1078</v>
      </c>
      <c r="L978" s="18" t="s">
        <v>34</v>
      </c>
      <c r="M978" s="50"/>
    </row>
    <row r="979" spans="1:13" ht="24" hidden="1" customHeight="1" x14ac:dyDescent="0.4">
      <c r="A979" s="62">
        <v>45007</v>
      </c>
      <c r="B979" s="32" t="s">
        <v>148</v>
      </c>
      <c r="C979" s="18" t="s">
        <v>1372</v>
      </c>
      <c r="D979" s="63" t="s">
        <v>426</v>
      </c>
      <c r="E979" s="50" t="s">
        <v>1435</v>
      </c>
      <c r="F979" s="57">
        <v>1700</v>
      </c>
      <c r="G979" s="76">
        <v>-170</v>
      </c>
      <c r="H979" s="57">
        <f t="shared" si="101"/>
        <v>1530</v>
      </c>
      <c r="I979" s="50">
        <v>1</v>
      </c>
      <c r="J979" s="57">
        <f t="shared" si="99"/>
        <v>1530</v>
      </c>
      <c r="K979" s="100">
        <f t="shared" si="100"/>
        <v>1683</v>
      </c>
      <c r="L979" s="18" t="s">
        <v>1380</v>
      </c>
      <c r="M979" s="50"/>
    </row>
    <row r="980" spans="1:13" ht="24" hidden="1" customHeight="1" x14ac:dyDescent="0.4">
      <c r="A980" s="62">
        <v>45007</v>
      </c>
      <c r="B980" s="32" t="s">
        <v>1436</v>
      </c>
      <c r="C980" s="18" t="s">
        <v>27</v>
      </c>
      <c r="D980" s="63" t="s">
        <v>28</v>
      </c>
      <c r="E980" s="50" t="s">
        <v>1485</v>
      </c>
      <c r="F980" s="57">
        <v>17500</v>
      </c>
      <c r="G980" s="76"/>
      <c r="H980" s="57">
        <f t="shared" si="101"/>
        <v>17500</v>
      </c>
      <c r="I980" s="50">
        <v>1</v>
      </c>
      <c r="J980" s="57">
        <f t="shared" si="99"/>
        <v>17500</v>
      </c>
      <c r="K980" s="100">
        <f t="shared" si="100"/>
        <v>19250</v>
      </c>
      <c r="L980" s="18" t="s">
        <v>25</v>
      </c>
      <c r="M980" s="50"/>
    </row>
    <row r="981" spans="1:13" ht="24" hidden="1" customHeight="1" x14ac:dyDescent="0.4">
      <c r="A981" s="62">
        <v>45007</v>
      </c>
      <c r="B981" s="32" t="s">
        <v>1436</v>
      </c>
      <c r="C981" s="18" t="s">
        <v>27</v>
      </c>
      <c r="D981" s="63" t="s">
        <v>28</v>
      </c>
      <c r="E981" s="50" t="s">
        <v>1484</v>
      </c>
      <c r="F981" s="57">
        <v>17500</v>
      </c>
      <c r="G981" s="76"/>
      <c r="H981" s="57">
        <f t="shared" si="101"/>
        <v>17500</v>
      </c>
      <c r="I981" s="50">
        <v>1</v>
      </c>
      <c r="J981" s="57">
        <f t="shared" ref="J981:J1044" si="102">H981*I981</f>
        <v>17500</v>
      </c>
      <c r="K981" s="100">
        <f t="shared" si="100"/>
        <v>19250</v>
      </c>
      <c r="L981" s="18" t="s">
        <v>25</v>
      </c>
      <c r="M981" s="50"/>
    </row>
    <row r="982" spans="1:13" ht="24" hidden="1" customHeight="1" x14ac:dyDescent="0.4">
      <c r="A982" s="62">
        <v>45008</v>
      </c>
      <c r="B982" s="32" t="s">
        <v>1437</v>
      </c>
      <c r="C982" s="18" t="s">
        <v>1372</v>
      </c>
      <c r="D982" s="63" t="s">
        <v>330</v>
      </c>
      <c r="E982" s="50" t="s">
        <v>1438</v>
      </c>
      <c r="F982" s="57">
        <v>3000</v>
      </c>
      <c r="G982" s="76"/>
      <c r="H982" s="57">
        <f t="shared" si="101"/>
        <v>3000</v>
      </c>
      <c r="I982" s="50">
        <v>1</v>
      </c>
      <c r="J982" s="57">
        <f t="shared" si="102"/>
        <v>3000</v>
      </c>
      <c r="K982" s="100">
        <f t="shared" si="100"/>
        <v>3300</v>
      </c>
      <c r="L982" s="18" t="s">
        <v>25</v>
      </c>
      <c r="M982" s="50"/>
    </row>
    <row r="983" spans="1:13" ht="24" hidden="1" customHeight="1" x14ac:dyDescent="0.4">
      <c r="A983" s="62">
        <v>45008</v>
      </c>
      <c r="B983" s="32" t="s">
        <v>1437</v>
      </c>
      <c r="C983" s="18" t="s">
        <v>1372</v>
      </c>
      <c r="D983" s="63" t="s">
        <v>1386</v>
      </c>
      <c r="E983" s="50" t="s">
        <v>1439</v>
      </c>
      <c r="F983" s="57">
        <v>980</v>
      </c>
      <c r="G983" s="76">
        <v>-98</v>
      </c>
      <c r="H983" s="57">
        <f t="shared" si="101"/>
        <v>882</v>
      </c>
      <c r="I983" s="50">
        <v>1</v>
      </c>
      <c r="J983" s="57">
        <f t="shared" si="102"/>
        <v>882</v>
      </c>
      <c r="K983" s="100">
        <f t="shared" si="100"/>
        <v>970</v>
      </c>
      <c r="L983" s="18" t="s">
        <v>25</v>
      </c>
      <c r="M983" s="50"/>
    </row>
    <row r="984" spans="1:13" ht="24" hidden="1" customHeight="1" x14ac:dyDescent="0.4">
      <c r="A984" s="62">
        <v>45008</v>
      </c>
      <c r="B984" s="32" t="s">
        <v>1416</v>
      </c>
      <c r="C984" s="18" t="s">
        <v>1372</v>
      </c>
      <c r="D984" s="63" t="s">
        <v>55</v>
      </c>
      <c r="E984" s="50" t="s">
        <v>1417</v>
      </c>
      <c r="F984" s="57">
        <v>4825</v>
      </c>
      <c r="G984" s="76"/>
      <c r="H984" s="57">
        <f t="shared" si="101"/>
        <v>4825</v>
      </c>
      <c r="I984" s="50">
        <v>1</v>
      </c>
      <c r="J984" s="57">
        <f t="shared" si="102"/>
        <v>4825</v>
      </c>
      <c r="K984" s="100">
        <f t="shared" si="100"/>
        <v>5307</v>
      </c>
      <c r="L984" s="18" t="s">
        <v>25</v>
      </c>
      <c r="M984" s="50"/>
    </row>
    <row r="985" spans="1:13" ht="24" hidden="1" customHeight="1" x14ac:dyDescent="0.4">
      <c r="A985" s="62">
        <v>45010</v>
      </c>
      <c r="B985" s="32" t="s">
        <v>1440</v>
      </c>
      <c r="C985" s="18" t="s">
        <v>22</v>
      </c>
      <c r="D985" s="63" t="s">
        <v>48</v>
      </c>
      <c r="E985" s="50" t="s">
        <v>369</v>
      </c>
      <c r="F985" s="57">
        <v>3000</v>
      </c>
      <c r="G985" s="76"/>
      <c r="H985" s="57">
        <f t="shared" si="101"/>
        <v>3000</v>
      </c>
      <c r="I985" s="50">
        <v>1</v>
      </c>
      <c r="J985" s="57">
        <f t="shared" si="102"/>
        <v>3000</v>
      </c>
      <c r="K985" s="100">
        <f t="shared" si="100"/>
        <v>3300</v>
      </c>
      <c r="L985" s="18" t="s">
        <v>1380</v>
      </c>
      <c r="M985" s="50"/>
    </row>
    <row r="986" spans="1:13" ht="24" customHeight="1" x14ac:dyDescent="0.4">
      <c r="A986" s="62">
        <v>45010</v>
      </c>
      <c r="B986" s="32" t="s">
        <v>1416</v>
      </c>
      <c r="C986" s="18" t="s">
        <v>1372</v>
      </c>
      <c r="D986" s="63" t="s">
        <v>1277</v>
      </c>
      <c r="E986" s="50" t="s">
        <v>1441</v>
      </c>
      <c r="F986" s="57">
        <v>24500</v>
      </c>
      <c r="G986" s="76"/>
      <c r="H986" s="57">
        <f t="shared" si="101"/>
        <v>24500</v>
      </c>
      <c r="I986" s="50">
        <v>1</v>
      </c>
      <c r="J986" s="57">
        <f t="shared" si="102"/>
        <v>24500</v>
      </c>
      <c r="K986" s="100">
        <f t="shared" si="100"/>
        <v>26950</v>
      </c>
      <c r="L986" s="18" t="s">
        <v>25</v>
      </c>
      <c r="M986" s="50"/>
    </row>
    <row r="987" spans="1:13" ht="24" hidden="1" customHeight="1" x14ac:dyDescent="0.4">
      <c r="A987" s="62">
        <v>45010</v>
      </c>
      <c r="B987" s="32" t="s">
        <v>1416</v>
      </c>
      <c r="C987" s="18" t="s">
        <v>1372</v>
      </c>
      <c r="D987" s="63" t="s">
        <v>1442</v>
      </c>
      <c r="E987" s="50" t="s">
        <v>1443</v>
      </c>
      <c r="F987" s="57">
        <v>82800</v>
      </c>
      <c r="G987" s="76"/>
      <c r="H987" s="57">
        <f t="shared" si="101"/>
        <v>82800</v>
      </c>
      <c r="I987" s="50">
        <v>1</v>
      </c>
      <c r="J987" s="57">
        <f t="shared" si="102"/>
        <v>82800</v>
      </c>
      <c r="K987" s="100">
        <f t="shared" si="100"/>
        <v>91080</v>
      </c>
      <c r="L987" s="18" t="s">
        <v>34</v>
      </c>
      <c r="M987" s="50"/>
    </row>
    <row r="988" spans="1:13" ht="24" hidden="1" customHeight="1" x14ac:dyDescent="0.4">
      <c r="A988" s="62">
        <v>45010</v>
      </c>
      <c r="B988" s="32" t="s">
        <v>1401</v>
      </c>
      <c r="C988" s="18" t="s">
        <v>1372</v>
      </c>
      <c r="D988" s="63" t="s">
        <v>1373</v>
      </c>
      <c r="E988" s="50" t="s">
        <v>1444</v>
      </c>
      <c r="F988" s="57">
        <v>70000</v>
      </c>
      <c r="G988" s="76">
        <v>-21000</v>
      </c>
      <c r="H988" s="57">
        <f t="shared" si="101"/>
        <v>49000</v>
      </c>
      <c r="I988" s="50">
        <v>1</v>
      </c>
      <c r="J988" s="57">
        <f t="shared" si="102"/>
        <v>49000</v>
      </c>
      <c r="K988" s="100">
        <f t="shared" si="100"/>
        <v>53900</v>
      </c>
      <c r="L988" s="18" t="s">
        <v>34</v>
      </c>
      <c r="M988" s="50"/>
    </row>
    <row r="989" spans="1:13" ht="24" hidden="1" customHeight="1" x14ac:dyDescent="0.4">
      <c r="A989" s="62">
        <v>45010</v>
      </c>
      <c r="B989" s="32" t="s">
        <v>1401</v>
      </c>
      <c r="C989" s="18" t="s">
        <v>1372</v>
      </c>
      <c r="D989" s="63" t="s">
        <v>576</v>
      </c>
      <c r="E989" s="50" t="s">
        <v>1410</v>
      </c>
      <c r="F989" s="57">
        <v>80000</v>
      </c>
      <c r="G989" s="76">
        <v>-8000</v>
      </c>
      <c r="H989" s="57">
        <f t="shared" si="101"/>
        <v>72000</v>
      </c>
      <c r="I989" s="50">
        <v>1</v>
      </c>
      <c r="J989" s="57">
        <f t="shared" si="102"/>
        <v>72000</v>
      </c>
      <c r="K989" s="100">
        <f t="shared" si="100"/>
        <v>79200</v>
      </c>
      <c r="L989" s="18" t="s">
        <v>34</v>
      </c>
      <c r="M989" s="50"/>
    </row>
    <row r="990" spans="1:13" ht="24" hidden="1" customHeight="1" x14ac:dyDescent="0.4">
      <c r="A990" s="62">
        <v>45010</v>
      </c>
      <c r="B990" s="32" t="s">
        <v>1401</v>
      </c>
      <c r="C990" s="18" t="s">
        <v>1372</v>
      </c>
      <c r="D990" s="63" t="s">
        <v>1386</v>
      </c>
      <c r="E990" s="50" t="s">
        <v>1415</v>
      </c>
      <c r="F990" s="57">
        <v>1050</v>
      </c>
      <c r="G990" s="76">
        <v>-105</v>
      </c>
      <c r="H990" s="57">
        <f t="shared" si="101"/>
        <v>945</v>
      </c>
      <c r="I990" s="50">
        <v>1</v>
      </c>
      <c r="J990" s="57">
        <f t="shared" si="102"/>
        <v>945</v>
      </c>
      <c r="K990" s="100">
        <f t="shared" si="100"/>
        <v>1039</v>
      </c>
      <c r="L990" s="18" t="s">
        <v>34</v>
      </c>
      <c r="M990" s="50"/>
    </row>
    <row r="991" spans="1:13" ht="24" hidden="1" customHeight="1" x14ac:dyDescent="0.4">
      <c r="A991" s="62">
        <v>45010</v>
      </c>
      <c r="B991" s="32" t="s">
        <v>1343</v>
      </c>
      <c r="C991" s="18" t="s">
        <v>27</v>
      </c>
      <c r="D991" s="63" t="s">
        <v>28</v>
      </c>
      <c r="E991" s="50" t="s">
        <v>1445</v>
      </c>
      <c r="F991" s="57">
        <v>2000</v>
      </c>
      <c r="G991" s="76"/>
      <c r="H991" s="57">
        <f t="shared" si="101"/>
        <v>2000</v>
      </c>
      <c r="I991" s="50">
        <v>1</v>
      </c>
      <c r="J991" s="57">
        <f t="shared" si="102"/>
        <v>2000</v>
      </c>
      <c r="K991" s="100">
        <f t="shared" si="100"/>
        <v>2200</v>
      </c>
      <c r="L991" s="18" t="s">
        <v>25</v>
      </c>
      <c r="M991" s="50"/>
    </row>
    <row r="992" spans="1:13" ht="24" hidden="1" customHeight="1" x14ac:dyDescent="0.4">
      <c r="A992" s="62">
        <v>45010</v>
      </c>
      <c r="B992" s="32" t="s">
        <v>1446</v>
      </c>
      <c r="C992" s="18" t="s">
        <v>22</v>
      </c>
      <c r="D992" s="63" t="s">
        <v>48</v>
      </c>
      <c r="E992" s="50" t="s">
        <v>369</v>
      </c>
      <c r="F992" s="57">
        <v>3000</v>
      </c>
      <c r="G992" s="76"/>
      <c r="H992" s="57">
        <f t="shared" si="101"/>
        <v>3000</v>
      </c>
      <c r="I992" s="50">
        <v>1</v>
      </c>
      <c r="J992" s="57">
        <f t="shared" si="102"/>
        <v>3000</v>
      </c>
      <c r="K992" s="100">
        <f t="shared" si="100"/>
        <v>3300</v>
      </c>
      <c r="L992" s="18" t="s">
        <v>1380</v>
      </c>
      <c r="M992" s="50"/>
    </row>
    <row r="993" spans="1:13" ht="24" hidden="1" customHeight="1" x14ac:dyDescent="0.4">
      <c r="A993" s="62">
        <v>45011</v>
      </c>
      <c r="B993" s="32" t="s">
        <v>1447</v>
      </c>
      <c r="C993" s="18" t="s">
        <v>1372</v>
      </c>
      <c r="D993" s="63" t="s">
        <v>1386</v>
      </c>
      <c r="E993" s="50" t="s">
        <v>1448</v>
      </c>
      <c r="F993" s="57">
        <v>1400</v>
      </c>
      <c r="G993" s="76">
        <v>-140</v>
      </c>
      <c r="H993" s="57">
        <f t="shared" si="101"/>
        <v>1260</v>
      </c>
      <c r="I993" s="50">
        <v>1</v>
      </c>
      <c r="J993" s="57">
        <f t="shared" si="102"/>
        <v>1260</v>
      </c>
      <c r="K993" s="100">
        <f t="shared" si="100"/>
        <v>1386</v>
      </c>
      <c r="L993" s="18" t="s">
        <v>1380</v>
      </c>
      <c r="M993" s="50"/>
    </row>
    <row r="994" spans="1:13" ht="24" hidden="1" customHeight="1" x14ac:dyDescent="0.4">
      <c r="A994" s="62">
        <v>45011</v>
      </c>
      <c r="B994" s="32" t="s">
        <v>1447</v>
      </c>
      <c r="C994" s="18" t="s">
        <v>1372</v>
      </c>
      <c r="D994" s="63" t="s">
        <v>1386</v>
      </c>
      <c r="E994" s="50" t="s">
        <v>1449</v>
      </c>
      <c r="F994" s="57">
        <v>1400</v>
      </c>
      <c r="G994" s="76">
        <v>-140</v>
      </c>
      <c r="H994" s="57">
        <f t="shared" si="101"/>
        <v>1260</v>
      </c>
      <c r="I994" s="50">
        <v>2</v>
      </c>
      <c r="J994" s="57">
        <f t="shared" si="102"/>
        <v>2520</v>
      </c>
      <c r="K994" s="100">
        <f t="shared" si="100"/>
        <v>2772</v>
      </c>
      <c r="L994" s="18" t="s">
        <v>1380</v>
      </c>
      <c r="M994" s="50"/>
    </row>
    <row r="995" spans="1:13" ht="24" hidden="1" customHeight="1" x14ac:dyDescent="0.4">
      <c r="A995" s="62">
        <v>45011</v>
      </c>
      <c r="B995" s="32" t="s">
        <v>1450</v>
      </c>
      <c r="C995" s="18" t="s">
        <v>1372</v>
      </c>
      <c r="D995" s="63" t="s">
        <v>1451</v>
      </c>
      <c r="E995" s="50" t="s">
        <v>1452</v>
      </c>
      <c r="F995" s="57">
        <v>35000</v>
      </c>
      <c r="G995" s="76">
        <v>-7000</v>
      </c>
      <c r="H995" s="57">
        <f t="shared" si="101"/>
        <v>28000</v>
      </c>
      <c r="I995" s="50">
        <v>1</v>
      </c>
      <c r="J995" s="57">
        <f t="shared" si="102"/>
        <v>28000</v>
      </c>
      <c r="K995" s="100">
        <f t="shared" si="100"/>
        <v>30800</v>
      </c>
      <c r="L995" s="18" t="s">
        <v>1380</v>
      </c>
      <c r="M995" s="50"/>
    </row>
    <row r="996" spans="1:13" ht="24" hidden="1" customHeight="1" x14ac:dyDescent="0.4">
      <c r="A996" s="62">
        <v>45011</v>
      </c>
      <c r="B996" s="32" t="s">
        <v>1455</v>
      </c>
      <c r="C996" s="18" t="s">
        <v>1456</v>
      </c>
      <c r="D996" s="63" t="s">
        <v>426</v>
      </c>
      <c r="E996" s="50" t="s">
        <v>1457</v>
      </c>
      <c r="F996" s="57">
        <v>1700</v>
      </c>
      <c r="G996" s="76">
        <v>-680</v>
      </c>
      <c r="H996" s="57">
        <f t="shared" si="101"/>
        <v>1020</v>
      </c>
      <c r="I996" s="50">
        <v>1</v>
      </c>
      <c r="J996" s="57">
        <f t="shared" si="102"/>
        <v>1020</v>
      </c>
      <c r="K996" s="100">
        <f t="shared" si="100"/>
        <v>1122</v>
      </c>
      <c r="L996" s="18" t="s">
        <v>1458</v>
      </c>
      <c r="M996" s="50"/>
    </row>
    <row r="997" spans="1:13" ht="24" hidden="1" customHeight="1" x14ac:dyDescent="0.4">
      <c r="A997" s="62">
        <v>45012</v>
      </c>
      <c r="B997" s="32" t="s">
        <v>1459</v>
      </c>
      <c r="C997" s="18" t="s">
        <v>27</v>
      </c>
      <c r="D997" s="63" t="s">
        <v>28</v>
      </c>
      <c r="E997" s="50" t="s">
        <v>1254</v>
      </c>
      <c r="F997" s="57">
        <v>17500</v>
      </c>
      <c r="G997" s="76"/>
      <c r="H997" s="57">
        <f t="shared" si="101"/>
        <v>17500</v>
      </c>
      <c r="I997" s="50">
        <v>1</v>
      </c>
      <c r="J997" s="57">
        <f t="shared" si="102"/>
        <v>17500</v>
      </c>
      <c r="K997" s="100">
        <f t="shared" si="100"/>
        <v>19250</v>
      </c>
      <c r="L997" s="18" t="s">
        <v>1458</v>
      </c>
      <c r="M997" s="50"/>
    </row>
    <row r="998" spans="1:13" ht="24" hidden="1" customHeight="1" x14ac:dyDescent="0.4">
      <c r="A998" s="62">
        <v>45012</v>
      </c>
      <c r="B998" s="32" t="s">
        <v>1460</v>
      </c>
      <c r="C998" s="18" t="s">
        <v>1456</v>
      </c>
      <c r="D998" s="63" t="s">
        <v>1461</v>
      </c>
      <c r="E998" s="50" t="s">
        <v>1462</v>
      </c>
      <c r="F998" s="57">
        <v>25000</v>
      </c>
      <c r="G998" s="76">
        <v>-2500</v>
      </c>
      <c r="H998" s="57">
        <f t="shared" si="101"/>
        <v>22500</v>
      </c>
      <c r="I998" s="50">
        <v>3</v>
      </c>
      <c r="J998" s="57">
        <f t="shared" si="102"/>
        <v>67500</v>
      </c>
      <c r="K998" s="100">
        <f t="shared" si="100"/>
        <v>74250</v>
      </c>
      <c r="L998" s="18" t="s">
        <v>34</v>
      </c>
      <c r="M998" s="50"/>
    </row>
    <row r="999" spans="1:13" ht="24" hidden="1" customHeight="1" x14ac:dyDescent="0.4">
      <c r="A999" s="62">
        <v>45012</v>
      </c>
      <c r="B999" s="32" t="s">
        <v>1460</v>
      </c>
      <c r="C999" s="18" t="s">
        <v>1456</v>
      </c>
      <c r="D999" s="63" t="s">
        <v>576</v>
      </c>
      <c r="E999" s="106" t="s">
        <v>1463</v>
      </c>
      <c r="F999" s="57">
        <v>46000</v>
      </c>
      <c r="G999" s="76">
        <v>-4600</v>
      </c>
      <c r="H999" s="57">
        <f t="shared" si="101"/>
        <v>41400</v>
      </c>
      <c r="I999" s="50">
        <v>1</v>
      </c>
      <c r="J999" s="57">
        <f t="shared" si="102"/>
        <v>41400</v>
      </c>
      <c r="K999" s="100">
        <f t="shared" si="100"/>
        <v>45540</v>
      </c>
      <c r="L999" s="18" t="s">
        <v>34</v>
      </c>
      <c r="M999" s="50"/>
    </row>
    <row r="1000" spans="1:13" ht="24" hidden="1" customHeight="1" x14ac:dyDescent="0.4">
      <c r="A1000" s="62">
        <v>45012</v>
      </c>
      <c r="B1000" s="32" t="s">
        <v>1460</v>
      </c>
      <c r="C1000" s="18" t="s">
        <v>1456</v>
      </c>
      <c r="D1000" s="63" t="s">
        <v>576</v>
      </c>
      <c r="E1000" s="106" t="s">
        <v>1464</v>
      </c>
      <c r="F1000" s="57">
        <v>46000</v>
      </c>
      <c r="G1000" s="76">
        <v>-4600</v>
      </c>
      <c r="H1000" s="57">
        <f t="shared" si="101"/>
        <v>41400</v>
      </c>
      <c r="I1000" s="50">
        <v>1</v>
      </c>
      <c r="J1000" s="57">
        <f t="shared" si="102"/>
        <v>41400</v>
      </c>
      <c r="K1000" s="100">
        <f t="shared" si="100"/>
        <v>45540</v>
      </c>
      <c r="L1000" s="18" t="s">
        <v>34</v>
      </c>
      <c r="M1000" s="50"/>
    </row>
    <row r="1001" spans="1:13" ht="24" hidden="1" customHeight="1" x14ac:dyDescent="0.4">
      <c r="A1001" s="62">
        <v>45012</v>
      </c>
      <c r="B1001" s="32" t="s">
        <v>1460</v>
      </c>
      <c r="C1001" s="18" t="s">
        <v>1456</v>
      </c>
      <c r="D1001" s="63" t="s">
        <v>576</v>
      </c>
      <c r="E1001" s="106" t="s">
        <v>1465</v>
      </c>
      <c r="F1001" s="57">
        <v>46000</v>
      </c>
      <c r="G1001" s="76">
        <v>-4600</v>
      </c>
      <c r="H1001" s="57">
        <f t="shared" si="101"/>
        <v>41400</v>
      </c>
      <c r="I1001" s="50">
        <v>1</v>
      </c>
      <c r="J1001" s="57">
        <f t="shared" si="102"/>
        <v>41400</v>
      </c>
      <c r="K1001" s="100">
        <f t="shared" ref="K1001:K1064" si="103">ROUNDDOWN(J1001*1.1,0)</f>
        <v>45540</v>
      </c>
      <c r="L1001" s="18" t="s">
        <v>34</v>
      </c>
      <c r="M1001" s="50"/>
    </row>
    <row r="1002" spans="1:13" ht="24" hidden="1" customHeight="1" x14ac:dyDescent="0.4">
      <c r="A1002" s="62">
        <v>45012</v>
      </c>
      <c r="B1002" s="32" t="s">
        <v>1460</v>
      </c>
      <c r="C1002" s="18" t="s">
        <v>1456</v>
      </c>
      <c r="D1002" s="63" t="s">
        <v>576</v>
      </c>
      <c r="E1002" s="50" t="s">
        <v>1466</v>
      </c>
      <c r="F1002" s="57">
        <v>55000</v>
      </c>
      <c r="G1002" s="76">
        <v>-8250</v>
      </c>
      <c r="H1002" s="57">
        <f t="shared" si="101"/>
        <v>46750</v>
      </c>
      <c r="I1002" s="50">
        <v>1</v>
      </c>
      <c r="J1002" s="57">
        <f t="shared" si="102"/>
        <v>46750</v>
      </c>
      <c r="K1002" s="100">
        <f t="shared" si="103"/>
        <v>51425</v>
      </c>
      <c r="L1002" s="18" t="s">
        <v>34</v>
      </c>
      <c r="M1002" s="50"/>
    </row>
    <row r="1003" spans="1:13" ht="24" hidden="1" customHeight="1" x14ac:dyDescent="0.4">
      <c r="A1003" s="62">
        <v>45012</v>
      </c>
      <c r="B1003" s="32" t="s">
        <v>1460</v>
      </c>
      <c r="C1003" s="18" t="s">
        <v>1456</v>
      </c>
      <c r="D1003" s="63" t="s">
        <v>1461</v>
      </c>
      <c r="E1003" s="50" t="s">
        <v>1467</v>
      </c>
      <c r="F1003" s="57">
        <v>60000</v>
      </c>
      <c r="G1003" s="76">
        <v>-6000</v>
      </c>
      <c r="H1003" s="57">
        <f t="shared" si="101"/>
        <v>54000</v>
      </c>
      <c r="I1003" s="50">
        <v>2</v>
      </c>
      <c r="J1003" s="57">
        <f t="shared" si="102"/>
        <v>108000</v>
      </c>
      <c r="K1003" s="100">
        <f t="shared" si="103"/>
        <v>118800</v>
      </c>
      <c r="L1003" s="18" t="s">
        <v>34</v>
      </c>
      <c r="M1003" s="50"/>
    </row>
    <row r="1004" spans="1:13" ht="24" hidden="1" customHeight="1" x14ac:dyDescent="0.4">
      <c r="A1004" s="62">
        <v>45012</v>
      </c>
      <c r="B1004" s="32" t="s">
        <v>1460</v>
      </c>
      <c r="C1004" s="18" t="s">
        <v>1456</v>
      </c>
      <c r="D1004" s="63" t="s">
        <v>330</v>
      </c>
      <c r="E1004" s="50" t="s">
        <v>1468</v>
      </c>
      <c r="F1004" s="57">
        <v>5000</v>
      </c>
      <c r="G1004" s="76"/>
      <c r="H1004" s="57">
        <f t="shared" si="101"/>
        <v>5000</v>
      </c>
      <c r="I1004" s="50">
        <v>1</v>
      </c>
      <c r="J1004" s="57">
        <f t="shared" si="102"/>
        <v>5000</v>
      </c>
      <c r="K1004" s="100">
        <f t="shared" si="103"/>
        <v>5500</v>
      </c>
      <c r="L1004" s="18" t="s">
        <v>34</v>
      </c>
      <c r="M1004" s="50"/>
    </row>
    <row r="1005" spans="1:13" ht="24" hidden="1" customHeight="1" x14ac:dyDescent="0.4">
      <c r="A1005" s="62">
        <v>45014</v>
      </c>
      <c r="B1005" s="32" t="s">
        <v>839</v>
      </c>
      <c r="C1005" s="18" t="s">
        <v>1456</v>
      </c>
      <c r="D1005" s="63" t="s">
        <v>426</v>
      </c>
      <c r="E1005" s="50" t="s">
        <v>1469</v>
      </c>
      <c r="F1005" s="57">
        <v>1650</v>
      </c>
      <c r="G1005" s="76">
        <v>-165</v>
      </c>
      <c r="H1005" s="57">
        <f t="shared" si="101"/>
        <v>1485</v>
      </c>
      <c r="I1005" s="50">
        <v>1</v>
      </c>
      <c r="J1005" s="57">
        <f t="shared" si="102"/>
        <v>1485</v>
      </c>
      <c r="K1005" s="100">
        <f t="shared" si="103"/>
        <v>1633</v>
      </c>
      <c r="L1005" s="18" t="s">
        <v>1486</v>
      </c>
      <c r="M1005" s="50" t="s">
        <v>1487</v>
      </c>
    </row>
    <row r="1006" spans="1:13" ht="24" hidden="1" customHeight="1" x14ac:dyDescent="0.4">
      <c r="A1006" s="62">
        <v>45014</v>
      </c>
      <c r="B1006" s="32" t="s">
        <v>1384</v>
      </c>
      <c r="C1006" s="18" t="s">
        <v>1456</v>
      </c>
      <c r="D1006" s="63" t="s">
        <v>1461</v>
      </c>
      <c r="E1006" s="50" t="s">
        <v>1470</v>
      </c>
      <c r="F1006" s="57">
        <v>50000</v>
      </c>
      <c r="G1006" s="76">
        <v>-10000</v>
      </c>
      <c r="H1006" s="57">
        <f t="shared" si="101"/>
        <v>40000</v>
      </c>
      <c r="I1006" s="50">
        <v>1</v>
      </c>
      <c r="J1006" s="57">
        <f t="shared" si="102"/>
        <v>40000</v>
      </c>
      <c r="K1006" s="100">
        <f t="shared" si="103"/>
        <v>44000</v>
      </c>
      <c r="L1006" s="18" t="s">
        <v>34</v>
      </c>
      <c r="M1006" s="50"/>
    </row>
    <row r="1007" spans="1:13" ht="24" hidden="1" customHeight="1" x14ac:dyDescent="0.4">
      <c r="A1007" s="62">
        <v>45014</v>
      </c>
      <c r="B1007" s="32" t="s">
        <v>1384</v>
      </c>
      <c r="C1007" s="18" t="s">
        <v>1456</v>
      </c>
      <c r="D1007" s="63" t="s">
        <v>1471</v>
      </c>
      <c r="E1007" s="50" t="s">
        <v>1472</v>
      </c>
      <c r="F1007" s="57">
        <v>980</v>
      </c>
      <c r="G1007" s="76"/>
      <c r="H1007" s="57">
        <f t="shared" si="101"/>
        <v>980</v>
      </c>
      <c r="I1007" s="50">
        <v>1</v>
      </c>
      <c r="J1007" s="57">
        <f t="shared" si="102"/>
        <v>980</v>
      </c>
      <c r="K1007" s="100">
        <f t="shared" si="103"/>
        <v>1078</v>
      </c>
      <c r="L1007" s="18" t="s">
        <v>34</v>
      </c>
      <c r="M1007" s="50"/>
    </row>
    <row r="1008" spans="1:13" ht="24" hidden="1" customHeight="1" x14ac:dyDescent="0.4">
      <c r="A1008" s="62">
        <v>45015</v>
      </c>
      <c r="B1008" s="32" t="s">
        <v>223</v>
      </c>
      <c r="C1008" s="18" t="s">
        <v>1473</v>
      </c>
      <c r="D1008" s="63" t="s">
        <v>426</v>
      </c>
      <c r="E1008" s="50" t="s">
        <v>1474</v>
      </c>
      <c r="F1008" s="57">
        <v>2150</v>
      </c>
      <c r="G1008" s="76">
        <v>-215</v>
      </c>
      <c r="H1008" s="57">
        <f t="shared" si="101"/>
        <v>1935</v>
      </c>
      <c r="I1008" s="50">
        <v>1</v>
      </c>
      <c r="J1008" s="57">
        <f t="shared" si="102"/>
        <v>1935</v>
      </c>
      <c r="K1008" s="100">
        <f t="shared" si="103"/>
        <v>2128</v>
      </c>
      <c r="L1008" s="18" t="s">
        <v>25</v>
      </c>
      <c r="M1008" s="50"/>
    </row>
    <row r="1009" spans="1:13" ht="24" hidden="1" customHeight="1" x14ac:dyDescent="0.4">
      <c r="A1009" s="62">
        <v>45015</v>
      </c>
      <c r="B1009" s="32" t="s">
        <v>1475</v>
      </c>
      <c r="C1009" s="18" t="s">
        <v>27</v>
      </c>
      <c r="D1009" s="63" t="s">
        <v>28</v>
      </c>
      <c r="E1009" s="50" t="s">
        <v>73</v>
      </c>
      <c r="F1009" s="57">
        <v>2000</v>
      </c>
      <c r="G1009" s="76"/>
      <c r="H1009" s="57">
        <f t="shared" si="101"/>
        <v>2000</v>
      </c>
      <c r="I1009" s="50">
        <v>1</v>
      </c>
      <c r="J1009" s="57">
        <f t="shared" si="102"/>
        <v>2000</v>
      </c>
      <c r="K1009" s="100">
        <f t="shared" si="103"/>
        <v>2200</v>
      </c>
      <c r="L1009" s="18" t="s">
        <v>1476</v>
      </c>
      <c r="M1009" s="50"/>
    </row>
    <row r="1010" spans="1:13" ht="24" hidden="1" customHeight="1" x14ac:dyDescent="0.4">
      <c r="A1010" s="62">
        <v>45015</v>
      </c>
      <c r="B1010" s="32" t="s">
        <v>1477</v>
      </c>
      <c r="C1010" s="18" t="s">
        <v>22</v>
      </c>
      <c r="D1010" s="63" t="s">
        <v>48</v>
      </c>
      <c r="E1010" s="50" t="s">
        <v>369</v>
      </c>
      <c r="F1010" s="57">
        <v>3000</v>
      </c>
      <c r="G1010" s="76"/>
      <c r="H1010" s="57">
        <f t="shared" si="101"/>
        <v>3000</v>
      </c>
      <c r="I1010" s="50">
        <v>1</v>
      </c>
      <c r="J1010" s="57">
        <f t="shared" si="102"/>
        <v>3000</v>
      </c>
      <c r="K1010" s="100">
        <f t="shared" si="103"/>
        <v>3300</v>
      </c>
      <c r="L1010" s="18" t="s">
        <v>1478</v>
      </c>
      <c r="M1010" s="50"/>
    </row>
    <row r="1011" spans="1:13" ht="24" hidden="1" customHeight="1" x14ac:dyDescent="0.4">
      <c r="A1011" s="62">
        <v>45016</v>
      </c>
      <c r="B1011" s="32" t="s">
        <v>1479</v>
      </c>
      <c r="C1011" s="18" t="s">
        <v>22</v>
      </c>
      <c r="D1011" s="63" t="s">
        <v>48</v>
      </c>
      <c r="E1011" s="50" t="s">
        <v>369</v>
      </c>
      <c r="F1011" s="57">
        <v>3000</v>
      </c>
      <c r="G1011" s="76"/>
      <c r="H1011" s="57">
        <f t="shared" si="101"/>
        <v>3000</v>
      </c>
      <c r="I1011" s="50">
        <v>1</v>
      </c>
      <c r="J1011" s="57">
        <f t="shared" si="102"/>
        <v>3000</v>
      </c>
      <c r="K1011" s="100">
        <f t="shared" si="103"/>
        <v>3300</v>
      </c>
      <c r="L1011" s="18" t="s">
        <v>1478</v>
      </c>
      <c r="M1011" s="50"/>
    </row>
    <row r="1012" spans="1:13" ht="24" hidden="1" customHeight="1" x14ac:dyDescent="0.4">
      <c r="A1012" s="62">
        <v>45016</v>
      </c>
      <c r="B1012" s="32" t="s">
        <v>1480</v>
      </c>
      <c r="C1012" s="18" t="s">
        <v>22</v>
      </c>
      <c r="D1012" s="63" t="s">
        <v>23</v>
      </c>
      <c r="E1012" s="50" t="s">
        <v>827</v>
      </c>
      <c r="F1012" s="57">
        <v>15000</v>
      </c>
      <c r="G1012" s="76">
        <v>-5000</v>
      </c>
      <c r="H1012" s="57">
        <f t="shared" si="101"/>
        <v>10000</v>
      </c>
      <c r="I1012" s="50">
        <v>1</v>
      </c>
      <c r="J1012" s="57">
        <f t="shared" si="102"/>
        <v>10000</v>
      </c>
      <c r="K1012" s="100">
        <f t="shared" si="103"/>
        <v>11000</v>
      </c>
      <c r="L1012" s="18" t="s">
        <v>1478</v>
      </c>
      <c r="M1012" s="125" t="s">
        <v>1491</v>
      </c>
    </row>
    <row r="1013" spans="1:13" ht="24" hidden="1" customHeight="1" thickBot="1" x14ac:dyDescent="0.45">
      <c r="A1013" s="150">
        <v>45016</v>
      </c>
      <c r="B1013" s="107" t="s">
        <v>1480</v>
      </c>
      <c r="C1013" s="108" t="s">
        <v>1481</v>
      </c>
      <c r="D1013" s="109" t="s">
        <v>1482</v>
      </c>
      <c r="E1013" s="110" t="s">
        <v>1483</v>
      </c>
      <c r="F1013" s="111">
        <v>70000</v>
      </c>
      <c r="G1013" s="112">
        <v>-14000</v>
      </c>
      <c r="H1013" s="111">
        <f t="shared" si="101"/>
        <v>56000</v>
      </c>
      <c r="I1013" s="110">
        <v>1</v>
      </c>
      <c r="J1013" s="111">
        <f t="shared" si="102"/>
        <v>56000</v>
      </c>
      <c r="K1013" s="134">
        <f t="shared" si="103"/>
        <v>61600</v>
      </c>
      <c r="L1013" s="108" t="s">
        <v>34</v>
      </c>
      <c r="M1013" s="110"/>
    </row>
    <row r="1014" spans="1:13" ht="24" hidden="1" customHeight="1" x14ac:dyDescent="0.4">
      <c r="A1014" s="59">
        <v>45017</v>
      </c>
      <c r="B1014" s="82" t="s">
        <v>1492</v>
      </c>
      <c r="C1014" s="60" t="s">
        <v>27</v>
      </c>
      <c r="D1014" s="61" t="s">
        <v>28</v>
      </c>
      <c r="E1014" s="56" t="s">
        <v>1493</v>
      </c>
      <c r="F1014" s="99">
        <v>12250</v>
      </c>
      <c r="G1014" s="79"/>
      <c r="H1014" s="99">
        <f t="shared" si="101"/>
        <v>12250</v>
      </c>
      <c r="I1014" s="56">
        <v>1</v>
      </c>
      <c r="J1014" s="99">
        <f t="shared" si="102"/>
        <v>12250</v>
      </c>
      <c r="K1014" s="136">
        <f t="shared" si="103"/>
        <v>13475</v>
      </c>
      <c r="L1014" s="18" t="s">
        <v>25</v>
      </c>
      <c r="M1014" s="56" t="s">
        <v>1594</v>
      </c>
    </row>
    <row r="1015" spans="1:13" ht="24" hidden="1" customHeight="1" x14ac:dyDescent="0.4">
      <c r="A1015" s="59">
        <v>45017</v>
      </c>
      <c r="B1015" s="82" t="s">
        <v>1440</v>
      </c>
      <c r="C1015" s="18" t="s">
        <v>27</v>
      </c>
      <c r="D1015" s="63" t="s">
        <v>28</v>
      </c>
      <c r="E1015" s="50" t="s">
        <v>1522</v>
      </c>
      <c r="F1015" s="57">
        <v>10000</v>
      </c>
      <c r="G1015" s="76"/>
      <c r="H1015" s="57">
        <f t="shared" si="101"/>
        <v>10000</v>
      </c>
      <c r="I1015" s="50">
        <v>1</v>
      </c>
      <c r="J1015" s="57">
        <f t="shared" si="102"/>
        <v>10000</v>
      </c>
      <c r="K1015" s="100">
        <f t="shared" si="103"/>
        <v>11000</v>
      </c>
      <c r="L1015" s="18" t="s">
        <v>25</v>
      </c>
      <c r="M1015" s="50" t="s">
        <v>1594</v>
      </c>
    </row>
    <row r="1016" spans="1:13" ht="24" hidden="1" customHeight="1" x14ac:dyDescent="0.4">
      <c r="A1016" s="59">
        <v>45017</v>
      </c>
      <c r="B1016" s="32" t="s">
        <v>273</v>
      </c>
      <c r="C1016" s="18" t="s">
        <v>17</v>
      </c>
      <c r="D1016" s="63" t="s">
        <v>332</v>
      </c>
      <c r="E1016" s="50" t="s">
        <v>1495</v>
      </c>
      <c r="F1016" s="57">
        <v>980</v>
      </c>
      <c r="G1016" s="76">
        <v>-98</v>
      </c>
      <c r="H1016" s="57">
        <f t="shared" si="101"/>
        <v>882</v>
      </c>
      <c r="I1016" s="50">
        <v>1</v>
      </c>
      <c r="J1016" s="57">
        <f t="shared" si="102"/>
        <v>882</v>
      </c>
      <c r="K1016" s="100">
        <f t="shared" si="103"/>
        <v>970</v>
      </c>
      <c r="L1016" s="18" t="s">
        <v>25</v>
      </c>
      <c r="M1016" s="50"/>
    </row>
    <row r="1017" spans="1:13" ht="24" hidden="1" customHeight="1" x14ac:dyDescent="0.4">
      <c r="A1017" s="59">
        <v>45017</v>
      </c>
      <c r="B1017" s="32" t="s">
        <v>1524</v>
      </c>
      <c r="C1017" s="18" t="s">
        <v>22</v>
      </c>
      <c r="D1017" s="63" t="s">
        <v>1496</v>
      </c>
      <c r="E1017" s="63" t="s">
        <v>1595</v>
      </c>
      <c r="F1017" s="57">
        <v>7500</v>
      </c>
      <c r="G1017" s="76"/>
      <c r="H1017" s="57">
        <f t="shared" si="101"/>
        <v>7500</v>
      </c>
      <c r="I1017" s="50">
        <v>1</v>
      </c>
      <c r="J1017" s="57">
        <f t="shared" si="102"/>
        <v>7500</v>
      </c>
      <c r="K1017" s="100">
        <f t="shared" si="103"/>
        <v>8250</v>
      </c>
      <c r="L1017" s="18" t="s">
        <v>25</v>
      </c>
      <c r="M1017" s="50"/>
    </row>
    <row r="1018" spans="1:13" ht="24" hidden="1" customHeight="1" x14ac:dyDescent="0.4">
      <c r="A1018" s="59">
        <v>45017</v>
      </c>
      <c r="B1018" s="32" t="s">
        <v>1523</v>
      </c>
      <c r="C1018" s="18" t="s">
        <v>27</v>
      </c>
      <c r="D1018" s="63" t="s">
        <v>28</v>
      </c>
      <c r="E1018" s="56" t="s">
        <v>1254</v>
      </c>
      <c r="F1018" s="57">
        <v>17500</v>
      </c>
      <c r="G1018" s="76"/>
      <c r="H1018" s="57">
        <f t="shared" si="101"/>
        <v>17500</v>
      </c>
      <c r="I1018" s="50">
        <v>2</v>
      </c>
      <c r="J1018" s="57">
        <f t="shared" si="102"/>
        <v>35000</v>
      </c>
      <c r="K1018" s="100">
        <f t="shared" si="103"/>
        <v>38500</v>
      </c>
      <c r="L1018" s="18" t="s">
        <v>25</v>
      </c>
      <c r="M1018" s="50"/>
    </row>
    <row r="1019" spans="1:13" ht="24" hidden="1" customHeight="1" x14ac:dyDescent="0.4">
      <c r="A1019" s="59">
        <v>45017</v>
      </c>
      <c r="B1019" s="32" t="s">
        <v>1596</v>
      </c>
      <c r="C1019" s="18" t="s">
        <v>22</v>
      </c>
      <c r="D1019" s="63" t="s">
        <v>1496</v>
      </c>
      <c r="E1019" s="50" t="s">
        <v>369</v>
      </c>
      <c r="F1019" s="57">
        <v>3000</v>
      </c>
      <c r="G1019" s="76"/>
      <c r="H1019" s="57">
        <f t="shared" si="101"/>
        <v>3000</v>
      </c>
      <c r="I1019" s="50">
        <v>1</v>
      </c>
      <c r="J1019" s="57">
        <f t="shared" si="102"/>
        <v>3000</v>
      </c>
      <c r="K1019" s="100">
        <f t="shared" si="103"/>
        <v>3300</v>
      </c>
      <c r="L1019" s="18" t="s">
        <v>20</v>
      </c>
      <c r="M1019" s="50"/>
    </row>
    <row r="1020" spans="1:13" ht="24" hidden="1" customHeight="1" x14ac:dyDescent="0.4">
      <c r="A1020" s="59">
        <v>45017</v>
      </c>
      <c r="B1020" s="32" t="s">
        <v>1596</v>
      </c>
      <c r="C1020" s="18" t="s">
        <v>22</v>
      </c>
      <c r="D1020" s="63" t="s">
        <v>1496</v>
      </c>
      <c r="E1020" s="50" t="s">
        <v>1497</v>
      </c>
      <c r="F1020" s="57">
        <v>5000</v>
      </c>
      <c r="G1020" s="76"/>
      <c r="H1020" s="57">
        <f t="shared" si="101"/>
        <v>5000</v>
      </c>
      <c r="I1020" s="50">
        <v>1</v>
      </c>
      <c r="J1020" s="57">
        <f t="shared" si="102"/>
        <v>5000</v>
      </c>
      <c r="K1020" s="100">
        <f t="shared" si="103"/>
        <v>5500</v>
      </c>
      <c r="L1020" s="18" t="s">
        <v>20</v>
      </c>
      <c r="M1020" s="50"/>
    </row>
    <row r="1021" spans="1:13" ht="24" hidden="1" customHeight="1" x14ac:dyDescent="0.4">
      <c r="A1021" s="59">
        <v>45017</v>
      </c>
      <c r="B1021" s="32" t="s">
        <v>1242</v>
      </c>
      <c r="C1021" s="18" t="s">
        <v>22</v>
      </c>
      <c r="D1021" s="63" t="s">
        <v>1494</v>
      </c>
      <c r="E1021" s="50" t="s">
        <v>369</v>
      </c>
      <c r="F1021" s="57">
        <v>3000</v>
      </c>
      <c r="G1021" s="76"/>
      <c r="H1021" s="57">
        <f>F1021+G1021</f>
        <v>3000</v>
      </c>
      <c r="I1021" s="50">
        <v>1</v>
      </c>
      <c r="J1021" s="57">
        <f>H1021*I1021</f>
        <v>3000</v>
      </c>
      <c r="K1021" s="100">
        <f t="shared" si="103"/>
        <v>3300</v>
      </c>
      <c r="L1021" s="18" t="s">
        <v>25</v>
      </c>
      <c r="M1021" s="50"/>
    </row>
    <row r="1022" spans="1:13" ht="24" hidden="1" customHeight="1" x14ac:dyDescent="0.4">
      <c r="A1022" s="59">
        <v>45021</v>
      </c>
      <c r="B1022" s="32" t="s">
        <v>1499</v>
      </c>
      <c r="C1022" s="18" t="s">
        <v>22</v>
      </c>
      <c r="D1022" s="63" t="s">
        <v>23</v>
      </c>
      <c r="E1022" s="50" t="s">
        <v>1502</v>
      </c>
      <c r="F1022" s="57">
        <v>15000</v>
      </c>
      <c r="G1022" s="76"/>
      <c r="H1022" s="57">
        <f>F1022+G1022</f>
        <v>15000</v>
      </c>
      <c r="I1022" s="50">
        <v>1</v>
      </c>
      <c r="J1022" s="57">
        <f>H1022*I1022</f>
        <v>15000</v>
      </c>
      <c r="K1022" s="100">
        <f t="shared" si="103"/>
        <v>16500</v>
      </c>
      <c r="L1022" s="18" t="s">
        <v>1600</v>
      </c>
      <c r="M1022" s="50"/>
    </row>
    <row r="1023" spans="1:13" ht="24" hidden="1" customHeight="1" x14ac:dyDescent="0.4">
      <c r="A1023" s="59">
        <v>45021</v>
      </c>
      <c r="B1023" s="32" t="s">
        <v>1499</v>
      </c>
      <c r="C1023" s="18" t="s">
        <v>17</v>
      </c>
      <c r="D1023" s="63" t="s">
        <v>1597</v>
      </c>
      <c r="E1023" s="50" t="s">
        <v>1598</v>
      </c>
      <c r="F1023" s="57">
        <v>40000</v>
      </c>
      <c r="G1023" s="76">
        <v>-8000</v>
      </c>
      <c r="H1023" s="57">
        <f t="shared" ref="H1023:H1048" si="104">F1023+G1023</f>
        <v>32000</v>
      </c>
      <c r="I1023" s="50">
        <v>1</v>
      </c>
      <c r="J1023" s="57">
        <f t="shared" si="102"/>
        <v>32000</v>
      </c>
      <c r="K1023" s="100">
        <f t="shared" si="103"/>
        <v>35200</v>
      </c>
      <c r="L1023" s="18" t="s">
        <v>20</v>
      </c>
      <c r="M1023" s="50"/>
    </row>
    <row r="1024" spans="1:13" ht="24" hidden="1" customHeight="1" x14ac:dyDescent="0.4">
      <c r="A1024" s="59">
        <v>45021</v>
      </c>
      <c r="B1024" s="32" t="s">
        <v>1499</v>
      </c>
      <c r="C1024" s="18" t="s">
        <v>17</v>
      </c>
      <c r="D1024" s="63" t="s">
        <v>576</v>
      </c>
      <c r="E1024" s="50" t="s">
        <v>1335</v>
      </c>
      <c r="F1024" s="57">
        <v>85000</v>
      </c>
      <c r="G1024" s="76">
        <v>-8500</v>
      </c>
      <c r="H1024" s="57">
        <f t="shared" si="104"/>
        <v>76500</v>
      </c>
      <c r="I1024" s="50">
        <v>1</v>
      </c>
      <c r="J1024" s="57">
        <f t="shared" si="102"/>
        <v>76500</v>
      </c>
      <c r="K1024" s="100">
        <f t="shared" si="103"/>
        <v>84150</v>
      </c>
      <c r="L1024" s="18" t="s">
        <v>20</v>
      </c>
      <c r="M1024" s="50"/>
    </row>
    <row r="1025" spans="1:13" ht="24" hidden="1" customHeight="1" x14ac:dyDescent="0.4">
      <c r="A1025" s="59">
        <v>45021</v>
      </c>
      <c r="B1025" s="32" t="s">
        <v>1499</v>
      </c>
      <c r="C1025" s="18" t="s">
        <v>17</v>
      </c>
      <c r="D1025" s="63" t="s">
        <v>332</v>
      </c>
      <c r="E1025" s="50" t="s">
        <v>1495</v>
      </c>
      <c r="F1025" s="57">
        <v>980</v>
      </c>
      <c r="G1025" s="76"/>
      <c r="H1025" s="57">
        <f t="shared" si="104"/>
        <v>980</v>
      </c>
      <c r="I1025" s="50">
        <v>1</v>
      </c>
      <c r="J1025" s="57">
        <f t="shared" si="102"/>
        <v>980</v>
      </c>
      <c r="K1025" s="100">
        <f t="shared" si="103"/>
        <v>1078</v>
      </c>
      <c r="L1025" s="18" t="s">
        <v>20</v>
      </c>
      <c r="M1025" s="50"/>
    </row>
    <row r="1026" spans="1:13" ht="24" hidden="1" customHeight="1" x14ac:dyDescent="0.4">
      <c r="A1026" s="59">
        <v>45021</v>
      </c>
      <c r="B1026" s="32" t="s">
        <v>1499</v>
      </c>
      <c r="C1026" s="96" t="s">
        <v>198</v>
      </c>
      <c r="D1026" s="63" t="s">
        <v>23</v>
      </c>
      <c r="E1026" s="50" t="s">
        <v>199</v>
      </c>
      <c r="F1026" s="57">
        <v>-15000</v>
      </c>
      <c r="G1026" s="76"/>
      <c r="H1026" s="57">
        <f t="shared" si="104"/>
        <v>-15000</v>
      </c>
      <c r="I1026" s="50">
        <v>1</v>
      </c>
      <c r="J1026" s="57">
        <v>-15000</v>
      </c>
      <c r="K1026" s="100">
        <f t="shared" si="103"/>
        <v>-16500</v>
      </c>
      <c r="L1026" s="18" t="s">
        <v>20</v>
      </c>
      <c r="M1026" s="50" t="s">
        <v>1599</v>
      </c>
    </row>
    <row r="1027" spans="1:13" ht="24" hidden="1" customHeight="1" x14ac:dyDescent="0.4">
      <c r="A1027" s="59">
        <v>45022</v>
      </c>
      <c r="B1027" s="32" t="s">
        <v>1525</v>
      </c>
      <c r="C1027" s="18" t="s">
        <v>22</v>
      </c>
      <c r="D1027" s="63" t="s">
        <v>1494</v>
      </c>
      <c r="E1027" s="50" t="s">
        <v>369</v>
      </c>
      <c r="F1027" s="57">
        <v>3000</v>
      </c>
      <c r="G1027" s="76"/>
      <c r="H1027" s="57">
        <f t="shared" si="104"/>
        <v>3000</v>
      </c>
      <c r="I1027" s="50">
        <v>1</v>
      </c>
      <c r="J1027" s="57">
        <f t="shared" si="102"/>
        <v>3000</v>
      </c>
      <c r="K1027" s="100">
        <f t="shared" si="103"/>
        <v>3300</v>
      </c>
      <c r="L1027" s="18" t="s">
        <v>20</v>
      </c>
      <c r="M1027" s="50"/>
    </row>
    <row r="1028" spans="1:13" ht="24" hidden="1" customHeight="1" x14ac:dyDescent="0.4">
      <c r="A1028" s="59">
        <v>45022</v>
      </c>
      <c r="B1028" s="32" t="s">
        <v>67</v>
      </c>
      <c r="C1028" s="18" t="s">
        <v>17</v>
      </c>
      <c r="D1028" s="63" t="s">
        <v>426</v>
      </c>
      <c r="E1028" s="50" t="s">
        <v>1504</v>
      </c>
      <c r="F1028" s="57">
        <v>1020</v>
      </c>
      <c r="G1028" s="76"/>
      <c r="H1028" s="57">
        <f t="shared" si="104"/>
        <v>1020</v>
      </c>
      <c r="I1028" s="50">
        <v>6</v>
      </c>
      <c r="J1028" s="57">
        <f t="shared" si="102"/>
        <v>6120</v>
      </c>
      <c r="K1028" s="100">
        <f t="shared" si="103"/>
        <v>6732</v>
      </c>
      <c r="L1028" s="18" t="s">
        <v>25</v>
      </c>
      <c r="M1028" s="50"/>
    </row>
    <row r="1029" spans="1:13" ht="24" hidden="1" customHeight="1" x14ac:dyDescent="0.4">
      <c r="A1029" s="59">
        <v>45022</v>
      </c>
      <c r="B1029" s="32" t="s">
        <v>67</v>
      </c>
      <c r="C1029" s="18" t="s">
        <v>17</v>
      </c>
      <c r="D1029" s="63" t="s">
        <v>1503</v>
      </c>
      <c r="E1029" s="50" t="s">
        <v>1452</v>
      </c>
      <c r="F1029" s="57">
        <v>24500</v>
      </c>
      <c r="G1029" s="76"/>
      <c r="H1029" s="57">
        <f t="shared" si="104"/>
        <v>24500</v>
      </c>
      <c r="I1029" s="50">
        <v>1</v>
      </c>
      <c r="J1029" s="57">
        <f t="shared" si="102"/>
        <v>24500</v>
      </c>
      <c r="K1029" s="100">
        <f t="shared" si="103"/>
        <v>26950</v>
      </c>
      <c r="L1029" s="18" t="s">
        <v>25</v>
      </c>
      <c r="M1029" s="50"/>
    </row>
    <row r="1030" spans="1:13" ht="24" hidden="1" customHeight="1" x14ac:dyDescent="0.4">
      <c r="A1030" s="59">
        <v>45023</v>
      </c>
      <c r="B1030" s="32" t="s">
        <v>1505</v>
      </c>
      <c r="C1030" s="18" t="s">
        <v>22</v>
      </c>
      <c r="D1030" s="63" t="s">
        <v>1500</v>
      </c>
      <c r="E1030" s="50" t="s">
        <v>1502</v>
      </c>
      <c r="F1030" s="57">
        <v>15000</v>
      </c>
      <c r="G1030" s="76"/>
      <c r="H1030" s="57">
        <f t="shared" ref="H1030" si="105">F1030+G1030</f>
        <v>15000</v>
      </c>
      <c r="I1030" s="50">
        <v>1</v>
      </c>
      <c r="J1030" s="57">
        <f t="shared" ref="J1030" si="106">H1030*I1030</f>
        <v>15000</v>
      </c>
      <c r="K1030" s="100">
        <f t="shared" si="103"/>
        <v>16500</v>
      </c>
      <c r="L1030" s="18" t="s">
        <v>20</v>
      </c>
      <c r="M1030" s="50"/>
    </row>
    <row r="1031" spans="1:13" ht="24" hidden="1" customHeight="1" x14ac:dyDescent="0.4">
      <c r="A1031" s="59">
        <v>45023</v>
      </c>
      <c r="B1031" s="32" t="s">
        <v>1505</v>
      </c>
      <c r="C1031" s="18" t="s">
        <v>17</v>
      </c>
      <c r="D1031" s="63" t="s">
        <v>1498</v>
      </c>
      <c r="E1031" s="50" t="s">
        <v>1506</v>
      </c>
      <c r="F1031" s="57">
        <v>60000</v>
      </c>
      <c r="G1031" s="76">
        <v>-9000</v>
      </c>
      <c r="H1031" s="57">
        <f t="shared" si="104"/>
        <v>51000</v>
      </c>
      <c r="I1031" s="50">
        <v>1</v>
      </c>
      <c r="J1031" s="57">
        <f t="shared" si="102"/>
        <v>51000</v>
      </c>
      <c r="K1031" s="100">
        <f t="shared" si="103"/>
        <v>56100</v>
      </c>
      <c r="L1031" s="18" t="s">
        <v>20</v>
      </c>
      <c r="M1031" s="50"/>
    </row>
    <row r="1032" spans="1:13" ht="24" hidden="1" customHeight="1" x14ac:dyDescent="0.4">
      <c r="A1032" s="59">
        <v>45023</v>
      </c>
      <c r="B1032" s="32" t="s">
        <v>1505</v>
      </c>
      <c r="C1032" s="18" t="s">
        <v>17</v>
      </c>
      <c r="D1032" s="63" t="s">
        <v>332</v>
      </c>
      <c r="E1032" s="50" t="s">
        <v>1495</v>
      </c>
      <c r="F1032" s="57">
        <v>980</v>
      </c>
      <c r="G1032" s="76"/>
      <c r="H1032" s="57">
        <f t="shared" si="104"/>
        <v>980</v>
      </c>
      <c r="I1032" s="50">
        <v>1</v>
      </c>
      <c r="J1032" s="57">
        <f t="shared" si="102"/>
        <v>980</v>
      </c>
      <c r="K1032" s="100">
        <f t="shared" si="103"/>
        <v>1078</v>
      </c>
      <c r="L1032" s="18" t="s">
        <v>20</v>
      </c>
      <c r="M1032" s="50"/>
    </row>
    <row r="1033" spans="1:13" ht="24" hidden="1" customHeight="1" x14ac:dyDescent="0.4">
      <c r="A1033" s="59">
        <v>45023</v>
      </c>
      <c r="B1033" s="32" t="s">
        <v>1507</v>
      </c>
      <c r="C1033" s="18" t="s">
        <v>22</v>
      </c>
      <c r="D1033" s="63" t="s">
        <v>1500</v>
      </c>
      <c r="E1033" s="50" t="s">
        <v>1502</v>
      </c>
      <c r="F1033" s="57">
        <v>15000</v>
      </c>
      <c r="G1033" s="76"/>
      <c r="H1033" s="57">
        <f t="shared" si="104"/>
        <v>15000</v>
      </c>
      <c r="I1033" s="50">
        <v>1</v>
      </c>
      <c r="J1033" s="57">
        <f t="shared" si="102"/>
        <v>15000</v>
      </c>
      <c r="K1033" s="100">
        <f t="shared" si="103"/>
        <v>16500</v>
      </c>
      <c r="L1033" s="18" t="s">
        <v>25</v>
      </c>
      <c r="M1033" s="50"/>
    </row>
    <row r="1034" spans="1:13" ht="24" hidden="1" customHeight="1" x14ac:dyDescent="0.4">
      <c r="A1034" s="59">
        <v>45023</v>
      </c>
      <c r="B1034" s="32" t="s">
        <v>1507</v>
      </c>
      <c r="C1034" s="18" t="s">
        <v>17</v>
      </c>
      <c r="D1034" s="63" t="s">
        <v>1498</v>
      </c>
      <c r="E1034" s="50" t="s">
        <v>1508</v>
      </c>
      <c r="F1034" s="57">
        <v>48000</v>
      </c>
      <c r="G1034" s="76">
        <v>-9600</v>
      </c>
      <c r="H1034" s="57">
        <f t="shared" si="104"/>
        <v>38400</v>
      </c>
      <c r="I1034" s="50">
        <v>1</v>
      </c>
      <c r="J1034" s="57">
        <f t="shared" si="102"/>
        <v>38400</v>
      </c>
      <c r="K1034" s="100">
        <f t="shared" si="103"/>
        <v>42240</v>
      </c>
      <c r="L1034" s="18" t="s">
        <v>34</v>
      </c>
      <c r="M1034" s="50"/>
    </row>
    <row r="1035" spans="1:13" ht="21.75" hidden="1" customHeight="1" x14ac:dyDescent="0.4">
      <c r="A1035" s="59">
        <v>45023</v>
      </c>
      <c r="B1035" s="32" t="s">
        <v>1507</v>
      </c>
      <c r="C1035" s="96" t="s">
        <v>198</v>
      </c>
      <c r="D1035" s="63" t="s">
        <v>23</v>
      </c>
      <c r="E1035" s="50" t="s">
        <v>199</v>
      </c>
      <c r="F1035" s="57">
        <v>-15000</v>
      </c>
      <c r="G1035" s="76"/>
      <c r="H1035" s="57">
        <f t="shared" ref="H1035" si="107">F1035+G1035</f>
        <v>-15000</v>
      </c>
      <c r="I1035" s="50">
        <v>1</v>
      </c>
      <c r="J1035" s="57">
        <f t="shared" ref="J1035" si="108">H1035*I1035</f>
        <v>-15000</v>
      </c>
      <c r="K1035" s="100">
        <f t="shared" si="103"/>
        <v>-16500</v>
      </c>
      <c r="L1035" s="135" t="s">
        <v>34</v>
      </c>
      <c r="M1035" s="50" t="s">
        <v>1601</v>
      </c>
    </row>
    <row r="1036" spans="1:13" ht="21.75" hidden="1" customHeight="1" x14ac:dyDescent="0.4">
      <c r="A1036" s="59">
        <v>45024</v>
      </c>
      <c r="B1036" s="32" t="s">
        <v>1526</v>
      </c>
      <c r="C1036" s="18" t="s">
        <v>17</v>
      </c>
      <c r="D1036" s="63" t="s">
        <v>1509</v>
      </c>
      <c r="E1036" s="50" t="s">
        <v>1510</v>
      </c>
      <c r="F1036" s="57">
        <v>2500</v>
      </c>
      <c r="G1036" s="76"/>
      <c r="H1036" s="57">
        <f t="shared" si="104"/>
        <v>2500</v>
      </c>
      <c r="I1036" s="50">
        <v>1</v>
      </c>
      <c r="J1036" s="57">
        <f t="shared" si="102"/>
        <v>2500</v>
      </c>
      <c r="K1036" s="100">
        <f t="shared" si="103"/>
        <v>2750</v>
      </c>
      <c r="L1036" s="18" t="s">
        <v>20</v>
      </c>
      <c r="M1036" s="50"/>
    </row>
    <row r="1037" spans="1:13" ht="21.75" hidden="1" customHeight="1" x14ac:dyDescent="0.4">
      <c r="A1037" s="59">
        <v>45024</v>
      </c>
      <c r="B1037" s="32" t="s">
        <v>752</v>
      </c>
      <c r="C1037" s="18" t="s">
        <v>27</v>
      </c>
      <c r="D1037" s="63" t="s">
        <v>28</v>
      </c>
      <c r="E1037" s="50" t="s">
        <v>73</v>
      </c>
      <c r="F1037" s="57">
        <v>2000</v>
      </c>
      <c r="G1037" s="76"/>
      <c r="H1037" s="57">
        <f t="shared" si="104"/>
        <v>2000</v>
      </c>
      <c r="I1037" s="50">
        <v>3</v>
      </c>
      <c r="J1037" s="57">
        <f t="shared" si="102"/>
        <v>6000</v>
      </c>
      <c r="K1037" s="100">
        <f t="shared" si="103"/>
        <v>6600</v>
      </c>
      <c r="L1037" s="18" t="s">
        <v>25</v>
      </c>
      <c r="M1037" s="50"/>
    </row>
    <row r="1038" spans="1:13" ht="21.75" hidden="1" customHeight="1" x14ac:dyDescent="0.4">
      <c r="A1038" s="59">
        <v>45024</v>
      </c>
      <c r="B1038" s="32" t="s">
        <v>1360</v>
      </c>
      <c r="C1038" s="18" t="s">
        <v>1511</v>
      </c>
      <c r="D1038" s="63" t="s">
        <v>28</v>
      </c>
      <c r="E1038" s="50" t="s">
        <v>1512</v>
      </c>
      <c r="F1038" s="57">
        <v>8750</v>
      </c>
      <c r="G1038" s="76"/>
      <c r="H1038" s="57">
        <f t="shared" si="104"/>
        <v>8750</v>
      </c>
      <c r="I1038" s="50">
        <v>1</v>
      </c>
      <c r="J1038" s="57">
        <f t="shared" si="102"/>
        <v>8750</v>
      </c>
      <c r="K1038" s="100">
        <f t="shared" si="103"/>
        <v>9625</v>
      </c>
      <c r="L1038" s="18" t="s">
        <v>25</v>
      </c>
      <c r="M1038" s="50"/>
    </row>
    <row r="1039" spans="1:13" ht="21.75" hidden="1" customHeight="1" x14ac:dyDescent="0.4">
      <c r="A1039" s="59">
        <v>45024</v>
      </c>
      <c r="B1039" s="32" t="s">
        <v>1360</v>
      </c>
      <c r="C1039" s="18" t="s">
        <v>1511</v>
      </c>
      <c r="D1039" s="63" t="s">
        <v>28</v>
      </c>
      <c r="E1039" s="50" t="s">
        <v>318</v>
      </c>
      <c r="F1039" s="57">
        <v>15000</v>
      </c>
      <c r="G1039" s="76"/>
      <c r="H1039" s="57">
        <f t="shared" si="104"/>
        <v>15000</v>
      </c>
      <c r="I1039" s="50">
        <v>1</v>
      </c>
      <c r="J1039" s="57">
        <f t="shared" si="102"/>
        <v>15000</v>
      </c>
      <c r="K1039" s="100">
        <f t="shared" si="103"/>
        <v>16500</v>
      </c>
      <c r="L1039" s="18" t="s">
        <v>25</v>
      </c>
      <c r="M1039" s="50"/>
    </row>
    <row r="1040" spans="1:13" ht="21.75" hidden="1" customHeight="1" x14ac:dyDescent="0.4">
      <c r="A1040" s="59">
        <v>45024</v>
      </c>
      <c r="B1040" s="32" t="s">
        <v>1513</v>
      </c>
      <c r="C1040" s="18" t="s">
        <v>22</v>
      </c>
      <c r="D1040" s="63" t="s">
        <v>1500</v>
      </c>
      <c r="E1040" s="50" t="s">
        <v>1502</v>
      </c>
      <c r="F1040" s="57">
        <v>15000</v>
      </c>
      <c r="G1040" s="76">
        <v>-5000</v>
      </c>
      <c r="H1040" s="57">
        <f t="shared" si="104"/>
        <v>10000</v>
      </c>
      <c r="I1040" s="50">
        <v>1</v>
      </c>
      <c r="J1040" s="57">
        <f t="shared" si="102"/>
        <v>10000</v>
      </c>
      <c r="K1040" s="100">
        <f t="shared" si="103"/>
        <v>11000</v>
      </c>
      <c r="L1040" s="18" t="s">
        <v>20</v>
      </c>
      <c r="M1040" s="50"/>
    </row>
    <row r="1041" spans="1:13" ht="21.75" hidden="1" customHeight="1" x14ac:dyDescent="0.4">
      <c r="A1041" s="59">
        <v>45024</v>
      </c>
      <c r="B1041" s="32" t="s">
        <v>1527</v>
      </c>
      <c r="C1041" s="18" t="s">
        <v>1511</v>
      </c>
      <c r="D1041" s="63" t="s">
        <v>28</v>
      </c>
      <c r="E1041" s="50" t="s">
        <v>1602</v>
      </c>
      <c r="F1041" s="57">
        <v>3750</v>
      </c>
      <c r="G1041" s="76"/>
      <c r="H1041" s="57">
        <f t="shared" si="104"/>
        <v>3750</v>
      </c>
      <c r="I1041" s="50">
        <v>1</v>
      </c>
      <c r="J1041" s="57">
        <f t="shared" si="102"/>
        <v>3750</v>
      </c>
      <c r="K1041" s="100">
        <f t="shared" si="103"/>
        <v>4125</v>
      </c>
      <c r="L1041" s="18" t="s">
        <v>20</v>
      </c>
      <c r="M1041" s="50"/>
    </row>
    <row r="1042" spans="1:13" ht="21.75" hidden="1" customHeight="1" x14ac:dyDescent="0.4">
      <c r="A1042" s="59">
        <v>45024</v>
      </c>
      <c r="B1042" s="32" t="s">
        <v>1513</v>
      </c>
      <c r="C1042" s="18" t="s">
        <v>17</v>
      </c>
      <c r="D1042" s="63" t="s">
        <v>1498</v>
      </c>
      <c r="E1042" s="50" t="s">
        <v>1514</v>
      </c>
      <c r="F1042" s="57">
        <v>50000</v>
      </c>
      <c r="G1042" s="76">
        <v>-15000</v>
      </c>
      <c r="H1042" s="57">
        <f t="shared" si="104"/>
        <v>35000</v>
      </c>
      <c r="I1042" s="50">
        <v>1</v>
      </c>
      <c r="J1042" s="57">
        <f t="shared" si="102"/>
        <v>35000</v>
      </c>
      <c r="K1042" s="100">
        <f t="shared" si="103"/>
        <v>38500</v>
      </c>
      <c r="L1042" s="18" t="s">
        <v>20</v>
      </c>
      <c r="M1042" s="50"/>
    </row>
    <row r="1043" spans="1:13" ht="21.75" hidden="1" customHeight="1" x14ac:dyDescent="0.4">
      <c r="A1043" s="59">
        <v>45024</v>
      </c>
      <c r="B1043" s="32" t="s">
        <v>1513</v>
      </c>
      <c r="C1043" s="18" t="s">
        <v>17</v>
      </c>
      <c r="D1043" s="63" t="s">
        <v>576</v>
      </c>
      <c r="E1043" s="50" t="s">
        <v>1515</v>
      </c>
      <c r="F1043" s="57">
        <v>80000</v>
      </c>
      <c r="G1043" s="76">
        <v>-8000</v>
      </c>
      <c r="H1043" s="57">
        <f t="shared" si="104"/>
        <v>72000</v>
      </c>
      <c r="I1043" s="50">
        <v>1</v>
      </c>
      <c r="J1043" s="57">
        <f t="shared" si="102"/>
        <v>72000</v>
      </c>
      <c r="K1043" s="100">
        <f t="shared" si="103"/>
        <v>79200</v>
      </c>
      <c r="L1043" s="18" t="s">
        <v>20</v>
      </c>
      <c r="M1043" s="50"/>
    </row>
    <row r="1044" spans="1:13" ht="21.75" hidden="1" customHeight="1" x14ac:dyDescent="0.4">
      <c r="A1044" s="59">
        <v>45024</v>
      </c>
      <c r="B1044" s="32" t="s">
        <v>1513</v>
      </c>
      <c r="C1044" s="18" t="s">
        <v>22</v>
      </c>
      <c r="D1044" s="63" t="s">
        <v>1500</v>
      </c>
      <c r="E1044" s="50" t="s">
        <v>1501</v>
      </c>
      <c r="F1044" s="57">
        <v>-10000</v>
      </c>
      <c r="G1044" s="76"/>
      <c r="H1044" s="57">
        <f t="shared" si="104"/>
        <v>-10000</v>
      </c>
      <c r="I1044" s="50">
        <v>1</v>
      </c>
      <c r="J1044" s="57">
        <f t="shared" si="102"/>
        <v>-10000</v>
      </c>
      <c r="K1044" s="100">
        <f t="shared" si="103"/>
        <v>-11000</v>
      </c>
      <c r="L1044" s="18" t="s">
        <v>20</v>
      </c>
      <c r="M1044" s="50"/>
    </row>
    <row r="1045" spans="1:13" ht="21.75" hidden="1" customHeight="1" x14ac:dyDescent="0.4">
      <c r="A1045" s="59">
        <v>45024</v>
      </c>
      <c r="B1045" s="32" t="s">
        <v>1513</v>
      </c>
      <c r="C1045" s="18" t="s">
        <v>17</v>
      </c>
      <c r="D1045" s="63" t="s">
        <v>332</v>
      </c>
      <c r="E1045" s="50" t="s">
        <v>1495</v>
      </c>
      <c r="F1045" s="57">
        <v>980</v>
      </c>
      <c r="G1045" s="76"/>
      <c r="H1045" s="57">
        <f t="shared" si="104"/>
        <v>980</v>
      </c>
      <c r="I1045" s="50">
        <v>1</v>
      </c>
      <c r="J1045" s="57">
        <f t="shared" ref="J1045:J1048" si="109">H1045*I1045</f>
        <v>980</v>
      </c>
      <c r="K1045" s="100">
        <f t="shared" si="103"/>
        <v>1078</v>
      </c>
      <c r="L1045" s="18" t="s">
        <v>20</v>
      </c>
      <c r="M1045" s="50"/>
    </row>
    <row r="1046" spans="1:13" ht="21.75" hidden="1" customHeight="1" x14ac:dyDescent="0.4">
      <c r="A1046" s="59">
        <v>45024</v>
      </c>
      <c r="B1046" s="32" t="s">
        <v>1528</v>
      </c>
      <c r="C1046" s="18" t="s">
        <v>22</v>
      </c>
      <c r="D1046" s="63" t="s">
        <v>1494</v>
      </c>
      <c r="E1046" s="50" t="s">
        <v>369</v>
      </c>
      <c r="F1046" s="57">
        <v>3000</v>
      </c>
      <c r="G1046" s="76"/>
      <c r="H1046" s="57">
        <f t="shared" ref="H1046" si="110">F1046+G1046</f>
        <v>3000</v>
      </c>
      <c r="I1046" s="50">
        <v>1</v>
      </c>
      <c r="J1046" s="57">
        <f t="shared" si="109"/>
        <v>3000</v>
      </c>
      <c r="K1046" s="100">
        <f t="shared" si="103"/>
        <v>3300</v>
      </c>
      <c r="L1046" s="18" t="s">
        <v>1516</v>
      </c>
      <c r="M1046" s="50"/>
    </row>
    <row r="1047" spans="1:13" ht="21.75" hidden="1" customHeight="1" x14ac:dyDescent="0.4">
      <c r="A1047" s="59">
        <v>45024</v>
      </c>
      <c r="B1047" s="32" t="s">
        <v>1529</v>
      </c>
      <c r="C1047" s="18" t="s">
        <v>22</v>
      </c>
      <c r="D1047" s="63" t="s">
        <v>1494</v>
      </c>
      <c r="E1047" s="50" t="s">
        <v>369</v>
      </c>
      <c r="F1047" s="57">
        <v>3000</v>
      </c>
      <c r="G1047" s="76"/>
      <c r="H1047" s="57">
        <f t="shared" ref="H1047" si="111">F1047+G1047</f>
        <v>3000</v>
      </c>
      <c r="I1047" s="50">
        <v>1</v>
      </c>
      <c r="J1047" s="57">
        <f t="shared" ref="J1047" si="112">H1047*I1047</f>
        <v>3000</v>
      </c>
      <c r="K1047" s="100">
        <f t="shared" si="103"/>
        <v>3300</v>
      </c>
      <c r="L1047" s="18" t="s">
        <v>20</v>
      </c>
      <c r="M1047" s="50"/>
    </row>
    <row r="1048" spans="1:13" ht="21.75" hidden="1" customHeight="1" x14ac:dyDescent="0.4">
      <c r="A1048" s="59">
        <v>45024</v>
      </c>
      <c r="B1048" s="32" t="s">
        <v>1528</v>
      </c>
      <c r="C1048" s="18" t="s">
        <v>1511</v>
      </c>
      <c r="D1048" s="63" t="s">
        <v>28</v>
      </c>
      <c r="E1048" s="50" t="s">
        <v>1517</v>
      </c>
      <c r="F1048" s="57">
        <v>10000</v>
      </c>
      <c r="G1048" s="76"/>
      <c r="H1048" s="57">
        <f t="shared" si="104"/>
        <v>10000</v>
      </c>
      <c r="I1048" s="50">
        <v>1</v>
      </c>
      <c r="J1048" s="57">
        <f t="shared" si="109"/>
        <v>10000</v>
      </c>
      <c r="K1048" s="100">
        <f t="shared" si="103"/>
        <v>11000</v>
      </c>
      <c r="L1048" s="18" t="s">
        <v>1516</v>
      </c>
      <c r="M1048" s="50" t="s">
        <v>1603</v>
      </c>
    </row>
    <row r="1049" spans="1:13" ht="21.75" hidden="1" customHeight="1" x14ac:dyDescent="0.4">
      <c r="A1049" s="59">
        <v>45024</v>
      </c>
      <c r="B1049" s="32" t="s">
        <v>1529</v>
      </c>
      <c r="C1049" s="18" t="s">
        <v>1511</v>
      </c>
      <c r="D1049" s="63" t="s">
        <v>28</v>
      </c>
      <c r="E1049" s="50" t="s">
        <v>1517</v>
      </c>
      <c r="F1049" s="57">
        <v>10000</v>
      </c>
      <c r="G1049" s="76"/>
      <c r="H1049" s="57">
        <f t="shared" ref="H1049:H1052" si="113">F1049+G1049</f>
        <v>10000</v>
      </c>
      <c r="I1049" s="50">
        <v>1</v>
      </c>
      <c r="J1049" s="57">
        <f t="shared" ref="J1049:J1052" si="114">H1049*I1049</f>
        <v>10000</v>
      </c>
      <c r="K1049" s="100">
        <f t="shared" si="103"/>
        <v>11000</v>
      </c>
      <c r="L1049" s="18" t="s">
        <v>1516</v>
      </c>
      <c r="M1049" s="50" t="s">
        <v>1603</v>
      </c>
    </row>
    <row r="1050" spans="1:13" ht="21.75" hidden="1" customHeight="1" x14ac:dyDescent="0.4">
      <c r="A1050" s="59">
        <v>45025</v>
      </c>
      <c r="B1050" s="32" t="s">
        <v>1530</v>
      </c>
      <c r="C1050" s="18" t="s">
        <v>22</v>
      </c>
      <c r="D1050" s="63" t="s">
        <v>1494</v>
      </c>
      <c r="E1050" s="50" t="s">
        <v>369</v>
      </c>
      <c r="F1050" s="57">
        <v>3000</v>
      </c>
      <c r="G1050" s="76"/>
      <c r="H1050" s="57">
        <f t="shared" si="113"/>
        <v>3000</v>
      </c>
      <c r="I1050" s="50">
        <v>1</v>
      </c>
      <c r="J1050" s="57">
        <f t="shared" si="114"/>
        <v>3000</v>
      </c>
      <c r="K1050" s="100">
        <f t="shared" si="103"/>
        <v>3300</v>
      </c>
      <c r="L1050" s="18" t="s">
        <v>20</v>
      </c>
      <c r="M1050" s="50"/>
    </row>
    <row r="1051" spans="1:13" ht="21.75" hidden="1" customHeight="1" x14ac:dyDescent="0.4">
      <c r="A1051" s="59">
        <v>45025</v>
      </c>
      <c r="B1051" s="32" t="s">
        <v>162</v>
      </c>
      <c r="C1051" s="18" t="s">
        <v>1511</v>
      </c>
      <c r="D1051" s="63" t="s">
        <v>28</v>
      </c>
      <c r="E1051" s="50" t="s">
        <v>1518</v>
      </c>
      <c r="F1051" s="57">
        <v>2500</v>
      </c>
      <c r="G1051" s="76"/>
      <c r="H1051" s="57">
        <f t="shared" si="113"/>
        <v>2500</v>
      </c>
      <c r="I1051" s="50">
        <v>1</v>
      </c>
      <c r="J1051" s="57">
        <f t="shared" si="114"/>
        <v>2500</v>
      </c>
      <c r="K1051" s="100">
        <f t="shared" si="103"/>
        <v>2750</v>
      </c>
      <c r="L1051" s="18" t="s">
        <v>20</v>
      </c>
      <c r="M1051" s="50"/>
    </row>
    <row r="1052" spans="1:13" ht="21.75" hidden="1" customHeight="1" x14ac:dyDescent="0.4">
      <c r="A1052" s="59">
        <v>45025</v>
      </c>
      <c r="B1052" s="32" t="s">
        <v>162</v>
      </c>
      <c r="C1052" s="18" t="s">
        <v>1511</v>
      </c>
      <c r="D1052" s="63" t="s">
        <v>28</v>
      </c>
      <c r="E1052" s="50" t="s">
        <v>73</v>
      </c>
      <c r="F1052" s="57">
        <v>2000</v>
      </c>
      <c r="G1052" s="76"/>
      <c r="H1052" s="57">
        <f t="shared" si="113"/>
        <v>2000</v>
      </c>
      <c r="I1052" s="50">
        <v>1</v>
      </c>
      <c r="J1052" s="57">
        <f t="shared" si="114"/>
        <v>2000</v>
      </c>
      <c r="K1052" s="100">
        <f t="shared" si="103"/>
        <v>2200</v>
      </c>
      <c r="L1052" s="18" t="s">
        <v>20</v>
      </c>
      <c r="M1052" s="50"/>
    </row>
    <row r="1053" spans="1:13" ht="21.75" hidden="1" customHeight="1" x14ac:dyDescent="0.4">
      <c r="A1053" s="59">
        <v>45025</v>
      </c>
      <c r="B1053" s="32" t="s">
        <v>1384</v>
      </c>
      <c r="C1053" s="18" t="s">
        <v>22</v>
      </c>
      <c r="D1053" s="63" t="s">
        <v>1500</v>
      </c>
      <c r="E1053" s="50" t="s">
        <v>1502</v>
      </c>
      <c r="F1053" s="57">
        <v>15000</v>
      </c>
      <c r="G1053" s="76"/>
      <c r="H1053" s="57">
        <f t="shared" ref="H1053" si="115">F1053+G1053</f>
        <v>15000</v>
      </c>
      <c r="I1053" s="50">
        <v>1</v>
      </c>
      <c r="J1053" s="57">
        <f t="shared" ref="J1053" si="116">H1053*I1053</f>
        <v>15000</v>
      </c>
      <c r="K1053" s="100">
        <f t="shared" si="103"/>
        <v>16500</v>
      </c>
      <c r="L1053" s="18" t="s">
        <v>20</v>
      </c>
      <c r="M1053" s="50"/>
    </row>
    <row r="1054" spans="1:13" ht="21.75" hidden="1" customHeight="1" x14ac:dyDescent="0.4">
      <c r="A1054" s="59">
        <v>45025</v>
      </c>
      <c r="B1054" s="32" t="s">
        <v>1384</v>
      </c>
      <c r="C1054" s="18" t="s">
        <v>17</v>
      </c>
      <c r="D1054" s="63" t="s">
        <v>1498</v>
      </c>
      <c r="E1054" s="50" t="s">
        <v>1519</v>
      </c>
      <c r="F1054" s="57">
        <v>25000</v>
      </c>
      <c r="G1054" s="76">
        <v>-5000</v>
      </c>
      <c r="H1054" s="57">
        <f t="shared" ref="H1054" si="117">F1054+G1054</f>
        <v>20000</v>
      </c>
      <c r="I1054" s="50">
        <v>1</v>
      </c>
      <c r="J1054" s="57">
        <f t="shared" ref="J1054" si="118">H1054*I1054</f>
        <v>20000</v>
      </c>
      <c r="K1054" s="100">
        <f t="shared" si="103"/>
        <v>22000</v>
      </c>
      <c r="L1054" s="18" t="s">
        <v>34</v>
      </c>
      <c r="M1054" s="50"/>
    </row>
    <row r="1055" spans="1:13" ht="21.75" hidden="1" customHeight="1" x14ac:dyDescent="0.4">
      <c r="A1055" s="59">
        <v>45025</v>
      </c>
      <c r="B1055" s="32" t="s">
        <v>1384</v>
      </c>
      <c r="C1055" s="18" t="s">
        <v>17</v>
      </c>
      <c r="D1055" s="63" t="s">
        <v>1498</v>
      </c>
      <c r="E1055" s="50" t="s">
        <v>1520</v>
      </c>
      <c r="F1055" s="57">
        <v>25000</v>
      </c>
      <c r="G1055" s="76">
        <v>-5000</v>
      </c>
      <c r="H1055" s="57">
        <f t="shared" ref="H1055:H1084" si="119">F1055+G1055</f>
        <v>20000</v>
      </c>
      <c r="I1055" s="50">
        <v>1</v>
      </c>
      <c r="J1055" s="57">
        <f t="shared" ref="J1055:J1084" si="120">H1055*I1055</f>
        <v>20000</v>
      </c>
      <c r="K1055" s="100">
        <f t="shared" si="103"/>
        <v>22000</v>
      </c>
      <c r="L1055" s="18" t="s">
        <v>34</v>
      </c>
      <c r="M1055" s="50"/>
    </row>
    <row r="1056" spans="1:13" ht="21.75" hidden="1" customHeight="1" x14ac:dyDescent="0.4">
      <c r="A1056" s="59">
        <v>45025</v>
      </c>
      <c r="B1056" s="32" t="s">
        <v>1384</v>
      </c>
      <c r="C1056" s="18" t="s">
        <v>17</v>
      </c>
      <c r="D1056" s="63" t="s">
        <v>332</v>
      </c>
      <c r="E1056" s="50" t="s">
        <v>1521</v>
      </c>
      <c r="F1056" s="57">
        <v>980</v>
      </c>
      <c r="G1056" s="76"/>
      <c r="H1056" s="57">
        <f t="shared" si="119"/>
        <v>980</v>
      </c>
      <c r="I1056" s="50">
        <v>2</v>
      </c>
      <c r="J1056" s="57">
        <f t="shared" si="120"/>
        <v>1960</v>
      </c>
      <c r="K1056" s="100">
        <f t="shared" si="103"/>
        <v>2156</v>
      </c>
      <c r="L1056" s="18" t="s">
        <v>34</v>
      </c>
      <c r="M1056" s="50"/>
    </row>
    <row r="1057" spans="1:13" ht="21.75" hidden="1" customHeight="1" x14ac:dyDescent="0.4">
      <c r="A1057" s="59">
        <v>45025</v>
      </c>
      <c r="B1057" s="32" t="s">
        <v>1384</v>
      </c>
      <c r="C1057" s="96" t="s">
        <v>198</v>
      </c>
      <c r="D1057" s="63" t="s">
        <v>23</v>
      </c>
      <c r="E1057" s="50" t="s">
        <v>199</v>
      </c>
      <c r="F1057" s="57">
        <v>-15000</v>
      </c>
      <c r="G1057" s="76"/>
      <c r="H1057" s="57">
        <f t="shared" si="119"/>
        <v>-15000</v>
      </c>
      <c r="I1057" s="50">
        <v>1</v>
      </c>
      <c r="J1057" s="57">
        <f t="shared" si="120"/>
        <v>-15000</v>
      </c>
      <c r="K1057" s="100">
        <f t="shared" si="103"/>
        <v>-16500</v>
      </c>
      <c r="L1057" s="18" t="s">
        <v>34</v>
      </c>
      <c r="M1057" s="50" t="s">
        <v>1604</v>
      </c>
    </row>
    <row r="1058" spans="1:13" ht="21.75" hidden="1" customHeight="1" x14ac:dyDescent="0.4">
      <c r="A1058" s="59">
        <v>45025</v>
      </c>
      <c r="B1058" s="32" t="s">
        <v>1531</v>
      </c>
      <c r="C1058" s="18" t="s">
        <v>22</v>
      </c>
      <c r="D1058" s="63" t="s">
        <v>1496</v>
      </c>
      <c r="E1058" s="50" t="s">
        <v>369</v>
      </c>
      <c r="F1058" s="57">
        <v>3000</v>
      </c>
      <c r="G1058" s="76"/>
      <c r="H1058" s="57">
        <f t="shared" si="119"/>
        <v>3000</v>
      </c>
      <c r="I1058" s="50">
        <v>1</v>
      </c>
      <c r="J1058" s="57">
        <f t="shared" si="120"/>
        <v>3000</v>
      </c>
      <c r="K1058" s="100">
        <f t="shared" si="103"/>
        <v>3300</v>
      </c>
      <c r="L1058" s="60" t="s">
        <v>1516</v>
      </c>
      <c r="M1058" s="50"/>
    </row>
    <row r="1059" spans="1:13" ht="21.75" hidden="1" customHeight="1" x14ac:dyDescent="0.4">
      <c r="A1059" s="59">
        <v>45025</v>
      </c>
      <c r="B1059" s="32" t="s">
        <v>1531</v>
      </c>
      <c r="C1059" s="18" t="s">
        <v>22</v>
      </c>
      <c r="D1059" s="63" t="s">
        <v>1496</v>
      </c>
      <c r="E1059" s="50" t="s">
        <v>1497</v>
      </c>
      <c r="F1059" s="57">
        <v>5000</v>
      </c>
      <c r="G1059" s="76"/>
      <c r="H1059" s="57">
        <f t="shared" si="119"/>
        <v>5000</v>
      </c>
      <c r="I1059" s="50">
        <v>1</v>
      </c>
      <c r="J1059" s="57">
        <f t="shared" si="120"/>
        <v>5000</v>
      </c>
      <c r="K1059" s="100">
        <f t="shared" si="103"/>
        <v>5500</v>
      </c>
      <c r="L1059" s="18" t="s">
        <v>1516</v>
      </c>
      <c r="M1059" s="50"/>
    </row>
    <row r="1060" spans="1:13" ht="21.75" hidden="1" customHeight="1" x14ac:dyDescent="0.4">
      <c r="A1060" s="59">
        <v>45026</v>
      </c>
      <c r="B1060" s="32" t="s">
        <v>428</v>
      </c>
      <c r="C1060" s="18" t="s">
        <v>317</v>
      </c>
      <c r="D1060" s="63" t="s">
        <v>28</v>
      </c>
      <c r="E1060" s="50" t="s">
        <v>1532</v>
      </c>
      <c r="F1060" s="57">
        <v>9800</v>
      </c>
      <c r="G1060" s="76"/>
      <c r="H1060" s="57">
        <f t="shared" si="119"/>
        <v>9800</v>
      </c>
      <c r="I1060" s="50">
        <v>1</v>
      </c>
      <c r="J1060" s="57">
        <f t="shared" si="120"/>
        <v>9800</v>
      </c>
      <c r="K1060" s="100">
        <f t="shared" si="103"/>
        <v>10780</v>
      </c>
      <c r="L1060" s="18" t="s">
        <v>1533</v>
      </c>
      <c r="M1060" s="50"/>
    </row>
    <row r="1061" spans="1:13" ht="21.75" hidden="1" customHeight="1" x14ac:dyDescent="0.4">
      <c r="A1061" s="59">
        <v>45026</v>
      </c>
      <c r="B1061" s="32" t="s">
        <v>1526</v>
      </c>
      <c r="C1061" s="18" t="s">
        <v>22</v>
      </c>
      <c r="D1061" s="63" t="s">
        <v>260</v>
      </c>
      <c r="E1061" s="50" t="s">
        <v>1556</v>
      </c>
      <c r="F1061" s="57">
        <v>10000</v>
      </c>
      <c r="G1061" s="76"/>
      <c r="H1061" s="57">
        <f t="shared" si="119"/>
        <v>10000</v>
      </c>
      <c r="I1061" s="50">
        <v>1</v>
      </c>
      <c r="J1061" s="57">
        <f t="shared" si="120"/>
        <v>10000</v>
      </c>
      <c r="K1061" s="100">
        <f t="shared" si="103"/>
        <v>11000</v>
      </c>
      <c r="L1061" s="18" t="s">
        <v>20</v>
      </c>
      <c r="M1061" s="50"/>
    </row>
    <row r="1062" spans="1:13" ht="21.75" hidden="1" customHeight="1" x14ac:dyDescent="0.4">
      <c r="A1062" s="59">
        <v>45026</v>
      </c>
      <c r="B1062" s="32" t="s">
        <v>1526</v>
      </c>
      <c r="C1062" s="18" t="s">
        <v>17</v>
      </c>
      <c r="D1062" s="63" t="s">
        <v>328</v>
      </c>
      <c r="E1062" s="50" t="s">
        <v>1534</v>
      </c>
      <c r="F1062" s="57">
        <v>40000</v>
      </c>
      <c r="G1062" s="76">
        <v>-12000</v>
      </c>
      <c r="H1062" s="57">
        <f t="shared" si="119"/>
        <v>28000</v>
      </c>
      <c r="I1062" s="50">
        <v>1</v>
      </c>
      <c r="J1062" s="57">
        <f t="shared" si="120"/>
        <v>28000</v>
      </c>
      <c r="K1062" s="100">
        <f t="shared" si="103"/>
        <v>30800</v>
      </c>
      <c r="L1062" s="18" t="s">
        <v>20</v>
      </c>
      <c r="M1062" s="50"/>
    </row>
    <row r="1063" spans="1:13" ht="21.75" hidden="1" customHeight="1" x14ac:dyDescent="0.4">
      <c r="A1063" s="59">
        <v>45026</v>
      </c>
      <c r="B1063" s="32" t="s">
        <v>1526</v>
      </c>
      <c r="C1063" s="18" t="s">
        <v>17</v>
      </c>
      <c r="D1063" s="63" t="s">
        <v>332</v>
      </c>
      <c r="E1063" s="50" t="s">
        <v>1535</v>
      </c>
      <c r="F1063" s="57">
        <v>1800</v>
      </c>
      <c r="G1063" s="76">
        <v>-180</v>
      </c>
      <c r="H1063" s="57">
        <f t="shared" si="119"/>
        <v>1620</v>
      </c>
      <c r="I1063" s="50">
        <v>1</v>
      </c>
      <c r="J1063" s="57">
        <f t="shared" si="120"/>
        <v>1620</v>
      </c>
      <c r="K1063" s="100">
        <f t="shared" si="103"/>
        <v>1782</v>
      </c>
      <c r="L1063" s="18" t="s">
        <v>20</v>
      </c>
      <c r="M1063" s="50"/>
    </row>
    <row r="1064" spans="1:13" ht="21.75" hidden="1" customHeight="1" x14ac:dyDescent="0.4">
      <c r="A1064" s="59">
        <v>45028</v>
      </c>
      <c r="B1064" s="32" t="s">
        <v>179</v>
      </c>
      <c r="C1064" s="18" t="s">
        <v>17</v>
      </c>
      <c r="D1064" s="63" t="s">
        <v>332</v>
      </c>
      <c r="E1064" s="50" t="s">
        <v>1536</v>
      </c>
      <c r="F1064" s="57">
        <v>3500</v>
      </c>
      <c r="G1064" s="76">
        <v>-350</v>
      </c>
      <c r="H1064" s="57">
        <f t="shared" si="119"/>
        <v>3150</v>
      </c>
      <c r="I1064" s="50">
        <v>1</v>
      </c>
      <c r="J1064" s="57">
        <f t="shared" si="120"/>
        <v>3150</v>
      </c>
      <c r="K1064" s="100">
        <f t="shared" si="103"/>
        <v>3465</v>
      </c>
      <c r="L1064" s="18" t="s">
        <v>20</v>
      </c>
      <c r="M1064" s="50"/>
    </row>
    <row r="1065" spans="1:13" ht="21.75" hidden="1" customHeight="1" x14ac:dyDescent="0.4">
      <c r="A1065" s="59">
        <v>45028</v>
      </c>
      <c r="B1065" s="32" t="s">
        <v>1537</v>
      </c>
      <c r="C1065" s="18" t="s">
        <v>22</v>
      </c>
      <c r="D1065" s="63" t="s">
        <v>256</v>
      </c>
      <c r="E1065" s="50" t="s">
        <v>369</v>
      </c>
      <c r="F1065" s="57">
        <v>3000</v>
      </c>
      <c r="G1065" s="76"/>
      <c r="H1065" s="57">
        <f t="shared" si="119"/>
        <v>3000</v>
      </c>
      <c r="I1065" s="50">
        <v>1</v>
      </c>
      <c r="J1065" s="57">
        <f t="shared" si="120"/>
        <v>3000</v>
      </c>
      <c r="K1065" s="100">
        <f t="shared" ref="K1065:K1126" si="121">ROUNDDOWN(J1065*1.1,0)</f>
        <v>3300</v>
      </c>
      <c r="L1065" s="18" t="s">
        <v>20</v>
      </c>
      <c r="M1065" s="50"/>
    </row>
    <row r="1066" spans="1:13" ht="21.75" hidden="1" customHeight="1" x14ac:dyDescent="0.4">
      <c r="A1066" s="59">
        <v>45028</v>
      </c>
      <c r="B1066" s="32" t="s">
        <v>1384</v>
      </c>
      <c r="C1066" s="18" t="s">
        <v>17</v>
      </c>
      <c r="D1066" s="63" t="s">
        <v>1538</v>
      </c>
      <c r="E1066" s="50" t="s">
        <v>1545</v>
      </c>
      <c r="F1066" s="57">
        <v>5500</v>
      </c>
      <c r="G1066" s="76"/>
      <c r="H1066" s="57">
        <f t="shared" si="119"/>
        <v>5500</v>
      </c>
      <c r="I1066" s="50">
        <v>1</v>
      </c>
      <c r="J1066" s="57">
        <f t="shared" si="120"/>
        <v>5500</v>
      </c>
      <c r="K1066" s="100">
        <f t="shared" si="121"/>
        <v>6050</v>
      </c>
      <c r="L1066" s="18" t="s">
        <v>1533</v>
      </c>
      <c r="M1066" s="50"/>
    </row>
    <row r="1067" spans="1:13" ht="21.75" hidden="1" customHeight="1" x14ac:dyDescent="0.4">
      <c r="A1067" s="59">
        <v>45028</v>
      </c>
      <c r="B1067" s="32" t="s">
        <v>905</v>
      </c>
      <c r="C1067" s="18" t="s">
        <v>27</v>
      </c>
      <c r="D1067" s="63" t="s">
        <v>103</v>
      </c>
      <c r="E1067" s="50" t="s">
        <v>1539</v>
      </c>
      <c r="F1067" s="57">
        <v>25000</v>
      </c>
      <c r="G1067" s="76"/>
      <c r="H1067" s="57">
        <f t="shared" si="119"/>
        <v>25000</v>
      </c>
      <c r="I1067" s="50">
        <v>1</v>
      </c>
      <c r="J1067" s="57">
        <f t="shared" si="120"/>
        <v>25000</v>
      </c>
      <c r="K1067" s="100">
        <f t="shared" si="121"/>
        <v>27500</v>
      </c>
      <c r="L1067" s="18" t="s">
        <v>1533</v>
      </c>
      <c r="M1067" s="50"/>
    </row>
    <row r="1068" spans="1:13" ht="21.75" hidden="1" customHeight="1" x14ac:dyDescent="0.4">
      <c r="A1068" s="59">
        <v>45028</v>
      </c>
      <c r="B1068" s="32" t="s">
        <v>67</v>
      </c>
      <c r="C1068" s="18" t="s">
        <v>17</v>
      </c>
      <c r="D1068" s="63" t="s">
        <v>1538</v>
      </c>
      <c r="E1068" s="50" t="s">
        <v>1540</v>
      </c>
      <c r="F1068" s="57">
        <v>4408</v>
      </c>
      <c r="G1068" s="76"/>
      <c r="H1068" s="57">
        <f t="shared" si="119"/>
        <v>4408</v>
      </c>
      <c r="I1068" s="50">
        <v>3</v>
      </c>
      <c r="J1068" s="57">
        <f t="shared" si="120"/>
        <v>13224</v>
      </c>
      <c r="K1068" s="100">
        <f t="shared" si="121"/>
        <v>14546</v>
      </c>
      <c r="L1068" s="18" t="s">
        <v>1533</v>
      </c>
      <c r="M1068" s="50"/>
    </row>
    <row r="1069" spans="1:13" ht="21.75" hidden="1" customHeight="1" x14ac:dyDescent="0.4">
      <c r="A1069" s="59">
        <v>45029</v>
      </c>
      <c r="B1069" s="32" t="s">
        <v>1541</v>
      </c>
      <c r="C1069" s="18" t="s">
        <v>22</v>
      </c>
      <c r="D1069" s="63" t="s">
        <v>1496</v>
      </c>
      <c r="E1069" s="50" t="s">
        <v>369</v>
      </c>
      <c r="F1069" s="57">
        <v>3000</v>
      </c>
      <c r="G1069" s="76"/>
      <c r="H1069" s="57">
        <f t="shared" si="119"/>
        <v>3000</v>
      </c>
      <c r="I1069" s="50">
        <v>1</v>
      </c>
      <c r="J1069" s="57">
        <f t="shared" si="120"/>
        <v>3000</v>
      </c>
      <c r="K1069" s="100">
        <f t="shared" si="121"/>
        <v>3300</v>
      </c>
      <c r="L1069" s="18" t="s">
        <v>1533</v>
      </c>
      <c r="M1069" s="50"/>
    </row>
    <row r="1070" spans="1:13" ht="21.75" hidden="1" customHeight="1" x14ac:dyDescent="0.4">
      <c r="A1070" s="59">
        <v>45029</v>
      </c>
      <c r="B1070" s="32" t="s">
        <v>1541</v>
      </c>
      <c r="C1070" s="18" t="s">
        <v>317</v>
      </c>
      <c r="D1070" s="63" t="s">
        <v>28</v>
      </c>
      <c r="E1070" s="50" t="s">
        <v>1542</v>
      </c>
      <c r="F1070" s="57">
        <v>8750</v>
      </c>
      <c r="G1070" s="76"/>
      <c r="H1070" s="57">
        <f t="shared" si="119"/>
        <v>8750</v>
      </c>
      <c r="I1070" s="50">
        <v>1</v>
      </c>
      <c r="J1070" s="57">
        <f t="shared" si="120"/>
        <v>8750</v>
      </c>
      <c r="K1070" s="100">
        <f t="shared" si="121"/>
        <v>9625</v>
      </c>
      <c r="L1070" s="18" t="s">
        <v>1533</v>
      </c>
      <c r="M1070" s="50" t="s">
        <v>1605</v>
      </c>
    </row>
    <row r="1071" spans="1:13" ht="21.75" hidden="1" customHeight="1" x14ac:dyDescent="0.4">
      <c r="A1071" s="59">
        <v>45029</v>
      </c>
      <c r="B1071" s="32" t="s">
        <v>1541</v>
      </c>
      <c r="C1071" s="18" t="s">
        <v>317</v>
      </c>
      <c r="D1071" s="63" t="s">
        <v>28</v>
      </c>
      <c r="E1071" s="50" t="s">
        <v>1543</v>
      </c>
      <c r="F1071" s="57">
        <v>17500</v>
      </c>
      <c r="G1071" s="76"/>
      <c r="H1071" s="57">
        <f t="shared" si="119"/>
        <v>17500</v>
      </c>
      <c r="I1071" s="50">
        <v>1</v>
      </c>
      <c r="J1071" s="57">
        <f t="shared" si="120"/>
        <v>17500</v>
      </c>
      <c r="K1071" s="100">
        <f t="shared" si="121"/>
        <v>19250</v>
      </c>
      <c r="L1071" s="18" t="s">
        <v>1533</v>
      </c>
      <c r="M1071" s="50"/>
    </row>
    <row r="1072" spans="1:13" ht="21.75" hidden="1" customHeight="1" x14ac:dyDescent="0.4">
      <c r="A1072" s="59">
        <v>45029</v>
      </c>
      <c r="B1072" s="32" t="s">
        <v>710</v>
      </c>
      <c r="C1072" s="18" t="s">
        <v>17</v>
      </c>
      <c r="D1072" s="63" t="s">
        <v>1538</v>
      </c>
      <c r="E1072" s="50" t="s">
        <v>1544</v>
      </c>
      <c r="F1072" s="57">
        <v>5700</v>
      </c>
      <c r="G1072" s="76">
        <v>-570</v>
      </c>
      <c r="H1072" s="57">
        <f t="shared" si="119"/>
        <v>5130</v>
      </c>
      <c r="I1072" s="50">
        <v>1</v>
      </c>
      <c r="J1072" s="57">
        <f t="shared" si="120"/>
        <v>5130</v>
      </c>
      <c r="K1072" s="100">
        <f t="shared" si="121"/>
        <v>5643</v>
      </c>
      <c r="L1072" s="18" t="s">
        <v>1533</v>
      </c>
      <c r="M1072" s="50"/>
    </row>
    <row r="1073" spans="1:13" ht="21.75" hidden="1" customHeight="1" x14ac:dyDescent="0.4">
      <c r="A1073" s="59">
        <v>45031</v>
      </c>
      <c r="B1073" s="32" t="s">
        <v>503</v>
      </c>
      <c r="C1073" s="18" t="s">
        <v>17</v>
      </c>
      <c r="D1073" s="63" t="s">
        <v>1538</v>
      </c>
      <c r="E1073" s="50" t="s">
        <v>1545</v>
      </c>
      <c r="F1073" s="57">
        <v>5500</v>
      </c>
      <c r="G1073" s="76"/>
      <c r="H1073" s="57">
        <f t="shared" si="119"/>
        <v>5500</v>
      </c>
      <c r="I1073" s="50">
        <v>1</v>
      </c>
      <c r="J1073" s="57">
        <f t="shared" si="120"/>
        <v>5500</v>
      </c>
      <c r="K1073" s="100">
        <f t="shared" si="121"/>
        <v>6050</v>
      </c>
      <c r="L1073" s="18" t="s">
        <v>20</v>
      </c>
      <c r="M1073" s="50"/>
    </row>
    <row r="1074" spans="1:13" ht="21.75" hidden="1" customHeight="1" x14ac:dyDescent="0.4">
      <c r="A1074" s="59">
        <v>45031</v>
      </c>
      <c r="B1074" s="32" t="s">
        <v>1546</v>
      </c>
      <c r="C1074" s="18" t="s">
        <v>22</v>
      </c>
      <c r="D1074" s="63" t="s">
        <v>1496</v>
      </c>
      <c r="E1074" s="50" t="s">
        <v>369</v>
      </c>
      <c r="F1074" s="57">
        <v>3000</v>
      </c>
      <c r="G1074" s="76"/>
      <c r="H1074" s="57">
        <f t="shared" ref="H1074" si="122">F1074+G1074</f>
        <v>3000</v>
      </c>
      <c r="I1074" s="50">
        <v>1</v>
      </c>
      <c r="J1074" s="57">
        <f t="shared" ref="J1074" si="123">H1074*I1074</f>
        <v>3000</v>
      </c>
      <c r="K1074" s="100">
        <f t="shared" si="121"/>
        <v>3300</v>
      </c>
      <c r="L1074" s="18" t="s">
        <v>1533</v>
      </c>
      <c r="M1074" s="50"/>
    </row>
    <row r="1075" spans="1:13" ht="21.75" hidden="1" customHeight="1" x14ac:dyDescent="0.4">
      <c r="A1075" s="59">
        <v>45031</v>
      </c>
      <c r="B1075" s="32" t="s">
        <v>678</v>
      </c>
      <c r="C1075" s="18" t="s">
        <v>17</v>
      </c>
      <c r="D1075" s="63" t="s">
        <v>1538</v>
      </c>
      <c r="E1075" s="50" t="s">
        <v>1544</v>
      </c>
      <c r="F1075" s="57">
        <v>5700</v>
      </c>
      <c r="G1075" s="76">
        <v>-570</v>
      </c>
      <c r="H1075" s="57">
        <f t="shared" si="119"/>
        <v>5130</v>
      </c>
      <c r="I1075" s="50">
        <v>2</v>
      </c>
      <c r="J1075" s="57">
        <f t="shared" si="120"/>
        <v>10260</v>
      </c>
      <c r="K1075" s="100">
        <f t="shared" si="121"/>
        <v>11286</v>
      </c>
      <c r="L1075" s="18" t="s">
        <v>1533</v>
      </c>
      <c r="M1075" s="50"/>
    </row>
    <row r="1076" spans="1:13" ht="21.75" hidden="1" customHeight="1" x14ac:dyDescent="0.4">
      <c r="A1076" s="59">
        <v>45031</v>
      </c>
      <c r="B1076" s="32" t="s">
        <v>171</v>
      </c>
      <c r="C1076" s="18" t="s">
        <v>17</v>
      </c>
      <c r="D1076" s="63" t="s">
        <v>1538</v>
      </c>
      <c r="E1076" s="50" t="s">
        <v>1545</v>
      </c>
      <c r="F1076" s="57">
        <v>5500</v>
      </c>
      <c r="G1076" s="76"/>
      <c r="H1076" s="57">
        <f t="shared" si="119"/>
        <v>5500</v>
      </c>
      <c r="I1076" s="50">
        <v>1</v>
      </c>
      <c r="J1076" s="57">
        <f t="shared" si="120"/>
        <v>5500</v>
      </c>
      <c r="K1076" s="100">
        <f t="shared" si="121"/>
        <v>6050</v>
      </c>
      <c r="L1076" s="18" t="s">
        <v>1533</v>
      </c>
      <c r="M1076" s="50"/>
    </row>
    <row r="1077" spans="1:13" ht="21.75" hidden="1" customHeight="1" x14ac:dyDescent="0.4">
      <c r="A1077" s="59">
        <v>45032</v>
      </c>
      <c r="B1077" s="32" t="s">
        <v>1546</v>
      </c>
      <c r="C1077" s="18" t="s">
        <v>317</v>
      </c>
      <c r="D1077" s="63" t="s">
        <v>28</v>
      </c>
      <c r="E1077" s="50" t="s">
        <v>1547</v>
      </c>
      <c r="F1077" s="57">
        <v>15000</v>
      </c>
      <c r="G1077" s="76"/>
      <c r="H1077" s="57">
        <f t="shared" si="119"/>
        <v>15000</v>
      </c>
      <c r="I1077" s="50">
        <v>1</v>
      </c>
      <c r="J1077" s="57">
        <f t="shared" si="120"/>
        <v>15000</v>
      </c>
      <c r="K1077" s="100">
        <f t="shared" si="121"/>
        <v>16500</v>
      </c>
      <c r="L1077" s="18" t="s">
        <v>1533</v>
      </c>
      <c r="M1077" s="50"/>
    </row>
    <row r="1078" spans="1:13" ht="21.75" hidden="1" customHeight="1" x14ac:dyDescent="0.4">
      <c r="A1078" s="59">
        <v>45032</v>
      </c>
      <c r="B1078" s="32" t="s">
        <v>1546</v>
      </c>
      <c r="C1078" s="18" t="s">
        <v>317</v>
      </c>
      <c r="D1078" s="63" t="s">
        <v>28</v>
      </c>
      <c r="E1078" s="50" t="s">
        <v>1548</v>
      </c>
      <c r="F1078" s="57">
        <v>4370</v>
      </c>
      <c r="G1078" s="76"/>
      <c r="H1078" s="57">
        <f t="shared" si="119"/>
        <v>4370</v>
      </c>
      <c r="I1078" s="50">
        <v>1</v>
      </c>
      <c r="J1078" s="57">
        <f t="shared" si="120"/>
        <v>4370</v>
      </c>
      <c r="K1078" s="100">
        <f t="shared" si="121"/>
        <v>4807</v>
      </c>
      <c r="L1078" s="18" t="s">
        <v>1533</v>
      </c>
      <c r="M1078" s="50"/>
    </row>
    <row r="1079" spans="1:13" ht="21.75" hidden="1" customHeight="1" x14ac:dyDescent="0.4">
      <c r="A1079" s="59">
        <v>45032</v>
      </c>
      <c r="B1079" s="32" t="s">
        <v>1546</v>
      </c>
      <c r="C1079" s="18" t="s">
        <v>317</v>
      </c>
      <c r="D1079" s="63" t="s">
        <v>28</v>
      </c>
      <c r="E1079" s="50" t="s">
        <v>1543</v>
      </c>
      <c r="F1079" s="57">
        <v>17500</v>
      </c>
      <c r="G1079" s="76"/>
      <c r="H1079" s="57">
        <f t="shared" si="119"/>
        <v>17500</v>
      </c>
      <c r="I1079" s="50">
        <v>1</v>
      </c>
      <c r="J1079" s="57">
        <f t="shared" si="120"/>
        <v>17500</v>
      </c>
      <c r="K1079" s="100">
        <f t="shared" si="121"/>
        <v>19250</v>
      </c>
      <c r="L1079" s="18" t="s">
        <v>1533</v>
      </c>
      <c r="M1079" s="50"/>
    </row>
    <row r="1080" spans="1:13" ht="21.75" hidden="1" customHeight="1" x14ac:dyDescent="0.4">
      <c r="A1080" s="59">
        <v>45033</v>
      </c>
      <c r="B1080" s="32" t="s">
        <v>1549</v>
      </c>
      <c r="C1080" s="18" t="s">
        <v>22</v>
      </c>
      <c r="D1080" s="63" t="s">
        <v>1496</v>
      </c>
      <c r="E1080" s="50" t="s">
        <v>369</v>
      </c>
      <c r="F1080" s="57">
        <v>3000</v>
      </c>
      <c r="G1080" s="76"/>
      <c r="H1080" s="57">
        <f t="shared" si="119"/>
        <v>3000</v>
      </c>
      <c r="I1080" s="50">
        <v>1</v>
      </c>
      <c r="J1080" s="57">
        <f t="shared" si="120"/>
        <v>3000</v>
      </c>
      <c r="K1080" s="100">
        <f t="shared" si="121"/>
        <v>3300</v>
      </c>
      <c r="L1080" s="18" t="s">
        <v>20</v>
      </c>
      <c r="M1080" s="50"/>
    </row>
    <row r="1081" spans="1:13" ht="21.75" hidden="1" customHeight="1" x14ac:dyDescent="0.4">
      <c r="A1081" s="59">
        <v>45033</v>
      </c>
      <c r="B1081" s="32" t="s">
        <v>1269</v>
      </c>
      <c r="C1081" s="18" t="s">
        <v>17</v>
      </c>
      <c r="D1081" s="63" t="s">
        <v>328</v>
      </c>
      <c r="E1081" s="50" t="s">
        <v>1550</v>
      </c>
      <c r="F1081" s="57">
        <v>6200</v>
      </c>
      <c r="G1081" s="76">
        <v>-620</v>
      </c>
      <c r="H1081" s="57">
        <f t="shared" si="119"/>
        <v>5580</v>
      </c>
      <c r="I1081" s="50">
        <v>1</v>
      </c>
      <c r="J1081" s="57">
        <f t="shared" si="120"/>
        <v>5580</v>
      </c>
      <c r="K1081" s="100">
        <f t="shared" si="121"/>
        <v>6138</v>
      </c>
      <c r="L1081" s="18" t="s">
        <v>1533</v>
      </c>
      <c r="M1081" s="50"/>
    </row>
    <row r="1082" spans="1:13" ht="21.75" hidden="1" customHeight="1" x14ac:dyDescent="0.4">
      <c r="A1082" s="59">
        <v>45033</v>
      </c>
      <c r="B1082" s="32" t="s">
        <v>1269</v>
      </c>
      <c r="C1082" s="18" t="s">
        <v>17</v>
      </c>
      <c r="D1082" s="63" t="s">
        <v>332</v>
      </c>
      <c r="E1082" s="50" t="s">
        <v>1551</v>
      </c>
      <c r="F1082" s="57">
        <v>1600</v>
      </c>
      <c r="G1082" s="76">
        <v>-160</v>
      </c>
      <c r="H1082" s="57">
        <f t="shared" si="119"/>
        <v>1440</v>
      </c>
      <c r="I1082" s="50">
        <v>1</v>
      </c>
      <c r="J1082" s="57">
        <f t="shared" si="120"/>
        <v>1440</v>
      </c>
      <c r="K1082" s="100">
        <f t="shared" si="121"/>
        <v>1584</v>
      </c>
      <c r="L1082" s="18" t="s">
        <v>1533</v>
      </c>
      <c r="M1082" s="50"/>
    </row>
    <row r="1083" spans="1:13" ht="21.75" hidden="1" customHeight="1" x14ac:dyDescent="0.4">
      <c r="A1083" s="59">
        <v>45035</v>
      </c>
      <c r="B1083" s="32" t="s">
        <v>1530</v>
      </c>
      <c r="C1083" s="18" t="s">
        <v>317</v>
      </c>
      <c r="D1083" s="63" t="s">
        <v>28</v>
      </c>
      <c r="E1083" s="50" t="s">
        <v>1547</v>
      </c>
      <c r="F1083" s="57">
        <v>15000</v>
      </c>
      <c r="G1083" s="76"/>
      <c r="H1083" s="57">
        <f t="shared" si="119"/>
        <v>15000</v>
      </c>
      <c r="I1083" s="50">
        <v>1</v>
      </c>
      <c r="J1083" s="57">
        <f t="shared" si="120"/>
        <v>15000</v>
      </c>
      <c r="K1083" s="100">
        <f t="shared" si="121"/>
        <v>16500</v>
      </c>
      <c r="L1083" s="18" t="s">
        <v>1533</v>
      </c>
      <c r="M1083" s="50"/>
    </row>
    <row r="1084" spans="1:13" ht="21.75" hidden="1" customHeight="1" x14ac:dyDescent="0.4">
      <c r="A1084" s="59">
        <v>45035</v>
      </c>
      <c r="B1084" s="32" t="s">
        <v>1530</v>
      </c>
      <c r="C1084" s="18" t="s">
        <v>317</v>
      </c>
      <c r="D1084" s="63" t="s">
        <v>28</v>
      </c>
      <c r="E1084" s="50" t="s">
        <v>1548</v>
      </c>
      <c r="F1084" s="57">
        <v>4370</v>
      </c>
      <c r="G1084" s="76"/>
      <c r="H1084" s="57">
        <f t="shared" si="119"/>
        <v>4370</v>
      </c>
      <c r="I1084" s="50">
        <v>1</v>
      </c>
      <c r="J1084" s="57">
        <f t="shared" si="120"/>
        <v>4370</v>
      </c>
      <c r="K1084" s="100">
        <f t="shared" si="121"/>
        <v>4807</v>
      </c>
      <c r="L1084" s="18" t="s">
        <v>1533</v>
      </c>
      <c r="M1084" s="50"/>
    </row>
    <row r="1085" spans="1:13" ht="21.75" hidden="1" customHeight="1" x14ac:dyDescent="0.4">
      <c r="A1085" s="59">
        <v>45035</v>
      </c>
      <c r="B1085" s="32" t="s">
        <v>1530</v>
      </c>
      <c r="C1085" s="18" t="s">
        <v>317</v>
      </c>
      <c r="D1085" s="63" t="s">
        <v>28</v>
      </c>
      <c r="E1085" s="50" t="s">
        <v>1543</v>
      </c>
      <c r="F1085" s="57">
        <v>17500</v>
      </c>
      <c r="G1085" s="76"/>
      <c r="H1085" s="57">
        <f t="shared" ref="H1085:H1147" si="124">F1085+G1085</f>
        <v>17500</v>
      </c>
      <c r="I1085" s="50">
        <v>1</v>
      </c>
      <c r="J1085" s="57">
        <f t="shared" ref="J1085:J1144" si="125">H1085*I1085</f>
        <v>17500</v>
      </c>
      <c r="K1085" s="100">
        <f t="shared" si="121"/>
        <v>19250</v>
      </c>
      <c r="L1085" s="18" t="s">
        <v>1533</v>
      </c>
      <c r="M1085" s="50"/>
    </row>
    <row r="1086" spans="1:13" ht="21.75" hidden="1" customHeight="1" x14ac:dyDescent="0.4">
      <c r="A1086" s="59">
        <v>45035</v>
      </c>
      <c r="B1086" s="32" t="s">
        <v>1552</v>
      </c>
      <c r="C1086" s="18" t="s">
        <v>22</v>
      </c>
      <c r="D1086" s="63" t="s">
        <v>1496</v>
      </c>
      <c r="E1086" s="50" t="s">
        <v>369</v>
      </c>
      <c r="F1086" s="57">
        <v>3000</v>
      </c>
      <c r="G1086" s="76"/>
      <c r="H1086" s="57">
        <f t="shared" si="124"/>
        <v>3000</v>
      </c>
      <c r="I1086" s="50">
        <v>2</v>
      </c>
      <c r="J1086" s="57">
        <f t="shared" si="125"/>
        <v>6000</v>
      </c>
      <c r="K1086" s="100">
        <f t="shared" si="121"/>
        <v>6600</v>
      </c>
      <c r="L1086" s="18" t="s">
        <v>20</v>
      </c>
      <c r="M1086" s="50"/>
    </row>
    <row r="1087" spans="1:13" ht="21.75" hidden="1" customHeight="1" x14ac:dyDescent="0.4">
      <c r="A1087" s="59">
        <v>45035</v>
      </c>
      <c r="B1087" s="32" t="s">
        <v>1606</v>
      </c>
      <c r="C1087" s="18" t="s">
        <v>22</v>
      </c>
      <c r="D1087" s="63" t="s">
        <v>1496</v>
      </c>
      <c r="E1087" s="50" t="s">
        <v>369</v>
      </c>
      <c r="F1087" s="57">
        <v>3000</v>
      </c>
      <c r="G1087" s="76"/>
      <c r="H1087" s="57">
        <f t="shared" si="124"/>
        <v>3000</v>
      </c>
      <c r="I1087" s="50">
        <v>1</v>
      </c>
      <c r="J1087" s="57">
        <f t="shared" si="125"/>
        <v>3000</v>
      </c>
      <c r="K1087" s="100">
        <f t="shared" si="121"/>
        <v>3300</v>
      </c>
      <c r="L1087" s="18" t="s">
        <v>1600</v>
      </c>
      <c r="M1087" s="50" t="s">
        <v>1607</v>
      </c>
    </row>
    <row r="1088" spans="1:13" ht="21.75" hidden="1" customHeight="1" x14ac:dyDescent="0.4">
      <c r="A1088" s="59">
        <v>45035</v>
      </c>
      <c r="B1088" s="32" t="s">
        <v>1608</v>
      </c>
      <c r="C1088" s="18" t="s">
        <v>17</v>
      </c>
      <c r="D1088" s="63" t="s">
        <v>1538</v>
      </c>
      <c r="E1088" s="50" t="s">
        <v>1545</v>
      </c>
      <c r="F1088" s="57">
        <v>5500</v>
      </c>
      <c r="G1088" s="76">
        <v>-628</v>
      </c>
      <c r="H1088" s="57">
        <f t="shared" si="124"/>
        <v>4872</v>
      </c>
      <c r="I1088" s="50">
        <v>1</v>
      </c>
      <c r="J1088" s="57">
        <f t="shared" si="125"/>
        <v>4872</v>
      </c>
      <c r="K1088" s="100">
        <f t="shared" si="121"/>
        <v>5359</v>
      </c>
      <c r="L1088" s="18" t="s">
        <v>1533</v>
      </c>
      <c r="M1088" s="50"/>
    </row>
    <row r="1089" spans="1:13" ht="21.75" hidden="1" customHeight="1" x14ac:dyDescent="0.4">
      <c r="A1089" s="59">
        <v>45036</v>
      </c>
      <c r="B1089" s="32" t="s">
        <v>1553</v>
      </c>
      <c r="C1089" s="18" t="s">
        <v>22</v>
      </c>
      <c r="D1089" s="50" t="s">
        <v>1554</v>
      </c>
      <c r="E1089" s="50" t="s">
        <v>1555</v>
      </c>
      <c r="F1089" s="57">
        <v>10000</v>
      </c>
      <c r="G1089" s="76"/>
      <c r="H1089" s="57">
        <f t="shared" si="124"/>
        <v>10000</v>
      </c>
      <c r="I1089" s="50">
        <v>1</v>
      </c>
      <c r="J1089" s="57">
        <f t="shared" si="125"/>
        <v>10000</v>
      </c>
      <c r="K1089" s="100">
        <f t="shared" si="121"/>
        <v>11000</v>
      </c>
      <c r="L1089" s="18" t="s">
        <v>20</v>
      </c>
      <c r="M1089" s="50"/>
    </row>
    <row r="1090" spans="1:13" ht="21.75" hidden="1" customHeight="1" x14ac:dyDescent="0.4">
      <c r="A1090" s="59">
        <v>45036</v>
      </c>
      <c r="B1090" s="32" t="s">
        <v>1557</v>
      </c>
      <c r="C1090" s="18" t="s">
        <v>17</v>
      </c>
      <c r="D1090" s="63" t="s">
        <v>1503</v>
      </c>
      <c r="E1090" s="50" t="s">
        <v>1558</v>
      </c>
      <c r="F1090" s="57">
        <v>650</v>
      </c>
      <c r="G1090" s="76"/>
      <c r="H1090" s="57">
        <f t="shared" si="124"/>
        <v>650</v>
      </c>
      <c r="I1090" s="50">
        <v>1</v>
      </c>
      <c r="J1090" s="57">
        <f t="shared" si="125"/>
        <v>650</v>
      </c>
      <c r="K1090" s="100">
        <f t="shared" si="121"/>
        <v>715</v>
      </c>
      <c r="L1090" s="18" t="s">
        <v>20</v>
      </c>
      <c r="M1090" s="50"/>
    </row>
    <row r="1091" spans="1:13" ht="21.75" hidden="1" customHeight="1" x14ac:dyDescent="0.4">
      <c r="A1091" s="59">
        <v>45037</v>
      </c>
      <c r="B1091" s="32" t="s">
        <v>1526</v>
      </c>
      <c r="C1091" s="18" t="s">
        <v>27</v>
      </c>
      <c r="D1091" s="63" t="s">
        <v>103</v>
      </c>
      <c r="E1091" s="50" t="s">
        <v>1559</v>
      </c>
      <c r="F1091" s="57">
        <v>2500</v>
      </c>
      <c r="G1091" s="76"/>
      <c r="H1091" s="57">
        <f t="shared" si="124"/>
        <v>2500</v>
      </c>
      <c r="I1091" s="50">
        <v>1</v>
      </c>
      <c r="J1091" s="57">
        <f t="shared" si="125"/>
        <v>2500</v>
      </c>
      <c r="K1091" s="100">
        <f t="shared" si="121"/>
        <v>2750</v>
      </c>
      <c r="L1091" s="18" t="s">
        <v>20</v>
      </c>
      <c r="M1091" s="50"/>
    </row>
    <row r="1092" spans="1:13" ht="21.75" hidden="1" customHeight="1" x14ac:dyDescent="0.4">
      <c r="A1092" s="59">
        <v>45037</v>
      </c>
      <c r="B1092" s="32" t="s">
        <v>1560</v>
      </c>
      <c r="C1092" s="18" t="s">
        <v>22</v>
      </c>
      <c r="D1092" s="63" t="s">
        <v>1496</v>
      </c>
      <c r="E1092" s="50" t="s">
        <v>369</v>
      </c>
      <c r="F1092" s="57">
        <v>3000</v>
      </c>
      <c r="G1092" s="76"/>
      <c r="H1092" s="57">
        <f t="shared" ref="H1092:H1095" si="126">F1092+G1092</f>
        <v>3000</v>
      </c>
      <c r="I1092" s="50">
        <v>1</v>
      </c>
      <c r="J1092" s="57">
        <f t="shared" ref="J1092:J1095" si="127">H1092*I1092</f>
        <v>3000</v>
      </c>
      <c r="K1092" s="100">
        <f t="shared" si="121"/>
        <v>3300</v>
      </c>
      <c r="L1092" s="18" t="s">
        <v>1533</v>
      </c>
      <c r="M1092" s="50"/>
    </row>
    <row r="1093" spans="1:13" ht="21.75" hidden="1" customHeight="1" x14ac:dyDescent="0.4">
      <c r="A1093" s="59">
        <v>45037</v>
      </c>
      <c r="B1093" s="32" t="s">
        <v>1560</v>
      </c>
      <c r="C1093" s="18" t="s">
        <v>317</v>
      </c>
      <c r="D1093" s="63" t="s">
        <v>28</v>
      </c>
      <c r="E1093" s="50" t="s">
        <v>1547</v>
      </c>
      <c r="F1093" s="57">
        <v>15000</v>
      </c>
      <c r="G1093" s="76"/>
      <c r="H1093" s="57">
        <f t="shared" si="126"/>
        <v>15000</v>
      </c>
      <c r="I1093" s="50">
        <v>1</v>
      </c>
      <c r="J1093" s="57">
        <f t="shared" si="127"/>
        <v>15000</v>
      </c>
      <c r="K1093" s="100">
        <f t="shared" si="121"/>
        <v>16500</v>
      </c>
      <c r="L1093" s="18" t="s">
        <v>1533</v>
      </c>
      <c r="M1093" s="50"/>
    </row>
    <row r="1094" spans="1:13" ht="21.75" hidden="1" customHeight="1" x14ac:dyDescent="0.4">
      <c r="A1094" s="59">
        <v>45037</v>
      </c>
      <c r="B1094" s="32" t="s">
        <v>1560</v>
      </c>
      <c r="C1094" s="18" t="s">
        <v>317</v>
      </c>
      <c r="D1094" s="63" t="s">
        <v>28</v>
      </c>
      <c r="E1094" s="50" t="s">
        <v>1580</v>
      </c>
      <c r="F1094" s="57">
        <v>4370</v>
      </c>
      <c r="G1094" s="76"/>
      <c r="H1094" s="57">
        <f t="shared" si="126"/>
        <v>4370</v>
      </c>
      <c r="I1094" s="50">
        <v>1</v>
      </c>
      <c r="J1094" s="57">
        <f t="shared" si="127"/>
        <v>4370</v>
      </c>
      <c r="K1094" s="100">
        <f t="shared" si="121"/>
        <v>4807</v>
      </c>
      <c r="L1094" s="18" t="s">
        <v>1533</v>
      </c>
      <c r="M1094" s="50"/>
    </row>
    <row r="1095" spans="1:13" ht="21.75" hidden="1" customHeight="1" x14ac:dyDescent="0.4">
      <c r="A1095" s="59">
        <v>45037</v>
      </c>
      <c r="B1095" s="32" t="s">
        <v>1560</v>
      </c>
      <c r="C1095" s="18" t="s">
        <v>317</v>
      </c>
      <c r="D1095" s="63" t="s">
        <v>28</v>
      </c>
      <c r="E1095" s="50" t="s">
        <v>1581</v>
      </c>
      <c r="F1095" s="57">
        <v>17500</v>
      </c>
      <c r="G1095" s="76"/>
      <c r="H1095" s="57">
        <f t="shared" si="126"/>
        <v>17500</v>
      </c>
      <c r="I1095" s="50">
        <v>1</v>
      </c>
      <c r="J1095" s="57">
        <f t="shared" si="127"/>
        <v>17500</v>
      </c>
      <c r="K1095" s="100">
        <f t="shared" si="121"/>
        <v>19250</v>
      </c>
      <c r="L1095" s="18" t="s">
        <v>1533</v>
      </c>
      <c r="M1095" s="50"/>
    </row>
    <row r="1096" spans="1:13" ht="21.75" hidden="1" customHeight="1" x14ac:dyDescent="0.4">
      <c r="A1096" s="59">
        <v>45037</v>
      </c>
      <c r="B1096" s="32" t="s">
        <v>1561</v>
      </c>
      <c r="C1096" s="18" t="s">
        <v>17</v>
      </c>
      <c r="D1096" s="63" t="s">
        <v>426</v>
      </c>
      <c r="E1096" s="50" t="s">
        <v>1504</v>
      </c>
      <c r="F1096" s="57">
        <v>1700</v>
      </c>
      <c r="G1096" s="76">
        <v>-170</v>
      </c>
      <c r="H1096" s="57">
        <f t="shared" si="124"/>
        <v>1530</v>
      </c>
      <c r="I1096" s="50">
        <v>1</v>
      </c>
      <c r="J1096" s="57">
        <f t="shared" si="125"/>
        <v>1530</v>
      </c>
      <c r="K1096" s="100">
        <f t="shared" si="121"/>
        <v>1683</v>
      </c>
      <c r="L1096" s="18" t="s">
        <v>20</v>
      </c>
      <c r="M1096" s="50"/>
    </row>
    <row r="1097" spans="1:13" ht="21.75" hidden="1" customHeight="1" x14ac:dyDescent="0.4">
      <c r="A1097" s="59">
        <v>45037</v>
      </c>
      <c r="B1097" s="32" t="s">
        <v>1608</v>
      </c>
      <c r="C1097" s="18" t="s">
        <v>17</v>
      </c>
      <c r="D1097" s="63" t="s">
        <v>332</v>
      </c>
      <c r="E1097" s="50" t="s">
        <v>1536</v>
      </c>
      <c r="F1097" s="57">
        <v>1750</v>
      </c>
      <c r="G1097" s="76"/>
      <c r="H1097" s="57">
        <f t="shared" si="124"/>
        <v>1750</v>
      </c>
      <c r="I1097" s="50">
        <v>1</v>
      </c>
      <c r="J1097" s="57">
        <f t="shared" si="125"/>
        <v>1750</v>
      </c>
      <c r="K1097" s="100">
        <f t="shared" si="121"/>
        <v>1925</v>
      </c>
      <c r="L1097" s="18" t="s">
        <v>20</v>
      </c>
      <c r="M1097" s="50"/>
    </row>
    <row r="1098" spans="1:13" ht="21.75" hidden="1" customHeight="1" x14ac:dyDescent="0.4">
      <c r="A1098" s="59">
        <v>45039</v>
      </c>
      <c r="B1098" s="32" t="s">
        <v>1560</v>
      </c>
      <c r="C1098" s="18" t="s">
        <v>22</v>
      </c>
      <c r="D1098" s="63" t="s">
        <v>1496</v>
      </c>
      <c r="E1098" s="50" t="s">
        <v>1562</v>
      </c>
      <c r="F1098" s="57">
        <v>3000</v>
      </c>
      <c r="G1098" s="76"/>
      <c r="H1098" s="57">
        <f t="shared" si="124"/>
        <v>3000</v>
      </c>
      <c r="I1098" s="50">
        <v>1</v>
      </c>
      <c r="J1098" s="57">
        <f t="shared" si="125"/>
        <v>3000</v>
      </c>
      <c r="K1098" s="100">
        <f t="shared" si="121"/>
        <v>3300</v>
      </c>
      <c r="L1098" s="18" t="s">
        <v>1533</v>
      </c>
      <c r="M1098" s="50"/>
    </row>
    <row r="1099" spans="1:13" ht="21.75" hidden="1" customHeight="1" x14ac:dyDescent="0.4">
      <c r="A1099" s="59">
        <v>45039</v>
      </c>
      <c r="B1099" s="32" t="s">
        <v>190</v>
      </c>
      <c r="C1099" s="18" t="s">
        <v>27</v>
      </c>
      <c r="D1099" s="63" t="s">
        <v>103</v>
      </c>
      <c r="E1099" s="50" t="s">
        <v>1539</v>
      </c>
      <c r="F1099" s="57">
        <v>25000</v>
      </c>
      <c r="G1099" s="76"/>
      <c r="H1099" s="57">
        <f t="shared" si="124"/>
        <v>25000</v>
      </c>
      <c r="I1099" s="50">
        <v>1</v>
      </c>
      <c r="J1099" s="57">
        <f t="shared" si="125"/>
        <v>25000</v>
      </c>
      <c r="K1099" s="100">
        <f t="shared" si="121"/>
        <v>27500</v>
      </c>
      <c r="L1099" s="18" t="s">
        <v>1533</v>
      </c>
      <c r="M1099" s="50"/>
    </row>
    <row r="1100" spans="1:13" ht="21.75" hidden="1" customHeight="1" x14ac:dyDescent="0.4">
      <c r="A1100" s="59">
        <v>45039</v>
      </c>
      <c r="B1100" s="32" t="s">
        <v>1563</v>
      </c>
      <c r="C1100" s="18" t="s">
        <v>17</v>
      </c>
      <c r="D1100" s="63" t="s">
        <v>332</v>
      </c>
      <c r="E1100" s="50" t="s">
        <v>1564</v>
      </c>
      <c r="F1100" s="57">
        <v>1800</v>
      </c>
      <c r="G1100" s="76">
        <v>-900</v>
      </c>
      <c r="H1100" s="57">
        <f t="shared" si="124"/>
        <v>900</v>
      </c>
      <c r="I1100" s="50">
        <v>10</v>
      </c>
      <c r="J1100" s="57">
        <f t="shared" si="125"/>
        <v>9000</v>
      </c>
      <c r="K1100" s="100">
        <f t="shared" si="121"/>
        <v>9900</v>
      </c>
      <c r="L1100" s="18" t="s">
        <v>1533</v>
      </c>
      <c r="M1100" s="50"/>
    </row>
    <row r="1101" spans="1:13" ht="21.75" hidden="1" customHeight="1" x14ac:dyDescent="0.4">
      <c r="A1101" s="59">
        <v>45039</v>
      </c>
      <c r="B1101" s="32" t="s">
        <v>1553</v>
      </c>
      <c r="C1101" s="18" t="s">
        <v>17</v>
      </c>
      <c r="D1101" s="63" t="s">
        <v>328</v>
      </c>
      <c r="E1101" s="50" t="s">
        <v>1565</v>
      </c>
      <c r="F1101" s="57">
        <v>40000</v>
      </c>
      <c r="G1101" s="76">
        <v>-12000</v>
      </c>
      <c r="H1101" s="57">
        <f t="shared" si="124"/>
        <v>28000</v>
      </c>
      <c r="I1101" s="50">
        <v>1</v>
      </c>
      <c r="J1101" s="57">
        <f t="shared" si="125"/>
        <v>28000</v>
      </c>
      <c r="K1101" s="100">
        <f t="shared" si="121"/>
        <v>30800</v>
      </c>
      <c r="L1101" s="18" t="s">
        <v>20</v>
      </c>
      <c r="M1101" s="50"/>
    </row>
    <row r="1102" spans="1:13" ht="21.75" hidden="1" customHeight="1" x14ac:dyDescent="0.4">
      <c r="A1102" s="59">
        <v>45039</v>
      </c>
      <c r="B1102" s="32" t="s">
        <v>1553</v>
      </c>
      <c r="C1102" s="18" t="s">
        <v>17</v>
      </c>
      <c r="D1102" s="63" t="s">
        <v>332</v>
      </c>
      <c r="E1102" s="50" t="s">
        <v>1495</v>
      </c>
      <c r="F1102" s="57">
        <v>980</v>
      </c>
      <c r="G1102" s="76">
        <v>-98</v>
      </c>
      <c r="H1102" s="57">
        <f t="shared" si="124"/>
        <v>882</v>
      </c>
      <c r="I1102" s="50">
        <v>1</v>
      </c>
      <c r="J1102" s="57">
        <f t="shared" si="125"/>
        <v>882</v>
      </c>
      <c r="K1102" s="100">
        <f t="shared" si="121"/>
        <v>970</v>
      </c>
      <c r="L1102" s="18" t="s">
        <v>20</v>
      </c>
      <c r="M1102" s="50"/>
    </row>
    <row r="1103" spans="1:13" ht="21.75" hidden="1" customHeight="1" x14ac:dyDescent="0.4">
      <c r="A1103" s="59">
        <v>45040</v>
      </c>
      <c r="B1103" s="32" t="s">
        <v>1566</v>
      </c>
      <c r="C1103" s="18" t="s">
        <v>317</v>
      </c>
      <c r="D1103" s="63" t="s">
        <v>28</v>
      </c>
      <c r="E1103" s="50" t="s">
        <v>73</v>
      </c>
      <c r="F1103" s="57">
        <v>2000</v>
      </c>
      <c r="G1103" s="76"/>
      <c r="H1103" s="57">
        <f t="shared" si="124"/>
        <v>2000</v>
      </c>
      <c r="I1103" s="50">
        <v>1</v>
      </c>
      <c r="J1103" s="57">
        <f t="shared" si="125"/>
        <v>2000</v>
      </c>
      <c r="K1103" s="100">
        <f t="shared" si="121"/>
        <v>2200</v>
      </c>
      <c r="L1103" s="18" t="s">
        <v>1533</v>
      </c>
      <c r="M1103" s="50"/>
    </row>
    <row r="1104" spans="1:13" ht="21.75" hidden="1" customHeight="1" x14ac:dyDescent="0.4">
      <c r="A1104" s="59">
        <v>45040</v>
      </c>
      <c r="B1104" s="32" t="s">
        <v>1567</v>
      </c>
      <c r="C1104" s="18" t="s">
        <v>17</v>
      </c>
      <c r="D1104" s="63" t="s">
        <v>328</v>
      </c>
      <c r="E1104" s="50" t="s">
        <v>1568</v>
      </c>
      <c r="F1104" s="57">
        <v>50000</v>
      </c>
      <c r="G1104" s="76">
        <v>-15000</v>
      </c>
      <c r="H1104" s="57">
        <f t="shared" si="124"/>
        <v>35000</v>
      </c>
      <c r="I1104" s="50">
        <v>1</v>
      </c>
      <c r="J1104" s="57">
        <f t="shared" si="125"/>
        <v>35000</v>
      </c>
      <c r="K1104" s="100">
        <f t="shared" si="121"/>
        <v>38500</v>
      </c>
      <c r="L1104" s="18" t="s">
        <v>20</v>
      </c>
      <c r="M1104" s="50"/>
    </row>
    <row r="1105" spans="1:13" ht="21.75" hidden="1" customHeight="1" x14ac:dyDescent="0.4">
      <c r="A1105" s="59">
        <v>45040</v>
      </c>
      <c r="B1105" s="32" t="s">
        <v>1567</v>
      </c>
      <c r="C1105" s="18" t="s">
        <v>17</v>
      </c>
      <c r="D1105" s="63" t="s">
        <v>332</v>
      </c>
      <c r="E1105" s="50" t="s">
        <v>1569</v>
      </c>
      <c r="F1105" s="57">
        <v>1200</v>
      </c>
      <c r="G1105" s="76"/>
      <c r="H1105" s="57">
        <f t="shared" si="124"/>
        <v>1200</v>
      </c>
      <c r="I1105" s="50">
        <v>1</v>
      </c>
      <c r="J1105" s="57">
        <f t="shared" si="125"/>
        <v>1200</v>
      </c>
      <c r="K1105" s="100">
        <f t="shared" si="121"/>
        <v>1320</v>
      </c>
      <c r="L1105" s="18" t="s">
        <v>20</v>
      </c>
      <c r="M1105" s="50"/>
    </row>
    <row r="1106" spans="1:13" ht="21.75" hidden="1" customHeight="1" x14ac:dyDescent="0.4">
      <c r="A1106" s="59">
        <v>45040</v>
      </c>
      <c r="B1106" s="32" t="s">
        <v>1567</v>
      </c>
      <c r="C1106" s="18" t="s">
        <v>17</v>
      </c>
      <c r="D1106" s="63" t="s">
        <v>330</v>
      </c>
      <c r="E1106" s="50" t="s">
        <v>1570</v>
      </c>
      <c r="F1106" s="57">
        <v>5000</v>
      </c>
      <c r="G1106" s="76"/>
      <c r="H1106" s="57">
        <f t="shared" si="124"/>
        <v>5000</v>
      </c>
      <c r="I1106" s="50">
        <v>1</v>
      </c>
      <c r="J1106" s="57">
        <f t="shared" si="125"/>
        <v>5000</v>
      </c>
      <c r="K1106" s="100">
        <f t="shared" si="121"/>
        <v>5500</v>
      </c>
      <c r="L1106" s="18" t="s">
        <v>20</v>
      </c>
      <c r="M1106" s="50"/>
    </row>
    <row r="1107" spans="1:13" ht="21.75" hidden="1" customHeight="1" x14ac:dyDescent="0.4">
      <c r="A1107" s="59">
        <v>45042</v>
      </c>
      <c r="B1107" s="32" t="s">
        <v>1553</v>
      </c>
      <c r="C1107" s="18" t="s">
        <v>17</v>
      </c>
      <c r="D1107" s="63" t="s">
        <v>332</v>
      </c>
      <c r="E1107" s="50" t="s">
        <v>1495</v>
      </c>
      <c r="F1107" s="57">
        <v>980</v>
      </c>
      <c r="G1107" s="76">
        <v>-98</v>
      </c>
      <c r="H1107" s="57">
        <f t="shared" si="124"/>
        <v>882</v>
      </c>
      <c r="I1107" s="50">
        <v>1</v>
      </c>
      <c r="J1107" s="57">
        <f t="shared" si="125"/>
        <v>882</v>
      </c>
      <c r="K1107" s="100">
        <f t="shared" si="121"/>
        <v>970</v>
      </c>
      <c r="L1107" s="18" t="s">
        <v>20</v>
      </c>
      <c r="M1107" s="50"/>
    </row>
    <row r="1108" spans="1:13" ht="21.75" hidden="1" customHeight="1" x14ac:dyDescent="0.4">
      <c r="A1108" s="59">
        <v>45042</v>
      </c>
      <c r="B1108" s="32" t="s">
        <v>1571</v>
      </c>
      <c r="C1108" s="18" t="s">
        <v>17</v>
      </c>
      <c r="D1108" s="63" t="s">
        <v>328</v>
      </c>
      <c r="E1108" s="50" t="s">
        <v>1572</v>
      </c>
      <c r="F1108" s="57">
        <v>50000</v>
      </c>
      <c r="G1108" s="76">
        <v>-10000</v>
      </c>
      <c r="H1108" s="57">
        <f t="shared" si="124"/>
        <v>40000</v>
      </c>
      <c r="I1108" s="50">
        <v>1</v>
      </c>
      <c r="J1108" s="57">
        <f t="shared" si="125"/>
        <v>40000</v>
      </c>
      <c r="K1108" s="100">
        <f t="shared" si="121"/>
        <v>44000</v>
      </c>
      <c r="L1108" s="18" t="s">
        <v>1574</v>
      </c>
      <c r="M1108" s="50"/>
    </row>
    <row r="1109" spans="1:13" ht="21.75" hidden="1" customHeight="1" x14ac:dyDescent="0.4">
      <c r="A1109" s="59">
        <v>45042</v>
      </c>
      <c r="B1109" s="32" t="s">
        <v>1571</v>
      </c>
      <c r="C1109" s="18" t="s">
        <v>17</v>
      </c>
      <c r="D1109" s="63" t="s">
        <v>576</v>
      </c>
      <c r="E1109" s="50" t="s">
        <v>1573</v>
      </c>
      <c r="F1109" s="57">
        <v>80000</v>
      </c>
      <c r="G1109" s="76">
        <v>-16000</v>
      </c>
      <c r="H1109" s="57">
        <f t="shared" si="124"/>
        <v>64000</v>
      </c>
      <c r="I1109" s="50">
        <v>1</v>
      </c>
      <c r="J1109" s="57">
        <f t="shared" si="125"/>
        <v>64000</v>
      </c>
      <c r="K1109" s="100">
        <f t="shared" si="121"/>
        <v>70400</v>
      </c>
      <c r="L1109" s="18" t="s">
        <v>1574</v>
      </c>
      <c r="M1109" s="50"/>
    </row>
    <row r="1110" spans="1:13" ht="21.75" hidden="1" customHeight="1" x14ac:dyDescent="0.4">
      <c r="A1110" s="59">
        <v>45042</v>
      </c>
      <c r="B1110" s="32" t="s">
        <v>1571</v>
      </c>
      <c r="C1110" s="18" t="s">
        <v>17</v>
      </c>
      <c r="D1110" s="63" t="s">
        <v>332</v>
      </c>
      <c r="E1110" s="50" t="s">
        <v>1623</v>
      </c>
      <c r="F1110" s="57">
        <v>980</v>
      </c>
      <c r="G1110" s="76"/>
      <c r="H1110" s="57">
        <f t="shared" si="124"/>
        <v>980</v>
      </c>
      <c r="I1110" s="50">
        <v>1</v>
      </c>
      <c r="J1110" s="57">
        <f t="shared" si="125"/>
        <v>980</v>
      </c>
      <c r="K1110" s="100">
        <f t="shared" si="121"/>
        <v>1078</v>
      </c>
      <c r="L1110" s="18" t="s">
        <v>1574</v>
      </c>
      <c r="M1110" s="50"/>
    </row>
    <row r="1111" spans="1:13" ht="21.75" hidden="1" customHeight="1" x14ac:dyDescent="0.4">
      <c r="A1111" s="59">
        <v>45043</v>
      </c>
      <c r="B1111" s="32" t="s">
        <v>179</v>
      </c>
      <c r="C1111" s="18" t="s">
        <v>1575</v>
      </c>
      <c r="D1111" s="63" t="s">
        <v>426</v>
      </c>
      <c r="E1111" s="50" t="s">
        <v>1576</v>
      </c>
      <c r="F1111" s="57">
        <v>1700</v>
      </c>
      <c r="G1111" s="76">
        <v>-170</v>
      </c>
      <c r="H1111" s="57">
        <f t="shared" si="124"/>
        <v>1530</v>
      </c>
      <c r="I1111" s="50">
        <v>1</v>
      </c>
      <c r="J1111" s="57">
        <f t="shared" si="125"/>
        <v>1530</v>
      </c>
      <c r="K1111" s="100">
        <f t="shared" si="121"/>
        <v>1683</v>
      </c>
      <c r="L1111" s="18" t="s">
        <v>1578</v>
      </c>
      <c r="M1111" s="50"/>
    </row>
    <row r="1112" spans="1:13" ht="21.75" hidden="1" customHeight="1" x14ac:dyDescent="0.4">
      <c r="A1112" s="59">
        <v>45043</v>
      </c>
      <c r="B1112" s="32" t="s">
        <v>179</v>
      </c>
      <c r="C1112" s="18" t="s">
        <v>1575</v>
      </c>
      <c r="D1112" s="63" t="s">
        <v>426</v>
      </c>
      <c r="E1112" s="50" t="s">
        <v>1577</v>
      </c>
      <c r="F1112" s="57">
        <v>1700</v>
      </c>
      <c r="G1112" s="76">
        <v>-170</v>
      </c>
      <c r="H1112" s="57">
        <f t="shared" si="124"/>
        <v>1530</v>
      </c>
      <c r="I1112" s="50">
        <v>1</v>
      </c>
      <c r="J1112" s="57">
        <f t="shared" si="125"/>
        <v>1530</v>
      </c>
      <c r="K1112" s="100">
        <f t="shared" si="121"/>
        <v>1683</v>
      </c>
      <c r="L1112" s="18" t="s">
        <v>1578</v>
      </c>
      <c r="M1112" s="50"/>
    </row>
    <row r="1113" spans="1:13" ht="21.75" hidden="1" customHeight="1" x14ac:dyDescent="0.4">
      <c r="A1113" s="59">
        <v>45043</v>
      </c>
      <c r="B1113" s="32" t="s">
        <v>1579</v>
      </c>
      <c r="C1113" s="18" t="s">
        <v>27</v>
      </c>
      <c r="D1113" s="63" t="s">
        <v>28</v>
      </c>
      <c r="E1113" s="50" t="s">
        <v>1581</v>
      </c>
      <c r="F1113" s="57">
        <v>17500</v>
      </c>
      <c r="G1113" s="76"/>
      <c r="H1113" s="57">
        <f t="shared" si="124"/>
        <v>17500</v>
      </c>
      <c r="I1113" s="50">
        <v>1</v>
      </c>
      <c r="J1113" s="57">
        <f t="shared" si="125"/>
        <v>17500</v>
      </c>
      <c r="K1113" s="100">
        <f t="shared" si="121"/>
        <v>19250</v>
      </c>
      <c r="L1113" s="18" t="s">
        <v>1578</v>
      </c>
      <c r="M1113" s="50"/>
    </row>
    <row r="1114" spans="1:13" ht="21.75" hidden="1" customHeight="1" x14ac:dyDescent="0.4">
      <c r="A1114" s="59">
        <v>45043</v>
      </c>
      <c r="B1114" s="32" t="s">
        <v>539</v>
      </c>
      <c r="C1114" s="18" t="s">
        <v>1575</v>
      </c>
      <c r="D1114" s="63" t="s">
        <v>1582</v>
      </c>
      <c r="E1114" s="50" t="s">
        <v>1583</v>
      </c>
      <c r="F1114" s="57">
        <v>55000</v>
      </c>
      <c r="G1114" s="76">
        <v>-5500</v>
      </c>
      <c r="H1114" s="57">
        <f t="shared" si="124"/>
        <v>49500</v>
      </c>
      <c r="I1114" s="50">
        <v>1</v>
      </c>
      <c r="J1114" s="57">
        <f t="shared" si="125"/>
        <v>49500</v>
      </c>
      <c r="K1114" s="100">
        <f t="shared" si="121"/>
        <v>54450</v>
      </c>
      <c r="L1114" s="18" t="s">
        <v>25</v>
      </c>
      <c r="M1114" s="50"/>
    </row>
    <row r="1115" spans="1:13" ht="21.75" hidden="1" customHeight="1" x14ac:dyDescent="0.4">
      <c r="A1115" s="59">
        <v>45043</v>
      </c>
      <c r="B1115" s="32" t="s">
        <v>1584</v>
      </c>
      <c r="C1115" s="18" t="s">
        <v>1585</v>
      </c>
      <c r="D1115" s="63" t="s">
        <v>1586</v>
      </c>
      <c r="E1115" s="50" t="s">
        <v>1587</v>
      </c>
      <c r="F1115" s="57">
        <v>15000</v>
      </c>
      <c r="G1115" s="76"/>
      <c r="H1115" s="57">
        <f t="shared" si="124"/>
        <v>15000</v>
      </c>
      <c r="I1115" s="50">
        <v>1</v>
      </c>
      <c r="J1115" s="57">
        <f t="shared" si="125"/>
        <v>15000</v>
      </c>
      <c r="K1115" s="100">
        <f t="shared" si="121"/>
        <v>16500</v>
      </c>
      <c r="L1115" s="18" t="s">
        <v>1121</v>
      </c>
      <c r="M1115" s="130" t="s">
        <v>1588</v>
      </c>
    </row>
    <row r="1116" spans="1:13" ht="21.75" hidden="1" customHeight="1" x14ac:dyDescent="0.4">
      <c r="A1116" s="59">
        <v>45043</v>
      </c>
      <c r="B1116" s="32" t="s">
        <v>346</v>
      </c>
      <c r="C1116" s="18" t="s">
        <v>1585</v>
      </c>
      <c r="D1116" s="63" t="s">
        <v>1586</v>
      </c>
      <c r="E1116" s="50" t="s">
        <v>1587</v>
      </c>
      <c r="F1116" s="57">
        <v>15000</v>
      </c>
      <c r="G1116" s="76"/>
      <c r="H1116" s="57">
        <f t="shared" si="124"/>
        <v>15000</v>
      </c>
      <c r="I1116" s="50">
        <v>1</v>
      </c>
      <c r="J1116" s="57">
        <f t="shared" si="125"/>
        <v>15000</v>
      </c>
      <c r="K1116" s="100">
        <f t="shared" si="121"/>
        <v>16500</v>
      </c>
      <c r="L1116" s="18" t="s">
        <v>1121</v>
      </c>
      <c r="M1116" s="130" t="s">
        <v>1588</v>
      </c>
    </row>
    <row r="1117" spans="1:13" ht="21.75" hidden="1" customHeight="1" x14ac:dyDescent="0.4">
      <c r="A1117" s="59">
        <v>45043</v>
      </c>
      <c r="B1117" s="32" t="s">
        <v>1297</v>
      </c>
      <c r="C1117" s="18" t="s">
        <v>1585</v>
      </c>
      <c r="D1117" s="63" t="s">
        <v>1586</v>
      </c>
      <c r="E1117" s="50" t="s">
        <v>1587</v>
      </c>
      <c r="F1117" s="57">
        <v>15000</v>
      </c>
      <c r="G1117" s="76"/>
      <c r="H1117" s="57">
        <f t="shared" si="124"/>
        <v>15000</v>
      </c>
      <c r="I1117" s="50">
        <v>1</v>
      </c>
      <c r="J1117" s="57">
        <f t="shared" si="125"/>
        <v>15000</v>
      </c>
      <c r="K1117" s="100">
        <f t="shared" si="121"/>
        <v>16500</v>
      </c>
      <c r="L1117" s="18" t="s">
        <v>1121</v>
      </c>
      <c r="M1117" s="130" t="s">
        <v>1588</v>
      </c>
    </row>
    <row r="1118" spans="1:13" ht="21.75" hidden="1" customHeight="1" x14ac:dyDescent="0.4">
      <c r="A1118" s="59">
        <v>45044</v>
      </c>
      <c r="B1118" s="32" t="s">
        <v>1589</v>
      </c>
      <c r="C1118" s="18" t="s">
        <v>17</v>
      </c>
      <c r="D1118" s="63" t="s">
        <v>332</v>
      </c>
      <c r="E1118" s="50" t="s">
        <v>1590</v>
      </c>
      <c r="F1118" s="57">
        <v>1700</v>
      </c>
      <c r="G1118" s="76">
        <v>-170</v>
      </c>
      <c r="H1118" s="57">
        <f t="shared" si="124"/>
        <v>1530</v>
      </c>
      <c r="I1118" s="50">
        <v>1</v>
      </c>
      <c r="J1118" s="57">
        <f t="shared" si="125"/>
        <v>1530</v>
      </c>
      <c r="K1118" s="100">
        <f t="shared" si="121"/>
        <v>1683</v>
      </c>
      <c r="L1118" s="18" t="s">
        <v>1591</v>
      </c>
      <c r="M1118" s="50"/>
    </row>
    <row r="1119" spans="1:13" ht="21.75" hidden="1" customHeight="1" x14ac:dyDescent="0.4">
      <c r="A1119" s="59">
        <v>45044</v>
      </c>
      <c r="B1119" s="32" t="s">
        <v>1592</v>
      </c>
      <c r="C1119" s="18" t="s">
        <v>22</v>
      </c>
      <c r="D1119" s="63" t="s">
        <v>1496</v>
      </c>
      <c r="E1119" s="50" t="s">
        <v>369</v>
      </c>
      <c r="F1119" s="57">
        <v>3000</v>
      </c>
      <c r="G1119" s="76"/>
      <c r="H1119" s="57">
        <f t="shared" si="124"/>
        <v>3000</v>
      </c>
      <c r="I1119" s="50">
        <v>1</v>
      </c>
      <c r="J1119" s="57">
        <f t="shared" si="125"/>
        <v>3000</v>
      </c>
      <c r="K1119" s="100">
        <f t="shared" si="121"/>
        <v>3300</v>
      </c>
      <c r="L1119" s="18" t="s">
        <v>20</v>
      </c>
      <c r="M1119" s="50"/>
    </row>
    <row r="1120" spans="1:13" ht="21.75" hidden="1" customHeight="1" x14ac:dyDescent="0.4">
      <c r="A1120" s="59">
        <v>45044</v>
      </c>
      <c r="B1120" s="32" t="s">
        <v>1593</v>
      </c>
      <c r="C1120" s="18" t="s">
        <v>22</v>
      </c>
      <c r="D1120" s="63" t="s">
        <v>260</v>
      </c>
      <c r="E1120" s="50" t="s">
        <v>1502</v>
      </c>
      <c r="F1120" s="57">
        <v>15000</v>
      </c>
      <c r="G1120" s="76"/>
      <c r="H1120" s="57">
        <f t="shared" si="124"/>
        <v>15000</v>
      </c>
      <c r="I1120" s="50">
        <v>1</v>
      </c>
      <c r="J1120" s="57">
        <f t="shared" si="125"/>
        <v>15000</v>
      </c>
      <c r="K1120" s="100">
        <f t="shared" si="121"/>
        <v>16500</v>
      </c>
      <c r="L1120" s="18" t="s">
        <v>1591</v>
      </c>
      <c r="M1120" s="50"/>
    </row>
    <row r="1121" spans="1:13" ht="21.75" hidden="1" customHeight="1" x14ac:dyDescent="0.4">
      <c r="A1121" s="59">
        <v>45044</v>
      </c>
      <c r="B1121" s="32" t="s">
        <v>1593</v>
      </c>
      <c r="C1121" s="18" t="s">
        <v>1609</v>
      </c>
      <c r="D1121" s="63" t="s">
        <v>1597</v>
      </c>
      <c r="E1121" s="50" t="s">
        <v>1610</v>
      </c>
      <c r="F1121" s="57">
        <v>40000</v>
      </c>
      <c r="G1121" s="76">
        <v>-8000</v>
      </c>
      <c r="H1121" s="57">
        <f t="shared" si="124"/>
        <v>32000</v>
      </c>
      <c r="I1121" s="50">
        <v>1</v>
      </c>
      <c r="J1121" s="57">
        <f t="shared" si="125"/>
        <v>32000</v>
      </c>
      <c r="K1121" s="100">
        <f t="shared" si="121"/>
        <v>35200</v>
      </c>
      <c r="L1121" s="18" t="s">
        <v>34</v>
      </c>
      <c r="M1121" s="50"/>
    </row>
    <row r="1122" spans="1:13" ht="21.75" hidden="1" customHeight="1" x14ac:dyDescent="0.4">
      <c r="A1122" s="59">
        <v>45044</v>
      </c>
      <c r="B1122" s="32" t="s">
        <v>1593</v>
      </c>
      <c r="C1122" s="18" t="s">
        <v>1609</v>
      </c>
      <c r="D1122" s="63" t="s">
        <v>1597</v>
      </c>
      <c r="E1122" s="50" t="s">
        <v>1611</v>
      </c>
      <c r="F1122" s="57">
        <v>40000</v>
      </c>
      <c r="G1122" s="76">
        <v>-8000</v>
      </c>
      <c r="H1122" s="57">
        <f t="shared" si="124"/>
        <v>32000</v>
      </c>
      <c r="I1122" s="50">
        <v>1</v>
      </c>
      <c r="J1122" s="57">
        <f t="shared" si="125"/>
        <v>32000</v>
      </c>
      <c r="K1122" s="100">
        <f t="shared" si="121"/>
        <v>35200</v>
      </c>
      <c r="L1122" s="18" t="s">
        <v>34</v>
      </c>
      <c r="M1122" s="50"/>
    </row>
    <row r="1123" spans="1:13" ht="21.75" hidden="1" customHeight="1" x14ac:dyDescent="0.4">
      <c r="A1123" s="59">
        <v>45044</v>
      </c>
      <c r="B1123" s="32" t="s">
        <v>1593</v>
      </c>
      <c r="C1123" s="18" t="s">
        <v>1609</v>
      </c>
      <c r="D1123" s="63" t="s">
        <v>332</v>
      </c>
      <c r="E1123" s="50" t="s">
        <v>1624</v>
      </c>
      <c r="F1123" s="57">
        <v>980</v>
      </c>
      <c r="G1123" s="76"/>
      <c r="H1123" s="57">
        <f t="shared" si="124"/>
        <v>980</v>
      </c>
      <c r="I1123" s="50">
        <v>2</v>
      </c>
      <c r="J1123" s="57">
        <f t="shared" si="125"/>
        <v>1960</v>
      </c>
      <c r="K1123" s="100">
        <f t="shared" si="121"/>
        <v>2156</v>
      </c>
      <c r="L1123" s="18" t="s">
        <v>34</v>
      </c>
      <c r="M1123" s="50"/>
    </row>
    <row r="1124" spans="1:13" ht="21.75" hidden="1" customHeight="1" x14ac:dyDescent="0.4">
      <c r="A1124" s="59">
        <v>45045</v>
      </c>
      <c r="B1124" s="32" t="s">
        <v>1612</v>
      </c>
      <c r="C1124" s="18" t="s">
        <v>1609</v>
      </c>
      <c r="D1124" s="63" t="s">
        <v>426</v>
      </c>
      <c r="E1124" s="50" t="s">
        <v>1613</v>
      </c>
      <c r="F1124" s="57">
        <v>1650</v>
      </c>
      <c r="G1124" s="76">
        <v>-165</v>
      </c>
      <c r="H1124" s="57">
        <f t="shared" si="124"/>
        <v>1485</v>
      </c>
      <c r="I1124" s="50">
        <v>1</v>
      </c>
      <c r="J1124" s="57">
        <f t="shared" si="125"/>
        <v>1485</v>
      </c>
      <c r="K1124" s="100">
        <f t="shared" si="121"/>
        <v>1633</v>
      </c>
      <c r="L1124" s="18" t="s">
        <v>25</v>
      </c>
      <c r="M1124" s="50"/>
    </row>
    <row r="1125" spans="1:13" ht="21.75" hidden="1" customHeight="1" x14ac:dyDescent="0.4">
      <c r="A1125" s="59">
        <v>45045</v>
      </c>
      <c r="B1125" s="32" t="s">
        <v>1614</v>
      </c>
      <c r="C1125" s="18" t="s">
        <v>22</v>
      </c>
      <c r="D1125" s="63" t="s">
        <v>23</v>
      </c>
      <c r="E1125" s="50" t="s">
        <v>1502</v>
      </c>
      <c r="F1125" s="57">
        <v>15000</v>
      </c>
      <c r="G1125" s="76"/>
      <c r="H1125" s="57">
        <f t="shared" si="124"/>
        <v>15000</v>
      </c>
      <c r="I1125" s="50">
        <v>1</v>
      </c>
      <c r="J1125" s="57">
        <f t="shared" si="125"/>
        <v>15000</v>
      </c>
      <c r="K1125" s="100">
        <f t="shared" si="121"/>
        <v>16500</v>
      </c>
      <c r="L1125" s="18" t="s">
        <v>25</v>
      </c>
      <c r="M1125" s="50"/>
    </row>
    <row r="1126" spans="1:13" ht="21.75" hidden="1" customHeight="1" x14ac:dyDescent="0.4">
      <c r="A1126" s="59">
        <v>45045</v>
      </c>
      <c r="B1126" s="32" t="s">
        <v>1020</v>
      </c>
      <c r="C1126" s="18" t="s">
        <v>22</v>
      </c>
      <c r="D1126" s="63" t="s">
        <v>1615</v>
      </c>
      <c r="E1126" s="50" t="s">
        <v>1616</v>
      </c>
      <c r="F1126" s="57">
        <v>15000</v>
      </c>
      <c r="G1126" s="76"/>
      <c r="H1126" s="57">
        <f t="shared" si="124"/>
        <v>15000</v>
      </c>
      <c r="I1126" s="50">
        <v>1</v>
      </c>
      <c r="J1126" s="57">
        <f t="shared" si="125"/>
        <v>15000</v>
      </c>
      <c r="K1126" s="100">
        <f t="shared" si="121"/>
        <v>16500</v>
      </c>
      <c r="L1126" s="18" t="s">
        <v>1121</v>
      </c>
      <c r="M1126" s="130" t="s">
        <v>1588</v>
      </c>
    </row>
    <row r="1127" spans="1:13" ht="21.75" hidden="1" customHeight="1" x14ac:dyDescent="0.4">
      <c r="A1127" s="59">
        <v>45045</v>
      </c>
      <c r="B1127" s="32" t="s">
        <v>1628</v>
      </c>
      <c r="C1127" s="18" t="s">
        <v>22</v>
      </c>
      <c r="D1127" s="63" t="s">
        <v>1615</v>
      </c>
      <c r="E1127" s="50" t="s">
        <v>1616</v>
      </c>
      <c r="F1127" s="57">
        <v>15000</v>
      </c>
      <c r="G1127" s="76"/>
      <c r="H1127" s="57">
        <f t="shared" ref="H1127:H1128" si="128">F1127+G1127</f>
        <v>15000</v>
      </c>
      <c r="I1127" s="50">
        <v>1</v>
      </c>
      <c r="J1127" s="57">
        <f t="shared" ref="J1127:J1128" si="129">H1127*I1127</f>
        <v>15000</v>
      </c>
      <c r="K1127" s="100">
        <f t="shared" ref="K1127:K1136" si="130">ROUNDDOWN(J1127*1.1,0)</f>
        <v>16500</v>
      </c>
      <c r="L1127" s="18" t="s">
        <v>20</v>
      </c>
      <c r="M1127" s="130" t="s">
        <v>1588</v>
      </c>
    </row>
    <row r="1128" spans="1:13" ht="21.75" hidden="1" customHeight="1" x14ac:dyDescent="0.4">
      <c r="A1128" s="59">
        <v>45045</v>
      </c>
      <c r="B1128" s="32" t="s">
        <v>1629</v>
      </c>
      <c r="C1128" s="18" t="s">
        <v>22</v>
      </c>
      <c r="D1128" s="63" t="s">
        <v>1615</v>
      </c>
      <c r="E1128" s="50" t="s">
        <v>1616</v>
      </c>
      <c r="F1128" s="57">
        <v>15000</v>
      </c>
      <c r="G1128" s="76"/>
      <c r="H1128" s="57">
        <f t="shared" si="128"/>
        <v>15000</v>
      </c>
      <c r="I1128" s="50">
        <v>1</v>
      </c>
      <c r="J1128" s="57">
        <f t="shared" si="129"/>
        <v>15000</v>
      </c>
      <c r="K1128" s="100">
        <f t="shared" si="130"/>
        <v>16500</v>
      </c>
      <c r="L1128" s="18" t="s">
        <v>20</v>
      </c>
      <c r="M1128" s="130" t="s">
        <v>1588</v>
      </c>
    </row>
    <row r="1129" spans="1:13" ht="21.75" hidden="1" customHeight="1" x14ac:dyDescent="0.4">
      <c r="A1129" s="59">
        <v>45045</v>
      </c>
      <c r="B1129" s="32" t="s">
        <v>1617</v>
      </c>
      <c r="C1129" s="18" t="s">
        <v>1609</v>
      </c>
      <c r="D1129" s="63" t="s">
        <v>426</v>
      </c>
      <c r="E1129" s="50" t="s">
        <v>1618</v>
      </c>
      <c r="F1129" s="57">
        <v>1800</v>
      </c>
      <c r="G1129" s="76"/>
      <c r="H1129" s="57">
        <f t="shared" si="124"/>
        <v>1800</v>
      </c>
      <c r="I1129" s="50">
        <v>2</v>
      </c>
      <c r="J1129" s="57">
        <f t="shared" si="125"/>
        <v>3600</v>
      </c>
      <c r="K1129" s="100">
        <f t="shared" si="130"/>
        <v>3960</v>
      </c>
      <c r="L1129" s="18" t="s">
        <v>25</v>
      </c>
      <c r="M1129" s="50"/>
    </row>
    <row r="1130" spans="1:13" ht="21.75" hidden="1" customHeight="1" x14ac:dyDescent="0.4">
      <c r="A1130" s="59">
        <v>45045</v>
      </c>
      <c r="B1130" s="32" t="s">
        <v>428</v>
      </c>
      <c r="C1130" s="18" t="s">
        <v>1609</v>
      </c>
      <c r="D1130" s="63" t="s">
        <v>1619</v>
      </c>
      <c r="E1130" s="50" t="s">
        <v>1620</v>
      </c>
      <c r="F1130" s="57">
        <v>2000</v>
      </c>
      <c r="G1130" s="76">
        <v>-200</v>
      </c>
      <c r="H1130" s="57">
        <f t="shared" si="124"/>
        <v>1800</v>
      </c>
      <c r="I1130" s="50">
        <v>1</v>
      </c>
      <c r="J1130" s="57">
        <f t="shared" si="125"/>
        <v>1800</v>
      </c>
      <c r="K1130" s="100">
        <f t="shared" si="130"/>
        <v>1980</v>
      </c>
      <c r="L1130" s="18" t="s">
        <v>25</v>
      </c>
      <c r="M1130" s="50"/>
    </row>
    <row r="1131" spans="1:13" ht="21.75" hidden="1" customHeight="1" x14ac:dyDescent="0.4">
      <c r="A1131" s="59">
        <v>45045</v>
      </c>
      <c r="B1131" s="32" t="s">
        <v>1621</v>
      </c>
      <c r="C1131" s="18" t="s">
        <v>1609</v>
      </c>
      <c r="D1131" s="63" t="s">
        <v>1597</v>
      </c>
      <c r="E1131" s="50" t="s">
        <v>1622</v>
      </c>
      <c r="F1131" s="57">
        <v>20000</v>
      </c>
      <c r="G1131" s="76">
        <v>-4000</v>
      </c>
      <c r="H1131" s="57">
        <f t="shared" si="124"/>
        <v>16000</v>
      </c>
      <c r="I1131" s="50">
        <v>1</v>
      </c>
      <c r="J1131" s="57">
        <f t="shared" si="125"/>
        <v>16000</v>
      </c>
      <c r="K1131" s="100">
        <f t="shared" si="130"/>
        <v>17600</v>
      </c>
      <c r="L1131" s="18" t="s">
        <v>34</v>
      </c>
      <c r="M1131" s="50"/>
    </row>
    <row r="1132" spans="1:13" ht="21.75" hidden="1" customHeight="1" x14ac:dyDescent="0.4">
      <c r="A1132" s="59">
        <v>45045</v>
      </c>
      <c r="B1132" s="32" t="s">
        <v>1621</v>
      </c>
      <c r="C1132" s="18" t="s">
        <v>1609</v>
      </c>
      <c r="D1132" s="63" t="s">
        <v>1619</v>
      </c>
      <c r="E1132" s="50" t="s">
        <v>1625</v>
      </c>
      <c r="F1132" s="57">
        <v>980</v>
      </c>
      <c r="G1132" s="76"/>
      <c r="H1132" s="57">
        <f t="shared" si="124"/>
        <v>980</v>
      </c>
      <c r="I1132" s="50">
        <v>1</v>
      </c>
      <c r="J1132" s="57">
        <f t="shared" si="125"/>
        <v>980</v>
      </c>
      <c r="K1132" s="100">
        <f t="shared" si="130"/>
        <v>1078</v>
      </c>
      <c r="L1132" s="18" t="s">
        <v>34</v>
      </c>
      <c r="M1132" s="50"/>
    </row>
    <row r="1133" spans="1:13" ht="21.75" hidden="1" customHeight="1" x14ac:dyDescent="0.4">
      <c r="A1133" s="59">
        <v>45045</v>
      </c>
      <c r="B1133" s="32" t="s">
        <v>1621</v>
      </c>
      <c r="C1133" s="18" t="s">
        <v>1609</v>
      </c>
      <c r="D1133" s="63" t="s">
        <v>1619</v>
      </c>
      <c r="E1133" s="50" t="s">
        <v>1626</v>
      </c>
      <c r="F1133" s="57">
        <v>1600</v>
      </c>
      <c r="G1133" s="76"/>
      <c r="H1133" s="57">
        <f t="shared" si="124"/>
        <v>1600</v>
      </c>
      <c r="I1133" s="50">
        <v>1</v>
      </c>
      <c r="J1133" s="57">
        <f t="shared" si="125"/>
        <v>1600</v>
      </c>
      <c r="K1133" s="100">
        <f t="shared" si="130"/>
        <v>1760</v>
      </c>
      <c r="L1133" s="18" t="s">
        <v>34</v>
      </c>
      <c r="M1133" s="50"/>
    </row>
    <row r="1134" spans="1:13" ht="21.75" hidden="1" customHeight="1" x14ac:dyDescent="0.4">
      <c r="A1134" s="59">
        <v>45046</v>
      </c>
      <c r="B1134" s="32" t="s">
        <v>174</v>
      </c>
      <c r="C1134" s="18" t="s">
        <v>22</v>
      </c>
      <c r="D1134" s="63" t="s">
        <v>1496</v>
      </c>
      <c r="E1134" s="50" t="s">
        <v>51</v>
      </c>
      <c r="F1134" s="57">
        <v>4500</v>
      </c>
      <c r="G1134" s="76"/>
      <c r="H1134" s="57">
        <f t="shared" si="124"/>
        <v>4500</v>
      </c>
      <c r="I1134" s="50">
        <v>1</v>
      </c>
      <c r="J1134" s="57">
        <f t="shared" si="125"/>
        <v>4500</v>
      </c>
      <c r="K1134" s="100">
        <f t="shared" si="130"/>
        <v>4950</v>
      </c>
      <c r="L1134" s="18" t="s">
        <v>25</v>
      </c>
      <c r="M1134" s="50"/>
    </row>
    <row r="1135" spans="1:13" ht="21.75" hidden="1" customHeight="1" thickBot="1" x14ac:dyDescent="0.45">
      <c r="A1135" s="153">
        <v>45046</v>
      </c>
      <c r="B1135" s="137" t="s">
        <v>1627</v>
      </c>
      <c r="C1135" s="138" t="s">
        <v>22</v>
      </c>
      <c r="D1135" s="139" t="s">
        <v>1496</v>
      </c>
      <c r="E1135" s="140" t="s">
        <v>369</v>
      </c>
      <c r="F1135" s="141">
        <v>3000</v>
      </c>
      <c r="G1135" s="142"/>
      <c r="H1135" s="141">
        <f t="shared" si="124"/>
        <v>3000</v>
      </c>
      <c r="I1135" s="140">
        <v>1</v>
      </c>
      <c r="J1135" s="141">
        <f t="shared" si="125"/>
        <v>3000</v>
      </c>
      <c r="K1135" s="143">
        <f t="shared" si="130"/>
        <v>3300</v>
      </c>
      <c r="L1135" s="138" t="s">
        <v>1600</v>
      </c>
      <c r="M1135" s="140"/>
    </row>
    <row r="1136" spans="1:13" ht="21.75" hidden="1" customHeight="1" x14ac:dyDescent="0.4">
      <c r="A1136" s="59">
        <v>45047</v>
      </c>
      <c r="B1136" s="82" t="s">
        <v>1630</v>
      </c>
      <c r="C1136" s="155" t="s">
        <v>198</v>
      </c>
      <c r="D1136" s="61"/>
      <c r="E1136" s="130" t="s">
        <v>1390</v>
      </c>
      <c r="F1136" s="57">
        <v>-2000</v>
      </c>
      <c r="G1136" s="76"/>
      <c r="H1136" s="57">
        <f t="shared" si="124"/>
        <v>-2000</v>
      </c>
      <c r="I1136" s="50">
        <v>1</v>
      </c>
      <c r="J1136" s="57">
        <f t="shared" si="125"/>
        <v>-2000</v>
      </c>
      <c r="K1136" s="100">
        <f t="shared" si="130"/>
        <v>-2200</v>
      </c>
      <c r="L1136" s="18" t="s">
        <v>20</v>
      </c>
      <c r="M1136" s="56"/>
    </row>
    <row r="1137" spans="1:13" ht="27" hidden="1" x14ac:dyDescent="0.4">
      <c r="A1137" s="62">
        <v>45047</v>
      </c>
      <c r="B1137" s="156" t="s">
        <v>1631</v>
      </c>
      <c r="C1137" s="18" t="s">
        <v>22</v>
      </c>
      <c r="D1137" s="63" t="s">
        <v>1496</v>
      </c>
      <c r="E1137" s="50" t="s">
        <v>369</v>
      </c>
      <c r="F1137" s="57">
        <v>3000</v>
      </c>
      <c r="G1137" s="76"/>
      <c r="H1137" s="57">
        <f t="shared" si="124"/>
        <v>3000</v>
      </c>
      <c r="I1137" s="50">
        <v>2</v>
      </c>
      <c r="J1137" s="57">
        <f t="shared" si="125"/>
        <v>6000</v>
      </c>
      <c r="K1137" s="58">
        <f t="shared" ref="K1137:K1144" si="131">J1137*1.1</f>
        <v>6600.0000000000009</v>
      </c>
      <c r="L1137" s="18" t="s">
        <v>25</v>
      </c>
      <c r="M1137" s="50"/>
    </row>
    <row r="1138" spans="1:13" ht="21.75" hidden="1" customHeight="1" x14ac:dyDescent="0.4">
      <c r="A1138" s="62">
        <v>45047</v>
      </c>
      <c r="B1138" s="32" t="s">
        <v>1630</v>
      </c>
      <c r="C1138" s="96" t="s">
        <v>198</v>
      </c>
      <c r="D1138" s="131" t="s">
        <v>28</v>
      </c>
      <c r="E1138" s="130" t="s">
        <v>1633</v>
      </c>
      <c r="F1138" s="57">
        <v>-9800</v>
      </c>
      <c r="G1138" s="76"/>
      <c r="H1138" s="57">
        <f t="shared" si="124"/>
        <v>-9800</v>
      </c>
      <c r="I1138" s="50">
        <v>1</v>
      </c>
      <c r="J1138" s="57">
        <f t="shared" si="125"/>
        <v>-9800</v>
      </c>
      <c r="K1138" s="58">
        <f t="shared" si="131"/>
        <v>-10780</v>
      </c>
      <c r="L1138" s="18" t="s">
        <v>20</v>
      </c>
      <c r="M1138" s="50" t="s">
        <v>1632</v>
      </c>
    </row>
    <row r="1139" spans="1:13" ht="21.75" hidden="1" customHeight="1" x14ac:dyDescent="0.4">
      <c r="A1139" s="62">
        <v>45047</v>
      </c>
      <c r="B1139" s="32" t="s">
        <v>1630</v>
      </c>
      <c r="C1139" s="18" t="s">
        <v>22</v>
      </c>
      <c r="D1139" s="63" t="s">
        <v>28</v>
      </c>
      <c r="E1139" s="50" t="s">
        <v>1633</v>
      </c>
      <c r="F1139" s="57">
        <v>9800</v>
      </c>
      <c r="G1139" s="76"/>
      <c r="H1139" s="57">
        <f t="shared" ref="H1139" si="132">F1139+G1139</f>
        <v>9800</v>
      </c>
      <c r="I1139" s="50">
        <v>1</v>
      </c>
      <c r="J1139" s="57">
        <f t="shared" si="125"/>
        <v>9800</v>
      </c>
      <c r="K1139" s="58">
        <f t="shared" si="131"/>
        <v>10780</v>
      </c>
      <c r="L1139" s="18" t="s">
        <v>25</v>
      </c>
      <c r="M1139" s="50"/>
    </row>
    <row r="1140" spans="1:13" ht="21.75" hidden="1" customHeight="1" x14ac:dyDescent="0.4">
      <c r="A1140" s="62">
        <v>45047</v>
      </c>
      <c r="B1140" s="32" t="s">
        <v>1635</v>
      </c>
      <c r="C1140" s="18" t="s">
        <v>317</v>
      </c>
      <c r="D1140" s="63" t="s">
        <v>28</v>
      </c>
      <c r="E1140" s="50" t="s">
        <v>318</v>
      </c>
      <c r="F1140" s="57">
        <v>15000</v>
      </c>
      <c r="G1140" s="76"/>
      <c r="H1140" s="57">
        <f t="shared" si="124"/>
        <v>15000</v>
      </c>
      <c r="I1140" s="50">
        <v>1</v>
      </c>
      <c r="J1140" s="57">
        <f t="shared" si="125"/>
        <v>15000</v>
      </c>
      <c r="K1140" s="58">
        <f t="shared" si="131"/>
        <v>16500</v>
      </c>
      <c r="L1140" s="18" t="s">
        <v>25</v>
      </c>
      <c r="M1140" s="50"/>
    </row>
    <row r="1141" spans="1:13" ht="21.75" hidden="1" customHeight="1" x14ac:dyDescent="0.4">
      <c r="A1141" s="62">
        <v>45047</v>
      </c>
      <c r="B1141" s="32" t="s">
        <v>1635</v>
      </c>
      <c r="C1141" s="18" t="s">
        <v>317</v>
      </c>
      <c r="D1141" s="63" t="s">
        <v>28</v>
      </c>
      <c r="E1141" s="50" t="s">
        <v>1634</v>
      </c>
      <c r="F1141" s="57">
        <v>13120</v>
      </c>
      <c r="G1141" s="76"/>
      <c r="H1141" s="57">
        <f t="shared" si="124"/>
        <v>13120</v>
      </c>
      <c r="I1141" s="50">
        <v>1</v>
      </c>
      <c r="J1141" s="57">
        <f t="shared" si="125"/>
        <v>13120</v>
      </c>
      <c r="K1141" s="58">
        <f t="shared" si="131"/>
        <v>14432.000000000002</v>
      </c>
      <c r="L1141" s="18" t="s">
        <v>25</v>
      </c>
      <c r="M1141" s="50"/>
    </row>
    <row r="1142" spans="1:13" ht="21.75" hidden="1" customHeight="1" x14ac:dyDescent="0.4">
      <c r="A1142" s="62">
        <v>45047</v>
      </c>
      <c r="B1142" s="32" t="s">
        <v>1635</v>
      </c>
      <c r="C1142" s="18" t="s">
        <v>22</v>
      </c>
      <c r="D1142" s="63" t="s">
        <v>1496</v>
      </c>
      <c r="E1142" s="50" t="s">
        <v>369</v>
      </c>
      <c r="F1142" s="57">
        <v>3000</v>
      </c>
      <c r="G1142" s="76"/>
      <c r="H1142" s="57">
        <f t="shared" ref="H1142" si="133">F1142+G1142</f>
        <v>3000</v>
      </c>
      <c r="I1142" s="50">
        <v>1</v>
      </c>
      <c r="J1142" s="57">
        <f t="shared" si="125"/>
        <v>3000</v>
      </c>
      <c r="K1142" s="58">
        <f t="shared" si="131"/>
        <v>3300.0000000000005</v>
      </c>
      <c r="L1142" s="18" t="s">
        <v>20</v>
      </c>
      <c r="M1142" s="50"/>
    </row>
    <row r="1143" spans="1:13" ht="21.75" hidden="1" customHeight="1" x14ac:dyDescent="0.4">
      <c r="A1143" s="62">
        <v>45047</v>
      </c>
      <c r="B1143" s="32" t="s">
        <v>1424</v>
      </c>
      <c r="C1143" s="18" t="s">
        <v>317</v>
      </c>
      <c r="D1143" s="63" t="s">
        <v>28</v>
      </c>
      <c r="E1143" s="50" t="s">
        <v>1636</v>
      </c>
      <c r="F1143" s="57">
        <v>10000</v>
      </c>
      <c r="G1143" s="76"/>
      <c r="H1143" s="57">
        <f t="shared" si="124"/>
        <v>10000</v>
      </c>
      <c r="I1143" s="50">
        <v>1</v>
      </c>
      <c r="J1143" s="57">
        <f t="shared" si="125"/>
        <v>10000</v>
      </c>
      <c r="K1143" s="58">
        <f t="shared" si="131"/>
        <v>11000</v>
      </c>
      <c r="L1143" s="18" t="s">
        <v>20</v>
      </c>
      <c r="M1143" s="50"/>
    </row>
    <row r="1144" spans="1:13" ht="21.75" hidden="1" customHeight="1" x14ac:dyDescent="0.4">
      <c r="A1144" s="62">
        <v>45047</v>
      </c>
      <c r="B1144" s="32" t="s">
        <v>1424</v>
      </c>
      <c r="C1144" s="18" t="s">
        <v>317</v>
      </c>
      <c r="D1144" s="63" t="s">
        <v>28</v>
      </c>
      <c r="E1144" s="50" t="s">
        <v>364</v>
      </c>
      <c r="F1144" s="57">
        <v>25000</v>
      </c>
      <c r="G1144" s="76"/>
      <c r="H1144" s="57">
        <f t="shared" si="124"/>
        <v>25000</v>
      </c>
      <c r="I1144" s="50">
        <v>1</v>
      </c>
      <c r="J1144" s="57">
        <f t="shared" si="125"/>
        <v>25000</v>
      </c>
      <c r="K1144" s="58">
        <f t="shared" si="131"/>
        <v>27500.000000000004</v>
      </c>
      <c r="L1144" s="18" t="s">
        <v>20</v>
      </c>
      <c r="M1144" s="50"/>
    </row>
    <row r="1145" spans="1:13" ht="21.75" hidden="1" customHeight="1" x14ac:dyDescent="0.4">
      <c r="A1145" s="62">
        <v>45049</v>
      </c>
      <c r="B1145" s="32" t="s">
        <v>1637</v>
      </c>
      <c r="C1145" s="18" t="s">
        <v>22</v>
      </c>
      <c r="D1145" s="63" t="s">
        <v>1496</v>
      </c>
      <c r="E1145" s="50" t="s">
        <v>369</v>
      </c>
      <c r="F1145" s="57">
        <v>3000</v>
      </c>
      <c r="G1145" s="76"/>
      <c r="H1145" s="57">
        <f t="shared" si="124"/>
        <v>3000</v>
      </c>
      <c r="I1145" s="50">
        <v>1</v>
      </c>
      <c r="J1145" s="57">
        <f t="shared" ref="J1145:J1147" si="134">H1145*I1145</f>
        <v>3000</v>
      </c>
      <c r="K1145" s="58">
        <f t="shared" ref="K1145:K1147" si="135">J1145*1.1</f>
        <v>3300.0000000000005</v>
      </c>
      <c r="L1145" s="18" t="s">
        <v>25</v>
      </c>
      <c r="M1145" s="50"/>
    </row>
    <row r="1146" spans="1:13" ht="21.75" hidden="1" customHeight="1" x14ac:dyDescent="0.4">
      <c r="A1146" s="62">
        <v>45049</v>
      </c>
      <c r="B1146" s="32" t="s">
        <v>1638</v>
      </c>
      <c r="C1146" s="18" t="s">
        <v>22</v>
      </c>
      <c r="D1146" s="63" t="s">
        <v>1496</v>
      </c>
      <c r="E1146" s="50" t="s">
        <v>369</v>
      </c>
      <c r="F1146" s="57">
        <v>3000</v>
      </c>
      <c r="G1146" s="76"/>
      <c r="H1146" s="57">
        <f t="shared" si="124"/>
        <v>3000</v>
      </c>
      <c r="I1146" s="50">
        <v>1</v>
      </c>
      <c r="J1146" s="57">
        <f t="shared" si="134"/>
        <v>3000</v>
      </c>
      <c r="K1146" s="58">
        <f t="shared" si="135"/>
        <v>3300.0000000000005</v>
      </c>
      <c r="L1146" s="18" t="s">
        <v>20</v>
      </c>
      <c r="M1146" s="50"/>
    </row>
    <row r="1147" spans="1:13" ht="21.75" hidden="1" customHeight="1" x14ac:dyDescent="0.4">
      <c r="A1147" s="62">
        <v>45050</v>
      </c>
      <c r="B1147" s="32" t="s">
        <v>1640</v>
      </c>
      <c r="C1147" s="18" t="s">
        <v>17</v>
      </c>
      <c r="D1147" s="63" t="s">
        <v>426</v>
      </c>
      <c r="E1147" s="50" t="s">
        <v>1639</v>
      </c>
      <c r="F1147" s="57">
        <v>1700</v>
      </c>
      <c r="G1147" s="76">
        <v>-170</v>
      </c>
      <c r="H1147" s="57">
        <f t="shared" si="124"/>
        <v>1530</v>
      </c>
      <c r="I1147" s="50">
        <v>1</v>
      </c>
      <c r="J1147" s="57">
        <f t="shared" si="134"/>
        <v>1530</v>
      </c>
      <c r="K1147" s="58">
        <f t="shared" si="135"/>
        <v>1683.0000000000002</v>
      </c>
      <c r="L1147" s="18" t="s">
        <v>25</v>
      </c>
      <c r="M1147" s="50"/>
    </row>
    <row r="1148" spans="1:13" ht="21.75" hidden="1" customHeight="1" x14ac:dyDescent="0.4">
      <c r="A1148" s="62">
        <v>45050</v>
      </c>
      <c r="B1148" s="32" t="s">
        <v>1589</v>
      </c>
      <c r="C1148" s="18" t="s">
        <v>17</v>
      </c>
      <c r="D1148" s="63" t="s">
        <v>332</v>
      </c>
      <c r="E1148" s="50" t="s">
        <v>1641</v>
      </c>
      <c r="F1148" s="57">
        <v>1700</v>
      </c>
      <c r="G1148" s="76">
        <v>-170</v>
      </c>
      <c r="H1148" s="57">
        <f t="shared" ref="H1148:H1149" si="136">F1148+G1148</f>
        <v>1530</v>
      </c>
      <c r="I1148" s="50">
        <v>1</v>
      </c>
      <c r="J1148" s="57">
        <f t="shared" ref="J1148" si="137">H1148*I1148</f>
        <v>1530</v>
      </c>
      <c r="K1148" s="58">
        <f t="shared" ref="K1148" si="138">J1148*1.1</f>
        <v>1683.0000000000002</v>
      </c>
      <c r="L1148" s="18" t="s">
        <v>25</v>
      </c>
      <c r="M1148" s="50"/>
    </row>
    <row r="1149" spans="1:13" ht="21.75" hidden="1" customHeight="1" x14ac:dyDescent="0.4">
      <c r="A1149" s="62">
        <v>45050</v>
      </c>
      <c r="B1149" s="32" t="s">
        <v>1642</v>
      </c>
      <c r="C1149" s="18" t="s">
        <v>17</v>
      </c>
      <c r="D1149" s="63" t="s">
        <v>32</v>
      </c>
      <c r="E1149" s="50" t="s">
        <v>1643</v>
      </c>
      <c r="F1149" s="57">
        <v>18000</v>
      </c>
      <c r="G1149" s="76">
        <v>-3600</v>
      </c>
      <c r="H1149" s="57">
        <f t="shared" si="136"/>
        <v>14400</v>
      </c>
      <c r="I1149" s="50">
        <v>3</v>
      </c>
      <c r="J1149" s="57">
        <f t="shared" ref="J1149" si="139">H1149*I1149</f>
        <v>43200</v>
      </c>
      <c r="K1149" s="58">
        <f t="shared" ref="K1149" si="140">J1149*1.1</f>
        <v>47520.000000000007</v>
      </c>
      <c r="L1149" s="18" t="s">
        <v>20</v>
      </c>
      <c r="M1149" s="50"/>
    </row>
    <row r="1150" spans="1:13" ht="21.75" hidden="1" customHeight="1" x14ac:dyDescent="0.4">
      <c r="A1150" s="62">
        <v>45050</v>
      </c>
      <c r="B1150" s="32" t="s">
        <v>1642</v>
      </c>
      <c r="C1150" s="18" t="s">
        <v>17</v>
      </c>
      <c r="D1150" s="63" t="s">
        <v>332</v>
      </c>
      <c r="E1150" s="50" t="s">
        <v>1644</v>
      </c>
      <c r="F1150" s="57">
        <v>980</v>
      </c>
      <c r="G1150" s="76"/>
      <c r="H1150" s="57">
        <f t="shared" ref="H1150:H1178" si="141">F1150+G1150</f>
        <v>980</v>
      </c>
      <c r="I1150" s="50">
        <v>3</v>
      </c>
      <c r="J1150" s="57">
        <f t="shared" ref="J1150" si="142">H1150*I1150</f>
        <v>2940</v>
      </c>
      <c r="K1150" s="58">
        <f t="shared" ref="K1150" si="143">J1150*1.1</f>
        <v>3234.0000000000005</v>
      </c>
      <c r="L1150" s="18" t="s">
        <v>20</v>
      </c>
      <c r="M1150" s="50"/>
    </row>
    <row r="1151" spans="1:13" ht="21.75" hidden="1" customHeight="1" x14ac:dyDescent="0.4">
      <c r="A1151" s="62">
        <v>45050</v>
      </c>
      <c r="B1151" s="32" t="s">
        <v>1645</v>
      </c>
      <c r="C1151" s="18" t="s">
        <v>22</v>
      </c>
      <c r="D1151" s="63" t="s">
        <v>1496</v>
      </c>
      <c r="E1151" s="50" t="s">
        <v>369</v>
      </c>
      <c r="F1151" s="57">
        <v>3000</v>
      </c>
      <c r="G1151" s="76"/>
      <c r="H1151" s="57">
        <f t="shared" si="141"/>
        <v>3000</v>
      </c>
      <c r="I1151" s="50">
        <v>1</v>
      </c>
      <c r="J1151" s="57">
        <f t="shared" ref="J1151:J1178" si="144">H1151*I1151</f>
        <v>3000</v>
      </c>
      <c r="K1151" s="58">
        <f t="shared" ref="K1151:K1178" si="145">J1151*1.1</f>
        <v>3300.0000000000005</v>
      </c>
      <c r="L1151" s="18" t="s">
        <v>20</v>
      </c>
      <c r="M1151" s="50"/>
    </row>
    <row r="1152" spans="1:13" ht="21.75" hidden="1" customHeight="1" x14ac:dyDescent="0.4">
      <c r="A1152" s="62">
        <v>45050</v>
      </c>
      <c r="B1152" s="32" t="s">
        <v>1645</v>
      </c>
      <c r="C1152" s="18" t="s">
        <v>22</v>
      </c>
      <c r="D1152" s="63" t="s">
        <v>1496</v>
      </c>
      <c r="E1152" s="50" t="s">
        <v>1497</v>
      </c>
      <c r="F1152" s="57">
        <v>5000</v>
      </c>
      <c r="G1152" s="76"/>
      <c r="H1152" s="57">
        <f t="shared" si="141"/>
        <v>5000</v>
      </c>
      <c r="I1152" s="50">
        <v>1</v>
      </c>
      <c r="J1152" s="57">
        <f t="shared" si="144"/>
        <v>5000</v>
      </c>
      <c r="K1152" s="58">
        <f t="shared" si="145"/>
        <v>5500</v>
      </c>
      <c r="L1152" s="18" t="s">
        <v>20</v>
      </c>
      <c r="M1152" s="50"/>
    </row>
    <row r="1153" spans="1:13" ht="21.75" hidden="1" customHeight="1" x14ac:dyDescent="0.4">
      <c r="A1153" s="62">
        <v>45050</v>
      </c>
      <c r="B1153" s="32" t="s">
        <v>346</v>
      </c>
      <c r="C1153" s="18" t="s">
        <v>22</v>
      </c>
      <c r="D1153" s="63" t="s">
        <v>1496</v>
      </c>
      <c r="E1153" s="50" t="s">
        <v>1646</v>
      </c>
      <c r="F1153" s="57">
        <v>3000</v>
      </c>
      <c r="G1153" s="76"/>
      <c r="H1153" s="57">
        <f t="shared" si="141"/>
        <v>3000</v>
      </c>
      <c r="I1153" s="50">
        <v>1</v>
      </c>
      <c r="J1153" s="57">
        <f t="shared" si="144"/>
        <v>3000</v>
      </c>
      <c r="K1153" s="58">
        <f t="shared" si="145"/>
        <v>3300.0000000000005</v>
      </c>
      <c r="L1153" s="18" t="s">
        <v>20</v>
      </c>
      <c r="M1153" s="50"/>
    </row>
    <row r="1154" spans="1:13" ht="21.75" hidden="1" customHeight="1" x14ac:dyDescent="0.4">
      <c r="A1154" s="62">
        <v>45051</v>
      </c>
      <c r="B1154" s="32" t="s">
        <v>1647</v>
      </c>
      <c r="C1154" s="18" t="s">
        <v>22</v>
      </c>
      <c r="D1154" s="63" t="s">
        <v>260</v>
      </c>
      <c r="E1154" s="50" t="s">
        <v>1502</v>
      </c>
      <c r="F1154" s="57">
        <v>15000</v>
      </c>
      <c r="G1154" s="76"/>
      <c r="H1154" s="57">
        <f t="shared" si="141"/>
        <v>15000</v>
      </c>
      <c r="I1154" s="50">
        <v>1</v>
      </c>
      <c r="J1154" s="57">
        <f t="shared" si="144"/>
        <v>15000</v>
      </c>
      <c r="K1154" s="100">
        <f t="shared" ref="K1154" si="146">ROUNDDOWN(J1154*1.1,0)</f>
        <v>16500</v>
      </c>
      <c r="L1154" s="18" t="s">
        <v>34</v>
      </c>
      <c r="M1154" s="50"/>
    </row>
    <row r="1155" spans="1:13" ht="21.75" hidden="1" customHeight="1" x14ac:dyDescent="0.4">
      <c r="A1155" s="62">
        <v>45051</v>
      </c>
      <c r="B1155" s="32" t="s">
        <v>1648</v>
      </c>
      <c r="C1155" s="18" t="s">
        <v>317</v>
      </c>
      <c r="D1155" s="63" t="s">
        <v>28</v>
      </c>
      <c r="E1155" s="50" t="s">
        <v>318</v>
      </c>
      <c r="F1155" s="57">
        <v>15000</v>
      </c>
      <c r="G1155" s="76"/>
      <c r="H1155" s="57">
        <f t="shared" si="141"/>
        <v>15000</v>
      </c>
      <c r="I1155" s="50">
        <v>1</v>
      </c>
      <c r="J1155" s="57">
        <f t="shared" si="144"/>
        <v>15000</v>
      </c>
      <c r="K1155" s="58">
        <f t="shared" si="145"/>
        <v>16500</v>
      </c>
      <c r="L1155" s="18" t="s">
        <v>25</v>
      </c>
      <c r="M1155" s="50"/>
    </row>
    <row r="1156" spans="1:13" ht="21.75" hidden="1" customHeight="1" x14ac:dyDescent="0.4">
      <c r="A1156" s="62">
        <v>45051</v>
      </c>
      <c r="B1156" s="32" t="s">
        <v>1648</v>
      </c>
      <c r="C1156" s="18" t="s">
        <v>317</v>
      </c>
      <c r="D1156" s="63" t="s">
        <v>28</v>
      </c>
      <c r="E1156" s="50" t="s">
        <v>1634</v>
      </c>
      <c r="F1156" s="57">
        <v>13120</v>
      </c>
      <c r="G1156" s="76"/>
      <c r="H1156" s="57">
        <f t="shared" si="141"/>
        <v>13120</v>
      </c>
      <c r="I1156" s="50">
        <v>1</v>
      </c>
      <c r="J1156" s="57">
        <f t="shared" si="144"/>
        <v>13120</v>
      </c>
      <c r="K1156" s="58">
        <f t="shared" si="145"/>
        <v>14432.000000000002</v>
      </c>
      <c r="L1156" s="18" t="s">
        <v>25</v>
      </c>
      <c r="M1156" s="50"/>
    </row>
    <row r="1157" spans="1:13" ht="21.75" hidden="1" customHeight="1" x14ac:dyDescent="0.4">
      <c r="A1157" s="62">
        <v>45052</v>
      </c>
      <c r="B1157" s="32" t="s">
        <v>1330</v>
      </c>
      <c r="C1157" s="18" t="s">
        <v>17</v>
      </c>
      <c r="D1157" s="63" t="s">
        <v>32</v>
      </c>
      <c r="E1157" s="50" t="s">
        <v>1649</v>
      </c>
      <c r="F1157" s="57">
        <v>25000</v>
      </c>
      <c r="G1157" s="76">
        <v>-5000</v>
      </c>
      <c r="H1157" s="57">
        <f t="shared" si="141"/>
        <v>20000</v>
      </c>
      <c r="I1157" s="50">
        <v>1</v>
      </c>
      <c r="J1157" s="57">
        <f t="shared" si="144"/>
        <v>20000</v>
      </c>
      <c r="K1157" s="58">
        <f t="shared" si="145"/>
        <v>22000</v>
      </c>
      <c r="L1157" s="18" t="s">
        <v>34</v>
      </c>
      <c r="M1157" s="50"/>
    </row>
    <row r="1158" spans="1:13" ht="21.75" hidden="1" customHeight="1" x14ac:dyDescent="0.4">
      <c r="A1158" s="62">
        <v>45052</v>
      </c>
      <c r="B1158" s="32" t="s">
        <v>1330</v>
      </c>
      <c r="C1158" s="18" t="s">
        <v>17</v>
      </c>
      <c r="D1158" s="63" t="s">
        <v>576</v>
      </c>
      <c r="E1158" s="50" t="s">
        <v>1651</v>
      </c>
      <c r="F1158" s="57">
        <v>55000</v>
      </c>
      <c r="G1158" s="76">
        <v>-5500</v>
      </c>
      <c r="H1158" s="57">
        <f t="shared" si="141"/>
        <v>49500</v>
      </c>
      <c r="I1158" s="50">
        <v>1</v>
      </c>
      <c r="J1158" s="57">
        <f t="shared" si="144"/>
        <v>49500</v>
      </c>
      <c r="K1158" s="58">
        <f t="shared" si="145"/>
        <v>54450.000000000007</v>
      </c>
      <c r="L1158" s="18" t="s">
        <v>34</v>
      </c>
      <c r="M1158" s="50"/>
    </row>
    <row r="1159" spans="1:13" ht="21.75" hidden="1" customHeight="1" x14ac:dyDescent="0.4">
      <c r="A1159" s="62">
        <v>45052</v>
      </c>
      <c r="B1159" s="32" t="s">
        <v>1330</v>
      </c>
      <c r="C1159" s="18" t="s">
        <v>17</v>
      </c>
      <c r="D1159" s="63" t="s">
        <v>332</v>
      </c>
      <c r="E1159" s="50" t="s">
        <v>1650</v>
      </c>
      <c r="F1159" s="57">
        <v>980</v>
      </c>
      <c r="G1159" s="76"/>
      <c r="H1159" s="57">
        <f t="shared" si="141"/>
        <v>980</v>
      </c>
      <c r="I1159" s="50">
        <v>1</v>
      </c>
      <c r="J1159" s="57">
        <f t="shared" si="144"/>
        <v>980</v>
      </c>
      <c r="K1159" s="58">
        <f t="shared" si="145"/>
        <v>1078</v>
      </c>
      <c r="L1159" s="18" t="s">
        <v>34</v>
      </c>
      <c r="M1159" s="50"/>
    </row>
    <row r="1160" spans="1:13" ht="21.75" hidden="1" customHeight="1" x14ac:dyDescent="0.4">
      <c r="A1160" s="62">
        <v>45052</v>
      </c>
      <c r="B1160" s="32" t="s">
        <v>1330</v>
      </c>
      <c r="C1160" s="96" t="s">
        <v>198</v>
      </c>
      <c r="D1160" s="63" t="s">
        <v>23</v>
      </c>
      <c r="E1160" s="50" t="s">
        <v>199</v>
      </c>
      <c r="F1160" s="57">
        <v>-15000</v>
      </c>
      <c r="G1160" s="76"/>
      <c r="H1160" s="57">
        <f t="shared" si="141"/>
        <v>-15000</v>
      </c>
      <c r="I1160" s="50">
        <v>1</v>
      </c>
      <c r="J1160" s="57">
        <f t="shared" si="144"/>
        <v>-15000</v>
      </c>
      <c r="K1160" s="100">
        <f t="shared" ref="K1160" si="147">ROUNDDOWN(J1160*1.1,0)</f>
        <v>-16500</v>
      </c>
      <c r="L1160" s="18" t="s">
        <v>34</v>
      </c>
      <c r="M1160" s="83" t="s">
        <v>1652</v>
      </c>
    </row>
    <row r="1161" spans="1:13" ht="21.75" hidden="1" customHeight="1" x14ac:dyDescent="0.4">
      <c r="A1161" s="62">
        <v>45052</v>
      </c>
      <c r="B1161" s="32" t="s">
        <v>1330</v>
      </c>
      <c r="C1161" s="18" t="s">
        <v>22</v>
      </c>
      <c r="D1161" s="63" t="s">
        <v>23</v>
      </c>
      <c r="E1161" s="50" t="s">
        <v>1502</v>
      </c>
      <c r="F1161" s="57">
        <v>15000</v>
      </c>
      <c r="G1161" s="76"/>
      <c r="H1161" s="57">
        <f t="shared" si="141"/>
        <v>15000</v>
      </c>
      <c r="I1161" s="50">
        <v>1</v>
      </c>
      <c r="J1161" s="57">
        <f t="shared" si="144"/>
        <v>15000</v>
      </c>
      <c r="K1161" s="58">
        <f t="shared" si="145"/>
        <v>16500</v>
      </c>
      <c r="L1161" s="18" t="s">
        <v>25</v>
      </c>
      <c r="M1161" s="50"/>
    </row>
    <row r="1162" spans="1:13" ht="21.75" hidden="1" customHeight="1" x14ac:dyDescent="0.4">
      <c r="A1162" s="62">
        <v>45052</v>
      </c>
      <c r="B1162" s="32" t="s">
        <v>1653</v>
      </c>
      <c r="C1162" s="18" t="s">
        <v>22</v>
      </c>
      <c r="D1162" s="63" t="s">
        <v>23</v>
      </c>
      <c r="E1162" s="50" t="s">
        <v>1502</v>
      </c>
      <c r="F1162" s="57">
        <v>15000</v>
      </c>
      <c r="G1162" s="76"/>
      <c r="H1162" s="57">
        <f t="shared" ref="H1162" si="148">F1162+G1162</f>
        <v>15000</v>
      </c>
      <c r="I1162" s="50">
        <v>1</v>
      </c>
      <c r="J1162" s="57">
        <f t="shared" ref="J1162" si="149">H1162*I1162</f>
        <v>15000</v>
      </c>
      <c r="K1162" s="58">
        <f t="shared" ref="K1162" si="150">J1162*1.1</f>
        <v>16500</v>
      </c>
      <c r="L1162" s="18" t="s">
        <v>25</v>
      </c>
      <c r="M1162" s="50"/>
    </row>
    <row r="1163" spans="1:13" ht="21.75" hidden="1" customHeight="1" x14ac:dyDescent="0.4">
      <c r="A1163" s="62">
        <v>45052</v>
      </c>
      <c r="B1163" s="32" t="s">
        <v>1541</v>
      </c>
      <c r="C1163" s="18" t="s">
        <v>59</v>
      </c>
      <c r="D1163" s="63" t="s">
        <v>60</v>
      </c>
      <c r="E1163" s="50" t="s">
        <v>61</v>
      </c>
      <c r="F1163" s="57">
        <v>1000</v>
      </c>
      <c r="G1163" s="76"/>
      <c r="H1163" s="57">
        <f t="shared" si="141"/>
        <v>1000</v>
      </c>
      <c r="I1163" s="50">
        <v>1</v>
      </c>
      <c r="J1163" s="57">
        <f t="shared" si="144"/>
        <v>1000</v>
      </c>
      <c r="K1163" s="58">
        <f t="shared" si="145"/>
        <v>1100</v>
      </c>
      <c r="L1163" s="18" t="s">
        <v>20</v>
      </c>
      <c r="M1163" s="50"/>
    </row>
    <row r="1164" spans="1:13" ht="21.75" hidden="1" customHeight="1" x14ac:dyDescent="0.4">
      <c r="A1164" s="62">
        <v>45052</v>
      </c>
      <c r="B1164" s="32" t="s">
        <v>1654</v>
      </c>
      <c r="C1164" s="18" t="s">
        <v>17</v>
      </c>
      <c r="D1164" s="63" t="s">
        <v>32</v>
      </c>
      <c r="E1164" s="50" t="s">
        <v>1656</v>
      </c>
      <c r="F1164" s="57">
        <v>72000</v>
      </c>
      <c r="G1164" s="76">
        <v>-14400</v>
      </c>
      <c r="H1164" s="57">
        <f t="shared" si="141"/>
        <v>57600</v>
      </c>
      <c r="I1164" s="50">
        <v>1</v>
      </c>
      <c r="J1164" s="57">
        <f t="shared" si="144"/>
        <v>57600</v>
      </c>
      <c r="K1164" s="58">
        <f t="shared" si="145"/>
        <v>63360.000000000007</v>
      </c>
      <c r="L1164" s="18" t="s">
        <v>34</v>
      </c>
      <c r="M1164" s="50"/>
    </row>
    <row r="1165" spans="1:13" ht="21.75" hidden="1" customHeight="1" x14ac:dyDescent="0.4">
      <c r="A1165" s="62">
        <v>45052</v>
      </c>
      <c r="B1165" s="32" t="s">
        <v>1654</v>
      </c>
      <c r="C1165" s="18" t="s">
        <v>17</v>
      </c>
      <c r="D1165" s="63" t="s">
        <v>32</v>
      </c>
      <c r="E1165" s="50" t="s">
        <v>1657</v>
      </c>
      <c r="F1165" s="57">
        <v>48000</v>
      </c>
      <c r="G1165" s="76">
        <v>-9600</v>
      </c>
      <c r="H1165" s="57">
        <f t="shared" si="141"/>
        <v>38400</v>
      </c>
      <c r="I1165" s="50">
        <v>2</v>
      </c>
      <c r="J1165" s="57">
        <f t="shared" si="144"/>
        <v>76800</v>
      </c>
      <c r="K1165" s="58">
        <f t="shared" si="145"/>
        <v>84480</v>
      </c>
      <c r="L1165" s="18" t="s">
        <v>34</v>
      </c>
      <c r="M1165" s="50"/>
    </row>
    <row r="1166" spans="1:13" ht="21.75" hidden="1" customHeight="1" x14ac:dyDescent="0.4">
      <c r="A1166" s="62">
        <v>45052</v>
      </c>
      <c r="B1166" s="32" t="s">
        <v>1654</v>
      </c>
      <c r="C1166" s="18" t="s">
        <v>17</v>
      </c>
      <c r="D1166" s="63" t="s">
        <v>32</v>
      </c>
      <c r="E1166" s="50" t="s">
        <v>1658</v>
      </c>
      <c r="F1166" s="57">
        <v>33000</v>
      </c>
      <c r="G1166" s="76">
        <v>-6600</v>
      </c>
      <c r="H1166" s="57">
        <f t="shared" si="141"/>
        <v>26400</v>
      </c>
      <c r="I1166" s="50">
        <v>2</v>
      </c>
      <c r="J1166" s="57">
        <f t="shared" si="144"/>
        <v>52800</v>
      </c>
      <c r="K1166" s="58">
        <f t="shared" si="145"/>
        <v>58080.000000000007</v>
      </c>
      <c r="L1166" s="18" t="s">
        <v>34</v>
      </c>
      <c r="M1166" s="50"/>
    </row>
    <row r="1167" spans="1:13" ht="21.75" hidden="1" customHeight="1" x14ac:dyDescent="0.4">
      <c r="A1167" s="62">
        <v>45052</v>
      </c>
      <c r="B1167" s="32" t="s">
        <v>1654</v>
      </c>
      <c r="C1167" s="18" t="s">
        <v>17</v>
      </c>
      <c r="D1167" s="63" t="s">
        <v>332</v>
      </c>
      <c r="E1167" s="50" t="s">
        <v>1659</v>
      </c>
      <c r="F1167" s="57">
        <v>1400</v>
      </c>
      <c r="G1167" s="76">
        <v>-140</v>
      </c>
      <c r="H1167" s="57">
        <f t="shared" si="141"/>
        <v>1260</v>
      </c>
      <c r="I1167" s="50">
        <v>5</v>
      </c>
      <c r="J1167" s="57">
        <f t="shared" si="144"/>
        <v>6300</v>
      </c>
      <c r="K1167" s="58">
        <f t="shared" si="145"/>
        <v>6930.0000000000009</v>
      </c>
      <c r="L1167" s="18" t="s">
        <v>34</v>
      </c>
      <c r="M1167" s="50"/>
    </row>
    <row r="1168" spans="1:13" ht="21.75" hidden="1" customHeight="1" x14ac:dyDescent="0.4">
      <c r="A1168" s="62">
        <v>45052</v>
      </c>
      <c r="B1168" s="32" t="s">
        <v>1654</v>
      </c>
      <c r="C1168" s="96" t="s">
        <v>198</v>
      </c>
      <c r="D1168" s="63" t="s">
        <v>23</v>
      </c>
      <c r="E1168" s="50" t="s">
        <v>199</v>
      </c>
      <c r="F1168" s="57">
        <v>-7500</v>
      </c>
      <c r="G1168" s="76"/>
      <c r="H1168" s="57">
        <f t="shared" ref="H1168" si="151">F1168+G1168</f>
        <v>-7500</v>
      </c>
      <c r="I1168" s="50">
        <v>1</v>
      </c>
      <c r="J1168" s="57">
        <f t="shared" ref="J1168" si="152">H1168*I1168</f>
        <v>-7500</v>
      </c>
      <c r="K1168" s="58">
        <f t="shared" ref="K1168" si="153">J1168*1.1</f>
        <v>-8250</v>
      </c>
      <c r="L1168" s="18" t="s">
        <v>34</v>
      </c>
      <c r="M1168" s="83" t="s">
        <v>1678</v>
      </c>
    </row>
    <row r="1169" spans="1:13" ht="21.75" hidden="1" customHeight="1" x14ac:dyDescent="0.4">
      <c r="A1169" s="62">
        <v>45052</v>
      </c>
      <c r="B1169" s="32" t="s">
        <v>1654</v>
      </c>
      <c r="C1169" s="18" t="s">
        <v>22</v>
      </c>
      <c r="D1169" s="63" t="s">
        <v>23</v>
      </c>
      <c r="E1169" s="50" t="s">
        <v>1502</v>
      </c>
      <c r="F1169" s="57">
        <v>7500</v>
      </c>
      <c r="G1169" s="76"/>
      <c r="H1169" s="57">
        <f t="shared" si="141"/>
        <v>7500</v>
      </c>
      <c r="I1169" s="50">
        <v>1</v>
      </c>
      <c r="J1169" s="57">
        <f t="shared" si="144"/>
        <v>7500</v>
      </c>
      <c r="K1169" s="58">
        <f t="shared" si="145"/>
        <v>8250</v>
      </c>
      <c r="L1169" s="18" t="s">
        <v>25</v>
      </c>
      <c r="M1169" s="50" t="s">
        <v>1655</v>
      </c>
    </row>
    <row r="1170" spans="1:13" ht="21.75" hidden="1" customHeight="1" x14ac:dyDescent="0.4">
      <c r="A1170" s="62">
        <v>45054</v>
      </c>
      <c r="B1170" s="32" t="s">
        <v>1660</v>
      </c>
      <c r="C1170" s="18" t="s">
        <v>317</v>
      </c>
      <c r="D1170" s="63" t="s">
        <v>28</v>
      </c>
      <c r="E1170" s="50" t="s">
        <v>73</v>
      </c>
      <c r="F1170" s="57">
        <v>2000</v>
      </c>
      <c r="G1170" s="76"/>
      <c r="H1170" s="57">
        <f t="shared" si="141"/>
        <v>2000</v>
      </c>
      <c r="I1170" s="50">
        <v>1</v>
      </c>
      <c r="J1170" s="57">
        <f t="shared" si="144"/>
        <v>2000</v>
      </c>
      <c r="K1170" s="58">
        <f t="shared" si="145"/>
        <v>2200</v>
      </c>
      <c r="L1170" s="18" t="s">
        <v>20</v>
      </c>
      <c r="M1170" s="50"/>
    </row>
    <row r="1171" spans="1:13" ht="21.75" hidden="1" customHeight="1" x14ac:dyDescent="0.4">
      <c r="A1171" s="62">
        <v>45054</v>
      </c>
      <c r="B1171" s="32" t="s">
        <v>1660</v>
      </c>
      <c r="C1171" s="18" t="s">
        <v>317</v>
      </c>
      <c r="D1171" s="63" t="s">
        <v>28</v>
      </c>
      <c r="E1171" s="50" t="s">
        <v>1662</v>
      </c>
      <c r="F1171" s="57">
        <v>2500</v>
      </c>
      <c r="G1171" s="76"/>
      <c r="H1171" s="57">
        <f t="shared" si="141"/>
        <v>2500</v>
      </c>
      <c r="I1171" s="50">
        <v>1</v>
      </c>
      <c r="J1171" s="57">
        <f t="shared" si="144"/>
        <v>2500</v>
      </c>
      <c r="K1171" s="58">
        <f t="shared" si="145"/>
        <v>2750</v>
      </c>
      <c r="L1171" s="18" t="s">
        <v>20</v>
      </c>
      <c r="M1171" s="50"/>
    </row>
    <row r="1172" spans="1:13" ht="21.75" hidden="1" customHeight="1" x14ac:dyDescent="0.4">
      <c r="A1172" s="62">
        <v>45054</v>
      </c>
      <c r="B1172" s="32" t="s">
        <v>1661</v>
      </c>
      <c r="C1172" s="18" t="s">
        <v>317</v>
      </c>
      <c r="D1172" s="63" t="s">
        <v>28</v>
      </c>
      <c r="E1172" s="50" t="s">
        <v>73</v>
      </c>
      <c r="F1172" s="57">
        <v>2000</v>
      </c>
      <c r="G1172" s="76"/>
      <c r="H1172" s="57">
        <f t="shared" si="141"/>
        <v>2000</v>
      </c>
      <c r="I1172" s="50">
        <v>1</v>
      </c>
      <c r="J1172" s="57">
        <f t="shared" si="144"/>
        <v>2000</v>
      </c>
      <c r="K1172" s="58">
        <f t="shared" si="145"/>
        <v>2200</v>
      </c>
      <c r="L1172" s="18" t="s">
        <v>25</v>
      </c>
      <c r="M1172" s="50"/>
    </row>
    <row r="1173" spans="1:13" ht="21.75" hidden="1" customHeight="1" x14ac:dyDescent="0.4">
      <c r="A1173" s="62">
        <v>45056</v>
      </c>
      <c r="B1173" s="32" t="s">
        <v>148</v>
      </c>
      <c r="C1173" s="18" t="s">
        <v>17</v>
      </c>
      <c r="D1173" s="63" t="s">
        <v>426</v>
      </c>
      <c r="E1173" s="50" t="s">
        <v>1663</v>
      </c>
      <c r="F1173" s="57">
        <v>1700</v>
      </c>
      <c r="G1173" s="76">
        <v>-170</v>
      </c>
      <c r="H1173" s="57">
        <f t="shared" si="141"/>
        <v>1530</v>
      </c>
      <c r="I1173" s="50">
        <v>1</v>
      </c>
      <c r="J1173" s="57">
        <f t="shared" si="144"/>
        <v>1530</v>
      </c>
      <c r="K1173" s="58">
        <f t="shared" si="145"/>
        <v>1683.0000000000002</v>
      </c>
      <c r="L1173" s="18" t="s">
        <v>20</v>
      </c>
      <c r="M1173" s="50"/>
    </row>
    <row r="1174" spans="1:13" ht="21.75" hidden="1" customHeight="1" x14ac:dyDescent="0.4">
      <c r="A1174" s="62">
        <v>45056</v>
      </c>
      <c r="B1174" s="32" t="s">
        <v>539</v>
      </c>
      <c r="C1174" s="18" t="s">
        <v>17</v>
      </c>
      <c r="D1174" s="63" t="s">
        <v>32</v>
      </c>
      <c r="E1174" s="50" t="s">
        <v>1664</v>
      </c>
      <c r="F1174" s="57">
        <v>33000</v>
      </c>
      <c r="G1174" s="76">
        <v>-3300</v>
      </c>
      <c r="H1174" s="57">
        <f t="shared" si="141"/>
        <v>29700</v>
      </c>
      <c r="I1174" s="50">
        <v>3</v>
      </c>
      <c r="J1174" s="57">
        <f t="shared" si="144"/>
        <v>89100</v>
      </c>
      <c r="K1174" s="58">
        <f t="shared" si="145"/>
        <v>98010.000000000015</v>
      </c>
      <c r="L1174" s="18" t="s">
        <v>34</v>
      </c>
      <c r="M1174" s="50"/>
    </row>
    <row r="1175" spans="1:13" ht="21.75" hidden="1" customHeight="1" x14ac:dyDescent="0.4">
      <c r="A1175" s="62">
        <v>45056</v>
      </c>
      <c r="B1175" s="32" t="s">
        <v>1665</v>
      </c>
      <c r="C1175" s="18" t="s">
        <v>17</v>
      </c>
      <c r="D1175" s="63" t="s">
        <v>32</v>
      </c>
      <c r="E1175" s="50" t="s">
        <v>1666</v>
      </c>
      <c r="F1175" s="57">
        <v>50000</v>
      </c>
      <c r="G1175" s="76">
        <v>-15000</v>
      </c>
      <c r="H1175" s="57">
        <f t="shared" si="141"/>
        <v>35000</v>
      </c>
      <c r="I1175" s="50">
        <v>1</v>
      </c>
      <c r="J1175" s="57">
        <f t="shared" si="144"/>
        <v>35000</v>
      </c>
      <c r="K1175" s="58">
        <f t="shared" si="145"/>
        <v>38500</v>
      </c>
      <c r="L1175" s="18" t="s">
        <v>34</v>
      </c>
      <c r="M1175" s="50"/>
    </row>
    <row r="1176" spans="1:13" ht="21.75" hidden="1" customHeight="1" x14ac:dyDescent="0.4">
      <c r="A1176" s="62">
        <v>45056</v>
      </c>
      <c r="B1176" s="32" t="s">
        <v>1665</v>
      </c>
      <c r="C1176" s="18" t="s">
        <v>17</v>
      </c>
      <c r="D1176" s="63" t="s">
        <v>330</v>
      </c>
      <c r="E1176" s="50" t="s">
        <v>1667</v>
      </c>
      <c r="F1176" s="57">
        <v>4000</v>
      </c>
      <c r="G1176" s="76">
        <v>-400</v>
      </c>
      <c r="H1176" s="57">
        <f t="shared" si="141"/>
        <v>3600</v>
      </c>
      <c r="I1176" s="50">
        <v>1</v>
      </c>
      <c r="J1176" s="57">
        <f t="shared" si="144"/>
        <v>3600</v>
      </c>
      <c r="K1176" s="58">
        <f t="shared" si="145"/>
        <v>3960.0000000000005</v>
      </c>
      <c r="L1176" s="18" t="s">
        <v>34</v>
      </c>
      <c r="M1176" s="50"/>
    </row>
    <row r="1177" spans="1:13" ht="21.75" hidden="1" customHeight="1" x14ac:dyDescent="0.4">
      <c r="A1177" s="62">
        <v>45056</v>
      </c>
      <c r="B1177" s="32" t="s">
        <v>1665</v>
      </c>
      <c r="C1177" s="18" t="s">
        <v>17</v>
      </c>
      <c r="D1177" s="63" t="s">
        <v>332</v>
      </c>
      <c r="E1177" s="50" t="s">
        <v>1668</v>
      </c>
      <c r="F1177" s="57">
        <v>980</v>
      </c>
      <c r="G1177" s="76">
        <v>-98</v>
      </c>
      <c r="H1177" s="57">
        <f t="shared" si="141"/>
        <v>882</v>
      </c>
      <c r="I1177" s="50">
        <v>1</v>
      </c>
      <c r="J1177" s="57">
        <f t="shared" si="144"/>
        <v>882</v>
      </c>
      <c r="K1177" s="58">
        <f t="shared" si="145"/>
        <v>970.2</v>
      </c>
      <c r="L1177" s="18" t="s">
        <v>34</v>
      </c>
      <c r="M1177" s="50"/>
    </row>
    <row r="1178" spans="1:13" ht="21.75" hidden="1" customHeight="1" x14ac:dyDescent="0.4">
      <c r="A1178" s="62">
        <v>45056</v>
      </c>
      <c r="B1178" s="32" t="s">
        <v>1669</v>
      </c>
      <c r="C1178" s="18" t="s">
        <v>17</v>
      </c>
      <c r="D1178" s="63" t="s">
        <v>330</v>
      </c>
      <c r="E1178" s="50" t="s">
        <v>1670</v>
      </c>
      <c r="F1178" s="57">
        <v>3000</v>
      </c>
      <c r="G1178" s="76"/>
      <c r="H1178" s="57">
        <f t="shared" si="141"/>
        <v>3000</v>
      </c>
      <c r="I1178" s="50">
        <v>1</v>
      </c>
      <c r="J1178" s="57">
        <f t="shared" si="144"/>
        <v>3000</v>
      </c>
      <c r="K1178" s="58">
        <f t="shared" si="145"/>
        <v>3300.0000000000005</v>
      </c>
      <c r="L1178" s="18" t="s">
        <v>25</v>
      </c>
      <c r="M1178" s="50"/>
    </row>
    <row r="1179" spans="1:13" ht="21.75" hidden="1" customHeight="1" x14ac:dyDescent="0.4">
      <c r="A1179" s="62">
        <v>45056</v>
      </c>
      <c r="B1179" s="32" t="s">
        <v>1297</v>
      </c>
      <c r="C1179" s="18" t="s">
        <v>317</v>
      </c>
      <c r="D1179" s="63" t="s">
        <v>28</v>
      </c>
      <c r="E1179" s="50" t="s">
        <v>73</v>
      </c>
      <c r="F1179" s="57">
        <v>2000</v>
      </c>
      <c r="G1179" s="76"/>
      <c r="H1179" s="57">
        <f t="shared" ref="H1179:H1180" si="154">F1179+G1179</f>
        <v>2000</v>
      </c>
      <c r="I1179" s="50">
        <v>1</v>
      </c>
      <c r="J1179" s="57">
        <f t="shared" ref="J1179:J1180" si="155">H1179*I1179</f>
        <v>2000</v>
      </c>
      <c r="K1179" s="58">
        <f t="shared" ref="K1179:K1182" si="156">J1179*1.1</f>
        <v>2200</v>
      </c>
      <c r="L1179" s="18" t="s">
        <v>25</v>
      </c>
      <c r="M1179" s="50"/>
    </row>
    <row r="1180" spans="1:13" ht="21.75" hidden="1" customHeight="1" x14ac:dyDescent="0.4">
      <c r="A1180" s="62">
        <v>45056</v>
      </c>
      <c r="B1180" s="32" t="s">
        <v>1671</v>
      </c>
      <c r="C1180" s="18" t="s">
        <v>17</v>
      </c>
      <c r="D1180" s="63" t="s">
        <v>426</v>
      </c>
      <c r="E1180" s="50" t="s">
        <v>1639</v>
      </c>
      <c r="F1180" s="57">
        <v>1700</v>
      </c>
      <c r="G1180" s="76">
        <v>-170</v>
      </c>
      <c r="H1180" s="57">
        <f t="shared" si="154"/>
        <v>1530</v>
      </c>
      <c r="I1180" s="50">
        <v>1</v>
      </c>
      <c r="J1180" s="57">
        <f t="shared" si="155"/>
        <v>1530</v>
      </c>
      <c r="K1180" s="58">
        <f t="shared" si="156"/>
        <v>1683.0000000000002</v>
      </c>
      <c r="L1180" s="18" t="s">
        <v>25</v>
      </c>
      <c r="M1180" s="50"/>
    </row>
    <row r="1181" spans="1:13" ht="21.75" hidden="1" customHeight="1" x14ac:dyDescent="0.4">
      <c r="A1181" s="62">
        <v>45056</v>
      </c>
      <c r="B1181" s="32" t="s">
        <v>1672</v>
      </c>
      <c r="C1181" s="18" t="s">
        <v>17</v>
      </c>
      <c r="D1181" s="63" t="s">
        <v>426</v>
      </c>
      <c r="E1181" s="50" t="s">
        <v>1674</v>
      </c>
      <c r="F1181" s="57">
        <v>1700</v>
      </c>
      <c r="G1181" s="76">
        <v>-170</v>
      </c>
      <c r="H1181" s="57">
        <f t="shared" ref="H1181" si="157">F1181+G1181</f>
        <v>1530</v>
      </c>
      <c r="I1181" s="50">
        <v>1</v>
      </c>
      <c r="J1181" s="57">
        <f t="shared" ref="J1181" si="158">H1181*I1181</f>
        <v>1530</v>
      </c>
      <c r="K1181" s="58">
        <f t="shared" si="156"/>
        <v>1683.0000000000002</v>
      </c>
      <c r="L1181" s="18" t="s">
        <v>25</v>
      </c>
      <c r="M1181" s="50"/>
    </row>
    <row r="1182" spans="1:13" ht="21.75" hidden="1" customHeight="1" x14ac:dyDescent="0.4">
      <c r="A1182" s="62">
        <v>45056</v>
      </c>
      <c r="B1182" s="32" t="s">
        <v>1672</v>
      </c>
      <c r="C1182" s="18" t="s">
        <v>17</v>
      </c>
      <c r="D1182" s="63" t="s">
        <v>426</v>
      </c>
      <c r="E1182" s="50" t="s">
        <v>1673</v>
      </c>
      <c r="F1182" s="57">
        <v>1650</v>
      </c>
      <c r="G1182" s="76">
        <v>-165</v>
      </c>
      <c r="H1182" s="57">
        <f t="shared" ref="H1182:H1222" si="159">F1182+G1182</f>
        <v>1485</v>
      </c>
      <c r="I1182" s="50">
        <v>1</v>
      </c>
      <c r="J1182" s="57">
        <f t="shared" ref="J1182:J1222" si="160">H1182*I1182</f>
        <v>1485</v>
      </c>
      <c r="K1182" s="58">
        <f t="shared" si="156"/>
        <v>1633.5000000000002</v>
      </c>
      <c r="L1182" s="18" t="s">
        <v>25</v>
      </c>
      <c r="M1182" s="50"/>
    </row>
    <row r="1183" spans="1:13" ht="21.75" hidden="1" customHeight="1" x14ac:dyDescent="0.4">
      <c r="A1183" s="62">
        <v>45057</v>
      </c>
      <c r="B1183" s="32" t="s">
        <v>1675</v>
      </c>
      <c r="C1183" s="18" t="s">
        <v>17</v>
      </c>
      <c r="D1183" s="63" t="s">
        <v>32</v>
      </c>
      <c r="E1183" s="50" t="s">
        <v>1676</v>
      </c>
      <c r="F1183" s="57">
        <v>80000</v>
      </c>
      <c r="G1183" s="76">
        <v>-16000</v>
      </c>
      <c r="H1183" s="57">
        <f t="shared" si="159"/>
        <v>64000</v>
      </c>
      <c r="I1183" s="50">
        <v>1</v>
      </c>
      <c r="J1183" s="57">
        <f t="shared" si="160"/>
        <v>64000</v>
      </c>
      <c r="K1183" s="58">
        <f t="shared" ref="K1183:K1222" si="161">J1183*1.1</f>
        <v>70400</v>
      </c>
      <c r="L1183" s="18" t="s">
        <v>34</v>
      </c>
      <c r="M1183" s="50"/>
    </row>
    <row r="1184" spans="1:13" ht="21.75" hidden="1" customHeight="1" x14ac:dyDescent="0.4">
      <c r="A1184" s="62">
        <v>45057</v>
      </c>
      <c r="B1184" s="32" t="s">
        <v>1675</v>
      </c>
      <c r="C1184" s="18" t="s">
        <v>17</v>
      </c>
      <c r="D1184" s="63" t="s">
        <v>332</v>
      </c>
      <c r="E1184" s="50" t="s">
        <v>1677</v>
      </c>
      <c r="F1184" s="57">
        <v>1400</v>
      </c>
      <c r="G1184" s="76"/>
      <c r="H1184" s="57">
        <f t="shared" ref="H1184" si="162">F1184+G1184</f>
        <v>1400</v>
      </c>
      <c r="I1184" s="50">
        <v>1</v>
      </c>
      <c r="J1184" s="57">
        <f t="shared" ref="J1184" si="163">H1184*I1184</f>
        <v>1400</v>
      </c>
      <c r="K1184" s="58">
        <f t="shared" ref="K1184" si="164">J1184*1.1</f>
        <v>1540.0000000000002</v>
      </c>
      <c r="L1184" s="18" t="s">
        <v>34</v>
      </c>
      <c r="M1184" s="50"/>
    </row>
    <row r="1185" spans="1:13" ht="21.75" hidden="1" customHeight="1" x14ac:dyDescent="0.4">
      <c r="A1185" s="62">
        <v>45057</v>
      </c>
      <c r="B1185" s="32" t="s">
        <v>1675</v>
      </c>
      <c r="C1185" s="96" t="s">
        <v>198</v>
      </c>
      <c r="D1185" s="63" t="s">
        <v>23</v>
      </c>
      <c r="E1185" s="50" t="s">
        <v>199</v>
      </c>
      <c r="F1185" s="57">
        <v>-15000</v>
      </c>
      <c r="G1185" s="76"/>
      <c r="H1185" s="57">
        <f t="shared" si="159"/>
        <v>-15000</v>
      </c>
      <c r="I1185" s="50">
        <v>1</v>
      </c>
      <c r="J1185" s="57">
        <f t="shared" si="160"/>
        <v>-15000</v>
      </c>
      <c r="K1185" s="100">
        <f t="shared" ref="K1185" si="165">ROUNDDOWN(J1185*1.1,0)</f>
        <v>-16500</v>
      </c>
      <c r="L1185" s="18" t="s">
        <v>34</v>
      </c>
      <c r="M1185" s="83" t="s">
        <v>1678</v>
      </c>
    </row>
    <row r="1186" spans="1:13" ht="21.75" hidden="1" customHeight="1" x14ac:dyDescent="0.4">
      <c r="A1186" s="62">
        <v>45057</v>
      </c>
      <c r="B1186" s="32" t="s">
        <v>1675</v>
      </c>
      <c r="C1186" s="18" t="s">
        <v>22</v>
      </c>
      <c r="D1186" s="63" t="s">
        <v>23</v>
      </c>
      <c r="E1186" s="50" t="s">
        <v>1502</v>
      </c>
      <c r="F1186" s="57">
        <v>15000</v>
      </c>
      <c r="G1186" s="76"/>
      <c r="H1186" s="57">
        <f t="shared" si="159"/>
        <v>15000</v>
      </c>
      <c r="I1186" s="50">
        <v>1</v>
      </c>
      <c r="J1186" s="57">
        <f t="shared" si="160"/>
        <v>15000</v>
      </c>
      <c r="K1186" s="58">
        <f t="shared" si="161"/>
        <v>16500</v>
      </c>
      <c r="L1186" s="18" t="s">
        <v>25</v>
      </c>
      <c r="M1186" s="50"/>
    </row>
    <row r="1187" spans="1:13" ht="21.75" hidden="1" customHeight="1" x14ac:dyDescent="0.4">
      <c r="A1187" s="62">
        <v>45057</v>
      </c>
      <c r="B1187" s="32" t="s">
        <v>1679</v>
      </c>
      <c r="C1187" s="18" t="s">
        <v>17</v>
      </c>
      <c r="D1187" s="63" t="s">
        <v>32</v>
      </c>
      <c r="E1187" s="50" t="s">
        <v>1680</v>
      </c>
      <c r="F1187" s="57">
        <v>40000</v>
      </c>
      <c r="G1187" s="76">
        <v>-8000</v>
      </c>
      <c r="H1187" s="57">
        <f t="shared" si="159"/>
        <v>32000</v>
      </c>
      <c r="I1187" s="50">
        <v>1</v>
      </c>
      <c r="J1187" s="57">
        <f t="shared" si="160"/>
        <v>32000</v>
      </c>
      <c r="K1187" s="58">
        <f t="shared" si="161"/>
        <v>35200</v>
      </c>
      <c r="L1187" s="18" t="s">
        <v>34</v>
      </c>
      <c r="M1187" s="50"/>
    </row>
    <row r="1188" spans="1:13" ht="21.75" hidden="1" customHeight="1" x14ac:dyDescent="0.4">
      <c r="A1188" s="62">
        <v>45057</v>
      </c>
      <c r="B1188" s="32" t="s">
        <v>1679</v>
      </c>
      <c r="C1188" s="18" t="s">
        <v>17</v>
      </c>
      <c r="D1188" s="63" t="s">
        <v>332</v>
      </c>
      <c r="E1188" s="50" t="s">
        <v>1650</v>
      </c>
      <c r="F1188" s="57">
        <v>980</v>
      </c>
      <c r="G1188" s="76"/>
      <c r="H1188" s="57">
        <f t="shared" si="159"/>
        <v>980</v>
      </c>
      <c r="I1188" s="50">
        <v>1</v>
      </c>
      <c r="J1188" s="57">
        <f t="shared" si="160"/>
        <v>980</v>
      </c>
      <c r="K1188" s="58">
        <f t="shared" si="161"/>
        <v>1078</v>
      </c>
      <c r="L1188" s="18" t="s">
        <v>34</v>
      </c>
      <c r="M1188" s="50"/>
    </row>
    <row r="1189" spans="1:13" ht="21.75" hidden="1" customHeight="1" x14ac:dyDescent="0.4">
      <c r="A1189" s="62">
        <v>45057</v>
      </c>
      <c r="B1189" s="32" t="s">
        <v>1679</v>
      </c>
      <c r="C1189" s="18" t="s">
        <v>17</v>
      </c>
      <c r="D1189" s="63" t="s">
        <v>330</v>
      </c>
      <c r="E1189" s="50" t="s">
        <v>1681</v>
      </c>
      <c r="F1189" s="57">
        <v>5000</v>
      </c>
      <c r="G1189" s="76"/>
      <c r="H1189" s="57">
        <f t="shared" si="159"/>
        <v>5000</v>
      </c>
      <c r="I1189" s="50">
        <v>1</v>
      </c>
      <c r="J1189" s="57">
        <f t="shared" si="160"/>
        <v>5000</v>
      </c>
      <c r="K1189" s="58">
        <f t="shared" si="161"/>
        <v>5500</v>
      </c>
      <c r="L1189" s="18" t="s">
        <v>34</v>
      </c>
      <c r="M1189" s="50"/>
    </row>
    <row r="1190" spans="1:13" ht="21.75" hidden="1" customHeight="1" x14ac:dyDescent="0.4">
      <c r="A1190" s="62">
        <v>45057</v>
      </c>
      <c r="B1190" s="32" t="s">
        <v>1682</v>
      </c>
      <c r="C1190" s="18" t="s">
        <v>317</v>
      </c>
      <c r="D1190" s="63" t="s">
        <v>28</v>
      </c>
      <c r="E1190" s="50" t="s">
        <v>318</v>
      </c>
      <c r="F1190" s="57">
        <v>15000</v>
      </c>
      <c r="G1190" s="76"/>
      <c r="H1190" s="57">
        <f t="shared" si="159"/>
        <v>15000</v>
      </c>
      <c r="I1190" s="50">
        <v>1</v>
      </c>
      <c r="J1190" s="57">
        <f t="shared" si="160"/>
        <v>15000</v>
      </c>
      <c r="K1190" s="58">
        <f t="shared" si="161"/>
        <v>16500</v>
      </c>
      <c r="L1190" s="18" t="s">
        <v>25</v>
      </c>
      <c r="M1190" s="50"/>
    </row>
    <row r="1191" spans="1:13" ht="21.75" hidden="1" customHeight="1" x14ac:dyDescent="0.4">
      <c r="A1191" s="62">
        <v>45057</v>
      </c>
      <c r="B1191" s="32" t="s">
        <v>1682</v>
      </c>
      <c r="C1191" s="18" t="s">
        <v>317</v>
      </c>
      <c r="D1191" s="63" t="s">
        <v>28</v>
      </c>
      <c r="E1191" s="50" t="s">
        <v>1716</v>
      </c>
      <c r="F1191" s="57">
        <v>8750</v>
      </c>
      <c r="G1191" s="76"/>
      <c r="H1191" s="57">
        <f t="shared" si="159"/>
        <v>8750</v>
      </c>
      <c r="I1191" s="50">
        <v>1</v>
      </c>
      <c r="J1191" s="57">
        <f t="shared" si="160"/>
        <v>8750</v>
      </c>
      <c r="K1191" s="58">
        <f t="shared" si="161"/>
        <v>9625</v>
      </c>
      <c r="L1191" s="18" t="s">
        <v>25</v>
      </c>
      <c r="M1191" s="50"/>
    </row>
    <row r="1192" spans="1:13" ht="21.75" hidden="1" customHeight="1" x14ac:dyDescent="0.4">
      <c r="A1192" s="62">
        <v>45057</v>
      </c>
      <c r="B1192" s="32" t="s">
        <v>1682</v>
      </c>
      <c r="C1192" s="18" t="s">
        <v>317</v>
      </c>
      <c r="D1192" s="63" t="s">
        <v>28</v>
      </c>
      <c r="E1192" s="50" t="s">
        <v>1717</v>
      </c>
      <c r="F1192" s="57">
        <v>17500</v>
      </c>
      <c r="G1192" s="76"/>
      <c r="H1192" s="57">
        <f t="shared" si="159"/>
        <v>17500</v>
      </c>
      <c r="I1192" s="50">
        <v>1</v>
      </c>
      <c r="J1192" s="57">
        <f t="shared" si="160"/>
        <v>17500</v>
      </c>
      <c r="K1192" s="58">
        <f t="shared" si="161"/>
        <v>19250</v>
      </c>
      <c r="L1192" s="18" t="s">
        <v>25</v>
      </c>
      <c r="M1192" s="50"/>
    </row>
    <row r="1193" spans="1:13" ht="21.75" hidden="1" customHeight="1" x14ac:dyDescent="0.4">
      <c r="A1193" s="62">
        <v>45057</v>
      </c>
      <c r="B1193" s="32" t="s">
        <v>1679</v>
      </c>
      <c r="C1193" s="18" t="s">
        <v>22</v>
      </c>
      <c r="D1193" s="63" t="s">
        <v>23</v>
      </c>
      <c r="E1193" s="50" t="s">
        <v>1502</v>
      </c>
      <c r="F1193" s="57">
        <v>15000</v>
      </c>
      <c r="G1193" s="76"/>
      <c r="H1193" s="57">
        <f t="shared" ref="H1193" si="166">F1193+G1193</f>
        <v>15000</v>
      </c>
      <c r="I1193" s="50">
        <v>1</v>
      </c>
      <c r="J1193" s="57">
        <f t="shared" ref="J1193" si="167">H1193*I1193</f>
        <v>15000</v>
      </c>
      <c r="K1193" s="58">
        <f t="shared" ref="K1193" si="168">J1193*1.1</f>
        <v>16500</v>
      </c>
      <c r="L1193" s="18" t="s">
        <v>25</v>
      </c>
      <c r="M1193" s="50"/>
    </row>
    <row r="1194" spans="1:13" ht="21.75" hidden="1" customHeight="1" x14ac:dyDescent="0.4">
      <c r="A1194" s="62">
        <v>45057</v>
      </c>
      <c r="B1194" s="32" t="s">
        <v>1683</v>
      </c>
      <c r="C1194" s="18" t="s">
        <v>22</v>
      </c>
      <c r="D1194" s="63" t="s">
        <v>1496</v>
      </c>
      <c r="E1194" s="50" t="s">
        <v>369</v>
      </c>
      <c r="F1194" s="57">
        <v>3000</v>
      </c>
      <c r="G1194" s="76"/>
      <c r="H1194" s="57">
        <f t="shared" si="159"/>
        <v>3000</v>
      </c>
      <c r="I1194" s="50">
        <v>1</v>
      </c>
      <c r="J1194" s="57">
        <f t="shared" si="160"/>
        <v>3000</v>
      </c>
      <c r="K1194" s="58">
        <f t="shared" si="161"/>
        <v>3300.0000000000005</v>
      </c>
      <c r="L1194" s="18" t="s">
        <v>25</v>
      </c>
      <c r="M1194" s="50"/>
    </row>
    <row r="1195" spans="1:13" ht="21.75" hidden="1" customHeight="1" x14ac:dyDescent="0.4">
      <c r="A1195" s="62">
        <v>45058</v>
      </c>
      <c r="B1195" s="32" t="s">
        <v>1684</v>
      </c>
      <c r="C1195" s="18" t="s">
        <v>317</v>
      </c>
      <c r="D1195" s="63" t="s">
        <v>28</v>
      </c>
      <c r="E1195" s="50" t="s">
        <v>318</v>
      </c>
      <c r="F1195" s="57">
        <v>15000</v>
      </c>
      <c r="G1195" s="76"/>
      <c r="H1195" s="57">
        <f t="shared" ref="H1195:H1197" si="169">F1195+G1195</f>
        <v>15000</v>
      </c>
      <c r="I1195" s="50">
        <v>1</v>
      </c>
      <c r="J1195" s="57">
        <f t="shared" ref="J1195:J1197" si="170">H1195*I1195</f>
        <v>15000</v>
      </c>
      <c r="K1195" s="58">
        <f t="shared" ref="K1195:K1197" si="171">J1195*1.1</f>
        <v>16500</v>
      </c>
      <c r="L1195" s="18" t="s">
        <v>25</v>
      </c>
      <c r="M1195" s="50"/>
    </row>
    <row r="1196" spans="1:13" ht="21.75" hidden="1" customHeight="1" x14ac:dyDescent="0.4">
      <c r="A1196" s="62">
        <v>45058</v>
      </c>
      <c r="B1196" s="32" t="s">
        <v>1684</v>
      </c>
      <c r="C1196" s="18" t="s">
        <v>317</v>
      </c>
      <c r="D1196" s="63" t="s">
        <v>28</v>
      </c>
      <c r="E1196" s="50" t="s">
        <v>1716</v>
      </c>
      <c r="F1196" s="57">
        <v>8750</v>
      </c>
      <c r="G1196" s="76"/>
      <c r="H1196" s="57">
        <f t="shared" si="169"/>
        <v>8750</v>
      </c>
      <c r="I1196" s="50">
        <v>1</v>
      </c>
      <c r="J1196" s="57">
        <f t="shared" si="170"/>
        <v>8750</v>
      </c>
      <c r="K1196" s="58">
        <f t="shared" si="171"/>
        <v>9625</v>
      </c>
      <c r="L1196" s="18" t="s">
        <v>25</v>
      </c>
      <c r="M1196" s="50"/>
    </row>
    <row r="1197" spans="1:13" ht="21.75" hidden="1" customHeight="1" x14ac:dyDescent="0.4">
      <c r="A1197" s="62">
        <v>45058</v>
      </c>
      <c r="B1197" s="32" t="s">
        <v>1684</v>
      </c>
      <c r="C1197" s="18" t="s">
        <v>317</v>
      </c>
      <c r="D1197" s="63" t="s">
        <v>28</v>
      </c>
      <c r="E1197" s="50" t="s">
        <v>1717</v>
      </c>
      <c r="F1197" s="57">
        <v>17500</v>
      </c>
      <c r="G1197" s="76"/>
      <c r="H1197" s="57">
        <f t="shared" si="169"/>
        <v>17500</v>
      </c>
      <c r="I1197" s="50">
        <v>1</v>
      </c>
      <c r="J1197" s="57">
        <f t="shared" si="170"/>
        <v>17500</v>
      </c>
      <c r="K1197" s="58">
        <f t="shared" si="171"/>
        <v>19250</v>
      </c>
      <c r="L1197" s="18" t="s">
        <v>25</v>
      </c>
      <c r="M1197" s="50"/>
    </row>
    <row r="1198" spans="1:13" ht="21.75" hidden="1" customHeight="1" x14ac:dyDescent="0.4">
      <c r="A1198" s="62">
        <v>45059</v>
      </c>
      <c r="B1198" s="32" t="s">
        <v>1685</v>
      </c>
      <c r="C1198" s="18" t="s">
        <v>17</v>
      </c>
      <c r="D1198" s="63" t="s">
        <v>292</v>
      </c>
      <c r="E1198" s="50" t="s">
        <v>1686</v>
      </c>
      <c r="F1198" s="57">
        <v>5700</v>
      </c>
      <c r="G1198" s="76">
        <v>-570</v>
      </c>
      <c r="H1198" s="57">
        <f t="shared" si="159"/>
        <v>5130</v>
      </c>
      <c r="I1198" s="50">
        <v>1</v>
      </c>
      <c r="J1198" s="57">
        <f t="shared" si="160"/>
        <v>5130</v>
      </c>
      <c r="K1198" s="58">
        <f t="shared" si="161"/>
        <v>5643.0000000000009</v>
      </c>
      <c r="L1198" s="18" t="s">
        <v>25</v>
      </c>
      <c r="M1198" s="50"/>
    </row>
    <row r="1199" spans="1:13" ht="21.75" hidden="1" customHeight="1" x14ac:dyDescent="0.4">
      <c r="A1199" s="62">
        <v>45059</v>
      </c>
      <c r="B1199" s="32" t="s">
        <v>1687</v>
      </c>
      <c r="C1199" s="18" t="s">
        <v>17</v>
      </c>
      <c r="D1199" s="63" t="s">
        <v>32</v>
      </c>
      <c r="E1199" s="50" t="s">
        <v>1688</v>
      </c>
      <c r="F1199" s="57">
        <v>50000</v>
      </c>
      <c r="G1199" s="76">
        <v>-10000</v>
      </c>
      <c r="H1199" s="57">
        <f t="shared" si="159"/>
        <v>40000</v>
      </c>
      <c r="I1199" s="50">
        <v>1</v>
      </c>
      <c r="J1199" s="57">
        <f t="shared" si="160"/>
        <v>40000</v>
      </c>
      <c r="K1199" s="58">
        <f t="shared" si="161"/>
        <v>44000</v>
      </c>
      <c r="L1199" s="18" t="s">
        <v>34</v>
      </c>
      <c r="M1199" s="50"/>
    </row>
    <row r="1200" spans="1:13" ht="21.75" hidden="1" customHeight="1" x14ac:dyDescent="0.4">
      <c r="A1200" s="62">
        <v>45059</v>
      </c>
      <c r="B1200" s="32" t="s">
        <v>1687</v>
      </c>
      <c r="C1200" s="18" t="s">
        <v>17</v>
      </c>
      <c r="D1200" s="63" t="s">
        <v>332</v>
      </c>
      <c r="E1200" s="50" t="s">
        <v>1689</v>
      </c>
      <c r="F1200" s="57">
        <v>980</v>
      </c>
      <c r="G1200" s="76"/>
      <c r="H1200" s="57">
        <f t="shared" si="159"/>
        <v>980</v>
      </c>
      <c r="I1200" s="50">
        <v>1</v>
      </c>
      <c r="J1200" s="57">
        <f t="shared" si="160"/>
        <v>980</v>
      </c>
      <c r="K1200" s="58">
        <f t="shared" si="161"/>
        <v>1078</v>
      </c>
      <c r="L1200" s="18" t="s">
        <v>34</v>
      </c>
      <c r="M1200" s="50"/>
    </row>
    <row r="1201" spans="1:13" ht="21.75" hidden="1" customHeight="1" x14ac:dyDescent="0.4">
      <c r="A1201" s="62">
        <v>45059</v>
      </c>
      <c r="B1201" s="32" t="s">
        <v>1687</v>
      </c>
      <c r="C1201" s="18" t="s">
        <v>17</v>
      </c>
      <c r="D1201" s="63" t="s">
        <v>330</v>
      </c>
      <c r="E1201" s="50" t="s">
        <v>1667</v>
      </c>
      <c r="F1201" s="57">
        <v>4000</v>
      </c>
      <c r="G1201" s="76"/>
      <c r="H1201" s="57">
        <f t="shared" si="159"/>
        <v>4000</v>
      </c>
      <c r="I1201" s="50">
        <v>1</v>
      </c>
      <c r="J1201" s="57">
        <f t="shared" si="160"/>
        <v>4000</v>
      </c>
      <c r="K1201" s="58">
        <f t="shared" si="161"/>
        <v>4400</v>
      </c>
      <c r="L1201" s="18" t="s">
        <v>34</v>
      </c>
      <c r="M1201" s="50"/>
    </row>
    <row r="1202" spans="1:13" ht="21.75" hidden="1" customHeight="1" x14ac:dyDescent="0.4">
      <c r="A1202" s="62">
        <v>45060</v>
      </c>
      <c r="B1202" s="32" t="s">
        <v>1059</v>
      </c>
      <c r="C1202" s="18" t="s">
        <v>17</v>
      </c>
      <c r="D1202" s="63" t="s">
        <v>1690</v>
      </c>
      <c r="E1202" s="50" t="s">
        <v>1691</v>
      </c>
      <c r="F1202" s="57">
        <v>1000</v>
      </c>
      <c r="G1202" s="76">
        <v>-100</v>
      </c>
      <c r="H1202" s="57">
        <f t="shared" si="159"/>
        <v>900</v>
      </c>
      <c r="I1202" s="50">
        <v>1</v>
      </c>
      <c r="J1202" s="57">
        <f t="shared" si="160"/>
        <v>900</v>
      </c>
      <c r="K1202" s="58">
        <f t="shared" si="161"/>
        <v>990.00000000000011</v>
      </c>
      <c r="L1202" s="18" t="s">
        <v>20</v>
      </c>
      <c r="M1202" s="50"/>
    </row>
    <row r="1203" spans="1:13" ht="21.75" hidden="1" customHeight="1" x14ac:dyDescent="0.4">
      <c r="A1203" s="62">
        <v>45062</v>
      </c>
      <c r="B1203" s="32" t="s">
        <v>1563</v>
      </c>
      <c r="C1203" s="18" t="s">
        <v>17</v>
      </c>
      <c r="D1203" s="63" t="s">
        <v>426</v>
      </c>
      <c r="E1203" s="50" t="s">
        <v>1692</v>
      </c>
      <c r="F1203" s="57">
        <v>1020</v>
      </c>
      <c r="G1203" s="76"/>
      <c r="H1203" s="57">
        <f t="shared" si="159"/>
        <v>1020</v>
      </c>
      <c r="I1203" s="50">
        <v>3</v>
      </c>
      <c r="J1203" s="57">
        <f t="shared" si="160"/>
        <v>3060</v>
      </c>
      <c r="K1203" s="58">
        <f t="shared" si="161"/>
        <v>3366.0000000000005</v>
      </c>
      <c r="L1203" s="18" t="s">
        <v>25</v>
      </c>
      <c r="M1203" s="50"/>
    </row>
    <row r="1204" spans="1:13" ht="21.75" hidden="1" customHeight="1" x14ac:dyDescent="0.4">
      <c r="A1204" s="62">
        <v>45062</v>
      </c>
      <c r="B1204" s="32" t="s">
        <v>1563</v>
      </c>
      <c r="C1204" s="18" t="s">
        <v>17</v>
      </c>
      <c r="D1204" s="63" t="s">
        <v>292</v>
      </c>
      <c r="E1204" s="50" t="s">
        <v>1693</v>
      </c>
      <c r="F1204" s="57">
        <v>4408</v>
      </c>
      <c r="G1204" s="76"/>
      <c r="H1204" s="57">
        <f t="shared" si="159"/>
        <v>4408</v>
      </c>
      <c r="I1204" s="50">
        <v>1</v>
      </c>
      <c r="J1204" s="57">
        <f t="shared" si="160"/>
        <v>4408</v>
      </c>
      <c r="K1204" s="58">
        <f t="shared" si="161"/>
        <v>4848.8</v>
      </c>
      <c r="L1204" s="18" t="s">
        <v>25</v>
      </c>
      <c r="M1204" s="50"/>
    </row>
    <row r="1205" spans="1:13" ht="21.75" hidden="1" customHeight="1" x14ac:dyDescent="0.4">
      <c r="A1205" s="62">
        <v>45062</v>
      </c>
      <c r="B1205" s="32" t="s">
        <v>1694</v>
      </c>
      <c r="C1205" s="18" t="s">
        <v>17</v>
      </c>
      <c r="D1205" s="63" t="s">
        <v>426</v>
      </c>
      <c r="E1205" s="50" t="s">
        <v>1695</v>
      </c>
      <c r="F1205" s="57">
        <v>1700</v>
      </c>
      <c r="G1205" s="76">
        <v>-680</v>
      </c>
      <c r="H1205" s="57">
        <f t="shared" si="159"/>
        <v>1020</v>
      </c>
      <c r="I1205" s="50">
        <v>5</v>
      </c>
      <c r="J1205" s="57">
        <f t="shared" si="160"/>
        <v>5100</v>
      </c>
      <c r="K1205" s="58">
        <f t="shared" si="161"/>
        <v>5610</v>
      </c>
      <c r="L1205" s="18" t="s">
        <v>34</v>
      </c>
      <c r="M1205" s="50"/>
    </row>
    <row r="1206" spans="1:13" ht="21.75" hidden="1" customHeight="1" x14ac:dyDescent="0.4">
      <c r="A1206" s="62">
        <v>45062</v>
      </c>
      <c r="B1206" s="32" t="s">
        <v>1694</v>
      </c>
      <c r="C1206" s="18" t="s">
        <v>17</v>
      </c>
      <c r="D1206" s="63" t="s">
        <v>594</v>
      </c>
      <c r="E1206" s="50" t="s">
        <v>1696</v>
      </c>
      <c r="F1206" s="57">
        <v>80000</v>
      </c>
      <c r="G1206" s="76">
        <v>-12000</v>
      </c>
      <c r="H1206" s="57">
        <f t="shared" si="159"/>
        <v>68000</v>
      </c>
      <c r="I1206" s="50">
        <v>1</v>
      </c>
      <c r="J1206" s="57">
        <f t="shared" si="160"/>
        <v>68000</v>
      </c>
      <c r="K1206" s="58">
        <f t="shared" si="161"/>
        <v>74800</v>
      </c>
      <c r="L1206" s="18" t="s">
        <v>34</v>
      </c>
      <c r="M1206" s="50"/>
    </row>
    <row r="1207" spans="1:13" ht="21.75" hidden="1" customHeight="1" x14ac:dyDescent="0.4">
      <c r="A1207" s="62">
        <v>45063</v>
      </c>
      <c r="B1207" s="32" t="s">
        <v>503</v>
      </c>
      <c r="C1207" s="18" t="s">
        <v>17</v>
      </c>
      <c r="D1207" s="63" t="s">
        <v>292</v>
      </c>
      <c r="E1207" s="50" t="s">
        <v>1697</v>
      </c>
      <c r="F1207" s="57">
        <v>5500</v>
      </c>
      <c r="G1207" s="76"/>
      <c r="H1207" s="57">
        <f t="shared" si="159"/>
        <v>5500</v>
      </c>
      <c r="I1207" s="50">
        <v>1</v>
      </c>
      <c r="J1207" s="57">
        <f t="shared" si="160"/>
        <v>5500</v>
      </c>
      <c r="K1207" s="58">
        <f t="shared" si="161"/>
        <v>6050.0000000000009</v>
      </c>
      <c r="L1207" s="18" t="s">
        <v>25</v>
      </c>
      <c r="M1207" s="50"/>
    </row>
    <row r="1208" spans="1:13" ht="21.75" hidden="1" customHeight="1" x14ac:dyDescent="0.4">
      <c r="A1208" s="62">
        <v>45063</v>
      </c>
      <c r="B1208" s="32" t="s">
        <v>1698</v>
      </c>
      <c r="C1208" s="18" t="s">
        <v>17</v>
      </c>
      <c r="D1208" s="63" t="s">
        <v>32</v>
      </c>
      <c r="E1208" s="50" t="s">
        <v>1699</v>
      </c>
      <c r="F1208" s="57">
        <v>50000</v>
      </c>
      <c r="G1208" s="76">
        <v>-10000</v>
      </c>
      <c r="H1208" s="57">
        <f t="shared" si="159"/>
        <v>40000</v>
      </c>
      <c r="I1208" s="50">
        <v>1</v>
      </c>
      <c r="J1208" s="57">
        <f t="shared" si="160"/>
        <v>40000</v>
      </c>
      <c r="K1208" s="58">
        <f t="shared" si="161"/>
        <v>44000</v>
      </c>
      <c r="L1208" s="18" t="s">
        <v>34</v>
      </c>
      <c r="M1208" s="50"/>
    </row>
    <row r="1209" spans="1:13" ht="21.75" hidden="1" customHeight="1" x14ac:dyDescent="0.4">
      <c r="A1209" s="62">
        <v>45063</v>
      </c>
      <c r="B1209" s="32" t="s">
        <v>1698</v>
      </c>
      <c r="C1209" s="18" t="s">
        <v>17</v>
      </c>
      <c r="D1209" s="63" t="s">
        <v>332</v>
      </c>
      <c r="E1209" s="50" t="s">
        <v>1689</v>
      </c>
      <c r="F1209" s="57">
        <v>1090</v>
      </c>
      <c r="G1209" s="76"/>
      <c r="H1209" s="57">
        <f t="shared" si="159"/>
        <v>1090</v>
      </c>
      <c r="I1209" s="50">
        <v>1</v>
      </c>
      <c r="J1209" s="57">
        <f t="shared" si="160"/>
        <v>1090</v>
      </c>
      <c r="K1209" s="58">
        <f t="shared" si="161"/>
        <v>1199</v>
      </c>
      <c r="L1209" s="18" t="s">
        <v>34</v>
      </c>
      <c r="M1209" s="50"/>
    </row>
    <row r="1210" spans="1:13" ht="21.75" hidden="1" customHeight="1" x14ac:dyDescent="0.4">
      <c r="A1210" s="62">
        <v>45063</v>
      </c>
      <c r="B1210" s="32" t="s">
        <v>1700</v>
      </c>
      <c r="C1210" s="18" t="s">
        <v>17</v>
      </c>
      <c r="D1210" s="63" t="s">
        <v>32</v>
      </c>
      <c r="E1210" s="50" t="s">
        <v>1701</v>
      </c>
      <c r="F1210" s="57">
        <v>40000</v>
      </c>
      <c r="G1210" s="76">
        <v>-8000</v>
      </c>
      <c r="H1210" s="57">
        <f t="shared" si="159"/>
        <v>32000</v>
      </c>
      <c r="I1210" s="50">
        <v>1</v>
      </c>
      <c r="J1210" s="57">
        <f t="shared" si="160"/>
        <v>32000</v>
      </c>
      <c r="K1210" s="58">
        <f t="shared" si="161"/>
        <v>35200</v>
      </c>
      <c r="L1210" s="18" t="s">
        <v>34</v>
      </c>
      <c r="M1210" s="50"/>
    </row>
    <row r="1211" spans="1:13" ht="21.75" hidden="1" customHeight="1" x14ac:dyDescent="0.4">
      <c r="A1211" s="62">
        <v>45063</v>
      </c>
      <c r="B1211" s="32" t="s">
        <v>1700</v>
      </c>
      <c r="C1211" s="18" t="s">
        <v>17</v>
      </c>
      <c r="D1211" s="63" t="s">
        <v>332</v>
      </c>
      <c r="E1211" s="50" t="s">
        <v>1689</v>
      </c>
      <c r="F1211" s="57">
        <v>1090</v>
      </c>
      <c r="G1211" s="76"/>
      <c r="H1211" s="57">
        <f t="shared" si="159"/>
        <v>1090</v>
      </c>
      <c r="I1211" s="50">
        <v>1</v>
      </c>
      <c r="J1211" s="57">
        <f t="shared" si="160"/>
        <v>1090</v>
      </c>
      <c r="K1211" s="58">
        <f t="shared" si="161"/>
        <v>1199</v>
      </c>
      <c r="L1211" s="18" t="s">
        <v>34</v>
      </c>
      <c r="M1211" s="50"/>
    </row>
    <row r="1212" spans="1:13" ht="21.75" hidden="1" customHeight="1" x14ac:dyDescent="0.4">
      <c r="A1212" s="62">
        <v>45063</v>
      </c>
      <c r="B1212" s="32" t="s">
        <v>1700</v>
      </c>
      <c r="C1212" s="18" t="s">
        <v>17</v>
      </c>
      <c r="D1212" s="63" t="s">
        <v>330</v>
      </c>
      <c r="E1212" s="50" t="s">
        <v>1667</v>
      </c>
      <c r="F1212" s="57">
        <v>4000</v>
      </c>
      <c r="G1212" s="76"/>
      <c r="H1212" s="57">
        <f t="shared" si="159"/>
        <v>4000</v>
      </c>
      <c r="I1212" s="50">
        <v>1</v>
      </c>
      <c r="J1212" s="57">
        <f t="shared" si="160"/>
        <v>4000</v>
      </c>
      <c r="K1212" s="58">
        <f t="shared" si="161"/>
        <v>4400</v>
      </c>
      <c r="L1212" s="18" t="s">
        <v>34</v>
      </c>
      <c r="M1212" s="50"/>
    </row>
    <row r="1213" spans="1:13" ht="21.75" hidden="1" customHeight="1" x14ac:dyDescent="0.4">
      <c r="A1213" s="62">
        <v>45063</v>
      </c>
      <c r="B1213" s="32" t="s">
        <v>1700</v>
      </c>
      <c r="C1213" s="18" t="s">
        <v>22</v>
      </c>
      <c r="D1213" s="63" t="s">
        <v>23</v>
      </c>
      <c r="E1213" s="50" t="s">
        <v>1702</v>
      </c>
      <c r="F1213" s="57">
        <v>20000</v>
      </c>
      <c r="G1213" s="76"/>
      <c r="H1213" s="57">
        <f t="shared" si="159"/>
        <v>20000</v>
      </c>
      <c r="I1213" s="50">
        <v>1</v>
      </c>
      <c r="J1213" s="57">
        <f t="shared" si="160"/>
        <v>20000</v>
      </c>
      <c r="K1213" s="58">
        <f t="shared" si="161"/>
        <v>22000</v>
      </c>
      <c r="L1213" s="18" t="s">
        <v>25</v>
      </c>
      <c r="M1213" s="50"/>
    </row>
    <row r="1214" spans="1:13" ht="21.75" hidden="1" customHeight="1" x14ac:dyDescent="0.4">
      <c r="A1214" s="62">
        <v>45064</v>
      </c>
      <c r="B1214" s="32" t="s">
        <v>139</v>
      </c>
      <c r="C1214" s="18" t="s">
        <v>17</v>
      </c>
      <c r="D1214" s="63" t="s">
        <v>292</v>
      </c>
      <c r="E1214" s="50" t="s">
        <v>1703</v>
      </c>
      <c r="F1214" s="57">
        <v>4800</v>
      </c>
      <c r="G1214" s="76">
        <v>-480</v>
      </c>
      <c r="H1214" s="57">
        <f t="shared" si="159"/>
        <v>4320</v>
      </c>
      <c r="I1214" s="50">
        <v>1</v>
      </c>
      <c r="J1214" s="57">
        <f t="shared" si="160"/>
        <v>4320</v>
      </c>
      <c r="K1214" s="58">
        <f t="shared" si="161"/>
        <v>4752</v>
      </c>
      <c r="L1214" s="18" t="s">
        <v>25</v>
      </c>
      <c r="M1214" s="50"/>
    </row>
    <row r="1215" spans="1:13" ht="21.75" hidden="1" customHeight="1" x14ac:dyDescent="0.4">
      <c r="A1215" s="62">
        <v>45064</v>
      </c>
      <c r="B1215" s="32" t="s">
        <v>1704</v>
      </c>
      <c r="C1215" s="18" t="s">
        <v>22</v>
      </c>
      <c r="D1215" s="63" t="s">
        <v>1586</v>
      </c>
      <c r="E1215" s="50" t="s">
        <v>1616</v>
      </c>
      <c r="F1215" s="57">
        <v>15000</v>
      </c>
      <c r="G1215" s="76"/>
      <c r="H1215" s="57">
        <f t="shared" si="159"/>
        <v>15000</v>
      </c>
      <c r="I1215" s="50">
        <v>1</v>
      </c>
      <c r="J1215" s="57">
        <f t="shared" si="160"/>
        <v>15000</v>
      </c>
      <c r="K1215" s="58">
        <f t="shared" si="161"/>
        <v>16500</v>
      </c>
      <c r="L1215" s="18" t="s">
        <v>20</v>
      </c>
      <c r="M1215" s="50"/>
    </row>
    <row r="1216" spans="1:13" ht="21.75" hidden="1" customHeight="1" x14ac:dyDescent="0.4">
      <c r="A1216" s="62">
        <v>45065</v>
      </c>
      <c r="B1216" s="32" t="s">
        <v>179</v>
      </c>
      <c r="C1216" s="18" t="s">
        <v>17</v>
      </c>
      <c r="D1216" s="63" t="s">
        <v>332</v>
      </c>
      <c r="E1216" s="50" t="s">
        <v>1705</v>
      </c>
      <c r="F1216" s="57">
        <v>1400</v>
      </c>
      <c r="G1216" s="76">
        <v>-140</v>
      </c>
      <c r="H1216" s="57">
        <f t="shared" si="159"/>
        <v>1260</v>
      </c>
      <c r="I1216" s="50">
        <v>1</v>
      </c>
      <c r="J1216" s="57">
        <f t="shared" si="160"/>
        <v>1260</v>
      </c>
      <c r="K1216" s="58">
        <f t="shared" si="161"/>
        <v>1386</v>
      </c>
      <c r="L1216" s="18" t="s">
        <v>20</v>
      </c>
      <c r="M1216" s="50"/>
    </row>
    <row r="1217" spans="1:13" ht="21.75" hidden="1" customHeight="1" x14ac:dyDescent="0.4">
      <c r="A1217" s="62">
        <v>45065</v>
      </c>
      <c r="B1217" s="32" t="s">
        <v>1706</v>
      </c>
      <c r="C1217" s="18" t="s">
        <v>317</v>
      </c>
      <c r="D1217" s="63" t="s">
        <v>28</v>
      </c>
      <c r="E1217" s="50" t="s">
        <v>318</v>
      </c>
      <c r="F1217" s="57">
        <v>15000</v>
      </c>
      <c r="G1217" s="76"/>
      <c r="H1217" s="57">
        <f t="shared" si="159"/>
        <v>15000</v>
      </c>
      <c r="I1217" s="50">
        <v>1</v>
      </c>
      <c r="J1217" s="57">
        <f t="shared" si="160"/>
        <v>15000</v>
      </c>
      <c r="K1217" s="58">
        <f t="shared" si="161"/>
        <v>16500</v>
      </c>
      <c r="L1217" s="18" t="s">
        <v>34</v>
      </c>
      <c r="M1217" s="50"/>
    </row>
    <row r="1218" spans="1:13" ht="21.75" hidden="1" customHeight="1" x14ac:dyDescent="0.4">
      <c r="A1218" s="62">
        <v>45065</v>
      </c>
      <c r="B1218" s="32" t="s">
        <v>1706</v>
      </c>
      <c r="C1218" s="18" t="s">
        <v>317</v>
      </c>
      <c r="D1218" s="63" t="s">
        <v>28</v>
      </c>
      <c r="E1218" s="50" t="s">
        <v>1718</v>
      </c>
      <c r="F1218" s="57">
        <v>4370</v>
      </c>
      <c r="G1218" s="76"/>
      <c r="H1218" s="57">
        <f t="shared" si="159"/>
        <v>4370</v>
      </c>
      <c r="I1218" s="50">
        <v>1</v>
      </c>
      <c r="J1218" s="57">
        <f t="shared" si="160"/>
        <v>4370</v>
      </c>
      <c r="K1218" s="58">
        <f t="shared" si="161"/>
        <v>4807</v>
      </c>
      <c r="L1218" s="18" t="s">
        <v>34</v>
      </c>
      <c r="M1218" s="50"/>
    </row>
    <row r="1219" spans="1:13" ht="21.75" hidden="1" customHeight="1" x14ac:dyDescent="0.4">
      <c r="A1219" s="62">
        <v>45065</v>
      </c>
      <c r="B1219" s="32" t="s">
        <v>1706</v>
      </c>
      <c r="C1219" s="18" t="s">
        <v>317</v>
      </c>
      <c r="D1219" s="63" t="s">
        <v>28</v>
      </c>
      <c r="E1219" s="50" t="s">
        <v>1717</v>
      </c>
      <c r="F1219" s="57">
        <v>17500</v>
      </c>
      <c r="G1219" s="76"/>
      <c r="H1219" s="57">
        <f t="shared" si="159"/>
        <v>17500</v>
      </c>
      <c r="I1219" s="50">
        <v>1</v>
      </c>
      <c r="J1219" s="57">
        <f t="shared" si="160"/>
        <v>17500</v>
      </c>
      <c r="K1219" s="58">
        <f t="shared" si="161"/>
        <v>19250</v>
      </c>
      <c r="L1219" s="18" t="s">
        <v>34</v>
      </c>
      <c r="M1219" s="50"/>
    </row>
    <row r="1220" spans="1:13" ht="21.75" hidden="1" customHeight="1" x14ac:dyDescent="0.4">
      <c r="A1220" s="62">
        <v>45065</v>
      </c>
      <c r="B1220" s="32" t="s">
        <v>1706</v>
      </c>
      <c r="C1220" s="96" t="s">
        <v>198</v>
      </c>
      <c r="D1220" s="63" t="s">
        <v>28</v>
      </c>
      <c r="E1220" s="50" t="s">
        <v>318</v>
      </c>
      <c r="F1220" s="57">
        <v>-15000</v>
      </c>
      <c r="G1220" s="76"/>
      <c r="H1220" s="57">
        <f t="shared" si="159"/>
        <v>-15000</v>
      </c>
      <c r="I1220" s="50">
        <v>1</v>
      </c>
      <c r="J1220" s="57">
        <f t="shared" si="160"/>
        <v>-15000</v>
      </c>
      <c r="K1220" s="58">
        <f t="shared" si="161"/>
        <v>-16500</v>
      </c>
      <c r="L1220" s="18" t="s">
        <v>34</v>
      </c>
      <c r="M1220" s="50"/>
    </row>
    <row r="1221" spans="1:13" ht="21.75" hidden="1" customHeight="1" x14ac:dyDescent="0.4">
      <c r="A1221" s="62">
        <v>45065</v>
      </c>
      <c r="B1221" s="32" t="s">
        <v>1706</v>
      </c>
      <c r="C1221" s="96" t="s">
        <v>198</v>
      </c>
      <c r="D1221" s="63" t="s">
        <v>28</v>
      </c>
      <c r="E1221" s="50" t="s">
        <v>1718</v>
      </c>
      <c r="F1221" s="57">
        <v>-4370</v>
      </c>
      <c r="G1221" s="76"/>
      <c r="H1221" s="57">
        <f t="shared" si="159"/>
        <v>-4370</v>
      </c>
      <c r="I1221" s="50">
        <v>1</v>
      </c>
      <c r="J1221" s="57">
        <f t="shared" si="160"/>
        <v>-4370</v>
      </c>
      <c r="K1221" s="58">
        <f t="shared" si="161"/>
        <v>-4807</v>
      </c>
      <c r="L1221" s="18" t="s">
        <v>34</v>
      </c>
      <c r="M1221" s="50"/>
    </row>
    <row r="1222" spans="1:13" ht="21.75" hidden="1" customHeight="1" x14ac:dyDescent="0.4">
      <c r="A1222" s="62">
        <v>45065</v>
      </c>
      <c r="B1222" s="32" t="s">
        <v>1706</v>
      </c>
      <c r="C1222" s="96" t="s">
        <v>198</v>
      </c>
      <c r="D1222" s="63" t="s">
        <v>28</v>
      </c>
      <c r="E1222" s="50" t="s">
        <v>1717</v>
      </c>
      <c r="F1222" s="57">
        <v>-17500</v>
      </c>
      <c r="G1222" s="76"/>
      <c r="H1222" s="57">
        <f t="shared" si="159"/>
        <v>-17500</v>
      </c>
      <c r="I1222" s="50">
        <v>1</v>
      </c>
      <c r="J1222" s="57">
        <f t="shared" si="160"/>
        <v>-17500</v>
      </c>
      <c r="K1222" s="58">
        <f t="shared" si="161"/>
        <v>-19250</v>
      </c>
      <c r="L1222" s="18" t="s">
        <v>34</v>
      </c>
      <c r="M1222" s="50"/>
    </row>
    <row r="1223" spans="1:13" ht="21.75" hidden="1" customHeight="1" x14ac:dyDescent="0.4">
      <c r="A1223" s="62">
        <v>45065</v>
      </c>
      <c r="B1223" s="32" t="s">
        <v>1706</v>
      </c>
      <c r="C1223" s="18" t="s">
        <v>317</v>
      </c>
      <c r="D1223" s="63" t="s">
        <v>28</v>
      </c>
      <c r="E1223" s="50" t="s">
        <v>318</v>
      </c>
      <c r="F1223" s="57">
        <v>15000</v>
      </c>
      <c r="G1223" s="76"/>
      <c r="H1223" s="57">
        <f t="shared" ref="H1223:H1225" si="172">F1223+G1223</f>
        <v>15000</v>
      </c>
      <c r="I1223" s="50">
        <v>1</v>
      </c>
      <c r="J1223" s="57">
        <f t="shared" ref="J1223:J1225" si="173">H1223*I1223</f>
        <v>15000</v>
      </c>
      <c r="K1223" s="58">
        <f t="shared" ref="K1223:K1225" si="174">J1223*1.1</f>
        <v>16500</v>
      </c>
      <c r="L1223" s="18" t="s">
        <v>25</v>
      </c>
      <c r="M1223" s="50"/>
    </row>
    <row r="1224" spans="1:13" ht="21.75" hidden="1" customHeight="1" x14ac:dyDescent="0.4">
      <c r="A1224" s="62">
        <v>45065</v>
      </c>
      <c r="B1224" s="32" t="s">
        <v>1706</v>
      </c>
      <c r="C1224" s="18" t="s">
        <v>317</v>
      </c>
      <c r="D1224" s="63" t="s">
        <v>28</v>
      </c>
      <c r="E1224" s="50" t="s">
        <v>1718</v>
      </c>
      <c r="F1224" s="57">
        <v>4370</v>
      </c>
      <c r="G1224" s="76"/>
      <c r="H1224" s="57">
        <f t="shared" si="172"/>
        <v>4370</v>
      </c>
      <c r="I1224" s="50">
        <v>1</v>
      </c>
      <c r="J1224" s="57">
        <f t="shared" si="173"/>
        <v>4370</v>
      </c>
      <c r="K1224" s="58">
        <f t="shared" si="174"/>
        <v>4807</v>
      </c>
      <c r="L1224" s="18" t="s">
        <v>25</v>
      </c>
      <c r="M1224" s="50"/>
    </row>
    <row r="1225" spans="1:13" ht="21.75" hidden="1" customHeight="1" x14ac:dyDescent="0.4">
      <c r="A1225" s="62">
        <v>45065</v>
      </c>
      <c r="B1225" s="32" t="s">
        <v>1706</v>
      </c>
      <c r="C1225" s="18" t="s">
        <v>317</v>
      </c>
      <c r="D1225" s="63" t="s">
        <v>28</v>
      </c>
      <c r="E1225" s="50" t="s">
        <v>1717</v>
      </c>
      <c r="F1225" s="57">
        <v>17500</v>
      </c>
      <c r="G1225" s="76"/>
      <c r="H1225" s="57">
        <f t="shared" si="172"/>
        <v>17500</v>
      </c>
      <c r="I1225" s="50">
        <v>1</v>
      </c>
      <c r="J1225" s="57">
        <f t="shared" si="173"/>
        <v>17500</v>
      </c>
      <c r="K1225" s="58">
        <f t="shared" si="174"/>
        <v>19250</v>
      </c>
      <c r="L1225" s="18" t="s">
        <v>25</v>
      </c>
      <c r="M1225" s="50"/>
    </row>
    <row r="1226" spans="1:13" ht="21.75" hidden="1" customHeight="1" x14ac:dyDescent="0.4">
      <c r="A1226" s="62">
        <v>45065</v>
      </c>
      <c r="B1226" s="32" t="s">
        <v>182</v>
      </c>
      <c r="C1226" s="6" t="s">
        <v>317</v>
      </c>
      <c r="D1226" s="50" t="s">
        <v>103</v>
      </c>
      <c r="E1226" s="50" t="s">
        <v>104</v>
      </c>
      <c r="F1226" s="50">
        <v>2500</v>
      </c>
      <c r="G1226" s="72"/>
      <c r="H1226" s="8">
        <f t="shared" ref="H1226:H1289" si="175">SUM(F1226:G1226)</f>
        <v>2500</v>
      </c>
      <c r="I1226" s="50">
        <v>1</v>
      </c>
      <c r="J1226" s="8">
        <f t="shared" ref="J1226:J1227" si="176">SUM(H1226*I1226)</f>
        <v>2500</v>
      </c>
      <c r="K1226" s="9">
        <f t="shared" ref="K1226:K1227" si="177">ROUNDDOWN(J1226*1.1,0)</f>
        <v>2750</v>
      </c>
      <c r="L1226" s="6" t="s">
        <v>20</v>
      </c>
      <c r="M1226" s="50"/>
    </row>
    <row r="1227" spans="1:13" ht="21.75" hidden="1" customHeight="1" x14ac:dyDescent="0.4">
      <c r="A1227" s="62">
        <v>45065</v>
      </c>
      <c r="B1227" s="32" t="s">
        <v>1541</v>
      </c>
      <c r="C1227" s="18" t="s">
        <v>17</v>
      </c>
      <c r="D1227" s="63" t="s">
        <v>332</v>
      </c>
      <c r="E1227" s="50" t="s">
        <v>1707</v>
      </c>
      <c r="F1227" s="57">
        <v>1800</v>
      </c>
      <c r="G1227" s="76">
        <v>-180</v>
      </c>
      <c r="H1227" s="57">
        <f t="shared" si="175"/>
        <v>1620</v>
      </c>
      <c r="I1227" s="50">
        <v>2</v>
      </c>
      <c r="J1227" s="57">
        <f t="shared" si="176"/>
        <v>3240</v>
      </c>
      <c r="K1227" s="58">
        <f t="shared" si="177"/>
        <v>3564</v>
      </c>
      <c r="L1227" s="18" t="s">
        <v>25</v>
      </c>
      <c r="M1227" s="50"/>
    </row>
    <row r="1228" spans="1:13" ht="21.75" hidden="1" customHeight="1" x14ac:dyDescent="0.4">
      <c r="A1228" s="62">
        <v>45066</v>
      </c>
      <c r="B1228" s="32" t="s">
        <v>1708</v>
      </c>
      <c r="C1228" s="18" t="s">
        <v>22</v>
      </c>
      <c r="D1228" s="63" t="s">
        <v>1496</v>
      </c>
      <c r="E1228" s="50" t="s">
        <v>369</v>
      </c>
      <c r="F1228" s="57">
        <v>3000</v>
      </c>
      <c r="G1228" s="76"/>
      <c r="H1228" s="57">
        <f t="shared" si="175"/>
        <v>3000</v>
      </c>
      <c r="I1228" s="50">
        <v>1</v>
      </c>
      <c r="J1228" s="57">
        <f t="shared" ref="J1228:J1291" si="178">SUM(H1228*I1228)</f>
        <v>3000</v>
      </c>
      <c r="K1228" s="58">
        <f t="shared" ref="K1228:K1291" si="179">ROUNDDOWN(J1228*1.1,0)</f>
        <v>3300</v>
      </c>
      <c r="L1228" s="6" t="s">
        <v>20</v>
      </c>
      <c r="M1228" s="50"/>
    </row>
    <row r="1229" spans="1:13" ht="21.75" hidden="1" customHeight="1" x14ac:dyDescent="0.4">
      <c r="A1229" s="62">
        <v>45066</v>
      </c>
      <c r="B1229" s="32" t="s">
        <v>1709</v>
      </c>
      <c r="C1229" s="18" t="s">
        <v>22</v>
      </c>
      <c r="D1229" s="63" t="s">
        <v>1496</v>
      </c>
      <c r="E1229" s="50" t="s">
        <v>369</v>
      </c>
      <c r="F1229" s="57">
        <v>3000</v>
      </c>
      <c r="G1229" s="76"/>
      <c r="H1229" s="57">
        <f t="shared" ref="H1229" si="180">SUM(F1229:G1229)</f>
        <v>3000</v>
      </c>
      <c r="I1229" s="50">
        <v>1</v>
      </c>
      <c r="J1229" s="57">
        <f t="shared" ref="J1229" si="181">SUM(H1229*I1229)</f>
        <v>3000</v>
      </c>
      <c r="K1229" s="58">
        <f t="shared" ref="K1229" si="182">ROUNDDOWN(J1229*1.1,0)</f>
        <v>3300</v>
      </c>
      <c r="L1229" s="6" t="s">
        <v>20</v>
      </c>
      <c r="M1229" s="50"/>
    </row>
    <row r="1230" spans="1:13" ht="21.75" hidden="1" customHeight="1" x14ac:dyDescent="0.4">
      <c r="A1230" s="62">
        <v>45066</v>
      </c>
      <c r="B1230" s="32" t="s">
        <v>1710</v>
      </c>
      <c r="C1230" s="18" t="s">
        <v>17</v>
      </c>
      <c r="D1230" s="63" t="s">
        <v>32</v>
      </c>
      <c r="E1230" s="50" t="s">
        <v>1409</v>
      </c>
      <c r="F1230" s="57">
        <v>70000</v>
      </c>
      <c r="G1230" s="76">
        <v>-14000</v>
      </c>
      <c r="H1230" s="57">
        <f t="shared" si="175"/>
        <v>56000</v>
      </c>
      <c r="I1230" s="50">
        <v>1</v>
      </c>
      <c r="J1230" s="57">
        <f t="shared" si="178"/>
        <v>56000</v>
      </c>
      <c r="K1230" s="58">
        <f t="shared" si="179"/>
        <v>61600</v>
      </c>
      <c r="L1230" s="18" t="s">
        <v>34</v>
      </c>
      <c r="M1230" s="50"/>
    </row>
    <row r="1231" spans="1:13" ht="21.75" hidden="1" customHeight="1" x14ac:dyDescent="0.4">
      <c r="A1231" s="62">
        <v>45066</v>
      </c>
      <c r="B1231" s="32" t="s">
        <v>1710</v>
      </c>
      <c r="C1231" s="18" t="s">
        <v>17</v>
      </c>
      <c r="D1231" s="63" t="s">
        <v>32</v>
      </c>
      <c r="E1231" s="50" t="s">
        <v>1711</v>
      </c>
      <c r="F1231" s="57">
        <v>28000</v>
      </c>
      <c r="G1231" s="76">
        <v>-5600</v>
      </c>
      <c r="H1231" s="57">
        <f t="shared" si="175"/>
        <v>22400</v>
      </c>
      <c r="I1231" s="50">
        <v>1</v>
      </c>
      <c r="J1231" s="57">
        <f t="shared" si="178"/>
        <v>22400</v>
      </c>
      <c r="K1231" s="58">
        <f t="shared" si="179"/>
        <v>24640</v>
      </c>
      <c r="L1231" s="18" t="s">
        <v>34</v>
      </c>
      <c r="M1231" s="50"/>
    </row>
    <row r="1232" spans="1:13" ht="21.75" hidden="1" customHeight="1" x14ac:dyDescent="0.4">
      <c r="A1232" s="62">
        <v>45066</v>
      </c>
      <c r="B1232" s="32" t="s">
        <v>1710</v>
      </c>
      <c r="C1232" s="18" t="s">
        <v>17</v>
      </c>
      <c r="D1232" s="63" t="s">
        <v>332</v>
      </c>
      <c r="E1232" s="50" t="s">
        <v>1712</v>
      </c>
      <c r="F1232" s="57">
        <v>1700</v>
      </c>
      <c r="G1232" s="76"/>
      <c r="H1232" s="57">
        <f t="shared" si="175"/>
        <v>1700</v>
      </c>
      <c r="I1232" s="50">
        <v>2</v>
      </c>
      <c r="J1232" s="57">
        <f t="shared" si="178"/>
        <v>3400</v>
      </c>
      <c r="K1232" s="58">
        <f t="shared" si="179"/>
        <v>3740</v>
      </c>
      <c r="L1232" s="18" t="s">
        <v>34</v>
      </c>
      <c r="M1232" s="50"/>
    </row>
    <row r="1233" spans="1:13" ht="21.75" hidden="1" customHeight="1" x14ac:dyDescent="0.4">
      <c r="A1233" s="62">
        <v>45066</v>
      </c>
      <c r="B1233" s="32" t="s">
        <v>1710</v>
      </c>
      <c r="C1233" s="96" t="s">
        <v>198</v>
      </c>
      <c r="D1233" s="63" t="s">
        <v>23</v>
      </c>
      <c r="E1233" s="50" t="s">
        <v>199</v>
      </c>
      <c r="F1233" s="57">
        <v>-15000</v>
      </c>
      <c r="G1233" s="76"/>
      <c r="H1233" s="57">
        <f t="shared" si="175"/>
        <v>-15000</v>
      </c>
      <c r="I1233" s="50">
        <v>1</v>
      </c>
      <c r="J1233" s="57">
        <f t="shared" si="178"/>
        <v>-15000</v>
      </c>
      <c r="K1233" s="58">
        <f t="shared" si="179"/>
        <v>-16500</v>
      </c>
      <c r="L1233" s="18" t="s">
        <v>34</v>
      </c>
      <c r="M1233" s="50" t="s">
        <v>1713</v>
      </c>
    </row>
    <row r="1234" spans="1:13" ht="21.75" hidden="1" customHeight="1" x14ac:dyDescent="0.4">
      <c r="A1234" s="62">
        <v>45066</v>
      </c>
      <c r="B1234" s="32" t="s">
        <v>1628</v>
      </c>
      <c r="C1234" s="18" t="s">
        <v>17</v>
      </c>
      <c r="D1234" s="63" t="s">
        <v>283</v>
      </c>
      <c r="E1234" s="50" t="s">
        <v>1714</v>
      </c>
      <c r="F1234" s="57">
        <v>15000</v>
      </c>
      <c r="G1234" s="76">
        <v>-1500</v>
      </c>
      <c r="H1234" s="57">
        <f t="shared" si="175"/>
        <v>13500</v>
      </c>
      <c r="I1234" s="50">
        <v>1</v>
      </c>
      <c r="J1234" s="57">
        <f t="shared" si="178"/>
        <v>13500</v>
      </c>
      <c r="K1234" s="58">
        <f t="shared" si="179"/>
        <v>14850</v>
      </c>
      <c r="L1234" s="18" t="s">
        <v>25</v>
      </c>
      <c r="M1234" s="50"/>
    </row>
    <row r="1235" spans="1:13" ht="21.75" hidden="1" customHeight="1" x14ac:dyDescent="0.4">
      <c r="A1235" s="62">
        <v>45066</v>
      </c>
      <c r="B1235" s="32" t="s">
        <v>1727</v>
      </c>
      <c r="C1235" s="18" t="s">
        <v>59</v>
      </c>
      <c r="D1235" s="63" t="s">
        <v>1715</v>
      </c>
      <c r="E1235" s="50"/>
      <c r="F1235" s="57">
        <v>500</v>
      </c>
      <c r="G1235" s="76"/>
      <c r="H1235" s="57">
        <f t="shared" si="175"/>
        <v>500</v>
      </c>
      <c r="I1235" s="50">
        <v>1</v>
      </c>
      <c r="J1235" s="57">
        <f t="shared" si="178"/>
        <v>500</v>
      </c>
      <c r="K1235" s="58">
        <f t="shared" si="179"/>
        <v>550</v>
      </c>
      <c r="L1235" s="18" t="s">
        <v>20</v>
      </c>
      <c r="M1235" s="50"/>
    </row>
    <row r="1236" spans="1:13" ht="21.75" hidden="1" customHeight="1" x14ac:dyDescent="0.4">
      <c r="A1236" s="62">
        <v>45066</v>
      </c>
      <c r="B1236" s="32" t="s">
        <v>1708</v>
      </c>
      <c r="C1236" s="18" t="s">
        <v>317</v>
      </c>
      <c r="D1236" s="63" t="s">
        <v>28</v>
      </c>
      <c r="E1236" s="50" t="s">
        <v>318</v>
      </c>
      <c r="F1236" s="57">
        <v>15000</v>
      </c>
      <c r="G1236" s="76"/>
      <c r="H1236" s="57">
        <f t="shared" si="175"/>
        <v>15000</v>
      </c>
      <c r="I1236" s="50">
        <v>1</v>
      </c>
      <c r="J1236" s="57">
        <f t="shared" si="178"/>
        <v>15000</v>
      </c>
      <c r="K1236" s="58">
        <f t="shared" si="179"/>
        <v>16500</v>
      </c>
      <c r="L1236" s="18" t="s">
        <v>25</v>
      </c>
      <c r="M1236" s="50"/>
    </row>
    <row r="1237" spans="1:13" ht="21.75" hidden="1" customHeight="1" x14ac:dyDescent="0.4">
      <c r="A1237" s="62">
        <v>45066</v>
      </c>
      <c r="B1237" s="32" t="s">
        <v>1708</v>
      </c>
      <c r="C1237" s="18" t="s">
        <v>317</v>
      </c>
      <c r="D1237" s="63" t="s">
        <v>28</v>
      </c>
      <c r="E1237" s="50" t="s">
        <v>1717</v>
      </c>
      <c r="F1237" s="57">
        <v>17500</v>
      </c>
      <c r="G1237" s="76"/>
      <c r="H1237" s="57">
        <f t="shared" si="175"/>
        <v>17500</v>
      </c>
      <c r="I1237" s="50">
        <v>1</v>
      </c>
      <c r="J1237" s="57">
        <f t="shared" si="178"/>
        <v>17500</v>
      </c>
      <c r="K1237" s="58">
        <f t="shared" si="179"/>
        <v>19250</v>
      </c>
      <c r="L1237" s="18" t="s">
        <v>25</v>
      </c>
      <c r="M1237" s="50"/>
    </row>
    <row r="1238" spans="1:13" ht="21.75" hidden="1" customHeight="1" x14ac:dyDescent="0.4">
      <c r="A1238" s="62">
        <v>45066</v>
      </c>
      <c r="B1238" s="32" t="s">
        <v>1720</v>
      </c>
      <c r="C1238" s="18" t="s">
        <v>17</v>
      </c>
      <c r="D1238" s="63" t="s">
        <v>32</v>
      </c>
      <c r="E1238" s="50" t="s">
        <v>1721</v>
      </c>
      <c r="F1238" s="57">
        <v>50000</v>
      </c>
      <c r="G1238" s="76">
        <v>-10000</v>
      </c>
      <c r="H1238" s="57">
        <f t="shared" si="175"/>
        <v>40000</v>
      </c>
      <c r="I1238" s="50">
        <v>1</v>
      </c>
      <c r="J1238" s="57">
        <f t="shared" si="178"/>
        <v>40000</v>
      </c>
      <c r="K1238" s="58">
        <f t="shared" si="179"/>
        <v>44000</v>
      </c>
      <c r="L1238" s="18" t="s">
        <v>34</v>
      </c>
      <c r="M1238" s="50"/>
    </row>
    <row r="1239" spans="1:13" ht="21.75" hidden="1" customHeight="1" x14ac:dyDescent="0.4">
      <c r="A1239" s="62">
        <v>45066</v>
      </c>
      <c r="B1239" s="32" t="s">
        <v>1720</v>
      </c>
      <c r="C1239" s="18" t="s">
        <v>17</v>
      </c>
      <c r="D1239" s="63" t="s">
        <v>332</v>
      </c>
      <c r="E1239" s="50" t="s">
        <v>1689</v>
      </c>
      <c r="F1239" s="57">
        <v>1090</v>
      </c>
      <c r="G1239" s="76"/>
      <c r="H1239" s="57">
        <f t="shared" si="175"/>
        <v>1090</v>
      </c>
      <c r="I1239" s="50">
        <v>1</v>
      </c>
      <c r="J1239" s="57">
        <f t="shared" si="178"/>
        <v>1090</v>
      </c>
      <c r="K1239" s="58">
        <f t="shared" si="179"/>
        <v>1199</v>
      </c>
      <c r="L1239" s="18" t="s">
        <v>34</v>
      </c>
      <c r="M1239" s="50"/>
    </row>
    <row r="1240" spans="1:13" ht="21.75" hidden="1" customHeight="1" x14ac:dyDescent="0.4">
      <c r="A1240" s="62">
        <v>45066</v>
      </c>
      <c r="B1240" s="32" t="s">
        <v>1722</v>
      </c>
      <c r="C1240" s="18" t="s">
        <v>22</v>
      </c>
      <c r="D1240" s="63" t="s">
        <v>23</v>
      </c>
      <c r="E1240" s="50"/>
      <c r="F1240" s="57">
        <v>15000</v>
      </c>
      <c r="G1240" s="76"/>
      <c r="H1240" s="57">
        <f t="shared" si="175"/>
        <v>15000</v>
      </c>
      <c r="I1240" s="50">
        <v>1</v>
      </c>
      <c r="J1240" s="57">
        <f t="shared" si="178"/>
        <v>15000</v>
      </c>
      <c r="K1240" s="58">
        <f t="shared" si="179"/>
        <v>16500</v>
      </c>
      <c r="L1240" s="18" t="s">
        <v>25</v>
      </c>
      <c r="M1240" s="50"/>
    </row>
    <row r="1241" spans="1:13" ht="21.75" hidden="1" customHeight="1" x14ac:dyDescent="0.4">
      <c r="A1241" s="62">
        <v>45066</v>
      </c>
      <c r="B1241" s="32" t="s">
        <v>1710</v>
      </c>
      <c r="C1241" s="18" t="s">
        <v>22</v>
      </c>
      <c r="D1241" s="63" t="s">
        <v>23</v>
      </c>
      <c r="E1241" s="50"/>
      <c r="F1241" s="57">
        <v>15000</v>
      </c>
      <c r="G1241" s="76"/>
      <c r="H1241" s="57">
        <f t="shared" si="175"/>
        <v>15000</v>
      </c>
      <c r="I1241" s="50">
        <v>1</v>
      </c>
      <c r="J1241" s="57">
        <f t="shared" si="178"/>
        <v>15000</v>
      </c>
      <c r="K1241" s="58">
        <f t="shared" si="179"/>
        <v>16500</v>
      </c>
      <c r="L1241" s="18" t="s">
        <v>25</v>
      </c>
      <c r="M1241" s="50"/>
    </row>
    <row r="1242" spans="1:13" ht="21.75" hidden="1" customHeight="1" x14ac:dyDescent="0.4">
      <c r="A1242" s="62">
        <v>45066</v>
      </c>
      <c r="B1242" s="32" t="s">
        <v>1719</v>
      </c>
      <c r="C1242" s="18" t="s">
        <v>317</v>
      </c>
      <c r="D1242" s="63" t="s">
        <v>28</v>
      </c>
      <c r="E1242" s="50" t="s">
        <v>318</v>
      </c>
      <c r="F1242" s="57">
        <v>15000</v>
      </c>
      <c r="G1242" s="76"/>
      <c r="H1242" s="57">
        <f t="shared" ref="H1242:H1243" si="183">SUM(F1242:G1242)</f>
        <v>15000</v>
      </c>
      <c r="I1242" s="50">
        <v>1</v>
      </c>
      <c r="J1242" s="57">
        <f t="shared" ref="J1242:J1243" si="184">SUM(H1242*I1242)</f>
        <v>15000</v>
      </c>
      <c r="K1242" s="58">
        <f t="shared" ref="K1242:K1243" si="185">ROUNDDOWN(J1242*1.1,0)</f>
        <v>16500</v>
      </c>
      <c r="L1242" s="18" t="s">
        <v>25</v>
      </c>
      <c r="M1242" s="50"/>
    </row>
    <row r="1243" spans="1:13" ht="21.75" hidden="1" customHeight="1" x14ac:dyDescent="0.4">
      <c r="A1243" s="62">
        <v>45066</v>
      </c>
      <c r="B1243" s="32" t="s">
        <v>1719</v>
      </c>
      <c r="C1243" s="18" t="s">
        <v>317</v>
      </c>
      <c r="D1243" s="63" t="s">
        <v>28</v>
      </c>
      <c r="E1243" s="50" t="s">
        <v>1717</v>
      </c>
      <c r="F1243" s="57">
        <v>17500</v>
      </c>
      <c r="G1243" s="76"/>
      <c r="H1243" s="57">
        <f t="shared" si="183"/>
        <v>17500</v>
      </c>
      <c r="I1243" s="50">
        <v>1</v>
      </c>
      <c r="J1243" s="57">
        <f t="shared" si="184"/>
        <v>17500</v>
      </c>
      <c r="K1243" s="58">
        <f t="shared" si="185"/>
        <v>19250</v>
      </c>
      <c r="L1243" s="18" t="s">
        <v>25</v>
      </c>
      <c r="M1243" s="50"/>
    </row>
    <row r="1244" spans="1:13" ht="21.75" hidden="1" customHeight="1" x14ac:dyDescent="0.4">
      <c r="A1244" s="62">
        <v>45066</v>
      </c>
      <c r="B1244" s="32" t="s">
        <v>1723</v>
      </c>
      <c r="C1244" s="18" t="s">
        <v>22</v>
      </c>
      <c r="D1244" s="63" t="s">
        <v>1496</v>
      </c>
      <c r="E1244" s="50" t="s">
        <v>369</v>
      </c>
      <c r="F1244" s="57">
        <v>3000</v>
      </c>
      <c r="G1244" s="76"/>
      <c r="H1244" s="57">
        <f t="shared" si="175"/>
        <v>3000</v>
      </c>
      <c r="I1244" s="50">
        <v>1</v>
      </c>
      <c r="J1244" s="57">
        <f t="shared" si="178"/>
        <v>3000</v>
      </c>
      <c r="K1244" s="58">
        <f t="shared" si="179"/>
        <v>3300</v>
      </c>
      <c r="L1244" s="18" t="s">
        <v>25</v>
      </c>
      <c r="M1244" s="50"/>
    </row>
    <row r="1245" spans="1:13" ht="21.75" hidden="1" customHeight="1" x14ac:dyDescent="0.4">
      <c r="A1245" s="62">
        <v>45066</v>
      </c>
      <c r="B1245" s="32" t="s">
        <v>1724</v>
      </c>
      <c r="C1245" s="18" t="s">
        <v>17</v>
      </c>
      <c r="D1245" s="63" t="s">
        <v>1725</v>
      </c>
      <c r="E1245" s="50" t="s">
        <v>1726</v>
      </c>
      <c r="F1245" s="57">
        <v>1800</v>
      </c>
      <c r="G1245" s="76">
        <v>-180</v>
      </c>
      <c r="H1245" s="57">
        <f t="shared" si="175"/>
        <v>1620</v>
      </c>
      <c r="I1245" s="50">
        <v>1</v>
      </c>
      <c r="J1245" s="57">
        <f t="shared" si="178"/>
        <v>1620</v>
      </c>
      <c r="K1245" s="58">
        <f t="shared" si="179"/>
        <v>1782</v>
      </c>
      <c r="L1245" s="18" t="s">
        <v>25</v>
      </c>
      <c r="M1245" s="50"/>
    </row>
    <row r="1246" spans="1:13" ht="21.75" hidden="1" customHeight="1" x14ac:dyDescent="0.4">
      <c r="A1246" s="62">
        <v>45067</v>
      </c>
      <c r="B1246" s="32" t="s">
        <v>1728</v>
      </c>
      <c r="C1246" s="18" t="s">
        <v>17</v>
      </c>
      <c r="D1246" s="63" t="s">
        <v>1729</v>
      </c>
      <c r="E1246" s="50" t="s">
        <v>1730</v>
      </c>
      <c r="F1246" s="57">
        <v>60000</v>
      </c>
      <c r="G1246" s="76">
        <v>-12000</v>
      </c>
      <c r="H1246" s="57">
        <f t="shared" si="175"/>
        <v>48000</v>
      </c>
      <c r="I1246" s="50">
        <v>1</v>
      </c>
      <c r="J1246" s="57">
        <f t="shared" si="178"/>
        <v>48000</v>
      </c>
      <c r="K1246" s="58">
        <f t="shared" si="179"/>
        <v>52800</v>
      </c>
      <c r="L1246" s="18" t="s">
        <v>34</v>
      </c>
      <c r="M1246" s="50"/>
    </row>
    <row r="1247" spans="1:13" ht="21.75" hidden="1" customHeight="1" x14ac:dyDescent="0.4">
      <c r="A1247" s="62">
        <v>45067</v>
      </c>
      <c r="B1247" s="32" t="s">
        <v>1728</v>
      </c>
      <c r="C1247" s="18" t="s">
        <v>17</v>
      </c>
      <c r="D1247" s="63" t="s">
        <v>576</v>
      </c>
      <c r="E1247" s="50" t="s">
        <v>1731</v>
      </c>
      <c r="F1247" s="57">
        <v>85000</v>
      </c>
      <c r="G1247" s="76">
        <v>-12750</v>
      </c>
      <c r="H1247" s="57">
        <f t="shared" si="175"/>
        <v>72250</v>
      </c>
      <c r="I1247" s="50">
        <v>1</v>
      </c>
      <c r="J1247" s="57">
        <f t="shared" si="178"/>
        <v>72250</v>
      </c>
      <c r="K1247" s="58">
        <f t="shared" si="179"/>
        <v>79475</v>
      </c>
      <c r="L1247" s="18" t="s">
        <v>34</v>
      </c>
      <c r="M1247" s="50"/>
    </row>
    <row r="1248" spans="1:13" ht="21.75" hidden="1" customHeight="1" x14ac:dyDescent="0.4">
      <c r="A1248" s="62">
        <v>45067</v>
      </c>
      <c r="B1248" s="32" t="s">
        <v>1728</v>
      </c>
      <c r="C1248" s="18" t="s">
        <v>17</v>
      </c>
      <c r="D1248" s="63" t="s">
        <v>1729</v>
      </c>
      <c r="E1248" s="50" t="s">
        <v>1732</v>
      </c>
      <c r="F1248" s="57">
        <v>16000</v>
      </c>
      <c r="G1248" s="76">
        <v>-3200</v>
      </c>
      <c r="H1248" s="57">
        <f t="shared" si="175"/>
        <v>12800</v>
      </c>
      <c r="I1248" s="50">
        <v>2</v>
      </c>
      <c r="J1248" s="57">
        <f t="shared" si="178"/>
        <v>25600</v>
      </c>
      <c r="K1248" s="58">
        <f t="shared" si="179"/>
        <v>28160</v>
      </c>
      <c r="L1248" s="18" t="s">
        <v>34</v>
      </c>
      <c r="M1248" s="50"/>
    </row>
    <row r="1249" spans="1:13" ht="21.75" hidden="1" customHeight="1" x14ac:dyDescent="0.4">
      <c r="A1249" s="62">
        <v>45067</v>
      </c>
      <c r="B1249" s="32" t="s">
        <v>1728</v>
      </c>
      <c r="C1249" s="18" t="s">
        <v>17</v>
      </c>
      <c r="D1249" s="63" t="s">
        <v>1729</v>
      </c>
      <c r="E1249" s="50" t="s">
        <v>1733</v>
      </c>
      <c r="F1249" s="57">
        <v>22000</v>
      </c>
      <c r="G1249" s="76">
        <v>-4400</v>
      </c>
      <c r="H1249" s="57">
        <f t="shared" si="175"/>
        <v>17600</v>
      </c>
      <c r="I1249" s="50">
        <v>3</v>
      </c>
      <c r="J1249" s="57">
        <f t="shared" si="178"/>
        <v>52800</v>
      </c>
      <c r="K1249" s="58">
        <f t="shared" si="179"/>
        <v>58080</v>
      </c>
      <c r="L1249" s="18" t="s">
        <v>34</v>
      </c>
      <c r="M1249" s="50"/>
    </row>
    <row r="1250" spans="1:13" ht="21.75" hidden="1" customHeight="1" x14ac:dyDescent="0.4">
      <c r="A1250" s="62">
        <v>45067</v>
      </c>
      <c r="B1250" s="32" t="s">
        <v>1728</v>
      </c>
      <c r="C1250" s="18" t="s">
        <v>17</v>
      </c>
      <c r="D1250" s="63" t="s">
        <v>576</v>
      </c>
      <c r="E1250" s="50" t="s">
        <v>1734</v>
      </c>
      <c r="F1250" s="57">
        <v>42000</v>
      </c>
      <c r="G1250" s="76">
        <v>-21000</v>
      </c>
      <c r="H1250" s="57">
        <f t="shared" si="175"/>
        <v>21000</v>
      </c>
      <c r="I1250" s="50">
        <v>3</v>
      </c>
      <c r="J1250" s="57">
        <f t="shared" si="178"/>
        <v>63000</v>
      </c>
      <c r="K1250" s="58">
        <f t="shared" si="179"/>
        <v>69300</v>
      </c>
      <c r="L1250" s="18" t="s">
        <v>34</v>
      </c>
      <c r="M1250" s="50"/>
    </row>
    <row r="1251" spans="1:13" ht="21.75" hidden="1" customHeight="1" x14ac:dyDescent="0.4">
      <c r="A1251" s="62">
        <v>45067</v>
      </c>
      <c r="B1251" s="32" t="s">
        <v>1728</v>
      </c>
      <c r="C1251" s="18" t="s">
        <v>17</v>
      </c>
      <c r="D1251" s="63" t="s">
        <v>576</v>
      </c>
      <c r="E1251" s="50" t="s">
        <v>1735</v>
      </c>
      <c r="F1251" s="57">
        <v>43000</v>
      </c>
      <c r="G1251" s="76">
        <v>-4300</v>
      </c>
      <c r="H1251" s="57">
        <f t="shared" si="175"/>
        <v>38700</v>
      </c>
      <c r="I1251" s="50">
        <v>2</v>
      </c>
      <c r="J1251" s="57">
        <f t="shared" si="178"/>
        <v>77400</v>
      </c>
      <c r="K1251" s="58">
        <f t="shared" si="179"/>
        <v>85140</v>
      </c>
      <c r="L1251" s="18" t="s">
        <v>34</v>
      </c>
      <c r="M1251" s="50"/>
    </row>
    <row r="1252" spans="1:13" ht="21.75" hidden="1" customHeight="1" x14ac:dyDescent="0.4">
      <c r="A1252" s="62">
        <v>45067</v>
      </c>
      <c r="B1252" s="32" t="s">
        <v>1728</v>
      </c>
      <c r="C1252" s="18" t="s">
        <v>17</v>
      </c>
      <c r="D1252" s="63" t="s">
        <v>332</v>
      </c>
      <c r="E1252" s="50" t="s">
        <v>1736</v>
      </c>
      <c r="F1252" s="57">
        <v>980</v>
      </c>
      <c r="G1252" s="76"/>
      <c r="H1252" s="57">
        <f t="shared" si="175"/>
        <v>980</v>
      </c>
      <c r="I1252" s="50">
        <v>26</v>
      </c>
      <c r="J1252" s="57">
        <f t="shared" si="178"/>
        <v>25480</v>
      </c>
      <c r="K1252" s="58">
        <f t="shared" si="179"/>
        <v>28028</v>
      </c>
      <c r="L1252" s="18" t="s">
        <v>34</v>
      </c>
      <c r="M1252" s="50"/>
    </row>
    <row r="1253" spans="1:13" ht="21.75" hidden="1" customHeight="1" x14ac:dyDescent="0.4">
      <c r="A1253" s="62">
        <v>45067</v>
      </c>
      <c r="B1253" s="32" t="s">
        <v>1728</v>
      </c>
      <c r="C1253" s="18" t="s">
        <v>17</v>
      </c>
      <c r="D1253" s="63" t="s">
        <v>1729</v>
      </c>
      <c r="E1253" s="50" t="s">
        <v>1737</v>
      </c>
      <c r="F1253" s="57">
        <v>55000</v>
      </c>
      <c r="G1253" s="76">
        <v>-11000</v>
      </c>
      <c r="H1253" s="57">
        <f t="shared" si="175"/>
        <v>44000</v>
      </c>
      <c r="I1253" s="50">
        <v>1</v>
      </c>
      <c r="J1253" s="57">
        <f t="shared" si="178"/>
        <v>44000</v>
      </c>
      <c r="K1253" s="58">
        <f t="shared" si="179"/>
        <v>48400</v>
      </c>
      <c r="L1253" s="18" t="s">
        <v>34</v>
      </c>
      <c r="M1253" s="50"/>
    </row>
    <row r="1254" spans="1:13" ht="21.75" hidden="1" customHeight="1" x14ac:dyDescent="0.4">
      <c r="A1254" s="62">
        <v>45067</v>
      </c>
      <c r="B1254" s="32" t="s">
        <v>1728</v>
      </c>
      <c r="C1254" s="18" t="s">
        <v>17</v>
      </c>
      <c r="D1254" s="63" t="s">
        <v>1729</v>
      </c>
      <c r="E1254" s="50" t="s">
        <v>1738</v>
      </c>
      <c r="F1254" s="57">
        <v>35000</v>
      </c>
      <c r="G1254" s="76">
        <v>-7000</v>
      </c>
      <c r="H1254" s="57">
        <f t="shared" si="175"/>
        <v>28000</v>
      </c>
      <c r="I1254" s="50">
        <v>3</v>
      </c>
      <c r="J1254" s="57">
        <f t="shared" si="178"/>
        <v>84000</v>
      </c>
      <c r="K1254" s="58">
        <f t="shared" si="179"/>
        <v>92400</v>
      </c>
      <c r="L1254" s="18" t="s">
        <v>34</v>
      </c>
      <c r="M1254" s="50"/>
    </row>
    <row r="1255" spans="1:13" ht="21.75" hidden="1" customHeight="1" x14ac:dyDescent="0.4">
      <c r="A1255" s="62">
        <v>45067</v>
      </c>
      <c r="B1255" s="32" t="s">
        <v>1728</v>
      </c>
      <c r="C1255" s="18" t="s">
        <v>17</v>
      </c>
      <c r="D1255" s="63" t="s">
        <v>1729</v>
      </c>
      <c r="E1255" s="50" t="s">
        <v>1739</v>
      </c>
      <c r="F1255" s="57">
        <v>23000</v>
      </c>
      <c r="G1255" s="76">
        <v>-4600</v>
      </c>
      <c r="H1255" s="57">
        <f t="shared" si="175"/>
        <v>18400</v>
      </c>
      <c r="I1255" s="50">
        <v>2</v>
      </c>
      <c r="J1255" s="57">
        <f t="shared" si="178"/>
        <v>36800</v>
      </c>
      <c r="K1255" s="58">
        <f t="shared" si="179"/>
        <v>40480</v>
      </c>
      <c r="L1255" s="18" t="s">
        <v>34</v>
      </c>
      <c r="M1255" s="50"/>
    </row>
    <row r="1256" spans="1:13" ht="21.75" hidden="1" customHeight="1" x14ac:dyDescent="0.4">
      <c r="A1256" s="62">
        <v>45067</v>
      </c>
      <c r="B1256" s="32" t="s">
        <v>1728</v>
      </c>
      <c r="C1256" s="18" t="s">
        <v>17</v>
      </c>
      <c r="D1256" s="63" t="s">
        <v>576</v>
      </c>
      <c r="E1256" s="50" t="s">
        <v>1740</v>
      </c>
      <c r="F1256" s="57">
        <v>90000</v>
      </c>
      <c r="G1256" s="76">
        <v>-13500</v>
      </c>
      <c r="H1256" s="57">
        <f t="shared" si="175"/>
        <v>76500</v>
      </c>
      <c r="I1256" s="50">
        <v>1</v>
      </c>
      <c r="J1256" s="57">
        <f t="shared" si="178"/>
        <v>76500</v>
      </c>
      <c r="K1256" s="58">
        <f t="shared" si="179"/>
        <v>84150</v>
      </c>
      <c r="L1256" s="18" t="s">
        <v>34</v>
      </c>
      <c r="M1256" s="50"/>
    </row>
    <row r="1257" spans="1:13" ht="21.75" hidden="1" customHeight="1" x14ac:dyDescent="0.4">
      <c r="A1257" s="62">
        <v>45067</v>
      </c>
      <c r="B1257" s="32" t="s">
        <v>1728</v>
      </c>
      <c r="C1257" s="18" t="s">
        <v>17</v>
      </c>
      <c r="D1257" s="63" t="s">
        <v>576</v>
      </c>
      <c r="E1257" s="50" t="s">
        <v>1741</v>
      </c>
      <c r="F1257" s="57">
        <v>55000</v>
      </c>
      <c r="G1257" s="76">
        <v>-5500</v>
      </c>
      <c r="H1257" s="57">
        <f t="shared" si="175"/>
        <v>49500</v>
      </c>
      <c r="I1257" s="50">
        <v>3</v>
      </c>
      <c r="J1257" s="57">
        <f t="shared" si="178"/>
        <v>148500</v>
      </c>
      <c r="K1257" s="58">
        <f t="shared" si="179"/>
        <v>163350</v>
      </c>
      <c r="L1257" s="18" t="s">
        <v>34</v>
      </c>
      <c r="M1257" s="50"/>
    </row>
    <row r="1258" spans="1:13" ht="21.75" hidden="1" customHeight="1" x14ac:dyDescent="0.4">
      <c r="A1258" s="62">
        <v>45067</v>
      </c>
      <c r="B1258" s="32" t="s">
        <v>1728</v>
      </c>
      <c r="C1258" s="18" t="s">
        <v>17</v>
      </c>
      <c r="D1258" s="63" t="s">
        <v>576</v>
      </c>
      <c r="E1258" s="50" t="s">
        <v>1742</v>
      </c>
      <c r="F1258" s="57">
        <v>43000</v>
      </c>
      <c r="G1258" s="76">
        <v>-4300</v>
      </c>
      <c r="H1258" s="57">
        <f t="shared" si="175"/>
        <v>38700</v>
      </c>
      <c r="I1258" s="50">
        <v>2</v>
      </c>
      <c r="J1258" s="57">
        <f t="shared" si="178"/>
        <v>77400</v>
      </c>
      <c r="K1258" s="58">
        <f t="shared" si="179"/>
        <v>85140</v>
      </c>
      <c r="L1258" s="18" t="s">
        <v>34</v>
      </c>
      <c r="M1258" s="50"/>
    </row>
    <row r="1259" spans="1:13" ht="21.75" hidden="1" customHeight="1" x14ac:dyDescent="0.4">
      <c r="A1259" s="62">
        <v>45068</v>
      </c>
      <c r="B1259" s="32" t="s">
        <v>861</v>
      </c>
      <c r="C1259" s="18" t="s">
        <v>17</v>
      </c>
      <c r="D1259" s="63" t="s">
        <v>1729</v>
      </c>
      <c r="E1259" s="50" t="s">
        <v>1744</v>
      </c>
      <c r="F1259" s="57">
        <v>55000</v>
      </c>
      <c r="G1259" s="76">
        <v>-11000</v>
      </c>
      <c r="H1259" s="57">
        <f t="shared" si="175"/>
        <v>44000</v>
      </c>
      <c r="I1259" s="50">
        <v>1</v>
      </c>
      <c r="J1259" s="57">
        <f t="shared" si="178"/>
        <v>44000</v>
      </c>
      <c r="K1259" s="58">
        <f t="shared" si="179"/>
        <v>48400</v>
      </c>
      <c r="L1259" s="18" t="s">
        <v>34</v>
      </c>
      <c r="M1259" s="50"/>
    </row>
    <row r="1260" spans="1:13" ht="21.75" hidden="1" customHeight="1" x14ac:dyDescent="0.4">
      <c r="A1260" s="62">
        <v>45068</v>
      </c>
      <c r="B1260" s="32" t="s">
        <v>861</v>
      </c>
      <c r="C1260" s="18" t="s">
        <v>17</v>
      </c>
      <c r="D1260" s="63" t="s">
        <v>1729</v>
      </c>
      <c r="E1260" s="50" t="s">
        <v>1743</v>
      </c>
      <c r="F1260" s="57">
        <v>35000</v>
      </c>
      <c r="G1260" s="76">
        <v>-7000</v>
      </c>
      <c r="H1260" s="57">
        <f t="shared" si="175"/>
        <v>28000</v>
      </c>
      <c r="I1260" s="50">
        <v>1</v>
      </c>
      <c r="J1260" s="57">
        <f t="shared" si="178"/>
        <v>28000</v>
      </c>
      <c r="K1260" s="58">
        <f t="shared" si="179"/>
        <v>30800</v>
      </c>
      <c r="L1260" s="18" t="s">
        <v>34</v>
      </c>
      <c r="M1260" s="50"/>
    </row>
    <row r="1261" spans="1:13" ht="21.75" hidden="1" customHeight="1" x14ac:dyDescent="0.4">
      <c r="A1261" s="62">
        <v>45068</v>
      </c>
      <c r="B1261" s="32" t="s">
        <v>861</v>
      </c>
      <c r="C1261" s="18" t="s">
        <v>17</v>
      </c>
      <c r="D1261" s="63" t="s">
        <v>576</v>
      </c>
      <c r="E1261" s="50" t="s">
        <v>1745</v>
      </c>
      <c r="F1261" s="57">
        <v>52000</v>
      </c>
      <c r="G1261" s="76">
        <v>-5200</v>
      </c>
      <c r="H1261" s="57">
        <f t="shared" si="175"/>
        <v>46800</v>
      </c>
      <c r="I1261" s="50">
        <v>2</v>
      </c>
      <c r="J1261" s="57">
        <f t="shared" si="178"/>
        <v>93600</v>
      </c>
      <c r="K1261" s="58">
        <f t="shared" si="179"/>
        <v>102960</v>
      </c>
      <c r="L1261" s="18" t="s">
        <v>34</v>
      </c>
      <c r="M1261" s="50"/>
    </row>
    <row r="1262" spans="1:13" ht="21.75" hidden="1" customHeight="1" x14ac:dyDescent="0.4">
      <c r="A1262" s="62">
        <v>45068</v>
      </c>
      <c r="B1262" s="32" t="s">
        <v>861</v>
      </c>
      <c r="C1262" s="18" t="s">
        <v>17</v>
      </c>
      <c r="D1262" s="63" t="s">
        <v>332</v>
      </c>
      <c r="E1262" s="50" t="s">
        <v>1746</v>
      </c>
      <c r="F1262" s="57">
        <v>1800</v>
      </c>
      <c r="G1262" s="76"/>
      <c r="H1262" s="57">
        <f t="shared" si="175"/>
        <v>1800</v>
      </c>
      <c r="I1262" s="50">
        <v>2</v>
      </c>
      <c r="J1262" s="57">
        <f t="shared" si="178"/>
        <v>3600</v>
      </c>
      <c r="K1262" s="58">
        <f t="shared" si="179"/>
        <v>3960</v>
      </c>
      <c r="L1262" s="18" t="s">
        <v>34</v>
      </c>
      <c r="M1262" s="50"/>
    </row>
    <row r="1263" spans="1:13" ht="21.75" hidden="1" customHeight="1" x14ac:dyDescent="0.4">
      <c r="A1263" s="62">
        <v>45070</v>
      </c>
      <c r="B1263" s="32" t="s">
        <v>1747</v>
      </c>
      <c r="C1263" s="18" t="s">
        <v>22</v>
      </c>
      <c r="D1263" s="63" t="s">
        <v>1496</v>
      </c>
      <c r="E1263" s="50" t="s">
        <v>369</v>
      </c>
      <c r="F1263" s="57">
        <v>3000</v>
      </c>
      <c r="G1263" s="76"/>
      <c r="H1263" s="57">
        <f t="shared" si="175"/>
        <v>3000</v>
      </c>
      <c r="I1263" s="50">
        <v>1</v>
      </c>
      <c r="J1263" s="57">
        <f t="shared" si="178"/>
        <v>3000</v>
      </c>
      <c r="K1263" s="58">
        <f t="shared" si="179"/>
        <v>3300</v>
      </c>
      <c r="L1263" s="18" t="s">
        <v>20</v>
      </c>
      <c r="M1263" s="50"/>
    </row>
    <row r="1264" spans="1:13" ht="21.75" hidden="1" customHeight="1" x14ac:dyDescent="0.4">
      <c r="A1264" s="62">
        <v>45070</v>
      </c>
      <c r="B1264" s="32" t="s">
        <v>678</v>
      </c>
      <c r="C1264" s="18" t="s">
        <v>17</v>
      </c>
      <c r="D1264" s="63" t="s">
        <v>292</v>
      </c>
      <c r="E1264" s="50" t="s">
        <v>1748</v>
      </c>
      <c r="F1264" s="57">
        <v>5500</v>
      </c>
      <c r="G1264" s="76"/>
      <c r="H1264" s="57">
        <f t="shared" si="175"/>
        <v>5500</v>
      </c>
      <c r="I1264" s="50">
        <v>1</v>
      </c>
      <c r="J1264" s="57">
        <f t="shared" si="178"/>
        <v>5500</v>
      </c>
      <c r="K1264" s="58">
        <f t="shared" si="179"/>
        <v>6050</v>
      </c>
      <c r="L1264" s="18" t="s">
        <v>1749</v>
      </c>
      <c r="M1264" s="50"/>
    </row>
    <row r="1265" spans="1:13" ht="21.75" hidden="1" customHeight="1" x14ac:dyDescent="0.4">
      <c r="A1265" s="62">
        <v>45070</v>
      </c>
      <c r="B1265" s="32" t="s">
        <v>678</v>
      </c>
      <c r="C1265" s="18" t="s">
        <v>17</v>
      </c>
      <c r="D1265" s="63" t="s">
        <v>292</v>
      </c>
      <c r="E1265" s="50" t="s">
        <v>1750</v>
      </c>
      <c r="F1265" s="57">
        <v>5700</v>
      </c>
      <c r="G1265" s="76">
        <v>-570</v>
      </c>
      <c r="H1265" s="57">
        <f t="shared" si="175"/>
        <v>5130</v>
      </c>
      <c r="I1265" s="50">
        <v>1</v>
      </c>
      <c r="J1265" s="57">
        <f t="shared" si="178"/>
        <v>5130</v>
      </c>
      <c r="K1265" s="58">
        <f t="shared" si="179"/>
        <v>5643</v>
      </c>
      <c r="L1265" s="18" t="s">
        <v>1749</v>
      </c>
      <c r="M1265" s="50"/>
    </row>
    <row r="1266" spans="1:13" ht="21.75" hidden="1" customHeight="1" x14ac:dyDescent="0.4">
      <c r="A1266" s="62">
        <v>45070</v>
      </c>
      <c r="B1266" s="32" t="s">
        <v>678</v>
      </c>
      <c r="C1266" s="18" t="s">
        <v>17</v>
      </c>
      <c r="D1266" s="63" t="s">
        <v>332</v>
      </c>
      <c r="E1266" s="63" t="s">
        <v>1751</v>
      </c>
      <c r="F1266" s="57">
        <v>1800</v>
      </c>
      <c r="G1266" s="76"/>
      <c r="H1266" s="57">
        <f t="shared" si="175"/>
        <v>1800</v>
      </c>
      <c r="I1266" s="50">
        <v>1</v>
      </c>
      <c r="J1266" s="57">
        <f t="shared" si="178"/>
        <v>1800</v>
      </c>
      <c r="K1266" s="157">
        <f t="shared" si="179"/>
        <v>1980</v>
      </c>
      <c r="L1266" s="18" t="s">
        <v>1749</v>
      </c>
      <c r="M1266" s="50"/>
    </row>
    <row r="1267" spans="1:13" ht="21.75" hidden="1" customHeight="1" x14ac:dyDescent="0.4">
      <c r="A1267" s="62">
        <v>45071</v>
      </c>
      <c r="B1267" s="32" t="s">
        <v>1754</v>
      </c>
      <c r="C1267" s="18" t="s">
        <v>22</v>
      </c>
      <c r="D1267" s="63" t="s">
        <v>1752</v>
      </c>
      <c r="E1267" s="50" t="s">
        <v>1753</v>
      </c>
      <c r="F1267" s="57">
        <v>1000</v>
      </c>
      <c r="G1267" s="76"/>
      <c r="H1267" s="57">
        <f t="shared" si="175"/>
        <v>1000</v>
      </c>
      <c r="I1267" s="50">
        <v>1</v>
      </c>
      <c r="J1267" s="57">
        <f t="shared" si="178"/>
        <v>1000</v>
      </c>
      <c r="K1267" s="58">
        <f t="shared" si="179"/>
        <v>1100</v>
      </c>
      <c r="L1267" s="18" t="s">
        <v>20</v>
      </c>
      <c r="M1267" s="50"/>
    </row>
    <row r="1268" spans="1:13" ht="21.75" hidden="1" customHeight="1" x14ac:dyDescent="0.4">
      <c r="A1268" s="62">
        <v>45071</v>
      </c>
      <c r="B1268" s="32" t="s">
        <v>1774</v>
      </c>
      <c r="C1268" s="18" t="s">
        <v>22</v>
      </c>
      <c r="D1268" s="63" t="s">
        <v>1752</v>
      </c>
      <c r="E1268" s="50" t="s">
        <v>1755</v>
      </c>
      <c r="F1268" s="57">
        <f>2000/1.1</f>
        <v>1818.181818181818</v>
      </c>
      <c r="G1268" s="76"/>
      <c r="H1268" s="57">
        <f t="shared" si="175"/>
        <v>1818.181818181818</v>
      </c>
      <c r="I1268" s="50">
        <v>41</v>
      </c>
      <c r="J1268" s="57">
        <f t="shared" si="178"/>
        <v>74545.454545454544</v>
      </c>
      <c r="K1268" s="58">
        <f t="shared" si="179"/>
        <v>82000</v>
      </c>
      <c r="L1268" s="18" t="s">
        <v>20</v>
      </c>
      <c r="M1268" s="50"/>
    </row>
    <row r="1269" spans="1:13" ht="21.75" hidden="1" customHeight="1" x14ac:dyDescent="0.4">
      <c r="A1269" s="62">
        <v>45071</v>
      </c>
      <c r="B1269" s="32" t="s">
        <v>1756</v>
      </c>
      <c r="C1269" s="18" t="s">
        <v>17</v>
      </c>
      <c r="D1269" s="63" t="s">
        <v>1757</v>
      </c>
      <c r="E1269" s="50" t="s">
        <v>1758</v>
      </c>
      <c r="F1269" s="57">
        <v>5000</v>
      </c>
      <c r="G1269" s="76"/>
      <c r="H1269" s="57">
        <f t="shared" si="175"/>
        <v>5000</v>
      </c>
      <c r="I1269" s="50">
        <v>1</v>
      </c>
      <c r="J1269" s="57">
        <f t="shared" si="178"/>
        <v>5000</v>
      </c>
      <c r="K1269" s="58">
        <f t="shared" si="179"/>
        <v>5500</v>
      </c>
      <c r="L1269" s="18" t="s">
        <v>1749</v>
      </c>
      <c r="M1269" s="50"/>
    </row>
    <row r="1270" spans="1:13" ht="21.75" hidden="1" customHeight="1" x14ac:dyDescent="0.4">
      <c r="A1270" s="62">
        <v>45071</v>
      </c>
      <c r="B1270" s="32" t="s">
        <v>1756</v>
      </c>
      <c r="C1270" s="18" t="s">
        <v>17</v>
      </c>
      <c r="D1270" s="63" t="s">
        <v>332</v>
      </c>
      <c r="E1270" s="50" t="s">
        <v>1644</v>
      </c>
      <c r="F1270" s="57">
        <v>1090</v>
      </c>
      <c r="G1270" s="76">
        <v>-109</v>
      </c>
      <c r="H1270" s="57">
        <f t="shared" si="175"/>
        <v>981</v>
      </c>
      <c r="I1270" s="50">
        <v>1</v>
      </c>
      <c r="J1270" s="57">
        <f t="shared" si="178"/>
        <v>981</v>
      </c>
      <c r="K1270" s="58">
        <f t="shared" si="179"/>
        <v>1079</v>
      </c>
      <c r="L1270" s="18" t="s">
        <v>1749</v>
      </c>
      <c r="M1270" s="50"/>
    </row>
    <row r="1271" spans="1:13" ht="21.75" hidden="1" customHeight="1" x14ac:dyDescent="0.4">
      <c r="A1271" s="62">
        <v>45071</v>
      </c>
      <c r="B1271" s="32" t="s">
        <v>1759</v>
      </c>
      <c r="C1271" s="18" t="s">
        <v>22</v>
      </c>
      <c r="D1271" s="63" t="s">
        <v>1496</v>
      </c>
      <c r="E1271" s="50" t="s">
        <v>369</v>
      </c>
      <c r="F1271" s="57">
        <v>3000</v>
      </c>
      <c r="G1271" s="76"/>
      <c r="H1271" s="57">
        <f t="shared" ref="H1271:H1272" si="186">SUM(F1271:G1271)</f>
        <v>3000</v>
      </c>
      <c r="I1271" s="50">
        <v>1</v>
      </c>
      <c r="J1271" s="57">
        <f t="shared" ref="J1271:J1272" si="187">SUM(H1271*I1271)</f>
        <v>3000</v>
      </c>
      <c r="K1271" s="58">
        <f t="shared" ref="K1271:K1272" si="188">ROUNDDOWN(J1271*1.1,0)</f>
        <v>3300</v>
      </c>
      <c r="L1271" s="18" t="s">
        <v>1749</v>
      </c>
      <c r="M1271" s="50"/>
    </row>
    <row r="1272" spans="1:13" ht="21.75" hidden="1" customHeight="1" x14ac:dyDescent="0.4">
      <c r="A1272" s="62">
        <v>45071</v>
      </c>
      <c r="B1272" s="32" t="s">
        <v>1760</v>
      </c>
      <c r="C1272" s="18" t="s">
        <v>22</v>
      </c>
      <c r="D1272" s="63" t="s">
        <v>1496</v>
      </c>
      <c r="E1272" s="50" t="s">
        <v>369</v>
      </c>
      <c r="F1272" s="57">
        <v>3000</v>
      </c>
      <c r="G1272" s="76"/>
      <c r="H1272" s="57">
        <f t="shared" si="186"/>
        <v>3000</v>
      </c>
      <c r="I1272" s="50">
        <v>1</v>
      </c>
      <c r="J1272" s="57">
        <f t="shared" si="187"/>
        <v>3000</v>
      </c>
      <c r="K1272" s="58">
        <f t="shared" si="188"/>
        <v>3300</v>
      </c>
      <c r="L1272" s="18" t="s">
        <v>20</v>
      </c>
      <c r="M1272" s="50"/>
    </row>
    <row r="1273" spans="1:13" ht="21.75" hidden="1" customHeight="1" x14ac:dyDescent="0.4">
      <c r="A1273" s="62">
        <v>45072</v>
      </c>
      <c r="B1273" s="32" t="s">
        <v>1528</v>
      </c>
      <c r="C1273" s="18" t="s">
        <v>317</v>
      </c>
      <c r="D1273" s="63" t="s">
        <v>28</v>
      </c>
      <c r="E1273" s="50" t="s">
        <v>73</v>
      </c>
      <c r="F1273" s="57">
        <v>2000</v>
      </c>
      <c r="G1273" s="76"/>
      <c r="H1273" s="57">
        <f t="shared" si="175"/>
        <v>2000</v>
      </c>
      <c r="I1273" s="50">
        <v>3</v>
      </c>
      <c r="J1273" s="57">
        <f t="shared" si="178"/>
        <v>6000</v>
      </c>
      <c r="K1273" s="58">
        <f t="shared" si="179"/>
        <v>6600</v>
      </c>
      <c r="L1273" s="18" t="s">
        <v>1516</v>
      </c>
      <c r="M1273" s="50"/>
    </row>
    <row r="1274" spans="1:13" ht="21.75" hidden="1" customHeight="1" x14ac:dyDescent="0.4">
      <c r="A1274" s="62">
        <v>45072</v>
      </c>
      <c r="B1274" s="32" t="s">
        <v>1563</v>
      </c>
      <c r="C1274" s="18" t="s">
        <v>17</v>
      </c>
      <c r="D1274" s="63" t="s">
        <v>292</v>
      </c>
      <c r="E1274" s="50" t="s">
        <v>1761</v>
      </c>
      <c r="F1274" s="57">
        <v>465</v>
      </c>
      <c r="G1274" s="76"/>
      <c r="H1274" s="57">
        <f t="shared" si="175"/>
        <v>465</v>
      </c>
      <c r="I1274" s="50">
        <v>1</v>
      </c>
      <c r="J1274" s="57">
        <f t="shared" si="178"/>
        <v>465</v>
      </c>
      <c r="K1274" s="58">
        <f t="shared" si="179"/>
        <v>511</v>
      </c>
      <c r="L1274" s="18" t="s">
        <v>20</v>
      </c>
      <c r="M1274" s="50"/>
    </row>
    <row r="1275" spans="1:13" ht="21.75" hidden="1" customHeight="1" x14ac:dyDescent="0.4">
      <c r="A1275" s="62">
        <v>45073</v>
      </c>
      <c r="B1275" s="32" t="s">
        <v>1762</v>
      </c>
      <c r="C1275" s="18" t="s">
        <v>17</v>
      </c>
      <c r="D1275" s="63" t="s">
        <v>1763</v>
      </c>
      <c r="E1275" s="50" t="s">
        <v>900</v>
      </c>
      <c r="F1275" s="57">
        <v>1800</v>
      </c>
      <c r="G1275" s="76">
        <v>-180</v>
      </c>
      <c r="H1275" s="57">
        <f t="shared" si="175"/>
        <v>1620</v>
      </c>
      <c r="I1275" s="50">
        <v>1</v>
      </c>
      <c r="J1275" s="57">
        <f t="shared" si="178"/>
        <v>1620</v>
      </c>
      <c r="K1275" s="58">
        <f t="shared" si="179"/>
        <v>1782</v>
      </c>
      <c r="L1275" s="18" t="s">
        <v>20</v>
      </c>
      <c r="M1275" s="50"/>
    </row>
    <row r="1276" spans="1:13" ht="21.75" hidden="1" customHeight="1" x14ac:dyDescent="0.4">
      <c r="A1276" s="62">
        <v>45075</v>
      </c>
      <c r="B1276" s="32" t="s">
        <v>1764</v>
      </c>
      <c r="C1276" s="18" t="s">
        <v>1765</v>
      </c>
      <c r="D1276" s="63" t="s">
        <v>1766</v>
      </c>
      <c r="E1276" s="50" t="s">
        <v>1767</v>
      </c>
      <c r="F1276" s="57">
        <v>4500</v>
      </c>
      <c r="G1276" s="76"/>
      <c r="H1276" s="57">
        <f t="shared" si="175"/>
        <v>4500</v>
      </c>
      <c r="I1276" s="50">
        <v>1</v>
      </c>
      <c r="J1276" s="57">
        <f t="shared" si="178"/>
        <v>4500</v>
      </c>
      <c r="K1276" s="58">
        <f t="shared" si="179"/>
        <v>4950</v>
      </c>
      <c r="L1276" s="18" t="s">
        <v>1768</v>
      </c>
      <c r="M1276" s="50"/>
    </row>
    <row r="1277" spans="1:13" ht="21.75" hidden="1" customHeight="1" x14ac:dyDescent="0.4">
      <c r="A1277" s="62">
        <v>45075</v>
      </c>
      <c r="B1277" s="32" t="s">
        <v>1424</v>
      </c>
      <c r="C1277" s="18" t="s">
        <v>1769</v>
      </c>
      <c r="D1277" s="63" t="s">
        <v>1106</v>
      </c>
      <c r="E1277" s="50" t="s">
        <v>1770</v>
      </c>
      <c r="F1277" s="57">
        <v>1000</v>
      </c>
      <c r="G1277" s="76"/>
      <c r="H1277" s="57">
        <f t="shared" si="175"/>
        <v>1000</v>
      </c>
      <c r="I1277" s="50">
        <v>1</v>
      </c>
      <c r="J1277" s="57">
        <f t="shared" si="178"/>
        <v>1000</v>
      </c>
      <c r="K1277" s="58">
        <f t="shared" si="179"/>
        <v>1100</v>
      </c>
      <c r="L1277" s="18" t="s">
        <v>1768</v>
      </c>
      <c r="M1277" s="50"/>
    </row>
    <row r="1278" spans="1:13" ht="21.75" hidden="1" customHeight="1" x14ac:dyDescent="0.4">
      <c r="A1278" s="62">
        <v>45075</v>
      </c>
      <c r="B1278" s="32" t="s">
        <v>1424</v>
      </c>
      <c r="C1278" s="18" t="s">
        <v>1769</v>
      </c>
      <c r="D1278" s="63" t="s">
        <v>292</v>
      </c>
      <c r="E1278" s="50" t="s">
        <v>1771</v>
      </c>
      <c r="F1278" s="57">
        <v>5500</v>
      </c>
      <c r="G1278" s="76"/>
      <c r="H1278" s="57">
        <f t="shared" si="175"/>
        <v>5500</v>
      </c>
      <c r="I1278" s="50">
        <v>1</v>
      </c>
      <c r="J1278" s="57">
        <f t="shared" si="178"/>
        <v>5500</v>
      </c>
      <c r="K1278" s="58">
        <f t="shared" si="179"/>
        <v>6050</v>
      </c>
      <c r="L1278" s="18" t="s">
        <v>1768</v>
      </c>
      <c r="M1278" s="50"/>
    </row>
    <row r="1279" spans="1:13" ht="21.75" hidden="1" customHeight="1" x14ac:dyDescent="0.4">
      <c r="A1279" s="62">
        <v>45075</v>
      </c>
      <c r="B1279" s="32" t="s">
        <v>148</v>
      </c>
      <c r="C1279" s="18" t="s">
        <v>27</v>
      </c>
      <c r="D1279" s="63" t="s">
        <v>28</v>
      </c>
      <c r="E1279" s="50" t="s">
        <v>1772</v>
      </c>
      <c r="F1279" s="57">
        <v>17500</v>
      </c>
      <c r="G1279" s="76"/>
      <c r="H1279" s="57">
        <f t="shared" si="175"/>
        <v>17500</v>
      </c>
      <c r="I1279" s="50">
        <v>1</v>
      </c>
      <c r="J1279" s="57">
        <f t="shared" si="178"/>
        <v>17500</v>
      </c>
      <c r="K1279" s="58">
        <f t="shared" si="179"/>
        <v>19250</v>
      </c>
      <c r="L1279" s="18" t="s">
        <v>1768</v>
      </c>
      <c r="M1279" s="50"/>
    </row>
    <row r="1280" spans="1:13" ht="21.75" hidden="1" customHeight="1" x14ac:dyDescent="0.4">
      <c r="A1280" s="62">
        <v>45077</v>
      </c>
      <c r="B1280" s="32" t="s">
        <v>1661</v>
      </c>
      <c r="C1280" s="18" t="s">
        <v>27</v>
      </c>
      <c r="D1280" s="63" t="s">
        <v>28</v>
      </c>
      <c r="E1280" s="50" t="s">
        <v>73</v>
      </c>
      <c r="F1280" s="57">
        <v>2000</v>
      </c>
      <c r="G1280" s="76"/>
      <c r="H1280" s="57">
        <f t="shared" si="175"/>
        <v>2000</v>
      </c>
      <c r="I1280" s="50">
        <v>1</v>
      </c>
      <c r="J1280" s="57">
        <f t="shared" si="178"/>
        <v>2000</v>
      </c>
      <c r="K1280" s="58">
        <f t="shared" si="179"/>
        <v>2200</v>
      </c>
      <c r="L1280" s="18" t="s">
        <v>25</v>
      </c>
      <c r="M1280" s="50"/>
    </row>
    <row r="1281" spans="1:13" ht="21.75" hidden="1" customHeight="1" thickBot="1" x14ac:dyDescent="0.45">
      <c r="A1281" s="151">
        <v>45077</v>
      </c>
      <c r="B1281" s="107" t="s">
        <v>1762</v>
      </c>
      <c r="C1281" s="108" t="s">
        <v>1769</v>
      </c>
      <c r="D1281" s="109" t="s">
        <v>426</v>
      </c>
      <c r="E1281" s="110" t="s">
        <v>1773</v>
      </c>
      <c r="F1281" s="111">
        <v>1700</v>
      </c>
      <c r="G1281" s="112">
        <v>-170</v>
      </c>
      <c r="H1281" s="111">
        <f t="shared" si="175"/>
        <v>1530</v>
      </c>
      <c r="I1281" s="110">
        <v>1</v>
      </c>
      <c r="J1281" s="111">
        <f t="shared" si="178"/>
        <v>1530</v>
      </c>
      <c r="K1281" s="113">
        <f t="shared" si="179"/>
        <v>1683</v>
      </c>
      <c r="L1281" s="108" t="s">
        <v>1768</v>
      </c>
      <c r="M1281" s="110"/>
    </row>
    <row r="1282" spans="1:13" ht="21.75" hidden="1" customHeight="1" x14ac:dyDescent="0.4">
      <c r="A1282" s="158">
        <v>45078</v>
      </c>
      <c r="B1282" s="82" t="s">
        <v>1775</v>
      </c>
      <c r="C1282" s="60" t="s">
        <v>27</v>
      </c>
      <c r="D1282" s="61" t="s">
        <v>28</v>
      </c>
      <c r="E1282" s="56" t="s">
        <v>318</v>
      </c>
      <c r="F1282" s="99">
        <v>15000</v>
      </c>
      <c r="G1282" s="79"/>
      <c r="H1282" s="99">
        <f t="shared" si="175"/>
        <v>15000</v>
      </c>
      <c r="I1282" s="56">
        <v>1</v>
      </c>
      <c r="J1282" s="99">
        <f t="shared" si="178"/>
        <v>15000</v>
      </c>
      <c r="K1282" s="100">
        <f t="shared" si="179"/>
        <v>16500</v>
      </c>
      <c r="L1282" s="60" t="s">
        <v>1777</v>
      </c>
      <c r="M1282" s="56"/>
    </row>
    <row r="1283" spans="1:13" ht="21.75" hidden="1" customHeight="1" x14ac:dyDescent="0.4">
      <c r="A1283" s="62">
        <v>45078</v>
      </c>
      <c r="B1283" s="82" t="s">
        <v>1775</v>
      </c>
      <c r="C1283" s="18" t="s">
        <v>27</v>
      </c>
      <c r="D1283" s="63" t="s">
        <v>28</v>
      </c>
      <c r="E1283" s="50" t="s">
        <v>1776</v>
      </c>
      <c r="F1283" s="57">
        <v>13120</v>
      </c>
      <c r="G1283" s="76"/>
      <c r="H1283" s="57">
        <f t="shared" si="175"/>
        <v>13120</v>
      </c>
      <c r="I1283" s="50">
        <v>1</v>
      </c>
      <c r="J1283" s="57">
        <f t="shared" si="178"/>
        <v>13120</v>
      </c>
      <c r="K1283" s="58">
        <f t="shared" si="179"/>
        <v>14432</v>
      </c>
      <c r="L1283" s="18" t="s">
        <v>1777</v>
      </c>
      <c r="M1283" s="50"/>
    </row>
    <row r="1284" spans="1:13" ht="21.75" hidden="1" customHeight="1" x14ac:dyDescent="0.4">
      <c r="A1284" s="62">
        <v>45078</v>
      </c>
      <c r="B1284" s="32" t="s">
        <v>1560</v>
      </c>
      <c r="C1284" s="18" t="s">
        <v>1778</v>
      </c>
      <c r="D1284" s="63" t="s">
        <v>426</v>
      </c>
      <c r="E1284" s="50" t="s">
        <v>1779</v>
      </c>
      <c r="F1284" s="57">
        <v>1650</v>
      </c>
      <c r="G1284" s="76">
        <v>-165</v>
      </c>
      <c r="H1284" s="57">
        <f t="shared" si="175"/>
        <v>1485</v>
      </c>
      <c r="I1284" s="50">
        <v>1</v>
      </c>
      <c r="J1284" s="57">
        <f t="shared" si="178"/>
        <v>1485</v>
      </c>
      <c r="K1284" s="58">
        <f t="shared" si="179"/>
        <v>1633</v>
      </c>
      <c r="L1284" s="18" t="s">
        <v>25</v>
      </c>
      <c r="M1284" s="50"/>
    </row>
    <row r="1285" spans="1:13" ht="21.75" hidden="1" customHeight="1" x14ac:dyDescent="0.4">
      <c r="A1285" s="62">
        <v>45078</v>
      </c>
      <c r="B1285" s="32" t="s">
        <v>1780</v>
      </c>
      <c r="C1285" s="18" t="s">
        <v>27</v>
      </c>
      <c r="D1285" s="63" t="s">
        <v>103</v>
      </c>
      <c r="E1285" s="50" t="s">
        <v>104</v>
      </c>
      <c r="F1285" s="57">
        <v>2500</v>
      </c>
      <c r="G1285" s="76"/>
      <c r="H1285" s="57">
        <f t="shared" si="175"/>
        <v>2500</v>
      </c>
      <c r="I1285" s="50">
        <v>1</v>
      </c>
      <c r="J1285" s="57">
        <f t="shared" si="178"/>
        <v>2500</v>
      </c>
      <c r="K1285" s="58">
        <f t="shared" si="179"/>
        <v>2750</v>
      </c>
      <c r="L1285" s="18" t="s">
        <v>1781</v>
      </c>
      <c r="M1285" s="50"/>
    </row>
    <row r="1286" spans="1:13" ht="21.75" hidden="1" customHeight="1" x14ac:dyDescent="0.4">
      <c r="A1286" s="62">
        <v>45078</v>
      </c>
      <c r="B1286" s="32" t="s">
        <v>1782</v>
      </c>
      <c r="C1286" s="18" t="s">
        <v>22</v>
      </c>
      <c r="D1286" s="63" t="s">
        <v>23</v>
      </c>
      <c r="E1286" s="50" t="s">
        <v>1502</v>
      </c>
      <c r="F1286" s="57">
        <v>15000</v>
      </c>
      <c r="G1286" s="76"/>
      <c r="H1286" s="57">
        <f t="shared" si="175"/>
        <v>15000</v>
      </c>
      <c r="I1286" s="50">
        <v>1</v>
      </c>
      <c r="J1286" s="57">
        <f t="shared" si="178"/>
        <v>15000</v>
      </c>
      <c r="K1286" s="58">
        <f t="shared" si="179"/>
        <v>16500</v>
      </c>
      <c r="L1286" s="18" t="s">
        <v>1781</v>
      </c>
      <c r="M1286" s="50"/>
    </row>
    <row r="1287" spans="1:13" ht="21.75" hidden="1" customHeight="1" x14ac:dyDescent="0.4">
      <c r="A1287" s="62">
        <v>45078</v>
      </c>
      <c r="B1287" s="32" t="s">
        <v>1782</v>
      </c>
      <c r="C1287" s="18" t="s">
        <v>1783</v>
      </c>
      <c r="D1287" s="63" t="s">
        <v>1784</v>
      </c>
      <c r="E1287" s="50" t="s">
        <v>1785</v>
      </c>
      <c r="F1287" s="57">
        <v>40000</v>
      </c>
      <c r="G1287" s="76">
        <v>-8000</v>
      </c>
      <c r="H1287" s="57">
        <f t="shared" si="175"/>
        <v>32000</v>
      </c>
      <c r="I1287" s="50">
        <v>1</v>
      </c>
      <c r="J1287" s="57">
        <f t="shared" si="178"/>
        <v>32000</v>
      </c>
      <c r="K1287" s="58">
        <f t="shared" si="179"/>
        <v>35200</v>
      </c>
      <c r="L1287" s="18" t="s">
        <v>1781</v>
      </c>
      <c r="M1287" s="50"/>
    </row>
    <row r="1288" spans="1:13" ht="21.75" hidden="1" customHeight="1" x14ac:dyDescent="0.4">
      <c r="A1288" s="62">
        <v>45078</v>
      </c>
      <c r="B1288" s="32" t="s">
        <v>1782</v>
      </c>
      <c r="C1288" s="18" t="s">
        <v>1783</v>
      </c>
      <c r="D1288" s="63" t="s">
        <v>1784</v>
      </c>
      <c r="E1288" s="50" t="s">
        <v>1786</v>
      </c>
      <c r="F1288" s="57">
        <v>50000</v>
      </c>
      <c r="G1288" s="76">
        <v>-10000</v>
      </c>
      <c r="H1288" s="57">
        <f t="shared" si="175"/>
        <v>40000</v>
      </c>
      <c r="I1288" s="50">
        <v>1</v>
      </c>
      <c r="J1288" s="57">
        <f t="shared" si="178"/>
        <v>40000</v>
      </c>
      <c r="K1288" s="58">
        <f t="shared" si="179"/>
        <v>44000</v>
      </c>
      <c r="L1288" s="18" t="s">
        <v>1781</v>
      </c>
      <c r="M1288" s="50"/>
    </row>
    <row r="1289" spans="1:13" ht="21.75" hidden="1" customHeight="1" x14ac:dyDescent="0.4">
      <c r="A1289" s="62">
        <v>45078</v>
      </c>
      <c r="B1289" s="32" t="s">
        <v>1782</v>
      </c>
      <c r="C1289" s="18" t="s">
        <v>1783</v>
      </c>
      <c r="D1289" s="63" t="s">
        <v>1787</v>
      </c>
      <c r="E1289" s="50" t="s">
        <v>1788</v>
      </c>
      <c r="F1289" s="57">
        <v>4000</v>
      </c>
      <c r="G1289" s="76"/>
      <c r="H1289" s="57">
        <f t="shared" si="175"/>
        <v>4000</v>
      </c>
      <c r="I1289" s="50">
        <v>1</v>
      </c>
      <c r="J1289" s="57">
        <f t="shared" si="178"/>
        <v>4000</v>
      </c>
      <c r="K1289" s="58">
        <f t="shared" si="179"/>
        <v>4400</v>
      </c>
      <c r="L1289" s="18" t="s">
        <v>1781</v>
      </c>
      <c r="M1289" s="50"/>
    </row>
    <row r="1290" spans="1:13" ht="21.75" hidden="1" customHeight="1" x14ac:dyDescent="0.4">
      <c r="A1290" s="62">
        <v>45078</v>
      </c>
      <c r="B1290" s="32" t="s">
        <v>1782</v>
      </c>
      <c r="C1290" s="18" t="s">
        <v>1783</v>
      </c>
      <c r="D1290" s="63" t="s">
        <v>332</v>
      </c>
      <c r="E1290" s="50" t="s">
        <v>1789</v>
      </c>
      <c r="F1290" s="57">
        <v>1800</v>
      </c>
      <c r="G1290" s="76"/>
      <c r="H1290" s="57">
        <v>1800</v>
      </c>
      <c r="I1290" s="50">
        <v>2</v>
      </c>
      <c r="J1290" s="57">
        <f t="shared" si="178"/>
        <v>3600</v>
      </c>
      <c r="K1290" s="58">
        <f t="shared" si="179"/>
        <v>3960</v>
      </c>
      <c r="L1290" s="18" t="s">
        <v>1781</v>
      </c>
      <c r="M1290" s="50"/>
    </row>
    <row r="1291" spans="1:13" ht="21.75" hidden="1" customHeight="1" x14ac:dyDescent="0.4">
      <c r="A1291" s="62">
        <v>45078</v>
      </c>
      <c r="B1291" s="32" t="s">
        <v>179</v>
      </c>
      <c r="C1291" s="18" t="s">
        <v>1783</v>
      </c>
      <c r="D1291" s="63" t="s">
        <v>1790</v>
      </c>
      <c r="E1291" s="50" t="s">
        <v>1792</v>
      </c>
      <c r="F1291" s="57">
        <v>1400</v>
      </c>
      <c r="G1291" s="76">
        <v>-140</v>
      </c>
      <c r="H1291" s="57">
        <f t="shared" ref="H1291:H1353" si="189">SUM(F1291:G1291)</f>
        <v>1260</v>
      </c>
      <c r="I1291" s="50">
        <v>1</v>
      </c>
      <c r="J1291" s="57">
        <f t="shared" si="178"/>
        <v>1260</v>
      </c>
      <c r="K1291" s="58">
        <f t="shared" si="179"/>
        <v>1386</v>
      </c>
      <c r="L1291" s="18" t="s">
        <v>20</v>
      </c>
      <c r="M1291" s="50"/>
    </row>
    <row r="1292" spans="1:13" ht="21.75" hidden="1" customHeight="1" x14ac:dyDescent="0.4">
      <c r="A1292" s="62">
        <v>45078</v>
      </c>
      <c r="B1292" s="32" t="s">
        <v>1180</v>
      </c>
      <c r="C1292" s="18" t="s">
        <v>1783</v>
      </c>
      <c r="D1292" s="63" t="s">
        <v>332</v>
      </c>
      <c r="E1292" s="50" t="s">
        <v>1793</v>
      </c>
      <c r="F1292" s="57">
        <v>1650</v>
      </c>
      <c r="G1292" s="76">
        <v>-165</v>
      </c>
      <c r="H1292" s="57">
        <f t="shared" si="189"/>
        <v>1485</v>
      </c>
      <c r="I1292" s="50">
        <v>1</v>
      </c>
      <c r="J1292" s="57">
        <f t="shared" ref="J1292:J1355" si="190">SUM(H1292*I1292)</f>
        <v>1485</v>
      </c>
      <c r="K1292" s="58">
        <f t="shared" ref="K1292:K1355" si="191">ROUNDDOWN(J1292*1.1,0)</f>
        <v>1633</v>
      </c>
      <c r="L1292" s="18" t="s">
        <v>25</v>
      </c>
      <c r="M1292" s="50"/>
    </row>
    <row r="1293" spans="1:13" ht="21.75" hidden="1" customHeight="1" x14ac:dyDescent="0.4">
      <c r="A1293" s="62">
        <v>45078</v>
      </c>
      <c r="B1293" s="32" t="s">
        <v>179</v>
      </c>
      <c r="C1293" s="18" t="s">
        <v>1783</v>
      </c>
      <c r="D1293" s="63" t="s">
        <v>455</v>
      </c>
      <c r="E1293" s="50" t="s">
        <v>1794</v>
      </c>
      <c r="F1293" s="57">
        <v>3500</v>
      </c>
      <c r="G1293" s="76"/>
      <c r="H1293" s="57">
        <f t="shared" si="189"/>
        <v>3500</v>
      </c>
      <c r="I1293" s="50">
        <v>1</v>
      </c>
      <c r="J1293" s="57">
        <f t="shared" si="190"/>
        <v>3500</v>
      </c>
      <c r="K1293" s="58">
        <f t="shared" si="191"/>
        <v>3850</v>
      </c>
      <c r="L1293" s="18" t="s">
        <v>20</v>
      </c>
      <c r="M1293" s="50"/>
    </row>
    <row r="1294" spans="1:13" ht="21.75" hidden="1" customHeight="1" x14ac:dyDescent="0.4">
      <c r="A1294" s="62">
        <v>45078</v>
      </c>
      <c r="B1294" s="32" t="s">
        <v>1795</v>
      </c>
      <c r="C1294" s="18" t="s">
        <v>1783</v>
      </c>
      <c r="D1294" s="63" t="s">
        <v>332</v>
      </c>
      <c r="E1294" s="50" t="s">
        <v>1796</v>
      </c>
      <c r="F1294" s="57">
        <v>1400</v>
      </c>
      <c r="G1294" s="76">
        <v>-140</v>
      </c>
      <c r="H1294" s="57">
        <f t="shared" si="189"/>
        <v>1260</v>
      </c>
      <c r="I1294" s="50">
        <v>7</v>
      </c>
      <c r="J1294" s="57">
        <f t="shared" si="190"/>
        <v>8820</v>
      </c>
      <c r="K1294" s="58">
        <f t="shared" si="191"/>
        <v>9702</v>
      </c>
      <c r="L1294" s="18" t="s">
        <v>1781</v>
      </c>
      <c r="M1294" s="50"/>
    </row>
    <row r="1295" spans="1:13" ht="21.75" hidden="1" customHeight="1" x14ac:dyDescent="0.4">
      <c r="A1295" s="62">
        <v>45079</v>
      </c>
      <c r="B1295" s="32" t="s">
        <v>1720</v>
      </c>
      <c r="C1295" s="18" t="s">
        <v>22</v>
      </c>
      <c r="D1295" s="63" t="s">
        <v>1496</v>
      </c>
      <c r="E1295" s="50" t="s">
        <v>1813</v>
      </c>
      <c r="F1295" s="57">
        <v>4500</v>
      </c>
      <c r="G1295" s="76"/>
      <c r="H1295" s="57">
        <f t="shared" si="189"/>
        <v>4500</v>
      </c>
      <c r="I1295" s="50">
        <v>1</v>
      </c>
      <c r="J1295" s="57">
        <f t="shared" si="190"/>
        <v>4500</v>
      </c>
      <c r="K1295" s="58">
        <f t="shared" si="191"/>
        <v>4950</v>
      </c>
      <c r="L1295" s="18" t="s">
        <v>25</v>
      </c>
      <c r="M1295" s="50"/>
    </row>
    <row r="1296" spans="1:13" ht="21.75" hidden="1" customHeight="1" x14ac:dyDescent="0.4">
      <c r="A1296" s="62">
        <v>45080</v>
      </c>
      <c r="B1296" s="32" t="s">
        <v>1700</v>
      </c>
      <c r="C1296" s="18" t="s">
        <v>1783</v>
      </c>
      <c r="D1296" s="63" t="s">
        <v>1784</v>
      </c>
      <c r="E1296" s="50" t="s">
        <v>1797</v>
      </c>
      <c r="F1296" s="57">
        <v>22000</v>
      </c>
      <c r="G1296" s="76">
        <v>-9900</v>
      </c>
      <c r="H1296" s="57">
        <f t="shared" si="189"/>
        <v>12100</v>
      </c>
      <c r="I1296" s="50">
        <v>1</v>
      </c>
      <c r="J1296" s="57">
        <f t="shared" si="190"/>
        <v>12100</v>
      </c>
      <c r="K1296" s="58">
        <f t="shared" si="191"/>
        <v>13310</v>
      </c>
      <c r="L1296" s="18" t="s">
        <v>25</v>
      </c>
      <c r="M1296" s="50"/>
    </row>
    <row r="1297" spans="1:13" ht="21.75" hidden="1" customHeight="1" x14ac:dyDescent="0.4">
      <c r="A1297" s="62">
        <v>45080</v>
      </c>
      <c r="B1297" s="32" t="s">
        <v>1700</v>
      </c>
      <c r="C1297" s="18" t="s">
        <v>1783</v>
      </c>
      <c r="D1297" s="63" t="s">
        <v>1787</v>
      </c>
      <c r="E1297" s="50" t="s">
        <v>1798</v>
      </c>
      <c r="F1297" s="57">
        <v>3000</v>
      </c>
      <c r="G1297" s="76"/>
      <c r="H1297" s="57">
        <f t="shared" si="189"/>
        <v>3000</v>
      </c>
      <c r="I1297" s="50">
        <v>1</v>
      </c>
      <c r="J1297" s="57">
        <f t="shared" si="190"/>
        <v>3000</v>
      </c>
      <c r="K1297" s="58">
        <f t="shared" si="191"/>
        <v>3300</v>
      </c>
      <c r="L1297" s="18" t="s">
        <v>25</v>
      </c>
      <c r="M1297" s="50"/>
    </row>
    <row r="1298" spans="1:13" ht="21.75" hidden="1" customHeight="1" x14ac:dyDescent="0.4">
      <c r="A1298" s="62">
        <v>45080</v>
      </c>
      <c r="B1298" s="32" t="s">
        <v>1700</v>
      </c>
      <c r="C1298" s="18" t="s">
        <v>1783</v>
      </c>
      <c r="D1298" s="63" t="s">
        <v>332</v>
      </c>
      <c r="E1298" s="50" t="s">
        <v>1799</v>
      </c>
      <c r="F1298" s="57">
        <v>1090</v>
      </c>
      <c r="G1298" s="76"/>
      <c r="H1298" s="57">
        <f t="shared" si="189"/>
        <v>1090</v>
      </c>
      <c r="I1298" s="50">
        <v>1</v>
      </c>
      <c r="J1298" s="57">
        <f t="shared" si="190"/>
        <v>1090</v>
      </c>
      <c r="K1298" s="58">
        <f t="shared" si="191"/>
        <v>1199</v>
      </c>
      <c r="L1298" s="18" t="s">
        <v>25</v>
      </c>
      <c r="M1298" s="50"/>
    </row>
    <row r="1299" spans="1:13" ht="21.75" hidden="1" customHeight="1" x14ac:dyDescent="0.4">
      <c r="A1299" s="62">
        <v>45080</v>
      </c>
      <c r="B1299" s="32" t="s">
        <v>1082</v>
      </c>
      <c r="C1299" s="18" t="s">
        <v>27</v>
      </c>
      <c r="D1299" s="63" t="s">
        <v>103</v>
      </c>
      <c r="E1299" s="50" t="s">
        <v>1800</v>
      </c>
      <c r="F1299" s="57">
        <v>25000</v>
      </c>
      <c r="G1299" s="76"/>
      <c r="H1299" s="57">
        <f t="shared" si="189"/>
        <v>25000</v>
      </c>
      <c r="I1299" s="50">
        <v>1</v>
      </c>
      <c r="J1299" s="57">
        <f t="shared" si="190"/>
        <v>25000</v>
      </c>
      <c r="K1299" s="58">
        <f t="shared" si="191"/>
        <v>27500</v>
      </c>
      <c r="L1299" s="18" t="s">
        <v>25</v>
      </c>
      <c r="M1299" s="50"/>
    </row>
    <row r="1300" spans="1:13" ht="21.75" hidden="1" customHeight="1" x14ac:dyDescent="0.4">
      <c r="A1300" s="62">
        <v>45081</v>
      </c>
      <c r="B1300" s="32" t="s">
        <v>1801</v>
      </c>
      <c r="C1300" s="18" t="s">
        <v>27</v>
      </c>
      <c r="D1300" s="63" t="s">
        <v>28</v>
      </c>
      <c r="E1300" s="50" t="s">
        <v>1802</v>
      </c>
      <c r="F1300" s="57">
        <v>13120</v>
      </c>
      <c r="G1300" s="76"/>
      <c r="H1300" s="57">
        <f t="shared" si="189"/>
        <v>13120</v>
      </c>
      <c r="I1300" s="50">
        <v>1</v>
      </c>
      <c r="J1300" s="57">
        <f t="shared" si="190"/>
        <v>13120</v>
      </c>
      <c r="K1300" s="58">
        <f t="shared" si="191"/>
        <v>14432</v>
      </c>
      <c r="L1300" s="18" t="s">
        <v>25</v>
      </c>
      <c r="M1300" s="50"/>
    </row>
    <row r="1301" spans="1:13" ht="21.75" hidden="1" customHeight="1" x14ac:dyDescent="0.4">
      <c r="A1301" s="62">
        <v>45082</v>
      </c>
      <c r="B1301" s="32" t="s">
        <v>1803</v>
      </c>
      <c r="C1301" s="18" t="s">
        <v>1783</v>
      </c>
      <c r="D1301" s="63" t="s">
        <v>426</v>
      </c>
      <c r="E1301" s="50" t="s">
        <v>1804</v>
      </c>
      <c r="F1301" s="57">
        <v>1700</v>
      </c>
      <c r="G1301" s="76">
        <v>-170</v>
      </c>
      <c r="H1301" s="57">
        <f t="shared" si="189"/>
        <v>1530</v>
      </c>
      <c r="I1301" s="50">
        <v>1</v>
      </c>
      <c r="J1301" s="57">
        <f t="shared" si="190"/>
        <v>1530</v>
      </c>
      <c r="K1301" s="58">
        <f t="shared" si="191"/>
        <v>1683</v>
      </c>
      <c r="L1301" s="18" t="s">
        <v>25</v>
      </c>
      <c r="M1301" s="50"/>
    </row>
    <row r="1302" spans="1:13" ht="21.75" hidden="1" customHeight="1" x14ac:dyDescent="0.4">
      <c r="A1302" s="62">
        <v>45084</v>
      </c>
      <c r="B1302" s="32" t="s">
        <v>1805</v>
      </c>
      <c r="C1302" s="18" t="s">
        <v>22</v>
      </c>
      <c r="D1302" s="63" t="s">
        <v>1496</v>
      </c>
      <c r="E1302" s="50" t="s">
        <v>369</v>
      </c>
      <c r="F1302" s="57">
        <v>3000</v>
      </c>
      <c r="G1302" s="76"/>
      <c r="H1302" s="57">
        <f t="shared" si="189"/>
        <v>3000</v>
      </c>
      <c r="I1302" s="50">
        <v>1</v>
      </c>
      <c r="J1302" s="57">
        <f t="shared" si="190"/>
        <v>3000</v>
      </c>
      <c r="K1302" s="58">
        <f t="shared" si="191"/>
        <v>3300</v>
      </c>
      <c r="L1302" s="18" t="s">
        <v>25</v>
      </c>
      <c r="M1302" s="50"/>
    </row>
    <row r="1303" spans="1:13" ht="21.75" hidden="1" customHeight="1" x14ac:dyDescent="0.4">
      <c r="A1303" s="62">
        <v>45084</v>
      </c>
      <c r="B1303" s="32" t="s">
        <v>1806</v>
      </c>
      <c r="C1303" s="18" t="s">
        <v>27</v>
      </c>
      <c r="D1303" s="63" t="s">
        <v>28</v>
      </c>
      <c r="E1303" s="50" t="s">
        <v>1807</v>
      </c>
      <c r="F1303" s="57">
        <v>3750</v>
      </c>
      <c r="G1303" s="76"/>
      <c r="H1303" s="57">
        <f t="shared" si="189"/>
        <v>3750</v>
      </c>
      <c r="I1303" s="50">
        <v>1</v>
      </c>
      <c r="J1303" s="57">
        <f t="shared" si="190"/>
        <v>3750</v>
      </c>
      <c r="K1303" s="58">
        <f t="shared" si="191"/>
        <v>4125</v>
      </c>
      <c r="L1303" s="18" t="s">
        <v>20</v>
      </c>
      <c r="M1303" s="50"/>
    </row>
    <row r="1304" spans="1:13" ht="21.75" hidden="1" customHeight="1" x14ac:dyDescent="0.4">
      <c r="A1304" s="62">
        <v>45084</v>
      </c>
      <c r="B1304" s="32" t="s">
        <v>1808</v>
      </c>
      <c r="C1304" s="18" t="s">
        <v>22</v>
      </c>
      <c r="D1304" s="63" t="s">
        <v>1496</v>
      </c>
      <c r="E1304" s="50" t="s">
        <v>369</v>
      </c>
      <c r="F1304" s="57">
        <v>3000</v>
      </c>
      <c r="G1304" s="76"/>
      <c r="H1304" s="57">
        <f t="shared" si="189"/>
        <v>3000</v>
      </c>
      <c r="I1304" s="50">
        <v>1</v>
      </c>
      <c r="J1304" s="57">
        <f t="shared" si="190"/>
        <v>3000</v>
      </c>
      <c r="K1304" s="58">
        <f t="shared" si="191"/>
        <v>3300</v>
      </c>
      <c r="L1304" s="18" t="s">
        <v>1781</v>
      </c>
      <c r="M1304" s="50"/>
    </row>
    <row r="1305" spans="1:13" ht="21.75" hidden="1" customHeight="1" x14ac:dyDescent="0.4">
      <c r="A1305" s="62">
        <v>45084</v>
      </c>
      <c r="B1305" s="32" t="s">
        <v>1809</v>
      </c>
      <c r="C1305" s="18" t="s">
        <v>27</v>
      </c>
      <c r="D1305" s="63" t="s">
        <v>28</v>
      </c>
      <c r="E1305" s="50" t="s">
        <v>73</v>
      </c>
      <c r="F1305" s="57">
        <v>2000</v>
      </c>
      <c r="G1305" s="76"/>
      <c r="H1305" s="57">
        <f t="shared" si="189"/>
        <v>2000</v>
      </c>
      <c r="I1305" s="50">
        <v>1</v>
      </c>
      <c r="J1305" s="57">
        <f t="shared" si="190"/>
        <v>2000</v>
      </c>
      <c r="K1305" s="58">
        <f t="shared" si="191"/>
        <v>2200</v>
      </c>
      <c r="L1305" s="18" t="s">
        <v>1781</v>
      </c>
      <c r="M1305" s="50"/>
    </row>
    <row r="1306" spans="1:13" ht="21.75" hidden="1" customHeight="1" x14ac:dyDescent="0.4">
      <c r="A1306" s="62">
        <v>45084</v>
      </c>
      <c r="B1306" s="32" t="s">
        <v>1809</v>
      </c>
      <c r="C1306" s="18" t="s">
        <v>27</v>
      </c>
      <c r="D1306" s="63" t="s">
        <v>28</v>
      </c>
      <c r="E1306" s="50" t="s">
        <v>1810</v>
      </c>
      <c r="F1306" s="57">
        <v>2500</v>
      </c>
      <c r="G1306" s="76"/>
      <c r="H1306" s="57">
        <f t="shared" si="189"/>
        <v>2500</v>
      </c>
      <c r="I1306" s="50">
        <v>1</v>
      </c>
      <c r="J1306" s="57">
        <f t="shared" si="190"/>
        <v>2500</v>
      </c>
      <c r="K1306" s="58">
        <f t="shared" si="191"/>
        <v>2750</v>
      </c>
      <c r="L1306" s="18" t="s">
        <v>1781</v>
      </c>
      <c r="M1306" s="50"/>
    </row>
    <row r="1307" spans="1:13" ht="21.75" hidden="1" customHeight="1" x14ac:dyDescent="0.4">
      <c r="A1307" s="62">
        <v>45084</v>
      </c>
      <c r="B1307" s="32" t="s">
        <v>1811</v>
      </c>
      <c r="C1307" s="18" t="s">
        <v>1783</v>
      </c>
      <c r="D1307" s="63" t="s">
        <v>292</v>
      </c>
      <c r="E1307" s="50" t="s">
        <v>1825</v>
      </c>
      <c r="F1307" s="57">
        <v>5500</v>
      </c>
      <c r="G1307" s="76"/>
      <c r="H1307" s="57">
        <f t="shared" si="189"/>
        <v>5500</v>
      </c>
      <c r="I1307" s="50">
        <v>1</v>
      </c>
      <c r="J1307" s="57">
        <f t="shared" si="190"/>
        <v>5500</v>
      </c>
      <c r="K1307" s="58">
        <f t="shared" si="191"/>
        <v>6050</v>
      </c>
      <c r="L1307" s="18" t="s">
        <v>25</v>
      </c>
      <c r="M1307" s="50"/>
    </row>
    <row r="1308" spans="1:13" ht="21.75" hidden="1" customHeight="1" x14ac:dyDescent="0.4">
      <c r="A1308" s="62">
        <v>45085</v>
      </c>
      <c r="B1308" s="32" t="s">
        <v>1297</v>
      </c>
      <c r="C1308" s="18" t="s">
        <v>27</v>
      </c>
      <c r="D1308" s="63" t="s">
        <v>28</v>
      </c>
      <c r="E1308" s="50" t="s">
        <v>73</v>
      </c>
      <c r="F1308" s="57">
        <v>2000</v>
      </c>
      <c r="G1308" s="76"/>
      <c r="H1308" s="57">
        <f t="shared" si="189"/>
        <v>2000</v>
      </c>
      <c r="I1308" s="50">
        <v>1</v>
      </c>
      <c r="J1308" s="57">
        <f t="shared" si="190"/>
        <v>2000</v>
      </c>
      <c r="K1308" s="58">
        <f t="shared" si="191"/>
        <v>2200</v>
      </c>
      <c r="L1308" s="18" t="s">
        <v>25</v>
      </c>
      <c r="M1308" s="50"/>
    </row>
    <row r="1309" spans="1:13" ht="21.75" hidden="1" customHeight="1" x14ac:dyDescent="0.4">
      <c r="A1309" s="62">
        <v>45085</v>
      </c>
      <c r="B1309" s="32" t="s">
        <v>405</v>
      </c>
      <c r="C1309" s="18" t="s">
        <v>1783</v>
      </c>
      <c r="D1309" s="63" t="s">
        <v>55</v>
      </c>
      <c r="E1309" s="50" t="s">
        <v>1812</v>
      </c>
      <c r="F1309" s="57">
        <v>5500</v>
      </c>
      <c r="G1309" s="76"/>
      <c r="H1309" s="57">
        <f t="shared" si="189"/>
        <v>5500</v>
      </c>
      <c r="I1309" s="50">
        <v>2</v>
      </c>
      <c r="J1309" s="57">
        <f t="shared" si="190"/>
        <v>11000</v>
      </c>
      <c r="K1309" s="58">
        <f t="shared" si="191"/>
        <v>12100</v>
      </c>
      <c r="L1309" s="18" t="s">
        <v>25</v>
      </c>
      <c r="M1309" s="50"/>
    </row>
    <row r="1310" spans="1:13" ht="21.75" hidden="1" customHeight="1" x14ac:dyDescent="0.4">
      <c r="A1310" s="62">
        <v>45085</v>
      </c>
      <c r="B1310" s="32" t="s">
        <v>1782</v>
      </c>
      <c r="C1310" s="18" t="s">
        <v>22</v>
      </c>
      <c r="D1310" s="63" t="s">
        <v>1496</v>
      </c>
      <c r="E1310" s="50" t="s">
        <v>1814</v>
      </c>
      <c r="F1310" s="57">
        <v>22000</v>
      </c>
      <c r="G1310" s="76"/>
      <c r="H1310" s="57">
        <f t="shared" si="189"/>
        <v>22000</v>
      </c>
      <c r="I1310" s="50">
        <v>1</v>
      </c>
      <c r="J1310" s="57">
        <f t="shared" si="190"/>
        <v>22000</v>
      </c>
      <c r="K1310" s="58">
        <f t="shared" si="191"/>
        <v>24200</v>
      </c>
      <c r="L1310" s="18" t="s">
        <v>1781</v>
      </c>
      <c r="M1310" s="50"/>
    </row>
    <row r="1311" spans="1:13" ht="21.75" hidden="1" customHeight="1" x14ac:dyDescent="0.4">
      <c r="A1311" s="62">
        <v>45085</v>
      </c>
      <c r="B1311" s="32" t="s">
        <v>1720</v>
      </c>
      <c r="C1311" s="18" t="s">
        <v>22</v>
      </c>
      <c r="D1311" s="63" t="s">
        <v>1496</v>
      </c>
      <c r="E1311" s="50" t="s">
        <v>1813</v>
      </c>
      <c r="F1311" s="57">
        <v>4500</v>
      </c>
      <c r="G1311" s="76"/>
      <c r="H1311" s="57">
        <f t="shared" si="189"/>
        <v>4500</v>
      </c>
      <c r="I1311" s="50">
        <v>1</v>
      </c>
      <c r="J1311" s="57">
        <f t="shared" si="190"/>
        <v>4500</v>
      </c>
      <c r="K1311" s="58">
        <f t="shared" si="191"/>
        <v>4950</v>
      </c>
      <c r="L1311" s="18" t="s">
        <v>25</v>
      </c>
      <c r="M1311" s="50"/>
    </row>
    <row r="1312" spans="1:13" ht="21.75" hidden="1" customHeight="1" x14ac:dyDescent="0.4">
      <c r="A1312" s="62">
        <v>45086</v>
      </c>
      <c r="B1312" s="32" t="s">
        <v>1815</v>
      </c>
      <c r="C1312" s="18" t="s">
        <v>22</v>
      </c>
      <c r="D1312" s="63" t="s">
        <v>1496</v>
      </c>
      <c r="E1312" s="50" t="s">
        <v>369</v>
      </c>
      <c r="F1312" s="57">
        <v>3000</v>
      </c>
      <c r="G1312" s="76"/>
      <c r="H1312" s="57">
        <f t="shared" si="189"/>
        <v>3000</v>
      </c>
      <c r="I1312" s="50">
        <v>1</v>
      </c>
      <c r="J1312" s="57">
        <f t="shared" si="190"/>
        <v>3000</v>
      </c>
      <c r="K1312" s="58">
        <f t="shared" si="191"/>
        <v>3300</v>
      </c>
      <c r="L1312" s="18" t="s">
        <v>1781</v>
      </c>
      <c r="M1312" s="50"/>
    </row>
    <row r="1313" spans="1:13" ht="21.75" hidden="1" customHeight="1" x14ac:dyDescent="0.4">
      <c r="A1313" s="62">
        <v>45086</v>
      </c>
      <c r="B1313" s="32" t="s">
        <v>1815</v>
      </c>
      <c r="C1313" s="18" t="s">
        <v>27</v>
      </c>
      <c r="D1313" s="63" t="s">
        <v>28</v>
      </c>
      <c r="E1313" s="50" t="s">
        <v>318</v>
      </c>
      <c r="F1313" s="57">
        <v>15000</v>
      </c>
      <c r="G1313" s="76"/>
      <c r="H1313" s="57">
        <f t="shared" si="189"/>
        <v>15000</v>
      </c>
      <c r="I1313" s="50">
        <v>1</v>
      </c>
      <c r="J1313" s="57">
        <f t="shared" si="190"/>
        <v>15000</v>
      </c>
      <c r="K1313" s="58">
        <f t="shared" si="191"/>
        <v>16500</v>
      </c>
      <c r="L1313" s="18" t="s">
        <v>25</v>
      </c>
      <c r="M1313" s="50"/>
    </row>
    <row r="1314" spans="1:13" ht="21.75" hidden="1" customHeight="1" x14ac:dyDescent="0.4">
      <c r="A1314" s="62">
        <v>45086</v>
      </c>
      <c r="B1314" s="32" t="s">
        <v>1815</v>
      </c>
      <c r="C1314" s="18" t="s">
        <v>27</v>
      </c>
      <c r="D1314" s="63" t="s">
        <v>28</v>
      </c>
      <c r="E1314" s="50" t="s">
        <v>1816</v>
      </c>
      <c r="F1314" s="57">
        <v>8750</v>
      </c>
      <c r="G1314" s="76"/>
      <c r="H1314" s="57">
        <f t="shared" si="189"/>
        <v>8750</v>
      </c>
      <c r="I1314" s="50">
        <v>1</v>
      </c>
      <c r="J1314" s="57">
        <f t="shared" si="190"/>
        <v>8750</v>
      </c>
      <c r="K1314" s="58">
        <f t="shared" si="191"/>
        <v>9625</v>
      </c>
      <c r="L1314" s="18" t="s">
        <v>25</v>
      </c>
      <c r="M1314" s="50"/>
    </row>
    <row r="1315" spans="1:13" ht="21.75" hidden="1" customHeight="1" x14ac:dyDescent="0.4">
      <c r="A1315" s="62">
        <v>45087</v>
      </c>
      <c r="B1315" s="32" t="s">
        <v>1817</v>
      </c>
      <c r="C1315" s="18" t="s">
        <v>22</v>
      </c>
      <c r="D1315" s="63" t="s">
        <v>23</v>
      </c>
      <c r="E1315" s="50" t="s">
        <v>1502</v>
      </c>
      <c r="F1315" s="57">
        <v>15000</v>
      </c>
      <c r="G1315" s="76">
        <v>-5000</v>
      </c>
      <c r="H1315" s="57">
        <f t="shared" si="189"/>
        <v>10000</v>
      </c>
      <c r="I1315" s="50">
        <v>1</v>
      </c>
      <c r="J1315" s="57">
        <f t="shared" si="190"/>
        <v>10000</v>
      </c>
      <c r="K1315" s="58">
        <f t="shared" si="191"/>
        <v>11000</v>
      </c>
      <c r="L1315" s="18" t="s">
        <v>25</v>
      </c>
      <c r="M1315" s="50"/>
    </row>
    <row r="1316" spans="1:13" ht="21.75" hidden="1" customHeight="1" x14ac:dyDescent="0.4">
      <c r="A1316" s="62">
        <v>45087</v>
      </c>
      <c r="B1316" s="32" t="s">
        <v>1818</v>
      </c>
      <c r="C1316" s="18" t="s">
        <v>22</v>
      </c>
      <c r="D1316" s="63" t="s">
        <v>23</v>
      </c>
      <c r="E1316" s="50" t="s">
        <v>1502</v>
      </c>
      <c r="F1316" s="57">
        <v>15000</v>
      </c>
      <c r="G1316" s="76">
        <v>-5000</v>
      </c>
      <c r="H1316" s="57">
        <f t="shared" si="189"/>
        <v>10000</v>
      </c>
      <c r="I1316" s="50">
        <v>1</v>
      </c>
      <c r="J1316" s="57">
        <f t="shared" si="190"/>
        <v>10000</v>
      </c>
      <c r="K1316" s="58">
        <f t="shared" si="191"/>
        <v>11000</v>
      </c>
      <c r="L1316" s="18" t="s">
        <v>34</v>
      </c>
      <c r="M1316" s="50"/>
    </row>
    <row r="1317" spans="1:13" ht="21.75" hidden="1" customHeight="1" x14ac:dyDescent="0.4">
      <c r="A1317" s="62">
        <v>45088</v>
      </c>
      <c r="B1317" s="32" t="s">
        <v>1780</v>
      </c>
      <c r="C1317" s="18" t="s">
        <v>27</v>
      </c>
      <c r="D1317" s="63" t="s">
        <v>103</v>
      </c>
      <c r="E1317" s="50" t="s">
        <v>104</v>
      </c>
      <c r="F1317" s="57">
        <v>2500</v>
      </c>
      <c r="G1317" s="76"/>
      <c r="H1317" s="57">
        <f t="shared" si="189"/>
        <v>2500</v>
      </c>
      <c r="I1317" s="50">
        <v>1</v>
      </c>
      <c r="J1317" s="57">
        <f t="shared" si="190"/>
        <v>2500</v>
      </c>
      <c r="K1317" s="58">
        <f t="shared" si="191"/>
        <v>2750</v>
      </c>
      <c r="L1317" s="18" t="s">
        <v>1781</v>
      </c>
      <c r="M1317" s="50"/>
    </row>
    <row r="1318" spans="1:13" ht="21.75" hidden="1" customHeight="1" x14ac:dyDescent="0.4">
      <c r="A1318" s="62">
        <v>45088</v>
      </c>
      <c r="B1318" s="32" t="s">
        <v>1819</v>
      </c>
      <c r="C1318" s="18" t="s">
        <v>27</v>
      </c>
      <c r="D1318" s="63" t="s">
        <v>28</v>
      </c>
      <c r="E1318" s="50" t="s">
        <v>1820</v>
      </c>
      <c r="F1318" s="57">
        <v>17500</v>
      </c>
      <c r="G1318" s="76"/>
      <c r="H1318" s="57">
        <f t="shared" si="189"/>
        <v>17500</v>
      </c>
      <c r="I1318" s="50">
        <v>2</v>
      </c>
      <c r="J1318" s="57">
        <f t="shared" si="190"/>
        <v>35000</v>
      </c>
      <c r="K1318" s="58">
        <f t="shared" si="191"/>
        <v>38500</v>
      </c>
      <c r="L1318" s="18" t="s">
        <v>25</v>
      </c>
      <c r="M1318" s="50"/>
    </row>
    <row r="1319" spans="1:13" ht="21.75" hidden="1" customHeight="1" x14ac:dyDescent="0.4">
      <c r="A1319" s="62">
        <v>45088</v>
      </c>
      <c r="B1319" s="32" t="s">
        <v>1819</v>
      </c>
      <c r="C1319" s="18" t="s">
        <v>27</v>
      </c>
      <c r="D1319" s="63" t="s">
        <v>28</v>
      </c>
      <c r="E1319" s="50" t="s">
        <v>1821</v>
      </c>
      <c r="F1319" s="57">
        <v>12250</v>
      </c>
      <c r="G1319" s="76"/>
      <c r="H1319" s="57">
        <f t="shared" si="189"/>
        <v>12250</v>
      </c>
      <c r="I1319" s="50">
        <v>2</v>
      </c>
      <c r="J1319" s="57">
        <f t="shared" si="190"/>
        <v>24500</v>
      </c>
      <c r="K1319" s="58">
        <f t="shared" si="191"/>
        <v>26950</v>
      </c>
      <c r="L1319" s="18" t="s">
        <v>25</v>
      </c>
      <c r="M1319" s="50"/>
    </row>
    <row r="1320" spans="1:13" ht="21.75" hidden="1" customHeight="1" x14ac:dyDescent="0.4">
      <c r="A1320" s="62">
        <v>45088</v>
      </c>
      <c r="B1320" s="32" t="s">
        <v>345</v>
      </c>
      <c r="C1320" s="18" t="s">
        <v>1783</v>
      </c>
      <c r="D1320" s="63" t="s">
        <v>1787</v>
      </c>
      <c r="E1320" s="50" t="s">
        <v>1798</v>
      </c>
      <c r="F1320" s="57">
        <v>3000</v>
      </c>
      <c r="G1320" s="76"/>
      <c r="H1320" s="57">
        <f t="shared" si="189"/>
        <v>3000</v>
      </c>
      <c r="I1320" s="50">
        <v>1</v>
      </c>
      <c r="J1320" s="57">
        <f t="shared" si="190"/>
        <v>3000</v>
      </c>
      <c r="K1320" s="58">
        <f t="shared" si="191"/>
        <v>3300</v>
      </c>
      <c r="L1320" s="18" t="s">
        <v>1781</v>
      </c>
      <c r="M1320" s="50"/>
    </row>
    <row r="1321" spans="1:13" ht="21.75" hidden="1" customHeight="1" x14ac:dyDescent="0.4">
      <c r="A1321" s="62">
        <v>45088</v>
      </c>
      <c r="B1321" s="32" t="s">
        <v>345</v>
      </c>
      <c r="C1321" s="18" t="s">
        <v>1783</v>
      </c>
      <c r="D1321" s="63" t="s">
        <v>1790</v>
      </c>
      <c r="E1321" s="50" t="s">
        <v>1822</v>
      </c>
      <c r="F1321" s="57">
        <v>2100</v>
      </c>
      <c r="G1321" s="76">
        <v>-210</v>
      </c>
      <c r="H1321" s="57">
        <f t="shared" si="189"/>
        <v>1890</v>
      </c>
      <c r="I1321" s="50">
        <v>1</v>
      </c>
      <c r="J1321" s="57">
        <f t="shared" si="190"/>
        <v>1890</v>
      </c>
      <c r="K1321" s="58">
        <f t="shared" si="191"/>
        <v>2079</v>
      </c>
      <c r="L1321" s="18" t="s">
        <v>1781</v>
      </c>
      <c r="M1321" s="50"/>
    </row>
    <row r="1322" spans="1:13" ht="21.75" hidden="1" customHeight="1" x14ac:dyDescent="0.4">
      <c r="A1322" s="62">
        <v>45089</v>
      </c>
      <c r="B1322" s="32" t="s">
        <v>1823</v>
      </c>
      <c r="C1322" s="18" t="s">
        <v>1783</v>
      </c>
      <c r="D1322" s="63" t="s">
        <v>18</v>
      </c>
      <c r="E1322" s="50" t="s">
        <v>1826</v>
      </c>
      <c r="F1322" s="57">
        <v>1700</v>
      </c>
      <c r="G1322" s="76">
        <v>-170</v>
      </c>
      <c r="H1322" s="57">
        <f t="shared" si="189"/>
        <v>1530</v>
      </c>
      <c r="I1322" s="50">
        <v>2</v>
      </c>
      <c r="J1322" s="57">
        <f t="shared" si="190"/>
        <v>3060</v>
      </c>
      <c r="K1322" s="58">
        <f t="shared" si="191"/>
        <v>3366</v>
      </c>
      <c r="L1322" s="18" t="s">
        <v>25</v>
      </c>
      <c r="M1322" s="50"/>
    </row>
    <row r="1323" spans="1:13" ht="21.75" hidden="1" customHeight="1" x14ac:dyDescent="0.4">
      <c r="A1323" s="62">
        <v>45089</v>
      </c>
      <c r="B1323" s="32" t="s">
        <v>1828</v>
      </c>
      <c r="C1323" s="18" t="s">
        <v>1783</v>
      </c>
      <c r="D1323" s="63" t="s">
        <v>18</v>
      </c>
      <c r="E1323" s="50" t="s">
        <v>1827</v>
      </c>
      <c r="F1323" s="57">
        <v>1700</v>
      </c>
      <c r="G1323" s="76">
        <v>-170</v>
      </c>
      <c r="H1323" s="57">
        <f t="shared" si="189"/>
        <v>1530</v>
      </c>
      <c r="I1323" s="50">
        <v>1</v>
      </c>
      <c r="J1323" s="57">
        <f t="shared" si="190"/>
        <v>1530</v>
      </c>
      <c r="K1323" s="58">
        <f t="shared" si="191"/>
        <v>1683</v>
      </c>
      <c r="L1323" s="18" t="s">
        <v>1781</v>
      </c>
      <c r="M1323" s="50"/>
    </row>
    <row r="1324" spans="1:13" ht="21.75" hidden="1" customHeight="1" x14ac:dyDescent="0.4">
      <c r="A1324" s="62">
        <v>45089</v>
      </c>
      <c r="B1324" s="32" t="s">
        <v>428</v>
      </c>
      <c r="C1324" s="18" t="s">
        <v>1783</v>
      </c>
      <c r="D1324" s="63" t="s">
        <v>1790</v>
      </c>
      <c r="E1324" s="50" t="s">
        <v>1829</v>
      </c>
      <c r="F1324" s="57">
        <v>2000</v>
      </c>
      <c r="G1324" s="76">
        <v>-200</v>
      </c>
      <c r="H1324" s="57">
        <f t="shared" si="189"/>
        <v>1800</v>
      </c>
      <c r="I1324" s="50">
        <v>3</v>
      </c>
      <c r="J1324" s="57">
        <f t="shared" si="190"/>
        <v>5400</v>
      </c>
      <c r="K1324" s="58">
        <f t="shared" si="191"/>
        <v>5940</v>
      </c>
      <c r="L1324" s="18" t="s">
        <v>25</v>
      </c>
      <c r="M1324" s="50"/>
    </row>
    <row r="1325" spans="1:13" ht="21.75" hidden="1" customHeight="1" x14ac:dyDescent="0.4">
      <c r="A1325" s="62">
        <v>45089</v>
      </c>
      <c r="B1325" s="32" t="s">
        <v>554</v>
      </c>
      <c r="C1325" s="18" t="s">
        <v>1783</v>
      </c>
      <c r="D1325" s="63" t="s">
        <v>1784</v>
      </c>
      <c r="E1325" s="50" t="s">
        <v>1830</v>
      </c>
      <c r="F1325" s="57">
        <v>40000</v>
      </c>
      <c r="G1325" s="76">
        <v>-4000</v>
      </c>
      <c r="H1325" s="57">
        <f t="shared" si="189"/>
        <v>36000</v>
      </c>
      <c r="I1325" s="50">
        <v>1</v>
      </c>
      <c r="J1325" s="57">
        <f t="shared" si="190"/>
        <v>36000</v>
      </c>
      <c r="K1325" s="58">
        <f t="shared" si="191"/>
        <v>39600</v>
      </c>
      <c r="L1325" s="18" t="s">
        <v>34</v>
      </c>
      <c r="M1325" s="50"/>
    </row>
    <row r="1326" spans="1:13" ht="21.75" hidden="1" customHeight="1" x14ac:dyDescent="0.4">
      <c r="A1326" s="62">
        <v>45091</v>
      </c>
      <c r="B1326" s="32" t="s">
        <v>678</v>
      </c>
      <c r="C1326" s="18" t="s">
        <v>1783</v>
      </c>
      <c r="D1326" s="63" t="s">
        <v>1790</v>
      </c>
      <c r="E1326" s="50" t="s">
        <v>1831</v>
      </c>
      <c r="F1326" s="57">
        <v>1090</v>
      </c>
      <c r="G1326" s="76">
        <v>-109</v>
      </c>
      <c r="H1326" s="57">
        <f t="shared" si="189"/>
        <v>981</v>
      </c>
      <c r="I1326" s="50">
        <v>1</v>
      </c>
      <c r="J1326" s="57">
        <f t="shared" si="190"/>
        <v>981</v>
      </c>
      <c r="K1326" s="58">
        <f t="shared" si="191"/>
        <v>1079</v>
      </c>
      <c r="L1326" s="18" t="s">
        <v>1781</v>
      </c>
      <c r="M1326" s="50"/>
    </row>
    <row r="1327" spans="1:13" ht="21.75" hidden="1" customHeight="1" x14ac:dyDescent="0.4">
      <c r="A1327" s="62">
        <v>45091</v>
      </c>
      <c r="B1327" s="32" t="s">
        <v>1560</v>
      </c>
      <c r="C1327" s="18" t="s">
        <v>1783</v>
      </c>
      <c r="D1327" s="63" t="s">
        <v>1790</v>
      </c>
      <c r="E1327" s="50" t="s">
        <v>1832</v>
      </c>
      <c r="F1327" s="57">
        <v>1200</v>
      </c>
      <c r="G1327" s="76">
        <v>-120</v>
      </c>
      <c r="H1327" s="57">
        <f t="shared" si="189"/>
        <v>1080</v>
      </c>
      <c r="I1327" s="50">
        <v>1</v>
      </c>
      <c r="J1327" s="57">
        <f t="shared" si="190"/>
        <v>1080</v>
      </c>
      <c r="K1327" s="58">
        <f t="shared" si="191"/>
        <v>1188</v>
      </c>
      <c r="L1327" s="18" t="s">
        <v>25</v>
      </c>
      <c r="M1327" s="50"/>
    </row>
    <row r="1328" spans="1:13" ht="21.75" hidden="1" customHeight="1" x14ac:dyDescent="0.4">
      <c r="A1328" s="62">
        <v>45091</v>
      </c>
      <c r="B1328" s="32" t="s">
        <v>1808</v>
      </c>
      <c r="C1328" s="18" t="s">
        <v>27</v>
      </c>
      <c r="D1328" s="63" t="s">
        <v>28</v>
      </c>
      <c r="E1328" s="50" t="s">
        <v>907</v>
      </c>
      <c r="F1328" s="57">
        <v>10000</v>
      </c>
      <c r="G1328" s="76"/>
      <c r="H1328" s="57">
        <f t="shared" si="189"/>
        <v>10000</v>
      </c>
      <c r="I1328" s="50">
        <v>1</v>
      </c>
      <c r="J1328" s="57">
        <f t="shared" si="190"/>
        <v>10000</v>
      </c>
      <c r="K1328" s="58">
        <f t="shared" si="191"/>
        <v>11000</v>
      </c>
      <c r="L1328" s="18" t="s">
        <v>1781</v>
      </c>
      <c r="M1328" s="50"/>
    </row>
    <row r="1329" spans="1:13" ht="21.75" hidden="1" customHeight="1" x14ac:dyDescent="0.4">
      <c r="A1329" s="62">
        <v>45091</v>
      </c>
      <c r="B1329" s="32" t="s">
        <v>1808</v>
      </c>
      <c r="C1329" s="18" t="s">
        <v>27</v>
      </c>
      <c r="D1329" s="63" t="s">
        <v>28</v>
      </c>
      <c r="E1329" s="50" t="s">
        <v>1833</v>
      </c>
      <c r="F1329" s="57">
        <v>17500</v>
      </c>
      <c r="G1329" s="76"/>
      <c r="H1329" s="57">
        <f t="shared" si="189"/>
        <v>17500</v>
      </c>
      <c r="I1329" s="50">
        <v>1</v>
      </c>
      <c r="J1329" s="57">
        <f t="shared" si="190"/>
        <v>17500</v>
      </c>
      <c r="K1329" s="58">
        <f t="shared" si="191"/>
        <v>19250</v>
      </c>
      <c r="L1329" s="18" t="s">
        <v>1781</v>
      </c>
      <c r="M1329" s="50"/>
    </row>
    <row r="1330" spans="1:13" ht="21.75" hidden="1" customHeight="1" x14ac:dyDescent="0.4">
      <c r="A1330" s="62">
        <v>45092</v>
      </c>
      <c r="B1330" s="32" t="s">
        <v>1541</v>
      </c>
      <c r="C1330" s="18" t="s">
        <v>1834</v>
      </c>
      <c r="D1330" s="63"/>
      <c r="E1330" s="63" t="s">
        <v>1835</v>
      </c>
      <c r="F1330" s="57">
        <v>500</v>
      </c>
      <c r="G1330" s="76"/>
      <c r="H1330" s="57">
        <f t="shared" si="189"/>
        <v>500</v>
      </c>
      <c r="I1330" s="50">
        <v>3</v>
      </c>
      <c r="J1330" s="57">
        <f t="shared" si="190"/>
        <v>1500</v>
      </c>
      <c r="K1330" s="58">
        <f t="shared" si="191"/>
        <v>1650</v>
      </c>
      <c r="L1330" s="18" t="s">
        <v>25</v>
      </c>
      <c r="M1330" s="50"/>
    </row>
    <row r="1331" spans="1:13" ht="21.75" hidden="1" customHeight="1" x14ac:dyDescent="0.4">
      <c r="A1331" s="62">
        <v>45092</v>
      </c>
      <c r="B1331" s="32" t="s">
        <v>1836</v>
      </c>
      <c r="C1331" s="18" t="s">
        <v>1783</v>
      </c>
      <c r="D1331" s="63" t="s">
        <v>576</v>
      </c>
      <c r="E1331" s="50" t="s">
        <v>1837</v>
      </c>
      <c r="F1331" s="57">
        <v>89000</v>
      </c>
      <c r="G1331" s="76">
        <v>-32930</v>
      </c>
      <c r="H1331" s="57">
        <f t="shared" si="189"/>
        <v>56070</v>
      </c>
      <c r="I1331" s="50">
        <v>1</v>
      </c>
      <c r="J1331" s="57">
        <f t="shared" si="190"/>
        <v>56070</v>
      </c>
      <c r="K1331" s="58">
        <f t="shared" si="191"/>
        <v>61677</v>
      </c>
      <c r="L1331" s="18" t="s">
        <v>34</v>
      </c>
      <c r="M1331" s="50"/>
    </row>
    <row r="1332" spans="1:13" ht="21.75" hidden="1" customHeight="1" x14ac:dyDescent="0.4">
      <c r="A1332" s="62">
        <v>45093</v>
      </c>
      <c r="B1332" s="32" t="s">
        <v>1838</v>
      </c>
      <c r="C1332" s="18" t="s">
        <v>1783</v>
      </c>
      <c r="D1332" s="63" t="s">
        <v>576</v>
      </c>
      <c r="E1332" s="50" t="s">
        <v>1839</v>
      </c>
      <c r="F1332" s="57">
        <v>70000</v>
      </c>
      <c r="G1332" s="76">
        <v>-7000</v>
      </c>
      <c r="H1332" s="57">
        <f t="shared" si="189"/>
        <v>63000</v>
      </c>
      <c r="I1332" s="50">
        <v>1</v>
      </c>
      <c r="J1332" s="57">
        <f t="shared" si="190"/>
        <v>63000</v>
      </c>
      <c r="K1332" s="58">
        <f t="shared" si="191"/>
        <v>69300</v>
      </c>
      <c r="L1332" s="18" t="s">
        <v>34</v>
      </c>
      <c r="M1332" s="50"/>
    </row>
    <row r="1333" spans="1:13" ht="21.75" hidden="1" customHeight="1" x14ac:dyDescent="0.4">
      <c r="A1333" s="62">
        <v>45093</v>
      </c>
      <c r="B1333" s="32" t="s">
        <v>1841</v>
      </c>
      <c r="C1333" s="18" t="s">
        <v>1783</v>
      </c>
      <c r="D1333" s="63" t="s">
        <v>1842</v>
      </c>
      <c r="E1333" s="50" t="s">
        <v>1840</v>
      </c>
      <c r="F1333" s="57">
        <v>21000</v>
      </c>
      <c r="G1333" s="76">
        <v>-5250</v>
      </c>
      <c r="H1333" s="57">
        <f t="shared" si="189"/>
        <v>15750</v>
      </c>
      <c r="I1333" s="50">
        <v>1</v>
      </c>
      <c r="J1333" s="57">
        <f t="shared" si="190"/>
        <v>15750</v>
      </c>
      <c r="K1333" s="58">
        <f t="shared" si="191"/>
        <v>17325</v>
      </c>
      <c r="L1333" s="18" t="s">
        <v>34</v>
      </c>
      <c r="M1333" s="50"/>
    </row>
    <row r="1334" spans="1:13" ht="21.75" hidden="1" customHeight="1" x14ac:dyDescent="0.4">
      <c r="A1334" s="62">
        <v>45093</v>
      </c>
      <c r="B1334" s="32" t="s">
        <v>179</v>
      </c>
      <c r="C1334" s="18" t="s">
        <v>1783</v>
      </c>
      <c r="D1334" s="63" t="s">
        <v>455</v>
      </c>
      <c r="E1334" s="50" t="s">
        <v>1791</v>
      </c>
      <c r="F1334" s="57">
        <v>1400</v>
      </c>
      <c r="G1334" s="76">
        <v>-140</v>
      </c>
      <c r="H1334" s="57">
        <f t="shared" si="189"/>
        <v>1260</v>
      </c>
      <c r="I1334" s="50">
        <v>1</v>
      </c>
      <c r="J1334" s="57">
        <f t="shared" si="190"/>
        <v>1260</v>
      </c>
      <c r="K1334" s="58">
        <f t="shared" si="191"/>
        <v>1386</v>
      </c>
      <c r="L1334" s="18" t="s">
        <v>1781</v>
      </c>
      <c r="M1334" s="50"/>
    </row>
    <row r="1335" spans="1:13" ht="21.75" hidden="1" customHeight="1" x14ac:dyDescent="0.4">
      <c r="A1335" s="62">
        <v>45093</v>
      </c>
      <c r="B1335" s="32" t="s">
        <v>1843</v>
      </c>
      <c r="C1335" s="18" t="s">
        <v>1783</v>
      </c>
      <c r="D1335" s="63" t="s">
        <v>1790</v>
      </c>
      <c r="E1335" s="50" t="s">
        <v>1844</v>
      </c>
      <c r="F1335" s="57">
        <v>1200</v>
      </c>
      <c r="G1335" s="76">
        <v>-120</v>
      </c>
      <c r="H1335" s="57">
        <f t="shared" si="189"/>
        <v>1080</v>
      </c>
      <c r="I1335" s="50">
        <v>1</v>
      </c>
      <c r="J1335" s="57">
        <f t="shared" si="190"/>
        <v>1080</v>
      </c>
      <c r="K1335" s="58">
        <f t="shared" si="191"/>
        <v>1188</v>
      </c>
      <c r="L1335" s="18" t="s">
        <v>25</v>
      </c>
      <c r="M1335" s="50"/>
    </row>
    <row r="1336" spans="1:13" ht="21.75" hidden="1" customHeight="1" x14ac:dyDescent="0.4">
      <c r="A1336" s="62">
        <v>45093</v>
      </c>
      <c r="B1336" s="32" t="s">
        <v>1845</v>
      </c>
      <c r="C1336" s="18" t="s">
        <v>1783</v>
      </c>
      <c r="D1336" s="63" t="s">
        <v>426</v>
      </c>
      <c r="E1336" s="50" t="s">
        <v>1827</v>
      </c>
      <c r="F1336" s="57">
        <v>1700</v>
      </c>
      <c r="G1336" s="76">
        <v>-170</v>
      </c>
      <c r="H1336" s="57">
        <f t="shared" si="189"/>
        <v>1530</v>
      </c>
      <c r="I1336" s="50">
        <v>1</v>
      </c>
      <c r="J1336" s="57">
        <f t="shared" si="190"/>
        <v>1530</v>
      </c>
      <c r="K1336" s="58">
        <f t="shared" si="191"/>
        <v>1683</v>
      </c>
      <c r="L1336" s="18" t="s">
        <v>25</v>
      </c>
      <c r="M1336" s="50"/>
    </row>
    <row r="1337" spans="1:13" ht="21.75" hidden="1" customHeight="1" x14ac:dyDescent="0.4">
      <c r="A1337" s="62">
        <v>45093</v>
      </c>
      <c r="B1337" s="32" t="s">
        <v>1841</v>
      </c>
      <c r="C1337" s="18" t="s">
        <v>1783</v>
      </c>
      <c r="D1337" s="63" t="s">
        <v>18</v>
      </c>
      <c r="E1337" s="50" t="s">
        <v>1827</v>
      </c>
      <c r="F1337" s="57">
        <v>1700</v>
      </c>
      <c r="G1337" s="76">
        <v>-680</v>
      </c>
      <c r="H1337" s="57">
        <f t="shared" si="189"/>
        <v>1020</v>
      </c>
      <c r="I1337" s="50">
        <v>1</v>
      </c>
      <c r="J1337" s="57">
        <f t="shared" si="190"/>
        <v>1020</v>
      </c>
      <c r="K1337" s="58">
        <f t="shared" si="191"/>
        <v>1122</v>
      </c>
      <c r="L1337" s="18" t="s">
        <v>1781</v>
      </c>
      <c r="M1337" s="50"/>
    </row>
    <row r="1338" spans="1:13" ht="21.75" hidden="1" customHeight="1" x14ac:dyDescent="0.4">
      <c r="A1338" s="62">
        <v>45094</v>
      </c>
      <c r="B1338" s="32" t="s">
        <v>1846</v>
      </c>
      <c r="C1338" s="18" t="s">
        <v>22</v>
      </c>
      <c r="D1338" s="63" t="s">
        <v>1496</v>
      </c>
      <c r="E1338" s="50" t="s">
        <v>1847</v>
      </c>
      <c r="F1338" s="57">
        <v>3000</v>
      </c>
      <c r="G1338" s="76"/>
      <c r="H1338" s="57">
        <f t="shared" si="189"/>
        <v>3000</v>
      </c>
      <c r="I1338" s="50">
        <v>1</v>
      </c>
      <c r="J1338" s="57">
        <f t="shared" si="190"/>
        <v>3000</v>
      </c>
      <c r="K1338" s="58">
        <f t="shared" si="191"/>
        <v>3300</v>
      </c>
      <c r="L1338" s="18" t="s">
        <v>25</v>
      </c>
      <c r="M1338" s="50"/>
    </row>
    <row r="1339" spans="1:13" ht="21.75" hidden="1" customHeight="1" x14ac:dyDescent="0.4">
      <c r="A1339" s="62">
        <v>45095</v>
      </c>
      <c r="B1339" s="32" t="s">
        <v>1848</v>
      </c>
      <c r="C1339" s="18" t="s">
        <v>22</v>
      </c>
      <c r="D1339" s="63" t="s">
        <v>1496</v>
      </c>
      <c r="E1339" s="50" t="s">
        <v>369</v>
      </c>
      <c r="F1339" s="57">
        <v>3000</v>
      </c>
      <c r="G1339" s="76"/>
      <c r="H1339" s="57">
        <f t="shared" si="189"/>
        <v>3000</v>
      </c>
      <c r="I1339" s="50">
        <v>1</v>
      </c>
      <c r="J1339" s="57">
        <f t="shared" si="190"/>
        <v>3000</v>
      </c>
      <c r="K1339" s="58">
        <f t="shared" si="191"/>
        <v>3300</v>
      </c>
      <c r="L1339" s="18" t="s">
        <v>25</v>
      </c>
      <c r="M1339" s="50"/>
    </row>
    <row r="1340" spans="1:13" ht="21.75" hidden="1" customHeight="1" x14ac:dyDescent="0.4">
      <c r="A1340" s="62">
        <v>45095</v>
      </c>
      <c r="B1340" s="32" t="s">
        <v>1849</v>
      </c>
      <c r="C1340" s="18" t="s">
        <v>22</v>
      </c>
      <c r="D1340" s="63" t="s">
        <v>1496</v>
      </c>
      <c r="E1340" s="50" t="s">
        <v>1847</v>
      </c>
      <c r="F1340" s="57">
        <v>3000</v>
      </c>
      <c r="G1340" s="76"/>
      <c r="H1340" s="57">
        <f t="shared" si="189"/>
        <v>3000</v>
      </c>
      <c r="I1340" s="50">
        <v>1</v>
      </c>
      <c r="J1340" s="57">
        <f t="shared" si="190"/>
        <v>3000</v>
      </c>
      <c r="K1340" s="58">
        <f t="shared" si="191"/>
        <v>3300</v>
      </c>
      <c r="L1340" s="18" t="s">
        <v>1781</v>
      </c>
      <c r="M1340" s="50"/>
    </row>
    <row r="1341" spans="1:13" ht="21.75" hidden="1" customHeight="1" x14ac:dyDescent="0.4">
      <c r="A1341" s="62">
        <v>45095</v>
      </c>
      <c r="B1341" s="32" t="s">
        <v>195</v>
      </c>
      <c r="C1341" s="18" t="s">
        <v>1783</v>
      </c>
      <c r="D1341" s="63" t="s">
        <v>292</v>
      </c>
      <c r="E1341" s="50" t="s">
        <v>1850</v>
      </c>
      <c r="F1341" s="57">
        <v>5500</v>
      </c>
      <c r="G1341" s="76"/>
      <c r="H1341" s="57">
        <f t="shared" si="189"/>
        <v>5500</v>
      </c>
      <c r="I1341" s="50">
        <v>1</v>
      </c>
      <c r="J1341" s="57">
        <f t="shared" si="190"/>
        <v>5500</v>
      </c>
      <c r="K1341" s="58">
        <f t="shared" si="191"/>
        <v>6050</v>
      </c>
      <c r="L1341" s="18" t="s">
        <v>25</v>
      </c>
      <c r="M1341" s="50"/>
    </row>
    <row r="1342" spans="1:13" ht="21.75" hidden="1" customHeight="1" x14ac:dyDescent="0.4">
      <c r="A1342" s="62">
        <v>45096</v>
      </c>
      <c r="B1342" s="32" t="s">
        <v>593</v>
      </c>
      <c r="C1342" s="18" t="s">
        <v>27</v>
      </c>
      <c r="D1342" s="63" t="s">
        <v>28</v>
      </c>
      <c r="E1342" s="50" t="s">
        <v>1851</v>
      </c>
      <c r="F1342" s="57">
        <v>6350</v>
      </c>
      <c r="G1342" s="76"/>
      <c r="H1342" s="57">
        <f t="shared" si="189"/>
        <v>6350</v>
      </c>
      <c r="I1342" s="50">
        <v>1</v>
      </c>
      <c r="J1342" s="57">
        <f t="shared" si="190"/>
        <v>6350</v>
      </c>
      <c r="K1342" s="58">
        <f t="shared" si="191"/>
        <v>6985</v>
      </c>
      <c r="L1342" s="18" t="s">
        <v>25</v>
      </c>
      <c r="M1342" s="50"/>
    </row>
    <row r="1343" spans="1:13" ht="21.75" hidden="1" customHeight="1" x14ac:dyDescent="0.4">
      <c r="A1343" s="62">
        <v>45097</v>
      </c>
      <c r="B1343" s="32" t="s">
        <v>1852</v>
      </c>
      <c r="C1343" s="18" t="s">
        <v>1783</v>
      </c>
      <c r="D1343" s="63" t="s">
        <v>18</v>
      </c>
      <c r="E1343" s="50" t="s">
        <v>1853</v>
      </c>
      <c r="F1343" s="57">
        <v>1700</v>
      </c>
      <c r="G1343" s="76">
        <v>-170</v>
      </c>
      <c r="H1343" s="57">
        <f t="shared" si="189"/>
        <v>1530</v>
      </c>
      <c r="I1343" s="50">
        <v>1</v>
      </c>
      <c r="J1343" s="57">
        <f t="shared" si="190"/>
        <v>1530</v>
      </c>
      <c r="K1343" s="58">
        <f t="shared" si="191"/>
        <v>1683</v>
      </c>
      <c r="L1343" s="18" t="s">
        <v>20</v>
      </c>
      <c r="M1343" s="50"/>
    </row>
    <row r="1344" spans="1:13" ht="21.75" hidden="1" customHeight="1" x14ac:dyDescent="0.4">
      <c r="A1344" s="62">
        <v>45098</v>
      </c>
      <c r="B1344" s="32" t="s">
        <v>1780</v>
      </c>
      <c r="C1344" s="18" t="s">
        <v>27</v>
      </c>
      <c r="D1344" s="63" t="s">
        <v>103</v>
      </c>
      <c r="E1344" s="50" t="s">
        <v>104</v>
      </c>
      <c r="F1344" s="57">
        <v>2500</v>
      </c>
      <c r="G1344" s="76"/>
      <c r="H1344" s="57">
        <f t="shared" si="189"/>
        <v>2500</v>
      </c>
      <c r="I1344" s="50">
        <v>1</v>
      </c>
      <c r="J1344" s="57">
        <f t="shared" si="190"/>
        <v>2500</v>
      </c>
      <c r="K1344" s="58">
        <f t="shared" si="191"/>
        <v>2750</v>
      </c>
      <c r="L1344" s="18" t="s">
        <v>20</v>
      </c>
      <c r="M1344" s="50"/>
    </row>
    <row r="1345" spans="1:13" ht="21.75" hidden="1" customHeight="1" x14ac:dyDescent="0.4">
      <c r="A1345" s="62">
        <v>45098</v>
      </c>
      <c r="B1345" s="32" t="s">
        <v>1854</v>
      </c>
      <c r="C1345" s="18" t="s">
        <v>22</v>
      </c>
      <c r="D1345" s="63" t="s">
        <v>1496</v>
      </c>
      <c r="E1345" s="50" t="s">
        <v>369</v>
      </c>
      <c r="F1345" s="57">
        <v>3000</v>
      </c>
      <c r="G1345" s="76"/>
      <c r="H1345" s="57">
        <f t="shared" si="189"/>
        <v>3000</v>
      </c>
      <c r="I1345" s="50">
        <v>1</v>
      </c>
      <c r="J1345" s="57">
        <f t="shared" si="190"/>
        <v>3000</v>
      </c>
      <c r="K1345" s="58">
        <f t="shared" si="191"/>
        <v>3300</v>
      </c>
      <c r="L1345" s="18" t="s">
        <v>1781</v>
      </c>
      <c r="M1345" s="50"/>
    </row>
    <row r="1346" spans="1:13" ht="21.75" hidden="1" customHeight="1" x14ac:dyDescent="0.4">
      <c r="A1346" s="62">
        <v>45098</v>
      </c>
      <c r="B1346" s="32" t="s">
        <v>1455</v>
      </c>
      <c r="C1346" s="18" t="s">
        <v>1783</v>
      </c>
      <c r="D1346" s="63" t="s">
        <v>18</v>
      </c>
      <c r="E1346" s="50" t="s">
        <v>1853</v>
      </c>
      <c r="F1346" s="57">
        <v>1700</v>
      </c>
      <c r="G1346" s="76">
        <v>-680</v>
      </c>
      <c r="H1346" s="57">
        <f t="shared" si="189"/>
        <v>1020</v>
      </c>
      <c r="I1346" s="50">
        <v>1</v>
      </c>
      <c r="J1346" s="57">
        <f t="shared" si="190"/>
        <v>1020</v>
      </c>
      <c r="K1346" s="58">
        <f t="shared" si="191"/>
        <v>1122</v>
      </c>
      <c r="L1346" s="18" t="s">
        <v>25</v>
      </c>
      <c r="M1346" s="50"/>
    </row>
    <row r="1347" spans="1:13" ht="21.75" hidden="1" customHeight="1" x14ac:dyDescent="0.4">
      <c r="A1347" s="62">
        <v>45098</v>
      </c>
      <c r="B1347" s="32" t="s">
        <v>1855</v>
      </c>
      <c r="C1347" s="18" t="s">
        <v>1783</v>
      </c>
      <c r="D1347" s="63" t="s">
        <v>332</v>
      </c>
      <c r="E1347" s="50" t="s">
        <v>738</v>
      </c>
      <c r="F1347" s="57">
        <v>920</v>
      </c>
      <c r="G1347" s="76"/>
      <c r="H1347" s="57">
        <f t="shared" si="189"/>
        <v>920</v>
      </c>
      <c r="I1347" s="50">
        <v>1</v>
      </c>
      <c r="J1347" s="57">
        <f t="shared" si="190"/>
        <v>920</v>
      </c>
      <c r="K1347" s="58">
        <f t="shared" si="191"/>
        <v>1012</v>
      </c>
      <c r="L1347" s="18" t="s">
        <v>1781</v>
      </c>
      <c r="M1347" s="50"/>
    </row>
    <row r="1348" spans="1:13" ht="21.75" hidden="1" customHeight="1" x14ac:dyDescent="0.4">
      <c r="A1348" s="62">
        <v>45099</v>
      </c>
      <c r="B1348" s="32" t="s">
        <v>1856</v>
      </c>
      <c r="C1348" s="18" t="s">
        <v>1783</v>
      </c>
      <c r="D1348" s="63" t="s">
        <v>426</v>
      </c>
      <c r="E1348" s="50" t="s">
        <v>1857</v>
      </c>
      <c r="F1348" s="57">
        <v>1700</v>
      </c>
      <c r="G1348" s="76">
        <v>-170</v>
      </c>
      <c r="H1348" s="57">
        <f t="shared" si="189"/>
        <v>1530</v>
      </c>
      <c r="I1348" s="50">
        <v>1</v>
      </c>
      <c r="J1348" s="57">
        <f t="shared" si="190"/>
        <v>1530</v>
      </c>
      <c r="K1348" s="58">
        <f t="shared" si="191"/>
        <v>1683</v>
      </c>
      <c r="L1348" s="18" t="s">
        <v>25</v>
      </c>
      <c r="M1348" s="50"/>
    </row>
    <row r="1349" spans="1:13" ht="21.75" hidden="1" customHeight="1" x14ac:dyDescent="0.4">
      <c r="A1349" s="62">
        <v>45099</v>
      </c>
      <c r="B1349" s="32" t="s">
        <v>1856</v>
      </c>
      <c r="C1349" s="18" t="s">
        <v>1783</v>
      </c>
      <c r="D1349" s="63" t="s">
        <v>426</v>
      </c>
      <c r="E1349" s="50" t="s">
        <v>1858</v>
      </c>
      <c r="F1349" s="57">
        <v>1700</v>
      </c>
      <c r="G1349" s="76">
        <v>-170</v>
      </c>
      <c r="H1349" s="57">
        <f t="shared" si="189"/>
        <v>1530</v>
      </c>
      <c r="I1349" s="50">
        <v>1</v>
      </c>
      <c r="J1349" s="57">
        <f t="shared" si="190"/>
        <v>1530</v>
      </c>
      <c r="K1349" s="58">
        <f t="shared" si="191"/>
        <v>1683</v>
      </c>
      <c r="L1349" s="18" t="s">
        <v>25</v>
      </c>
      <c r="M1349" s="50"/>
    </row>
    <row r="1350" spans="1:13" ht="21.75" hidden="1" customHeight="1" x14ac:dyDescent="0.4">
      <c r="A1350" s="62">
        <v>45099</v>
      </c>
      <c r="B1350" s="32" t="s">
        <v>1856</v>
      </c>
      <c r="C1350" s="18" t="s">
        <v>1783</v>
      </c>
      <c r="D1350" s="63" t="s">
        <v>292</v>
      </c>
      <c r="E1350" s="50" t="s">
        <v>1859</v>
      </c>
      <c r="F1350" s="57">
        <v>4800</v>
      </c>
      <c r="G1350" s="76">
        <v>-480</v>
      </c>
      <c r="H1350" s="57">
        <f t="shared" si="189"/>
        <v>4320</v>
      </c>
      <c r="I1350" s="50">
        <v>1</v>
      </c>
      <c r="J1350" s="57">
        <f t="shared" si="190"/>
        <v>4320</v>
      </c>
      <c r="K1350" s="58">
        <f t="shared" si="191"/>
        <v>4752</v>
      </c>
      <c r="L1350" s="18" t="s">
        <v>25</v>
      </c>
      <c r="M1350" s="50"/>
    </row>
    <row r="1351" spans="1:13" ht="21.75" hidden="1" customHeight="1" x14ac:dyDescent="0.4">
      <c r="A1351" s="62">
        <v>45099</v>
      </c>
      <c r="B1351" s="32" t="s">
        <v>1861</v>
      </c>
      <c r="C1351" s="18" t="s">
        <v>27</v>
      </c>
      <c r="D1351" s="63" t="s">
        <v>28</v>
      </c>
      <c r="E1351" s="50" t="s">
        <v>1860</v>
      </c>
      <c r="F1351" s="57">
        <v>2000</v>
      </c>
      <c r="G1351" s="76"/>
      <c r="H1351" s="57">
        <f t="shared" si="189"/>
        <v>2000</v>
      </c>
      <c r="I1351" s="50">
        <v>2</v>
      </c>
      <c r="J1351" s="57">
        <f t="shared" si="190"/>
        <v>4000</v>
      </c>
      <c r="K1351" s="58">
        <f t="shared" si="191"/>
        <v>4400</v>
      </c>
      <c r="L1351" s="18" t="s">
        <v>1781</v>
      </c>
      <c r="M1351" s="50"/>
    </row>
    <row r="1352" spans="1:13" ht="21.75" hidden="1" customHeight="1" x14ac:dyDescent="0.4">
      <c r="A1352" s="62">
        <v>45099</v>
      </c>
      <c r="B1352" s="32" t="s">
        <v>171</v>
      </c>
      <c r="C1352" s="18" t="s">
        <v>1783</v>
      </c>
      <c r="D1352" s="63" t="s">
        <v>292</v>
      </c>
      <c r="E1352" s="50" t="s">
        <v>1825</v>
      </c>
      <c r="F1352" s="57">
        <v>5500</v>
      </c>
      <c r="G1352" s="76"/>
      <c r="H1352" s="57">
        <f t="shared" si="189"/>
        <v>5500</v>
      </c>
      <c r="I1352" s="50">
        <v>2</v>
      </c>
      <c r="J1352" s="57">
        <f t="shared" si="190"/>
        <v>11000</v>
      </c>
      <c r="K1352" s="58">
        <f t="shared" si="191"/>
        <v>12100</v>
      </c>
      <c r="L1352" s="18" t="s">
        <v>25</v>
      </c>
      <c r="M1352" s="50"/>
    </row>
    <row r="1353" spans="1:13" ht="21.75" hidden="1" customHeight="1" x14ac:dyDescent="0.4">
      <c r="A1353" s="62">
        <v>45099</v>
      </c>
      <c r="B1353" s="32" t="s">
        <v>1811</v>
      </c>
      <c r="C1353" s="18" t="s">
        <v>27</v>
      </c>
      <c r="D1353" s="63" t="s">
        <v>28</v>
      </c>
      <c r="E1353" s="50" t="s">
        <v>1862</v>
      </c>
      <c r="F1353" s="57">
        <v>1250</v>
      </c>
      <c r="G1353" s="76"/>
      <c r="H1353" s="57">
        <f t="shared" si="189"/>
        <v>1250</v>
      </c>
      <c r="I1353" s="50">
        <v>1</v>
      </c>
      <c r="J1353" s="57">
        <f t="shared" si="190"/>
        <v>1250</v>
      </c>
      <c r="K1353" s="58">
        <f t="shared" si="191"/>
        <v>1375</v>
      </c>
      <c r="L1353" s="18" t="s">
        <v>25</v>
      </c>
      <c r="M1353" s="50"/>
    </row>
    <row r="1354" spans="1:13" ht="21.75" hidden="1" customHeight="1" x14ac:dyDescent="0.4">
      <c r="A1354" s="62">
        <v>45099</v>
      </c>
      <c r="B1354" s="32" t="s">
        <v>1811</v>
      </c>
      <c r="C1354" s="18" t="s">
        <v>27</v>
      </c>
      <c r="D1354" s="63" t="s">
        <v>28</v>
      </c>
      <c r="E1354" s="50" t="s">
        <v>1863</v>
      </c>
      <c r="F1354" s="57">
        <v>5000</v>
      </c>
      <c r="G1354" s="76"/>
      <c r="H1354" s="57">
        <f t="shared" ref="H1354:H1401" si="192">SUM(F1354:G1354)</f>
        <v>5000</v>
      </c>
      <c r="I1354" s="50">
        <v>1</v>
      </c>
      <c r="J1354" s="57">
        <f t="shared" si="190"/>
        <v>5000</v>
      </c>
      <c r="K1354" s="58">
        <f t="shared" si="191"/>
        <v>5500</v>
      </c>
      <c r="L1354" s="18" t="s">
        <v>25</v>
      </c>
      <c r="M1354" s="50"/>
    </row>
    <row r="1355" spans="1:13" ht="21.75" hidden="1" customHeight="1" x14ac:dyDescent="0.4">
      <c r="A1355" s="62">
        <v>45099</v>
      </c>
      <c r="B1355" s="32" t="s">
        <v>1811</v>
      </c>
      <c r="C1355" s="18" t="s">
        <v>1783</v>
      </c>
      <c r="D1355" s="63" t="s">
        <v>55</v>
      </c>
      <c r="E1355" s="50" t="s">
        <v>1824</v>
      </c>
      <c r="F1355" s="57">
        <v>5500</v>
      </c>
      <c r="G1355" s="76"/>
      <c r="H1355" s="57">
        <f t="shared" si="192"/>
        <v>5500</v>
      </c>
      <c r="I1355" s="50">
        <v>1</v>
      </c>
      <c r="J1355" s="57">
        <f t="shared" si="190"/>
        <v>5500</v>
      </c>
      <c r="K1355" s="58">
        <f t="shared" si="191"/>
        <v>6050</v>
      </c>
      <c r="L1355" s="18" t="s">
        <v>25</v>
      </c>
      <c r="M1355" s="50"/>
    </row>
    <row r="1356" spans="1:13" ht="21.75" hidden="1" customHeight="1" x14ac:dyDescent="0.4">
      <c r="A1356" s="62">
        <v>45100</v>
      </c>
      <c r="B1356" s="32" t="s">
        <v>800</v>
      </c>
      <c r="C1356" s="18" t="s">
        <v>22</v>
      </c>
      <c r="D1356" s="63" t="s">
        <v>23</v>
      </c>
      <c r="E1356" s="50" t="s">
        <v>1864</v>
      </c>
      <c r="F1356" s="57">
        <v>10000</v>
      </c>
      <c r="G1356" s="76"/>
      <c r="H1356" s="57">
        <f t="shared" si="192"/>
        <v>10000</v>
      </c>
      <c r="I1356" s="50">
        <v>1</v>
      </c>
      <c r="J1356" s="57">
        <f t="shared" ref="J1356:J1400" si="193">SUM(H1356*I1356)</f>
        <v>10000</v>
      </c>
      <c r="K1356" s="58">
        <f t="shared" ref="K1356:K1380" si="194">ROUNDDOWN(J1356*1.1,0)</f>
        <v>11000</v>
      </c>
      <c r="L1356" s="18" t="s">
        <v>25</v>
      </c>
      <c r="M1356" s="50"/>
    </row>
    <row r="1357" spans="1:13" ht="21.75" hidden="1" customHeight="1" x14ac:dyDescent="0.4">
      <c r="A1357" s="62">
        <v>45100</v>
      </c>
      <c r="B1357" s="32" t="s">
        <v>800</v>
      </c>
      <c r="C1357" s="18" t="s">
        <v>1783</v>
      </c>
      <c r="D1357" s="63" t="s">
        <v>1784</v>
      </c>
      <c r="E1357" s="50" t="s">
        <v>1865</v>
      </c>
      <c r="F1357" s="57">
        <v>50000</v>
      </c>
      <c r="G1357" s="76">
        <v>-10000</v>
      </c>
      <c r="H1357" s="57">
        <f t="shared" si="192"/>
        <v>40000</v>
      </c>
      <c r="I1357" s="50">
        <v>1</v>
      </c>
      <c r="J1357" s="57">
        <f t="shared" si="193"/>
        <v>40000</v>
      </c>
      <c r="K1357" s="58">
        <f t="shared" si="194"/>
        <v>44000</v>
      </c>
      <c r="L1357" s="18" t="s">
        <v>34</v>
      </c>
      <c r="M1357" s="50"/>
    </row>
    <row r="1358" spans="1:13" ht="21.75" hidden="1" customHeight="1" x14ac:dyDescent="0.4">
      <c r="A1358" s="62">
        <v>45100</v>
      </c>
      <c r="B1358" s="32" t="s">
        <v>800</v>
      </c>
      <c r="C1358" s="18" t="s">
        <v>1783</v>
      </c>
      <c r="D1358" s="63" t="s">
        <v>1790</v>
      </c>
      <c r="E1358" s="50" t="s">
        <v>1866</v>
      </c>
      <c r="F1358" s="57">
        <v>1600</v>
      </c>
      <c r="G1358" s="76"/>
      <c r="H1358" s="57">
        <f t="shared" si="192"/>
        <v>1600</v>
      </c>
      <c r="I1358" s="50">
        <v>1</v>
      </c>
      <c r="J1358" s="57">
        <f t="shared" si="193"/>
        <v>1600</v>
      </c>
      <c r="K1358" s="58">
        <f t="shared" si="194"/>
        <v>1760</v>
      </c>
      <c r="L1358" s="18" t="s">
        <v>34</v>
      </c>
      <c r="M1358" s="50"/>
    </row>
    <row r="1359" spans="1:13" ht="21.75" hidden="1" customHeight="1" x14ac:dyDescent="0.4">
      <c r="A1359" s="62">
        <v>45100</v>
      </c>
      <c r="B1359" s="32" t="s">
        <v>800</v>
      </c>
      <c r="C1359" s="18" t="s">
        <v>198</v>
      </c>
      <c r="D1359" s="63" t="s">
        <v>23</v>
      </c>
      <c r="E1359" s="50" t="s">
        <v>199</v>
      </c>
      <c r="F1359" s="57">
        <v>-15000</v>
      </c>
      <c r="G1359" s="76"/>
      <c r="H1359" s="57">
        <f t="shared" si="192"/>
        <v>-15000</v>
      </c>
      <c r="I1359" s="50">
        <v>1</v>
      </c>
      <c r="J1359" s="57">
        <f t="shared" si="193"/>
        <v>-15000</v>
      </c>
      <c r="K1359" s="58">
        <f t="shared" si="194"/>
        <v>-16500</v>
      </c>
      <c r="L1359" s="18" t="s">
        <v>34</v>
      </c>
      <c r="M1359" s="50" t="s">
        <v>1867</v>
      </c>
    </row>
    <row r="1360" spans="1:13" ht="21.75" hidden="1" customHeight="1" x14ac:dyDescent="0.4">
      <c r="A1360" s="62">
        <v>45100</v>
      </c>
      <c r="B1360" s="32" t="s">
        <v>1868</v>
      </c>
      <c r="C1360" s="18" t="s">
        <v>27</v>
      </c>
      <c r="D1360" s="63" t="s">
        <v>28</v>
      </c>
      <c r="E1360" s="50" t="s">
        <v>1869</v>
      </c>
      <c r="F1360" s="57">
        <v>13120</v>
      </c>
      <c r="G1360" s="76"/>
      <c r="H1360" s="57">
        <f t="shared" si="192"/>
        <v>13120</v>
      </c>
      <c r="I1360" s="50">
        <v>1</v>
      </c>
      <c r="J1360" s="57">
        <f t="shared" si="193"/>
        <v>13120</v>
      </c>
      <c r="K1360" s="58">
        <f t="shared" si="194"/>
        <v>14432</v>
      </c>
      <c r="L1360" s="18" t="s">
        <v>25</v>
      </c>
      <c r="M1360" s="50"/>
    </row>
    <row r="1361" spans="1:13" ht="21.75" hidden="1" customHeight="1" x14ac:dyDescent="0.4">
      <c r="A1361" s="62">
        <v>45100</v>
      </c>
      <c r="B1361" s="32" t="s">
        <v>710</v>
      </c>
      <c r="C1361" s="18" t="s">
        <v>17</v>
      </c>
      <c r="D1361" s="63" t="s">
        <v>292</v>
      </c>
      <c r="E1361" s="50" t="s">
        <v>1870</v>
      </c>
      <c r="F1361" s="57">
        <v>5700</v>
      </c>
      <c r="G1361" s="76">
        <v>-570</v>
      </c>
      <c r="H1361" s="57">
        <f t="shared" si="192"/>
        <v>5130</v>
      </c>
      <c r="I1361" s="50">
        <v>1</v>
      </c>
      <c r="J1361" s="57">
        <f t="shared" si="193"/>
        <v>5130</v>
      </c>
      <c r="K1361" s="58">
        <f t="shared" si="194"/>
        <v>5643</v>
      </c>
      <c r="L1361" s="18" t="s">
        <v>25</v>
      </c>
      <c r="M1361" s="50"/>
    </row>
    <row r="1362" spans="1:13" ht="21.75" hidden="1" customHeight="1" x14ac:dyDescent="0.4">
      <c r="A1362" s="62">
        <v>45101</v>
      </c>
      <c r="B1362" s="32" t="s">
        <v>273</v>
      </c>
      <c r="C1362" s="18" t="s">
        <v>1783</v>
      </c>
      <c r="D1362" s="63" t="s">
        <v>1790</v>
      </c>
      <c r="E1362" s="50" t="s">
        <v>1871</v>
      </c>
      <c r="F1362" s="57">
        <v>1800</v>
      </c>
      <c r="G1362" s="76">
        <v>-180</v>
      </c>
      <c r="H1362" s="57">
        <f t="shared" si="192"/>
        <v>1620</v>
      </c>
      <c r="I1362" s="50">
        <v>5</v>
      </c>
      <c r="J1362" s="57">
        <f t="shared" si="193"/>
        <v>8100</v>
      </c>
      <c r="K1362" s="58">
        <f t="shared" si="194"/>
        <v>8910</v>
      </c>
      <c r="L1362" s="18" t="s">
        <v>25</v>
      </c>
      <c r="M1362" s="50"/>
    </row>
    <row r="1363" spans="1:13" ht="21.75" hidden="1" customHeight="1" x14ac:dyDescent="0.4">
      <c r="A1363" s="62">
        <v>45101</v>
      </c>
      <c r="B1363" s="32" t="s">
        <v>1872</v>
      </c>
      <c r="C1363" s="18" t="s">
        <v>1783</v>
      </c>
      <c r="D1363" s="63" t="s">
        <v>292</v>
      </c>
      <c r="E1363" s="50" t="s">
        <v>1825</v>
      </c>
      <c r="F1363" s="57">
        <v>5500</v>
      </c>
      <c r="G1363" s="76"/>
      <c r="H1363" s="57">
        <f t="shared" si="192"/>
        <v>5500</v>
      </c>
      <c r="I1363" s="50">
        <v>1</v>
      </c>
      <c r="J1363" s="57">
        <f t="shared" si="193"/>
        <v>5500</v>
      </c>
      <c r="K1363" s="58">
        <f t="shared" si="194"/>
        <v>6050</v>
      </c>
      <c r="L1363" s="18" t="s">
        <v>25</v>
      </c>
      <c r="M1363" s="50"/>
    </row>
    <row r="1364" spans="1:13" ht="21.75" hidden="1" customHeight="1" x14ac:dyDescent="0.4">
      <c r="A1364" s="62">
        <v>45101</v>
      </c>
      <c r="B1364" s="32" t="s">
        <v>1873</v>
      </c>
      <c r="C1364" s="18" t="s">
        <v>1783</v>
      </c>
      <c r="D1364" s="63" t="s">
        <v>1874</v>
      </c>
      <c r="E1364" s="50" t="s">
        <v>1875</v>
      </c>
      <c r="F1364" s="57">
        <v>1000</v>
      </c>
      <c r="G1364" s="76"/>
      <c r="H1364" s="57">
        <f t="shared" si="192"/>
        <v>1000</v>
      </c>
      <c r="I1364" s="50">
        <v>1</v>
      </c>
      <c r="J1364" s="57">
        <f t="shared" si="193"/>
        <v>1000</v>
      </c>
      <c r="K1364" s="58">
        <f t="shared" si="194"/>
        <v>1100</v>
      </c>
      <c r="L1364" s="18" t="s">
        <v>1781</v>
      </c>
      <c r="M1364" s="50"/>
    </row>
    <row r="1365" spans="1:13" ht="21.75" hidden="1" customHeight="1" x14ac:dyDescent="0.4">
      <c r="A1365" s="62">
        <v>45101</v>
      </c>
      <c r="B1365" s="32" t="s">
        <v>1823</v>
      </c>
      <c r="C1365" s="18" t="s">
        <v>1783</v>
      </c>
      <c r="D1365" s="63" t="s">
        <v>332</v>
      </c>
      <c r="E1365" s="50" t="s">
        <v>1876</v>
      </c>
      <c r="F1365" s="57">
        <v>2400</v>
      </c>
      <c r="G1365" s="76">
        <v>-240</v>
      </c>
      <c r="H1365" s="57">
        <f t="shared" si="192"/>
        <v>2160</v>
      </c>
      <c r="I1365" s="50">
        <v>1</v>
      </c>
      <c r="J1365" s="57">
        <f t="shared" si="193"/>
        <v>2160</v>
      </c>
      <c r="K1365" s="58">
        <f t="shared" si="194"/>
        <v>2376</v>
      </c>
      <c r="L1365" s="18" t="s">
        <v>25</v>
      </c>
      <c r="M1365" s="50"/>
    </row>
    <row r="1366" spans="1:13" ht="21.75" hidden="1" customHeight="1" x14ac:dyDescent="0.4">
      <c r="A1366" s="62">
        <v>45101</v>
      </c>
      <c r="B1366" s="32" t="s">
        <v>345</v>
      </c>
      <c r="C1366" s="18" t="s">
        <v>22</v>
      </c>
      <c r="D1366" s="63" t="s">
        <v>1496</v>
      </c>
      <c r="E1366" s="50" t="s">
        <v>1813</v>
      </c>
      <c r="F1366" s="57">
        <v>4500</v>
      </c>
      <c r="G1366" s="76"/>
      <c r="H1366" s="57">
        <f t="shared" si="192"/>
        <v>4500</v>
      </c>
      <c r="I1366" s="50">
        <v>1</v>
      </c>
      <c r="J1366" s="57">
        <f t="shared" si="193"/>
        <v>4500</v>
      </c>
      <c r="K1366" s="58">
        <f t="shared" si="194"/>
        <v>4950</v>
      </c>
      <c r="L1366" s="18" t="s">
        <v>25</v>
      </c>
      <c r="M1366" s="50"/>
    </row>
    <row r="1367" spans="1:13" ht="21.75" hidden="1" customHeight="1" x14ac:dyDescent="0.4">
      <c r="A1367" s="62">
        <v>45102</v>
      </c>
      <c r="B1367" s="32" t="s">
        <v>678</v>
      </c>
      <c r="C1367" s="18" t="s">
        <v>1783</v>
      </c>
      <c r="D1367" s="63" t="s">
        <v>283</v>
      </c>
      <c r="E1367" s="50" t="s">
        <v>1877</v>
      </c>
      <c r="F1367" s="57">
        <v>12000</v>
      </c>
      <c r="G1367" s="76">
        <v>-2400</v>
      </c>
      <c r="H1367" s="57">
        <f t="shared" si="192"/>
        <v>9600</v>
      </c>
      <c r="I1367" s="50">
        <v>1</v>
      </c>
      <c r="J1367" s="57">
        <f t="shared" si="193"/>
        <v>9600</v>
      </c>
      <c r="K1367" s="58">
        <f t="shared" si="194"/>
        <v>10560</v>
      </c>
      <c r="L1367" s="18" t="s">
        <v>25</v>
      </c>
      <c r="M1367" s="50"/>
    </row>
    <row r="1368" spans="1:13" ht="21.75" hidden="1" customHeight="1" x14ac:dyDescent="0.4">
      <c r="A1368" s="62">
        <v>45102</v>
      </c>
      <c r="B1368" s="32" t="s">
        <v>678</v>
      </c>
      <c r="C1368" s="18" t="s">
        <v>1783</v>
      </c>
      <c r="D1368" s="63" t="s">
        <v>1790</v>
      </c>
      <c r="E1368" s="50" t="s">
        <v>1878</v>
      </c>
      <c r="F1368" s="57">
        <v>1090</v>
      </c>
      <c r="G1368" s="76">
        <v>-109</v>
      </c>
      <c r="H1368" s="57">
        <f t="shared" si="192"/>
        <v>981</v>
      </c>
      <c r="I1368" s="50">
        <v>1</v>
      </c>
      <c r="J1368" s="57">
        <f t="shared" si="193"/>
        <v>981</v>
      </c>
      <c r="K1368" s="58">
        <f t="shared" si="194"/>
        <v>1079</v>
      </c>
      <c r="L1368" s="18" t="s">
        <v>25</v>
      </c>
      <c r="M1368" s="50"/>
    </row>
    <row r="1369" spans="1:13" ht="21.75" hidden="1" customHeight="1" x14ac:dyDescent="0.4">
      <c r="A1369" s="62">
        <v>45102</v>
      </c>
      <c r="B1369" s="32" t="s">
        <v>800</v>
      </c>
      <c r="C1369" s="18" t="s">
        <v>22</v>
      </c>
      <c r="D1369" s="63" t="s">
        <v>23</v>
      </c>
      <c r="E1369" s="50" t="s">
        <v>1879</v>
      </c>
      <c r="F1369" s="57">
        <v>5000</v>
      </c>
      <c r="G1369" s="76"/>
      <c r="H1369" s="57">
        <f t="shared" si="192"/>
        <v>5000</v>
      </c>
      <c r="I1369" s="50">
        <v>1</v>
      </c>
      <c r="J1369" s="57">
        <f t="shared" si="193"/>
        <v>5000</v>
      </c>
      <c r="K1369" s="58">
        <f t="shared" si="194"/>
        <v>5500</v>
      </c>
      <c r="L1369" s="18" t="s">
        <v>25</v>
      </c>
      <c r="M1369" s="50" t="s">
        <v>1880</v>
      </c>
    </row>
    <row r="1370" spans="1:13" ht="21.75" hidden="1" customHeight="1" x14ac:dyDescent="0.4">
      <c r="A1370" s="62">
        <v>45102</v>
      </c>
      <c r="B1370" s="32" t="s">
        <v>1881</v>
      </c>
      <c r="C1370" s="18" t="s">
        <v>1783</v>
      </c>
      <c r="D1370" s="63" t="s">
        <v>1784</v>
      </c>
      <c r="E1370" s="50" t="s">
        <v>1882</v>
      </c>
      <c r="F1370" s="57">
        <v>50000</v>
      </c>
      <c r="G1370" s="76">
        <v>-5000</v>
      </c>
      <c r="H1370" s="57">
        <f t="shared" si="192"/>
        <v>45000</v>
      </c>
      <c r="I1370" s="50">
        <v>1</v>
      </c>
      <c r="J1370" s="57">
        <f t="shared" si="193"/>
        <v>45000</v>
      </c>
      <c r="K1370" s="58">
        <f t="shared" si="194"/>
        <v>49500</v>
      </c>
      <c r="L1370" s="18" t="s">
        <v>34</v>
      </c>
      <c r="M1370" s="50"/>
    </row>
    <row r="1371" spans="1:13" ht="21.75" hidden="1" customHeight="1" x14ac:dyDescent="0.4">
      <c r="A1371" s="62">
        <v>45102</v>
      </c>
      <c r="B1371" s="32" t="s">
        <v>1881</v>
      </c>
      <c r="C1371" s="18" t="s">
        <v>1783</v>
      </c>
      <c r="D1371" s="63" t="s">
        <v>455</v>
      </c>
      <c r="E1371" s="50" t="s">
        <v>1883</v>
      </c>
      <c r="F1371" s="57">
        <v>1090</v>
      </c>
      <c r="G1371" s="76">
        <v>-109</v>
      </c>
      <c r="H1371" s="57">
        <f t="shared" si="192"/>
        <v>981</v>
      </c>
      <c r="I1371" s="50">
        <v>1</v>
      </c>
      <c r="J1371" s="57">
        <f t="shared" si="193"/>
        <v>981</v>
      </c>
      <c r="K1371" s="58">
        <f t="shared" si="194"/>
        <v>1079</v>
      </c>
      <c r="L1371" s="18" t="s">
        <v>34</v>
      </c>
      <c r="M1371" s="50"/>
    </row>
    <row r="1372" spans="1:13" ht="21.75" hidden="1" customHeight="1" x14ac:dyDescent="0.4">
      <c r="A1372" s="62">
        <v>45102</v>
      </c>
      <c r="B1372" s="32" t="s">
        <v>1881</v>
      </c>
      <c r="C1372" s="18" t="s">
        <v>1783</v>
      </c>
      <c r="D1372" s="63" t="s">
        <v>1787</v>
      </c>
      <c r="E1372" s="50" t="s">
        <v>1884</v>
      </c>
      <c r="F1372" s="57">
        <v>5000</v>
      </c>
      <c r="G1372" s="76"/>
      <c r="H1372" s="57">
        <f t="shared" si="192"/>
        <v>5000</v>
      </c>
      <c r="I1372" s="50">
        <v>1</v>
      </c>
      <c r="J1372" s="57">
        <f t="shared" si="193"/>
        <v>5000</v>
      </c>
      <c r="K1372" s="58">
        <f t="shared" si="194"/>
        <v>5500</v>
      </c>
      <c r="L1372" s="18" t="s">
        <v>34</v>
      </c>
      <c r="M1372" s="50"/>
    </row>
    <row r="1373" spans="1:13" ht="21.75" hidden="1" customHeight="1" x14ac:dyDescent="0.4">
      <c r="A1373" s="62">
        <v>45103</v>
      </c>
      <c r="B1373" s="32" t="s">
        <v>1885</v>
      </c>
      <c r="C1373" s="18" t="s">
        <v>22</v>
      </c>
      <c r="D1373" s="63" t="s">
        <v>23</v>
      </c>
      <c r="E1373" s="50" t="s">
        <v>1502</v>
      </c>
      <c r="F1373" s="57">
        <v>15000</v>
      </c>
      <c r="G1373" s="76">
        <v>-7500</v>
      </c>
      <c r="H1373" s="57">
        <f t="shared" si="192"/>
        <v>7500</v>
      </c>
      <c r="I1373" s="50">
        <v>2</v>
      </c>
      <c r="J1373" s="57">
        <f t="shared" si="193"/>
        <v>15000</v>
      </c>
      <c r="K1373" s="58">
        <f t="shared" si="194"/>
        <v>16500</v>
      </c>
      <c r="L1373" s="18" t="s">
        <v>34</v>
      </c>
      <c r="M1373" s="50" t="s">
        <v>1891</v>
      </c>
    </row>
    <row r="1374" spans="1:13" ht="21.75" hidden="1" customHeight="1" x14ac:dyDescent="0.4">
      <c r="A1374" s="62">
        <v>45103</v>
      </c>
      <c r="B1374" s="32" t="s">
        <v>1885</v>
      </c>
      <c r="C1374" s="18" t="s">
        <v>1783</v>
      </c>
      <c r="D1374" s="63" t="s">
        <v>1784</v>
      </c>
      <c r="E1374" s="50" t="s">
        <v>1886</v>
      </c>
      <c r="F1374" s="57">
        <v>40000</v>
      </c>
      <c r="G1374" s="76">
        <v>-8000</v>
      </c>
      <c r="H1374" s="57">
        <f t="shared" si="192"/>
        <v>32000</v>
      </c>
      <c r="I1374" s="50">
        <v>2</v>
      </c>
      <c r="J1374" s="57">
        <f t="shared" si="193"/>
        <v>64000</v>
      </c>
      <c r="K1374" s="58">
        <f t="shared" si="194"/>
        <v>70400</v>
      </c>
      <c r="L1374" s="18" t="s">
        <v>34</v>
      </c>
      <c r="M1374" s="50"/>
    </row>
    <row r="1375" spans="1:13" ht="21.75" hidden="1" customHeight="1" x14ac:dyDescent="0.4">
      <c r="A1375" s="62">
        <v>45103</v>
      </c>
      <c r="B1375" s="32" t="s">
        <v>1885</v>
      </c>
      <c r="C1375" s="18" t="s">
        <v>1783</v>
      </c>
      <c r="D1375" s="63" t="s">
        <v>1784</v>
      </c>
      <c r="E1375" s="50" t="s">
        <v>1152</v>
      </c>
      <c r="F1375" s="57">
        <v>50000</v>
      </c>
      <c r="G1375" s="76">
        <v>-10000</v>
      </c>
      <c r="H1375" s="57">
        <f t="shared" si="192"/>
        <v>40000</v>
      </c>
      <c r="I1375" s="50">
        <v>1</v>
      </c>
      <c r="J1375" s="57">
        <f t="shared" si="193"/>
        <v>40000</v>
      </c>
      <c r="K1375" s="58">
        <f t="shared" si="194"/>
        <v>44000</v>
      </c>
      <c r="L1375" s="18" t="s">
        <v>34</v>
      </c>
      <c r="M1375" s="50"/>
    </row>
    <row r="1376" spans="1:13" ht="21.75" hidden="1" customHeight="1" x14ac:dyDescent="0.4">
      <c r="A1376" s="62">
        <v>45103</v>
      </c>
      <c r="B1376" s="32" t="s">
        <v>1885</v>
      </c>
      <c r="C1376" s="18" t="s">
        <v>1783</v>
      </c>
      <c r="D1376" s="63" t="s">
        <v>1787</v>
      </c>
      <c r="E1376" s="50" t="s">
        <v>1798</v>
      </c>
      <c r="F1376" s="57">
        <v>3000</v>
      </c>
      <c r="G1376" s="76"/>
      <c r="H1376" s="57">
        <f t="shared" si="192"/>
        <v>3000</v>
      </c>
      <c r="I1376" s="50">
        <v>1</v>
      </c>
      <c r="J1376" s="57">
        <f t="shared" si="193"/>
        <v>3000</v>
      </c>
      <c r="K1376" s="58">
        <f t="shared" si="194"/>
        <v>3300</v>
      </c>
      <c r="L1376" s="18" t="s">
        <v>34</v>
      </c>
      <c r="M1376" s="50"/>
    </row>
    <row r="1377" spans="1:13" ht="21.75" hidden="1" customHeight="1" x14ac:dyDescent="0.4">
      <c r="A1377" s="62">
        <v>45103</v>
      </c>
      <c r="B1377" s="32" t="s">
        <v>1885</v>
      </c>
      <c r="C1377" s="18" t="s">
        <v>1783</v>
      </c>
      <c r="D1377" s="63" t="s">
        <v>1787</v>
      </c>
      <c r="E1377" s="50" t="s">
        <v>1788</v>
      </c>
      <c r="F1377" s="57">
        <v>4000</v>
      </c>
      <c r="G1377" s="76"/>
      <c r="H1377" s="57">
        <f t="shared" si="192"/>
        <v>4000</v>
      </c>
      <c r="I1377" s="50">
        <v>2</v>
      </c>
      <c r="J1377" s="57">
        <f t="shared" si="193"/>
        <v>8000</v>
      </c>
      <c r="K1377" s="58">
        <f t="shared" si="194"/>
        <v>8800</v>
      </c>
      <c r="L1377" s="18" t="s">
        <v>34</v>
      </c>
      <c r="M1377" s="50"/>
    </row>
    <row r="1378" spans="1:13" ht="21.75" hidden="1" customHeight="1" x14ac:dyDescent="0.4">
      <c r="A1378" s="62">
        <v>45103</v>
      </c>
      <c r="B1378" s="32" t="s">
        <v>1885</v>
      </c>
      <c r="C1378" s="18" t="s">
        <v>1783</v>
      </c>
      <c r="D1378" s="63" t="s">
        <v>455</v>
      </c>
      <c r="E1378" s="50" t="s">
        <v>1887</v>
      </c>
      <c r="F1378" s="57">
        <v>1090</v>
      </c>
      <c r="G1378" s="76"/>
      <c r="H1378" s="57">
        <f t="shared" si="192"/>
        <v>1090</v>
      </c>
      <c r="I1378" s="50">
        <v>2</v>
      </c>
      <c r="J1378" s="57">
        <f t="shared" si="193"/>
        <v>2180</v>
      </c>
      <c r="K1378" s="58">
        <f t="shared" si="194"/>
        <v>2398</v>
      </c>
      <c r="L1378" s="18" t="s">
        <v>34</v>
      </c>
      <c r="M1378" s="50"/>
    </row>
    <row r="1379" spans="1:13" ht="21.75" hidden="1" customHeight="1" x14ac:dyDescent="0.4">
      <c r="A1379" s="62">
        <v>45103</v>
      </c>
      <c r="B1379" s="32" t="s">
        <v>1885</v>
      </c>
      <c r="C1379" s="18" t="s">
        <v>1783</v>
      </c>
      <c r="D1379" s="63" t="s">
        <v>455</v>
      </c>
      <c r="E1379" s="50" t="s">
        <v>1888</v>
      </c>
      <c r="F1379" s="57">
        <v>1650</v>
      </c>
      <c r="G1379" s="76"/>
      <c r="H1379" s="57">
        <f t="shared" si="192"/>
        <v>1650</v>
      </c>
      <c r="I1379" s="50">
        <v>1</v>
      </c>
      <c r="J1379" s="57">
        <f t="shared" si="193"/>
        <v>1650</v>
      </c>
      <c r="K1379" s="58">
        <f t="shared" si="194"/>
        <v>1815</v>
      </c>
      <c r="L1379" s="18" t="s">
        <v>34</v>
      </c>
      <c r="M1379" s="50"/>
    </row>
    <row r="1380" spans="1:13" ht="21.75" hidden="1" customHeight="1" x14ac:dyDescent="0.4">
      <c r="A1380" s="62">
        <v>45103</v>
      </c>
      <c r="B1380" s="32" t="s">
        <v>1026</v>
      </c>
      <c r="C1380" s="18" t="s">
        <v>22</v>
      </c>
      <c r="D1380" s="63" t="s">
        <v>23</v>
      </c>
      <c r="E1380" s="50" t="s">
        <v>1502</v>
      </c>
      <c r="F1380" s="57">
        <v>15000</v>
      </c>
      <c r="G1380" s="76"/>
      <c r="H1380" s="57">
        <f t="shared" si="192"/>
        <v>15000</v>
      </c>
      <c r="I1380" s="50">
        <v>1</v>
      </c>
      <c r="J1380" s="57">
        <f t="shared" si="193"/>
        <v>15000</v>
      </c>
      <c r="K1380" s="58">
        <f t="shared" si="194"/>
        <v>16500</v>
      </c>
      <c r="L1380" s="18" t="s">
        <v>25</v>
      </c>
      <c r="M1380" s="50"/>
    </row>
    <row r="1381" spans="1:13" ht="21.75" hidden="1" customHeight="1" x14ac:dyDescent="0.4">
      <c r="A1381" s="62">
        <v>45103</v>
      </c>
      <c r="B1381" s="32" t="s">
        <v>1026</v>
      </c>
      <c r="C1381" s="18" t="s">
        <v>1783</v>
      </c>
      <c r="D1381" s="63" t="s">
        <v>32</v>
      </c>
      <c r="E1381" s="106" t="s">
        <v>1889</v>
      </c>
      <c r="F1381" s="57">
        <v>28000</v>
      </c>
      <c r="G1381" s="76">
        <v>-5600</v>
      </c>
      <c r="H1381" s="57">
        <f t="shared" si="192"/>
        <v>22400</v>
      </c>
      <c r="I1381" s="50">
        <v>1</v>
      </c>
      <c r="J1381" s="57">
        <f t="shared" si="193"/>
        <v>22400</v>
      </c>
      <c r="K1381" s="58">
        <f>ROUNDDOWN(J1381*1.1,0)</f>
        <v>24640</v>
      </c>
      <c r="L1381" s="18" t="s">
        <v>34</v>
      </c>
      <c r="M1381" s="50" t="s">
        <v>1890</v>
      </c>
    </row>
    <row r="1382" spans="1:13" ht="21.75" hidden="1" customHeight="1" x14ac:dyDescent="0.4">
      <c r="A1382" s="62">
        <v>45103</v>
      </c>
      <c r="B1382" s="32" t="s">
        <v>1026</v>
      </c>
      <c r="C1382" s="18" t="s">
        <v>1783</v>
      </c>
      <c r="D1382" s="63" t="s">
        <v>455</v>
      </c>
      <c r="E1382" s="50" t="s">
        <v>1832</v>
      </c>
      <c r="F1382" s="57">
        <v>1200</v>
      </c>
      <c r="G1382" s="76"/>
      <c r="H1382" s="57">
        <f t="shared" si="192"/>
        <v>1200</v>
      </c>
      <c r="I1382" s="50">
        <v>1</v>
      </c>
      <c r="J1382" s="57">
        <f t="shared" si="193"/>
        <v>1200</v>
      </c>
      <c r="K1382" s="58">
        <f t="shared" ref="K1382:K1404" si="195">ROUNDDOWN(J1382*1.1,0)</f>
        <v>1320</v>
      </c>
      <c r="L1382" s="18" t="s">
        <v>34</v>
      </c>
      <c r="M1382" s="50"/>
    </row>
    <row r="1383" spans="1:13" ht="21.75" hidden="1" customHeight="1" x14ac:dyDescent="0.4">
      <c r="A1383" s="62">
        <v>45103</v>
      </c>
      <c r="B1383" s="32" t="s">
        <v>1026</v>
      </c>
      <c r="C1383" s="18" t="s">
        <v>198</v>
      </c>
      <c r="D1383" s="63" t="s">
        <v>23</v>
      </c>
      <c r="E1383" s="50" t="s">
        <v>199</v>
      </c>
      <c r="F1383" s="57">
        <v>-15000</v>
      </c>
      <c r="G1383" s="76"/>
      <c r="H1383" s="57">
        <f t="shared" si="192"/>
        <v>-15000</v>
      </c>
      <c r="I1383" s="50">
        <v>1</v>
      </c>
      <c r="J1383" s="57">
        <f t="shared" si="193"/>
        <v>-15000</v>
      </c>
      <c r="K1383" s="58">
        <f t="shared" si="195"/>
        <v>-16500</v>
      </c>
      <c r="L1383" s="18" t="s">
        <v>34</v>
      </c>
      <c r="M1383" s="50"/>
    </row>
    <row r="1384" spans="1:13" ht="21.75" hidden="1" customHeight="1" x14ac:dyDescent="0.4">
      <c r="A1384" s="62">
        <v>45105</v>
      </c>
      <c r="B1384" s="32" t="s">
        <v>167</v>
      </c>
      <c r="C1384" s="18" t="s">
        <v>1892</v>
      </c>
      <c r="D1384" s="63" t="s">
        <v>332</v>
      </c>
      <c r="E1384" s="50" t="s">
        <v>1893</v>
      </c>
      <c r="F1384" s="57">
        <v>1650</v>
      </c>
      <c r="G1384" s="76">
        <v>-165</v>
      </c>
      <c r="H1384" s="57">
        <f t="shared" si="192"/>
        <v>1485</v>
      </c>
      <c r="I1384" s="50">
        <v>1</v>
      </c>
      <c r="J1384" s="57">
        <f t="shared" si="193"/>
        <v>1485</v>
      </c>
      <c r="K1384" s="58">
        <f t="shared" si="195"/>
        <v>1633</v>
      </c>
      <c r="L1384" s="18" t="s">
        <v>1918</v>
      </c>
      <c r="M1384" s="50" t="s">
        <v>1894</v>
      </c>
    </row>
    <row r="1385" spans="1:13" ht="21.75" hidden="1" customHeight="1" x14ac:dyDescent="0.4">
      <c r="A1385" s="62">
        <v>45105</v>
      </c>
      <c r="B1385" s="32" t="s">
        <v>1541</v>
      </c>
      <c r="C1385" s="18" t="s">
        <v>1892</v>
      </c>
      <c r="D1385" s="63" t="s">
        <v>332</v>
      </c>
      <c r="E1385" s="50" t="s">
        <v>1895</v>
      </c>
      <c r="F1385" s="57">
        <v>1150</v>
      </c>
      <c r="G1385" s="76">
        <v>-115</v>
      </c>
      <c r="H1385" s="57">
        <f t="shared" si="192"/>
        <v>1035</v>
      </c>
      <c r="I1385" s="50">
        <v>1</v>
      </c>
      <c r="J1385" s="57">
        <f t="shared" si="193"/>
        <v>1035</v>
      </c>
      <c r="K1385" s="58">
        <f t="shared" si="195"/>
        <v>1138</v>
      </c>
      <c r="L1385" s="18" t="s">
        <v>1896</v>
      </c>
      <c r="M1385" s="50"/>
    </row>
    <row r="1386" spans="1:13" ht="21.75" hidden="1" customHeight="1" x14ac:dyDescent="0.4">
      <c r="A1386" s="62">
        <v>45105</v>
      </c>
      <c r="B1386" s="32" t="s">
        <v>148</v>
      </c>
      <c r="C1386" s="18" t="s">
        <v>27</v>
      </c>
      <c r="D1386" s="63" t="s">
        <v>28</v>
      </c>
      <c r="E1386" s="50" t="s">
        <v>1897</v>
      </c>
      <c r="F1386" s="57">
        <v>17500</v>
      </c>
      <c r="G1386" s="76"/>
      <c r="H1386" s="57">
        <f t="shared" si="192"/>
        <v>17500</v>
      </c>
      <c r="I1386" s="50">
        <v>1</v>
      </c>
      <c r="J1386" s="57">
        <f t="shared" si="193"/>
        <v>17500</v>
      </c>
      <c r="K1386" s="58">
        <f t="shared" si="195"/>
        <v>19250</v>
      </c>
      <c r="L1386" s="18" t="s">
        <v>1896</v>
      </c>
      <c r="M1386" s="50"/>
    </row>
    <row r="1387" spans="1:13" ht="21.75" hidden="1" customHeight="1" x14ac:dyDescent="0.4">
      <c r="A1387" s="62">
        <v>45106</v>
      </c>
      <c r="B1387" s="32" t="s">
        <v>1560</v>
      </c>
      <c r="C1387" s="18" t="s">
        <v>1898</v>
      </c>
      <c r="D1387" s="63" t="s">
        <v>426</v>
      </c>
      <c r="E1387" s="50" t="s">
        <v>1899</v>
      </c>
      <c r="F1387" s="57">
        <v>1700</v>
      </c>
      <c r="G1387" s="76">
        <v>-170</v>
      </c>
      <c r="H1387" s="57">
        <f t="shared" si="192"/>
        <v>1530</v>
      </c>
      <c r="I1387" s="50">
        <v>1</v>
      </c>
      <c r="J1387" s="57">
        <f t="shared" si="193"/>
        <v>1530</v>
      </c>
      <c r="K1387" s="58">
        <f t="shared" si="195"/>
        <v>1683</v>
      </c>
      <c r="L1387" s="18" t="s">
        <v>25</v>
      </c>
      <c r="M1387" s="50"/>
    </row>
    <row r="1388" spans="1:13" ht="21.75" hidden="1" customHeight="1" x14ac:dyDescent="0.4">
      <c r="A1388" s="62">
        <v>45106</v>
      </c>
      <c r="B1388" s="32" t="s">
        <v>1900</v>
      </c>
      <c r="C1388" s="18" t="s">
        <v>1898</v>
      </c>
      <c r="D1388" s="63" t="s">
        <v>1901</v>
      </c>
      <c r="E1388" s="50" t="s">
        <v>1902</v>
      </c>
      <c r="F1388" s="57">
        <v>55000</v>
      </c>
      <c r="G1388" s="76">
        <v>-11000</v>
      </c>
      <c r="H1388" s="57">
        <f t="shared" si="192"/>
        <v>44000</v>
      </c>
      <c r="I1388" s="50">
        <v>1</v>
      </c>
      <c r="J1388" s="57">
        <f t="shared" si="193"/>
        <v>44000</v>
      </c>
      <c r="K1388" s="58">
        <f t="shared" si="195"/>
        <v>48400</v>
      </c>
      <c r="L1388" s="18" t="s">
        <v>34</v>
      </c>
      <c r="M1388" s="50" t="s">
        <v>1906</v>
      </c>
    </row>
    <row r="1389" spans="1:13" ht="21.75" hidden="1" customHeight="1" x14ac:dyDescent="0.4">
      <c r="A1389" s="62">
        <v>45106</v>
      </c>
      <c r="B1389" s="32" t="s">
        <v>1900</v>
      </c>
      <c r="C1389" s="18" t="s">
        <v>1898</v>
      </c>
      <c r="D1389" s="63" t="s">
        <v>576</v>
      </c>
      <c r="E1389" s="50" t="s">
        <v>1903</v>
      </c>
      <c r="F1389" s="57">
        <v>88000</v>
      </c>
      <c r="G1389" s="76">
        <v>-8800</v>
      </c>
      <c r="H1389" s="57">
        <f t="shared" si="192"/>
        <v>79200</v>
      </c>
      <c r="I1389" s="50">
        <v>1</v>
      </c>
      <c r="J1389" s="57">
        <f t="shared" si="193"/>
        <v>79200</v>
      </c>
      <c r="K1389" s="58">
        <f t="shared" si="195"/>
        <v>87120</v>
      </c>
      <c r="L1389" s="18" t="s">
        <v>34</v>
      </c>
      <c r="M1389" s="50"/>
    </row>
    <row r="1390" spans="1:13" ht="21.75" hidden="1" customHeight="1" x14ac:dyDescent="0.4">
      <c r="A1390" s="62">
        <v>45106</v>
      </c>
      <c r="B1390" s="32" t="s">
        <v>1900</v>
      </c>
      <c r="C1390" s="18" t="s">
        <v>1898</v>
      </c>
      <c r="D1390" s="63" t="s">
        <v>1904</v>
      </c>
      <c r="E1390" s="50" t="s">
        <v>1905</v>
      </c>
      <c r="F1390" s="57">
        <v>1090</v>
      </c>
      <c r="G1390" s="76"/>
      <c r="H1390" s="57">
        <f t="shared" si="192"/>
        <v>1090</v>
      </c>
      <c r="I1390" s="50">
        <v>1</v>
      </c>
      <c r="J1390" s="57">
        <f t="shared" si="193"/>
        <v>1090</v>
      </c>
      <c r="K1390" s="58">
        <f t="shared" si="195"/>
        <v>1199</v>
      </c>
      <c r="L1390" s="18" t="s">
        <v>34</v>
      </c>
      <c r="M1390" s="50"/>
    </row>
    <row r="1391" spans="1:13" ht="21.75" hidden="1" customHeight="1" x14ac:dyDescent="0.4">
      <c r="A1391" s="62">
        <v>45106</v>
      </c>
      <c r="B1391" s="32" t="s">
        <v>1907</v>
      </c>
      <c r="C1391" s="18" t="s">
        <v>1898</v>
      </c>
      <c r="D1391" s="63" t="s">
        <v>292</v>
      </c>
      <c r="E1391" s="50" t="s">
        <v>1908</v>
      </c>
      <c r="F1391" s="57">
        <v>10800</v>
      </c>
      <c r="G1391" s="76">
        <v>-1080</v>
      </c>
      <c r="H1391" s="57">
        <f t="shared" si="192"/>
        <v>9720</v>
      </c>
      <c r="I1391" s="50">
        <v>1</v>
      </c>
      <c r="J1391" s="57">
        <f t="shared" si="193"/>
        <v>9720</v>
      </c>
      <c r="K1391" s="58">
        <f t="shared" si="195"/>
        <v>10692</v>
      </c>
      <c r="L1391" s="18" t="s">
        <v>1909</v>
      </c>
      <c r="M1391" s="50"/>
    </row>
    <row r="1392" spans="1:13" ht="21.75" hidden="1" customHeight="1" x14ac:dyDescent="0.4">
      <c r="A1392" s="62">
        <v>45106</v>
      </c>
      <c r="B1392" s="32" t="s">
        <v>1910</v>
      </c>
      <c r="C1392" s="18" t="s">
        <v>22</v>
      </c>
      <c r="D1392" s="63" t="s">
        <v>1496</v>
      </c>
      <c r="E1392" s="50" t="s">
        <v>1911</v>
      </c>
      <c r="F1392" s="57">
        <v>3000</v>
      </c>
      <c r="G1392" s="76">
        <v>-500</v>
      </c>
      <c r="H1392" s="57">
        <f t="shared" si="192"/>
        <v>2500</v>
      </c>
      <c r="I1392" s="50">
        <v>1</v>
      </c>
      <c r="J1392" s="57">
        <f t="shared" si="193"/>
        <v>2500</v>
      </c>
      <c r="K1392" s="58">
        <f t="shared" si="195"/>
        <v>2750</v>
      </c>
      <c r="L1392" s="18" t="s">
        <v>25</v>
      </c>
      <c r="M1392" s="50"/>
    </row>
    <row r="1393" spans="1:13" ht="21.75" hidden="1" customHeight="1" x14ac:dyDescent="0.4">
      <c r="A1393" s="62">
        <v>45107</v>
      </c>
      <c r="B1393" s="32" t="s">
        <v>1912</v>
      </c>
      <c r="C1393" s="18" t="s">
        <v>22</v>
      </c>
      <c r="D1393" s="63" t="s">
        <v>23</v>
      </c>
      <c r="E1393" s="50" t="s">
        <v>1502</v>
      </c>
      <c r="F1393" s="57">
        <v>15000</v>
      </c>
      <c r="G1393" s="76">
        <v>-7500</v>
      </c>
      <c r="H1393" s="57">
        <f t="shared" si="192"/>
        <v>7500</v>
      </c>
      <c r="I1393" s="50">
        <v>1</v>
      </c>
      <c r="J1393" s="57">
        <f t="shared" si="193"/>
        <v>7500</v>
      </c>
      <c r="K1393" s="58">
        <f t="shared" si="195"/>
        <v>8250</v>
      </c>
      <c r="L1393" s="18" t="s">
        <v>1909</v>
      </c>
      <c r="M1393" s="50" t="s">
        <v>1913</v>
      </c>
    </row>
    <row r="1394" spans="1:13" ht="21.75" hidden="1" customHeight="1" x14ac:dyDescent="0.4">
      <c r="A1394" s="62">
        <v>45107</v>
      </c>
      <c r="B1394" s="32" t="s">
        <v>1914</v>
      </c>
      <c r="C1394" s="18" t="s">
        <v>27</v>
      </c>
      <c r="D1394" s="63" t="s">
        <v>28</v>
      </c>
      <c r="E1394" s="50" t="s">
        <v>1445</v>
      </c>
      <c r="F1394" s="57">
        <v>2000</v>
      </c>
      <c r="G1394" s="76"/>
      <c r="H1394" s="57">
        <f t="shared" si="192"/>
        <v>2000</v>
      </c>
      <c r="I1394" s="50">
        <v>1</v>
      </c>
      <c r="J1394" s="57">
        <f t="shared" si="193"/>
        <v>2000</v>
      </c>
      <c r="K1394" s="58">
        <f t="shared" si="195"/>
        <v>2200</v>
      </c>
      <c r="L1394" s="18" t="s">
        <v>25</v>
      </c>
      <c r="M1394" s="50"/>
    </row>
    <row r="1395" spans="1:13" ht="21.75" hidden="1" customHeight="1" x14ac:dyDescent="0.4">
      <c r="A1395" s="62">
        <v>45107</v>
      </c>
      <c r="B1395" s="32" t="s">
        <v>1912</v>
      </c>
      <c r="C1395" s="18" t="s">
        <v>1898</v>
      </c>
      <c r="D1395" s="63" t="s">
        <v>328</v>
      </c>
      <c r="E1395" s="50" t="s">
        <v>1915</v>
      </c>
      <c r="F1395" s="57">
        <v>50000</v>
      </c>
      <c r="G1395" s="76">
        <v>-10000</v>
      </c>
      <c r="H1395" s="57">
        <f t="shared" si="192"/>
        <v>40000</v>
      </c>
      <c r="I1395" s="50">
        <v>1</v>
      </c>
      <c r="J1395" s="57">
        <f t="shared" si="193"/>
        <v>40000</v>
      </c>
      <c r="K1395" s="58">
        <f t="shared" si="195"/>
        <v>44000</v>
      </c>
      <c r="L1395" s="18" t="s">
        <v>34</v>
      </c>
      <c r="M1395" s="50"/>
    </row>
    <row r="1396" spans="1:13" ht="21.75" hidden="1" customHeight="1" x14ac:dyDescent="0.4">
      <c r="A1396" s="62">
        <v>45107</v>
      </c>
      <c r="B1396" s="32" t="s">
        <v>1912</v>
      </c>
      <c r="C1396" s="18" t="s">
        <v>1898</v>
      </c>
      <c r="D1396" s="63" t="s">
        <v>332</v>
      </c>
      <c r="E1396" s="50" t="s">
        <v>1916</v>
      </c>
      <c r="F1396" s="57">
        <v>1800</v>
      </c>
      <c r="G1396" s="76"/>
      <c r="H1396" s="57">
        <f t="shared" si="192"/>
        <v>1800</v>
      </c>
      <c r="I1396" s="50">
        <v>1</v>
      </c>
      <c r="J1396" s="57">
        <f t="shared" si="193"/>
        <v>1800</v>
      </c>
      <c r="K1396" s="58">
        <f t="shared" si="195"/>
        <v>1980</v>
      </c>
      <c r="L1396" s="18" t="s">
        <v>34</v>
      </c>
      <c r="M1396" s="50"/>
    </row>
    <row r="1397" spans="1:13" ht="21.75" hidden="1" customHeight="1" x14ac:dyDescent="0.4">
      <c r="A1397" s="62">
        <v>45107</v>
      </c>
      <c r="B1397" s="32" t="s">
        <v>1910</v>
      </c>
      <c r="C1397" s="18" t="s">
        <v>27</v>
      </c>
      <c r="D1397" s="63" t="s">
        <v>28</v>
      </c>
      <c r="E1397" s="50" t="s">
        <v>318</v>
      </c>
      <c r="F1397" s="57">
        <v>15000</v>
      </c>
      <c r="G1397" s="76"/>
      <c r="H1397" s="57">
        <f t="shared" si="192"/>
        <v>15000</v>
      </c>
      <c r="I1397" s="50">
        <v>1</v>
      </c>
      <c r="J1397" s="57">
        <f t="shared" si="193"/>
        <v>15000</v>
      </c>
      <c r="K1397" s="58">
        <f t="shared" si="195"/>
        <v>16500</v>
      </c>
      <c r="L1397" s="18" t="s">
        <v>34</v>
      </c>
      <c r="M1397" s="50"/>
    </row>
    <row r="1398" spans="1:13" ht="21.75" hidden="1" customHeight="1" thickBot="1" x14ac:dyDescent="0.45">
      <c r="A1398" s="150">
        <v>45107</v>
      </c>
      <c r="B1398" s="107" t="s">
        <v>1910</v>
      </c>
      <c r="C1398" s="108" t="s">
        <v>27</v>
      </c>
      <c r="D1398" s="109" t="s">
        <v>28</v>
      </c>
      <c r="E1398" s="110" t="s">
        <v>1917</v>
      </c>
      <c r="F1398" s="111">
        <v>22500</v>
      </c>
      <c r="G1398" s="112"/>
      <c r="H1398" s="111">
        <f t="shared" si="192"/>
        <v>22500</v>
      </c>
      <c r="I1398" s="110">
        <v>1</v>
      </c>
      <c r="J1398" s="111">
        <f t="shared" si="193"/>
        <v>22500</v>
      </c>
      <c r="K1398" s="113">
        <f t="shared" si="195"/>
        <v>24750</v>
      </c>
      <c r="L1398" s="108" t="s">
        <v>34</v>
      </c>
      <c r="M1398" s="110"/>
    </row>
    <row r="1399" spans="1:13" ht="21.75" hidden="1" customHeight="1" x14ac:dyDescent="0.4">
      <c r="A1399" s="59"/>
      <c r="B1399" s="82"/>
      <c r="C1399" s="60"/>
      <c r="D1399" s="61"/>
      <c r="E1399" s="56"/>
      <c r="F1399" s="99"/>
      <c r="G1399" s="79"/>
      <c r="H1399" s="99">
        <f t="shared" si="192"/>
        <v>0</v>
      </c>
      <c r="I1399" s="56"/>
      <c r="J1399" s="99">
        <f t="shared" si="193"/>
        <v>0</v>
      </c>
      <c r="K1399" s="100">
        <f t="shared" si="195"/>
        <v>0</v>
      </c>
      <c r="L1399" s="60"/>
      <c r="M1399" s="56"/>
    </row>
    <row r="1400" spans="1:13" ht="21.75" hidden="1" customHeight="1" x14ac:dyDescent="0.4">
      <c r="A1400" s="62"/>
      <c r="B1400" s="32"/>
      <c r="C1400" s="18"/>
      <c r="D1400" s="63"/>
      <c r="E1400" s="50"/>
      <c r="F1400" s="57"/>
      <c r="G1400" s="76"/>
      <c r="H1400" s="57">
        <f t="shared" si="192"/>
        <v>0</v>
      </c>
      <c r="I1400" s="50"/>
      <c r="J1400" s="57">
        <f t="shared" si="193"/>
        <v>0</v>
      </c>
      <c r="K1400" s="58">
        <f t="shared" si="195"/>
        <v>0</v>
      </c>
      <c r="L1400" s="18"/>
      <c r="M1400" s="50"/>
    </row>
    <row r="1401" spans="1:13" ht="21.75" hidden="1" customHeight="1" x14ac:dyDescent="0.4">
      <c r="A1401" s="62"/>
      <c r="B1401" s="32"/>
      <c r="C1401" s="18"/>
      <c r="D1401" s="63"/>
      <c r="E1401" s="50"/>
      <c r="F1401" s="57"/>
      <c r="G1401" s="76"/>
      <c r="H1401" s="57">
        <f t="shared" si="192"/>
        <v>0</v>
      </c>
      <c r="I1401" s="50"/>
      <c r="J1401" s="57"/>
      <c r="K1401" s="58">
        <f t="shared" si="195"/>
        <v>0</v>
      </c>
      <c r="L1401" s="18"/>
      <c r="M1401" s="50"/>
    </row>
    <row r="1402" spans="1:13" ht="21.75" hidden="1" customHeight="1" x14ac:dyDescent="0.4">
      <c r="A1402" s="62"/>
      <c r="B1402" s="32"/>
      <c r="C1402" s="18"/>
      <c r="D1402" s="63"/>
      <c r="E1402" s="50"/>
      <c r="F1402" s="57"/>
      <c r="G1402" s="76"/>
      <c r="H1402" s="57"/>
      <c r="I1402" s="50"/>
      <c r="J1402" s="57"/>
      <c r="K1402" s="58">
        <f t="shared" si="195"/>
        <v>0</v>
      </c>
      <c r="L1402" s="18"/>
      <c r="M1402" s="50"/>
    </row>
    <row r="1403" spans="1:13" ht="21.75" hidden="1" customHeight="1" x14ac:dyDescent="0.4">
      <c r="A1403" s="62"/>
      <c r="B1403" s="32"/>
      <c r="C1403" s="18"/>
      <c r="D1403" s="63"/>
      <c r="E1403" s="50"/>
      <c r="F1403" s="57"/>
      <c r="G1403" s="76"/>
      <c r="H1403" s="57"/>
      <c r="I1403" s="50"/>
      <c r="J1403" s="57"/>
      <c r="K1403" s="58">
        <f t="shared" si="195"/>
        <v>0</v>
      </c>
      <c r="L1403" s="18"/>
      <c r="M1403" s="50"/>
    </row>
    <row r="1404" spans="1:13" ht="21.75" hidden="1" customHeight="1" x14ac:dyDescent="0.4">
      <c r="A1404" s="62"/>
      <c r="B1404" s="32"/>
      <c r="C1404" s="18"/>
      <c r="D1404" s="63"/>
      <c r="E1404" s="50"/>
      <c r="F1404" s="57"/>
      <c r="G1404" s="76"/>
      <c r="H1404" s="57"/>
      <c r="I1404" s="50"/>
      <c r="J1404" s="57"/>
      <c r="K1404" s="58">
        <f t="shared" si="195"/>
        <v>0</v>
      </c>
      <c r="L1404" s="18"/>
      <c r="M1404" s="50"/>
    </row>
  </sheetData>
  <autoFilter ref="A1:M1404" xr:uid="{00000000-0009-0000-0000-000000000000}">
    <filterColumn colId="3">
      <filters>
        <filter val="キャディーバッグ"/>
      </filters>
    </filterColumn>
  </autoFilter>
  <mergeCells count="3">
    <mergeCell ref="M499:M500"/>
    <mergeCell ref="M718:M719"/>
    <mergeCell ref="M952:M956"/>
  </mergeCells>
  <phoneticPr fontId="4"/>
  <pageMargins left="0.7" right="0.7" top="0.75" bottom="0.75" header="0.3" footer="0.3"/>
  <pageSetup paperSize="9" orientation="portrait" horizontalDpi="4294967293" verticalDpi="1200" r:id="rId1"/>
  <ignoredErrors>
    <ignoredError sqref="K1154 K116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theme="6" tint="0.59999389629810485"/>
  </sheetPr>
  <dimension ref="A1:Y1543"/>
  <sheetViews>
    <sheetView zoomScale="85" zoomScaleNormal="85" workbookViewId="0">
      <pane ySplit="1" topLeftCell="A191" activePane="bottomLeft" state="frozen"/>
      <selection pane="bottomLeft" activeCell="E819" sqref="E819"/>
    </sheetView>
  </sheetViews>
  <sheetFormatPr defaultColWidth="8.125" defaultRowHeight="21.75" customHeight="1" x14ac:dyDescent="0.4"/>
  <cols>
    <col min="1" max="1" width="12.75" style="154" bestFit="1" customWidth="1"/>
    <col min="2" max="2" width="14.75" style="37" bestFit="1" customWidth="1"/>
    <col min="3" max="3" width="11.375" style="67" bestFit="1" customWidth="1"/>
    <col min="4" max="4" width="19.5" style="93" customWidth="1"/>
    <col min="5" max="5" width="41.125" style="52" bestFit="1" customWidth="1"/>
    <col min="6" max="6" width="9.125" style="90" customWidth="1"/>
    <col min="7" max="7" width="9.625" style="91" bestFit="1" customWidth="1"/>
    <col min="8" max="8" width="13" style="90" customWidth="1"/>
    <col min="9" max="9" width="4.875" style="52" customWidth="1"/>
    <col min="10" max="10" width="13" style="90" customWidth="1"/>
    <col min="11" max="11" width="12.625" style="92" customWidth="1"/>
    <col min="12" max="12" width="10" style="67" customWidth="1"/>
    <col min="13" max="13" width="32.5" style="52" customWidth="1"/>
    <col min="14" max="14" width="25.125" style="52" customWidth="1"/>
    <col min="15" max="19" width="47.625" style="52" customWidth="1"/>
    <col min="20" max="20" width="0.625" style="2" customWidth="1"/>
    <col min="21" max="21" width="8.875" style="39" customWidth="1"/>
    <col min="22" max="22" width="8.875" style="38" bestFit="1" customWidth="1"/>
    <col min="23" max="23" width="8.125" style="38"/>
    <col min="24" max="24" width="9" style="38" bestFit="1" customWidth="1"/>
    <col min="25" max="25" width="10" style="38" bestFit="1" customWidth="1"/>
    <col min="26" max="26" width="15" style="2" bestFit="1" customWidth="1"/>
    <col min="27" max="16384" width="8.125" style="2"/>
  </cols>
  <sheetData>
    <row r="1" spans="1:25" ht="21.75" customHeight="1" x14ac:dyDescent="0.4">
      <c r="A1" s="144" t="s">
        <v>0</v>
      </c>
      <c r="B1" s="1" t="s">
        <v>1</v>
      </c>
      <c r="C1" s="64" t="s">
        <v>2</v>
      </c>
      <c r="D1" s="84" t="s">
        <v>3</v>
      </c>
      <c r="E1" s="64" t="s">
        <v>4</v>
      </c>
      <c r="F1" s="85" t="s">
        <v>5</v>
      </c>
      <c r="G1" s="86" t="s">
        <v>6</v>
      </c>
      <c r="H1" s="85" t="s">
        <v>7</v>
      </c>
      <c r="I1" s="94" t="s">
        <v>8</v>
      </c>
      <c r="J1" s="85" t="s">
        <v>9</v>
      </c>
      <c r="K1" s="87" t="s">
        <v>10</v>
      </c>
      <c r="L1" s="64" t="s">
        <v>11</v>
      </c>
      <c r="M1" s="64" t="s">
        <v>12</v>
      </c>
      <c r="N1" s="161"/>
      <c r="O1" s="161"/>
      <c r="P1" s="161"/>
      <c r="Q1" s="161"/>
      <c r="R1" s="161"/>
      <c r="S1" s="161"/>
      <c r="U1" s="3" t="s">
        <v>13</v>
      </c>
      <c r="V1" s="4" t="s">
        <v>14</v>
      </c>
      <c r="W1" s="4" t="s">
        <v>8</v>
      </c>
      <c r="X1" s="4" t="s">
        <v>9</v>
      </c>
      <c r="Y1" s="5" t="s">
        <v>15</v>
      </c>
    </row>
    <row r="2" spans="1:25" ht="21.75" hidden="1" customHeight="1" x14ac:dyDescent="0.4">
      <c r="A2" s="158">
        <v>45078</v>
      </c>
      <c r="B2" s="82" t="s">
        <v>1775</v>
      </c>
      <c r="C2" s="60" t="s">
        <v>27</v>
      </c>
      <c r="D2" s="61" t="s">
        <v>28</v>
      </c>
      <c r="E2" s="56" t="s">
        <v>318</v>
      </c>
      <c r="F2" s="99">
        <v>15000</v>
      </c>
      <c r="G2" s="79"/>
      <c r="H2" s="99">
        <f t="shared" ref="H2:H9" si="0">SUM(F2:G2)</f>
        <v>15000</v>
      </c>
      <c r="I2" s="56">
        <v>1</v>
      </c>
      <c r="J2" s="99">
        <f t="shared" ref="J2:J9" si="1">SUM(H2*I2)</f>
        <v>15000</v>
      </c>
      <c r="K2" s="100">
        <f t="shared" ref="K2:K9" si="2">ROUNDDOWN(J2*1.1,0)</f>
        <v>16500</v>
      </c>
      <c r="L2" s="60" t="s">
        <v>20</v>
      </c>
      <c r="M2" s="56"/>
      <c r="U2" s="41"/>
      <c r="V2" s="40"/>
      <c r="W2" s="40"/>
      <c r="X2" s="40"/>
      <c r="Y2" s="40"/>
    </row>
    <row r="3" spans="1:25" ht="21.75" hidden="1" customHeight="1" x14ac:dyDescent="0.4">
      <c r="A3" s="62">
        <v>45078</v>
      </c>
      <c r="B3" s="82" t="s">
        <v>1775</v>
      </c>
      <c r="C3" s="18" t="s">
        <v>27</v>
      </c>
      <c r="D3" s="63" t="s">
        <v>28</v>
      </c>
      <c r="E3" s="50" t="s">
        <v>1776</v>
      </c>
      <c r="F3" s="57">
        <v>13120</v>
      </c>
      <c r="G3" s="76"/>
      <c r="H3" s="57">
        <f t="shared" si="0"/>
        <v>13120</v>
      </c>
      <c r="I3" s="50">
        <v>1</v>
      </c>
      <c r="J3" s="57">
        <f t="shared" si="1"/>
        <v>13120</v>
      </c>
      <c r="K3" s="58">
        <f t="shared" si="2"/>
        <v>14432</v>
      </c>
      <c r="L3" s="18" t="s">
        <v>20</v>
      </c>
      <c r="M3" s="50"/>
      <c r="U3" s="31"/>
      <c r="V3" s="33"/>
      <c r="W3" s="33"/>
      <c r="X3" s="33"/>
      <c r="Y3" s="33"/>
    </row>
    <row r="4" spans="1:25" ht="21.75" hidden="1" customHeight="1" x14ac:dyDescent="0.4">
      <c r="A4" s="62">
        <v>45078</v>
      </c>
      <c r="B4" s="32" t="s">
        <v>1560</v>
      </c>
      <c r="C4" s="18" t="s">
        <v>17</v>
      </c>
      <c r="D4" s="63" t="s">
        <v>426</v>
      </c>
      <c r="E4" s="50" t="s">
        <v>1779</v>
      </c>
      <c r="F4" s="57">
        <v>1650</v>
      </c>
      <c r="G4" s="76">
        <v>-165</v>
      </c>
      <c r="H4" s="57">
        <f t="shared" si="0"/>
        <v>1485</v>
      </c>
      <c r="I4" s="50">
        <v>1</v>
      </c>
      <c r="J4" s="57">
        <f t="shared" si="1"/>
        <v>1485</v>
      </c>
      <c r="K4" s="58">
        <f t="shared" si="2"/>
        <v>1633</v>
      </c>
      <c r="L4" s="18" t="s">
        <v>25</v>
      </c>
      <c r="M4" s="50"/>
      <c r="U4" s="31"/>
      <c r="V4" s="33"/>
      <c r="W4" s="33"/>
      <c r="X4" s="33"/>
      <c r="Y4" s="33"/>
    </row>
    <row r="5" spans="1:25" ht="21.75" hidden="1" customHeight="1" x14ac:dyDescent="0.4">
      <c r="A5" s="62">
        <v>45078</v>
      </c>
      <c r="B5" s="32" t="s">
        <v>182</v>
      </c>
      <c r="C5" s="18" t="s">
        <v>27</v>
      </c>
      <c r="D5" s="63" t="s">
        <v>103</v>
      </c>
      <c r="E5" s="50" t="s">
        <v>104</v>
      </c>
      <c r="F5" s="57">
        <v>2500</v>
      </c>
      <c r="G5" s="76"/>
      <c r="H5" s="57">
        <f t="shared" si="0"/>
        <v>2500</v>
      </c>
      <c r="I5" s="50">
        <v>1</v>
      </c>
      <c r="J5" s="57">
        <f t="shared" si="1"/>
        <v>2500</v>
      </c>
      <c r="K5" s="58">
        <f t="shared" si="2"/>
        <v>2750</v>
      </c>
      <c r="L5" s="18" t="s">
        <v>20</v>
      </c>
      <c r="M5" s="50"/>
      <c r="U5" s="31"/>
      <c r="V5" s="33"/>
      <c r="W5" s="33"/>
      <c r="X5" s="33"/>
      <c r="Y5" s="33"/>
    </row>
    <row r="6" spans="1:25" ht="21.75" hidden="1" customHeight="1" x14ac:dyDescent="0.4">
      <c r="A6" s="62">
        <v>45078</v>
      </c>
      <c r="B6" s="32" t="s">
        <v>1782</v>
      </c>
      <c r="C6" s="18" t="s">
        <v>22</v>
      </c>
      <c r="D6" s="63" t="s">
        <v>23</v>
      </c>
      <c r="E6" s="50" t="s">
        <v>1502</v>
      </c>
      <c r="F6" s="57">
        <v>15000</v>
      </c>
      <c r="G6" s="76"/>
      <c r="H6" s="57">
        <f t="shared" si="0"/>
        <v>15000</v>
      </c>
      <c r="I6" s="50">
        <v>1</v>
      </c>
      <c r="J6" s="57">
        <f t="shared" si="1"/>
        <v>15000</v>
      </c>
      <c r="K6" s="58">
        <f t="shared" si="2"/>
        <v>16500</v>
      </c>
      <c r="L6" s="18" t="s">
        <v>20</v>
      </c>
      <c r="M6" s="50"/>
      <c r="U6" s="31"/>
      <c r="V6" s="33"/>
      <c r="W6" s="33"/>
      <c r="X6" s="33"/>
      <c r="Y6" s="33"/>
    </row>
    <row r="7" spans="1:25" ht="21.75" hidden="1" customHeight="1" x14ac:dyDescent="0.4">
      <c r="A7" s="62">
        <v>45078</v>
      </c>
      <c r="B7" s="32" t="s">
        <v>1782</v>
      </c>
      <c r="C7" s="18" t="s">
        <v>17</v>
      </c>
      <c r="D7" s="63" t="s">
        <v>328</v>
      </c>
      <c r="E7" s="50" t="s">
        <v>1785</v>
      </c>
      <c r="F7" s="57">
        <v>40000</v>
      </c>
      <c r="G7" s="76">
        <v>-8000</v>
      </c>
      <c r="H7" s="57">
        <f t="shared" si="0"/>
        <v>32000</v>
      </c>
      <c r="I7" s="50">
        <v>1</v>
      </c>
      <c r="J7" s="57">
        <f t="shared" si="1"/>
        <v>32000</v>
      </c>
      <c r="K7" s="58">
        <f t="shared" si="2"/>
        <v>35200</v>
      </c>
      <c r="L7" s="18" t="s">
        <v>20</v>
      </c>
      <c r="M7" s="50"/>
      <c r="U7" s="31"/>
      <c r="V7" s="33"/>
      <c r="W7" s="33"/>
      <c r="X7" s="33"/>
      <c r="Y7" s="33"/>
    </row>
    <row r="8" spans="1:25" ht="21.75" hidden="1" customHeight="1" x14ac:dyDescent="0.4">
      <c r="A8" s="62">
        <v>45078</v>
      </c>
      <c r="B8" s="32" t="s">
        <v>1782</v>
      </c>
      <c r="C8" s="18" t="s">
        <v>17</v>
      </c>
      <c r="D8" s="63" t="s">
        <v>328</v>
      </c>
      <c r="E8" s="50" t="s">
        <v>1786</v>
      </c>
      <c r="F8" s="57">
        <v>50000</v>
      </c>
      <c r="G8" s="76">
        <v>-10000</v>
      </c>
      <c r="H8" s="57">
        <f t="shared" si="0"/>
        <v>40000</v>
      </c>
      <c r="I8" s="50">
        <v>1</v>
      </c>
      <c r="J8" s="57">
        <f t="shared" si="1"/>
        <v>40000</v>
      </c>
      <c r="K8" s="58">
        <f t="shared" si="2"/>
        <v>44000</v>
      </c>
      <c r="L8" s="18" t="s">
        <v>20</v>
      </c>
      <c r="M8" s="50"/>
      <c r="U8" s="31"/>
      <c r="V8" s="33"/>
      <c r="W8" s="33"/>
      <c r="X8" s="33"/>
      <c r="Y8" s="33"/>
    </row>
    <row r="9" spans="1:25" ht="21.75" hidden="1" customHeight="1" x14ac:dyDescent="0.4">
      <c r="A9" s="62">
        <v>45078</v>
      </c>
      <c r="B9" s="32" t="s">
        <v>1782</v>
      </c>
      <c r="C9" s="18" t="s">
        <v>17</v>
      </c>
      <c r="D9" s="63" t="s">
        <v>330</v>
      </c>
      <c r="E9" s="50" t="s">
        <v>557</v>
      </c>
      <c r="F9" s="57">
        <v>4000</v>
      </c>
      <c r="G9" s="76"/>
      <c r="H9" s="57">
        <f t="shared" si="0"/>
        <v>4000</v>
      </c>
      <c r="I9" s="50">
        <v>1</v>
      </c>
      <c r="J9" s="57">
        <f t="shared" si="1"/>
        <v>4000</v>
      </c>
      <c r="K9" s="58">
        <f t="shared" si="2"/>
        <v>4400</v>
      </c>
      <c r="L9" s="18" t="s">
        <v>20</v>
      </c>
      <c r="M9" s="50"/>
      <c r="U9" s="31"/>
      <c r="V9" s="33"/>
      <c r="W9" s="33"/>
      <c r="X9" s="33"/>
      <c r="Y9" s="33"/>
    </row>
    <row r="10" spans="1:25" ht="21.75" hidden="1" customHeight="1" x14ac:dyDescent="0.4">
      <c r="A10" s="62">
        <v>45078</v>
      </c>
      <c r="B10" s="32" t="s">
        <v>1782</v>
      </c>
      <c r="C10" s="18" t="s">
        <v>17</v>
      </c>
      <c r="D10" s="63" t="s">
        <v>332</v>
      </c>
      <c r="E10" s="50" t="s">
        <v>1789</v>
      </c>
      <c r="F10" s="57">
        <v>1800</v>
      </c>
      <c r="G10" s="76"/>
      <c r="H10" s="57">
        <v>1800</v>
      </c>
      <c r="I10" s="50">
        <v>2</v>
      </c>
      <c r="J10" s="57">
        <f t="shared" ref="J10:J75" si="3">SUM(H10*I10)</f>
        <v>3600</v>
      </c>
      <c r="K10" s="58">
        <f t="shared" ref="K10:K75" si="4">ROUNDDOWN(J10*1.1,0)</f>
        <v>3960</v>
      </c>
      <c r="L10" s="18" t="s">
        <v>20</v>
      </c>
      <c r="M10" s="50"/>
      <c r="U10" s="31"/>
      <c r="V10" s="33"/>
      <c r="W10" s="33"/>
      <c r="X10" s="33"/>
      <c r="Y10" s="33"/>
    </row>
    <row r="11" spans="1:25" ht="21.75" hidden="1" customHeight="1" x14ac:dyDescent="0.4">
      <c r="A11" s="62">
        <v>45078</v>
      </c>
      <c r="B11" s="32" t="s">
        <v>179</v>
      </c>
      <c r="C11" s="18" t="s">
        <v>17</v>
      </c>
      <c r="D11" s="63" t="s">
        <v>332</v>
      </c>
      <c r="E11" s="50" t="s">
        <v>1792</v>
      </c>
      <c r="F11" s="57">
        <v>1400</v>
      </c>
      <c r="G11" s="76">
        <v>-140</v>
      </c>
      <c r="H11" s="57">
        <f t="shared" ref="H11:H76" si="5">SUM(F11:G11)</f>
        <v>1260</v>
      </c>
      <c r="I11" s="50">
        <v>1</v>
      </c>
      <c r="J11" s="57">
        <f t="shared" si="3"/>
        <v>1260</v>
      </c>
      <c r="K11" s="58">
        <f t="shared" si="4"/>
        <v>1386</v>
      </c>
      <c r="L11" s="18" t="s">
        <v>20</v>
      </c>
      <c r="M11" s="50"/>
      <c r="U11" s="31"/>
      <c r="V11" s="33"/>
      <c r="W11" s="33"/>
      <c r="X11" s="33"/>
      <c r="Y11" s="33"/>
    </row>
    <row r="12" spans="1:25" ht="21.75" hidden="1" customHeight="1" x14ac:dyDescent="0.4">
      <c r="A12" s="62">
        <v>45078</v>
      </c>
      <c r="B12" s="32" t="s">
        <v>1180</v>
      </c>
      <c r="C12" s="18" t="s">
        <v>17</v>
      </c>
      <c r="D12" s="63" t="s">
        <v>332</v>
      </c>
      <c r="E12" s="50" t="s">
        <v>1793</v>
      </c>
      <c r="F12" s="57">
        <v>1650</v>
      </c>
      <c r="G12" s="76">
        <v>-165</v>
      </c>
      <c r="H12" s="57">
        <f t="shared" si="5"/>
        <v>1485</v>
      </c>
      <c r="I12" s="50">
        <v>1</v>
      </c>
      <c r="J12" s="57">
        <f t="shared" si="3"/>
        <v>1485</v>
      </c>
      <c r="K12" s="58">
        <f t="shared" si="4"/>
        <v>1633</v>
      </c>
      <c r="L12" s="18" t="s">
        <v>25</v>
      </c>
      <c r="M12" s="50"/>
      <c r="U12" s="31"/>
      <c r="V12" s="33"/>
      <c r="W12" s="33"/>
      <c r="X12" s="33"/>
      <c r="Y12" s="33"/>
    </row>
    <row r="13" spans="1:25" ht="21.75" hidden="1" customHeight="1" x14ac:dyDescent="0.4">
      <c r="A13" s="62">
        <v>45078</v>
      </c>
      <c r="B13" s="32" t="s">
        <v>179</v>
      </c>
      <c r="C13" s="18" t="s">
        <v>17</v>
      </c>
      <c r="D13" s="63" t="s">
        <v>455</v>
      </c>
      <c r="E13" s="50" t="s">
        <v>1794</v>
      </c>
      <c r="F13" s="57">
        <v>3500</v>
      </c>
      <c r="G13" s="76"/>
      <c r="H13" s="57">
        <f t="shared" si="5"/>
        <v>3500</v>
      </c>
      <c r="I13" s="50">
        <v>1</v>
      </c>
      <c r="J13" s="57">
        <f t="shared" si="3"/>
        <v>3500</v>
      </c>
      <c r="K13" s="58">
        <f t="shared" si="4"/>
        <v>3850</v>
      </c>
      <c r="L13" s="18" t="s">
        <v>20</v>
      </c>
      <c r="M13" s="50"/>
      <c r="U13" s="31"/>
      <c r="V13" s="33"/>
      <c r="W13" s="33"/>
      <c r="X13" s="33"/>
      <c r="Y13" s="33"/>
    </row>
    <row r="14" spans="1:25" ht="21.75" hidden="1" customHeight="1" x14ac:dyDescent="0.4">
      <c r="A14" s="62">
        <v>45078</v>
      </c>
      <c r="B14" s="32" t="s">
        <v>1447</v>
      </c>
      <c r="C14" s="18" t="s">
        <v>17</v>
      </c>
      <c r="D14" s="63" t="s">
        <v>332</v>
      </c>
      <c r="E14" s="50" t="s">
        <v>1796</v>
      </c>
      <c r="F14" s="57">
        <v>1400</v>
      </c>
      <c r="G14" s="76">
        <v>-140</v>
      </c>
      <c r="H14" s="57">
        <f t="shared" si="5"/>
        <v>1260</v>
      </c>
      <c r="I14" s="50">
        <v>7</v>
      </c>
      <c r="J14" s="57">
        <f t="shared" si="3"/>
        <v>8820</v>
      </c>
      <c r="K14" s="58">
        <f t="shared" si="4"/>
        <v>9702</v>
      </c>
      <c r="L14" s="18" t="s">
        <v>20</v>
      </c>
      <c r="M14" s="50"/>
      <c r="U14" s="31"/>
      <c r="V14" s="33"/>
      <c r="W14" s="33"/>
      <c r="X14" s="33"/>
      <c r="Y14" s="33"/>
    </row>
    <row r="15" spans="1:25" ht="21.75" hidden="1" customHeight="1" x14ac:dyDescent="0.4">
      <c r="A15" s="62">
        <v>45079</v>
      </c>
      <c r="B15" s="32" t="s">
        <v>1720</v>
      </c>
      <c r="C15" s="18" t="s">
        <v>22</v>
      </c>
      <c r="D15" s="63" t="s">
        <v>1496</v>
      </c>
      <c r="E15" s="50" t="s">
        <v>1813</v>
      </c>
      <c r="F15" s="57">
        <v>4500</v>
      </c>
      <c r="G15" s="76"/>
      <c r="H15" s="57">
        <f t="shared" si="5"/>
        <v>4500</v>
      </c>
      <c r="I15" s="50">
        <v>1</v>
      </c>
      <c r="J15" s="57">
        <f t="shared" si="3"/>
        <v>4500</v>
      </c>
      <c r="K15" s="58">
        <f t="shared" si="4"/>
        <v>4950</v>
      </c>
      <c r="L15" s="18" t="s">
        <v>25</v>
      </c>
      <c r="M15" s="50"/>
      <c r="U15" s="31"/>
      <c r="V15" s="33"/>
      <c r="W15" s="33"/>
      <c r="X15" s="33"/>
      <c r="Y15" s="33"/>
    </row>
    <row r="16" spans="1:25" ht="21.75" hidden="1" customHeight="1" x14ac:dyDescent="0.4">
      <c r="A16" s="62">
        <v>45080</v>
      </c>
      <c r="B16" s="32" t="s">
        <v>1700</v>
      </c>
      <c r="C16" s="18" t="s">
        <v>17</v>
      </c>
      <c r="D16" s="63" t="s">
        <v>328</v>
      </c>
      <c r="E16" s="50" t="s">
        <v>1797</v>
      </c>
      <c r="F16" s="57">
        <v>22000</v>
      </c>
      <c r="G16" s="76">
        <v>-9900</v>
      </c>
      <c r="H16" s="57">
        <f t="shared" si="5"/>
        <v>12100</v>
      </c>
      <c r="I16" s="50">
        <v>1</v>
      </c>
      <c r="J16" s="57">
        <f t="shared" si="3"/>
        <v>12100</v>
      </c>
      <c r="K16" s="58">
        <f t="shared" si="4"/>
        <v>13310</v>
      </c>
      <c r="L16" s="18" t="s">
        <v>25</v>
      </c>
      <c r="M16" s="50"/>
      <c r="U16" s="31"/>
      <c r="V16" s="33"/>
      <c r="W16" s="33"/>
      <c r="X16" s="33"/>
      <c r="Y16" s="33"/>
    </row>
    <row r="17" spans="1:13" ht="21.75" hidden="1" customHeight="1" x14ac:dyDescent="0.4">
      <c r="A17" s="62">
        <v>45080</v>
      </c>
      <c r="B17" s="32" t="s">
        <v>1700</v>
      </c>
      <c r="C17" s="18" t="s">
        <v>17</v>
      </c>
      <c r="D17" s="63" t="s">
        <v>330</v>
      </c>
      <c r="E17" s="50" t="s">
        <v>339</v>
      </c>
      <c r="F17" s="57">
        <v>3000</v>
      </c>
      <c r="G17" s="76"/>
      <c r="H17" s="57">
        <f t="shared" si="5"/>
        <v>3000</v>
      </c>
      <c r="I17" s="50">
        <v>1</v>
      </c>
      <c r="J17" s="57">
        <f t="shared" si="3"/>
        <v>3000</v>
      </c>
      <c r="K17" s="58">
        <f t="shared" si="4"/>
        <v>3300</v>
      </c>
      <c r="L17" s="18" t="s">
        <v>25</v>
      </c>
      <c r="M17" s="50"/>
    </row>
    <row r="18" spans="1:13" ht="21.75" hidden="1" customHeight="1" x14ac:dyDescent="0.4">
      <c r="A18" s="62">
        <v>45080</v>
      </c>
      <c r="B18" s="32" t="s">
        <v>1700</v>
      </c>
      <c r="C18" s="18" t="s">
        <v>17</v>
      </c>
      <c r="D18" s="63" t="s">
        <v>332</v>
      </c>
      <c r="E18" s="50" t="s">
        <v>1799</v>
      </c>
      <c r="F18" s="57">
        <v>1090</v>
      </c>
      <c r="G18" s="76"/>
      <c r="H18" s="57">
        <f t="shared" si="5"/>
        <v>1090</v>
      </c>
      <c r="I18" s="50">
        <v>1</v>
      </c>
      <c r="J18" s="57">
        <f t="shared" si="3"/>
        <v>1090</v>
      </c>
      <c r="K18" s="58">
        <f t="shared" si="4"/>
        <v>1199</v>
      </c>
      <c r="L18" s="18" t="s">
        <v>25</v>
      </c>
      <c r="M18" s="50"/>
    </row>
    <row r="19" spans="1:13" ht="21.75" hidden="1" customHeight="1" x14ac:dyDescent="0.4">
      <c r="A19" s="62">
        <v>45080</v>
      </c>
      <c r="B19" s="32" t="s">
        <v>1082</v>
      </c>
      <c r="C19" s="18" t="s">
        <v>27</v>
      </c>
      <c r="D19" s="63" t="s">
        <v>103</v>
      </c>
      <c r="E19" s="50" t="s">
        <v>908</v>
      </c>
      <c r="F19" s="57">
        <v>25000</v>
      </c>
      <c r="G19" s="76"/>
      <c r="H19" s="57">
        <f t="shared" si="5"/>
        <v>25000</v>
      </c>
      <c r="I19" s="50">
        <v>1</v>
      </c>
      <c r="J19" s="57">
        <f t="shared" si="3"/>
        <v>25000</v>
      </c>
      <c r="K19" s="58">
        <f t="shared" si="4"/>
        <v>27500</v>
      </c>
      <c r="L19" s="18" t="s">
        <v>25</v>
      </c>
      <c r="M19" s="50"/>
    </row>
    <row r="20" spans="1:13" ht="21.75" hidden="1" customHeight="1" x14ac:dyDescent="0.4">
      <c r="A20" s="62">
        <v>45081</v>
      </c>
      <c r="B20" s="32" t="s">
        <v>1801</v>
      </c>
      <c r="C20" s="18" t="s">
        <v>27</v>
      </c>
      <c r="D20" s="63" t="s">
        <v>28</v>
      </c>
      <c r="E20" s="50" t="s">
        <v>1776</v>
      </c>
      <c r="F20" s="57">
        <v>13120</v>
      </c>
      <c r="G20" s="76"/>
      <c r="H20" s="57">
        <f t="shared" si="5"/>
        <v>13120</v>
      </c>
      <c r="I20" s="50">
        <v>1</v>
      </c>
      <c r="J20" s="57">
        <f t="shared" si="3"/>
        <v>13120</v>
      </c>
      <c r="K20" s="58">
        <f t="shared" si="4"/>
        <v>14432</v>
      </c>
      <c r="L20" s="18" t="s">
        <v>25</v>
      </c>
      <c r="M20" s="50"/>
    </row>
    <row r="21" spans="1:13" ht="21.75" hidden="1" customHeight="1" x14ac:dyDescent="0.4">
      <c r="A21" s="62">
        <v>45082</v>
      </c>
      <c r="B21" s="32" t="s">
        <v>1257</v>
      </c>
      <c r="C21" s="18" t="s">
        <v>17</v>
      </c>
      <c r="D21" s="63" t="s">
        <v>426</v>
      </c>
      <c r="E21" s="50" t="s">
        <v>1804</v>
      </c>
      <c r="F21" s="57">
        <v>1700</v>
      </c>
      <c r="G21" s="76">
        <v>-170</v>
      </c>
      <c r="H21" s="57">
        <f t="shared" si="5"/>
        <v>1530</v>
      </c>
      <c r="I21" s="50">
        <v>1</v>
      </c>
      <c r="J21" s="57">
        <f t="shared" si="3"/>
        <v>1530</v>
      </c>
      <c r="K21" s="58">
        <f t="shared" si="4"/>
        <v>1683</v>
      </c>
      <c r="L21" s="18" t="s">
        <v>25</v>
      </c>
      <c r="M21" s="50"/>
    </row>
    <row r="22" spans="1:13" ht="21.75" hidden="1" customHeight="1" x14ac:dyDescent="0.4">
      <c r="A22" s="62">
        <v>45084</v>
      </c>
      <c r="B22" s="32" t="s">
        <v>1805</v>
      </c>
      <c r="C22" s="18" t="s">
        <v>22</v>
      </c>
      <c r="D22" s="63" t="s">
        <v>1496</v>
      </c>
      <c r="E22" s="50" t="s">
        <v>369</v>
      </c>
      <c r="F22" s="57">
        <v>3000</v>
      </c>
      <c r="G22" s="76"/>
      <c r="H22" s="57">
        <f t="shared" si="5"/>
        <v>3000</v>
      </c>
      <c r="I22" s="50">
        <v>1</v>
      </c>
      <c r="J22" s="57">
        <f t="shared" si="3"/>
        <v>3000</v>
      </c>
      <c r="K22" s="58">
        <f t="shared" si="4"/>
        <v>3300</v>
      </c>
      <c r="L22" s="18" t="s">
        <v>25</v>
      </c>
      <c r="M22" s="50"/>
    </row>
    <row r="23" spans="1:13" ht="21.75" hidden="1" customHeight="1" x14ac:dyDescent="0.4">
      <c r="A23" s="62">
        <v>45084</v>
      </c>
      <c r="B23" s="32" t="s">
        <v>1059</v>
      </c>
      <c r="C23" s="18" t="s">
        <v>27</v>
      </c>
      <c r="D23" s="63" t="s">
        <v>28</v>
      </c>
      <c r="E23" s="50" t="s">
        <v>1807</v>
      </c>
      <c r="F23" s="57">
        <v>3750</v>
      </c>
      <c r="G23" s="76"/>
      <c r="H23" s="57">
        <f t="shared" si="5"/>
        <v>3750</v>
      </c>
      <c r="I23" s="50">
        <v>1</v>
      </c>
      <c r="J23" s="57">
        <f t="shared" si="3"/>
        <v>3750</v>
      </c>
      <c r="K23" s="58">
        <f t="shared" si="4"/>
        <v>4125</v>
      </c>
      <c r="L23" s="18" t="s">
        <v>20</v>
      </c>
      <c r="M23" s="50"/>
    </row>
    <row r="24" spans="1:13" ht="21.75" hidden="1" customHeight="1" x14ac:dyDescent="0.4">
      <c r="A24" s="62">
        <v>45084</v>
      </c>
      <c r="B24" s="32" t="s">
        <v>1808</v>
      </c>
      <c r="C24" s="18" t="s">
        <v>22</v>
      </c>
      <c r="D24" s="63" t="s">
        <v>1496</v>
      </c>
      <c r="E24" s="50" t="s">
        <v>369</v>
      </c>
      <c r="F24" s="57">
        <v>3000</v>
      </c>
      <c r="G24" s="76"/>
      <c r="H24" s="57">
        <f t="shared" si="5"/>
        <v>3000</v>
      </c>
      <c r="I24" s="50">
        <v>1</v>
      </c>
      <c r="J24" s="57">
        <f t="shared" si="3"/>
        <v>3000</v>
      </c>
      <c r="K24" s="58">
        <f t="shared" si="4"/>
        <v>3300</v>
      </c>
      <c r="L24" s="18" t="s">
        <v>20</v>
      </c>
      <c r="M24" s="50"/>
    </row>
    <row r="25" spans="1:13" ht="21.75" hidden="1" customHeight="1" x14ac:dyDescent="0.4">
      <c r="A25" s="62">
        <v>45084</v>
      </c>
      <c r="B25" s="32" t="s">
        <v>162</v>
      </c>
      <c r="C25" s="18" t="s">
        <v>27</v>
      </c>
      <c r="D25" s="63" t="s">
        <v>28</v>
      </c>
      <c r="E25" s="50" t="s">
        <v>73</v>
      </c>
      <c r="F25" s="57">
        <v>2000</v>
      </c>
      <c r="G25" s="76"/>
      <c r="H25" s="57">
        <f t="shared" si="5"/>
        <v>2000</v>
      </c>
      <c r="I25" s="50">
        <v>1</v>
      </c>
      <c r="J25" s="57">
        <f t="shared" si="3"/>
        <v>2000</v>
      </c>
      <c r="K25" s="58">
        <f t="shared" si="4"/>
        <v>2200</v>
      </c>
      <c r="L25" s="18" t="s">
        <v>20</v>
      </c>
      <c r="M25" s="50"/>
    </row>
    <row r="26" spans="1:13" ht="21.75" hidden="1" customHeight="1" x14ac:dyDescent="0.4">
      <c r="A26" s="62">
        <v>45084</v>
      </c>
      <c r="B26" s="32" t="s">
        <v>162</v>
      </c>
      <c r="C26" s="18" t="s">
        <v>27</v>
      </c>
      <c r="D26" s="63" t="s">
        <v>28</v>
      </c>
      <c r="E26" s="50" t="s">
        <v>1810</v>
      </c>
      <c r="F26" s="57">
        <v>2500</v>
      </c>
      <c r="G26" s="76"/>
      <c r="H26" s="57">
        <f t="shared" si="5"/>
        <v>2500</v>
      </c>
      <c r="I26" s="50">
        <v>1</v>
      </c>
      <c r="J26" s="57">
        <f t="shared" si="3"/>
        <v>2500</v>
      </c>
      <c r="K26" s="58">
        <f t="shared" si="4"/>
        <v>2750</v>
      </c>
      <c r="L26" s="18" t="s">
        <v>20</v>
      </c>
      <c r="M26" s="50"/>
    </row>
    <row r="27" spans="1:13" ht="21.75" hidden="1" customHeight="1" x14ac:dyDescent="0.4">
      <c r="A27" s="62">
        <v>45084</v>
      </c>
      <c r="B27" s="32" t="s">
        <v>503</v>
      </c>
      <c r="C27" s="18" t="s">
        <v>17</v>
      </c>
      <c r="D27" s="63" t="s">
        <v>292</v>
      </c>
      <c r="E27" s="50" t="s">
        <v>1825</v>
      </c>
      <c r="F27" s="57">
        <v>5500</v>
      </c>
      <c r="G27" s="76"/>
      <c r="H27" s="57">
        <f t="shared" si="5"/>
        <v>5500</v>
      </c>
      <c r="I27" s="50">
        <v>1</v>
      </c>
      <c r="J27" s="57">
        <f t="shared" si="3"/>
        <v>5500</v>
      </c>
      <c r="K27" s="58">
        <f t="shared" si="4"/>
        <v>6050</v>
      </c>
      <c r="L27" s="18" t="s">
        <v>25</v>
      </c>
      <c r="M27" s="50"/>
    </row>
    <row r="28" spans="1:13" ht="21.75" hidden="1" customHeight="1" x14ac:dyDescent="0.4">
      <c r="A28" s="62">
        <v>45085</v>
      </c>
      <c r="B28" s="32" t="s">
        <v>1297</v>
      </c>
      <c r="C28" s="18" t="s">
        <v>27</v>
      </c>
      <c r="D28" s="63" t="s">
        <v>28</v>
      </c>
      <c r="E28" s="50" t="s">
        <v>73</v>
      </c>
      <c r="F28" s="57">
        <v>2000</v>
      </c>
      <c r="G28" s="76"/>
      <c r="H28" s="57">
        <f t="shared" si="5"/>
        <v>2000</v>
      </c>
      <c r="I28" s="50">
        <v>1</v>
      </c>
      <c r="J28" s="57">
        <f t="shared" si="3"/>
        <v>2000</v>
      </c>
      <c r="K28" s="58">
        <f t="shared" si="4"/>
        <v>2200</v>
      </c>
      <c r="L28" s="18" t="s">
        <v>25</v>
      </c>
      <c r="M28" s="50"/>
    </row>
    <row r="29" spans="1:13" ht="21.75" hidden="1" customHeight="1" x14ac:dyDescent="0.4">
      <c r="A29" s="62">
        <v>45085</v>
      </c>
      <c r="B29" s="32" t="s">
        <v>405</v>
      </c>
      <c r="C29" s="18" t="s">
        <v>17</v>
      </c>
      <c r="D29" s="63" t="s">
        <v>55</v>
      </c>
      <c r="E29" s="50" t="s">
        <v>1812</v>
      </c>
      <c r="F29" s="57">
        <v>5500</v>
      </c>
      <c r="G29" s="76"/>
      <c r="H29" s="57">
        <f t="shared" si="5"/>
        <v>5500</v>
      </c>
      <c r="I29" s="50">
        <v>2</v>
      </c>
      <c r="J29" s="57">
        <f t="shared" si="3"/>
        <v>11000</v>
      </c>
      <c r="K29" s="58">
        <f t="shared" si="4"/>
        <v>12100</v>
      </c>
      <c r="L29" s="18" t="s">
        <v>25</v>
      </c>
      <c r="M29" s="50"/>
    </row>
    <row r="30" spans="1:13" ht="21.75" hidden="1" customHeight="1" x14ac:dyDescent="0.4">
      <c r="A30" s="62">
        <v>45085</v>
      </c>
      <c r="B30" s="32" t="s">
        <v>1782</v>
      </c>
      <c r="C30" s="18" t="s">
        <v>22</v>
      </c>
      <c r="D30" s="63" t="s">
        <v>1496</v>
      </c>
      <c r="E30" s="50" t="s">
        <v>1814</v>
      </c>
      <c r="F30" s="57">
        <v>22000</v>
      </c>
      <c r="G30" s="76"/>
      <c r="H30" s="57">
        <f t="shared" si="5"/>
        <v>22000</v>
      </c>
      <c r="I30" s="50">
        <v>1</v>
      </c>
      <c r="J30" s="57">
        <f t="shared" si="3"/>
        <v>22000</v>
      </c>
      <c r="K30" s="58">
        <f t="shared" si="4"/>
        <v>24200</v>
      </c>
      <c r="L30" s="18" t="s">
        <v>20</v>
      </c>
      <c r="M30" s="50"/>
    </row>
    <row r="31" spans="1:13" ht="21.75" hidden="1" customHeight="1" x14ac:dyDescent="0.4">
      <c r="A31" s="62">
        <v>45085</v>
      </c>
      <c r="B31" s="32" t="s">
        <v>1720</v>
      </c>
      <c r="C31" s="18" t="s">
        <v>22</v>
      </c>
      <c r="D31" s="63" t="s">
        <v>1496</v>
      </c>
      <c r="E31" s="50" t="s">
        <v>1813</v>
      </c>
      <c r="F31" s="57">
        <v>4500</v>
      </c>
      <c r="G31" s="76"/>
      <c r="H31" s="57">
        <f t="shared" si="5"/>
        <v>4500</v>
      </c>
      <c r="I31" s="50">
        <v>1</v>
      </c>
      <c r="J31" s="57">
        <f t="shared" si="3"/>
        <v>4500</v>
      </c>
      <c r="K31" s="58">
        <f t="shared" si="4"/>
        <v>4950</v>
      </c>
      <c r="L31" s="18" t="s">
        <v>25</v>
      </c>
      <c r="M31" s="50"/>
    </row>
    <row r="32" spans="1:13" ht="21.75" hidden="1" customHeight="1" x14ac:dyDescent="0.4">
      <c r="A32" s="62">
        <v>45086</v>
      </c>
      <c r="B32" s="32" t="s">
        <v>1815</v>
      </c>
      <c r="C32" s="18" t="s">
        <v>22</v>
      </c>
      <c r="D32" s="63" t="s">
        <v>1496</v>
      </c>
      <c r="E32" s="50" t="s">
        <v>369</v>
      </c>
      <c r="F32" s="57">
        <v>3000</v>
      </c>
      <c r="G32" s="76"/>
      <c r="H32" s="57">
        <f t="shared" si="5"/>
        <v>3000</v>
      </c>
      <c r="I32" s="50">
        <v>1</v>
      </c>
      <c r="J32" s="57">
        <f t="shared" si="3"/>
        <v>3000</v>
      </c>
      <c r="K32" s="58">
        <f t="shared" si="4"/>
        <v>3300</v>
      </c>
      <c r="L32" s="18" t="s">
        <v>20</v>
      </c>
      <c r="M32" s="50"/>
    </row>
    <row r="33" spans="1:13" ht="21.75" hidden="1" customHeight="1" x14ac:dyDescent="0.4">
      <c r="A33" s="62">
        <v>45086</v>
      </c>
      <c r="B33" s="32" t="s">
        <v>1815</v>
      </c>
      <c r="C33" s="18" t="s">
        <v>27</v>
      </c>
      <c r="D33" s="63" t="s">
        <v>28</v>
      </c>
      <c r="E33" s="50" t="s">
        <v>318</v>
      </c>
      <c r="F33" s="57">
        <v>15000</v>
      </c>
      <c r="G33" s="76"/>
      <c r="H33" s="57">
        <f t="shared" si="5"/>
        <v>15000</v>
      </c>
      <c r="I33" s="50">
        <v>1</v>
      </c>
      <c r="J33" s="57">
        <f t="shared" si="3"/>
        <v>15000</v>
      </c>
      <c r="K33" s="58">
        <f t="shared" si="4"/>
        <v>16500</v>
      </c>
      <c r="L33" s="18" t="s">
        <v>25</v>
      </c>
      <c r="M33" s="50"/>
    </row>
    <row r="34" spans="1:13" ht="21.75" hidden="1" customHeight="1" x14ac:dyDescent="0.4">
      <c r="A34" s="62">
        <v>45086</v>
      </c>
      <c r="B34" s="32" t="s">
        <v>1815</v>
      </c>
      <c r="C34" s="18" t="s">
        <v>27</v>
      </c>
      <c r="D34" s="63" t="s">
        <v>28</v>
      </c>
      <c r="E34" s="50" t="s">
        <v>1816</v>
      </c>
      <c r="F34" s="57">
        <v>8750</v>
      </c>
      <c r="G34" s="76"/>
      <c r="H34" s="57">
        <f t="shared" si="5"/>
        <v>8750</v>
      </c>
      <c r="I34" s="50">
        <v>1</v>
      </c>
      <c r="J34" s="57">
        <f t="shared" si="3"/>
        <v>8750</v>
      </c>
      <c r="K34" s="58">
        <f t="shared" si="4"/>
        <v>9625</v>
      </c>
      <c r="L34" s="18" t="s">
        <v>25</v>
      </c>
      <c r="M34" s="50"/>
    </row>
    <row r="35" spans="1:13" ht="21.75" hidden="1" customHeight="1" x14ac:dyDescent="0.4">
      <c r="A35" s="62">
        <v>45086</v>
      </c>
      <c r="B35" s="32" t="s">
        <v>1401</v>
      </c>
      <c r="C35" s="18" t="s">
        <v>17</v>
      </c>
      <c r="D35" s="63" t="s">
        <v>1919</v>
      </c>
      <c r="E35" s="50" t="s">
        <v>1922</v>
      </c>
      <c r="F35" s="57">
        <v>80000</v>
      </c>
      <c r="G35" s="76"/>
      <c r="H35" s="57">
        <f t="shared" si="5"/>
        <v>80000</v>
      </c>
      <c r="I35" s="50">
        <v>1</v>
      </c>
      <c r="J35" s="57">
        <f t="shared" si="3"/>
        <v>80000</v>
      </c>
      <c r="K35" s="58">
        <f t="shared" si="4"/>
        <v>88000</v>
      </c>
      <c r="L35" s="18" t="s">
        <v>1921</v>
      </c>
      <c r="M35" s="50"/>
    </row>
    <row r="36" spans="1:13" ht="21.75" hidden="1" customHeight="1" x14ac:dyDescent="0.4">
      <c r="A36" s="62">
        <v>45086</v>
      </c>
      <c r="B36" s="32" t="s">
        <v>1401</v>
      </c>
      <c r="C36" s="18" t="s">
        <v>1920</v>
      </c>
      <c r="D36" s="63"/>
      <c r="E36" s="50"/>
      <c r="F36" s="57">
        <v>3000</v>
      </c>
      <c r="G36" s="76"/>
      <c r="H36" s="57">
        <f t="shared" si="5"/>
        <v>3000</v>
      </c>
      <c r="I36" s="50">
        <v>1</v>
      </c>
      <c r="J36" s="57">
        <f t="shared" si="3"/>
        <v>3000</v>
      </c>
      <c r="K36" s="58">
        <f t="shared" si="4"/>
        <v>3300</v>
      </c>
      <c r="L36" s="18" t="s">
        <v>1921</v>
      </c>
      <c r="M36" s="50"/>
    </row>
    <row r="37" spans="1:13" ht="21.75" hidden="1" customHeight="1" x14ac:dyDescent="0.4">
      <c r="A37" s="62">
        <v>45087</v>
      </c>
      <c r="B37" s="32" t="s">
        <v>1817</v>
      </c>
      <c r="C37" s="18" t="s">
        <v>22</v>
      </c>
      <c r="D37" s="63" t="s">
        <v>23</v>
      </c>
      <c r="E37" s="50" t="s">
        <v>1502</v>
      </c>
      <c r="F37" s="57">
        <v>15000</v>
      </c>
      <c r="G37" s="76">
        <v>-5000</v>
      </c>
      <c r="H37" s="57">
        <f t="shared" si="5"/>
        <v>10000</v>
      </c>
      <c r="I37" s="50">
        <v>1</v>
      </c>
      <c r="J37" s="57">
        <f t="shared" si="3"/>
        <v>10000</v>
      </c>
      <c r="K37" s="58">
        <f t="shared" si="4"/>
        <v>11000</v>
      </c>
      <c r="L37" s="18" t="s">
        <v>25</v>
      </c>
      <c r="M37" s="50"/>
    </row>
    <row r="38" spans="1:13" ht="21.75" hidden="1" customHeight="1" x14ac:dyDescent="0.4">
      <c r="A38" s="62">
        <v>45087</v>
      </c>
      <c r="B38" s="32" t="s">
        <v>1818</v>
      </c>
      <c r="C38" s="18" t="s">
        <v>22</v>
      </c>
      <c r="D38" s="63" t="s">
        <v>23</v>
      </c>
      <c r="E38" s="50" t="s">
        <v>1502</v>
      </c>
      <c r="F38" s="57">
        <v>15000</v>
      </c>
      <c r="G38" s="76">
        <v>-5000</v>
      </c>
      <c r="H38" s="57">
        <f t="shared" si="5"/>
        <v>10000</v>
      </c>
      <c r="I38" s="50">
        <v>1</v>
      </c>
      <c r="J38" s="57">
        <f t="shared" si="3"/>
        <v>10000</v>
      </c>
      <c r="K38" s="58">
        <f t="shared" si="4"/>
        <v>11000</v>
      </c>
      <c r="L38" s="18" t="s">
        <v>34</v>
      </c>
      <c r="M38" s="50"/>
    </row>
    <row r="39" spans="1:13" ht="21.75" hidden="1" customHeight="1" x14ac:dyDescent="0.4">
      <c r="A39" s="62">
        <v>45088</v>
      </c>
      <c r="B39" s="32" t="s">
        <v>182</v>
      </c>
      <c r="C39" s="18" t="s">
        <v>27</v>
      </c>
      <c r="D39" s="63" t="s">
        <v>103</v>
      </c>
      <c r="E39" s="50" t="s">
        <v>104</v>
      </c>
      <c r="F39" s="57">
        <v>2500</v>
      </c>
      <c r="G39" s="76"/>
      <c r="H39" s="57">
        <f t="shared" si="5"/>
        <v>2500</v>
      </c>
      <c r="I39" s="50">
        <v>1</v>
      </c>
      <c r="J39" s="57">
        <f t="shared" si="3"/>
        <v>2500</v>
      </c>
      <c r="K39" s="58">
        <f t="shared" si="4"/>
        <v>2750</v>
      </c>
      <c r="L39" s="18" t="s">
        <v>20</v>
      </c>
      <c r="M39" s="50"/>
    </row>
    <row r="40" spans="1:13" ht="21.75" hidden="1" customHeight="1" x14ac:dyDescent="0.4">
      <c r="A40" s="62">
        <v>45088</v>
      </c>
      <c r="B40" s="32" t="s">
        <v>1819</v>
      </c>
      <c r="C40" s="18" t="s">
        <v>27</v>
      </c>
      <c r="D40" s="63" t="s">
        <v>28</v>
      </c>
      <c r="E40" s="50" t="s">
        <v>1820</v>
      </c>
      <c r="F40" s="57">
        <v>17500</v>
      </c>
      <c r="G40" s="76"/>
      <c r="H40" s="57">
        <f t="shared" si="5"/>
        <v>17500</v>
      </c>
      <c r="I40" s="50">
        <v>2</v>
      </c>
      <c r="J40" s="57">
        <f t="shared" si="3"/>
        <v>35000</v>
      </c>
      <c r="K40" s="58">
        <f t="shared" si="4"/>
        <v>38500</v>
      </c>
      <c r="L40" s="18" t="s">
        <v>25</v>
      </c>
      <c r="M40" s="50"/>
    </row>
    <row r="41" spans="1:13" ht="21.75" hidden="1" customHeight="1" x14ac:dyDescent="0.4">
      <c r="A41" s="62">
        <v>45088</v>
      </c>
      <c r="B41" s="32" t="s">
        <v>1819</v>
      </c>
      <c r="C41" s="18" t="s">
        <v>27</v>
      </c>
      <c r="D41" s="63" t="s">
        <v>28</v>
      </c>
      <c r="E41" s="50" t="s">
        <v>1821</v>
      </c>
      <c r="F41" s="57">
        <v>12250</v>
      </c>
      <c r="G41" s="76"/>
      <c r="H41" s="57">
        <f t="shared" si="5"/>
        <v>12250</v>
      </c>
      <c r="I41" s="50">
        <v>2</v>
      </c>
      <c r="J41" s="57">
        <f t="shared" si="3"/>
        <v>24500</v>
      </c>
      <c r="K41" s="58">
        <f t="shared" si="4"/>
        <v>26950</v>
      </c>
      <c r="L41" s="18" t="s">
        <v>25</v>
      </c>
      <c r="M41" s="50"/>
    </row>
    <row r="42" spans="1:13" ht="21.75" hidden="1" customHeight="1" x14ac:dyDescent="0.4">
      <c r="A42" s="62">
        <v>45088</v>
      </c>
      <c r="B42" s="32" t="s">
        <v>345</v>
      </c>
      <c r="C42" s="18" t="s">
        <v>17</v>
      </c>
      <c r="D42" s="63" t="s">
        <v>330</v>
      </c>
      <c r="E42" s="50" t="s">
        <v>339</v>
      </c>
      <c r="F42" s="57">
        <v>3000</v>
      </c>
      <c r="G42" s="76"/>
      <c r="H42" s="57">
        <f t="shared" si="5"/>
        <v>3000</v>
      </c>
      <c r="I42" s="50">
        <v>1</v>
      </c>
      <c r="J42" s="57">
        <f t="shared" si="3"/>
        <v>3000</v>
      </c>
      <c r="K42" s="58">
        <f t="shared" si="4"/>
        <v>3300</v>
      </c>
      <c r="L42" s="18" t="s">
        <v>20</v>
      </c>
      <c r="M42" s="50"/>
    </row>
    <row r="43" spans="1:13" ht="21.75" hidden="1" customHeight="1" x14ac:dyDescent="0.4">
      <c r="A43" s="62">
        <v>45088</v>
      </c>
      <c r="B43" s="32" t="s">
        <v>345</v>
      </c>
      <c r="C43" s="18" t="s">
        <v>17</v>
      </c>
      <c r="D43" s="63" t="s">
        <v>332</v>
      </c>
      <c r="E43" s="50" t="s">
        <v>1822</v>
      </c>
      <c r="F43" s="57">
        <v>2100</v>
      </c>
      <c r="G43" s="76">
        <v>-210</v>
      </c>
      <c r="H43" s="57">
        <f t="shared" si="5"/>
        <v>1890</v>
      </c>
      <c r="I43" s="50">
        <v>1</v>
      </c>
      <c r="J43" s="57">
        <f t="shared" si="3"/>
        <v>1890</v>
      </c>
      <c r="K43" s="58">
        <f t="shared" si="4"/>
        <v>2079</v>
      </c>
      <c r="L43" s="18" t="s">
        <v>20</v>
      </c>
      <c r="M43" s="50"/>
    </row>
    <row r="44" spans="1:13" ht="21.75" hidden="1" customHeight="1" x14ac:dyDescent="0.4">
      <c r="A44" s="62">
        <v>45089</v>
      </c>
      <c r="B44" s="32" t="s">
        <v>223</v>
      </c>
      <c r="C44" s="18" t="s">
        <v>17</v>
      </c>
      <c r="D44" s="63" t="s">
        <v>18</v>
      </c>
      <c r="E44" s="50" t="s">
        <v>1773</v>
      </c>
      <c r="F44" s="57">
        <v>1700</v>
      </c>
      <c r="G44" s="76">
        <v>-170</v>
      </c>
      <c r="H44" s="57">
        <f t="shared" si="5"/>
        <v>1530</v>
      </c>
      <c r="I44" s="50">
        <v>2</v>
      </c>
      <c r="J44" s="57">
        <f t="shared" si="3"/>
        <v>3060</v>
      </c>
      <c r="K44" s="58">
        <f t="shared" si="4"/>
        <v>3366</v>
      </c>
      <c r="L44" s="18" t="s">
        <v>25</v>
      </c>
      <c r="M44" s="50"/>
    </row>
    <row r="45" spans="1:13" ht="21.75" hidden="1" customHeight="1" x14ac:dyDescent="0.4">
      <c r="A45" s="62">
        <v>45089</v>
      </c>
      <c r="B45" s="32" t="s">
        <v>1828</v>
      </c>
      <c r="C45" s="18" t="s">
        <v>17</v>
      </c>
      <c r="D45" s="63" t="s">
        <v>18</v>
      </c>
      <c r="E45" s="50" t="s">
        <v>834</v>
      </c>
      <c r="F45" s="57">
        <v>1700</v>
      </c>
      <c r="G45" s="76">
        <v>-170</v>
      </c>
      <c r="H45" s="57">
        <f t="shared" si="5"/>
        <v>1530</v>
      </c>
      <c r="I45" s="50">
        <v>1</v>
      </c>
      <c r="J45" s="57">
        <f t="shared" si="3"/>
        <v>1530</v>
      </c>
      <c r="K45" s="58">
        <f t="shared" si="4"/>
        <v>1683</v>
      </c>
      <c r="L45" s="18" t="s">
        <v>20</v>
      </c>
      <c r="M45" s="50"/>
    </row>
    <row r="46" spans="1:13" ht="21.75" hidden="1" customHeight="1" x14ac:dyDescent="0.4">
      <c r="A46" s="62">
        <v>45089</v>
      </c>
      <c r="B46" s="32" t="s">
        <v>428</v>
      </c>
      <c r="C46" s="18" t="s">
        <v>17</v>
      </c>
      <c r="D46" s="63" t="s">
        <v>332</v>
      </c>
      <c r="E46" s="50" t="s">
        <v>1829</v>
      </c>
      <c r="F46" s="57">
        <v>2000</v>
      </c>
      <c r="G46" s="76">
        <v>-200</v>
      </c>
      <c r="H46" s="57">
        <f t="shared" si="5"/>
        <v>1800</v>
      </c>
      <c r="I46" s="50">
        <v>3</v>
      </c>
      <c r="J46" s="57">
        <f t="shared" si="3"/>
        <v>5400</v>
      </c>
      <c r="K46" s="58">
        <f t="shared" si="4"/>
        <v>5940</v>
      </c>
      <c r="L46" s="18" t="s">
        <v>25</v>
      </c>
      <c r="M46" s="50"/>
    </row>
    <row r="47" spans="1:13" ht="21.75" hidden="1" customHeight="1" x14ac:dyDescent="0.4">
      <c r="A47" s="62">
        <v>45089</v>
      </c>
      <c r="B47" s="32" t="s">
        <v>554</v>
      </c>
      <c r="C47" s="18" t="s">
        <v>17</v>
      </c>
      <c r="D47" s="63" t="s">
        <v>328</v>
      </c>
      <c r="E47" s="50" t="s">
        <v>1830</v>
      </c>
      <c r="F47" s="57">
        <v>40000</v>
      </c>
      <c r="G47" s="76">
        <v>-4000</v>
      </c>
      <c r="H47" s="57">
        <f t="shared" si="5"/>
        <v>36000</v>
      </c>
      <c r="I47" s="50">
        <v>1</v>
      </c>
      <c r="J47" s="57">
        <f t="shared" si="3"/>
        <v>36000</v>
      </c>
      <c r="K47" s="58">
        <f t="shared" si="4"/>
        <v>39600</v>
      </c>
      <c r="L47" s="18" t="s">
        <v>34</v>
      </c>
      <c r="M47" s="50"/>
    </row>
    <row r="48" spans="1:13" ht="21.75" hidden="1" customHeight="1" x14ac:dyDescent="0.4">
      <c r="A48" s="62">
        <v>45091</v>
      </c>
      <c r="B48" s="32" t="s">
        <v>678</v>
      </c>
      <c r="C48" s="18" t="s">
        <v>17</v>
      </c>
      <c r="D48" s="63" t="s">
        <v>332</v>
      </c>
      <c r="E48" s="50" t="s">
        <v>1831</v>
      </c>
      <c r="F48" s="57">
        <v>1090</v>
      </c>
      <c r="G48" s="76">
        <v>-109</v>
      </c>
      <c r="H48" s="57">
        <f t="shared" si="5"/>
        <v>981</v>
      </c>
      <c r="I48" s="50">
        <v>1</v>
      </c>
      <c r="J48" s="57">
        <f t="shared" si="3"/>
        <v>981</v>
      </c>
      <c r="K48" s="58">
        <f t="shared" si="4"/>
        <v>1079</v>
      </c>
      <c r="L48" s="18" t="s">
        <v>20</v>
      </c>
      <c r="M48" s="50"/>
    </row>
    <row r="49" spans="1:13" ht="21.75" hidden="1" customHeight="1" x14ac:dyDescent="0.4">
      <c r="A49" s="62">
        <v>45091</v>
      </c>
      <c r="B49" s="32" t="s">
        <v>1560</v>
      </c>
      <c r="C49" s="18" t="s">
        <v>17</v>
      </c>
      <c r="D49" s="63" t="s">
        <v>332</v>
      </c>
      <c r="E49" s="50" t="s">
        <v>1415</v>
      </c>
      <c r="F49" s="57">
        <v>1200</v>
      </c>
      <c r="G49" s="76">
        <v>-120</v>
      </c>
      <c r="H49" s="57">
        <f t="shared" si="5"/>
        <v>1080</v>
      </c>
      <c r="I49" s="50">
        <v>1</v>
      </c>
      <c r="J49" s="57">
        <f t="shared" si="3"/>
        <v>1080</v>
      </c>
      <c r="K49" s="58">
        <f t="shared" si="4"/>
        <v>1188</v>
      </c>
      <c r="L49" s="18" t="s">
        <v>25</v>
      </c>
      <c r="M49" s="50"/>
    </row>
    <row r="50" spans="1:13" ht="21.75" hidden="1" customHeight="1" x14ac:dyDescent="0.4">
      <c r="A50" s="62">
        <v>45091</v>
      </c>
      <c r="B50" s="32" t="s">
        <v>1808</v>
      </c>
      <c r="C50" s="18" t="s">
        <v>27</v>
      </c>
      <c r="D50" s="63" t="s">
        <v>28</v>
      </c>
      <c r="E50" s="50" t="s">
        <v>907</v>
      </c>
      <c r="F50" s="57">
        <v>10000</v>
      </c>
      <c r="G50" s="76"/>
      <c r="H50" s="57">
        <f t="shared" si="5"/>
        <v>10000</v>
      </c>
      <c r="I50" s="50">
        <v>1</v>
      </c>
      <c r="J50" s="57">
        <f t="shared" si="3"/>
        <v>10000</v>
      </c>
      <c r="K50" s="58">
        <f t="shared" si="4"/>
        <v>11000</v>
      </c>
      <c r="L50" s="18" t="s">
        <v>20</v>
      </c>
      <c r="M50" s="50"/>
    </row>
    <row r="51" spans="1:13" ht="21.75" hidden="1" customHeight="1" x14ac:dyDescent="0.4">
      <c r="A51" s="62">
        <v>45091</v>
      </c>
      <c r="B51" s="32" t="s">
        <v>1808</v>
      </c>
      <c r="C51" s="18" t="s">
        <v>27</v>
      </c>
      <c r="D51" s="63" t="s">
        <v>28</v>
      </c>
      <c r="E51" s="50" t="s">
        <v>1833</v>
      </c>
      <c r="F51" s="57">
        <v>17500</v>
      </c>
      <c r="G51" s="76"/>
      <c r="H51" s="57">
        <f t="shared" si="5"/>
        <v>17500</v>
      </c>
      <c r="I51" s="50">
        <v>1</v>
      </c>
      <c r="J51" s="57">
        <f t="shared" si="3"/>
        <v>17500</v>
      </c>
      <c r="K51" s="58">
        <f t="shared" si="4"/>
        <v>19250</v>
      </c>
      <c r="L51" s="18" t="s">
        <v>20</v>
      </c>
      <c r="M51" s="50"/>
    </row>
    <row r="52" spans="1:13" ht="21.75" hidden="1" customHeight="1" x14ac:dyDescent="0.4">
      <c r="A52" s="62">
        <v>45092</v>
      </c>
      <c r="B52" s="32" t="s">
        <v>1541</v>
      </c>
      <c r="C52" s="18" t="s">
        <v>59</v>
      </c>
      <c r="D52" s="63"/>
      <c r="E52" s="63" t="s">
        <v>1835</v>
      </c>
      <c r="F52" s="57">
        <v>500</v>
      </c>
      <c r="G52" s="76"/>
      <c r="H52" s="57">
        <f t="shared" si="5"/>
        <v>500</v>
      </c>
      <c r="I52" s="50">
        <v>3</v>
      </c>
      <c r="J52" s="57">
        <f t="shared" si="3"/>
        <v>1500</v>
      </c>
      <c r="K52" s="58">
        <f t="shared" si="4"/>
        <v>1650</v>
      </c>
      <c r="L52" s="18" t="s">
        <v>25</v>
      </c>
      <c r="M52" s="50"/>
    </row>
    <row r="53" spans="1:13" ht="21.75" hidden="1" customHeight="1" x14ac:dyDescent="0.4">
      <c r="A53" s="62">
        <v>45092</v>
      </c>
      <c r="B53" s="32" t="s">
        <v>1836</v>
      </c>
      <c r="C53" s="18" t="s">
        <v>17</v>
      </c>
      <c r="D53" s="63" t="s">
        <v>576</v>
      </c>
      <c r="E53" s="50" t="s">
        <v>1837</v>
      </c>
      <c r="F53" s="57">
        <v>89000</v>
      </c>
      <c r="G53" s="76">
        <v>-32930</v>
      </c>
      <c r="H53" s="57">
        <f t="shared" si="5"/>
        <v>56070</v>
      </c>
      <c r="I53" s="50">
        <v>1</v>
      </c>
      <c r="J53" s="57">
        <f t="shared" si="3"/>
        <v>56070</v>
      </c>
      <c r="K53" s="58">
        <f t="shared" si="4"/>
        <v>61677</v>
      </c>
      <c r="L53" s="18" t="s">
        <v>34</v>
      </c>
      <c r="M53" s="50"/>
    </row>
    <row r="54" spans="1:13" ht="21.75" hidden="1" customHeight="1" x14ac:dyDescent="0.4">
      <c r="A54" s="62">
        <v>45093</v>
      </c>
      <c r="B54" s="32" t="s">
        <v>1838</v>
      </c>
      <c r="C54" s="18" t="s">
        <v>17</v>
      </c>
      <c r="D54" s="63" t="s">
        <v>576</v>
      </c>
      <c r="E54" s="50" t="s">
        <v>1839</v>
      </c>
      <c r="F54" s="57">
        <v>70000</v>
      </c>
      <c r="G54" s="76">
        <v>-7000</v>
      </c>
      <c r="H54" s="57">
        <f t="shared" si="5"/>
        <v>63000</v>
      </c>
      <c r="I54" s="50">
        <v>1</v>
      </c>
      <c r="J54" s="57">
        <f t="shared" si="3"/>
        <v>63000</v>
      </c>
      <c r="K54" s="58">
        <f t="shared" si="4"/>
        <v>69300</v>
      </c>
      <c r="L54" s="18" t="s">
        <v>34</v>
      </c>
      <c r="M54" s="50"/>
    </row>
    <row r="55" spans="1:13" ht="21.75" hidden="1" customHeight="1" x14ac:dyDescent="0.4">
      <c r="A55" s="62">
        <v>45093</v>
      </c>
      <c r="B55" s="32" t="s">
        <v>226</v>
      </c>
      <c r="C55" s="18" t="s">
        <v>17</v>
      </c>
      <c r="D55" s="63" t="s">
        <v>1842</v>
      </c>
      <c r="E55" s="50" t="s">
        <v>1840</v>
      </c>
      <c r="F55" s="57">
        <v>21000</v>
      </c>
      <c r="G55" s="76">
        <v>-5250</v>
      </c>
      <c r="H55" s="57">
        <f t="shared" si="5"/>
        <v>15750</v>
      </c>
      <c r="I55" s="50">
        <v>1</v>
      </c>
      <c r="J55" s="57">
        <f t="shared" si="3"/>
        <v>15750</v>
      </c>
      <c r="K55" s="58">
        <f t="shared" si="4"/>
        <v>17325</v>
      </c>
      <c r="L55" s="18" t="s">
        <v>34</v>
      </c>
      <c r="M55" s="50"/>
    </row>
    <row r="56" spans="1:13" ht="21.75" hidden="1" customHeight="1" x14ac:dyDescent="0.4">
      <c r="A56" s="62">
        <v>45093</v>
      </c>
      <c r="B56" s="32" t="s">
        <v>179</v>
      </c>
      <c r="C56" s="18" t="s">
        <v>17</v>
      </c>
      <c r="D56" s="63" t="s">
        <v>455</v>
      </c>
      <c r="E56" s="50" t="s">
        <v>1791</v>
      </c>
      <c r="F56" s="57">
        <v>1400</v>
      </c>
      <c r="G56" s="76">
        <v>-140</v>
      </c>
      <c r="H56" s="57">
        <f t="shared" si="5"/>
        <v>1260</v>
      </c>
      <c r="I56" s="50">
        <v>1</v>
      </c>
      <c r="J56" s="57">
        <f t="shared" si="3"/>
        <v>1260</v>
      </c>
      <c r="K56" s="58">
        <f t="shared" si="4"/>
        <v>1386</v>
      </c>
      <c r="L56" s="18" t="s">
        <v>20</v>
      </c>
      <c r="M56" s="50"/>
    </row>
    <row r="57" spans="1:13" ht="21.75" hidden="1" customHeight="1" x14ac:dyDescent="0.4">
      <c r="A57" s="62">
        <v>45093</v>
      </c>
      <c r="B57" s="32" t="s">
        <v>1843</v>
      </c>
      <c r="C57" s="18" t="s">
        <v>17</v>
      </c>
      <c r="D57" s="63" t="s">
        <v>332</v>
      </c>
      <c r="E57" s="50" t="s">
        <v>1844</v>
      </c>
      <c r="F57" s="57">
        <v>1200</v>
      </c>
      <c r="G57" s="76">
        <v>-120</v>
      </c>
      <c r="H57" s="57">
        <f t="shared" si="5"/>
        <v>1080</v>
      </c>
      <c r="I57" s="50">
        <v>1</v>
      </c>
      <c r="J57" s="57">
        <f t="shared" si="3"/>
        <v>1080</v>
      </c>
      <c r="K57" s="58">
        <f t="shared" si="4"/>
        <v>1188</v>
      </c>
      <c r="L57" s="18" t="s">
        <v>25</v>
      </c>
      <c r="M57" s="50"/>
    </row>
    <row r="58" spans="1:13" ht="21.75" hidden="1" customHeight="1" x14ac:dyDescent="0.4">
      <c r="A58" s="62">
        <v>45093</v>
      </c>
      <c r="B58" s="32" t="s">
        <v>1845</v>
      </c>
      <c r="C58" s="18" t="s">
        <v>17</v>
      </c>
      <c r="D58" s="63" t="s">
        <v>426</v>
      </c>
      <c r="E58" s="50" t="s">
        <v>834</v>
      </c>
      <c r="F58" s="57">
        <v>1700</v>
      </c>
      <c r="G58" s="76">
        <v>-170</v>
      </c>
      <c r="H58" s="57">
        <f t="shared" si="5"/>
        <v>1530</v>
      </c>
      <c r="I58" s="50">
        <v>1</v>
      </c>
      <c r="J58" s="57">
        <f t="shared" si="3"/>
        <v>1530</v>
      </c>
      <c r="K58" s="58">
        <f t="shared" si="4"/>
        <v>1683</v>
      </c>
      <c r="L58" s="18" t="s">
        <v>25</v>
      </c>
      <c r="M58" s="50"/>
    </row>
    <row r="59" spans="1:13" ht="21.75" hidden="1" customHeight="1" x14ac:dyDescent="0.4">
      <c r="A59" s="62">
        <v>45093</v>
      </c>
      <c r="B59" s="32" t="s">
        <v>226</v>
      </c>
      <c r="C59" s="18" t="s">
        <v>17</v>
      </c>
      <c r="D59" s="63" t="s">
        <v>18</v>
      </c>
      <c r="E59" s="50" t="s">
        <v>834</v>
      </c>
      <c r="F59" s="57">
        <v>1700</v>
      </c>
      <c r="G59" s="76">
        <v>-680</v>
      </c>
      <c r="H59" s="57">
        <f t="shared" si="5"/>
        <v>1020</v>
      </c>
      <c r="I59" s="50">
        <v>1</v>
      </c>
      <c r="J59" s="57">
        <f t="shared" si="3"/>
        <v>1020</v>
      </c>
      <c r="K59" s="58">
        <f t="shared" si="4"/>
        <v>1122</v>
      </c>
      <c r="L59" s="18" t="s">
        <v>20</v>
      </c>
      <c r="M59" s="50"/>
    </row>
    <row r="60" spans="1:13" ht="21.75" hidden="1" customHeight="1" x14ac:dyDescent="0.4">
      <c r="A60" s="62">
        <v>45094</v>
      </c>
      <c r="B60" s="32" t="s">
        <v>350</v>
      </c>
      <c r="C60" s="18" t="s">
        <v>22</v>
      </c>
      <c r="D60" s="63" t="s">
        <v>1496</v>
      </c>
      <c r="E60" s="50" t="s">
        <v>1847</v>
      </c>
      <c r="F60" s="57">
        <v>3000</v>
      </c>
      <c r="G60" s="76"/>
      <c r="H60" s="57">
        <f t="shared" si="5"/>
        <v>3000</v>
      </c>
      <c r="I60" s="50">
        <v>1</v>
      </c>
      <c r="J60" s="57">
        <f t="shared" si="3"/>
        <v>3000</v>
      </c>
      <c r="K60" s="58">
        <f t="shared" si="4"/>
        <v>3300</v>
      </c>
      <c r="L60" s="18" t="s">
        <v>25</v>
      </c>
      <c r="M60" s="50"/>
    </row>
    <row r="61" spans="1:13" ht="21.75" hidden="1" customHeight="1" x14ac:dyDescent="0.4">
      <c r="A61" s="62">
        <v>45095</v>
      </c>
      <c r="B61" s="32" t="s">
        <v>1848</v>
      </c>
      <c r="C61" s="18" t="s">
        <v>22</v>
      </c>
      <c r="D61" s="63" t="s">
        <v>1496</v>
      </c>
      <c r="E61" s="50" t="s">
        <v>369</v>
      </c>
      <c r="F61" s="57">
        <v>3000</v>
      </c>
      <c r="G61" s="76"/>
      <c r="H61" s="57">
        <f t="shared" si="5"/>
        <v>3000</v>
      </c>
      <c r="I61" s="50">
        <v>1</v>
      </c>
      <c r="J61" s="57">
        <f t="shared" si="3"/>
        <v>3000</v>
      </c>
      <c r="K61" s="58">
        <f t="shared" si="4"/>
        <v>3300</v>
      </c>
      <c r="L61" s="18" t="s">
        <v>25</v>
      </c>
      <c r="M61" s="50"/>
    </row>
    <row r="62" spans="1:13" ht="21.75" hidden="1" customHeight="1" x14ac:dyDescent="0.4">
      <c r="A62" s="62">
        <v>45095</v>
      </c>
      <c r="B62" s="32" t="s">
        <v>1849</v>
      </c>
      <c r="C62" s="18" t="s">
        <v>22</v>
      </c>
      <c r="D62" s="63" t="s">
        <v>1496</v>
      </c>
      <c r="E62" s="50" t="s">
        <v>1847</v>
      </c>
      <c r="F62" s="57">
        <v>3000</v>
      </c>
      <c r="G62" s="76"/>
      <c r="H62" s="57">
        <f t="shared" si="5"/>
        <v>3000</v>
      </c>
      <c r="I62" s="50">
        <v>1</v>
      </c>
      <c r="J62" s="57">
        <f t="shared" si="3"/>
        <v>3000</v>
      </c>
      <c r="K62" s="58">
        <f t="shared" si="4"/>
        <v>3300</v>
      </c>
      <c r="L62" s="18" t="s">
        <v>20</v>
      </c>
      <c r="M62" s="50"/>
    </row>
    <row r="63" spans="1:13" ht="21.75" hidden="1" customHeight="1" x14ac:dyDescent="0.4">
      <c r="A63" s="62">
        <v>45095</v>
      </c>
      <c r="B63" s="32" t="s">
        <v>195</v>
      </c>
      <c r="C63" s="18" t="s">
        <v>17</v>
      </c>
      <c r="D63" s="63" t="s">
        <v>292</v>
      </c>
      <c r="E63" s="50" t="s">
        <v>1850</v>
      </c>
      <c r="F63" s="57">
        <v>5500</v>
      </c>
      <c r="G63" s="76"/>
      <c r="H63" s="57">
        <f t="shared" si="5"/>
        <v>5500</v>
      </c>
      <c r="I63" s="50">
        <v>1</v>
      </c>
      <c r="J63" s="57">
        <f t="shared" si="3"/>
        <v>5500</v>
      </c>
      <c r="K63" s="58">
        <f t="shared" si="4"/>
        <v>6050</v>
      </c>
      <c r="L63" s="18" t="s">
        <v>25</v>
      </c>
      <c r="M63" s="50"/>
    </row>
    <row r="64" spans="1:13" ht="21.75" hidden="1" customHeight="1" x14ac:dyDescent="0.4">
      <c r="A64" s="62">
        <v>45096</v>
      </c>
      <c r="B64" s="32" t="s">
        <v>593</v>
      </c>
      <c r="C64" s="18" t="s">
        <v>27</v>
      </c>
      <c r="D64" s="63" t="s">
        <v>28</v>
      </c>
      <c r="E64" s="50" t="s">
        <v>1851</v>
      </c>
      <c r="F64" s="57">
        <v>6350</v>
      </c>
      <c r="G64" s="76"/>
      <c r="H64" s="57">
        <f t="shared" si="5"/>
        <v>6350</v>
      </c>
      <c r="I64" s="50">
        <v>1</v>
      </c>
      <c r="J64" s="57">
        <f t="shared" si="3"/>
        <v>6350</v>
      </c>
      <c r="K64" s="58">
        <f t="shared" si="4"/>
        <v>6985</v>
      </c>
      <c r="L64" s="18" t="s">
        <v>25</v>
      </c>
      <c r="M64" s="50"/>
    </row>
    <row r="65" spans="1:13" ht="21.75" hidden="1" customHeight="1" x14ac:dyDescent="0.4">
      <c r="A65" s="62">
        <v>45097</v>
      </c>
      <c r="B65" s="32" t="s">
        <v>817</v>
      </c>
      <c r="C65" s="18" t="s">
        <v>17</v>
      </c>
      <c r="D65" s="63" t="s">
        <v>18</v>
      </c>
      <c r="E65" s="50" t="s">
        <v>1853</v>
      </c>
      <c r="F65" s="57">
        <v>1700</v>
      </c>
      <c r="G65" s="76">
        <v>-170</v>
      </c>
      <c r="H65" s="57">
        <f t="shared" si="5"/>
        <v>1530</v>
      </c>
      <c r="I65" s="50">
        <v>1</v>
      </c>
      <c r="J65" s="57">
        <f t="shared" si="3"/>
        <v>1530</v>
      </c>
      <c r="K65" s="58">
        <f t="shared" si="4"/>
        <v>1683</v>
      </c>
      <c r="L65" s="18" t="s">
        <v>20</v>
      </c>
      <c r="M65" s="50"/>
    </row>
    <row r="66" spans="1:13" ht="21.75" hidden="1" customHeight="1" x14ac:dyDescent="0.4">
      <c r="A66" s="62">
        <v>45098</v>
      </c>
      <c r="B66" s="32" t="s">
        <v>182</v>
      </c>
      <c r="C66" s="18" t="s">
        <v>27</v>
      </c>
      <c r="D66" s="63" t="s">
        <v>103</v>
      </c>
      <c r="E66" s="50" t="s">
        <v>104</v>
      </c>
      <c r="F66" s="57">
        <v>2500</v>
      </c>
      <c r="G66" s="76"/>
      <c r="H66" s="57">
        <f t="shared" si="5"/>
        <v>2500</v>
      </c>
      <c r="I66" s="50">
        <v>1</v>
      </c>
      <c r="J66" s="57">
        <f t="shared" si="3"/>
        <v>2500</v>
      </c>
      <c r="K66" s="58">
        <f t="shared" si="4"/>
        <v>2750</v>
      </c>
      <c r="L66" s="18" t="s">
        <v>20</v>
      </c>
      <c r="M66" s="50"/>
    </row>
    <row r="67" spans="1:13" ht="21.75" hidden="1" customHeight="1" x14ac:dyDescent="0.4">
      <c r="A67" s="62">
        <v>45098</v>
      </c>
      <c r="B67" s="32" t="s">
        <v>1854</v>
      </c>
      <c r="C67" s="18" t="s">
        <v>22</v>
      </c>
      <c r="D67" s="63" t="s">
        <v>1496</v>
      </c>
      <c r="E67" s="50" t="s">
        <v>369</v>
      </c>
      <c r="F67" s="57">
        <v>3000</v>
      </c>
      <c r="G67" s="76"/>
      <c r="H67" s="57">
        <f t="shared" si="5"/>
        <v>3000</v>
      </c>
      <c r="I67" s="50">
        <v>1</v>
      </c>
      <c r="J67" s="57">
        <f t="shared" si="3"/>
        <v>3000</v>
      </c>
      <c r="K67" s="58">
        <f t="shared" si="4"/>
        <v>3300</v>
      </c>
      <c r="L67" s="18" t="s">
        <v>20</v>
      </c>
      <c r="M67" s="50"/>
    </row>
    <row r="68" spans="1:13" ht="21.75" hidden="1" customHeight="1" x14ac:dyDescent="0.4">
      <c r="A68" s="62">
        <v>45098</v>
      </c>
      <c r="B68" s="32" t="s">
        <v>1455</v>
      </c>
      <c r="C68" s="18" t="s">
        <v>17</v>
      </c>
      <c r="D68" s="63" t="s">
        <v>18</v>
      </c>
      <c r="E68" s="50" t="s">
        <v>1853</v>
      </c>
      <c r="F68" s="57">
        <v>1700</v>
      </c>
      <c r="G68" s="76">
        <v>-680</v>
      </c>
      <c r="H68" s="57">
        <f t="shared" si="5"/>
        <v>1020</v>
      </c>
      <c r="I68" s="50">
        <v>1</v>
      </c>
      <c r="J68" s="57">
        <f t="shared" si="3"/>
        <v>1020</v>
      </c>
      <c r="K68" s="58">
        <f t="shared" si="4"/>
        <v>1122</v>
      </c>
      <c r="L68" s="18" t="s">
        <v>25</v>
      </c>
      <c r="M68" s="50"/>
    </row>
    <row r="69" spans="1:13" ht="21.75" hidden="1" customHeight="1" x14ac:dyDescent="0.4">
      <c r="A69" s="62">
        <v>45098</v>
      </c>
      <c r="B69" s="32" t="s">
        <v>1855</v>
      </c>
      <c r="C69" s="18" t="s">
        <v>17</v>
      </c>
      <c r="D69" s="63" t="s">
        <v>332</v>
      </c>
      <c r="E69" s="50" t="s">
        <v>738</v>
      </c>
      <c r="F69" s="57">
        <v>920</v>
      </c>
      <c r="G69" s="76"/>
      <c r="H69" s="57">
        <f t="shared" si="5"/>
        <v>920</v>
      </c>
      <c r="I69" s="50">
        <v>1</v>
      </c>
      <c r="J69" s="57">
        <f t="shared" si="3"/>
        <v>920</v>
      </c>
      <c r="K69" s="58">
        <f t="shared" si="4"/>
        <v>1012</v>
      </c>
      <c r="L69" s="18" t="s">
        <v>20</v>
      </c>
      <c r="M69" s="50"/>
    </row>
    <row r="70" spans="1:13" ht="21.75" hidden="1" customHeight="1" x14ac:dyDescent="0.4">
      <c r="A70" s="62">
        <v>45099</v>
      </c>
      <c r="B70" s="32" t="s">
        <v>139</v>
      </c>
      <c r="C70" s="18" t="s">
        <v>17</v>
      </c>
      <c r="D70" s="63" t="s">
        <v>426</v>
      </c>
      <c r="E70" s="50" t="s">
        <v>1857</v>
      </c>
      <c r="F70" s="57">
        <v>1700</v>
      </c>
      <c r="G70" s="76">
        <v>-170</v>
      </c>
      <c r="H70" s="57">
        <f t="shared" si="5"/>
        <v>1530</v>
      </c>
      <c r="I70" s="50">
        <v>1</v>
      </c>
      <c r="J70" s="57">
        <f t="shared" si="3"/>
        <v>1530</v>
      </c>
      <c r="K70" s="58">
        <f t="shared" si="4"/>
        <v>1683</v>
      </c>
      <c r="L70" s="18" t="s">
        <v>25</v>
      </c>
      <c r="M70" s="50"/>
    </row>
    <row r="71" spans="1:13" ht="21.75" hidden="1" customHeight="1" x14ac:dyDescent="0.4">
      <c r="A71" s="62">
        <v>45099</v>
      </c>
      <c r="B71" s="32" t="s">
        <v>139</v>
      </c>
      <c r="C71" s="18" t="s">
        <v>17</v>
      </c>
      <c r="D71" s="63" t="s">
        <v>426</v>
      </c>
      <c r="E71" s="50" t="s">
        <v>1858</v>
      </c>
      <c r="F71" s="57">
        <v>1700</v>
      </c>
      <c r="G71" s="76">
        <v>-170</v>
      </c>
      <c r="H71" s="57">
        <f t="shared" si="5"/>
        <v>1530</v>
      </c>
      <c r="I71" s="50">
        <v>1</v>
      </c>
      <c r="J71" s="57">
        <f t="shared" si="3"/>
        <v>1530</v>
      </c>
      <c r="K71" s="58">
        <f t="shared" si="4"/>
        <v>1683</v>
      </c>
      <c r="L71" s="18" t="s">
        <v>25</v>
      </c>
      <c r="M71" s="50"/>
    </row>
    <row r="72" spans="1:13" ht="21.75" hidden="1" customHeight="1" x14ac:dyDescent="0.4">
      <c r="A72" s="62">
        <v>45099</v>
      </c>
      <c r="B72" s="32" t="s">
        <v>139</v>
      </c>
      <c r="C72" s="18" t="s">
        <v>17</v>
      </c>
      <c r="D72" s="63" t="s">
        <v>292</v>
      </c>
      <c r="E72" s="50" t="s">
        <v>1859</v>
      </c>
      <c r="F72" s="57">
        <v>4800</v>
      </c>
      <c r="G72" s="76">
        <v>-480</v>
      </c>
      <c r="H72" s="57">
        <f t="shared" si="5"/>
        <v>4320</v>
      </c>
      <c r="I72" s="50">
        <v>1</v>
      </c>
      <c r="J72" s="57">
        <f t="shared" si="3"/>
        <v>4320</v>
      </c>
      <c r="K72" s="58">
        <f t="shared" si="4"/>
        <v>4752</v>
      </c>
      <c r="L72" s="18" t="s">
        <v>25</v>
      </c>
      <c r="M72" s="50"/>
    </row>
    <row r="73" spans="1:13" ht="21.75" hidden="1" customHeight="1" x14ac:dyDescent="0.4">
      <c r="A73" s="62">
        <v>45099</v>
      </c>
      <c r="B73" s="32" t="s">
        <v>1861</v>
      </c>
      <c r="C73" s="18" t="s">
        <v>27</v>
      </c>
      <c r="D73" s="63" t="s">
        <v>28</v>
      </c>
      <c r="E73" s="50" t="s">
        <v>1860</v>
      </c>
      <c r="F73" s="57">
        <v>2000</v>
      </c>
      <c r="G73" s="76"/>
      <c r="H73" s="57">
        <f t="shared" si="5"/>
        <v>2000</v>
      </c>
      <c r="I73" s="50">
        <v>2</v>
      </c>
      <c r="J73" s="57">
        <f t="shared" si="3"/>
        <v>4000</v>
      </c>
      <c r="K73" s="58">
        <f t="shared" si="4"/>
        <v>4400</v>
      </c>
      <c r="L73" s="18" t="s">
        <v>20</v>
      </c>
      <c r="M73" s="50"/>
    </row>
    <row r="74" spans="1:13" ht="21.75" hidden="1" customHeight="1" x14ac:dyDescent="0.4">
      <c r="A74" s="62">
        <v>45099</v>
      </c>
      <c r="B74" s="32" t="s">
        <v>171</v>
      </c>
      <c r="C74" s="18" t="s">
        <v>17</v>
      </c>
      <c r="D74" s="63" t="s">
        <v>292</v>
      </c>
      <c r="E74" s="50" t="s">
        <v>1825</v>
      </c>
      <c r="F74" s="57">
        <v>5500</v>
      </c>
      <c r="G74" s="76"/>
      <c r="H74" s="57">
        <f t="shared" si="5"/>
        <v>5500</v>
      </c>
      <c r="I74" s="50">
        <v>2</v>
      </c>
      <c r="J74" s="57">
        <f t="shared" si="3"/>
        <v>11000</v>
      </c>
      <c r="K74" s="58">
        <f t="shared" si="4"/>
        <v>12100</v>
      </c>
      <c r="L74" s="18" t="s">
        <v>25</v>
      </c>
      <c r="M74" s="50"/>
    </row>
    <row r="75" spans="1:13" ht="21.75" hidden="1" customHeight="1" x14ac:dyDescent="0.4">
      <c r="A75" s="62">
        <v>45099</v>
      </c>
      <c r="B75" s="32" t="s">
        <v>503</v>
      </c>
      <c r="C75" s="18" t="s">
        <v>27</v>
      </c>
      <c r="D75" s="63" t="s">
        <v>28</v>
      </c>
      <c r="E75" s="50" t="s">
        <v>1862</v>
      </c>
      <c r="F75" s="57">
        <v>1250</v>
      </c>
      <c r="G75" s="76"/>
      <c r="H75" s="57">
        <f t="shared" si="5"/>
        <v>1250</v>
      </c>
      <c r="I75" s="50">
        <v>1</v>
      </c>
      <c r="J75" s="57">
        <f t="shared" si="3"/>
        <v>1250</v>
      </c>
      <c r="K75" s="58">
        <f t="shared" si="4"/>
        <v>1375</v>
      </c>
      <c r="L75" s="18" t="s">
        <v>25</v>
      </c>
      <c r="M75" s="50"/>
    </row>
    <row r="76" spans="1:13" ht="21.75" hidden="1" customHeight="1" x14ac:dyDescent="0.4">
      <c r="A76" s="62">
        <v>45099</v>
      </c>
      <c r="B76" s="32" t="s">
        <v>503</v>
      </c>
      <c r="C76" s="18" t="s">
        <v>27</v>
      </c>
      <c r="D76" s="63" t="s">
        <v>28</v>
      </c>
      <c r="E76" s="50" t="s">
        <v>1863</v>
      </c>
      <c r="F76" s="57">
        <v>5000</v>
      </c>
      <c r="G76" s="76"/>
      <c r="H76" s="57">
        <f t="shared" si="5"/>
        <v>5000</v>
      </c>
      <c r="I76" s="50">
        <v>1</v>
      </c>
      <c r="J76" s="57">
        <f t="shared" ref="J76:J139" si="6">SUM(H76*I76)</f>
        <v>5000</v>
      </c>
      <c r="K76" s="58">
        <f t="shared" ref="K76:K102" si="7">ROUNDDOWN(J76*1.1,0)</f>
        <v>5500</v>
      </c>
      <c r="L76" s="18" t="s">
        <v>25</v>
      </c>
      <c r="M76" s="50"/>
    </row>
    <row r="77" spans="1:13" ht="21.75" hidden="1" customHeight="1" x14ac:dyDescent="0.4">
      <c r="A77" s="62">
        <v>45099</v>
      </c>
      <c r="B77" s="32" t="s">
        <v>503</v>
      </c>
      <c r="C77" s="18" t="s">
        <v>17</v>
      </c>
      <c r="D77" s="63" t="s">
        <v>55</v>
      </c>
      <c r="E77" s="50" t="s">
        <v>1824</v>
      </c>
      <c r="F77" s="57">
        <v>5500</v>
      </c>
      <c r="G77" s="76"/>
      <c r="H77" s="57">
        <f t="shared" ref="H77:H142" si="8">SUM(F77:G77)</f>
        <v>5500</v>
      </c>
      <c r="I77" s="50">
        <v>1</v>
      </c>
      <c r="J77" s="57">
        <f t="shared" si="6"/>
        <v>5500</v>
      </c>
      <c r="K77" s="58">
        <f t="shared" si="7"/>
        <v>6050</v>
      </c>
      <c r="L77" s="18" t="s">
        <v>25</v>
      </c>
      <c r="M77" s="50"/>
    </row>
    <row r="78" spans="1:13" ht="21.75" hidden="1" customHeight="1" x14ac:dyDescent="0.4">
      <c r="A78" s="62">
        <v>45100</v>
      </c>
      <c r="B78" s="32" t="s">
        <v>800</v>
      </c>
      <c r="C78" s="18" t="s">
        <v>22</v>
      </c>
      <c r="D78" s="63" t="s">
        <v>23</v>
      </c>
      <c r="E78" s="50" t="s">
        <v>1864</v>
      </c>
      <c r="F78" s="57">
        <v>10000</v>
      </c>
      <c r="G78" s="76"/>
      <c r="H78" s="57">
        <f t="shared" si="8"/>
        <v>10000</v>
      </c>
      <c r="I78" s="50">
        <v>1</v>
      </c>
      <c r="J78" s="57">
        <f t="shared" si="6"/>
        <v>10000</v>
      </c>
      <c r="K78" s="58">
        <f t="shared" si="7"/>
        <v>11000</v>
      </c>
      <c r="L78" s="18" t="s">
        <v>25</v>
      </c>
      <c r="M78" s="50"/>
    </row>
    <row r="79" spans="1:13" ht="21.75" hidden="1" customHeight="1" x14ac:dyDescent="0.4">
      <c r="A79" s="62">
        <v>45100</v>
      </c>
      <c r="B79" s="32" t="s">
        <v>800</v>
      </c>
      <c r="C79" s="18" t="s">
        <v>17</v>
      </c>
      <c r="D79" s="63" t="s">
        <v>328</v>
      </c>
      <c r="E79" s="50" t="s">
        <v>1865</v>
      </c>
      <c r="F79" s="57">
        <v>50000</v>
      </c>
      <c r="G79" s="76">
        <v>-10000</v>
      </c>
      <c r="H79" s="57">
        <f t="shared" si="8"/>
        <v>40000</v>
      </c>
      <c r="I79" s="50">
        <v>1</v>
      </c>
      <c r="J79" s="57">
        <f t="shared" si="6"/>
        <v>40000</v>
      </c>
      <c r="K79" s="58">
        <f t="shared" si="7"/>
        <v>44000</v>
      </c>
      <c r="L79" s="18" t="s">
        <v>34</v>
      </c>
      <c r="M79" s="50"/>
    </row>
    <row r="80" spans="1:13" ht="21.75" hidden="1" customHeight="1" x14ac:dyDescent="0.4">
      <c r="A80" s="62">
        <v>45100</v>
      </c>
      <c r="B80" s="32" t="s">
        <v>800</v>
      </c>
      <c r="C80" s="18" t="s">
        <v>17</v>
      </c>
      <c r="D80" s="63" t="s">
        <v>332</v>
      </c>
      <c r="E80" s="50" t="s">
        <v>1866</v>
      </c>
      <c r="F80" s="57">
        <v>1600</v>
      </c>
      <c r="G80" s="76"/>
      <c r="H80" s="57">
        <f t="shared" si="8"/>
        <v>1600</v>
      </c>
      <c r="I80" s="50">
        <v>1</v>
      </c>
      <c r="J80" s="57">
        <f t="shared" si="6"/>
        <v>1600</v>
      </c>
      <c r="K80" s="58">
        <f t="shared" si="7"/>
        <v>1760</v>
      </c>
      <c r="L80" s="18" t="s">
        <v>34</v>
      </c>
      <c r="M80" s="50"/>
    </row>
    <row r="81" spans="1:13" ht="21.75" hidden="1" customHeight="1" x14ac:dyDescent="0.4">
      <c r="A81" s="62">
        <v>45100</v>
      </c>
      <c r="B81" s="32" t="s">
        <v>800</v>
      </c>
      <c r="C81" s="18" t="s">
        <v>198</v>
      </c>
      <c r="D81" s="63" t="s">
        <v>23</v>
      </c>
      <c r="E81" s="50" t="s">
        <v>199</v>
      </c>
      <c r="F81" s="57">
        <v>-15000</v>
      </c>
      <c r="G81" s="76"/>
      <c r="H81" s="57">
        <f t="shared" si="8"/>
        <v>-15000</v>
      </c>
      <c r="I81" s="50">
        <v>1</v>
      </c>
      <c r="J81" s="57">
        <f t="shared" si="6"/>
        <v>-15000</v>
      </c>
      <c r="K81" s="58">
        <f t="shared" si="7"/>
        <v>-16500</v>
      </c>
      <c r="L81" s="18" t="s">
        <v>34</v>
      </c>
      <c r="M81" s="50" t="s">
        <v>1867</v>
      </c>
    </row>
    <row r="82" spans="1:13" ht="21.75" hidden="1" customHeight="1" x14ac:dyDescent="0.4">
      <c r="A82" s="62">
        <v>45100</v>
      </c>
      <c r="B82" s="32" t="s">
        <v>420</v>
      </c>
      <c r="C82" s="18" t="s">
        <v>27</v>
      </c>
      <c r="D82" s="63" t="s">
        <v>28</v>
      </c>
      <c r="E82" s="50" t="s">
        <v>1869</v>
      </c>
      <c r="F82" s="57">
        <v>13120</v>
      </c>
      <c r="G82" s="76"/>
      <c r="H82" s="57">
        <f t="shared" si="8"/>
        <v>13120</v>
      </c>
      <c r="I82" s="50">
        <v>1</v>
      </c>
      <c r="J82" s="57">
        <f t="shared" si="6"/>
        <v>13120</v>
      </c>
      <c r="K82" s="58">
        <f t="shared" si="7"/>
        <v>14432</v>
      </c>
      <c r="L82" s="18" t="s">
        <v>25</v>
      </c>
      <c r="M82" s="50"/>
    </row>
    <row r="83" spans="1:13" ht="21.75" hidden="1" customHeight="1" x14ac:dyDescent="0.4">
      <c r="A83" s="62">
        <v>45100</v>
      </c>
      <c r="B83" s="32" t="s">
        <v>710</v>
      </c>
      <c r="C83" s="18" t="s">
        <v>17</v>
      </c>
      <c r="D83" s="63" t="s">
        <v>292</v>
      </c>
      <c r="E83" s="50" t="s">
        <v>1870</v>
      </c>
      <c r="F83" s="57">
        <v>5700</v>
      </c>
      <c r="G83" s="76">
        <v>-570</v>
      </c>
      <c r="H83" s="57">
        <f t="shared" si="8"/>
        <v>5130</v>
      </c>
      <c r="I83" s="50">
        <v>1</v>
      </c>
      <c r="J83" s="57">
        <f t="shared" si="6"/>
        <v>5130</v>
      </c>
      <c r="K83" s="58">
        <f t="shared" si="7"/>
        <v>5643</v>
      </c>
      <c r="L83" s="18" t="s">
        <v>25</v>
      </c>
      <c r="M83" s="50"/>
    </row>
    <row r="84" spans="1:13" ht="21.75" hidden="1" customHeight="1" x14ac:dyDescent="0.4">
      <c r="A84" s="62">
        <v>45101</v>
      </c>
      <c r="B84" s="32" t="s">
        <v>273</v>
      </c>
      <c r="C84" s="18" t="s">
        <v>17</v>
      </c>
      <c r="D84" s="63" t="s">
        <v>332</v>
      </c>
      <c r="E84" s="50" t="s">
        <v>1871</v>
      </c>
      <c r="F84" s="57">
        <v>1800</v>
      </c>
      <c r="G84" s="76">
        <v>-180</v>
      </c>
      <c r="H84" s="57">
        <f t="shared" si="8"/>
        <v>1620</v>
      </c>
      <c r="I84" s="50">
        <v>5</v>
      </c>
      <c r="J84" s="57">
        <f t="shared" si="6"/>
        <v>8100</v>
      </c>
      <c r="K84" s="58">
        <f t="shared" si="7"/>
        <v>8910</v>
      </c>
      <c r="L84" s="18" t="s">
        <v>25</v>
      </c>
      <c r="M84" s="50"/>
    </row>
    <row r="85" spans="1:13" ht="21.75" hidden="1" customHeight="1" x14ac:dyDescent="0.4">
      <c r="A85" s="62">
        <v>45101</v>
      </c>
      <c r="B85" s="32" t="s">
        <v>1872</v>
      </c>
      <c r="C85" s="18" t="s">
        <v>17</v>
      </c>
      <c r="D85" s="63" t="s">
        <v>292</v>
      </c>
      <c r="E85" s="50" t="s">
        <v>1825</v>
      </c>
      <c r="F85" s="57">
        <v>5500</v>
      </c>
      <c r="G85" s="76"/>
      <c r="H85" s="57">
        <f t="shared" si="8"/>
        <v>5500</v>
      </c>
      <c r="I85" s="50">
        <v>1</v>
      </c>
      <c r="J85" s="57">
        <f t="shared" si="6"/>
        <v>5500</v>
      </c>
      <c r="K85" s="58">
        <f t="shared" si="7"/>
        <v>6050</v>
      </c>
      <c r="L85" s="18" t="s">
        <v>25</v>
      </c>
      <c r="M85" s="50"/>
    </row>
    <row r="86" spans="1:13" ht="21.75" hidden="1" customHeight="1" x14ac:dyDescent="0.4">
      <c r="A86" s="62">
        <v>45101</v>
      </c>
      <c r="B86" s="32" t="s">
        <v>984</v>
      </c>
      <c r="C86" s="18" t="s">
        <v>17</v>
      </c>
      <c r="D86" s="63" t="s">
        <v>845</v>
      </c>
      <c r="E86" s="50" t="s">
        <v>1875</v>
      </c>
      <c r="F86" s="57">
        <v>1000</v>
      </c>
      <c r="G86" s="76"/>
      <c r="H86" s="57">
        <f t="shared" si="8"/>
        <v>1000</v>
      </c>
      <c r="I86" s="50">
        <v>1</v>
      </c>
      <c r="J86" s="57">
        <f t="shared" si="6"/>
        <v>1000</v>
      </c>
      <c r="K86" s="58">
        <f t="shared" si="7"/>
        <v>1100</v>
      </c>
      <c r="L86" s="18" t="s">
        <v>20</v>
      </c>
      <c r="M86" s="50"/>
    </row>
    <row r="87" spans="1:13" ht="21.75" hidden="1" customHeight="1" x14ac:dyDescent="0.4">
      <c r="A87" s="62">
        <v>45101</v>
      </c>
      <c r="B87" s="32" t="s">
        <v>223</v>
      </c>
      <c r="C87" s="18" t="s">
        <v>17</v>
      </c>
      <c r="D87" s="63" t="s">
        <v>332</v>
      </c>
      <c r="E87" s="50" t="s">
        <v>1876</v>
      </c>
      <c r="F87" s="57">
        <v>2400</v>
      </c>
      <c r="G87" s="76">
        <v>-240</v>
      </c>
      <c r="H87" s="57">
        <f t="shared" si="8"/>
        <v>2160</v>
      </c>
      <c r="I87" s="50">
        <v>1</v>
      </c>
      <c r="J87" s="57">
        <f t="shared" si="6"/>
        <v>2160</v>
      </c>
      <c r="K87" s="58">
        <f t="shared" si="7"/>
        <v>2376</v>
      </c>
      <c r="L87" s="18" t="s">
        <v>25</v>
      </c>
      <c r="M87" s="50"/>
    </row>
    <row r="88" spans="1:13" ht="21.75" hidden="1" customHeight="1" x14ac:dyDescent="0.4">
      <c r="A88" s="62">
        <v>45101</v>
      </c>
      <c r="B88" s="32" t="s">
        <v>345</v>
      </c>
      <c r="C88" s="18" t="s">
        <v>22</v>
      </c>
      <c r="D88" s="63" t="s">
        <v>1496</v>
      </c>
      <c r="E88" s="50" t="s">
        <v>1813</v>
      </c>
      <c r="F88" s="57">
        <v>4500</v>
      </c>
      <c r="G88" s="76"/>
      <c r="H88" s="57">
        <f t="shared" si="8"/>
        <v>4500</v>
      </c>
      <c r="I88" s="50">
        <v>1</v>
      </c>
      <c r="J88" s="57">
        <f t="shared" si="6"/>
        <v>4500</v>
      </c>
      <c r="K88" s="58">
        <f t="shared" si="7"/>
        <v>4950</v>
      </c>
      <c r="L88" s="18" t="s">
        <v>25</v>
      </c>
      <c r="M88" s="50"/>
    </row>
    <row r="89" spans="1:13" ht="21.75" hidden="1" customHeight="1" x14ac:dyDescent="0.4">
      <c r="A89" s="62">
        <v>45102</v>
      </c>
      <c r="B89" s="32" t="s">
        <v>678</v>
      </c>
      <c r="C89" s="18" t="s">
        <v>17</v>
      </c>
      <c r="D89" s="63" t="s">
        <v>283</v>
      </c>
      <c r="E89" s="50" t="s">
        <v>1877</v>
      </c>
      <c r="F89" s="57">
        <v>12000</v>
      </c>
      <c r="G89" s="76">
        <v>-2400</v>
      </c>
      <c r="H89" s="57">
        <f t="shared" si="8"/>
        <v>9600</v>
      </c>
      <c r="I89" s="50">
        <v>1</v>
      </c>
      <c r="J89" s="57">
        <f t="shared" si="6"/>
        <v>9600</v>
      </c>
      <c r="K89" s="58">
        <f t="shared" si="7"/>
        <v>10560</v>
      </c>
      <c r="L89" s="18" t="s">
        <v>25</v>
      </c>
      <c r="M89" s="50"/>
    </row>
    <row r="90" spans="1:13" ht="21.75" hidden="1" customHeight="1" x14ac:dyDescent="0.4">
      <c r="A90" s="62">
        <v>45102</v>
      </c>
      <c r="B90" s="32" t="s">
        <v>678</v>
      </c>
      <c r="C90" s="18" t="s">
        <v>17</v>
      </c>
      <c r="D90" s="63" t="s">
        <v>332</v>
      </c>
      <c r="E90" s="50" t="s">
        <v>1878</v>
      </c>
      <c r="F90" s="57">
        <v>1090</v>
      </c>
      <c r="G90" s="76">
        <v>-109</v>
      </c>
      <c r="H90" s="57">
        <f t="shared" si="8"/>
        <v>981</v>
      </c>
      <c r="I90" s="50">
        <v>1</v>
      </c>
      <c r="J90" s="57">
        <f t="shared" si="6"/>
        <v>981</v>
      </c>
      <c r="K90" s="58">
        <f t="shared" si="7"/>
        <v>1079</v>
      </c>
      <c r="L90" s="18" t="s">
        <v>25</v>
      </c>
      <c r="M90" s="50"/>
    </row>
    <row r="91" spans="1:13" ht="21.75" hidden="1" customHeight="1" x14ac:dyDescent="0.4">
      <c r="A91" s="62">
        <v>45102</v>
      </c>
      <c r="B91" s="32" t="s">
        <v>800</v>
      </c>
      <c r="C91" s="18" t="s">
        <v>22</v>
      </c>
      <c r="D91" s="63" t="s">
        <v>23</v>
      </c>
      <c r="E91" s="50" t="s">
        <v>1879</v>
      </c>
      <c r="F91" s="57">
        <v>5000</v>
      </c>
      <c r="G91" s="76"/>
      <c r="H91" s="57">
        <f t="shared" si="8"/>
        <v>5000</v>
      </c>
      <c r="I91" s="50">
        <v>1</v>
      </c>
      <c r="J91" s="57">
        <f t="shared" si="6"/>
        <v>5000</v>
      </c>
      <c r="K91" s="58">
        <f t="shared" si="7"/>
        <v>5500</v>
      </c>
      <c r="L91" s="18" t="s">
        <v>25</v>
      </c>
      <c r="M91" s="50" t="s">
        <v>1880</v>
      </c>
    </row>
    <row r="92" spans="1:13" ht="21.75" hidden="1" customHeight="1" x14ac:dyDescent="0.4">
      <c r="A92" s="62">
        <v>45102</v>
      </c>
      <c r="B92" s="32" t="s">
        <v>1401</v>
      </c>
      <c r="C92" s="18" t="s">
        <v>17</v>
      </c>
      <c r="D92" s="63" t="s">
        <v>328</v>
      </c>
      <c r="E92" s="50" t="s">
        <v>1699</v>
      </c>
      <c r="F92" s="57">
        <v>50000</v>
      </c>
      <c r="G92" s="76">
        <v>-5000</v>
      </c>
      <c r="H92" s="57">
        <f t="shared" si="8"/>
        <v>45000</v>
      </c>
      <c r="I92" s="50">
        <v>1</v>
      </c>
      <c r="J92" s="57">
        <f t="shared" si="6"/>
        <v>45000</v>
      </c>
      <c r="K92" s="58">
        <f t="shared" si="7"/>
        <v>49500</v>
      </c>
      <c r="L92" s="18" t="s">
        <v>34</v>
      </c>
      <c r="M92" s="50"/>
    </row>
    <row r="93" spans="1:13" ht="21.75" hidden="1" customHeight="1" x14ac:dyDescent="0.4">
      <c r="A93" s="62">
        <v>45102</v>
      </c>
      <c r="B93" s="32" t="s">
        <v>1401</v>
      </c>
      <c r="C93" s="18" t="s">
        <v>17</v>
      </c>
      <c r="D93" s="63" t="s">
        <v>455</v>
      </c>
      <c r="E93" s="50" t="s">
        <v>1883</v>
      </c>
      <c r="F93" s="57">
        <v>1090</v>
      </c>
      <c r="G93" s="76">
        <v>-109</v>
      </c>
      <c r="H93" s="57">
        <f t="shared" si="8"/>
        <v>981</v>
      </c>
      <c r="I93" s="50">
        <v>1</v>
      </c>
      <c r="J93" s="57">
        <f t="shared" si="6"/>
        <v>981</v>
      </c>
      <c r="K93" s="58">
        <f t="shared" si="7"/>
        <v>1079</v>
      </c>
      <c r="L93" s="18" t="s">
        <v>34</v>
      </c>
      <c r="M93" s="50"/>
    </row>
    <row r="94" spans="1:13" ht="21.75" hidden="1" customHeight="1" x14ac:dyDescent="0.4">
      <c r="A94" s="62">
        <v>45102</v>
      </c>
      <c r="B94" s="32" t="s">
        <v>1401</v>
      </c>
      <c r="C94" s="18" t="s">
        <v>17</v>
      </c>
      <c r="D94" s="63" t="s">
        <v>330</v>
      </c>
      <c r="E94" s="50" t="s">
        <v>790</v>
      </c>
      <c r="F94" s="57">
        <v>5000</v>
      </c>
      <c r="G94" s="76"/>
      <c r="H94" s="57">
        <f t="shared" si="8"/>
        <v>5000</v>
      </c>
      <c r="I94" s="50">
        <v>1</v>
      </c>
      <c r="J94" s="57">
        <f t="shared" si="6"/>
        <v>5000</v>
      </c>
      <c r="K94" s="58">
        <f t="shared" si="7"/>
        <v>5500</v>
      </c>
      <c r="L94" s="18" t="s">
        <v>34</v>
      </c>
      <c r="M94" s="50"/>
    </row>
    <row r="95" spans="1:13" ht="21.75" hidden="1" customHeight="1" x14ac:dyDescent="0.4">
      <c r="A95" s="62">
        <v>45103</v>
      </c>
      <c r="B95" s="32" t="s">
        <v>1885</v>
      </c>
      <c r="C95" s="18" t="s">
        <v>22</v>
      </c>
      <c r="D95" s="63" t="s">
        <v>23</v>
      </c>
      <c r="E95" s="50" t="s">
        <v>1502</v>
      </c>
      <c r="F95" s="57">
        <v>15000</v>
      </c>
      <c r="G95" s="76">
        <v>-7500</v>
      </c>
      <c r="H95" s="57">
        <f t="shared" si="8"/>
        <v>7500</v>
      </c>
      <c r="I95" s="50">
        <v>2</v>
      </c>
      <c r="J95" s="57">
        <f t="shared" si="6"/>
        <v>15000</v>
      </c>
      <c r="K95" s="58">
        <f t="shared" si="7"/>
        <v>16500</v>
      </c>
      <c r="L95" s="18" t="s">
        <v>34</v>
      </c>
      <c r="M95" s="50" t="s">
        <v>1891</v>
      </c>
    </row>
    <row r="96" spans="1:13" ht="21.75" hidden="1" customHeight="1" x14ac:dyDescent="0.4">
      <c r="A96" s="62">
        <v>45103</v>
      </c>
      <c r="B96" s="32" t="s">
        <v>1885</v>
      </c>
      <c r="C96" s="18" t="s">
        <v>17</v>
      </c>
      <c r="D96" s="63" t="s">
        <v>328</v>
      </c>
      <c r="E96" s="50" t="s">
        <v>1886</v>
      </c>
      <c r="F96" s="57">
        <v>40000</v>
      </c>
      <c r="G96" s="76">
        <v>-8000</v>
      </c>
      <c r="H96" s="57">
        <f t="shared" si="8"/>
        <v>32000</v>
      </c>
      <c r="I96" s="50">
        <v>2</v>
      </c>
      <c r="J96" s="57">
        <f t="shared" si="6"/>
        <v>64000</v>
      </c>
      <c r="K96" s="58">
        <f t="shared" si="7"/>
        <v>70400</v>
      </c>
      <c r="L96" s="18" t="s">
        <v>34</v>
      </c>
      <c r="M96" s="50"/>
    </row>
    <row r="97" spans="1:13" ht="21.75" hidden="1" customHeight="1" x14ac:dyDescent="0.4">
      <c r="A97" s="62">
        <v>45103</v>
      </c>
      <c r="B97" s="32" t="s">
        <v>1885</v>
      </c>
      <c r="C97" s="18" t="s">
        <v>17</v>
      </c>
      <c r="D97" s="63" t="s">
        <v>328</v>
      </c>
      <c r="E97" s="50" t="s">
        <v>1152</v>
      </c>
      <c r="F97" s="57">
        <v>50000</v>
      </c>
      <c r="G97" s="76">
        <v>-10000</v>
      </c>
      <c r="H97" s="57">
        <f t="shared" si="8"/>
        <v>40000</v>
      </c>
      <c r="I97" s="50">
        <v>1</v>
      </c>
      <c r="J97" s="57">
        <f t="shared" si="6"/>
        <v>40000</v>
      </c>
      <c r="K97" s="58">
        <f t="shared" si="7"/>
        <v>44000</v>
      </c>
      <c r="L97" s="18" t="s">
        <v>34</v>
      </c>
      <c r="M97" s="50"/>
    </row>
    <row r="98" spans="1:13" ht="21.75" hidden="1" customHeight="1" x14ac:dyDescent="0.4">
      <c r="A98" s="62">
        <v>45103</v>
      </c>
      <c r="B98" s="32" t="s">
        <v>1885</v>
      </c>
      <c r="C98" s="18" t="s">
        <v>17</v>
      </c>
      <c r="D98" s="63" t="s">
        <v>330</v>
      </c>
      <c r="E98" s="50" t="s">
        <v>339</v>
      </c>
      <c r="F98" s="57">
        <v>3000</v>
      </c>
      <c r="G98" s="76"/>
      <c r="H98" s="57">
        <f t="shared" si="8"/>
        <v>3000</v>
      </c>
      <c r="I98" s="50">
        <v>1</v>
      </c>
      <c r="J98" s="57">
        <f t="shared" si="6"/>
        <v>3000</v>
      </c>
      <c r="K98" s="58">
        <f t="shared" si="7"/>
        <v>3300</v>
      </c>
      <c r="L98" s="18" t="s">
        <v>34</v>
      </c>
      <c r="M98" s="50"/>
    </row>
    <row r="99" spans="1:13" ht="21.75" hidden="1" customHeight="1" x14ac:dyDescent="0.4">
      <c r="A99" s="62">
        <v>45103</v>
      </c>
      <c r="B99" s="32" t="s">
        <v>1885</v>
      </c>
      <c r="C99" s="18" t="s">
        <v>17</v>
      </c>
      <c r="D99" s="63" t="s">
        <v>330</v>
      </c>
      <c r="E99" s="50" t="s">
        <v>557</v>
      </c>
      <c r="F99" s="57">
        <v>4000</v>
      </c>
      <c r="G99" s="76"/>
      <c r="H99" s="57">
        <f t="shared" si="8"/>
        <v>4000</v>
      </c>
      <c r="I99" s="50">
        <v>2</v>
      </c>
      <c r="J99" s="57">
        <f t="shared" si="6"/>
        <v>8000</v>
      </c>
      <c r="K99" s="58">
        <f t="shared" si="7"/>
        <v>8800</v>
      </c>
      <c r="L99" s="18" t="s">
        <v>34</v>
      </c>
      <c r="M99" s="50"/>
    </row>
    <row r="100" spans="1:13" ht="21.75" hidden="1" customHeight="1" x14ac:dyDescent="0.4">
      <c r="A100" s="62">
        <v>45103</v>
      </c>
      <c r="B100" s="32" t="s">
        <v>1885</v>
      </c>
      <c r="C100" s="18" t="s">
        <v>17</v>
      </c>
      <c r="D100" s="63" t="s">
        <v>455</v>
      </c>
      <c r="E100" s="50" t="s">
        <v>1887</v>
      </c>
      <c r="F100" s="57">
        <v>1090</v>
      </c>
      <c r="G100" s="76"/>
      <c r="H100" s="57">
        <f t="shared" si="8"/>
        <v>1090</v>
      </c>
      <c r="I100" s="50">
        <v>2</v>
      </c>
      <c r="J100" s="57">
        <f t="shared" si="6"/>
        <v>2180</v>
      </c>
      <c r="K100" s="58">
        <f t="shared" si="7"/>
        <v>2398</v>
      </c>
      <c r="L100" s="18" t="s">
        <v>34</v>
      </c>
      <c r="M100" s="50"/>
    </row>
    <row r="101" spans="1:13" ht="21.75" hidden="1" customHeight="1" x14ac:dyDescent="0.4">
      <c r="A101" s="62">
        <v>45103</v>
      </c>
      <c r="B101" s="32" t="s">
        <v>1885</v>
      </c>
      <c r="C101" s="18" t="s">
        <v>17</v>
      </c>
      <c r="D101" s="63" t="s">
        <v>455</v>
      </c>
      <c r="E101" s="50" t="s">
        <v>1888</v>
      </c>
      <c r="F101" s="57">
        <v>1650</v>
      </c>
      <c r="G101" s="76"/>
      <c r="H101" s="57">
        <f t="shared" si="8"/>
        <v>1650</v>
      </c>
      <c r="I101" s="50">
        <v>1</v>
      </c>
      <c r="J101" s="57">
        <f t="shared" si="6"/>
        <v>1650</v>
      </c>
      <c r="K101" s="58">
        <f t="shared" si="7"/>
        <v>1815</v>
      </c>
      <c r="L101" s="18" t="s">
        <v>34</v>
      </c>
      <c r="M101" s="50"/>
    </row>
    <row r="102" spans="1:13" ht="21.75" hidden="1" customHeight="1" x14ac:dyDescent="0.4">
      <c r="A102" s="62">
        <v>45103</v>
      </c>
      <c r="B102" s="32" t="s">
        <v>1026</v>
      </c>
      <c r="C102" s="18" t="s">
        <v>22</v>
      </c>
      <c r="D102" s="63" t="s">
        <v>23</v>
      </c>
      <c r="E102" s="50" t="s">
        <v>1502</v>
      </c>
      <c r="F102" s="57">
        <v>15000</v>
      </c>
      <c r="G102" s="76"/>
      <c r="H102" s="57">
        <f t="shared" si="8"/>
        <v>15000</v>
      </c>
      <c r="I102" s="50">
        <v>1</v>
      </c>
      <c r="J102" s="57">
        <f t="shared" si="6"/>
        <v>15000</v>
      </c>
      <c r="K102" s="58">
        <f t="shared" si="7"/>
        <v>16500</v>
      </c>
      <c r="L102" s="18" t="s">
        <v>25</v>
      </c>
      <c r="M102" s="50"/>
    </row>
    <row r="103" spans="1:13" ht="21.75" hidden="1" customHeight="1" x14ac:dyDescent="0.4">
      <c r="A103" s="62">
        <v>45103</v>
      </c>
      <c r="B103" s="32" t="s">
        <v>1026</v>
      </c>
      <c r="C103" s="18" t="s">
        <v>17</v>
      </c>
      <c r="D103" s="63" t="s">
        <v>32</v>
      </c>
      <c r="E103" s="106" t="s">
        <v>1889</v>
      </c>
      <c r="F103" s="57">
        <v>28000</v>
      </c>
      <c r="G103" s="76">
        <v>-5600</v>
      </c>
      <c r="H103" s="57">
        <f t="shared" si="8"/>
        <v>22400</v>
      </c>
      <c r="I103" s="50">
        <v>1</v>
      </c>
      <c r="J103" s="57">
        <f t="shared" si="6"/>
        <v>22400</v>
      </c>
      <c r="K103" s="58">
        <f>ROUNDDOWN(J103*1.1,0)</f>
        <v>24640</v>
      </c>
      <c r="L103" s="18" t="s">
        <v>34</v>
      </c>
      <c r="M103" s="50" t="s">
        <v>1890</v>
      </c>
    </row>
    <row r="104" spans="1:13" ht="21.75" hidden="1" customHeight="1" x14ac:dyDescent="0.4">
      <c r="A104" s="62">
        <v>45103</v>
      </c>
      <c r="B104" s="32" t="s">
        <v>1026</v>
      </c>
      <c r="C104" s="18" t="s">
        <v>17</v>
      </c>
      <c r="D104" s="63" t="s">
        <v>455</v>
      </c>
      <c r="E104" s="50" t="s">
        <v>1415</v>
      </c>
      <c r="F104" s="57">
        <v>1200</v>
      </c>
      <c r="G104" s="76"/>
      <c r="H104" s="57">
        <f t="shared" si="8"/>
        <v>1200</v>
      </c>
      <c r="I104" s="50">
        <v>1</v>
      </c>
      <c r="J104" s="57">
        <f t="shared" si="6"/>
        <v>1200</v>
      </c>
      <c r="K104" s="58">
        <f t="shared" ref="K104:K141" si="9">ROUNDDOWN(J104*1.1,0)</f>
        <v>1320</v>
      </c>
      <c r="L104" s="18" t="s">
        <v>34</v>
      </c>
      <c r="M104" s="50"/>
    </row>
    <row r="105" spans="1:13" ht="21.75" hidden="1" customHeight="1" x14ac:dyDescent="0.4">
      <c r="A105" s="62">
        <v>45103</v>
      </c>
      <c r="B105" s="32" t="s">
        <v>1026</v>
      </c>
      <c r="C105" s="18" t="s">
        <v>198</v>
      </c>
      <c r="D105" s="63" t="s">
        <v>23</v>
      </c>
      <c r="E105" s="50" t="s">
        <v>199</v>
      </c>
      <c r="F105" s="57">
        <v>-15000</v>
      </c>
      <c r="G105" s="76"/>
      <c r="H105" s="57">
        <f t="shared" si="8"/>
        <v>-15000</v>
      </c>
      <c r="I105" s="50">
        <v>1</v>
      </c>
      <c r="J105" s="57">
        <f t="shared" si="6"/>
        <v>-15000</v>
      </c>
      <c r="K105" s="58">
        <f t="shared" si="9"/>
        <v>-16500</v>
      </c>
      <c r="L105" s="18" t="s">
        <v>34</v>
      </c>
      <c r="M105" s="50"/>
    </row>
    <row r="106" spans="1:13" ht="21.75" hidden="1" customHeight="1" x14ac:dyDescent="0.4">
      <c r="A106" s="62">
        <v>45105</v>
      </c>
      <c r="B106" s="32" t="s">
        <v>167</v>
      </c>
      <c r="C106" s="18" t="s">
        <v>17</v>
      </c>
      <c r="D106" s="63" t="s">
        <v>332</v>
      </c>
      <c r="E106" s="50" t="s">
        <v>1893</v>
      </c>
      <c r="F106" s="57">
        <v>1650</v>
      </c>
      <c r="G106" s="76">
        <v>-165</v>
      </c>
      <c r="H106" s="57">
        <f t="shared" si="8"/>
        <v>1485</v>
      </c>
      <c r="I106" s="50">
        <v>1</v>
      </c>
      <c r="J106" s="57">
        <f t="shared" si="6"/>
        <v>1485</v>
      </c>
      <c r="K106" s="58">
        <f t="shared" si="9"/>
        <v>1633</v>
      </c>
      <c r="L106" s="18" t="s">
        <v>1918</v>
      </c>
      <c r="M106" s="50" t="s">
        <v>1894</v>
      </c>
    </row>
    <row r="107" spans="1:13" ht="21.75" hidden="1" customHeight="1" x14ac:dyDescent="0.4">
      <c r="A107" s="62">
        <v>45105</v>
      </c>
      <c r="B107" s="32" t="s">
        <v>1541</v>
      </c>
      <c r="C107" s="18" t="s">
        <v>17</v>
      </c>
      <c r="D107" s="63" t="s">
        <v>332</v>
      </c>
      <c r="E107" s="50" t="s">
        <v>1895</v>
      </c>
      <c r="F107" s="57">
        <v>1150</v>
      </c>
      <c r="G107" s="76">
        <v>-115</v>
      </c>
      <c r="H107" s="57">
        <f t="shared" si="8"/>
        <v>1035</v>
      </c>
      <c r="I107" s="50">
        <v>1</v>
      </c>
      <c r="J107" s="57">
        <f t="shared" si="6"/>
        <v>1035</v>
      </c>
      <c r="K107" s="58">
        <f t="shared" si="9"/>
        <v>1138</v>
      </c>
      <c r="L107" s="18" t="s">
        <v>20</v>
      </c>
      <c r="M107" s="50"/>
    </row>
    <row r="108" spans="1:13" ht="21.75" hidden="1" customHeight="1" x14ac:dyDescent="0.4">
      <c r="A108" s="62">
        <v>45105</v>
      </c>
      <c r="B108" s="32" t="s">
        <v>148</v>
      </c>
      <c r="C108" s="18" t="s">
        <v>27</v>
      </c>
      <c r="D108" s="63" t="s">
        <v>28</v>
      </c>
      <c r="E108" s="50" t="s">
        <v>1897</v>
      </c>
      <c r="F108" s="57">
        <v>17500</v>
      </c>
      <c r="G108" s="76"/>
      <c r="H108" s="57">
        <f t="shared" si="8"/>
        <v>17500</v>
      </c>
      <c r="I108" s="50">
        <v>1</v>
      </c>
      <c r="J108" s="57">
        <f t="shared" si="6"/>
        <v>17500</v>
      </c>
      <c r="K108" s="58">
        <f t="shared" si="9"/>
        <v>19250</v>
      </c>
      <c r="L108" s="18" t="s">
        <v>20</v>
      </c>
      <c r="M108" s="50"/>
    </row>
    <row r="109" spans="1:13" ht="21.75" hidden="1" customHeight="1" x14ac:dyDescent="0.4">
      <c r="A109" s="62">
        <v>45106</v>
      </c>
      <c r="B109" s="32" t="s">
        <v>1560</v>
      </c>
      <c r="C109" s="18" t="s">
        <v>17</v>
      </c>
      <c r="D109" s="63" t="s">
        <v>426</v>
      </c>
      <c r="E109" s="50" t="s">
        <v>1899</v>
      </c>
      <c r="F109" s="57">
        <v>1700</v>
      </c>
      <c r="G109" s="76">
        <v>-170</v>
      </c>
      <c r="H109" s="57">
        <f t="shared" si="8"/>
        <v>1530</v>
      </c>
      <c r="I109" s="50">
        <v>1</v>
      </c>
      <c r="J109" s="57">
        <f t="shared" si="6"/>
        <v>1530</v>
      </c>
      <c r="K109" s="58">
        <f t="shared" si="9"/>
        <v>1683</v>
      </c>
      <c r="L109" s="18" t="s">
        <v>25</v>
      </c>
      <c r="M109" s="50"/>
    </row>
    <row r="110" spans="1:13" ht="21.75" hidden="1" customHeight="1" x14ac:dyDescent="0.4">
      <c r="A110" s="62">
        <v>45106</v>
      </c>
      <c r="B110" s="32" t="s">
        <v>1900</v>
      </c>
      <c r="C110" s="18" t="s">
        <v>17</v>
      </c>
      <c r="D110" s="63" t="s">
        <v>328</v>
      </c>
      <c r="E110" s="50" t="s">
        <v>1118</v>
      </c>
      <c r="F110" s="57">
        <v>55000</v>
      </c>
      <c r="G110" s="76">
        <v>-11000</v>
      </c>
      <c r="H110" s="57">
        <f t="shared" si="8"/>
        <v>44000</v>
      </c>
      <c r="I110" s="50">
        <v>1</v>
      </c>
      <c r="J110" s="57">
        <f t="shared" si="6"/>
        <v>44000</v>
      </c>
      <c r="K110" s="58">
        <f t="shared" si="9"/>
        <v>48400</v>
      </c>
      <c r="L110" s="18" t="s">
        <v>34</v>
      </c>
      <c r="M110" s="50" t="s">
        <v>1906</v>
      </c>
    </row>
    <row r="111" spans="1:13" ht="21.75" hidden="1" customHeight="1" x14ac:dyDescent="0.4">
      <c r="A111" s="62">
        <v>45106</v>
      </c>
      <c r="B111" s="32" t="s">
        <v>1900</v>
      </c>
      <c r="C111" s="18" t="s">
        <v>17</v>
      </c>
      <c r="D111" s="63" t="s">
        <v>576</v>
      </c>
      <c r="E111" s="50" t="s">
        <v>1903</v>
      </c>
      <c r="F111" s="57">
        <v>88000</v>
      </c>
      <c r="G111" s="76">
        <v>-8800</v>
      </c>
      <c r="H111" s="57">
        <f t="shared" si="8"/>
        <v>79200</v>
      </c>
      <c r="I111" s="50">
        <v>1</v>
      </c>
      <c r="J111" s="57">
        <f t="shared" si="6"/>
        <v>79200</v>
      </c>
      <c r="K111" s="58">
        <f t="shared" si="9"/>
        <v>87120</v>
      </c>
      <c r="L111" s="18" t="s">
        <v>34</v>
      </c>
      <c r="M111" s="50"/>
    </row>
    <row r="112" spans="1:13" ht="21.75" hidden="1" customHeight="1" x14ac:dyDescent="0.4">
      <c r="A112" s="62">
        <v>45106</v>
      </c>
      <c r="B112" s="32" t="s">
        <v>1900</v>
      </c>
      <c r="C112" s="18" t="s">
        <v>17</v>
      </c>
      <c r="D112" s="63" t="s">
        <v>332</v>
      </c>
      <c r="E112" s="50" t="s">
        <v>1905</v>
      </c>
      <c r="F112" s="57">
        <v>1090</v>
      </c>
      <c r="G112" s="76"/>
      <c r="H112" s="57">
        <f t="shared" si="8"/>
        <v>1090</v>
      </c>
      <c r="I112" s="50">
        <v>1</v>
      </c>
      <c r="J112" s="57">
        <f t="shared" si="6"/>
        <v>1090</v>
      </c>
      <c r="K112" s="58">
        <f t="shared" si="9"/>
        <v>1199</v>
      </c>
      <c r="L112" s="18" t="s">
        <v>34</v>
      </c>
      <c r="M112" s="50"/>
    </row>
    <row r="113" spans="1:13" ht="21.75" hidden="1" customHeight="1" x14ac:dyDescent="0.4">
      <c r="A113" s="62">
        <v>45106</v>
      </c>
      <c r="B113" s="32" t="s">
        <v>1907</v>
      </c>
      <c r="C113" s="18" t="s">
        <v>17</v>
      </c>
      <c r="D113" s="63" t="s">
        <v>292</v>
      </c>
      <c r="E113" s="50" t="s">
        <v>1908</v>
      </c>
      <c r="F113" s="57">
        <v>10800</v>
      </c>
      <c r="G113" s="76">
        <v>-1080</v>
      </c>
      <c r="H113" s="57">
        <f t="shared" si="8"/>
        <v>9720</v>
      </c>
      <c r="I113" s="50">
        <v>1</v>
      </c>
      <c r="J113" s="57">
        <f t="shared" si="6"/>
        <v>9720</v>
      </c>
      <c r="K113" s="58">
        <f t="shared" si="9"/>
        <v>10692</v>
      </c>
      <c r="L113" s="18" t="s">
        <v>20</v>
      </c>
      <c r="M113" s="50"/>
    </row>
    <row r="114" spans="1:13" ht="21.75" hidden="1" customHeight="1" x14ac:dyDescent="0.4">
      <c r="A114" s="62">
        <v>45106</v>
      </c>
      <c r="B114" s="32" t="s">
        <v>1910</v>
      </c>
      <c r="C114" s="18" t="s">
        <v>22</v>
      </c>
      <c r="D114" s="63" t="s">
        <v>1496</v>
      </c>
      <c r="E114" s="50" t="s">
        <v>1911</v>
      </c>
      <c r="F114" s="57">
        <v>3000</v>
      </c>
      <c r="G114" s="76">
        <v>-500</v>
      </c>
      <c r="H114" s="57">
        <f t="shared" si="8"/>
        <v>2500</v>
      </c>
      <c r="I114" s="50">
        <v>1</v>
      </c>
      <c r="J114" s="57">
        <f t="shared" si="6"/>
        <v>2500</v>
      </c>
      <c r="K114" s="58">
        <f t="shared" si="9"/>
        <v>2750</v>
      </c>
      <c r="L114" s="18" t="s">
        <v>25</v>
      </c>
      <c r="M114" s="50"/>
    </row>
    <row r="115" spans="1:13" ht="21.75" hidden="1" customHeight="1" x14ac:dyDescent="0.4">
      <c r="A115" s="62">
        <v>45107</v>
      </c>
      <c r="B115" s="32" t="s">
        <v>1912</v>
      </c>
      <c r="C115" s="18" t="s">
        <v>22</v>
      </c>
      <c r="D115" s="63" t="s">
        <v>23</v>
      </c>
      <c r="E115" s="50" t="s">
        <v>1502</v>
      </c>
      <c r="F115" s="57">
        <v>15000</v>
      </c>
      <c r="G115" s="76">
        <v>-7500</v>
      </c>
      <c r="H115" s="57">
        <f t="shared" si="8"/>
        <v>7500</v>
      </c>
      <c r="I115" s="50">
        <v>1</v>
      </c>
      <c r="J115" s="57">
        <f t="shared" si="6"/>
        <v>7500</v>
      </c>
      <c r="K115" s="58">
        <f t="shared" si="9"/>
        <v>8250</v>
      </c>
      <c r="L115" s="18" t="s">
        <v>20</v>
      </c>
      <c r="M115" s="50" t="s">
        <v>1913</v>
      </c>
    </row>
    <row r="116" spans="1:13" ht="21.75" hidden="1" customHeight="1" x14ac:dyDescent="0.4">
      <c r="A116" s="62">
        <v>45107</v>
      </c>
      <c r="B116" s="32" t="s">
        <v>1914</v>
      </c>
      <c r="C116" s="18" t="s">
        <v>27</v>
      </c>
      <c r="D116" s="63" t="s">
        <v>28</v>
      </c>
      <c r="E116" s="50" t="s">
        <v>1445</v>
      </c>
      <c r="F116" s="57">
        <v>2000</v>
      </c>
      <c r="G116" s="76"/>
      <c r="H116" s="57">
        <f t="shared" si="8"/>
        <v>2000</v>
      </c>
      <c r="I116" s="50">
        <v>1</v>
      </c>
      <c r="J116" s="57">
        <f t="shared" si="6"/>
        <v>2000</v>
      </c>
      <c r="K116" s="58">
        <f t="shared" si="9"/>
        <v>2200</v>
      </c>
      <c r="L116" s="18" t="s">
        <v>25</v>
      </c>
      <c r="M116" s="50"/>
    </row>
    <row r="117" spans="1:13" ht="21.75" hidden="1" customHeight="1" x14ac:dyDescent="0.4">
      <c r="A117" s="62">
        <v>45107</v>
      </c>
      <c r="B117" s="32" t="s">
        <v>1912</v>
      </c>
      <c r="C117" s="18" t="s">
        <v>17</v>
      </c>
      <c r="D117" s="63" t="s">
        <v>328</v>
      </c>
      <c r="E117" s="50" t="s">
        <v>1915</v>
      </c>
      <c r="F117" s="57">
        <v>50000</v>
      </c>
      <c r="G117" s="76">
        <v>-10000</v>
      </c>
      <c r="H117" s="57">
        <f t="shared" si="8"/>
        <v>40000</v>
      </c>
      <c r="I117" s="50">
        <v>1</v>
      </c>
      <c r="J117" s="57">
        <f t="shared" si="6"/>
        <v>40000</v>
      </c>
      <c r="K117" s="58">
        <f t="shared" si="9"/>
        <v>44000</v>
      </c>
      <c r="L117" s="18" t="s">
        <v>34</v>
      </c>
      <c r="M117" s="50"/>
    </row>
    <row r="118" spans="1:13" ht="21.75" hidden="1" customHeight="1" x14ac:dyDescent="0.4">
      <c r="A118" s="62">
        <v>45107</v>
      </c>
      <c r="B118" s="32" t="s">
        <v>1912</v>
      </c>
      <c r="C118" s="18" t="s">
        <v>17</v>
      </c>
      <c r="D118" s="63" t="s">
        <v>332</v>
      </c>
      <c r="E118" s="50" t="s">
        <v>1916</v>
      </c>
      <c r="F118" s="57">
        <v>1800</v>
      </c>
      <c r="G118" s="76"/>
      <c r="H118" s="57">
        <f t="shared" si="8"/>
        <v>1800</v>
      </c>
      <c r="I118" s="50">
        <v>1</v>
      </c>
      <c r="J118" s="57">
        <f t="shared" si="6"/>
        <v>1800</v>
      </c>
      <c r="K118" s="58">
        <f t="shared" si="9"/>
        <v>1980</v>
      </c>
      <c r="L118" s="18" t="s">
        <v>34</v>
      </c>
      <c r="M118" s="50"/>
    </row>
    <row r="119" spans="1:13" ht="21.75" hidden="1" customHeight="1" x14ac:dyDescent="0.4">
      <c r="A119" s="62">
        <v>45107</v>
      </c>
      <c r="B119" s="32" t="s">
        <v>1910</v>
      </c>
      <c r="C119" s="18" t="s">
        <v>27</v>
      </c>
      <c r="D119" s="63" t="s">
        <v>28</v>
      </c>
      <c r="E119" s="50" t="s">
        <v>318</v>
      </c>
      <c r="F119" s="57">
        <v>15000</v>
      </c>
      <c r="G119" s="76"/>
      <c r="H119" s="57">
        <f t="shared" si="8"/>
        <v>15000</v>
      </c>
      <c r="I119" s="50">
        <v>1</v>
      </c>
      <c r="J119" s="57">
        <f t="shared" si="6"/>
        <v>15000</v>
      </c>
      <c r="K119" s="58">
        <f t="shared" si="9"/>
        <v>16500</v>
      </c>
      <c r="L119" s="18" t="s">
        <v>34</v>
      </c>
      <c r="M119" s="50"/>
    </row>
    <row r="120" spans="1:13" ht="21.75" hidden="1" customHeight="1" thickBot="1" x14ac:dyDescent="0.45">
      <c r="A120" s="150">
        <v>45107</v>
      </c>
      <c r="B120" s="107" t="s">
        <v>1910</v>
      </c>
      <c r="C120" s="108" t="s">
        <v>27</v>
      </c>
      <c r="D120" s="109" t="s">
        <v>28</v>
      </c>
      <c r="E120" s="110" t="s">
        <v>1917</v>
      </c>
      <c r="F120" s="111">
        <v>22500</v>
      </c>
      <c r="G120" s="112"/>
      <c r="H120" s="111">
        <f t="shared" si="8"/>
        <v>22500</v>
      </c>
      <c r="I120" s="110">
        <v>1</v>
      </c>
      <c r="J120" s="111">
        <f t="shared" si="6"/>
        <v>22500</v>
      </c>
      <c r="K120" s="113">
        <f t="shared" si="9"/>
        <v>24750</v>
      </c>
      <c r="L120" s="108" t="s">
        <v>34</v>
      </c>
      <c r="M120" s="110"/>
    </row>
    <row r="121" spans="1:13" ht="21.75" hidden="1" customHeight="1" x14ac:dyDescent="0.4">
      <c r="A121" s="59">
        <v>45108</v>
      </c>
      <c r="B121" s="82" t="s">
        <v>1923</v>
      </c>
      <c r="C121" s="60" t="s">
        <v>27</v>
      </c>
      <c r="D121" s="61" t="s">
        <v>103</v>
      </c>
      <c r="E121" s="56" t="s">
        <v>1971</v>
      </c>
      <c r="F121" s="99">
        <v>18000</v>
      </c>
      <c r="G121" s="79"/>
      <c r="H121" s="99">
        <f t="shared" si="8"/>
        <v>18000</v>
      </c>
      <c r="I121" s="56">
        <v>1</v>
      </c>
      <c r="J121" s="99">
        <f t="shared" si="6"/>
        <v>18000</v>
      </c>
      <c r="K121" s="100">
        <f t="shared" si="9"/>
        <v>19800</v>
      </c>
      <c r="L121" s="60" t="s">
        <v>25</v>
      </c>
      <c r="M121" s="56"/>
    </row>
    <row r="122" spans="1:13" ht="21.75" hidden="1" customHeight="1" x14ac:dyDescent="0.4">
      <c r="A122" s="59">
        <v>45108</v>
      </c>
      <c r="B122" s="32" t="s">
        <v>1924</v>
      </c>
      <c r="C122" s="18" t="s">
        <v>1925</v>
      </c>
      <c r="D122" s="63" t="s">
        <v>283</v>
      </c>
      <c r="E122" s="50" t="s">
        <v>1926</v>
      </c>
      <c r="F122" s="57">
        <v>12000</v>
      </c>
      <c r="G122" s="76">
        <v>-1200</v>
      </c>
      <c r="H122" s="57">
        <f t="shared" si="8"/>
        <v>10800</v>
      </c>
      <c r="I122" s="50">
        <v>1</v>
      </c>
      <c r="J122" s="57">
        <f t="shared" si="6"/>
        <v>10800</v>
      </c>
      <c r="K122" s="58">
        <f t="shared" si="9"/>
        <v>11880</v>
      </c>
      <c r="L122" s="60" t="s">
        <v>25</v>
      </c>
      <c r="M122" s="50"/>
    </row>
    <row r="123" spans="1:13" ht="21.75" hidden="1" customHeight="1" x14ac:dyDescent="0.4">
      <c r="A123" s="59">
        <v>45109</v>
      </c>
      <c r="B123" s="32" t="s">
        <v>1927</v>
      </c>
      <c r="C123" s="18" t="s">
        <v>22</v>
      </c>
      <c r="D123" s="63" t="s">
        <v>1496</v>
      </c>
      <c r="E123" s="50" t="s">
        <v>369</v>
      </c>
      <c r="F123" s="57">
        <v>3000</v>
      </c>
      <c r="G123" s="76"/>
      <c r="H123" s="57">
        <f t="shared" si="8"/>
        <v>3000</v>
      </c>
      <c r="I123" s="50">
        <v>1</v>
      </c>
      <c r="J123" s="57">
        <f t="shared" si="6"/>
        <v>3000</v>
      </c>
      <c r="K123" s="58">
        <f t="shared" si="9"/>
        <v>3300</v>
      </c>
      <c r="L123" s="18" t="s">
        <v>1928</v>
      </c>
      <c r="M123" s="50"/>
    </row>
    <row r="124" spans="1:13" ht="21.75" hidden="1" customHeight="1" x14ac:dyDescent="0.4">
      <c r="A124" s="59">
        <v>45109</v>
      </c>
      <c r="B124" s="32" t="s">
        <v>428</v>
      </c>
      <c r="C124" s="18" t="s">
        <v>1925</v>
      </c>
      <c r="D124" s="63" t="s">
        <v>332</v>
      </c>
      <c r="E124" s="50" t="s">
        <v>1929</v>
      </c>
      <c r="F124" s="57">
        <v>2000</v>
      </c>
      <c r="G124" s="76">
        <v>-200</v>
      </c>
      <c r="H124" s="57">
        <f t="shared" si="8"/>
        <v>1800</v>
      </c>
      <c r="I124" s="50">
        <v>1</v>
      </c>
      <c r="J124" s="57">
        <f t="shared" si="6"/>
        <v>1800</v>
      </c>
      <c r="K124" s="58">
        <f t="shared" si="9"/>
        <v>1980</v>
      </c>
      <c r="L124" s="18" t="s">
        <v>25</v>
      </c>
      <c r="M124" s="50"/>
    </row>
    <row r="125" spans="1:13" ht="21.75" hidden="1" customHeight="1" x14ac:dyDescent="0.4">
      <c r="A125" s="59">
        <v>45110</v>
      </c>
      <c r="B125" s="32" t="s">
        <v>1854</v>
      </c>
      <c r="C125" s="18" t="s">
        <v>27</v>
      </c>
      <c r="D125" s="63" t="s">
        <v>28</v>
      </c>
      <c r="E125" s="50" t="s">
        <v>318</v>
      </c>
      <c r="F125" s="57">
        <v>15000</v>
      </c>
      <c r="G125" s="76"/>
      <c r="H125" s="57">
        <f t="shared" si="8"/>
        <v>15000</v>
      </c>
      <c r="I125" s="50">
        <v>1</v>
      </c>
      <c r="J125" s="57">
        <f t="shared" si="6"/>
        <v>15000</v>
      </c>
      <c r="K125" s="58">
        <f t="shared" si="9"/>
        <v>16500</v>
      </c>
      <c r="L125" s="18" t="s">
        <v>1928</v>
      </c>
      <c r="M125" s="50"/>
    </row>
    <row r="126" spans="1:13" ht="21.75" hidden="1" customHeight="1" x14ac:dyDescent="0.4">
      <c r="A126" s="59">
        <v>45110</v>
      </c>
      <c r="B126" s="32" t="s">
        <v>1854</v>
      </c>
      <c r="C126" s="18" t="s">
        <v>27</v>
      </c>
      <c r="D126" s="63" t="s">
        <v>28</v>
      </c>
      <c r="E126" s="50" t="s">
        <v>1930</v>
      </c>
      <c r="F126" s="57">
        <v>13120</v>
      </c>
      <c r="G126" s="76"/>
      <c r="H126" s="57">
        <f t="shared" si="8"/>
        <v>13120</v>
      </c>
      <c r="I126" s="50">
        <v>1</v>
      </c>
      <c r="J126" s="57">
        <f t="shared" si="6"/>
        <v>13120</v>
      </c>
      <c r="K126" s="58">
        <f t="shared" si="9"/>
        <v>14432</v>
      </c>
      <c r="L126" s="18" t="s">
        <v>1928</v>
      </c>
      <c r="M126" s="50"/>
    </row>
    <row r="127" spans="1:13" ht="21.75" hidden="1" customHeight="1" x14ac:dyDescent="0.4">
      <c r="A127" s="59">
        <v>45110</v>
      </c>
      <c r="B127" s="32" t="s">
        <v>1931</v>
      </c>
      <c r="C127" s="18" t="s">
        <v>1925</v>
      </c>
      <c r="D127" s="63" t="s">
        <v>328</v>
      </c>
      <c r="E127" s="50" t="s">
        <v>1932</v>
      </c>
      <c r="F127" s="57">
        <v>60000</v>
      </c>
      <c r="G127" s="76">
        <v>-9000</v>
      </c>
      <c r="H127" s="57">
        <f t="shared" si="8"/>
        <v>51000</v>
      </c>
      <c r="I127" s="50">
        <v>1</v>
      </c>
      <c r="J127" s="57">
        <f t="shared" si="6"/>
        <v>51000</v>
      </c>
      <c r="K127" s="58">
        <f t="shared" si="9"/>
        <v>56100</v>
      </c>
      <c r="L127" s="18" t="s">
        <v>34</v>
      </c>
      <c r="M127" s="50"/>
    </row>
    <row r="128" spans="1:13" ht="21.75" hidden="1" customHeight="1" x14ac:dyDescent="0.4">
      <c r="A128" s="59">
        <v>45110</v>
      </c>
      <c r="B128" s="32" t="s">
        <v>1931</v>
      </c>
      <c r="C128" s="18" t="s">
        <v>1925</v>
      </c>
      <c r="D128" s="63" t="s">
        <v>332</v>
      </c>
      <c r="E128" s="50" t="s">
        <v>1905</v>
      </c>
      <c r="F128" s="57">
        <v>1090</v>
      </c>
      <c r="G128" s="76"/>
      <c r="H128" s="57">
        <f t="shared" si="8"/>
        <v>1090</v>
      </c>
      <c r="I128" s="50">
        <v>1</v>
      </c>
      <c r="J128" s="57">
        <f t="shared" si="6"/>
        <v>1090</v>
      </c>
      <c r="K128" s="58">
        <f t="shared" si="9"/>
        <v>1199</v>
      </c>
      <c r="L128" s="18" t="s">
        <v>34</v>
      </c>
      <c r="M128" s="50"/>
    </row>
    <row r="129" spans="1:13" ht="21.75" hidden="1" customHeight="1" x14ac:dyDescent="0.4">
      <c r="A129" s="59">
        <v>45111</v>
      </c>
      <c r="B129" s="32" t="s">
        <v>1933</v>
      </c>
      <c r="C129" s="18" t="s">
        <v>1925</v>
      </c>
      <c r="D129" s="63" t="s">
        <v>328</v>
      </c>
      <c r="E129" s="50" t="s">
        <v>1934</v>
      </c>
      <c r="F129" s="57">
        <v>35000</v>
      </c>
      <c r="G129" s="76">
        <v>-19250</v>
      </c>
      <c r="H129" s="57">
        <f t="shared" si="8"/>
        <v>15750</v>
      </c>
      <c r="I129" s="50">
        <v>2</v>
      </c>
      <c r="J129" s="57">
        <f t="shared" si="6"/>
        <v>31500</v>
      </c>
      <c r="K129" s="58">
        <f t="shared" si="9"/>
        <v>34650</v>
      </c>
      <c r="L129" s="18" t="s">
        <v>34</v>
      </c>
      <c r="M129" s="50"/>
    </row>
    <row r="130" spans="1:13" ht="21.75" hidden="1" customHeight="1" x14ac:dyDescent="0.4">
      <c r="A130" s="59">
        <v>45111</v>
      </c>
      <c r="B130" s="32" t="s">
        <v>1933</v>
      </c>
      <c r="C130" s="18" t="s">
        <v>1925</v>
      </c>
      <c r="D130" s="63" t="s">
        <v>332</v>
      </c>
      <c r="E130" s="50" t="s">
        <v>1935</v>
      </c>
      <c r="F130" s="57">
        <v>2500</v>
      </c>
      <c r="G130" s="76">
        <v>-1250</v>
      </c>
      <c r="H130" s="57">
        <f t="shared" si="8"/>
        <v>1250</v>
      </c>
      <c r="I130" s="50">
        <v>2</v>
      </c>
      <c r="J130" s="57">
        <f t="shared" si="6"/>
        <v>2500</v>
      </c>
      <c r="K130" s="58">
        <f t="shared" si="9"/>
        <v>2750</v>
      </c>
      <c r="L130" s="18" t="s">
        <v>34</v>
      </c>
      <c r="M130" s="50"/>
    </row>
    <row r="131" spans="1:13" ht="21.75" hidden="1" customHeight="1" x14ac:dyDescent="0.4">
      <c r="A131" s="59">
        <v>45112</v>
      </c>
      <c r="B131" s="32" t="s">
        <v>1936</v>
      </c>
      <c r="C131" s="18" t="s">
        <v>27</v>
      </c>
      <c r="D131" s="63" t="s">
        <v>28</v>
      </c>
      <c r="E131" s="50" t="s">
        <v>1445</v>
      </c>
      <c r="F131" s="57">
        <v>2000</v>
      </c>
      <c r="G131" s="76"/>
      <c r="H131" s="57">
        <f t="shared" si="8"/>
        <v>2000</v>
      </c>
      <c r="I131" s="50">
        <v>1</v>
      </c>
      <c r="J131" s="57">
        <f t="shared" si="6"/>
        <v>2000</v>
      </c>
      <c r="K131" s="58">
        <f t="shared" si="9"/>
        <v>2200</v>
      </c>
      <c r="L131" s="18" t="s">
        <v>25</v>
      </c>
      <c r="M131" s="50"/>
    </row>
    <row r="132" spans="1:13" ht="21.75" hidden="1" customHeight="1" x14ac:dyDescent="0.4">
      <c r="A132" s="59">
        <v>45112</v>
      </c>
      <c r="B132" s="32" t="s">
        <v>1937</v>
      </c>
      <c r="C132" s="18" t="s">
        <v>1925</v>
      </c>
      <c r="D132" s="63" t="s">
        <v>292</v>
      </c>
      <c r="E132" s="50" t="s">
        <v>1938</v>
      </c>
      <c r="F132" s="57">
        <v>5500</v>
      </c>
      <c r="G132" s="76"/>
      <c r="H132" s="57">
        <f t="shared" si="8"/>
        <v>5500</v>
      </c>
      <c r="I132" s="50">
        <v>1</v>
      </c>
      <c r="J132" s="57">
        <f t="shared" si="6"/>
        <v>5500</v>
      </c>
      <c r="K132" s="58">
        <f t="shared" si="9"/>
        <v>6050</v>
      </c>
      <c r="L132" s="18" t="s">
        <v>1928</v>
      </c>
      <c r="M132" s="50"/>
    </row>
    <row r="133" spans="1:13" ht="21.75" hidden="1" customHeight="1" x14ac:dyDescent="0.4">
      <c r="A133" s="59">
        <v>45113</v>
      </c>
      <c r="B133" s="32" t="s">
        <v>1937</v>
      </c>
      <c r="C133" s="18" t="s">
        <v>27</v>
      </c>
      <c r="D133" s="63" t="s">
        <v>28</v>
      </c>
      <c r="E133" s="50" t="s">
        <v>1939</v>
      </c>
      <c r="F133" s="57">
        <v>7700</v>
      </c>
      <c r="G133" s="76"/>
      <c r="H133" s="57">
        <f t="shared" si="8"/>
        <v>7700</v>
      </c>
      <c r="I133" s="50">
        <v>1</v>
      </c>
      <c r="J133" s="57">
        <f t="shared" si="6"/>
        <v>7700</v>
      </c>
      <c r="K133" s="58">
        <f t="shared" si="9"/>
        <v>8470</v>
      </c>
      <c r="L133" s="18" t="s">
        <v>1928</v>
      </c>
      <c r="M133" s="50"/>
    </row>
    <row r="134" spans="1:13" ht="21.75" hidden="1" customHeight="1" x14ac:dyDescent="0.4">
      <c r="A134" s="59">
        <v>45113</v>
      </c>
      <c r="B134" s="32" t="s">
        <v>1940</v>
      </c>
      <c r="C134" s="18" t="s">
        <v>22</v>
      </c>
      <c r="D134" s="63" t="s">
        <v>23</v>
      </c>
      <c r="E134" s="50" t="s">
        <v>1941</v>
      </c>
      <c r="F134" s="57">
        <v>15000</v>
      </c>
      <c r="G134" s="76"/>
      <c r="H134" s="57">
        <f t="shared" si="8"/>
        <v>15000</v>
      </c>
      <c r="I134" s="50">
        <v>1</v>
      </c>
      <c r="J134" s="57">
        <f t="shared" si="6"/>
        <v>15000</v>
      </c>
      <c r="K134" s="58">
        <f t="shared" si="9"/>
        <v>16500</v>
      </c>
      <c r="L134" s="18" t="s">
        <v>1942</v>
      </c>
      <c r="M134" s="50"/>
    </row>
    <row r="135" spans="1:13" ht="21.75" hidden="1" customHeight="1" x14ac:dyDescent="0.4">
      <c r="A135" s="59">
        <v>45113</v>
      </c>
      <c r="B135" s="32" t="s">
        <v>1943</v>
      </c>
      <c r="C135" s="18" t="s">
        <v>1944</v>
      </c>
      <c r="D135" s="63"/>
      <c r="E135" s="50" t="s">
        <v>1945</v>
      </c>
      <c r="F135" s="57">
        <v>900</v>
      </c>
      <c r="G135" s="76"/>
      <c r="H135" s="57">
        <f t="shared" si="8"/>
        <v>900</v>
      </c>
      <c r="I135" s="50">
        <v>1</v>
      </c>
      <c r="J135" s="57">
        <f t="shared" si="6"/>
        <v>900</v>
      </c>
      <c r="K135" s="58">
        <f t="shared" si="9"/>
        <v>990</v>
      </c>
      <c r="L135" s="18" t="s">
        <v>1942</v>
      </c>
      <c r="M135" s="50"/>
    </row>
    <row r="136" spans="1:13" ht="21.75" hidden="1" customHeight="1" x14ac:dyDescent="0.4">
      <c r="A136" s="59">
        <v>45113</v>
      </c>
      <c r="B136" s="32" t="s">
        <v>195</v>
      </c>
      <c r="C136" s="18" t="s">
        <v>1944</v>
      </c>
      <c r="D136" s="63" t="s">
        <v>292</v>
      </c>
      <c r="E136" s="50" t="s">
        <v>1870</v>
      </c>
      <c r="F136" s="57">
        <v>5700</v>
      </c>
      <c r="G136" s="76">
        <v>-570</v>
      </c>
      <c r="H136" s="57">
        <f t="shared" si="8"/>
        <v>5130</v>
      </c>
      <c r="I136" s="50">
        <v>1</v>
      </c>
      <c r="J136" s="57">
        <f t="shared" si="6"/>
        <v>5130</v>
      </c>
      <c r="K136" s="58">
        <f t="shared" si="9"/>
        <v>5643</v>
      </c>
      <c r="L136" s="18" t="s">
        <v>25</v>
      </c>
      <c r="M136" s="50"/>
    </row>
    <row r="137" spans="1:13" ht="21.75" hidden="1" customHeight="1" x14ac:dyDescent="0.4">
      <c r="A137" s="59">
        <v>45113</v>
      </c>
      <c r="B137" s="32" t="s">
        <v>503</v>
      </c>
      <c r="C137" s="18" t="s">
        <v>1944</v>
      </c>
      <c r="D137" s="63"/>
      <c r="E137" s="50" t="s">
        <v>1945</v>
      </c>
      <c r="F137" s="57">
        <v>900</v>
      </c>
      <c r="G137" s="76"/>
      <c r="H137" s="57">
        <f t="shared" si="8"/>
        <v>900</v>
      </c>
      <c r="I137" s="50">
        <v>1</v>
      </c>
      <c r="J137" s="57">
        <f t="shared" si="6"/>
        <v>900</v>
      </c>
      <c r="K137" s="58">
        <f t="shared" si="9"/>
        <v>990</v>
      </c>
      <c r="L137" s="18" t="s">
        <v>25</v>
      </c>
      <c r="M137" s="50"/>
    </row>
    <row r="138" spans="1:13" ht="21.75" hidden="1" customHeight="1" x14ac:dyDescent="0.4">
      <c r="A138" s="59">
        <v>45113</v>
      </c>
      <c r="B138" s="32" t="s">
        <v>503</v>
      </c>
      <c r="C138" s="18" t="s">
        <v>1944</v>
      </c>
      <c r="D138" s="63"/>
      <c r="E138" s="50" t="s">
        <v>1946</v>
      </c>
      <c r="F138" s="57">
        <v>1300</v>
      </c>
      <c r="G138" s="76"/>
      <c r="H138" s="57">
        <f t="shared" si="8"/>
        <v>1300</v>
      </c>
      <c r="I138" s="50">
        <v>2</v>
      </c>
      <c r="J138" s="57">
        <f t="shared" si="6"/>
        <v>2600</v>
      </c>
      <c r="K138" s="58">
        <f t="shared" si="9"/>
        <v>2860</v>
      </c>
      <c r="L138" s="18" t="s">
        <v>25</v>
      </c>
      <c r="M138" s="50"/>
    </row>
    <row r="139" spans="1:13" ht="21.75" hidden="1" customHeight="1" x14ac:dyDescent="0.4">
      <c r="A139" s="59">
        <v>45114</v>
      </c>
      <c r="B139" s="32" t="s">
        <v>1947</v>
      </c>
      <c r="C139" s="18" t="s">
        <v>1948</v>
      </c>
      <c r="D139" s="63" t="s">
        <v>332</v>
      </c>
      <c r="E139" s="50" t="s">
        <v>1949</v>
      </c>
      <c r="F139" s="57">
        <v>1090</v>
      </c>
      <c r="G139" s="76">
        <v>-109</v>
      </c>
      <c r="H139" s="57">
        <f t="shared" si="8"/>
        <v>981</v>
      </c>
      <c r="I139" s="50">
        <v>7</v>
      </c>
      <c r="J139" s="57">
        <f t="shared" si="6"/>
        <v>6867</v>
      </c>
      <c r="K139" s="58">
        <f t="shared" si="9"/>
        <v>7553</v>
      </c>
      <c r="L139" s="18" t="s">
        <v>1950</v>
      </c>
      <c r="M139" s="50"/>
    </row>
    <row r="140" spans="1:13" ht="21.75" hidden="1" customHeight="1" x14ac:dyDescent="0.4">
      <c r="A140" s="59">
        <v>45115</v>
      </c>
      <c r="B140" s="32" t="s">
        <v>145</v>
      </c>
      <c r="C140" s="18" t="s">
        <v>1948</v>
      </c>
      <c r="D140" s="63" t="s">
        <v>332</v>
      </c>
      <c r="E140" s="106" t="s">
        <v>1951</v>
      </c>
      <c r="F140" s="57">
        <v>2400</v>
      </c>
      <c r="G140" s="76">
        <v>-240</v>
      </c>
      <c r="H140" s="57">
        <f t="shared" si="8"/>
        <v>2160</v>
      </c>
      <c r="I140" s="50">
        <v>1</v>
      </c>
      <c r="J140" s="57">
        <f t="shared" ref="J140:J141" si="10">SUM(H140*I140)</f>
        <v>2160</v>
      </c>
      <c r="K140" s="58">
        <f t="shared" si="9"/>
        <v>2376</v>
      </c>
      <c r="L140" s="18" t="s">
        <v>1950</v>
      </c>
      <c r="M140" s="50"/>
    </row>
    <row r="141" spans="1:13" ht="21.75" hidden="1" customHeight="1" x14ac:dyDescent="0.4">
      <c r="A141" s="59">
        <v>45115</v>
      </c>
      <c r="B141" s="32" t="s">
        <v>145</v>
      </c>
      <c r="C141" s="18" t="s">
        <v>1948</v>
      </c>
      <c r="D141" s="63" t="s">
        <v>292</v>
      </c>
      <c r="E141" s="50" t="s">
        <v>1952</v>
      </c>
      <c r="F141" s="57">
        <v>5700</v>
      </c>
      <c r="G141" s="76">
        <v>-570</v>
      </c>
      <c r="H141" s="57">
        <f t="shared" si="8"/>
        <v>5130</v>
      </c>
      <c r="I141" s="50">
        <v>1</v>
      </c>
      <c r="J141" s="57">
        <f t="shared" si="10"/>
        <v>5130</v>
      </c>
      <c r="K141" s="58">
        <f t="shared" si="9"/>
        <v>5643</v>
      </c>
      <c r="L141" s="18" t="s">
        <v>1950</v>
      </c>
      <c r="M141" s="50"/>
    </row>
    <row r="142" spans="1:13" ht="21.75" hidden="1" customHeight="1" x14ac:dyDescent="0.4">
      <c r="A142" s="59">
        <v>45116</v>
      </c>
      <c r="B142" s="32" t="s">
        <v>1953</v>
      </c>
      <c r="C142" s="18" t="s">
        <v>22</v>
      </c>
      <c r="D142" s="63" t="s">
        <v>23</v>
      </c>
      <c r="E142" s="50" t="s">
        <v>1941</v>
      </c>
      <c r="F142" s="57">
        <v>15000</v>
      </c>
      <c r="G142" s="76"/>
      <c r="H142" s="57">
        <f t="shared" si="8"/>
        <v>15000</v>
      </c>
      <c r="I142" s="50">
        <v>1</v>
      </c>
      <c r="J142" s="57">
        <f t="shared" ref="J142:J205" si="11">SUM(H142*I142)</f>
        <v>15000</v>
      </c>
      <c r="K142" s="58">
        <f t="shared" ref="K142:K205" si="12">ROUNDDOWN(J142*1.1,0)</f>
        <v>16500</v>
      </c>
      <c r="L142" s="18" t="s">
        <v>25</v>
      </c>
      <c r="M142" s="50" t="s">
        <v>1954</v>
      </c>
    </row>
    <row r="143" spans="1:13" ht="21.75" hidden="1" customHeight="1" x14ac:dyDescent="0.4">
      <c r="A143" s="59">
        <v>45116</v>
      </c>
      <c r="B143" s="32" t="s">
        <v>1955</v>
      </c>
      <c r="C143" s="18" t="s">
        <v>27</v>
      </c>
      <c r="D143" s="63" t="s">
        <v>28</v>
      </c>
      <c r="E143" s="50" t="s">
        <v>318</v>
      </c>
      <c r="F143" s="57">
        <v>15000</v>
      </c>
      <c r="G143" s="76"/>
      <c r="H143" s="57">
        <f t="shared" ref="H143:H206" si="13">SUM(F143:G143)</f>
        <v>15000</v>
      </c>
      <c r="I143" s="50">
        <v>1</v>
      </c>
      <c r="J143" s="57">
        <f t="shared" si="11"/>
        <v>15000</v>
      </c>
      <c r="K143" s="58">
        <f t="shared" si="12"/>
        <v>16500</v>
      </c>
      <c r="L143" s="18" t="s">
        <v>1950</v>
      </c>
      <c r="M143" s="50"/>
    </row>
    <row r="144" spans="1:13" ht="21.75" hidden="1" customHeight="1" x14ac:dyDescent="0.4">
      <c r="A144" s="59">
        <v>45116</v>
      </c>
      <c r="B144" s="32" t="s">
        <v>1955</v>
      </c>
      <c r="C144" s="18" t="s">
        <v>27</v>
      </c>
      <c r="D144" s="63" t="s">
        <v>28</v>
      </c>
      <c r="E144" s="50" t="s">
        <v>1956</v>
      </c>
      <c r="F144" s="57">
        <v>17500</v>
      </c>
      <c r="G144" s="76">
        <v>-4375</v>
      </c>
      <c r="H144" s="57">
        <f t="shared" si="13"/>
        <v>13125</v>
      </c>
      <c r="I144" s="50">
        <v>1</v>
      </c>
      <c r="J144" s="57">
        <f t="shared" si="11"/>
        <v>13125</v>
      </c>
      <c r="K144" s="58">
        <f t="shared" si="12"/>
        <v>14437</v>
      </c>
      <c r="L144" s="18" t="s">
        <v>1950</v>
      </c>
      <c r="M144" s="50"/>
    </row>
    <row r="145" spans="1:13" ht="21.75" hidden="1" customHeight="1" x14ac:dyDescent="0.4">
      <c r="A145" s="59">
        <v>45116</v>
      </c>
      <c r="B145" s="32" t="s">
        <v>1957</v>
      </c>
      <c r="C145" s="18" t="s">
        <v>1948</v>
      </c>
      <c r="D145" s="63" t="s">
        <v>1958</v>
      </c>
      <c r="E145" s="124" t="s">
        <v>1959</v>
      </c>
      <c r="F145" s="57">
        <v>2000</v>
      </c>
      <c r="G145" s="76">
        <v>-200</v>
      </c>
      <c r="H145" s="57">
        <f t="shared" si="13"/>
        <v>1800</v>
      </c>
      <c r="I145" s="50">
        <v>1</v>
      </c>
      <c r="J145" s="57">
        <f t="shared" si="11"/>
        <v>1800</v>
      </c>
      <c r="K145" s="58">
        <f t="shared" si="12"/>
        <v>1980</v>
      </c>
      <c r="L145" s="18" t="s">
        <v>25</v>
      </c>
      <c r="M145" s="50"/>
    </row>
    <row r="146" spans="1:13" ht="21.75" hidden="1" customHeight="1" x14ac:dyDescent="0.4">
      <c r="A146" s="59">
        <v>45116</v>
      </c>
      <c r="B146" s="32" t="s">
        <v>162</v>
      </c>
      <c r="C146" s="18" t="s">
        <v>27</v>
      </c>
      <c r="D146" s="63" t="s">
        <v>28</v>
      </c>
      <c r="E146" s="50" t="s">
        <v>73</v>
      </c>
      <c r="F146" s="57">
        <v>2000</v>
      </c>
      <c r="G146" s="76"/>
      <c r="H146" s="57">
        <f t="shared" si="13"/>
        <v>2000</v>
      </c>
      <c r="I146" s="50">
        <v>1</v>
      </c>
      <c r="J146" s="57">
        <f t="shared" si="11"/>
        <v>2000</v>
      </c>
      <c r="K146" s="58">
        <f t="shared" si="12"/>
        <v>2200</v>
      </c>
      <c r="L146" s="18" t="s">
        <v>1950</v>
      </c>
      <c r="M146" s="50"/>
    </row>
    <row r="147" spans="1:13" ht="21.75" hidden="1" customHeight="1" x14ac:dyDescent="0.4">
      <c r="A147" s="59">
        <v>45116</v>
      </c>
      <c r="B147" s="32" t="s">
        <v>162</v>
      </c>
      <c r="C147" s="18" t="s">
        <v>27</v>
      </c>
      <c r="D147" s="63" t="s">
        <v>28</v>
      </c>
      <c r="E147" s="50" t="s">
        <v>1810</v>
      </c>
      <c r="F147" s="57">
        <v>2500</v>
      </c>
      <c r="G147" s="76"/>
      <c r="H147" s="57">
        <f t="shared" si="13"/>
        <v>2500</v>
      </c>
      <c r="I147" s="50">
        <v>1</v>
      </c>
      <c r="J147" s="57">
        <f t="shared" si="11"/>
        <v>2500</v>
      </c>
      <c r="K147" s="58">
        <f t="shared" si="12"/>
        <v>2750</v>
      </c>
      <c r="L147" s="18" t="s">
        <v>1950</v>
      </c>
      <c r="M147" s="50"/>
    </row>
    <row r="148" spans="1:13" ht="21.75" hidden="1" customHeight="1" x14ac:dyDescent="0.4">
      <c r="A148" s="59">
        <v>45116</v>
      </c>
      <c r="B148" s="32" t="s">
        <v>1960</v>
      </c>
      <c r="C148" s="18" t="s">
        <v>27</v>
      </c>
      <c r="D148" s="63" t="s">
        <v>28</v>
      </c>
      <c r="E148" s="50" t="s">
        <v>73</v>
      </c>
      <c r="F148" s="57">
        <v>2000</v>
      </c>
      <c r="G148" s="76"/>
      <c r="H148" s="57">
        <f t="shared" si="13"/>
        <v>2000</v>
      </c>
      <c r="I148" s="50">
        <v>3</v>
      </c>
      <c r="J148" s="57">
        <f t="shared" si="11"/>
        <v>6000</v>
      </c>
      <c r="K148" s="58">
        <f t="shared" si="12"/>
        <v>6600</v>
      </c>
      <c r="L148" s="18" t="s">
        <v>25</v>
      </c>
      <c r="M148" s="50"/>
    </row>
    <row r="149" spans="1:13" ht="21.75" hidden="1" customHeight="1" x14ac:dyDescent="0.4">
      <c r="A149" s="59">
        <v>45117</v>
      </c>
      <c r="B149" s="32" t="s">
        <v>1961</v>
      </c>
      <c r="C149" s="18" t="s">
        <v>17</v>
      </c>
      <c r="D149" s="63" t="s">
        <v>292</v>
      </c>
      <c r="E149" s="50" t="s">
        <v>1962</v>
      </c>
      <c r="F149" s="57">
        <v>5500</v>
      </c>
      <c r="G149" s="76"/>
      <c r="H149" s="57">
        <f t="shared" si="13"/>
        <v>5500</v>
      </c>
      <c r="I149" s="50">
        <v>1</v>
      </c>
      <c r="J149" s="57">
        <f t="shared" si="11"/>
        <v>5500</v>
      </c>
      <c r="K149" s="58">
        <f t="shared" si="12"/>
        <v>6050</v>
      </c>
      <c r="L149" s="18" t="s">
        <v>25</v>
      </c>
      <c r="M149" s="50"/>
    </row>
    <row r="150" spans="1:13" ht="21.75" hidden="1" customHeight="1" x14ac:dyDescent="0.4">
      <c r="A150" s="62">
        <v>45119</v>
      </c>
      <c r="B150" s="32" t="s">
        <v>1963</v>
      </c>
      <c r="C150" s="18" t="s">
        <v>22</v>
      </c>
      <c r="D150" s="63" t="s">
        <v>1496</v>
      </c>
      <c r="E150" s="50" t="s">
        <v>369</v>
      </c>
      <c r="F150" s="57">
        <v>3000</v>
      </c>
      <c r="G150" s="76"/>
      <c r="H150" s="57">
        <f t="shared" si="13"/>
        <v>3000</v>
      </c>
      <c r="I150" s="50">
        <v>1</v>
      </c>
      <c r="J150" s="57">
        <f t="shared" si="11"/>
        <v>3000</v>
      </c>
      <c r="K150" s="58">
        <f t="shared" si="12"/>
        <v>3300</v>
      </c>
      <c r="L150" s="18" t="s">
        <v>1964</v>
      </c>
      <c r="M150" s="50" t="s">
        <v>1954</v>
      </c>
    </row>
    <row r="151" spans="1:13" ht="21.75" hidden="1" customHeight="1" x14ac:dyDescent="0.4">
      <c r="A151" s="62">
        <v>45119</v>
      </c>
      <c r="B151" s="32" t="s">
        <v>1965</v>
      </c>
      <c r="C151" s="18" t="s">
        <v>22</v>
      </c>
      <c r="D151" s="63" t="s">
        <v>23</v>
      </c>
      <c r="E151" s="50" t="s">
        <v>1941</v>
      </c>
      <c r="F151" s="57">
        <v>15000</v>
      </c>
      <c r="G151" s="76"/>
      <c r="H151" s="57">
        <f t="shared" si="13"/>
        <v>15000</v>
      </c>
      <c r="I151" s="50">
        <v>1</v>
      </c>
      <c r="J151" s="57">
        <f t="shared" si="11"/>
        <v>15000</v>
      </c>
      <c r="K151" s="58">
        <f t="shared" si="12"/>
        <v>16500</v>
      </c>
      <c r="L151" s="18" t="s">
        <v>25</v>
      </c>
      <c r="M151" s="50" t="s">
        <v>1954</v>
      </c>
    </row>
    <row r="152" spans="1:13" ht="21.75" hidden="1" customHeight="1" x14ac:dyDescent="0.4">
      <c r="A152" s="62">
        <v>45119</v>
      </c>
      <c r="B152" s="32" t="s">
        <v>1966</v>
      </c>
      <c r="C152" s="18" t="s">
        <v>27</v>
      </c>
      <c r="D152" s="63" t="s">
        <v>28</v>
      </c>
      <c r="E152" s="50" t="s">
        <v>1967</v>
      </c>
      <c r="F152" s="57">
        <v>17500</v>
      </c>
      <c r="G152" s="76"/>
      <c r="H152" s="57">
        <f t="shared" si="13"/>
        <v>17500</v>
      </c>
      <c r="I152" s="50">
        <v>1</v>
      </c>
      <c r="J152" s="57">
        <f t="shared" si="11"/>
        <v>17500</v>
      </c>
      <c r="K152" s="58">
        <f t="shared" si="12"/>
        <v>19250</v>
      </c>
      <c r="L152" s="18" t="s">
        <v>25</v>
      </c>
      <c r="M152" s="50" t="s">
        <v>1969</v>
      </c>
    </row>
    <row r="153" spans="1:13" ht="21.75" hidden="1" customHeight="1" x14ac:dyDescent="0.4">
      <c r="A153" s="62">
        <v>45119</v>
      </c>
      <c r="B153" s="32" t="s">
        <v>1966</v>
      </c>
      <c r="C153" s="18" t="s">
        <v>27</v>
      </c>
      <c r="D153" s="63" t="s">
        <v>28</v>
      </c>
      <c r="E153" s="50" t="s">
        <v>1968</v>
      </c>
      <c r="F153" s="57">
        <v>8750</v>
      </c>
      <c r="G153" s="76"/>
      <c r="H153" s="57">
        <f t="shared" si="13"/>
        <v>8750</v>
      </c>
      <c r="I153" s="50">
        <v>1</v>
      </c>
      <c r="J153" s="57">
        <f t="shared" si="11"/>
        <v>8750</v>
      </c>
      <c r="K153" s="58">
        <f t="shared" si="12"/>
        <v>9625</v>
      </c>
      <c r="L153" s="18" t="s">
        <v>25</v>
      </c>
      <c r="M153" s="50"/>
    </row>
    <row r="154" spans="1:13" ht="21.75" hidden="1" customHeight="1" x14ac:dyDescent="0.4">
      <c r="A154" s="62">
        <v>45119</v>
      </c>
      <c r="B154" s="32" t="s">
        <v>1970</v>
      </c>
      <c r="C154" s="18" t="s">
        <v>27</v>
      </c>
      <c r="D154" s="63" t="s">
        <v>103</v>
      </c>
      <c r="E154" s="50" t="s">
        <v>908</v>
      </c>
      <c r="F154" s="57">
        <v>25000</v>
      </c>
      <c r="G154" s="76"/>
      <c r="H154" s="57">
        <f t="shared" si="13"/>
        <v>25000</v>
      </c>
      <c r="I154" s="50">
        <v>1</v>
      </c>
      <c r="J154" s="57">
        <f t="shared" si="11"/>
        <v>25000</v>
      </c>
      <c r="K154" s="58">
        <f t="shared" si="12"/>
        <v>27500</v>
      </c>
      <c r="L154" s="18" t="s">
        <v>25</v>
      </c>
      <c r="M154" s="50"/>
    </row>
    <row r="155" spans="1:13" ht="21.75" hidden="1" customHeight="1" x14ac:dyDescent="0.4">
      <c r="A155" s="62">
        <v>45120</v>
      </c>
      <c r="B155" s="32" t="s">
        <v>1972</v>
      </c>
      <c r="C155" s="18" t="s">
        <v>22</v>
      </c>
      <c r="D155" s="63" t="s">
        <v>1496</v>
      </c>
      <c r="E155" s="50" t="s">
        <v>369</v>
      </c>
      <c r="F155" s="57">
        <v>3000</v>
      </c>
      <c r="G155" s="76"/>
      <c r="H155" s="57">
        <f t="shared" si="13"/>
        <v>3000</v>
      </c>
      <c r="I155" s="50">
        <v>1</v>
      </c>
      <c r="J155" s="57">
        <f t="shared" si="11"/>
        <v>3000</v>
      </c>
      <c r="K155" s="58">
        <f t="shared" si="12"/>
        <v>3300</v>
      </c>
      <c r="L155" s="18" t="s">
        <v>1964</v>
      </c>
      <c r="M155" s="50" t="s">
        <v>1954</v>
      </c>
    </row>
    <row r="156" spans="1:13" ht="21.75" hidden="1" customHeight="1" x14ac:dyDescent="0.4">
      <c r="A156" s="62">
        <v>45120</v>
      </c>
      <c r="B156" s="32" t="s">
        <v>1961</v>
      </c>
      <c r="C156" s="18" t="s">
        <v>1973</v>
      </c>
      <c r="D156" s="63" t="s">
        <v>426</v>
      </c>
      <c r="E156" s="50" t="s">
        <v>834</v>
      </c>
      <c r="F156" s="57">
        <v>1700</v>
      </c>
      <c r="G156" s="76">
        <v>-170</v>
      </c>
      <c r="H156" s="57">
        <f t="shared" si="13"/>
        <v>1530</v>
      </c>
      <c r="I156" s="50">
        <v>1</v>
      </c>
      <c r="J156" s="57">
        <f t="shared" si="11"/>
        <v>1530</v>
      </c>
      <c r="K156" s="58">
        <f t="shared" si="12"/>
        <v>1683</v>
      </c>
      <c r="L156" s="18" t="s">
        <v>1964</v>
      </c>
      <c r="M156" s="50"/>
    </row>
    <row r="157" spans="1:13" ht="21.75" hidden="1" customHeight="1" x14ac:dyDescent="0.4">
      <c r="A157" s="62">
        <v>45120</v>
      </c>
      <c r="B157" s="32" t="s">
        <v>1961</v>
      </c>
      <c r="C157" s="18" t="s">
        <v>1973</v>
      </c>
      <c r="D157" s="63" t="s">
        <v>426</v>
      </c>
      <c r="E157" s="50" t="s">
        <v>1974</v>
      </c>
      <c r="F157" s="57">
        <v>1700</v>
      </c>
      <c r="G157" s="76">
        <v>-170</v>
      </c>
      <c r="H157" s="57">
        <f t="shared" si="13"/>
        <v>1530</v>
      </c>
      <c r="I157" s="50">
        <v>1</v>
      </c>
      <c r="J157" s="57">
        <f t="shared" si="11"/>
        <v>1530</v>
      </c>
      <c r="K157" s="58">
        <f t="shared" si="12"/>
        <v>1683</v>
      </c>
      <c r="L157" s="18" t="s">
        <v>1964</v>
      </c>
      <c r="M157" s="50"/>
    </row>
    <row r="158" spans="1:13" ht="21.75" hidden="1" customHeight="1" x14ac:dyDescent="0.4">
      <c r="A158" s="62">
        <v>45120</v>
      </c>
      <c r="B158" s="32" t="s">
        <v>428</v>
      </c>
      <c r="C158" s="18" t="s">
        <v>1973</v>
      </c>
      <c r="D158" s="63" t="s">
        <v>328</v>
      </c>
      <c r="E158" s="50" t="s">
        <v>1975</v>
      </c>
      <c r="F158" s="57">
        <v>5100</v>
      </c>
      <c r="G158" s="76">
        <v>-510</v>
      </c>
      <c r="H158" s="57">
        <f t="shared" si="13"/>
        <v>4590</v>
      </c>
      <c r="I158" s="50">
        <v>1</v>
      </c>
      <c r="J158" s="57">
        <f t="shared" si="11"/>
        <v>4590</v>
      </c>
      <c r="K158" s="58">
        <f t="shared" si="12"/>
        <v>5049</v>
      </c>
      <c r="L158" s="18" t="s">
        <v>25</v>
      </c>
      <c r="M158" s="50"/>
    </row>
    <row r="159" spans="1:13" ht="21.75" hidden="1" customHeight="1" x14ac:dyDescent="0.4">
      <c r="A159" s="62">
        <v>45121</v>
      </c>
      <c r="B159" s="32" t="s">
        <v>1976</v>
      </c>
      <c r="C159" s="18" t="s">
        <v>22</v>
      </c>
      <c r="D159" s="63" t="s">
        <v>1496</v>
      </c>
      <c r="E159" s="50" t="s">
        <v>369</v>
      </c>
      <c r="F159" s="57">
        <v>3000</v>
      </c>
      <c r="G159" s="76"/>
      <c r="H159" s="57">
        <f t="shared" si="13"/>
        <v>3000</v>
      </c>
      <c r="I159" s="50">
        <v>1</v>
      </c>
      <c r="J159" s="57">
        <f t="shared" si="11"/>
        <v>3000</v>
      </c>
      <c r="K159" s="58">
        <f t="shared" si="12"/>
        <v>3300</v>
      </c>
      <c r="L159" s="18" t="s">
        <v>25</v>
      </c>
      <c r="M159" s="50" t="s">
        <v>1954</v>
      </c>
    </row>
    <row r="160" spans="1:13" ht="21.75" hidden="1" customHeight="1" x14ac:dyDescent="0.4">
      <c r="A160" s="62">
        <v>45121</v>
      </c>
      <c r="B160" s="32" t="s">
        <v>1977</v>
      </c>
      <c r="C160" s="18" t="s">
        <v>1973</v>
      </c>
      <c r="D160" s="63" t="s">
        <v>328</v>
      </c>
      <c r="E160" s="50" t="s">
        <v>1978</v>
      </c>
      <c r="F160" s="57">
        <v>13000</v>
      </c>
      <c r="G160" s="76"/>
      <c r="H160" s="57">
        <f t="shared" si="13"/>
        <v>13000</v>
      </c>
      <c r="I160" s="50">
        <v>1</v>
      </c>
      <c r="J160" s="57">
        <f t="shared" si="11"/>
        <v>13000</v>
      </c>
      <c r="K160" s="58">
        <f t="shared" si="12"/>
        <v>14300</v>
      </c>
      <c r="L160" s="18" t="s">
        <v>25</v>
      </c>
      <c r="M160" s="50"/>
    </row>
    <row r="161" spans="1:13" ht="21.75" hidden="1" customHeight="1" x14ac:dyDescent="0.4">
      <c r="A161" s="62">
        <v>45121</v>
      </c>
      <c r="B161" s="32" t="s">
        <v>1977</v>
      </c>
      <c r="C161" s="18" t="s">
        <v>1973</v>
      </c>
      <c r="D161" s="63" t="s">
        <v>330</v>
      </c>
      <c r="E161" s="50" t="s">
        <v>1979</v>
      </c>
      <c r="F161" s="57">
        <v>3000</v>
      </c>
      <c r="G161" s="76"/>
      <c r="H161" s="57">
        <f t="shared" si="13"/>
        <v>3000</v>
      </c>
      <c r="I161" s="50">
        <v>1</v>
      </c>
      <c r="J161" s="57">
        <f t="shared" si="11"/>
        <v>3000</v>
      </c>
      <c r="K161" s="58">
        <f t="shared" si="12"/>
        <v>3300</v>
      </c>
      <c r="L161" s="18" t="s">
        <v>25</v>
      </c>
      <c r="M161" s="50"/>
    </row>
    <row r="162" spans="1:13" ht="21.75" hidden="1" customHeight="1" x14ac:dyDescent="0.4">
      <c r="A162" s="62">
        <v>45121</v>
      </c>
      <c r="B162" s="32" t="s">
        <v>503</v>
      </c>
      <c r="C162" s="18" t="s">
        <v>1973</v>
      </c>
      <c r="D162" s="63" t="s">
        <v>1980</v>
      </c>
      <c r="E162" s="50" t="s">
        <v>1981</v>
      </c>
      <c r="F162" s="57">
        <v>2100</v>
      </c>
      <c r="G162" s="76"/>
      <c r="H162" s="57">
        <f t="shared" si="13"/>
        <v>2100</v>
      </c>
      <c r="I162" s="50">
        <v>1</v>
      </c>
      <c r="J162" s="57">
        <f t="shared" si="11"/>
        <v>2100</v>
      </c>
      <c r="K162" s="58">
        <f t="shared" si="12"/>
        <v>2310</v>
      </c>
      <c r="L162" s="18" t="s">
        <v>25</v>
      </c>
      <c r="M162" s="50"/>
    </row>
    <row r="163" spans="1:13" ht="21.75" hidden="1" customHeight="1" x14ac:dyDescent="0.4">
      <c r="A163" s="62">
        <v>45121</v>
      </c>
      <c r="B163" s="32" t="s">
        <v>503</v>
      </c>
      <c r="C163" s="18" t="s">
        <v>1973</v>
      </c>
      <c r="D163" s="63" t="s">
        <v>292</v>
      </c>
      <c r="E163" s="50" t="s">
        <v>1982</v>
      </c>
      <c r="F163" s="57">
        <v>5500</v>
      </c>
      <c r="G163" s="76"/>
      <c r="H163" s="57">
        <f t="shared" si="13"/>
        <v>5500</v>
      </c>
      <c r="I163" s="50">
        <v>1</v>
      </c>
      <c r="J163" s="57">
        <f t="shared" si="11"/>
        <v>5500</v>
      </c>
      <c r="K163" s="58">
        <f t="shared" si="12"/>
        <v>6050</v>
      </c>
      <c r="L163" s="18" t="s">
        <v>25</v>
      </c>
      <c r="M163" s="50"/>
    </row>
    <row r="164" spans="1:13" ht="21.75" hidden="1" customHeight="1" x14ac:dyDescent="0.4">
      <c r="A164" s="62">
        <v>45121</v>
      </c>
      <c r="B164" s="32" t="s">
        <v>503</v>
      </c>
      <c r="C164" s="18" t="s">
        <v>1973</v>
      </c>
      <c r="D164" s="63" t="s">
        <v>292</v>
      </c>
      <c r="E164" s="50" t="s">
        <v>1983</v>
      </c>
      <c r="F164" s="57">
        <v>5500</v>
      </c>
      <c r="G164" s="76"/>
      <c r="H164" s="57">
        <f t="shared" si="13"/>
        <v>5500</v>
      </c>
      <c r="I164" s="50">
        <v>1</v>
      </c>
      <c r="J164" s="57">
        <f t="shared" si="11"/>
        <v>5500</v>
      </c>
      <c r="K164" s="58">
        <f t="shared" si="12"/>
        <v>6050</v>
      </c>
      <c r="L164" s="18" t="s">
        <v>25</v>
      </c>
      <c r="M164" s="50"/>
    </row>
    <row r="165" spans="1:13" ht="21.75" hidden="1" customHeight="1" x14ac:dyDescent="0.4">
      <c r="A165" s="62">
        <v>45122</v>
      </c>
      <c r="B165" s="32" t="s">
        <v>1984</v>
      </c>
      <c r="C165" s="18" t="s">
        <v>22</v>
      </c>
      <c r="D165" s="63" t="s">
        <v>1496</v>
      </c>
      <c r="E165" s="50" t="s">
        <v>369</v>
      </c>
      <c r="F165" s="57">
        <v>3000</v>
      </c>
      <c r="G165" s="76"/>
      <c r="H165" s="57">
        <f t="shared" si="13"/>
        <v>3000</v>
      </c>
      <c r="I165" s="50">
        <v>1</v>
      </c>
      <c r="J165" s="57">
        <f t="shared" si="11"/>
        <v>3000</v>
      </c>
      <c r="K165" s="58">
        <f t="shared" si="12"/>
        <v>3300</v>
      </c>
      <c r="L165" s="18" t="s">
        <v>1964</v>
      </c>
      <c r="M165" s="50" t="s">
        <v>1954</v>
      </c>
    </row>
    <row r="166" spans="1:13" ht="21.75" hidden="1" customHeight="1" x14ac:dyDescent="0.4">
      <c r="A166" s="62">
        <v>45123</v>
      </c>
      <c r="B166" s="32" t="s">
        <v>1984</v>
      </c>
      <c r="C166" s="18" t="s">
        <v>27</v>
      </c>
      <c r="D166" s="63" t="s">
        <v>28</v>
      </c>
      <c r="E166" s="50" t="s">
        <v>318</v>
      </c>
      <c r="F166" s="57">
        <v>15000</v>
      </c>
      <c r="G166" s="76"/>
      <c r="H166" s="57">
        <f t="shared" si="13"/>
        <v>15000</v>
      </c>
      <c r="I166" s="50">
        <v>1</v>
      </c>
      <c r="J166" s="57">
        <f t="shared" si="11"/>
        <v>15000</v>
      </c>
      <c r="K166" s="58">
        <f t="shared" si="12"/>
        <v>16500</v>
      </c>
      <c r="L166" s="18" t="s">
        <v>25</v>
      </c>
      <c r="M166" s="50"/>
    </row>
    <row r="167" spans="1:13" ht="21.75" hidden="1" customHeight="1" x14ac:dyDescent="0.4">
      <c r="A167" s="62">
        <v>45123</v>
      </c>
      <c r="B167" s="32" t="s">
        <v>1984</v>
      </c>
      <c r="C167" s="18" t="s">
        <v>27</v>
      </c>
      <c r="D167" s="63" t="s">
        <v>28</v>
      </c>
      <c r="E167" s="50" t="s">
        <v>1986</v>
      </c>
      <c r="F167" s="57">
        <v>5620</v>
      </c>
      <c r="G167" s="76"/>
      <c r="H167" s="57">
        <f t="shared" si="13"/>
        <v>5620</v>
      </c>
      <c r="I167" s="50">
        <v>1</v>
      </c>
      <c r="J167" s="57">
        <f t="shared" si="11"/>
        <v>5620</v>
      </c>
      <c r="K167" s="58">
        <f t="shared" si="12"/>
        <v>6182</v>
      </c>
      <c r="L167" s="18" t="s">
        <v>25</v>
      </c>
      <c r="M167" s="50"/>
    </row>
    <row r="168" spans="1:13" ht="21.75" hidden="1" customHeight="1" x14ac:dyDescent="0.4">
      <c r="A168" s="62">
        <v>45123</v>
      </c>
      <c r="B168" s="32" t="s">
        <v>1984</v>
      </c>
      <c r="C168" s="18" t="s">
        <v>27</v>
      </c>
      <c r="D168" s="63" t="s">
        <v>28</v>
      </c>
      <c r="E168" s="50" t="s">
        <v>1988</v>
      </c>
      <c r="F168" s="57">
        <v>22500</v>
      </c>
      <c r="G168" s="76"/>
      <c r="H168" s="57">
        <f t="shared" si="13"/>
        <v>22500</v>
      </c>
      <c r="I168" s="50">
        <v>1</v>
      </c>
      <c r="J168" s="57">
        <f t="shared" si="11"/>
        <v>22500</v>
      </c>
      <c r="K168" s="58">
        <f t="shared" si="12"/>
        <v>24750</v>
      </c>
      <c r="L168" s="18" t="s">
        <v>25</v>
      </c>
      <c r="M168" s="50"/>
    </row>
    <row r="169" spans="1:13" ht="21.75" hidden="1" customHeight="1" x14ac:dyDescent="0.4">
      <c r="A169" s="62">
        <v>45123</v>
      </c>
      <c r="B169" s="32" t="s">
        <v>1989</v>
      </c>
      <c r="C169" s="18" t="s">
        <v>27</v>
      </c>
      <c r="D169" s="63" t="s">
        <v>28</v>
      </c>
      <c r="E169" s="50" t="s">
        <v>318</v>
      </c>
      <c r="F169" s="57">
        <v>15000</v>
      </c>
      <c r="G169" s="76"/>
      <c r="H169" s="57">
        <f t="shared" si="13"/>
        <v>15000</v>
      </c>
      <c r="I169" s="50">
        <v>2</v>
      </c>
      <c r="J169" s="57">
        <f t="shared" si="11"/>
        <v>30000</v>
      </c>
      <c r="K169" s="58">
        <f t="shared" si="12"/>
        <v>33000</v>
      </c>
      <c r="L169" s="18" t="s">
        <v>34</v>
      </c>
      <c r="M169" s="50"/>
    </row>
    <row r="170" spans="1:13" ht="21.75" hidden="1" customHeight="1" x14ac:dyDescent="0.4">
      <c r="A170" s="62">
        <v>45123</v>
      </c>
      <c r="B170" s="32" t="s">
        <v>1989</v>
      </c>
      <c r="C170" s="18" t="s">
        <v>27</v>
      </c>
      <c r="D170" s="63" t="s">
        <v>28</v>
      </c>
      <c r="E170" s="50" t="s">
        <v>1985</v>
      </c>
      <c r="F170" s="57">
        <v>5620</v>
      </c>
      <c r="G170" s="76"/>
      <c r="H170" s="57">
        <f t="shared" si="13"/>
        <v>5620</v>
      </c>
      <c r="I170" s="50">
        <v>1</v>
      </c>
      <c r="J170" s="57">
        <f t="shared" si="11"/>
        <v>5620</v>
      </c>
      <c r="K170" s="58">
        <f t="shared" si="12"/>
        <v>6182</v>
      </c>
      <c r="L170" s="18" t="s">
        <v>34</v>
      </c>
      <c r="M170" s="50"/>
    </row>
    <row r="171" spans="1:13" ht="21.75" hidden="1" customHeight="1" x14ac:dyDescent="0.4">
      <c r="A171" s="62">
        <v>45123</v>
      </c>
      <c r="B171" s="32" t="s">
        <v>1989</v>
      </c>
      <c r="C171" s="18" t="s">
        <v>27</v>
      </c>
      <c r="D171" s="63" t="s">
        <v>28</v>
      </c>
      <c r="E171" s="50" t="s">
        <v>1990</v>
      </c>
      <c r="F171" s="57">
        <v>3937</v>
      </c>
      <c r="G171" s="76"/>
      <c r="H171" s="57">
        <f t="shared" si="13"/>
        <v>3937</v>
      </c>
      <c r="I171" s="50">
        <v>1</v>
      </c>
      <c r="J171" s="57">
        <f t="shared" si="11"/>
        <v>3937</v>
      </c>
      <c r="K171" s="58">
        <f t="shared" si="12"/>
        <v>4330</v>
      </c>
      <c r="L171" s="18" t="s">
        <v>34</v>
      </c>
      <c r="M171" s="50" t="s">
        <v>1992</v>
      </c>
    </row>
    <row r="172" spans="1:13" ht="21.75" hidden="1" customHeight="1" x14ac:dyDescent="0.4">
      <c r="A172" s="62">
        <v>45123</v>
      </c>
      <c r="B172" s="32" t="s">
        <v>1989</v>
      </c>
      <c r="C172" s="18" t="s">
        <v>27</v>
      </c>
      <c r="D172" s="63" t="s">
        <v>28</v>
      </c>
      <c r="E172" s="50" t="s">
        <v>1987</v>
      </c>
      <c r="F172" s="57">
        <v>22500</v>
      </c>
      <c r="G172" s="76"/>
      <c r="H172" s="57">
        <f t="shared" si="13"/>
        <v>22500</v>
      </c>
      <c r="I172" s="50">
        <v>1</v>
      </c>
      <c r="J172" s="57">
        <f t="shared" si="11"/>
        <v>22500</v>
      </c>
      <c r="K172" s="58">
        <f t="shared" si="12"/>
        <v>24750</v>
      </c>
      <c r="L172" s="18" t="s">
        <v>34</v>
      </c>
      <c r="M172" s="50"/>
    </row>
    <row r="173" spans="1:13" ht="21.75" hidden="1" customHeight="1" x14ac:dyDescent="0.4">
      <c r="A173" s="62">
        <v>45123</v>
      </c>
      <c r="B173" s="32" t="s">
        <v>1989</v>
      </c>
      <c r="C173" s="18" t="s">
        <v>27</v>
      </c>
      <c r="D173" s="63" t="s">
        <v>28</v>
      </c>
      <c r="E173" s="50" t="s">
        <v>1991</v>
      </c>
      <c r="F173" s="57">
        <v>15750</v>
      </c>
      <c r="G173" s="76"/>
      <c r="H173" s="57">
        <f t="shared" si="13"/>
        <v>15750</v>
      </c>
      <c r="I173" s="50">
        <v>1</v>
      </c>
      <c r="J173" s="57">
        <f t="shared" si="11"/>
        <v>15750</v>
      </c>
      <c r="K173" s="58">
        <f t="shared" si="12"/>
        <v>17325</v>
      </c>
      <c r="L173" s="18" t="s">
        <v>34</v>
      </c>
      <c r="M173" s="50" t="s">
        <v>1992</v>
      </c>
    </row>
    <row r="174" spans="1:13" ht="21.75" hidden="1" customHeight="1" x14ac:dyDescent="0.4">
      <c r="A174" s="62">
        <v>45123</v>
      </c>
      <c r="B174" s="32" t="s">
        <v>1993</v>
      </c>
      <c r="C174" s="18" t="s">
        <v>22</v>
      </c>
      <c r="D174" s="63" t="s">
        <v>1496</v>
      </c>
      <c r="E174" s="50" t="s">
        <v>369</v>
      </c>
      <c r="F174" s="57">
        <v>3000</v>
      </c>
      <c r="G174" s="76"/>
      <c r="H174" s="57">
        <f t="shared" si="13"/>
        <v>3000</v>
      </c>
      <c r="I174" s="50">
        <v>1</v>
      </c>
      <c r="J174" s="57">
        <f t="shared" si="11"/>
        <v>3000</v>
      </c>
      <c r="K174" s="58">
        <f t="shared" si="12"/>
        <v>3300</v>
      </c>
      <c r="L174" s="18" t="s">
        <v>1964</v>
      </c>
      <c r="M174" s="50"/>
    </row>
    <row r="175" spans="1:13" ht="21.75" hidden="1" customHeight="1" x14ac:dyDescent="0.4">
      <c r="A175" s="62">
        <v>45124</v>
      </c>
      <c r="B175" s="32" t="s">
        <v>1994</v>
      </c>
      <c r="C175" s="18" t="s">
        <v>27</v>
      </c>
      <c r="D175" s="63" t="s">
        <v>103</v>
      </c>
      <c r="E175" s="50" t="s">
        <v>1995</v>
      </c>
      <c r="F175" s="57">
        <v>2500</v>
      </c>
      <c r="G175" s="76"/>
      <c r="H175" s="57">
        <f t="shared" si="13"/>
        <v>2500</v>
      </c>
      <c r="I175" s="50">
        <v>1</v>
      </c>
      <c r="J175" s="57">
        <f t="shared" si="11"/>
        <v>2500</v>
      </c>
      <c r="K175" s="58">
        <f t="shared" si="12"/>
        <v>2750</v>
      </c>
      <c r="L175" s="18" t="s">
        <v>1964</v>
      </c>
      <c r="M175" s="50"/>
    </row>
    <row r="176" spans="1:13" ht="21.75" hidden="1" customHeight="1" x14ac:dyDescent="0.4">
      <c r="A176" s="62">
        <v>45126</v>
      </c>
      <c r="B176" s="32" t="s">
        <v>1976</v>
      </c>
      <c r="C176" s="18" t="s">
        <v>27</v>
      </c>
      <c r="D176" s="63" t="s">
        <v>28</v>
      </c>
      <c r="E176" s="50" t="s">
        <v>318</v>
      </c>
      <c r="F176" s="57">
        <v>15000</v>
      </c>
      <c r="G176" s="76"/>
      <c r="H176" s="57">
        <f t="shared" si="13"/>
        <v>15000</v>
      </c>
      <c r="I176" s="50">
        <v>1</v>
      </c>
      <c r="J176" s="57">
        <f t="shared" si="11"/>
        <v>15000</v>
      </c>
      <c r="K176" s="58">
        <f t="shared" si="12"/>
        <v>16500</v>
      </c>
      <c r="L176" s="18" t="s">
        <v>25</v>
      </c>
      <c r="M176" s="50"/>
    </row>
    <row r="177" spans="1:13" ht="21.75" hidden="1" customHeight="1" x14ac:dyDescent="0.4">
      <c r="A177" s="62">
        <v>45126</v>
      </c>
      <c r="B177" s="32" t="s">
        <v>1976</v>
      </c>
      <c r="C177" s="18" t="s">
        <v>27</v>
      </c>
      <c r="D177" s="63" t="s">
        <v>28</v>
      </c>
      <c r="E177" s="50" t="s">
        <v>1996</v>
      </c>
      <c r="F177" s="57">
        <v>4370</v>
      </c>
      <c r="G177" s="76"/>
      <c r="H177" s="57">
        <f t="shared" si="13"/>
        <v>4370</v>
      </c>
      <c r="I177" s="50">
        <v>1</v>
      </c>
      <c r="J177" s="57">
        <f t="shared" si="11"/>
        <v>4370</v>
      </c>
      <c r="K177" s="58">
        <f t="shared" si="12"/>
        <v>4807</v>
      </c>
      <c r="L177" s="18" t="s">
        <v>25</v>
      </c>
      <c r="M177" s="50"/>
    </row>
    <row r="178" spans="1:13" ht="21.75" hidden="1" customHeight="1" x14ac:dyDescent="0.4">
      <c r="A178" s="62">
        <v>45126</v>
      </c>
      <c r="B178" s="32" t="s">
        <v>1976</v>
      </c>
      <c r="C178" s="18" t="s">
        <v>27</v>
      </c>
      <c r="D178" s="63" t="s">
        <v>28</v>
      </c>
      <c r="E178" s="50" t="s">
        <v>1967</v>
      </c>
      <c r="F178" s="57">
        <v>17500</v>
      </c>
      <c r="G178" s="76"/>
      <c r="H178" s="57">
        <f t="shared" si="13"/>
        <v>17500</v>
      </c>
      <c r="I178" s="50">
        <v>1</v>
      </c>
      <c r="J178" s="57">
        <f t="shared" si="11"/>
        <v>17500</v>
      </c>
      <c r="K178" s="58">
        <f t="shared" si="12"/>
        <v>19250</v>
      </c>
      <c r="L178" s="18" t="s">
        <v>25</v>
      </c>
      <c r="M178" s="50"/>
    </row>
    <row r="179" spans="1:13" ht="21.75" hidden="1" customHeight="1" x14ac:dyDescent="0.4">
      <c r="A179" s="62">
        <v>45127</v>
      </c>
      <c r="B179" s="32" t="s">
        <v>1997</v>
      </c>
      <c r="C179" s="18" t="s">
        <v>22</v>
      </c>
      <c r="D179" s="63" t="s">
        <v>23</v>
      </c>
      <c r="E179" s="50" t="s">
        <v>1941</v>
      </c>
      <c r="F179" s="57">
        <v>15000</v>
      </c>
      <c r="G179" s="76">
        <v>-5000</v>
      </c>
      <c r="H179" s="57">
        <f t="shared" si="13"/>
        <v>10000</v>
      </c>
      <c r="I179" s="50">
        <v>1</v>
      </c>
      <c r="J179" s="57">
        <f t="shared" si="11"/>
        <v>10000</v>
      </c>
      <c r="K179" s="58">
        <f t="shared" si="12"/>
        <v>11000</v>
      </c>
      <c r="L179" s="18" t="s">
        <v>25</v>
      </c>
      <c r="M179" s="50" t="s">
        <v>1954</v>
      </c>
    </row>
    <row r="180" spans="1:13" ht="21.75" hidden="1" customHeight="1" x14ac:dyDescent="0.4">
      <c r="A180" s="62">
        <v>45127</v>
      </c>
      <c r="B180" s="32" t="s">
        <v>593</v>
      </c>
      <c r="C180" s="18" t="s">
        <v>1998</v>
      </c>
      <c r="D180" s="63" t="s">
        <v>283</v>
      </c>
      <c r="E180" s="50" t="s">
        <v>1999</v>
      </c>
      <c r="F180" s="57">
        <v>12000</v>
      </c>
      <c r="G180" s="76">
        <v>-1200</v>
      </c>
      <c r="H180" s="57">
        <f t="shared" si="13"/>
        <v>10800</v>
      </c>
      <c r="I180" s="50">
        <v>1</v>
      </c>
      <c r="J180" s="57">
        <f t="shared" si="11"/>
        <v>10800</v>
      </c>
      <c r="K180" s="58">
        <f t="shared" si="12"/>
        <v>11880</v>
      </c>
      <c r="L180" s="18" t="s">
        <v>25</v>
      </c>
      <c r="M180" s="50"/>
    </row>
    <row r="181" spans="1:13" ht="21.75" hidden="1" customHeight="1" x14ac:dyDescent="0.4">
      <c r="A181" s="62">
        <v>45127</v>
      </c>
      <c r="B181" s="32" t="s">
        <v>2000</v>
      </c>
      <c r="C181" s="18" t="s">
        <v>22</v>
      </c>
      <c r="D181" s="63" t="s">
        <v>23</v>
      </c>
      <c r="E181" s="50" t="s">
        <v>1941</v>
      </c>
      <c r="F181" s="57">
        <v>15000</v>
      </c>
      <c r="G181" s="76"/>
      <c r="H181" s="57">
        <f t="shared" si="13"/>
        <v>15000</v>
      </c>
      <c r="I181" s="50">
        <v>1</v>
      </c>
      <c r="J181" s="57">
        <f t="shared" si="11"/>
        <v>15000</v>
      </c>
      <c r="K181" s="58">
        <f t="shared" si="12"/>
        <v>16500</v>
      </c>
      <c r="L181" s="18" t="s">
        <v>25</v>
      </c>
      <c r="M181" s="50"/>
    </row>
    <row r="182" spans="1:13" ht="21.75" hidden="1" customHeight="1" x14ac:dyDescent="0.4">
      <c r="A182" s="62">
        <v>45127</v>
      </c>
      <c r="B182" s="32" t="s">
        <v>2001</v>
      </c>
      <c r="C182" s="18" t="s">
        <v>1998</v>
      </c>
      <c r="D182" s="63" t="s">
        <v>292</v>
      </c>
      <c r="E182" s="50" t="s">
        <v>2002</v>
      </c>
      <c r="F182" s="57">
        <v>5500</v>
      </c>
      <c r="G182" s="76"/>
      <c r="H182" s="57">
        <f t="shared" si="13"/>
        <v>5500</v>
      </c>
      <c r="I182" s="50">
        <v>2</v>
      </c>
      <c r="J182" s="57">
        <f t="shared" si="11"/>
        <v>11000</v>
      </c>
      <c r="K182" s="58">
        <f t="shared" si="12"/>
        <v>12100</v>
      </c>
      <c r="L182" s="18" t="s">
        <v>25</v>
      </c>
      <c r="M182" s="50"/>
    </row>
    <row r="183" spans="1:13" ht="21.75" hidden="1" customHeight="1" x14ac:dyDescent="0.4">
      <c r="A183" s="62">
        <v>45127</v>
      </c>
      <c r="B183" s="32" t="s">
        <v>2001</v>
      </c>
      <c r="C183" s="18" t="s">
        <v>1998</v>
      </c>
      <c r="D183" s="63" t="s">
        <v>292</v>
      </c>
      <c r="E183" s="50" t="s">
        <v>2003</v>
      </c>
      <c r="F183" s="57">
        <v>5500</v>
      </c>
      <c r="G183" s="76"/>
      <c r="H183" s="57">
        <f t="shared" si="13"/>
        <v>5500</v>
      </c>
      <c r="I183" s="50">
        <v>2</v>
      </c>
      <c r="J183" s="57">
        <f t="shared" si="11"/>
        <v>11000</v>
      </c>
      <c r="K183" s="58">
        <f t="shared" si="12"/>
        <v>12100</v>
      </c>
      <c r="L183" s="18" t="s">
        <v>25</v>
      </c>
      <c r="M183" s="50"/>
    </row>
    <row r="184" spans="1:13" ht="21.75" hidden="1" customHeight="1" x14ac:dyDescent="0.4">
      <c r="A184" s="62">
        <v>45128</v>
      </c>
      <c r="B184" s="32" t="s">
        <v>179</v>
      </c>
      <c r="C184" s="18" t="s">
        <v>1998</v>
      </c>
      <c r="D184" s="63" t="s">
        <v>332</v>
      </c>
      <c r="E184" s="50" t="s">
        <v>2004</v>
      </c>
      <c r="F184" s="57">
        <v>1400</v>
      </c>
      <c r="G184" s="76">
        <v>-140</v>
      </c>
      <c r="H184" s="57">
        <f t="shared" si="13"/>
        <v>1260</v>
      </c>
      <c r="I184" s="50">
        <v>1</v>
      </c>
      <c r="J184" s="57">
        <f t="shared" si="11"/>
        <v>1260</v>
      </c>
      <c r="K184" s="58">
        <f t="shared" si="12"/>
        <v>1386</v>
      </c>
      <c r="L184" s="18" t="s">
        <v>2005</v>
      </c>
      <c r="M184" s="50"/>
    </row>
    <row r="185" spans="1:13" ht="21.75" hidden="1" customHeight="1" x14ac:dyDescent="0.4">
      <c r="A185" s="62">
        <v>45129</v>
      </c>
      <c r="B185" s="32" t="s">
        <v>2000</v>
      </c>
      <c r="C185" s="18" t="s">
        <v>22</v>
      </c>
      <c r="D185" s="63" t="s">
        <v>1496</v>
      </c>
      <c r="E185" s="50" t="s">
        <v>369</v>
      </c>
      <c r="F185" s="57">
        <v>3000</v>
      </c>
      <c r="G185" s="76"/>
      <c r="H185" s="57">
        <f t="shared" si="13"/>
        <v>3000</v>
      </c>
      <c r="I185" s="50">
        <v>1</v>
      </c>
      <c r="J185" s="57">
        <f t="shared" si="11"/>
        <v>3000</v>
      </c>
      <c r="K185" s="58">
        <f t="shared" si="12"/>
        <v>3300</v>
      </c>
      <c r="L185" s="18" t="s">
        <v>25</v>
      </c>
      <c r="M185" s="50" t="s">
        <v>1954</v>
      </c>
    </row>
    <row r="186" spans="1:13" ht="21.75" hidden="1" customHeight="1" x14ac:dyDescent="0.4">
      <c r="A186" s="62">
        <v>45130</v>
      </c>
      <c r="B186" s="32" t="s">
        <v>2006</v>
      </c>
      <c r="C186" s="18" t="s">
        <v>1998</v>
      </c>
      <c r="D186" s="63" t="s">
        <v>328</v>
      </c>
      <c r="E186" s="50" t="s">
        <v>2007</v>
      </c>
      <c r="F186" s="57">
        <v>50000</v>
      </c>
      <c r="G186" s="76"/>
      <c r="H186" s="57">
        <f t="shared" si="13"/>
        <v>50000</v>
      </c>
      <c r="I186" s="50">
        <v>1</v>
      </c>
      <c r="J186" s="57">
        <f t="shared" si="11"/>
        <v>50000</v>
      </c>
      <c r="K186" s="58">
        <f t="shared" si="12"/>
        <v>55000</v>
      </c>
      <c r="L186" s="18" t="s">
        <v>2005</v>
      </c>
      <c r="M186" s="50"/>
    </row>
    <row r="187" spans="1:13" ht="21.75" hidden="1" customHeight="1" x14ac:dyDescent="0.4">
      <c r="A187" s="62">
        <v>45130</v>
      </c>
      <c r="B187" s="32" t="s">
        <v>2006</v>
      </c>
      <c r="C187" s="18" t="s">
        <v>1998</v>
      </c>
      <c r="D187" s="63" t="s">
        <v>576</v>
      </c>
      <c r="E187" s="50" t="s">
        <v>2008</v>
      </c>
      <c r="F187" s="57">
        <v>80000</v>
      </c>
      <c r="G187" s="76"/>
      <c r="H187" s="57">
        <f t="shared" si="13"/>
        <v>80000</v>
      </c>
      <c r="I187" s="50">
        <v>1</v>
      </c>
      <c r="J187" s="57">
        <f t="shared" si="11"/>
        <v>80000</v>
      </c>
      <c r="K187" s="58">
        <f t="shared" si="12"/>
        <v>88000</v>
      </c>
      <c r="L187" s="18" t="s">
        <v>2005</v>
      </c>
      <c r="M187" s="50"/>
    </row>
    <row r="188" spans="1:13" ht="21.75" hidden="1" customHeight="1" x14ac:dyDescent="0.4">
      <c r="A188" s="62">
        <v>45130</v>
      </c>
      <c r="B188" s="32" t="s">
        <v>2006</v>
      </c>
      <c r="C188" s="18" t="s">
        <v>22</v>
      </c>
      <c r="D188" s="63" t="s">
        <v>1496</v>
      </c>
      <c r="E188" s="50" t="s">
        <v>369</v>
      </c>
      <c r="F188" s="57">
        <v>3000</v>
      </c>
      <c r="G188" s="76"/>
      <c r="H188" s="57">
        <f t="shared" si="13"/>
        <v>3000</v>
      </c>
      <c r="I188" s="50">
        <v>1</v>
      </c>
      <c r="J188" s="57">
        <f t="shared" si="11"/>
        <v>3000</v>
      </c>
      <c r="K188" s="58">
        <f t="shared" si="12"/>
        <v>3300</v>
      </c>
      <c r="L188" s="18" t="s">
        <v>2005</v>
      </c>
      <c r="M188" s="50" t="s">
        <v>2010</v>
      </c>
    </row>
    <row r="189" spans="1:13" ht="21.75" hidden="1" customHeight="1" x14ac:dyDescent="0.4">
      <c r="A189" s="62">
        <v>45130</v>
      </c>
      <c r="B189" s="32" t="s">
        <v>2006</v>
      </c>
      <c r="C189" s="18" t="s">
        <v>1998</v>
      </c>
      <c r="D189" s="63" t="s">
        <v>332</v>
      </c>
      <c r="E189" s="50" t="s">
        <v>2009</v>
      </c>
      <c r="F189" s="57">
        <v>1090</v>
      </c>
      <c r="G189" s="76"/>
      <c r="H189" s="57">
        <f t="shared" si="13"/>
        <v>1090</v>
      </c>
      <c r="I189" s="50">
        <v>1</v>
      </c>
      <c r="J189" s="57">
        <f t="shared" si="11"/>
        <v>1090</v>
      </c>
      <c r="K189" s="58">
        <f t="shared" si="12"/>
        <v>1199</v>
      </c>
      <c r="L189" s="18" t="s">
        <v>2005</v>
      </c>
      <c r="M189" s="50"/>
    </row>
    <row r="190" spans="1:13" ht="21.75" hidden="1" customHeight="1" x14ac:dyDescent="0.4">
      <c r="A190" s="62">
        <v>45130</v>
      </c>
      <c r="B190" s="32" t="s">
        <v>2006</v>
      </c>
      <c r="C190" s="18" t="s">
        <v>1998</v>
      </c>
      <c r="D190" s="63" t="s">
        <v>330</v>
      </c>
      <c r="E190" s="50" t="s">
        <v>2011</v>
      </c>
      <c r="F190" s="57">
        <v>4000</v>
      </c>
      <c r="G190" s="76"/>
      <c r="H190" s="57">
        <f t="shared" si="13"/>
        <v>4000</v>
      </c>
      <c r="I190" s="50">
        <v>1</v>
      </c>
      <c r="J190" s="57">
        <f t="shared" si="11"/>
        <v>4000</v>
      </c>
      <c r="K190" s="58">
        <f t="shared" si="12"/>
        <v>4400</v>
      </c>
      <c r="L190" s="18" t="s">
        <v>2005</v>
      </c>
      <c r="M190" s="50"/>
    </row>
    <row r="191" spans="1:13" ht="21.75" customHeight="1" x14ac:dyDescent="0.4">
      <c r="A191" s="62">
        <v>45130</v>
      </c>
      <c r="B191" s="32" t="s">
        <v>2006</v>
      </c>
      <c r="C191" s="18" t="s">
        <v>1998</v>
      </c>
      <c r="D191" s="63" t="s">
        <v>2012</v>
      </c>
      <c r="E191" s="50" t="s">
        <v>2013</v>
      </c>
      <c r="F191" s="57">
        <v>3800</v>
      </c>
      <c r="G191" s="76"/>
      <c r="H191" s="57">
        <f t="shared" si="13"/>
        <v>3800</v>
      </c>
      <c r="I191" s="50">
        <v>1</v>
      </c>
      <c r="J191" s="57">
        <f t="shared" si="11"/>
        <v>3800</v>
      </c>
      <c r="K191" s="58">
        <f t="shared" si="12"/>
        <v>4180</v>
      </c>
      <c r="L191" s="18" t="s">
        <v>2005</v>
      </c>
      <c r="M191" s="50"/>
    </row>
    <row r="192" spans="1:13" ht="21.75" hidden="1" customHeight="1" x14ac:dyDescent="0.4">
      <c r="A192" s="62">
        <v>45130</v>
      </c>
      <c r="B192" s="32" t="s">
        <v>2014</v>
      </c>
      <c r="C192" s="18" t="s">
        <v>22</v>
      </c>
      <c r="D192" s="63" t="s">
        <v>1496</v>
      </c>
      <c r="E192" s="50" t="s">
        <v>369</v>
      </c>
      <c r="F192" s="57">
        <v>3000</v>
      </c>
      <c r="G192" s="76"/>
      <c r="H192" s="57">
        <f t="shared" si="13"/>
        <v>3000</v>
      </c>
      <c r="I192" s="50">
        <v>1</v>
      </c>
      <c r="J192" s="57">
        <f t="shared" si="11"/>
        <v>3000</v>
      </c>
      <c r="K192" s="58">
        <f t="shared" si="12"/>
        <v>3300</v>
      </c>
      <c r="L192" s="18" t="s">
        <v>25</v>
      </c>
      <c r="M192" s="50" t="s">
        <v>1954</v>
      </c>
    </row>
    <row r="193" spans="1:13" ht="21.75" hidden="1" customHeight="1" x14ac:dyDescent="0.4">
      <c r="A193" s="62">
        <v>45131</v>
      </c>
      <c r="B193" s="32" t="s">
        <v>710</v>
      </c>
      <c r="C193" s="18" t="s">
        <v>1998</v>
      </c>
      <c r="D193" s="63" t="s">
        <v>292</v>
      </c>
      <c r="E193" s="50" t="s">
        <v>1952</v>
      </c>
      <c r="F193" s="57">
        <v>5700</v>
      </c>
      <c r="G193" s="76">
        <v>-570</v>
      </c>
      <c r="H193" s="57">
        <f t="shared" si="13"/>
        <v>5130</v>
      </c>
      <c r="I193" s="50">
        <v>1</v>
      </c>
      <c r="J193" s="57">
        <f t="shared" si="11"/>
        <v>5130</v>
      </c>
      <c r="K193" s="58">
        <f t="shared" si="12"/>
        <v>5643</v>
      </c>
      <c r="L193" s="18" t="s">
        <v>25</v>
      </c>
      <c r="M193" s="50"/>
    </row>
    <row r="194" spans="1:13" ht="21.75" hidden="1" customHeight="1" x14ac:dyDescent="0.4">
      <c r="A194" s="62">
        <v>45131</v>
      </c>
      <c r="B194" s="32" t="s">
        <v>2015</v>
      </c>
      <c r="C194" s="18" t="s">
        <v>1998</v>
      </c>
      <c r="D194" s="63" t="s">
        <v>426</v>
      </c>
      <c r="E194" s="50" t="s">
        <v>2016</v>
      </c>
      <c r="F194" s="57">
        <v>1700</v>
      </c>
      <c r="G194" s="76">
        <v>-680</v>
      </c>
      <c r="H194" s="57">
        <f t="shared" si="13"/>
        <v>1020</v>
      </c>
      <c r="I194" s="50">
        <v>1</v>
      </c>
      <c r="J194" s="57">
        <f t="shared" si="11"/>
        <v>1020</v>
      </c>
      <c r="K194" s="58">
        <f t="shared" si="12"/>
        <v>1122</v>
      </c>
      <c r="L194" s="18" t="s">
        <v>2005</v>
      </c>
      <c r="M194" s="50"/>
    </row>
    <row r="195" spans="1:13" ht="21.75" hidden="1" customHeight="1" x14ac:dyDescent="0.4">
      <c r="A195" s="62">
        <v>45133</v>
      </c>
      <c r="B195" s="32" t="s">
        <v>2017</v>
      </c>
      <c r="C195" s="18" t="s">
        <v>22</v>
      </c>
      <c r="D195" s="63" t="s">
        <v>1496</v>
      </c>
      <c r="E195" s="50" t="s">
        <v>369</v>
      </c>
      <c r="F195" s="57">
        <v>3000</v>
      </c>
      <c r="G195" s="76"/>
      <c r="H195" s="57">
        <f t="shared" si="13"/>
        <v>3000</v>
      </c>
      <c r="I195" s="50">
        <v>1</v>
      </c>
      <c r="J195" s="57">
        <f t="shared" si="11"/>
        <v>3000</v>
      </c>
      <c r="K195" s="58">
        <f t="shared" si="12"/>
        <v>3300</v>
      </c>
      <c r="L195" s="18" t="s">
        <v>25</v>
      </c>
      <c r="M195" s="50"/>
    </row>
    <row r="196" spans="1:13" ht="21.75" hidden="1" customHeight="1" x14ac:dyDescent="0.4">
      <c r="A196" s="62">
        <v>45133</v>
      </c>
      <c r="B196" s="32" t="s">
        <v>405</v>
      </c>
      <c r="C196" s="18" t="s">
        <v>2018</v>
      </c>
      <c r="D196" s="63" t="s">
        <v>1715</v>
      </c>
      <c r="E196" s="50" t="s">
        <v>2019</v>
      </c>
      <c r="F196" s="57">
        <v>500</v>
      </c>
      <c r="G196" s="76"/>
      <c r="H196" s="57">
        <f t="shared" si="13"/>
        <v>500</v>
      </c>
      <c r="I196" s="50">
        <v>1</v>
      </c>
      <c r="J196" s="57">
        <f t="shared" si="11"/>
        <v>500</v>
      </c>
      <c r="K196" s="58">
        <f t="shared" si="12"/>
        <v>550</v>
      </c>
      <c r="L196" s="18" t="s">
        <v>25</v>
      </c>
      <c r="M196" s="50"/>
    </row>
    <row r="197" spans="1:13" ht="21.75" hidden="1" customHeight="1" x14ac:dyDescent="0.4">
      <c r="A197" s="62">
        <v>45133</v>
      </c>
      <c r="B197" s="32" t="s">
        <v>405</v>
      </c>
      <c r="C197" s="18" t="s">
        <v>2018</v>
      </c>
      <c r="D197" s="63" t="s">
        <v>2020</v>
      </c>
      <c r="E197" s="50" t="s">
        <v>2019</v>
      </c>
      <c r="F197" s="57">
        <v>500</v>
      </c>
      <c r="G197" s="76"/>
      <c r="H197" s="57">
        <f t="shared" si="13"/>
        <v>500</v>
      </c>
      <c r="I197" s="50">
        <v>1</v>
      </c>
      <c r="J197" s="57">
        <f t="shared" si="11"/>
        <v>500</v>
      </c>
      <c r="K197" s="58">
        <f t="shared" si="12"/>
        <v>550</v>
      </c>
      <c r="L197" s="18" t="s">
        <v>25</v>
      </c>
      <c r="M197" s="50"/>
    </row>
    <row r="198" spans="1:13" ht="21.75" hidden="1" customHeight="1" x14ac:dyDescent="0.4">
      <c r="A198" s="62">
        <v>45133</v>
      </c>
      <c r="B198" s="32" t="s">
        <v>148</v>
      </c>
      <c r="C198" s="18" t="s">
        <v>27</v>
      </c>
      <c r="D198" s="63" t="s">
        <v>28</v>
      </c>
      <c r="E198" s="50" t="s">
        <v>1897</v>
      </c>
      <c r="F198" s="57">
        <v>17500</v>
      </c>
      <c r="G198" s="76"/>
      <c r="H198" s="57">
        <f t="shared" si="13"/>
        <v>17500</v>
      </c>
      <c r="I198" s="50">
        <v>1</v>
      </c>
      <c r="J198" s="57">
        <f t="shared" si="11"/>
        <v>17500</v>
      </c>
      <c r="K198" s="58">
        <f t="shared" si="12"/>
        <v>19250</v>
      </c>
      <c r="L198" s="18" t="s">
        <v>2005</v>
      </c>
      <c r="M198" s="50"/>
    </row>
    <row r="199" spans="1:13" ht="21.75" hidden="1" customHeight="1" x14ac:dyDescent="0.4">
      <c r="A199" s="62">
        <v>45133</v>
      </c>
      <c r="B199" s="32" t="s">
        <v>2021</v>
      </c>
      <c r="C199" s="18" t="s">
        <v>27</v>
      </c>
      <c r="D199" s="63" t="s">
        <v>28</v>
      </c>
      <c r="E199" s="50" t="s">
        <v>73</v>
      </c>
      <c r="F199" s="57">
        <v>2000</v>
      </c>
      <c r="G199" s="76"/>
      <c r="H199" s="57">
        <f t="shared" si="13"/>
        <v>2000</v>
      </c>
      <c r="I199" s="50">
        <v>3</v>
      </c>
      <c r="J199" s="57">
        <f t="shared" si="11"/>
        <v>6000</v>
      </c>
      <c r="K199" s="58">
        <f t="shared" si="12"/>
        <v>6600</v>
      </c>
      <c r="L199" s="18" t="s">
        <v>25</v>
      </c>
      <c r="M199" s="50"/>
    </row>
    <row r="200" spans="1:13" ht="21.75" hidden="1" customHeight="1" x14ac:dyDescent="0.4">
      <c r="A200" s="62">
        <v>45134</v>
      </c>
      <c r="B200" s="32" t="s">
        <v>2022</v>
      </c>
      <c r="C200" s="18" t="s">
        <v>27</v>
      </c>
      <c r="D200" s="63" t="s">
        <v>28</v>
      </c>
      <c r="E200" s="50" t="s">
        <v>2023</v>
      </c>
      <c r="F200" s="57">
        <v>18000</v>
      </c>
      <c r="G200" s="76"/>
      <c r="H200" s="57">
        <f t="shared" si="13"/>
        <v>18000</v>
      </c>
      <c r="I200" s="50">
        <v>1</v>
      </c>
      <c r="J200" s="57">
        <f t="shared" si="11"/>
        <v>18000</v>
      </c>
      <c r="K200" s="58">
        <f t="shared" si="12"/>
        <v>19800</v>
      </c>
      <c r="L200" s="18" t="s">
        <v>25</v>
      </c>
      <c r="M200" s="50"/>
    </row>
    <row r="201" spans="1:13" ht="21.75" hidden="1" customHeight="1" x14ac:dyDescent="0.4">
      <c r="A201" s="62">
        <v>45134</v>
      </c>
      <c r="B201" s="32" t="s">
        <v>2022</v>
      </c>
      <c r="C201" s="18" t="s">
        <v>27</v>
      </c>
      <c r="D201" s="63" t="s">
        <v>103</v>
      </c>
      <c r="E201" s="50" t="s">
        <v>2024</v>
      </c>
      <c r="F201" s="57">
        <v>8500</v>
      </c>
      <c r="G201" s="76"/>
      <c r="H201" s="57">
        <f t="shared" si="13"/>
        <v>8500</v>
      </c>
      <c r="I201" s="50">
        <v>1</v>
      </c>
      <c r="J201" s="57">
        <f t="shared" si="11"/>
        <v>8500</v>
      </c>
      <c r="K201" s="58">
        <f t="shared" si="12"/>
        <v>9350</v>
      </c>
      <c r="L201" s="18" t="s">
        <v>25</v>
      </c>
      <c r="M201" s="50"/>
    </row>
    <row r="202" spans="1:13" ht="21.75" hidden="1" customHeight="1" x14ac:dyDescent="0.4">
      <c r="A202" s="62">
        <v>45134</v>
      </c>
      <c r="B202" s="32" t="s">
        <v>2025</v>
      </c>
      <c r="C202" s="18" t="s">
        <v>17</v>
      </c>
      <c r="D202" s="63" t="s">
        <v>55</v>
      </c>
      <c r="E202" s="50" t="s">
        <v>2026</v>
      </c>
      <c r="F202" s="57">
        <v>5500</v>
      </c>
      <c r="G202" s="76"/>
      <c r="H202" s="57">
        <f t="shared" si="13"/>
        <v>5500</v>
      </c>
      <c r="I202" s="50">
        <v>1</v>
      </c>
      <c r="J202" s="57">
        <f t="shared" si="11"/>
        <v>5500</v>
      </c>
      <c r="K202" s="58">
        <f t="shared" si="12"/>
        <v>6050</v>
      </c>
      <c r="L202" s="18" t="s">
        <v>25</v>
      </c>
      <c r="M202" s="50"/>
    </row>
    <row r="203" spans="1:13" ht="21.75" hidden="1" customHeight="1" x14ac:dyDescent="0.4">
      <c r="A203" s="62">
        <v>45135</v>
      </c>
      <c r="B203" s="32" t="s">
        <v>2027</v>
      </c>
      <c r="C203" s="18" t="s">
        <v>27</v>
      </c>
      <c r="D203" s="63" t="s">
        <v>28</v>
      </c>
      <c r="E203" s="50" t="s">
        <v>1971</v>
      </c>
      <c r="F203" s="57">
        <v>25000</v>
      </c>
      <c r="G203" s="76"/>
      <c r="H203" s="57">
        <f t="shared" si="13"/>
        <v>25000</v>
      </c>
      <c r="I203" s="50">
        <v>1</v>
      </c>
      <c r="J203" s="57">
        <f t="shared" si="11"/>
        <v>25000</v>
      </c>
      <c r="K203" s="58">
        <f t="shared" si="12"/>
        <v>27500</v>
      </c>
      <c r="L203" s="18" t="s">
        <v>25</v>
      </c>
      <c r="M203" s="50"/>
    </row>
    <row r="204" spans="1:13" ht="21.75" hidden="1" customHeight="1" x14ac:dyDescent="0.4">
      <c r="A204" s="62">
        <v>45135</v>
      </c>
      <c r="B204" s="32" t="s">
        <v>1242</v>
      </c>
      <c r="C204" s="18" t="s">
        <v>17</v>
      </c>
      <c r="D204" s="63" t="s">
        <v>455</v>
      </c>
      <c r="E204" s="50" t="s">
        <v>2009</v>
      </c>
      <c r="F204" s="57">
        <v>1090</v>
      </c>
      <c r="G204" s="76">
        <v>-109</v>
      </c>
      <c r="H204" s="57">
        <f t="shared" si="13"/>
        <v>981</v>
      </c>
      <c r="I204" s="50">
        <v>1</v>
      </c>
      <c r="J204" s="57">
        <f t="shared" si="11"/>
        <v>981</v>
      </c>
      <c r="K204" s="58">
        <f t="shared" si="12"/>
        <v>1079</v>
      </c>
      <c r="L204" s="18" t="s">
        <v>25</v>
      </c>
      <c r="M204" s="50"/>
    </row>
    <row r="205" spans="1:13" ht="21.75" hidden="1" customHeight="1" x14ac:dyDescent="0.4">
      <c r="A205" s="62">
        <v>45135</v>
      </c>
      <c r="B205" s="32" t="s">
        <v>2028</v>
      </c>
      <c r="C205" s="18" t="s">
        <v>2029</v>
      </c>
      <c r="D205" s="63" t="s">
        <v>2030</v>
      </c>
      <c r="E205" s="50" t="s">
        <v>2031</v>
      </c>
      <c r="F205" s="57">
        <v>140</v>
      </c>
      <c r="G205" s="76"/>
      <c r="H205" s="57">
        <f t="shared" si="13"/>
        <v>140</v>
      </c>
      <c r="I205" s="50">
        <v>10</v>
      </c>
      <c r="J205" s="57">
        <f t="shared" si="11"/>
        <v>1400</v>
      </c>
      <c r="K205" s="58">
        <f t="shared" si="12"/>
        <v>1540</v>
      </c>
      <c r="L205" s="18" t="s">
        <v>2032</v>
      </c>
      <c r="M205" s="50"/>
    </row>
    <row r="206" spans="1:13" ht="21.75" hidden="1" customHeight="1" x14ac:dyDescent="0.4">
      <c r="A206" s="62">
        <v>45135</v>
      </c>
      <c r="B206" s="32" t="s">
        <v>2033</v>
      </c>
      <c r="C206" s="18" t="s">
        <v>2029</v>
      </c>
      <c r="D206" s="63" t="s">
        <v>332</v>
      </c>
      <c r="E206" s="50" t="s">
        <v>2009</v>
      </c>
      <c r="F206" s="57">
        <v>1090</v>
      </c>
      <c r="G206" s="76">
        <v>-109</v>
      </c>
      <c r="H206" s="57">
        <f t="shared" si="13"/>
        <v>981</v>
      </c>
      <c r="I206" s="50">
        <v>1</v>
      </c>
      <c r="J206" s="57">
        <f t="shared" ref="J206:J272" si="14">SUM(H206*I206)</f>
        <v>981</v>
      </c>
      <c r="K206" s="58">
        <f t="shared" ref="K206:K272" si="15">ROUNDDOWN(J206*1.1,0)</f>
        <v>1079</v>
      </c>
      <c r="L206" s="18" t="s">
        <v>25</v>
      </c>
      <c r="M206" s="50" t="s">
        <v>2034</v>
      </c>
    </row>
    <row r="207" spans="1:13" ht="21.75" hidden="1" customHeight="1" x14ac:dyDescent="0.4">
      <c r="A207" s="62">
        <v>45136</v>
      </c>
      <c r="B207" s="32" t="s">
        <v>2035</v>
      </c>
      <c r="C207" s="18" t="s">
        <v>22</v>
      </c>
      <c r="D207" s="63" t="s">
        <v>23</v>
      </c>
      <c r="E207" s="50" t="s">
        <v>1941</v>
      </c>
      <c r="F207" s="57">
        <v>15000</v>
      </c>
      <c r="G207" s="76"/>
      <c r="H207" s="57">
        <f t="shared" ref="H207:H273" si="16">SUM(F207:G207)</f>
        <v>15000</v>
      </c>
      <c r="I207" s="50">
        <v>1</v>
      </c>
      <c r="J207" s="57">
        <f t="shared" si="14"/>
        <v>15000</v>
      </c>
      <c r="K207" s="58">
        <f t="shared" si="15"/>
        <v>16500</v>
      </c>
      <c r="L207" s="18" t="s">
        <v>2032</v>
      </c>
      <c r="M207" s="50" t="s">
        <v>1954</v>
      </c>
    </row>
    <row r="208" spans="1:13" ht="21.75" hidden="1" customHeight="1" x14ac:dyDescent="0.4">
      <c r="A208" s="62">
        <v>45136</v>
      </c>
      <c r="B208" s="32" t="s">
        <v>2036</v>
      </c>
      <c r="C208" s="18" t="s">
        <v>22</v>
      </c>
      <c r="D208" s="63" t="s">
        <v>23</v>
      </c>
      <c r="E208" s="50" t="s">
        <v>1941</v>
      </c>
      <c r="F208" s="57">
        <v>15000</v>
      </c>
      <c r="G208" s="76"/>
      <c r="H208" s="57">
        <f t="shared" si="16"/>
        <v>15000</v>
      </c>
      <c r="I208" s="50">
        <v>1</v>
      </c>
      <c r="J208" s="57">
        <f t="shared" si="14"/>
        <v>15000</v>
      </c>
      <c r="K208" s="58">
        <f t="shared" si="15"/>
        <v>16500</v>
      </c>
      <c r="L208" s="18" t="s">
        <v>25</v>
      </c>
      <c r="M208" s="50" t="s">
        <v>1954</v>
      </c>
    </row>
    <row r="209" spans="1:15" ht="21.75" hidden="1" customHeight="1" x14ac:dyDescent="0.4">
      <c r="A209" s="62">
        <v>45136</v>
      </c>
      <c r="B209" s="32" t="s">
        <v>2006</v>
      </c>
      <c r="C209" s="18" t="s">
        <v>2029</v>
      </c>
      <c r="D209" s="63" t="s">
        <v>328</v>
      </c>
      <c r="E209" s="50" t="s">
        <v>2037</v>
      </c>
      <c r="F209" s="57">
        <v>28000</v>
      </c>
      <c r="G209" s="76"/>
      <c r="H209" s="57">
        <f t="shared" si="16"/>
        <v>28000</v>
      </c>
      <c r="I209" s="50">
        <v>1</v>
      </c>
      <c r="J209" s="57">
        <f t="shared" si="14"/>
        <v>28000</v>
      </c>
      <c r="K209" s="58">
        <f t="shared" si="15"/>
        <v>30800</v>
      </c>
      <c r="L209" s="18" t="s">
        <v>2032</v>
      </c>
      <c r="M209" s="50"/>
    </row>
    <row r="210" spans="1:15" ht="21.75" hidden="1" customHeight="1" x14ac:dyDescent="0.4">
      <c r="A210" s="62">
        <v>45136</v>
      </c>
      <c r="B210" s="32" t="s">
        <v>2006</v>
      </c>
      <c r="C210" s="18" t="s">
        <v>2029</v>
      </c>
      <c r="D210" s="63" t="s">
        <v>2038</v>
      </c>
      <c r="E210" s="50" t="s">
        <v>2039</v>
      </c>
      <c r="F210" s="57">
        <v>55000</v>
      </c>
      <c r="G210" s="76"/>
      <c r="H210" s="57">
        <f t="shared" si="16"/>
        <v>55000</v>
      </c>
      <c r="I210" s="50">
        <v>1</v>
      </c>
      <c r="J210" s="57">
        <f t="shared" si="14"/>
        <v>55000</v>
      </c>
      <c r="K210" s="58">
        <f t="shared" si="15"/>
        <v>60500</v>
      </c>
      <c r="L210" s="18" t="s">
        <v>2032</v>
      </c>
      <c r="M210" s="50"/>
    </row>
    <row r="211" spans="1:15" ht="21.75" customHeight="1" x14ac:dyDescent="0.4">
      <c r="A211" s="62">
        <v>45136</v>
      </c>
      <c r="B211" s="32" t="s">
        <v>2006</v>
      </c>
      <c r="C211" s="18" t="s">
        <v>2029</v>
      </c>
      <c r="D211" s="63" t="s">
        <v>2012</v>
      </c>
      <c r="E211" s="50" t="s">
        <v>2040</v>
      </c>
      <c r="F211" s="57">
        <v>3000</v>
      </c>
      <c r="G211" s="76"/>
      <c r="H211" s="57">
        <f t="shared" si="16"/>
        <v>3000</v>
      </c>
      <c r="I211" s="50">
        <v>1</v>
      </c>
      <c r="J211" s="57">
        <f t="shared" si="14"/>
        <v>3000</v>
      </c>
      <c r="K211" s="58">
        <f t="shared" si="15"/>
        <v>3300</v>
      </c>
      <c r="L211" s="18" t="s">
        <v>2032</v>
      </c>
      <c r="M211" s="50"/>
    </row>
    <row r="212" spans="1:15" ht="21.75" hidden="1" customHeight="1" x14ac:dyDescent="0.4">
      <c r="A212" s="62">
        <v>45136</v>
      </c>
      <c r="B212" s="32" t="s">
        <v>2006</v>
      </c>
      <c r="C212" s="18" t="s">
        <v>2029</v>
      </c>
      <c r="D212" s="63" t="s">
        <v>332</v>
      </c>
      <c r="E212" s="50" t="s">
        <v>2009</v>
      </c>
      <c r="F212" s="57">
        <v>1090</v>
      </c>
      <c r="G212" s="76"/>
      <c r="H212" s="57">
        <f t="shared" si="16"/>
        <v>1090</v>
      </c>
      <c r="I212" s="50">
        <v>1</v>
      </c>
      <c r="J212" s="57">
        <f t="shared" si="14"/>
        <v>1090</v>
      </c>
      <c r="K212" s="58">
        <f t="shared" si="15"/>
        <v>1199</v>
      </c>
      <c r="L212" s="18" t="s">
        <v>2032</v>
      </c>
      <c r="M212" s="50"/>
    </row>
    <row r="213" spans="1:15" ht="21.75" hidden="1" customHeight="1" x14ac:dyDescent="0.4">
      <c r="A213" s="62">
        <v>45136</v>
      </c>
      <c r="B213" s="32" t="s">
        <v>2006</v>
      </c>
      <c r="C213" s="18" t="s">
        <v>198</v>
      </c>
      <c r="D213" s="63" t="s">
        <v>2041</v>
      </c>
      <c r="E213" s="50" t="s">
        <v>2042</v>
      </c>
      <c r="F213" s="57">
        <v>-4000</v>
      </c>
      <c r="G213" s="76"/>
      <c r="H213" s="57">
        <f t="shared" si="16"/>
        <v>-4000</v>
      </c>
      <c r="I213" s="50">
        <v>1</v>
      </c>
      <c r="J213" s="57">
        <f t="shared" si="14"/>
        <v>-4000</v>
      </c>
      <c r="K213" s="58">
        <f t="shared" si="15"/>
        <v>-4400</v>
      </c>
      <c r="L213" s="18" t="s">
        <v>2032</v>
      </c>
      <c r="M213" s="50" t="s">
        <v>2043</v>
      </c>
    </row>
    <row r="214" spans="1:15" ht="21.75" hidden="1" customHeight="1" x14ac:dyDescent="0.4">
      <c r="A214" s="62">
        <v>45136</v>
      </c>
      <c r="B214" s="32" t="s">
        <v>2044</v>
      </c>
      <c r="C214" s="18" t="s">
        <v>22</v>
      </c>
      <c r="D214" s="63" t="s">
        <v>1496</v>
      </c>
      <c r="E214" s="50" t="s">
        <v>369</v>
      </c>
      <c r="F214" s="57">
        <v>3000</v>
      </c>
      <c r="G214" s="76"/>
      <c r="H214" s="57">
        <f t="shared" si="16"/>
        <v>3000</v>
      </c>
      <c r="I214" s="50">
        <v>1</v>
      </c>
      <c r="J214" s="57">
        <f t="shared" si="14"/>
        <v>3000</v>
      </c>
      <c r="K214" s="58">
        <f t="shared" si="15"/>
        <v>3300</v>
      </c>
      <c r="L214" s="18" t="s">
        <v>25</v>
      </c>
      <c r="M214" s="50" t="s">
        <v>1954</v>
      </c>
    </row>
    <row r="215" spans="1:15" ht="21.75" hidden="1" customHeight="1" x14ac:dyDescent="0.4">
      <c r="A215" s="62">
        <v>45137</v>
      </c>
      <c r="B215" s="32" t="s">
        <v>2045</v>
      </c>
      <c r="C215" s="18" t="s">
        <v>22</v>
      </c>
      <c r="D215" s="63" t="s">
        <v>23</v>
      </c>
      <c r="E215" s="50" t="s">
        <v>1941</v>
      </c>
      <c r="F215" s="57">
        <v>15000</v>
      </c>
      <c r="G215" s="76"/>
      <c r="H215" s="57">
        <f t="shared" si="16"/>
        <v>15000</v>
      </c>
      <c r="I215" s="50">
        <v>1</v>
      </c>
      <c r="J215" s="57">
        <f t="shared" si="14"/>
        <v>15000</v>
      </c>
      <c r="K215" s="58">
        <f t="shared" si="15"/>
        <v>16500</v>
      </c>
      <c r="L215" s="18" t="s">
        <v>25</v>
      </c>
      <c r="M215" s="50"/>
    </row>
    <row r="216" spans="1:15" ht="21.75" hidden="1" customHeight="1" x14ac:dyDescent="0.4">
      <c r="A216" s="62">
        <v>45137</v>
      </c>
      <c r="B216" s="32" t="s">
        <v>2046</v>
      </c>
      <c r="C216" s="18" t="s">
        <v>2047</v>
      </c>
      <c r="D216" s="63" t="s">
        <v>426</v>
      </c>
      <c r="E216" s="50" t="s">
        <v>2048</v>
      </c>
      <c r="F216" s="57">
        <v>1700</v>
      </c>
      <c r="G216" s="76">
        <v>-170</v>
      </c>
      <c r="H216" s="57">
        <f t="shared" si="16"/>
        <v>1530</v>
      </c>
      <c r="I216" s="50">
        <v>1</v>
      </c>
      <c r="J216" s="57">
        <f t="shared" si="14"/>
        <v>1530</v>
      </c>
      <c r="K216" s="58">
        <f t="shared" si="15"/>
        <v>1683</v>
      </c>
      <c r="L216" s="18" t="s">
        <v>25</v>
      </c>
      <c r="M216" s="50"/>
    </row>
    <row r="217" spans="1:15" ht="21.75" hidden="1" customHeight="1" x14ac:dyDescent="0.4">
      <c r="A217" s="62">
        <v>45137</v>
      </c>
      <c r="B217" s="32" t="s">
        <v>2046</v>
      </c>
      <c r="C217" s="18" t="s">
        <v>2047</v>
      </c>
      <c r="D217" s="63" t="s">
        <v>2049</v>
      </c>
      <c r="E217" s="50" t="s">
        <v>1875</v>
      </c>
      <c r="F217" s="57">
        <v>1000</v>
      </c>
      <c r="G217" s="76">
        <v>-100</v>
      </c>
      <c r="H217" s="57">
        <f t="shared" si="16"/>
        <v>900</v>
      </c>
      <c r="I217" s="50">
        <v>1</v>
      </c>
      <c r="J217" s="57">
        <f t="shared" si="14"/>
        <v>900</v>
      </c>
      <c r="K217" s="58">
        <f t="shared" si="15"/>
        <v>990</v>
      </c>
      <c r="L217" s="18" t="s">
        <v>25</v>
      </c>
      <c r="M217" s="50"/>
    </row>
    <row r="218" spans="1:15" ht="21.75" hidden="1" customHeight="1" x14ac:dyDescent="0.4">
      <c r="A218" s="62">
        <v>45137</v>
      </c>
      <c r="B218" s="32" t="s">
        <v>2045</v>
      </c>
      <c r="C218" s="18" t="s">
        <v>2047</v>
      </c>
      <c r="D218" s="63" t="s">
        <v>328</v>
      </c>
      <c r="E218" s="50" t="s">
        <v>2050</v>
      </c>
      <c r="F218" s="57">
        <v>55000</v>
      </c>
      <c r="G218" s="76">
        <v>-11000</v>
      </c>
      <c r="H218" s="57">
        <f t="shared" si="16"/>
        <v>44000</v>
      </c>
      <c r="I218" s="50">
        <v>1</v>
      </c>
      <c r="J218" s="57">
        <f t="shared" si="14"/>
        <v>44000</v>
      </c>
      <c r="K218" s="58">
        <f t="shared" si="15"/>
        <v>48400</v>
      </c>
      <c r="L218" s="18" t="s">
        <v>25</v>
      </c>
      <c r="M218" s="50"/>
    </row>
    <row r="219" spans="1:15" ht="21.75" hidden="1" customHeight="1" x14ac:dyDescent="0.4">
      <c r="A219" s="62">
        <v>45137</v>
      </c>
      <c r="B219" s="32" t="s">
        <v>2045</v>
      </c>
      <c r="C219" s="18" t="s">
        <v>2047</v>
      </c>
      <c r="D219" s="63" t="s">
        <v>2051</v>
      </c>
      <c r="E219" s="50" t="s">
        <v>2052</v>
      </c>
      <c r="F219" s="57">
        <v>88000</v>
      </c>
      <c r="G219" s="76">
        <v>-8800</v>
      </c>
      <c r="H219" s="57">
        <f t="shared" si="16"/>
        <v>79200</v>
      </c>
      <c r="I219" s="50">
        <v>1</v>
      </c>
      <c r="J219" s="57">
        <f t="shared" si="14"/>
        <v>79200</v>
      </c>
      <c r="K219" s="58">
        <f t="shared" si="15"/>
        <v>87120</v>
      </c>
      <c r="L219" s="18" t="s">
        <v>25</v>
      </c>
      <c r="M219" s="50"/>
    </row>
    <row r="220" spans="1:15" ht="21.75" hidden="1" customHeight="1" x14ac:dyDescent="0.4">
      <c r="A220" s="62">
        <v>45137</v>
      </c>
      <c r="B220" s="32" t="s">
        <v>2045</v>
      </c>
      <c r="C220" s="18" t="s">
        <v>2047</v>
      </c>
      <c r="D220" s="63" t="s">
        <v>332</v>
      </c>
      <c r="E220" s="50" t="s">
        <v>2009</v>
      </c>
      <c r="F220" s="57">
        <v>1090</v>
      </c>
      <c r="G220" s="76"/>
      <c r="H220" s="57">
        <f t="shared" si="16"/>
        <v>1090</v>
      </c>
      <c r="I220" s="50">
        <v>1</v>
      </c>
      <c r="J220" s="57">
        <f t="shared" si="14"/>
        <v>1090</v>
      </c>
      <c r="K220" s="58">
        <f t="shared" si="15"/>
        <v>1199</v>
      </c>
      <c r="L220" s="18" t="s">
        <v>25</v>
      </c>
      <c r="M220" s="50"/>
    </row>
    <row r="221" spans="1:15" ht="21.75" hidden="1" customHeight="1" x14ac:dyDescent="0.4">
      <c r="A221" s="62">
        <v>45137</v>
      </c>
      <c r="B221" s="32" t="s">
        <v>2053</v>
      </c>
      <c r="C221" s="18" t="s">
        <v>22</v>
      </c>
      <c r="D221" s="63" t="s">
        <v>1496</v>
      </c>
      <c r="E221" s="50" t="s">
        <v>369</v>
      </c>
      <c r="F221" s="57">
        <v>3000</v>
      </c>
      <c r="G221" s="76"/>
      <c r="H221" s="57">
        <f t="shared" si="16"/>
        <v>3000</v>
      </c>
      <c r="I221" s="50">
        <v>1</v>
      </c>
      <c r="J221" s="57">
        <f t="shared" si="14"/>
        <v>3000</v>
      </c>
      <c r="K221" s="58">
        <f t="shared" si="15"/>
        <v>3300</v>
      </c>
      <c r="L221" s="18" t="s">
        <v>25</v>
      </c>
      <c r="M221" s="50" t="s">
        <v>1954</v>
      </c>
    </row>
    <row r="222" spans="1:15" ht="21.75" hidden="1" customHeight="1" x14ac:dyDescent="0.4">
      <c r="A222" s="62">
        <v>45137</v>
      </c>
      <c r="B222" s="32" t="s">
        <v>1541</v>
      </c>
      <c r="C222" s="18" t="s">
        <v>2047</v>
      </c>
      <c r="D222" s="63" t="s">
        <v>332</v>
      </c>
      <c r="E222" s="50" t="s">
        <v>2054</v>
      </c>
      <c r="F222" s="57">
        <v>2400</v>
      </c>
      <c r="G222" s="76">
        <v>-240</v>
      </c>
      <c r="H222" s="57">
        <f t="shared" si="16"/>
        <v>2160</v>
      </c>
      <c r="I222" s="50">
        <v>6</v>
      </c>
      <c r="J222" s="57">
        <f t="shared" si="14"/>
        <v>12960</v>
      </c>
      <c r="K222" s="58">
        <f t="shared" si="15"/>
        <v>14256</v>
      </c>
      <c r="L222" s="18" t="s">
        <v>25</v>
      </c>
      <c r="M222" s="50"/>
    </row>
    <row r="223" spans="1:15" ht="21.75" hidden="1" customHeight="1" x14ac:dyDescent="0.4">
      <c r="A223" s="62">
        <v>45138</v>
      </c>
      <c r="B223" s="32" t="s">
        <v>1720</v>
      </c>
      <c r="C223" s="18" t="s">
        <v>22</v>
      </c>
      <c r="D223" s="63" t="s">
        <v>1496</v>
      </c>
      <c r="E223" s="50" t="s">
        <v>1813</v>
      </c>
      <c r="F223" s="57">
        <v>4500</v>
      </c>
      <c r="G223" s="76"/>
      <c r="H223" s="57">
        <f t="shared" si="16"/>
        <v>4500</v>
      </c>
      <c r="I223" s="50">
        <v>1</v>
      </c>
      <c r="J223" s="57">
        <f t="shared" si="14"/>
        <v>4500</v>
      </c>
      <c r="K223" s="58">
        <f t="shared" si="15"/>
        <v>4950</v>
      </c>
      <c r="L223" s="18" t="s">
        <v>25</v>
      </c>
      <c r="M223" s="50"/>
    </row>
    <row r="224" spans="1:15" ht="21.75" hidden="1" customHeight="1" thickBot="1" x14ac:dyDescent="0.45">
      <c r="A224" s="149">
        <v>45138</v>
      </c>
      <c r="B224" s="97" t="s">
        <v>1269</v>
      </c>
      <c r="C224" s="98" t="s">
        <v>2047</v>
      </c>
      <c r="D224" s="101" t="s">
        <v>332</v>
      </c>
      <c r="E224" s="102" t="s">
        <v>2055</v>
      </c>
      <c r="F224" s="103">
        <v>1450</v>
      </c>
      <c r="G224" s="104">
        <v>-145</v>
      </c>
      <c r="H224" s="103">
        <f t="shared" si="16"/>
        <v>1305</v>
      </c>
      <c r="I224" s="102">
        <v>1</v>
      </c>
      <c r="J224" s="103">
        <f t="shared" si="14"/>
        <v>1305</v>
      </c>
      <c r="K224" s="105">
        <f t="shared" si="15"/>
        <v>1435</v>
      </c>
      <c r="L224" s="98" t="s">
        <v>25</v>
      </c>
      <c r="M224" s="102"/>
      <c r="N224" s="162"/>
      <c r="O224" s="162"/>
    </row>
    <row r="225" spans="1:15" ht="21.75" hidden="1" customHeight="1" x14ac:dyDescent="0.4">
      <c r="A225" s="59">
        <v>45139</v>
      </c>
      <c r="B225" s="82" t="s">
        <v>710</v>
      </c>
      <c r="C225" s="60" t="s">
        <v>2056</v>
      </c>
      <c r="D225" s="61" t="s">
        <v>292</v>
      </c>
      <c r="E225" s="56" t="s">
        <v>1870</v>
      </c>
      <c r="F225" s="99">
        <v>5700</v>
      </c>
      <c r="G225" s="79">
        <v>-570</v>
      </c>
      <c r="H225" s="99">
        <f t="shared" si="16"/>
        <v>5130</v>
      </c>
      <c r="I225" s="56">
        <v>1</v>
      </c>
      <c r="J225" s="99">
        <f t="shared" si="14"/>
        <v>5130</v>
      </c>
      <c r="K225" s="100">
        <f t="shared" si="15"/>
        <v>5643</v>
      </c>
      <c r="L225" s="60" t="s">
        <v>25</v>
      </c>
      <c r="M225" s="56"/>
    </row>
    <row r="226" spans="1:15" ht="21.75" hidden="1" customHeight="1" x14ac:dyDescent="0.4">
      <c r="A226" s="62">
        <v>45140</v>
      </c>
      <c r="B226" s="32" t="s">
        <v>2057</v>
      </c>
      <c r="C226" s="18" t="s">
        <v>2056</v>
      </c>
      <c r="D226" s="63" t="s">
        <v>328</v>
      </c>
      <c r="E226" s="50" t="s">
        <v>2058</v>
      </c>
      <c r="F226" s="57">
        <v>50000</v>
      </c>
      <c r="G226" s="76">
        <v>-5000</v>
      </c>
      <c r="H226" s="57">
        <f t="shared" si="16"/>
        <v>45000</v>
      </c>
      <c r="I226" s="50">
        <v>1</v>
      </c>
      <c r="J226" s="57">
        <f t="shared" si="14"/>
        <v>45000</v>
      </c>
      <c r="K226" s="58">
        <f t="shared" si="15"/>
        <v>49500</v>
      </c>
      <c r="L226" s="18" t="s">
        <v>2060</v>
      </c>
      <c r="M226" s="50"/>
    </row>
    <row r="227" spans="1:15" ht="21.75" hidden="1" customHeight="1" x14ac:dyDescent="0.4">
      <c r="A227" s="62">
        <v>45140</v>
      </c>
      <c r="B227" s="32" t="s">
        <v>2057</v>
      </c>
      <c r="C227" s="18" t="s">
        <v>2056</v>
      </c>
      <c r="D227" s="63" t="s">
        <v>332</v>
      </c>
      <c r="E227" s="50" t="s">
        <v>2059</v>
      </c>
      <c r="F227" s="57">
        <v>1090</v>
      </c>
      <c r="G227" s="76">
        <v>-109</v>
      </c>
      <c r="H227" s="57">
        <f t="shared" si="16"/>
        <v>981</v>
      </c>
      <c r="I227" s="50">
        <v>1</v>
      </c>
      <c r="J227" s="57">
        <f t="shared" si="14"/>
        <v>981</v>
      </c>
      <c r="K227" s="58">
        <f t="shared" si="15"/>
        <v>1079</v>
      </c>
      <c r="L227" s="18" t="s">
        <v>2060</v>
      </c>
      <c r="M227" s="50"/>
    </row>
    <row r="228" spans="1:15" ht="21.75" hidden="1" customHeight="1" x14ac:dyDescent="0.4">
      <c r="A228" s="62">
        <v>45140</v>
      </c>
      <c r="B228" s="32" t="s">
        <v>2061</v>
      </c>
      <c r="C228" s="18" t="s">
        <v>2056</v>
      </c>
      <c r="D228" s="63" t="s">
        <v>332</v>
      </c>
      <c r="E228" s="50" t="s">
        <v>2062</v>
      </c>
      <c r="F228" s="57">
        <v>1800</v>
      </c>
      <c r="G228" s="76">
        <v>-180</v>
      </c>
      <c r="H228" s="57">
        <f t="shared" si="16"/>
        <v>1620</v>
      </c>
      <c r="I228" s="50">
        <v>1</v>
      </c>
      <c r="J228" s="57">
        <f t="shared" si="14"/>
        <v>1620</v>
      </c>
      <c r="K228" s="58">
        <f t="shared" si="15"/>
        <v>1782</v>
      </c>
      <c r="L228" s="18" t="s">
        <v>2060</v>
      </c>
      <c r="M228" s="50"/>
    </row>
    <row r="229" spans="1:15" ht="21.75" hidden="1" customHeight="1" x14ac:dyDescent="0.4">
      <c r="A229" s="62">
        <v>45140</v>
      </c>
      <c r="B229" s="32" t="s">
        <v>2000</v>
      </c>
      <c r="C229" s="18" t="s">
        <v>27</v>
      </c>
      <c r="D229" s="63" t="s">
        <v>28</v>
      </c>
      <c r="E229" s="50" t="s">
        <v>318</v>
      </c>
      <c r="F229" s="57">
        <v>15000</v>
      </c>
      <c r="G229" s="76"/>
      <c r="H229" s="57">
        <f t="shared" si="16"/>
        <v>15000</v>
      </c>
      <c r="I229" s="50">
        <v>1</v>
      </c>
      <c r="J229" s="57">
        <f t="shared" si="14"/>
        <v>15000</v>
      </c>
      <c r="K229" s="58">
        <f t="shared" si="15"/>
        <v>16500</v>
      </c>
      <c r="L229" s="18" t="s">
        <v>25</v>
      </c>
      <c r="M229" s="50"/>
    </row>
    <row r="230" spans="1:15" ht="21.75" hidden="1" customHeight="1" x14ac:dyDescent="0.4">
      <c r="A230" s="62">
        <v>45140</v>
      </c>
      <c r="B230" s="32" t="s">
        <v>2000</v>
      </c>
      <c r="C230" s="18" t="s">
        <v>2056</v>
      </c>
      <c r="D230" s="63" t="s">
        <v>426</v>
      </c>
      <c r="E230" s="50" t="s">
        <v>1853</v>
      </c>
      <c r="F230" s="57">
        <v>1700</v>
      </c>
      <c r="G230" s="76">
        <v>-170</v>
      </c>
      <c r="H230" s="57">
        <f t="shared" si="16"/>
        <v>1530</v>
      </c>
      <c r="I230" s="50">
        <v>1</v>
      </c>
      <c r="J230" s="57">
        <f t="shared" si="14"/>
        <v>1530</v>
      </c>
      <c r="K230" s="58">
        <f t="shared" si="15"/>
        <v>1683</v>
      </c>
      <c r="L230" s="18" t="s">
        <v>25</v>
      </c>
      <c r="M230" s="50"/>
    </row>
    <row r="231" spans="1:15" ht="21.75" hidden="1" customHeight="1" x14ac:dyDescent="0.4">
      <c r="A231" s="62">
        <v>45140</v>
      </c>
      <c r="B231" s="32" t="s">
        <v>2035</v>
      </c>
      <c r="C231" s="18" t="s">
        <v>2056</v>
      </c>
      <c r="D231" s="63" t="s">
        <v>328</v>
      </c>
      <c r="E231" s="50" t="s">
        <v>2063</v>
      </c>
      <c r="F231" s="57">
        <v>60000</v>
      </c>
      <c r="G231" s="76">
        <v>-9000</v>
      </c>
      <c r="H231" s="57">
        <f t="shared" si="16"/>
        <v>51000</v>
      </c>
      <c r="I231" s="50">
        <v>1</v>
      </c>
      <c r="J231" s="57">
        <f t="shared" si="14"/>
        <v>51000</v>
      </c>
      <c r="K231" s="58">
        <f t="shared" si="15"/>
        <v>56100</v>
      </c>
      <c r="L231" s="18" t="s">
        <v>34</v>
      </c>
      <c r="M231" s="50"/>
    </row>
    <row r="232" spans="1:15" ht="21.75" hidden="1" customHeight="1" x14ac:dyDescent="0.4">
      <c r="A232" s="62">
        <v>45140</v>
      </c>
      <c r="B232" s="32" t="s">
        <v>2035</v>
      </c>
      <c r="C232" s="18" t="s">
        <v>2056</v>
      </c>
      <c r="D232" s="63" t="s">
        <v>2064</v>
      </c>
      <c r="E232" s="50" t="s">
        <v>2065</v>
      </c>
      <c r="F232" s="57">
        <v>5000</v>
      </c>
      <c r="G232" s="76"/>
      <c r="H232" s="57">
        <f t="shared" si="16"/>
        <v>5000</v>
      </c>
      <c r="I232" s="50">
        <v>1</v>
      </c>
      <c r="J232" s="57">
        <f t="shared" si="14"/>
        <v>5000</v>
      </c>
      <c r="K232" s="58">
        <f t="shared" si="15"/>
        <v>5500</v>
      </c>
      <c r="L232" s="18" t="s">
        <v>34</v>
      </c>
      <c r="M232" s="50"/>
    </row>
    <row r="233" spans="1:15" ht="21.75" hidden="1" customHeight="1" x14ac:dyDescent="0.4">
      <c r="A233" s="62">
        <v>45140</v>
      </c>
      <c r="B233" s="32" t="s">
        <v>2035</v>
      </c>
      <c r="C233" s="18" t="s">
        <v>2056</v>
      </c>
      <c r="D233" s="63" t="s">
        <v>332</v>
      </c>
      <c r="E233" s="50" t="s">
        <v>2066</v>
      </c>
      <c r="F233" s="57">
        <v>1090</v>
      </c>
      <c r="G233" s="76"/>
      <c r="H233" s="57">
        <f t="shared" si="16"/>
        <v>1090</v>
      </c>
      <c r="I233" s="50">
        <v>1</v>
      </c>
      <c r="J233" s="57">
        <f t="shared" si="14"/>
        <v>1090</v>
      </c>
      <c r="K233" s="58">
        <f t="shared" si="15"/>
        <v>1199</v>
      </c>
      <c r="L233" s="18" t="s">
        <v>34</v>
      </c>
      <c r="M233" s="50"/>
    </row>
    <row r="234" spans="1:15" ht="21.75" hidden="1" customHeight="1" x14ac:dyDescent="0.4">
      <c r="A234" s="62">
        <v>45140</v>
      </c>
      <c r="B234" s="32" t="s">
        <v>2067</v>
      </c>
      <c r="C234" s="18" t="s">
        <v>27</v>
      </c>
      <c r="D234" s="63" t="s">
        <v>28</v>
      </c>
      <c r="E234" s="50" t="s">
        <v>73</v>
      </c>
      <c r="F234" s="57">
        <v>2000</v>
      </c>
      <c r="G234" s="76"/>
      <c r="H234" s="57">
        <f t="shared" si="16"/>
        <v>2000</v>
      </c>
      <c r="I234" s="50">
        <v>1</v>
      </c>
      <c r="J234" s="57">
        <f t="shared" si="14"/>
        <v>2000</v>
      </c>
      <c r="K234" s="58">
        <f t="shared" si="15"/>
        <v>2200</v>
      </c>
      <c r="L234" s="18" t="s">
        <v>25</v>
      </c>
      <c r="M234" s="490" t="s">
        <v>2069</v>
      </c>
      <c r="N234" s="93"/>
      <c r="O234" s="93"/>
    </row>
    <row r="235" spans="1:15" ht="21.75" hidden="1" customHeight="1" x14ac:dyDescent="0.4">
      <c r="A235" s="62">
        <v>45140</v>
      </c>
      <c r="B235" s="32" t="s">
        <v>2068</v>
      </c>
      <c r="C235" s="18" t="s">
        <v>27</v>
      </c>
      <c r="D235" s="63" t="s">
        <v>28</v>
      </c>
      <c r="E235" s="50" t="s">
        <v>73</v>
      </c>
      <c r="F235" s="57">
        <v>2000</v>
      </c>
      <c r="G235" s="76"/>
      <c r="H235" s="57">
        <f t="shared" si="16"/>
        <v>2000</v>
      </c>
      <c r="I235" s="50">
        <v>1</v>
      </c>
      <c r="J235" s="57">
        <f t="shared" si="14"/>
        <v>2000</v>
      </c>
      <c r="K235" s="58">
        <f t="shared" si="15"/>
        <v>2200</v>
      </c>
      <c r="L235" s="18" t="s">
        <v>25</v>
      </c>
      <c r="M235" s="491"/>
      <c r="N235" s="93"/>
      <c r="O235" s="93"/>
    </row>
    <row r="236" spans="1:15" ht="21.75" hidden="1" customHeight="1" x14ac:dyDescent="0.4">
      <c r="A236" s="62">
        <v>45141</v>
      </c>
      <c r="B236" s="32" t="s">
        <v>2070</v>
      </c>
      <c r="C236" s="18" t="s">
        <v>22</v>
      </c>
      <c r="D236" s="63" t="s">
        <v>23</v>
      </c>
      <c r="E236" s="50" t="s">
        <v>1941</v>
      </c>
      <c r="F236" s="57">
        <v>15000</v>
      </c>
      <c r="G236" s="76"/>
      <c r="H236" s="57">
        <f t="shared" si="16"/>
        <v>15000</v>
      </c>
      <c r="I236" s="50">
        <v>1</v>
      </c>
      <c r="J236" s="57">
        <f t="shared" si="14"/>
        <v>15000</v>
      </c>
      <c r="K236" s="58">
        <f t="shared" si="15"/>
        <v>16500</v>
      </c>
      <c r="L236" s="18" t="s">
        <v>2060</v>
      </c>
      <c r="M236" s="50"/>
    </row>
    <row r="237" spans="1:15" ht="21.75" hidden="1" customHeight="1" x14ac:dyDescent="0.4">
      <c r="A237" s="62">
        <v>45141</v>
      </c>
      <c r="B237" s="32" t="s">
        <v>2071</v>
      </c>
      <c r="C237" s="18" t="s">
        <v>22</v>
      </c>
      <c r="D237" s="63" t="s">
        <v>23</v>
      </c>
      <c r="E237" s="50" t="s">
        <v>1941</v>
      </c>
      <c r="F237" s="57">
        <v>15000</v>
      </c>
      <c r="G237" s="76"/>
      <c r="H237" s="57">
        <f t="shared" si="16"/>
        <v>15000</v>
      </c>
      <c r="I237" s="50">
        <v>1</v>
      </c>
      <c r="J237" s="57">
        <f t="shared" si="14"/>
        <v>15000</v>
      </c>
      <c r="K237" s="58">
        <f t="shared" si="15"/>
        <v>16500</v>
      </c>
      <c r="L237" s="18" t="s">
        <v>2072</v>
      </c>
      <c r="M237" s="50"/>
    </row>
    <row r="238" spans="1:15" ht="21.75" hidden="1" customHeight="1" x14ac:dyDescent="0.4">
      <c r="A238" s="62">
        <v>45141</v>
      </c>
      <c r="B238" s="32" t="s">
        <v>2071</v>
      </c>
      <c r="C238" s="18" t="s">
        <v>2056</v>
      </c>
      <c r="D238" s="63" t="s">
        <v>328</v>
      </c>
      <c r="E238" s="50" t="s">
        <v>2073</v>
      </c>
      <c r="F238" s="57">
        <v>55000</v>
      </c>
      <c r="G238" s="76">
        <v>-50000</v>
      </c>
      <c r="H238" s="57">
        <f t="shared" si="16"/>
        <v>5000</v>
      </c>
      <c r="I238" s="50">
        <v>1</v>
      </c>
      <c r="J238" s="57">
        <f t="shared" si="14"/>
        <v>5000</v>
      </c>
      <c r="K238" s="58">
        <f t="shared" si="15"/>
        <v>5500</v>
      </c>
      <c r="L238" s="18" t="s">
        <v>25</v>
      </c>
      <c r="M238" s="50" t="s">
        <v>2077</v>
      </c>
    </row>
    <row r="239" spans="1:15" ht="21.75" hidden="1" customHeight="1" x14ac:dyDescent="0.4">
      <c r="A239" s="62">
        <v>45141</v>
      </c>
      <c r="B239" s="32" t="s">
        <v>2071</v>
      </c>
      <c r="C239" s="18" t="s">
        <v>2056</v>
      </c>
      <c r="D239" s="63" t="s">
        <v>2064</v>
      </c>
      <c r="E239" s="50" t="s">
        <v>2074</v>
      </c>
      <c r="F239" s="57">
        <v>3000</v>
      </c>
      <c r="G239" s="76"/>
      <c r="H239" s="57">
        <f t="shared" si="16"/>
        <v>3000</v>
      </c>
      <c r="I239" s="50">
        <v>1</v>
      </c>
      <c r="J239" s="57">
        <f t="shared" si="14"/>
        <v>3000</v>
      </c>
      <c r="K239" s="58">
        <f t="shared" si="15"/>
        <v>3300</v>
      </c>
      <c r="L239" s="18" t="s">
        <v>25</v>
      </c>
      <c r="M239" s="50"/>
    </row>
    <row r="240" spans="1:15" ht="21.75" hidden="1" customHeight="1" x14ac:dyDescent="0.4">
      <c r="A240" s="62">
        <v>45141</v>
      </c>
      <c r="B240" s="32" t="s">
        <v>2071</v>
      </c>
      <c r="C240" s="18" t="s">
        <v>2056</v>
      </c>
      <c r="D240" s="63" t="s">
        <v>2075</v>
      </c>
      <c r="E240" s="50" t="s">
        <v>2076</v>
      </c>
      <c r="F240" s="57">
        <v>1650</v>
      </c>
      <c r="G240" s="76"/>
      <c r="H240" s="57">
        <f t="shared" si="16"/>
        <v>1650</v>
      </c>
      <c r="I240" s="50">
        <v>2</v>
      </c>
      <c r="J240" s="57">
        <f t="shared" si="14"/>
        <v>3300</v>
      </c>
      <c r="K240" s="58">
        <f t="shared" si="15"/>
        <v>3630</v>
      </c>
      <c r="L240" s="18" t="s">
        <v>25</v>
      </c>
      <c r="M240" s="50"/>
    </row>
    <row r="241" spans="1:13" ht="21.75" hidden="1" customHeight="1" x14ac:dyDescent="0.4">
      <c r="A241" s="62">
        <v>45141</v>
      </c>
      <c r="B241" s="32" t="s">
        <v>2044</v>
      </c>
      <c r="C241" s="18" t="s">
        <v>27</v>
      </c>
      <c r="D241" s="63" t="s">
        <v>28</v>
      </c>
      <c r="E241" s="50" t="s">
        <v>318</v>
      </c>
      <c r="F241" s="57">
        <v>15000</v>
      </c>
      <c r="G241" s="76"/>
      <c r="H241" s="57">
        <f t="shared" si="16"/>
        <v>15000</v>
      </c>
      <c r="I241" s="50">
        <v>1</v>
      </c>
      <c r="J241" s="57">
        <f t="shared" si="14"/>
        <v>15000</v>
      </c>
      <c r="K241" s="58">
        <f t="shared" si="15"/>
        <v>16500</v>
      </c>
      <c r="L241" s="18" t="s">
        <v>2060</v>
      </c>
      <c r="M241" s="50"/>
    </row>
    <row r="242" spans="1:13" ht="21.75" hidden="1" customHeight="1" x14ac:dyDescent="0.4">
      <c r="A242" s="62">
        <v>45141</v>
      </c>
      <c r="B242" s="32" t="s">
        <v>2044</v>
      </c>
      <c r="C242" s="18" t="s">
        <v>27</v>
      </c>
      <c r="D242" s="63" t="s">
        <v>28</v>
      </c>
      <c r="E242" s="50" t="s">
        <v>2078</v>
      </c>
      <c r="F242" s="57">
        <v>13120</v>
      </c>
      <c r="G242" s="76"/>
      <c r="H242" s="57">
        <f t="shared" si="16"/>
        <v>13120</v>
      </c>
      <c r="I242" s="50">
        <v>1</v>
      </c>
      <c r="J242" s="57">
        <f t="shared" si="14"/>
        <v>13120</v>
      </c>
      <c r="K242" s="58">
        <f t="shared" si="15"/>
        <v>14432</v>
      </c>
      <c r="L242" s="18" t="s">
        <v>2060</v>
      </c>
      <c r="M242" s="50"/>
    </row>
    <row r="243" spans="1:13" ht="21.75" hidden="1" customHeight="1" x14ac:dyDescent="0.4">
      <c r="A243" s="62">
        <v>45141</v>
      </c>
      <c r="B243" s="32" t="s">
        <v>2079</v>
      </c>
      <c r="C243" s="18" t="s">
        <v>2056</v>
      </c>
      <c r="D243" s="63" t="s">
        <v>426</v>
      </c>
      <c r="E243" s="50" t="s">
        <v>2080</v>
      </c>
      <c r="F243" s="57">
        <v>1700</v>
      </c>
      <c r="G243" s="76">
        <v>-170</v>
      </c>
      <c r="H243" s="57">
        <f t="shared" si="16"/>
        <v>1530</v>
      </c>
      <c r="I243" s="50">
        <v>1</v>
      </c>
      <c r="J243" s="57">
        <f t="shared" si="14"/>
        <v>1530</v>
      </c>
      <c r="K243" s="58">
        <f t="shared" si="15"/>
        <v>1683</v>
      </c>
      <c r="L243" s="18" t="s">
        <v>2060</v>
      </c>
      <c r="M243" s="50"/>
    </row>
    <row r="244" spans="1:13" ht="21.75" hidden="1" customHeight="1" x14ac:dyDescent="0.4">
      <c r="A244" s="62">
        <v>45142</v>
      </c>
      <c r="B244" s="32" t="s">
        <v>2081</v>
      </c>
      <c r="C244" s="18" t="s">
        <v>2056</v>
      </c>
      <c r="D244" s="63" t="s">
        <v>328</v>
      </c>
      <c r="E244" s="50" t="s">
        <v>2082</v>
      </c>
      <c r="F244" s="57">
        <v>50000</v>
      </c>
      <c r="G244" s="76">
        <v>-10000</v>
      </c>
      <c r="H244" s="57">
        <f t="shared" si="16"/>
        <v>40000</v>
      </c>
      <c r="I244" s="50">
        <v>1</v>
      </c>
      <c r="J244" s="57">
        <f t="shared" si="14"/>
        <v>40000</v>
      </c>
      <c r="K244" s="58">
        <f t="shared" si="15"/>
        <v>44000</v>
      </c>
      <c r="L244" s="18" t="s">
        <v>34</v>
      </c>
      <c r="M244" s="50"/>
    </row>
    <row r="245" spans="1:13" ht="21.75" hidden="1" customHeight="1" x14ac:dyDescent="0.4">
      <c r="A245" s="62">
        <v>45142</v>
      </c>
      <c r="B245" s="32" t="s">
        <v>2081</v>
      </c>
      <c r="C245" s="18" t="s">
        <v>2056</v>
      </c>
      <c r="D245" s="63" t="s">
        <v>2064</v>
      </c>
      <c r="E245" s="50" t="s">
        <v>2083</v>
      </c>
      <c r="F245" s="57">
        <v>3000</v>
      </c>
      <c r="G245" s="76"/>
      <c r="H245" s="57">
        <f t="shared" si="16"/>
        <v>3000</v>
      </c>
      <c r="I245" s="50">
        <v>1</v>
      </c>
      <c r="J245" s="57">
        <f t="shared" si="14"/>
        <v>3000</v>
      </c>
      <c r="K245" s="58">
        <f t="shared" si="15"/>
        <v>3300</v>
      </c>
      <c r="L245" s="18" t="s">
        <v>34</v>
      </c>
      <c r="M245" s="50"/>
    </row>
    <row r="246" spans="1:13" ht="21.75" hidden="1" customHeight="1" x14ac:dyDescent="0.4">
      <c r="A246" s="62">
        <v>45142</v>
      </c>
      <c r="B246" s="32" t="s">
        <v>2081</v>
      </c>
      <c r="C246" s="18" t="s">
        <v>2056</v>
      </c>
      <c r="D246" s="63" t="s">
        <v>2075</v>
      </c>
      <c r="E246" s="50" t="s">
        <v>2084</v>
      </c>
      <c r="F246" s="57">
        <v>1700</v>
      </c>
      <c r="G246" s="76"/>
      <c r="H246" s="57">
        <f t="shared" si="16"/>
        <v>1700</v>
      </c>
      <c r="I246" s="50">
        <v>1</v>
      </c>
      <c r="J246" s="57">
        <f t="shared" si="14"/>
        <v>1700</v>
      </c>
      <c r="K246" s="58">
        <f t="shared" si="15"/>
        <v>1870</v>
      </c>
      <c r="L246" s="18" t="s">
        <v>34</v>
      </c>
      <c r="M246" s="50"/>
    </row>
    <row r="247" spans="1:13" ht="21.75" hidden="1" customHeight="1" x14ac:dyDescent="0.4">
      <c r="A247" s="62">
        <v>45142</v>
      </c>
      <c r="B247" s="32" t="s">
        <v>2085</v>
      </c>
      <c r="C247" s="18" t="s">
        <v>2056</v>
      </c>
      <c r="D247" s="63" t="s">
        <v>2075</v>
      </c>
      <c r="E247" s="50" t="s">
        <v>2086</v>
      </c>
      <c r="F247" s="57">
        <v>1400</v>
      </c>
      <c r="G247" s="76">
        <v>-140</v>
      </c>
      <c r="H247" s="57">
        <f t="shared" si="16"/>
        <v>1260</v>
      </c>
      <c r="I247" s="50">
        <v>4</v>
      </c>
      <c r="J247" s="57">
        <f t="shared" si="14"/>
        <v>5040</v>
      </c>
      <c r="K247" s="58">
        <f t="shared" si="15"/>
        <v>5544</v>
      </c>
      <c r="L247" s="18" t="s">
        <v>2060</v>
      </c>
      <c r="M247" s="50"/>
    </row>
    <row r="248" spans="1:13" ht="21.75" hidden="1" customHeight="1" x14ac:dyDescent="0.4">
      <c r="A248" s="62">
        <v>45143</v>
      </c>
      <c r="B248" s="32" t="s">
        <v>2053</v>
      </c>
      <c r="C248" s="18" t="s">
        <v>27</v>
      </c>
      <c r="D248" s="63" t="s">
        <v>28</v>
      </c>
      <c r="E248" s="50" t="s">
        <v>318</v>
      </c>
      <c r="F248" s="57">
        <v>15000</v>
      </c>
      <c r="G248" s="76"/>
      <c r="H248" s="57">
        <f t="shared" si="16"/>
        <v>15000</v>
      </c>
      <c r="I248" s="50">
        <v>1</v>
      </c>
      <c r="J248" s="57">
        <f t="shared" si="14"/>
        <v>15000</v>
      </c>
      <c r="K248" s="58">
        <f t="shared" si="15"/>
        <v>16500</v>
      </c>
      <c r="L248" s="18" t="s">
        <v>25</v>
      </c>
      <c r="M248" s="50"/>
    </row>
    <row r="249" spans="1:13" ht="21.75" hidden="1" customHeight="1" x14ac:dyDescent="0.4">
      <c r="A249" s="62">
        <v>45143</v>
      </c>
      <c r="B249" s="32" t="s">
        <v>2053</v>
      </c>
      <c r="C249" s="18" t="s">
        <v>27</v>
      </c>
      <c r="D249" s="63" t="s">
        <v>28</v>
      </c>
      <c r="E249" s="50" t="s">
        <v>2087</v>
      </c>
      <c r="F249" s="57">
        <v>13120</v>
      </c>
      <c r="G249" s="76"/>
      <c r="H249" s="57">
        <f t="shared" si="16"/>
        <v>13120</v>
      </c>
      <c r="I249" s="50">
        <v>1</v>
      </c>
      <c r="J249" s="57">
        <f t="shared" si="14"/>
        <v>13120</v>
      </c>
      <c r="K249" s="58">
        <f t="shared" si="15"/>
        <v>14432</v>
      </c>
      <c r="L249" s="18" t="s">
        <v>25</v>
      </c>
      <c r="M249" s="50"/>
    </row>
    <row r="250" spans="1:13" ht="21.75" hidden="1" customHeight="1" x14ac:dyDescent="0.4">
      <c r="A250" s="62">
        <v>45143</v>
      </c>
      <c r="B250" s="32" t="s">
        <v>2088</v>
      </c>
      <c r="C250" s="18" t="s">
        <v>22</v>
      </c>
      <c r="D250" s="63" t="s">
        <v>1496</v>
      </c>
      <c r="E250" s="50" t="s">
        <v>369</v>
      </c>
      <c r="F250" s="57">
        <v>3000</v>
      </c>
      <c r="G250" s="76"/>
      <c r="H250" s="57">
        <f t="shared" si="16"/>
        <v>3000</v>
      </c>
      <c r="I250" s="50">
        <v>1</v>
      </c>
      <c r="J250" s="57">
        <f t="shared" si="14"/>
        <v>3000</v>
      </c>
      <c r="K250" s="58">
        <f t="shared" si="15"/>
        <v>3300</v>
      </c>
      <c r="L250" s="18" t="s">
        <v>25</v>
      </c>
      <c r="M250" s="50" t="s">
        <v>1954</v>
      </c>
    </row>
    <row r="251" spans="1:13" ht="21.75" hidden="1" customHeight="1" x14ac:dyDescent="0.4">
      <c r="A251" s="62">
        <v>45143</v>
      </c>
      <c r="B251" s="32" t="s">
        <v>2088</v>
      </c>
      <c r="C251" s="18" t="s">
        <v>27</v>
      </c>
      <c r="D251" s="63" t="s">
        <v>28</v>
      </c>
      <c r="E251" s="50" t="s">
        <v>318</v>
      </c>
      <c r="F251" s="57">
        <v>15000</v>
      </c>
      <c r="G251" s="76"/>
      <c r="H251" s="57">
        <f t="shared" si="16"/>
        <v>15000</v>
      </c>
      <c r="I251" s="50">
        <v>1</v>
      </c>
      <c r="J251" s="57">
        <f t="shared" si="14"/>
        <v>15000</v>
      </c>
      <c r="K251" s="58">
        <f t="shared" si="15"/>
        <v>16500</v>
      </c>
      <c r="L251" s="18" t="s">
        <v>25</v>
      </c>
      <c r="M251" s="50"/>
    </row>
    <row r="252" spans="1:13" ht="21.75" hidden="1" customHeight="1" x14ac:dyDescent="0.4">
      <c r="A252" s="62">
        <v>45144</v>
      </c>
      <c r="B252" s="32" t="s">
        <v>2089</v>
      </c>
      <c r="C252" s="18" t="s">
        <v>27</v>
      </c>
      <c r="D252" s="63" t="s">
        <v>28</v>
      </c>
      <c r="E252" s="50" t="s">
        <v>2090</v>
      </c>
      <c r="F252" s="57">
        <v>5000</v>
      </c>
      <c r="G252" s="76"/>
      <c r="H252" s="57">
        <f t="shared" si="16"/>
        <v>5000</v>
      </c>
      <c r="I252" s="50">
        <v>1</v>
      </c>
      <c r="J252" s="57">
        <f t="shared" si="14"/>
        <v>5000</v>
      </c>
      <c r="K252" s="58">
        <f t="shared" si="15"/>
        <v>5500</v>
      </c>
      <c r="L252" s="18" t="s">
        <v>25</v>
      </c>
      <c r="M252" s="50"/>
    </row>
    <row r="253" spans="1:13" ht="21.75" hidden="1" customHeight="1" x14ac:dyDescent="0.4">
      <c r="A253" s="62">
        <v>45144</v>
      </c>
      <c r="B253" s="32" t="s">
        <v>2091</v>
      </c>
      <c r="C253" s="18" t="s">
        <v>27</v>
      </c>
      <c r="D253" s="63" t="s">
        <v>28</v>
      </c>
      <c r="E253" s="50" t="s">
        <v>318</v>
      </c>
      <c r="F253" s="57">
        <v>15000</v>
      </c>
      <c r="G253" s="76"/>
      <c r="H253" s="57">
        <f t="shared" si="16"/>
        <v>15000</v>
      </c>
      <c r="I253" s="50">
        <v>1</v>
      </c>
      <c r="J253" s="57">
        <f t="shared" si="14"/>
        <v>15000</v>
      </c>
      <c r="K253" s="58">
        <f t="shared" si="15"/>
        <v>16500</v>
      </c>
      <c r="L253" s="18" t="s">
        <v>25</v>
      </c>
      <c r="M253" s="50"/>
    </row>
    <row r="254" spans="1:13" ht="21.75" hidden="1" customHeight="1" x14ac:dyDescent="0.4">
      <c r="A254" s="62">
        <v>45144</v>
      </c>
      <c r="B254" s="32" t="s">
        <v>2091</v>
      </c>
      <c r="C254" s="18" t="s">
        <v>27</v>
      </c>
      <c r="D254" s="63" t="s">
        <v>28</v>
      </c>
      <c r="E254" s="50" t="s">
        <v>2092</v>
      </c>
      <c r="F254" s="57">
        <v>6375</v>
      </c>
      <c r="G254" s="76"/>
      <c r="H254" s="57">
        <f t="shared" si="16"/>
        <v>6375</v>
      </c>
      <c r="I254" s="50">
        <v>1</v>
      </c>
      <c r="J254" s="57">
        <f t="shared" si="14"/>
        <v>6375</v>
      </c>
      <c r="K254" s="58">
        <f t="shared" si="15"/>
        <v>7012</v>
      </c>
      <c r="L254" s="18" t="s">
        <v>25</v>
      </c>
      <c r="M254" s="50"/>
    </row>
    <row r="255" spans="1:13" ht="21.75" hidden="1" customHeight="1" x14ac:dyDescent="0.4">
      <c r="A255" s="62">
        <v>45144</v>
      </c>
      <c r="B255" s="32" t="s">
        <v>2091</v>
      </c>
      <c r="C255" s="18" t="s">
        <v>27</v>
      </c>
      <c r="D255" s="63" t="s">
        <v>28</v>
      </c>
      <c r="E255" s="50" t="s">
        <v>1971</v>
      </c>
      <c r="F255" s="57">
        <v>25000</v>
      </c>
      <c r="G255" s="76"/>
      <c r="H255" s="57">
        <f t="shared" si="16"/>
        <v>25000</v>
      </c>
      <c r="I255" s="50">
        <v>1</v>
      </c>
      <c r="J255" s="57">
        <f t="shared" si="14"/>
        <v>25000</v>
      </c>
      <c r="K255" s="58">
        <f t="shared" si="15"/>
        <v>27500</v>
      </c>
      <c r="L255" s="18" t="s">
        <v>25</v>
      </c>
      <c r="M255" s="50"/>
    </row>
    <row r="256" spans="1:13" ht="21.75" hidden="1" customHeight="1" x14ac:dyDescent="0.4">
      <c r="A256" s="62">
        <v>45144</v>
      </c>
      <c r="B256" s="32" t="s">
        <v>1541</v>
      </c>
      <c r="C256" s="18" t="s">
        <v>2093</v>
      </c>
      <c r="D256" s="63" t="s">
        <v>332</v>
      </c>
      <c r="E256" s="124" t="s">
        <v>2094</v>
      </c>
      <c r="F256" s="57">
        <v>2400</v>
      </c>
      <c r="G256" s="76">
        <v>-240</v>
      </c>
      <c r="H256" s="57">
        <f t="shared" si="16"/>
        <v>2160</v>
      </c>
      <c r="I256" s="50">
        <v>1</v>
      </c>
      <c r="J256" s="57">
        <f t="shared" si="14"/>
        <v>2160</v>
      </c>
      <c r="K256" s="58">
        <f t="shared" si="15"/>
        <v>2376</v>
      </c>
      <c r="L256" s="18" t="s">
        <v>25</v>
      </c>
      <c r="M256" s="50"/>
    </row>
    <row r="257" spans="1:13" ht="21.75" hidden="1" customHeight="1" x14ac:dyDescent="0.4">
      <c r="A257" s="62">
        <v>45145</v>
      </c>
      <c r="B257" s="32" t="s">
        <v>1907</v>
      </c>
      <c r="C257" s="18" t="s">
        <v>2093</v>
      </c>
      <c r="D257" s="63" t="s">
        <v>292</v>
      </c>
      <c r="E257" s="50" t="s">
        <v>2095</v>
      </c>
      <c r="F257" s="57">
        <v>10800</v>
      </c>
      <c r="G257" s="76">
        <v>-1080</v>
      </c>
      <c r="H257" s="57">
        <f t="shared" si="16"/>
        <v>9720</v>
      </c>
      <c r="I257" s="50">
        <v>1</v>
      </c>
      <c r="J257" s="57">
        <f t="shared" si="14"/>
        <v>9720</v>
      </c>
      <c r="K257" s="58">
        <f t="shared" si="15"/>
        <v>10692</v>
      </c>
      <c r="L257" s="18" t="s">
        <v>25</v>
      </c>
      <c r="M257" s="50"/>
    </row>
    <row r="258" spans="1:13" ht="21.75" hidden="1" customHeight="1" x14ac:dyDescent="0.4">
      <c r="A258" s="62">
        <v>45147</v>
      </c>
      <c r="B258" s="32" t="s">
        <v>2096</v>
      </c>
      <c r="C258" s="18" t="s">
        <v>22</v>
      </c>
      <c r="D258" s="63" t="s">
        <v>1496</v>
      </c>
      <c r="E258" s="50" t="s">
        <v>2097</v>
      </c>
      <c r="F258" s="57">
        <v>3000</v>
      </c>
      <c r="G258" s="76"/>
      <c r="H258" s="57">
        <f t="shared" si="16"/>
        <v>3000</v>
      </c>
      <c r="I258" s="50">
        <v>1</v>
      </c>
      <c r="J258" s="57">
        <f t="shared" si="14"/>
        <v>3000</v>
      </c>
      <c r="K258" s="58">
        <f t="shared" si="15"/>
        <v>3300</v>
      </c>
      <c r="L258" s="18" t="s">
        <v>25</v>
      </c>
      <c r="M258" s="50" t="s">
        <v>2098</v>
      </c>
    </row>
    <row r="259" spans="1:13" ht="21.75" hidden="1" customHeight="1" x14ac:dyDescent="0.4">
      <c r="A259" s="62">
        <v>45148</v>
      </c>
      <c r="B259" s="32" t="s">
        <v>162</v>
      </c>
      <c r="C259" s="18" t="s">
        <v>27</v>
      </c>
      <c r="D259" s="63" t="s">
        <v>28</v>
      </c>
      <c r="E259" s="50" t="s">
        <v>73</v>
      </c>
      <c r="F259" s="57">
        <v>2000</v>
      </c>
      <c r="G259" s="76"/>
      <c r="H259" s="57">
        <f t="shared" si="16"/>
        <v>2000</v>
      </c>
      <c r="I259" s="50">
        <v>1</v>
      </c>
      <c r="J259" s="57">
        <f t="shared" si="14"/>
        <v>2000</v>
      </c>
      <c r="K259" s="58">
        <f t="shared" si="15"/>
        <v>2200</v>
      </c>
      <c r="L259" s="18" t="s">
        <v>2099</v>
      </c>
      <c r="M259" s="50"/>
    </row>
    <row r="260" spans="1:13" ht="21.75" hidden="1" customHeight="1" x14ac:dyDescent="0.4">
      <c r="A260" s="62">
        <v>45148</v>
      </c>
      <c r="B260" s="32" t="s">
        <v>162</v>
      </c>
      <c r="C260" s="18" t="s">
        <v>27</v>
      </c>
      <c r="D260" s="63" t="s">
        <v>28</v>
      </c>
      <c r="E260" s="50" t="s">
        <v>1810</v>
      </c>
      <c r="F260" s="57">
        <v>2500</v>
      </c>
      <c r="G260" s="76"/>
      <c r="H260" s="57">
        <f t="shared" si="16"/>
        <v>2500</v>
      </c>
      <c r="I260" s="50">
        <v>1</v>
      </c>
      <c r="J260" s="57">
        <f t="shared" si="14"/>
        <v>2500</v>
      </c>
      <c r="K260" s="58">
        <f t="shared" si="15"/>
        <v>2750</v>
      </c>
      <c r="L260" s="18" t="s">
        <v>2099</v>
      </c>
      <c r="M260" s="50"/>
    </row>
    <row r="261" spans="1:13" ht="21.75" hidden="1" customHeight="1" x14ac:dyDescent="0.4">
      <c r="A261" s="62">
        <v>45149</v>
      </c>
      <c r="B261" s="32" t="s">
        <v>1269</v>
      </c>
      <c r="C261" s="18" t="s">
        <v>2093</v>
      </c>
      <c r="D261" s="63" t="s">
        <v>328</v>
      </c>
      <c r="E261" s="50" t="s">
        <v>2100</v>
      </c>
      <c r="F261" s="57">
        <v>55000</v>
      </c>
      <c r="G261" s="76">
        <v>-5500</v>
      </c>
      <c r="H261" s="57">
        <f t="shared" si="16"/>
        <v>49500</v>
      </c>
      <c r="I261" s="50">
        <v>1</v>
      </c>
      <c r="J261" s="57">
        <f t="shared" si="14"/>
        <v>49500</v>
      </c>
      <c r="K261" s="58">
        <f t="shared" si="15"/>
        <v>54450</v>
      </c>
      <c r="L261" s="18" t="s">
        <v>34</v>
      </c>
      <c r="M261" s="50"/>
    </row>
    <row r="262" spans="1:13" ht="21.75" hidden="1" customHeight="1" x14ac:dyDescent="0.4">
      <c r="A262" s="62">
        <v>45149</v>
      </c>
      <c r="B262" s="32" t="s">
        <v>1269</v>
      </c>
      <c r="C262" s="18" t="s">
        <v>2093</v>
      </c>
      <c r="D262" s="63" t="s">
        <v>2101</v>
      </c>
      <c r="E262" s="50" t="s">
        <v>2102</v>
      </c>
      <c r="F262" s="57">
        <v>70000</v>
      </c>
      <c r="G262" s="76">
        <v>-7000</v>
      </c>
      <c r="H262" s="57">
        <f t="shared" si="16"/>
        <v>63000</v>
      </c>
      <c r="I262" s="50">
        <v>1</v>
      </c>
      <c r="J262" s="57">
        <f t="shared" si="14"/>
        <v>63000</v>
      </c>
      <c r="K262" s="58">
        <f t="shared" si="15"/>
        <v>69300</v>
      </c>
      <c r="L262" s="18" t="s">
        <v>34</v>
      </c>
      <c r="M262" s="50"/>
    </row>
    <row r="263" spans="1:13" ht="21.75" hidden="1" customHeight="1" x14ac:dyDescent="0.4">
      <c r="A263" s="62">
        <v>45149</v>
      </c>
      <c r="B263" s="32" t="s">
        <v>1269</v>
      </c>
      <c r="C263" s="18" t="s">
        <v>2093</v>
      </c>
      <c r="D263" s="63" t="s">
        <v>332</v>
      </c>
      <c r="E263" s="50" t="s">
        <v>2103</v>
      </c>
      <c r="F263" s="57">
        <v>1450</v>
      </c>
      <c r="G263" s="76">
        <v>-145</v>
      </c>
      <c r="H263" s="57">
        <f t="shared" si="16"/>
        <v>1305</v>
      </c>
      <c r="I263" s="50">
        <v>1</v>
      </c>
      <c r="J263" s="57">
        <f t="shared" si="14"/>
        <v>1305</v>
      </c>
      <c r="K263" s="58">
        <f t="shared" si="15"/>
        <v>1435</v>
      </c>
      <c r="L263" s="18" t="s">
        <v>34</v>
      </c>
      <c r="M263" s="50"/>
    </row>
    <row r="264" spans="1:13" ht="21.75" hidden="1" customHeight="1" x14ac:dyDescent="0.4">
      <c r="A264" s="62">
        <v>45150</v>
      </c>
      <c r="B264" s="32" t="s">
        <v>2183</v>
      </c>
      <c r="C264" s="18" t="s">
        <v>2184</v>
      </c>
      <c r="D264" s="63" t="s">
        <v>328</v>
      </c>
      <c r="E264" s="50" t="s">
        <v>2185</v>
      </c>
      <c r="F264" s="57">
        <v>55000</v>
      </c>
      <c r="G264" s="76">
        <v>-16500</v>
      </c>
      <c r="H264" s="57">
        <f t="shared" si="16"/>
        <v>38500</v>
      </c>
      <c r="I264" s="50">
        <v>1</v>
      </c>
      <c r="J264" s="57">
        <f t="shared" si="14"/>
        <v>38500</v>
      </c>
      <c r="K264" s="58">
        <f t="shared" si="15"/>
        <v>42350</v>
      </c>
      <c r="L264" s="18" t="s">
        <v>1921</v>
      </c>
      <c r="M264" s="50"/>
    </row>
    <row r="265" spans="1:13" ht="21.75" hidden="1" customHeight="1" x14ac:dyDescent="0.4">
      <c r="A265" s="62">
        <v>45150</v>
      </c>
      <c r="B265" s="32" t="s">
        <v>2183</v>
      </c>
      <c r="C265" s="18" t="s">
        <v>2184</v>
      </c>
      <c r="D265" s="63" t="s">
        <v>2186</v>
      </c>
      <c r="E265" s="50" t="s">
        <v>2187</v>
      </c>
      <c r="F265" s="57">
        <v>80000</v>
      </c>
      <c r="G265" s="76">
        <v>-12000</v>
      </c>
      <c r="H265" s="57">
        <f t="shared" si="16"/>
        <v>68000</v>
      </c>
      <c r="I265" s="50">
        <v>1</v>
      </c>
      <c r="J265" s="57">
        <f t="shared" si="14"/>
        <v>68000</v>
      </c>
      <c r="K265" s="58">
        <f t="shared" si="15"/>
        <v>74800</v>
      </c>
      <c r="L265" s="18" t="s">
        <v>1921</v>
      </c>
      <c r="M265" s="50"/>
    </row>
    <row r="266" spans="1:13" ht="21.75" hidden="1" customHeight="1" x14ac:dyDescent="0.4">
      <c r="A266" s="62">
        <v>45150</v>
      </c>
      <c r="B266" s="32" t="s">
        <v>2183</v>
      </c>
      <c r="C266" s="18" t="s">
        <v>2184</v>
      </c>
      <c r="D266" s="63" t="s">
        <v>332</v>
      </c>
      <c r="E266" s="50" t="s">
        <v>2188</v>
      </c>
      <c r="F266" s="57">
        <v>1650</v>
      </c>
      <c r="G266" s="76"/>
      <c r="H266" s="57">
        <f t="shared" si="16"/>
        <v>1650</v>
      </c>
      <c r="I266" s="50">
        <v>1</v>
      </c>
      <c r="J266" s="57">
        <f t="shared" ref="J266" si="17">SUM(H266*I266)</f>
        <v>1650</v>
      </c>
      <c r="K266" s="58">
        <f t="shared" ref="K266" si="18">ROUNDDOWN(J266*1.1,0)</f>
        <v>1815</v>
      </c>
      <c r="L266" s="18" t="s">
        <v>1921</v>
      </c>
      <c r="M266" s="50"/>
    </row>
    <row r="267" spans="1:13" ht="21.75" hidden="1" customHeight="1" x14ac:dyDescent="0.4">
      <c r="A267" s="62">
        <v>45152</v>
      </c>
      <c r="B267" s="32" t="s">
        <v>2104</v>
      </c>
      <c r="C267" s="18" t="s">
        <v>22</v>
      </c>
      <c r="D267" s="63" t="s">
        <v>1496</v>
      </c>
      <c r="E267" s="50" t="s">
        <v>369</v>
      </c>
      <c r="F267" s="57">
        <v>3000</v>
      </c>
      <c r="G267" s="76"/>
      <c r="H267" s="57">
        <f t="shared" si="16"/>
        <v>3000</v>
      </c>
      <c r="I267" s="50">
        <v>1</v>
      </c>
      <c r="J267" s="57">
        <f t="shared" si="14"/>
        <v>3000</v>
      </c>
      <c r="K267" s="58">
        <f t="shared" si="15"/>
        <v>3300</v>
      </c>
      <c r="L267" s="18" t="s">
        <v>25</v>
      </c>
      <c r="M267" s="50" t="s">
        <v>1954</v>
      </c>
    </row>
    <row r="268" spans="1:13" ht="21.75" hidden="1" customHeight="1" x14ac:dyDescent="0.4">
      <c r="A268" s="62">
        <v>45154</v>
      </c>
      <c r="B268" s="32" t="s">
        <v>2057</v>
      </c>
      <c r="C268" s="18" t="s">
        <v>2093</v>
      </c>
      <c r="D268" s="63" t="s">
        <v>426</v>
      </c>
      <c r="E268" s="50" t="s">
        <v>2105</v>
      </c>
      <c r="F268" s="57">
        <v>1700</v>
      </c>
      <c r="G268" s="76">
        <v>-170</v>
      </c>
      <c r="H268" s="57">
        <f t="shared" si="16"/>
        <v>1530</v>
      </c>
      <c r="I268" s="50">
        <v>1</v>
      </c>
      <c r="J268" s="57">
        <f t="shared" si="14"/>
        <v>1530</v>
      </c>
      <c r="K268" s="58">
        <f t="shared" si="15"/>
        <v>1683</v>
      </c>
      <c r="L268" s="18" t="s">
        <v>2099</v>
      </c>
      <c r="M268" s="50"/>
    </row>
    <row r="269" spans="1:13" ht="21.75" hidden="1" customHeight="1" x14ac:dyDescent="0.4">
      <c r="A269" s="62">
        <v>45154</v>
      </c>
      <c r="B269" s="32" t="s">
        <v>2106</v>
      </c>
      <c r="C269" s="18" t="s">
        <v>27</v>
      </c>
      <c r="D269" s="63" t="s">
        <v>28</v>
      </c>
      <c r="E269" s="50" t="s">
        <v>318</v>
      </c>
      <c r="F269" s="57">
        <v>15000</v>
      </c>
      <c r="G269" s="76"/>
      <c r="H269" s="57">
        <f t="shared" si="16"/>
        <v>15000</v>
      </c>
      <c r="I269" s="50">
        <v>1</v>
      </c>
      <c r="J269" s="57">
        <f t="shared" si="14"/>
        <v>15000</v>
      </c>
      <c r="K269" s="58">
        <f t="shared" si="15"/>
        <v>16500</v>
      </c>
      <c r="L269" s="18" t="s">
        <v>2099</v>
      </c>
      <c r="M269" s="50"/>
    </row>
    <row r="270" spans="1:13" ht="21.75" hidden="1" customHeight="1" x14ac:dyDescent="0.4">
      <c r="A270" s="62">
        <v>45154</v>
      </c>
      <c r="B270" s="32" t="s">
        <v>2106</v>
      </c>
      <c r="C270" s="18" t="s">
        <v>27</v>
      </c>
      <c r="D270" s="63" t="s">
        <v>28</v>
      </c>
      <c r="E270" s="50" t="s">
        <v>2108</v>
      </c>
      <c r="F270" s="57">
        <v>4370</v>
      </c>
      <c r="G270" s="76"/>
      <c r="H270" s="57">
        <f t="shared" si="16"/>
        <v>4370</v>
      </c>
      <c r="I270" s="50">
        <v>1</v>
      </c>
      <c r="J270" s="57">
        <f t="shared" si="14"/>
        <v>4370</v>
      </c>
      <c r="K270" s="58">
        <f t="shared" si="15"/>
        <v>4807</v>
      </c>
      <c r="L270" s="18" t="s">
        <v>2099</v>
      </c>
      <c r="M270" s="50"/>
    </row>
    <row r="271" spans="1:13" ht="21.75" hidden="1" customHeight="1" x14ac:dyDescent="0.4">
      <c r="A271" s="62">
        <v>45154</v>
      </c>
      <c r="B271" s="32" t="s">
        <v>2106</v>
      </c>
      <c r="C271" s="18" t="s">
        <v>27</v>
      </c>
      <c r="D271" s="63" t="s">
        <v>28</v>
      </c>
      <c r="E271" s="50" t="s">
        <v>2109</v>
      </c>
      <c r="F271" s="57">
        <v>17500</v>
      </c>
      <c r="G271" s="76"/>
      <c r="H271" s="57">
        <f t="shared" si="16"/>
        <v>17500</v>
      </c>
      <c r="I271" s="50">
        <v>1</v>
      </c>
      <c r="J271" s="57">
        <f t="shared" si="14"/>
        <v>17500</v>
      </c>
      <c r="K271" s="58">
        <f t="shared" si="15"/>
        <v>19250</v>
      </c>
      <c r="L271" s="18" t="s">
        <v>2099</v>
      </c>
      <c r="M271" s="50"/>
    </row>
    <row r="272" spans="1:13" ht="21.75" hidden="1" customHeight="1" x14ac:dyDescent="0.4">
      <c r="A272" s="62">
        <v>45154</v>
      </c>
      <c r="B272" s="32" t="s">
        <v>1541</v>
      </c>
      <c r="C272" s="18" t="s">
        <v>2093</v>
      </c>
      <c r="D272" s="63" t="s">
        <v>455</v>
      </c>
      <c r="E272" s="124" t="s">
        <v>2094</v>
      </c>
      <c r="F272" s="57">
        <v>2400</v>
      </c>
      <c r="G272" s="76">
        <v>-240</v>
      </c>
      <c r="H272" s="57">
        <f t="shared" si="16"/>
        <v>2160</v>
      </c>
      <c r="I272" s="50">
        <v>1</v>
      </c>
      <c r="J272" s="57">
        <f t="shared" si="14"/>
        <v>2160</v>
      </c>
      <c r="K272" s="58">
        <f t="shared" si="15"/>
        <v>2376</v>
      </c>
      <c r="L272" s="18" t="s">
        <v>2099</v>
      </c>
      <c r="M272" s="50"/>
    </row>
    <row r="273" spans="1:13" ht="21.75" hidden="1" customHeight="1" x14ac:dyDescent="0.4">
      <c r="A273" s="62">
        <v>45155</v>
      </c>
      <c r="B273" s="32" t="s">
        <v>182</v>
      </c>
      <c r="C273" s="18" t="s">
        <v>27</v>
      </c>
      <c r="D273" s="63" t="s">
        <v>103</v>
      </c>
      <c r="E273" s="50" t="s">
        <v>104</v>
      </c>
      <c r="F273" s="57">
        <v>2500</v>
      </c>
      <c r="G273" s="76"/>
      <c r="H273" s="57">
        <f t="shared" si="16"/>
        <v>2500</v>
      </c>
      <c r="I273" s="50">
        <v>1</v>
      </c>
      <c r="J273" s="57">
        <f t="shared" ref="J273:J359" si="19">SUM(H273*I273)</f>
        <v>2500</v>
      </c>
      <c r="K273" s="58">
        <f t="shared" ref="K273:K359" si="20">ROUNDDOWN(J273*1.1,0)</f>
        <v>2750</v>
      </c>
      <c r="L273" s="18" t="s">
        <v>2099</v>
      </c>
      <c r="M273" s="50"/>
    </row>
    <row r="274" spans="1:13" ht="21.75" hidden="1" customHeight="1" x14ac:dyDescent="0.4">
      <c r="A274" s="62">
        <v>45155</v>
      </c>
      <c r="B274" s="32" t="s">
        <v>2110</v>
      </c>
      <c r="C274" s="18" t="s">
        <v>2093</v>
      </c>
      <c r="D274" s="63" t="s">
        <v>332</v>
      </c>
      <c r="E274" s="50" t="s">
        <v>2111</v>
      </c>
      <c r="F274" s="57">
        <v>1750</v>
      </c>
      <c r="G274" s="76"/>
      <c r="H274" s="57">
        <f t="shared" ref="H274:H337" si="21">SUM(F274:G274)</f>
        <v>1750</v>
      </c>
      <c r="I274" s="50">
        <v>1</v>
      </c>
      <c r="J274" s="57">
        <f t="shared" si="19"/>
        <v>1750</v>
      </c>
      <c r="K274" s="58">
        <f t="shared" si="20"/>
        <v>1925</v>
      </c>
      <c r="L274" s="18" t="s">
        <v>2099</v>
      </c>
      <c r="M274" s="50"/>
    </row>
    <row r="275" spans="1:13" ht="21.75" hidden="1" customHeight="1" x14ac:dyDescent="0.4">
      <c r="A275" s="62">
        <v>45155</v>
      </c>
      <c r="B275" s="32" t="s">
        <v>2112</v>
      </c>
      <c r="C275" s="18" t="s">
        <v>27</v>
      </c>
      <c r="D275" s="63" t="s">
        <v>28</v>
      </c>
      <c r="E275" s="50" t="s">
        <v>1897</v>
      </c>
      <c r="F275" s="57">
        <v>17500</v>
      </c>
      <c r="G275" s="76"/>
      <c r="H275" s="57">
        <f t="shared" si="21"/>
        <v>17500</v>
      </c>
      <c r="I275" s="50">
        <v>1</v>
      </c>
      <c r="J275" s="57">
        <f t="shared" si="19"/>
        <v>17500</v>
      </c>
      <c r="K275" s="58">
        <f t="shared" si="20"/>
        <v>19250</v>
      </c>
      <c r="L275" s="18" t="s">
        <v>2099</v>
      </c>
      <c r="M275" s="50"/>
    </row>
    <row r="276" spans="1:13" ht="21.75" hidden="1" customHeight="1" x14ac:dyDescent="0.4">
      <c r="A276" s="62">
        <v>45155</v>
      </c>
      <c r="B276" s="32" t="s">
        <v>2113</v>
      </c>
      <c r="C276" s="18" t="s">
        <v>27</v>
      </c>
      <c r="D276" s="63" t="s">
        <v>28</v>
      </c>
      <c r="E276" s="50" t="s">
        <v>2114</v>
      </c>
      <c r="F276" s="57">
        <v>5620</v>
      </c>
      <c r="G276" s="76"/>
      <c r="H276" s="57">
        <f t="shared" si="21"/>
        <v>5620</v>
      </c>
      <c r="I276" s="50">
        <v>1</v>
      </c>
      <c r="J276" s="57">
        <f t="shared" si="19"/>
        <v>5620</v>
      </c>
      <c r="K276" s="58">
        <f t="shared" si="20"/>
        <v>6182</v>
      </c>
      <c r="L276" s="18" t="s">
        <v>25</v>
      </c>
      <c r="M276" s="50"/>
    </row>
    <row r="277" spans="1:13" ht="21.75" hidden="1" customHeight="1" x14ac:dyDescent="0.4">
      <c r="A277" s="62">
        <v>45155</v>
      </c>
      <c r="B277" s="32" t="s">
        <v>2113</v>
      </c>
      <c r="C277" s="18" t="s">
        <v>27</v>
      </c>
      <c r="D277" s="63" t="s">
        <v>28</v>
      </c>
      <c r="E277" s="50" t="s">
        <v>2115</v>
      </c>
      <c r="F277" s="57">
        <v>22500</v>
      </c>
      <c r="G277" s="76"/>
      <c r="H277" s="57">
        <f t="shared" si="21"/>
        <v>22500</v>
      </c>
      <c r="I277" s="50">
        <v>1</v>
      </c>
      <c r="J277" s="57">
        <f t="shared" si="19"/>
        <v>22500</v>
      </c>
      <c r="K277" s="58">
        <f t="shared" si="20"/>
        <v>24750</v>
      </c>
      <c r="L277" s="18" t="s">
        <v>25</v>
      </c>
      <c r="M277" s="50"/>
    </row>
    <row r="278" spans="1:13" ht="21.75" hidden="1" customHeight="1" x14ac:dyDescent="0.4">
      <c r="A278" s="62">
        <v>45155</v>
      </c>
      <c r="B278" s="32" t="s">
        <v>2096</v>
      </c>
      <c r="C278" s="18" t="s">
        <v>22</v>
      </c>
      <c r="D278" s="63" t="s">
        <v>1496</v>
      </c>
      <c r="E278" s="50" t="s">
        <v>2097</v>
      </c>
      <c r="F278" s="57">
        <v>3000</v>
      </c>
      <c r="G278" s="76"/>
      <c r="H278" s="57">
        <f t="shared" si="21"/>
        <v>3000</v>
      </c>
      <c r="I278" s="50">
        <v>1</v>
      </c>
      <c r="J278" s="57">
        <f t="shared" si="19"/>
        <v>3000</v>
      </c>
      <c r="K278" s="58">
        <f t="shared" si="20"/>
        <v>3300</v>
      </c>
      <c r="L278" s="18" t="s">
        <v>25</v>
      </c>
      <c r="M278" s="50"/>
    </row>
    <row r="279" spans="1:13" ht="21.75" hidden="1" customHeight="1" x14ac:dyDescent="0.4">
      <c r="A279" s="62">
        <v>45156</v>
      </c>
      <c r="B279" s="32" t="s">
        <v>593</v>
      </c>
      <c r="C279" s="18" t="s">
        <v>2093</v>
      </c>
      <c r="D279" s="63" t="s">
        <v>332</v>
      </c>
      <c r="E279" s="50" t="s">
        <v>2116</v>
      </c>
      <c r="F279" s="57">
        <v>3000</v>
      </c>
      <c r="G279" s="76"/>
      <c r="H279" s="57">
        <f t="shared" si="21"/>
        <v>3000</v>
      </c>
      <c r="I279" s="50">
        <v>1</v>
      </c>
      <c r="J279" s="57">
        <f t="shared" si="19"/>
        <v>3000</v>
      </c>
      <c r="K279" s="58">
        <f t="shared" si="20"/>
        <v>3300</v>
      </c>
      <c r="L279" s="18" t="s">
        <v>25</v>
      </c>
      <c r="M279" s="50"/>
    </row>
    <row r="280" spans="1:13" ht="21.75" hidden="1" customHeight="1" x14ac:dyDescent="0.4">
      <c r="A280" s="62">
        <v>45156</v>
      </c>
      <c r="B280" s="32" t="s">
        <v>2117</v>
      </c>
      <c r="C280" s="18" t="s">
        <v>22</v>
      </c>
      <c r="D280" s="63" t="s">
        <v>23</v>
      </c>
      <c r="E280" s="50" t="s">
        <v>1941</v>
      </c>
      <c r="F280" s="57">
        <v>15000</v>
      </c>
      <c r="G280" s="76"/>
      <c r="H280" s="57">
        <f t="shared" si="21"/>
        <v>15000</v>
      </c>
      <c r="I280" s="50">
        <v>1</v>
      </c>
      <c r="J280" s="57">
        <f t="shared" si="19"/>
        <v>15000</v>
      </c>
      <c r="K280" s="58">
        <f t="shared" si="20"/>
        <v>16500</v>
      </c>
      <c r="L280" s="18" t="s">
        <v>2099</v>
      </c>
      <c r="M280" s="50"/>
    </row>
    <row r="281" spans="1:13" ht="21.75" hidden="1" customHeight="1" x14ac:dyDescent="0.4">
      <c r="A281" s="62">
        <v>45156</v>
      </c>
      <c r="B281" s="32" t="s">
        <v>2044</v>
      </c>
      <c r="C281" s="18" t="s">
        <v>27</v>
      </c>
      <c r="D281" s="63" t="s">
        <v>28</v>
      </c>
      <c r="E281" s="50" t="s">
        <v>1897</v>
      </c>
      <c r="F281" s="57">
        <v>17500</v>
      </c>
      <c r="G281" s="76"/>
      <c r="H281" s="57">
        <f t="shared" si="21"/>
        <v>17500</v>
      </c>
      <c r="I281" s="50">
        <v>1</v>
      </c>
      <c r="J281" s="57">
        <f t="shared" si="19"/>
        <v>17500</v>
      </c>
      <c r="K281" s="58">
        <f t="shared" si="20"/>
        <v>19250</v>
      </c>
      <c r="L281" s="18" t="s">
        <v>2099</v>
      </c>
      <c r="M281" s="50"/>
    </row>
    <row r="282" spans="1:13" ht="21.75" hidden="1" customHeight="1" x14ac:dyDescent="0.4">
      <c r="A282" s="62">
        <v>45157</v>
      </c>
      <c r="B282" s="32" t="s">
        <v>2118</v>
      </c>
      <c r="C282" s="18" t="s">
        <v>2093</v>
      </c>
      <c r="D282" s="63" t="s">
        <v>292</v>
      </c>
      <c r="E282" s="50" t="s">
        <v>2120</v>
      </c>
      <c r="F282" s="57">
        <v>4872</v>
      </c>
      <c r="G282" s="76"/>
      <c r="H282" s="57">
        <f t="shared" si="21"/>
        <v>4872</v>
      </c>
      <c r="I282" s="50">
        <v>2</v>
      </c>
      <c r="J282" s="57">
        <f t="shared" si="19"/>
        <v>9744</v>
      </c>
      <c r="K282" s="58">
        <f t="shared" si="20"/>
        <v>10718</v>
      </c>
      <c r="L282" s="18" t="s">
        <v>25</v>
      </c>
      <c r="M282" s="50"/>
    </row>
    <row r="283" spans="1:13" ht="21.75" hidden="1" customHeight="1" x14ac:dyDescent="0.4">
      <c r="A283" s="62">
        <v>45157</v>
      </c>
      <c r="B283" s="32" t="s">
        <v>1541</v>
      </c>
      <c r="C283" s="18" t="s">
        <v>2093</v>
      </c>
      <c r="D283" s="63" t="s">
        <v>426</v>
      </c>
      <c r="E283" s="50" t="s">
        <v>2105</v>
      </c>
      <c r="F283" s="57">
        <v>1700</v>
      </c>
      <c r="G283" s="76">
        <v>-170</v>
      </c>
      <c r="H283" s="57">
        <f t="shared" si="21"/>
        <v>1530</v>
      </c>
      <c r="I283" s="50">
        <v>1</v>
      </c>
      <c r="J283" s="57">
        <f t="shared" si="19"/>
        <v>1530</v>
      </c>
      <c r="K283" s="58">
        <f t="shared" si="20"/>
        <v>1683</v>
      </c>
      <c r="L283" s="18" t="s">
        <v>25</v>
      </c>
      <c r="M283" s="50"/>
    </row>
    <row r="284" spans="1:13" ht="21.75" hidden="1" customHeight="1" x14ac:dyDescent="0.4">
      <c r="A284" s="62">
        <v>45157</v>
      </c>
      <c r="B284" s="32" t="s">
        <v>1541</v>
      </c>
      <c r="C284" s="18" t="s">
        <v>2093</v>
      </c>
      <c r="D284" s="63" t="s">
        <v>332</v>
      </c>
      <c r="E284" s="50" t="s">
        <v>2121</v>
      </c>
      <c r="F284" s="57">
        <v>1800</v>
      </c>
      <c r="G284" s="76">
        <v>-180</v>
      </c>
      <c r="H284" s="57">
        <f t="shared" si="21"/>
        <v>1620</v>
      </c>
      <c r="I284" s="50">
        <v>1</v>
      </c>
      <c r="J284" s="57">
        <f t="shared" si="19"/>
        <v>1620</v>
      </c>
      <c r="K284" s="58">
        <f t="shared" si="20"/>
        <v>1782</v>
      </c>
      <c r="L284" s="18" t="s">
        <v>25</v>
      </c>
      <c r="M284" s="50"/>
    </row>
    <row r="285" spans="1:13" ht="21.75" hidden="1" customHeight="1" x14ac:dyDescent="0.4">
      <c r="A285" s="62">
        <v>45157</v>
      </c>
      <c r="B285" s="32" t="s">
        <v>2122</v>
      </c>
      <c r="C285" s="18" t="s">
        <v>22</v>
      </c>
      <c r="D285" s="63" t="s">
        <v>1496</v>
      </c>
      <c r="E285" s="50" t="s">
        <v>369</v>
      </c>
      <c r="F285" s="57">
        <v>3000</v>
      </c>
      <c r="G285" s="76"/>
      <c r="H285" s="57">
        <f t="shared" si="21"/>
        <v>3000</v>
      </c>
      <c r="I285" s="50">
        <v>1</v>
      </c>
      <c r="J285" s="57">
        <f t="shared" si="19"/>
        <v>3000</v>
      </c>
      <c r="K285" s="58">
        <f t="shared" si="20"/>
        <v>3300</v>
      </c>
      <c r="L285" s="18" t="s">
        <v>2099</v>
      </c>
      <c r="M285" s="50" t="s">
        <v>1954</v>
      </c>
    </row>
    <row r="286" spans="1:13" ht="21.75" hidden="1" customHeight="1" x14ac:dyDescent="0.4">
      <c r="A286" s="62">
        <v>45157</v>
      </c>
      <c r="B286" s="32" t="s">
        <v>2122</v>
      </c>
      <c r="C286" s="18" t="s">
        <v>27</v>
      </c>
      <c r="D286" s="63" t="s">
        <v>28</v>
      </c>
      <c r="E286" s="50" t="s">
        <v>318</v>
      </c>
      <c r="F286" s="57">
        <v>15000</v>
      </c>
      <c r="G286" s="76"/>
      <c r="H286" s="57">
        <f t="shared" si="21"/>
        <v>15000</v>
      </c>
      <c r="I286" s="50">
        <v>1</v>
      </c>
      <c r="J286" s="57">
        <f t="shared" si="19"/>
        <v>15000</v>
      </c>
      <c r="K286" s="58">
        <f t="shared" si="20"/>
        <v>16500</v>
      </c>
      <c r="L286" s="18" t="s">
        <v>25</v>
      </c>
      <c r="M286" s="50"/>
    </row>
    <row r="287" spans="1:13" ht="21.75" hidden="1" customHeight="1" x14ac:dyDescent="0.4">
      <c r="A287" s="62">
        <v>45157</v>
      </c>
      <c r="B287" s="32" t="s">
        <v>2122</v>
      </c>
      <c r="C287" s="18" t="s">
        <v>27</v>
      </c>
      <c r="D287" s="63" t="s">
        <v>28</v>
      </c>
      <c r="E287" s="50" t="s">
        <v>2107</v>
      </c>
      <c r="F287" s="57">
        <v>4370</v>
      </c>
      <c r="G287" s="76"/>
      <c r="H287" s="57">
        <f t="shared" si="21"/>
        <v>4370</v>
      </c>
      <c r="I287" s="50">
        <v>1</v>
      </c>
      <c r="J287" s="57">
        <f t="shared" si="19"/>
        <v>4370</v>
      </c>
      <c r="K287" s="58">
        <f t="shared" si="20"/>
        <v>4807</v>
      </c>
      <c r="L287" s="18" t="s">
        <v>25</v>
      </c>
      <c r="M287" s="50"/>
    </row>
    <row r="288" spans="1:13" ht="21.75" hidden="1" customHeight="1" x14ac:dyDescent="0.4">
      <c r="A288" s="62">
        <v>45157</v>
      </c>
      <c r="B288" s="32" t="s">
        <v>2122</v>
      </c>
      <c r="C288" s="18" t="s">
        <v>27</v>
      </c>
      <c r="D288" s="63" t="s">
        <v>28</v>
      </c>
      <c r="E288" s="50" t="s">
        <v>1897</v>
      </c>
      <c r="F288" s="57">
        <v>17500</v>
      </c>
      <c r="G288" s="76"/>
      <c r="H288" s="57">
        <f t="shared" si="21"/>
        <v>17500</v>
      </c>
      <c r="I288" s="50">
        <v>1</v>
      </c>
      <c r="J288" s="57">
        <f t="shared" si="19"/>
        <v>17500</v>
      </c>
      <c r="K288" s="58">
        <f t="shared" si="20"/>
        <v>19250</v>
      </c>
      <c r="L288" s="18" t="s">
        <v>25</v>
      </c>
      <c r="M288" s="50"/>
    </row>
    <row r="289" spans="1:13" ht="21.75" hidden="1" customHeight="1" x14ac:dyDescent="0.4">
      <c r="A289" s="62">
        <v>45157</v>
      </c>
      <c r="B289" s="32" t="s">
        <v>503</v>
      </c>
      <c r="C289" s="18" t="s">
        <v>2093</v>
      </c>
      <c r="D289" s="63" t="s">
        <v>292</v>
      </c>
      <c r="E289" s="50" t="s">
        <v>2119</v>
      </c>
      <c r="F289" s="57">
        <v>5500</v>
      </c>
      <c r="G289" s="76"/>
      <c r="H289" s="57">
        <f t="shared" si="21"/>
        <v>5500</v>
      </c>
      <c r="I289" s="50">
        <v>2</v>
      </c>
      <c r="J289" s="57">
        <f t="shared" si="19"/>
        <v>11000</v>
      </c>
      <c r="K289" s="58">
        <f t="shared" si="20"/>
        <v>12100</v>
      </c>
      <c r="L289" s="18" t="s">
        <v>25</v>
      </c>
      <c r="M289" s="50"/>
    </row>
    <row r="290" spans="1:13" ht="21.75" hidden="1" customHeight="1" x14ac:dyDescent="0.4">
      <c r="A290" s="62">
        <v>45157</v>
      </c>
      <c r="B290" s="32" t="s">
        <v>2123</v>
      </c>
      <c r="C290" s="18" t="s">
        <v>17</v>
      </c>
      <c r="D290" s="63" t="s">
        <v>292</v>
      </c>
      <c r="E290" s="50" t="s">
        <v>2128</v>
      </c>
      <c r="F290" s="57">
        <v>5700</v>
      </c>
      <c r="G290" s="76">
        <v>-570</v>
      </c>
      <c r="H290" s="57">
        <f t="shared" si="21"/>
        <v>5130</v>
      </c>
      <c r="I290" s="50">
        <v>1</v>
      </c>
      <c r="J290" s="57">
        <f t="shared" si="19"/>
        <v>5130</v>
      </c>
      <c r="K290" s="58">
        <f t="shared" si="20"/>
        <v>5643</v>
      </c>
      <c r="L290" s="18" t="s">
        <v>2099</v>
      </c>
      <c r="M290" s="50"/>
    </row>
    <row r="291" spans="1:13" ht="21.75" hidden="1" customHeight="1" x14ac:dyDescent="0.4">
      <c r="A291" s="62">
        <v>45158</v>
      </c>
      <c r="B291" s="32" t="s">
        <v>223</v>
      </c>
      <c r="C291" s="18" t="s">
        <v>2093</v>
      </c>
      <c r="D291" s="63" t="s">
        <v>332</v>
      </c>
      <c r="E291" s="50" t="s">
        <v>2124</v>
      </c>
      <c r="F291" s="57">
        <v>2500</v>
      </c>
      <c r="G291" s="76">
        <v>-250</v>
      </c>
      <c r="H291" s="57">
        <f t="shared" si="21"/>
        <v>2250</v>
      </c>
      <c r="I291" s="50">
        <v>3</v>
      </c>
      <c r="J291" s="57">
        <f t="shared" si="19"/>
        <v>6750</v>
      </c>
      <c r="K291" s="58">
        <f t="shared" si="20"/>
        <v>7425</v>
      </c>
      <c r="L291" s="18" t="s">
        <v>25</v>
      </c>
      <c r="M291" s="50"/>
    </row>
    <row r="292" spans="1:13" ht="21.75" hidden="1" customHeight="1" x14ac:dyDescent="0.4">
      <c r="A292" s="62">
        <v>45158</v>
      </c>
      <c r="B292" s="32" t="s">
        <v>2125</v>
      </c>
      <c r="C292" s="18" t="s">
        <v>2093</v>
      </c>
      <c r="D292" s="63" t="s">
        <v>292</v>
      </c>
      <c r="E292" s="50" t="s">
        <v>2126</v>
      </c>
      <c r="F292" s="57">
        <v>5800</v>
      </c>
      <c r="G292" s="76">
        <v>-580</v>
      </c>
      <c r="H292" s="57">
        <f t="shared" si="21"/>
        <v>5220</v>
      </c>
      <c r="I292" s="50">
        <v>1</v>
      </c>
      <c r="J292" s="57">
        <f t="shared" si="19"/>
        <v>5220</v>
      </c>
      <c r="K292" s="58">
        <f t="shared" si="20"/>
        <v>5742</v>
      </c>
      <c r="L292" s="18" t="s">
        <v>25</v>
      </c>
      <c r="M292" s="50"/>
    </row>
    <row r="293" spans="1:13" ht="21.75" hidden="1" customHeight="1" x14ac:dyDescent="0.4">
      <c r="A293" s="62">
        <v>45159</v>
      </c>
      <c r="B293" s="32" t="s">
        <v>1269</v>
      </c>
      <c r="C293" s="18" t="s">
        <v>2093</v>
      </c>
      <c r="D293" s="63" t="s">
        <v>55</v>
      </c>
      <c r="E293" s="50" t="s">
        <v>2129</v>
      </c>
      <c r="F293" s="57">
        <v>5700</v>
      </c>
      <c r="G293" s="76">
        <v>-570</v>
      </c>
      <c r="H293" s="57">
        <f t="shared" si="21"/>
        <v>5130</v>
      </c>
      <c r="I293" s="50">
        <v>1</v>
      </c>
      <c r="J293" s="57">
        <f t="shared" si="19"/>
        <v>5130</v>
      </c>
      <c r="K293" s="58">
        <f t="shared" si="20"/>
        <v>5643</v>
      </c>
      <c r="L293" s="18" t="s">
        <v>25</v>
      </c>
      <c r="M293" s="50"/>
    </row>
    <row r="294" spans="1:13" ht="21.75" hidden="1" customHeight="1" x14ac:dyDescent="0.4">
      <c r="A294" s="62">
        <v>45159</v>
      </c>
      <c r="B294" s="32" t="s">
        <v>428</v>
      </c>
      <c r="C294" s="18" t="s">
        <v>2093</v>
      </c>
      <c r="D294" s="63" t="s">
        <v>332</v>
      </c>
      <c r="E294" s="50" t="s">
        <v>2130</v>
      </c>
      <c r="F294" s="57">
        <v>2000</v>
      </c>
      <c r="G294" s="76">
        <v>-200</v>
      </c>
      <c r="H294" s="57">
        <f t="shared" si="21"/>
        <v>1800</v>
      </c>
      <c r="I294" s="50">
        <v>1</v>
      </c>
      <c r="J294" s="57">
        <f t="shared" si="19"/>
        <v>1800</v>
      </c>
      <c r="K294" s="58">
        <f t="shared" si="20"/>
        <v>1980</v>
      </c>
      <c r="L294" s="18" t="s">
        <v>25</v>
      </c>
      <c r="M294" s="50"/>
    </row>
    <row r="295" spans="1:13" ht="21.75" hidden="1" customHeight="1" x14ac:dyDescent="0.4">
      <c r="A295" s="62">
        <v>45160</v>
      </c>
      <c r="B295" s="32" t="s">
        <v>2131</v>
      </c>
      <c r="C295" s="18" t="s">
        <v>22</v>
      </c>
      <c r="D295" s="63" t="s">
        <v>23</v>
      </c>
      <c r="E295" s="50" t="s">
        <v>1941</v>
      </c>
      <c r="F295" s="57">
        <v>5000</v>
      </c>
      <c r="G295" s="76"/>
      <c r="H295" s="57">
        <f t="shared" si="21"/>
        <v>5000</v>
      </c>
      <c r="I295" s="50">
        <v>1</v>
      </c>
      <c r="J295" s="57">
        <f t="shared" si="19"/>
        <v>5000</v>
      </c>
      <c r="K295" s="58">
        <f t="shared" si="20"/>
        <v>5500</v>
      </c>
      <c r="L295" s="18" t="s">
        <v>25</v>
      </c>
      <c r="M295" s="50" t="s">
        <v>2132</v>
      </c>
    </row>
    <row r="296" spans="1:13" ht="21.75" hidden="1" customHeight="1" x14ac:dyDescent="0.4">
      <c r="A296" s="62">
        <v>45161</v>
      </c>
      <c r="B296" s="32" t="s">
        <v>2133</v>
      </c>
      <c r="C296" s="18" t="s">
        <v>22</v>
      </c>
      <c r="D296" s="63" t="s">
        <v>23</v>
      </c>
      <c r="E296" s="50" t="s">
        <v>1941</v>
      </c>
      <c r="F296" s="57">
        <v>15000</v>
      </c>
      <c r="G296" s="76"/>
      <c r="H296" s="57">
        <f t="shared" si="21"/>
        <v>15000</v>
      </c>
      <c r="I296" s="50">
        <v>1</v>
      </c>
      <c r="J296" s="57">
        <f t="shared" si="19"/>
        <v>15000</v>
      </c>
      <c r="K296" s="58">
        <f t="shared" si="20"/>
        <v>16500</v>
      </c>
      <c r="L296" s="18" t="s">
        <v>25</v>
      </c>
      <c r="M296" s="50"/>
    </row>
    <row r="297" spans="1:13" ht="21.75" hidden="1" customHeight="1" x14ac:dyDescent="0.4">
      <c r="A297" s="62">
        <v>45161</v>
      </c>
      <c r="B297" s="32" t="s">
        <v>2137</v>
      </c>
      <c r="C297" s="18" t="s">
        <v>22</v>
      </c>
      <c r="D297" s="63" t="s">
        <v>1496</v>
      </c>
      <c r="E297" s="50" t="s">
        <v>369</v>
      </c>
      <c r="F297" s="57">
        <v>3000</v>
      </c>
      <c r="G297" s="76"/>
      <c r="H297" s="57">
        <f t="shared" si="21"/>
        <v>3000</v>
      </c>
      <c r="I297" s="50">
        <v>1</v>
      </c>
      <c r="J297" s="57">
        <f t="shared" si="19"/>
        <v>3000</v>
      </c>
      <c r="K297" s="58">
        <f t="shared" si="20"/>
        <v>3300</v>
      </c>
      <c r="L297" s="18" t="s">
        <v>2099</v>
      </c>
      <c r="M297" s="50"/>
    </row>
    <row r="298" spans="1:13" ht="21.75" hidden="1" customHeight="1" x14ac:dyDescent="0.4">
      <c r="A298" s="62">
        <v>45161</v>
      </c>
      <c r="B298" s="32" t="s">
        <v>2137</v>
      </c>
      <c r="C298" s="18" t="s">
        <v>27</v>
      </c>
      <c r="D298" s="63" t="s">
        <v>28</v>
      </c>
      <c r="E298" s="50" t="s">
        <v>318</v>
      </c>
      <c r="F298" s="57">
        <v>15000</v>
      </c>
      <c r="G298" s="76"/>
      <c r="H298" s="57">
        <f t="shared" si="21"/>
        <v>15000</v>
      </c>
      <c r="I298" s="50">
        <v>1</v>
      </c>
      <c r="J298" s="57">
        <f t="shared" si="19"/>
        <v>15000</v>
      </c>
      <c r="K298" s="58">
        <f t="shared" si="20"/>
        <v>16500</v>
      </c>
      <c r="L298" s="18" t="s">
        <v>2099</v>
      </c>
      <c r="M298" s="50"/>
    </row>
    <row r="299" spans="1:13" ht="21.75" hidden="1" customHeight="1" x14ac:dyDescent="0.4">
      <c r="A299" s="62">
        <v>45161</v>
      </c>
      <c r="B299" s="32" t="s">
        <v>2137</v>
      </c>
      <c r="C299" s="18" t="s">
        <v>27</v>
      </c>
      <c r="D299" s="63" t="s">
        <v>28</v>
      </c>
      <c r="E299" s="50" t="s">
        <v>2114</v>
      </c>
      <c r="F299" s="57">
        <v>5620</v>
      </c>
      <c r="G299" s="76"/>
      <c r="H299" s="57">
        <f t="shared" si="21"/>
        <v>5620</v>
      </c>
      <c r="I299" s="50">
        <v>1</v>
      </c>
      <c r="J299" s="57">
        <f t="shared" si="19"/>
        <v>5620</v>
      </c>
      <c r="K299" s="58">
        <f t="shared" si="20"/>
        <v>6182</v>
      </c>
      <c r="L299" s="18" t="s">
        <v>2099</v>
      </c>
      <c r="M299" s="50"/>
    </row>
    <row r="300" spans="1:13" ht="21.75" hidden="1" customHeight="1" x14ac:dyDescent="0.4">
      <c r="A300" s="62">
        <v>45161</v>
      </c>
      <c r="B300" s="32" t="s">
        <v>2137</v>
      </c>
      <c r="C300" s="18" t="s">
        <v>27</v>
      </c>
      <c r="D300" s="63" t="s">
        <v>28</v>
      </c>
      <c r="E300" s="50" t="s">
        <v>2115</v>
      </c>
      <c r="F300" s="57">
        <v>22500</v>
      </c>
      <c r="G300" s="76"/>
      <c r="H300" s="57">
        <f t="shared" si="21"/>
        <v>22500</v>
      </c>
      <c r="I300" s="50">
        <v>1</v>
      </c>
      <c r="J300" s="57">
        <f t="shared" si="19"/>
        <v>22500</v>
      </c>
      <c r="K300" s="58">
        <f t="shared" si="20"/>
        <v>24750</v>
      </c>
      <c r="L300" s="18" t="s">
        <v>2099</v>
      </c>
      <c r="M300" s="50"/>
    </row>
    <row r="301" spans="1:13" ht="21.75" hidden="1" customHeight="1" x14ac:dyDescent="0.4">
      <c r="A301" s="62">
        <v>45161</v>
      </c>
      <c r="B301" s="32" t="s">
        <v>2134</v>
      </c>
      <c r="C301" s="18" t="s">
        <v>22</v>
      </c>
      <c r="D301" s="63" t="s">
        <v>23</v>
      </c>
      <c r="E301" s="50" t="s">
        <v>1941</v>
      </c>
      <c r="F301" s="57">
        <v>15000</v>
      </c>
      <c r="G301" s="76"/>
      <c r="H301" s="57">
        <f t="shared" si="21"/>
        <v>15000</v>
      </c>
      <c r="I301" s="50">
        <v>1</v>
      </c>
      <c r="J301" s="57">
        <f t="shared" si="19"/>
        <v>15000</v>
      </c>
      <c r="K301" s="58">
        <f t="shared" si="20"/>
        <v>16500</v>
      </c>
      <c r="L301" s="18" t="s">
        <v>25</v>
      </c>
      <c r="M301" s="50"/>
    </row>
    <row r="302" spans="1:13" ht="21.75" hidden="1" customHeight="1" x14ac:dyDescent="0.4">
      <c r="A302" s="62">
        <v>45162</v>
      </c>
      <c r="B302" s="32" t="s">
        <v>2135</v>
      </c>
      <c r="C302" s="18" t="s">
        <v>2093</v>
      </c>
      <c r="D302" s="63" t="s">
        <v>18</v>
      </c>
      <c r="E302" s="50" t="s">
        <v>2136</v>
      </c>
      <c r="F302" s="57">
        <v>1020</v>
      </c>
      <c r="G302" s="76"/>
      <c r="H302" s="57">
        <f t="shared" si="21"/>
        <v>1020</v>
      </c>
      <c r="I302" s="50">
        <v>1</v>
      </c>
      <c r="J302" s="57">
        <f t="shared" si="19"/>
        <v>1020</v>
      </c>
      <c r="K302" s="58">
        <f t="shared" si="20"/>
        <v>1122</v>
      </c>
      <c r="L302" s="18" t="s">
        <v>25</v>
      </c>
      <c r="M302" s="50"/>
    </row>
    <row r="303" spans="1:13" ht="21.75" hidden="1" customHeight="1" x14ac:dyDescent="0.4">
      <c r="A303" s="62">
        <v>45162</v>
      </c>
      <c r="B303" s="32" t="s">
        <v>2138</v>
      </c>
      <c r="C303" s="18" t="s">
        <v>22</v>
      </c>
      <c r="D303" s="63" t="s">
        <v>1496</v>
      </c>
      <c r="E303" s="50" t="s">
        <v>369</v>
      </c>
      <c r="F303" s="57">
        <v>3000</v>
      </c>
      <c r="G303" s="76"/>
      <c r="H303" s="57">
        <f t="shared" si="21"/>
        <v>3000</v>
      </c>
      <c r="I303" s="50">
        <v>1</v>
      </c>
      <c r="J303" s="57">
        <f t="shared" si="19"/>
        <v>3000</v>
      </c>
      <c r="K303" s="58">
        <f t="shared" si="20"/>
        <v>3300</v>
      </c>
      <c r="L303" s="18" t="s">
        <v>2099</v>
      </c>
      <c r="M303" s="50" t="s">
        <v>1954</v>
      </c>
    </row>
    <row r="304" spans="1:13" ht="21.75" hidden="1" customHeight="1" x14ac:dyDescent="0.4">
      <c r="A304" s="62">
        <v>45162</v>
      </c>
      <c r="B304" s="32" t="s">
        <v>2138</v>
      </c>
      <c r="C304" s="18" t="s">
        <v>27</v>
      </c>
      <c r="D304" s="63" t="s">
        <v>28</v>
      </c>
      <c r="E304" s="50" t="s">
        <v>318</v>
      </c>
      <c r="F304" s="57">
        <v>15000</v>
      </c>
      <c r="G304" s="76"/>
      <c r="H304" s="57">
        <f t="shared" si="21"/>
        <v>15000</v>
      </c>
      <c r="I304" s="50">
        <v>1</v>
      </c>
      <c r="J304" s="57">
        <f t="shared" si="19"/>
        <v>15000</v>
      </c>
      <c r="K304" s="58">
        <f t="shared" si="20"/>
        <v>16500</v>
      </c>
      <c r="L304" s="18" t="s">
        <v>2099</v>
      </c>
      <c r="M304" s="50"/>
    </row>
    <row r="305" spans="1:13" ht="21.75" hidden="1" customHeight="1" x14ac:dyDescent="0.4">
      <c r="A305" s="62">
        <v>45162</v>
      </c>
      <c r="B305" s="32" t="s">
        <v>2138</v>
      </c>
      <c r="C305" s="18" t="s">
        <v>27</v>
      </c>
      <c r="D305" s="63" t="s">
        <v>28</v>
      </c>
      <c r="E305" s="50" t="s">
        <v>1897</v>
      </c>
      <c r="F305" s="57">
        <v>17500</v>
      </c>
      <c r="G305" s="76"/>
      <c r="H305" s="57">
        <f t="shared" si="21"/>
        <v>17500</v>
      </c>
      <c r="I305" s="50">
        <v>1</v>
      </c>
      <c r="J305" s="57">
        <f t="shared" si="19"/>
        <v>17500</v>
      </c>
      <c r="K305" s="58">
        <f t="shared" si="20"/>
        <v>19250</v>
      </c>
      <c r="L305" s="18" t="s">
        <v>2099</v>
      </c>
      <c r="M305" s="50"/>
    </row>
    <row r="306" spans="1:13" ht="21.75" hidden="1" customHeight="1" x14ac:dyDescent="0.4">
      <c r="A306" s="62">
        <v>45163</v>
      </c>
      <c r="B306" s="32" t="s">
        <v>1541</v>
      </c>
      <c r="C306" s="18" t="s">
        <v>2093</v>
      </c>
      <c r="D306" s="63" t="s">
        <v>332</v>
      </c>
      <c r="E306" s="50" t="s">
        <v>2139</v>
      </c>
      <c r="F306" s="57">
        <v>2400</v>
      </c>
      <c r="G306" s="76">
        <v>-240</v>
      </c>
      <c r="H306" s="57">
        <f t="shared" si="21"/>
        <v>2160</v>
      </c>
      <c r="I306" s="50">
        <v>2</v>
      </c>
      <c r="J306" s="57">
        <f t="shared" si="19"/>
        <v>4320</v>
      </c>
      <c r="K306" s="58">
        <f t="shared" si="20"/>
        <v>4752</v>
      </c>
      <c r="L306" s="18" t="s">
        <v>25</v>
      </c>
      <c r="M306" s="50"/>
    </row>
    <row r="307" spans="1:13" ht="21.75" hidden="1" customHeight="1" x14ac:dyDescent="0.4">
      <c r="A307" s="62">
        <v>45164</v>
      </c>
      <c r="B307" s="32" t="s">
        <v>2141</v>
      </c>
      <c r="C307" s="18" t="s">
        <v>2093</v>
      </c>
      <c r="D307" s="63" t="s">
        <v>2030</v>
      </c>
      <c r="E307" s="50" t="s">
        <v>2140</v>
      </c>
      <c r="F307" s="57">
        <v>1500</v>
      </c>
      <c r="G307" s="76"/>
      <c r="H307" s="57">
        <f t="shared" si="21"/>
        <v>1500</v>
      </c>
      <c r="I307" s="50">
        <v>1</v>
      </c>
      <c r="J307" s="57">
        <f t="shared" si="19"/>
        <v>1500</v>
      </c>
      <c r="K307" s="58">
        <f t="shared" si="20"/>
        <v>1650</v>
      </c>
      <c r="L307" s="18" t="s">
        <v>2099</v>
      </c>
      <c r="M307" s="50"/>
    </row>
    <row r="308" spans="1:13" ht="21.75" hidden="1" customHeight="1" x14ac:dyDescent="0.4">
      <c r="A308" s="62">
        <v>45164</v>
      </c>
      <c r="B308" s="32" t="s">
        <v>2142</v>
      </c>
      <c r="C308" s="18" t="s">
        <v>2093</v>
      </c>
      <c r="D308" s="63" t="s">
        <v>332</v>
      </c>
      <c r="E308" s="50" t="s">
        <v>2143</v>
      </c>
      <c r="F308" s="57">
        <v>1800</v>
      </c>
      <c r="G308" s="76">
        <v>-180</v>
      </c>
      <c r="H308" s="57">
        <f t="shared" si="21"/>
        <v>1620</v>
      </c>
      <c r="I308" s="50">
        <v>1</v>
      </c>
      <c r="J308" s="57">
        <f t="shared" si="19"/>
        <v>1620</v>
      </c>
      <c r="K308" s="58">
        <f t="shared" si="20"/>
        <v>1782</v>
      </c>
      <c r="L308" s="18" t="s">
        <v>2099</v>
      </c>
      <c r="M308" s="50"/>
    </row>
    <row r="309" spans="1:13" ht="21.75" hidden="1" customHeight="1" x14ac:dyDescent="0.4">
      <c r="A309" s="62">
        <v>45164</v>
      </c>
      <c r="B309" s="32" t="s">
        <v>678</v>
      </c>
      <c r="C309" s="18" t="s">
        <v>2093</v>
      </c>
      <c r="D309" s="63" t="s">
        <v>292</v>
      </c>
      <c r="E309" s="50" t="s">
        <v>2127</v>
      </c>
      <c r="F309" s="57">
        <v>5700</v>
      </c>
      <c r="G309" s="76">
        <v>-570</v>
      </c>
      <c r="H309" s="57">
        <f t="shared" si="21"/>
        <v>5130</v>
      </c>
      <c r="I309" s="50">
        <v>3</v>
      </c>
      <c r="J309" s="57">
        <f t="shared" si="19"/>
        <v>15390</v>
      </c>
      <c r="K309" s="58">
        <f t="shared" si="20"/>
        <v>16929</v>
      </c>
      <c r="L309" s="18" t="s">
        <v>34</v>
      </c>
      <c r="M309" s="50"/>
    </row>
    <row r="310" spans="1:13" ht="21.75" hidden="1" customHeight="1" x14ac:dyDescent="0.4">
      <c r="A310" s="62">
        <v>45164</v>
      </c>
      <c r="B310" s="32" t="s">
        <v>2144</v>
      </c>
      <c r="C310" s="18" t="s">
        <v>2093</v>
      </c>
      <c r="D310" s="63" t="s">
        <v>332</v>
      </c>
      <c r="E310" s="50" t="s">
        <v>2145</v>
      </c>
      <c r="F310" s="57">
        <v>1800</v>
      </c>
      <c r="G310" s="76">
        <v>-180</v>
      </c>
      <c r="H310" s="57">
        <f t="shared" si="21"/>
        <v>1620</v>
      </c>
      <c r="I310" s="50">
        <v>12</v>
      </c>
      <c r="J310" s="57">
        <f t="shared" si="19"/>
        <v>19440</v>
      </c>
      <c r="K310" s="58">
        <f t="shared" si="20"/>
        <v>21384</v>
      </c>
      <c r="L310" s="18" t="s">
        <v>34</v>
      </c>
      <c r="M310" s="50"/>
    </row>
    <row r="311" spans="1:13" ht="21.75" customHeight="1" x14ac:dyDescent="0.4">
      <c r="A311" s="62">
        <v>45164</v>
      </c>
      <c r="B311" s="32" t="s">
        <v>2144</v>
      </c>
      <c r="C311" s="18" t="s">
        <v>2093</v>
      </c>
      <c r="D311" s="63" t="s">
        <v>2012</v>
      </c>
      <c r="E311" s="50" t="s">
        <v>2146</v>
      </c>
      <c r="F311" s="57">
        <v>2600</v>
      </c>
      <c r="G311" s="76">
        <v>-260</v>
      </c>
      <c r="H311" s="57">
        <f t="shared" si="21"/>
        <v>2340</v>
      </c>
      <c r="I311" s="50">
        <v>2</v>
      </c>
      <c r="J311" s="57">
        <f t="shared" si="19"/>
        <v>4680</v>
      </c>
      <c r="K311" s="58">
        <f t="shared" si="20"/>
        <v>5148</v>
      </c>
      <c r="L311" s="18" t="s">
        <v>34</v>
      </c>
      <c r="M311" s="50"/>
    </row>
    <row r="312" spans="1:13" ht="21.75" hidden="1" customHeight="1" x14ac:dyDescent="0.4">
      <c r="A312" s="62">
        <v>45164</v>
      </c>
      <c r="B312" s="32" t="s">
        <v>2147</v>
      </c>
      <c r="C312" s="18" t="s">
        <v>2093</v>
      </c>
      <c r="D312" s="63" t="s">
        <v>332</v>
      </c>
      <c r="E312" s="50" t="s">
        <v>2148</v>
      </c>
      <c r="F312" s="57">
        <v>1090</v>
      </c>
      <c r="G312" s="76">
        <v>-109</v>
      </c>
      <c r="H312" s="57">
        <f t="shared" si="21"/>
        <v>981</v>
      </c>
      <c r="I312" s="50">
        <v>1</v>
      </c>
      <c r="J312" s="57">
        <f t="shared" si="19"/>
        <v>981</v>
      </c>
      <c r="K312" s="58">
        <f t="shared" si="20"/>
        <v>1079</v>
      </c>
      <c r="L312" s="18" t="s">
        <v>2099</v>
      </c>
      <c r="M312" s="50"/>
    </row>
    <row r="313" spans="1:13" ht="21.75" hidden="1" customHeight="1" x14ac:dyDescent="0.4">
      <c r="A313" s="62">
        <v>45165</v>
      </c>
      <c r="B313" s="32" t="s">
        <v>1966</v>
      </c>
      <c r="C313" s="18" t="s">
        <v>2149</v>
      </c>
      <c r="D313" s="63" t="s">
        <v>332</v>
      </c>
      <c r="E313" s="50" t="s">
        <v>2150</v>
      </c>
      <c r="F313" s="57">
        <v>1090</v>
      </c>
      <c r="G313" s="76">
        <v>-109</v>
      </c>
      <c r="H313" s="57">
        <f t="shared" si="21"/>
        <v>981</v>
      </c>
      <c r="I313" s="50">
        <v>1</v>
      </c>
      <c r="J313" s="57">
        <f t="shared" si="19"/>
        <v>981</v>
      </c>
      <c r="K313" s="58">
        <f t="shared" si="20"/>
        <v>1079</v>
      </c>
      <c r="L313" s="18" t="s">
        <v>25</v>
      </c>
      <c r="M313" s="50"/>
    </row>
    <row r="314" spans="1:13" ht="21.75" hidden="1" customHeight="1" x14ac:dyDescent="0.4">
      <c r="A314" s="62">
        <v>45165</v>
      </c>
      <c r="B314" s="32" t="s">
        <v>2151</v>
      </c>
      <c r="C314" s="18" t="s">
        <v>27</v>
      </c>
      <c r="D314" s="63" t="s">
        <v>28</v>
      </c>
      <c r="E314" s="50" t="s">
        <v>1897</v>
      </c>
      <c r="F314" s="57">
        <v>17500</v>
      </c>
      <c r="G314" s="76"/>
      <c r="H314" s="57">
        <f t="shared" si="21"/>
        <v>17500</v>
      </c>
      <c r="I314" s="50">
        <v>1</v>
      </c>
      <c r="J314" s="57">
        <f t="shared" si="19"/>
        <v>17500</v>
      </c>
      <c r="K314" s="58">
        <f t="shared" si="20"/>
        <v>19250</v>
      </c>
      <c r="L314" s="18" t="s">
        <v>25</v>
      </c>
      <c r="M314" s="50"/>
    </row>
    <row r="315" spans="1:13" ht="21.75" hidden="1" customHeight="1" x14ac:dyDescent="0.4">
      <c r="A315" s="62">
        <v>45166</v>
      </c>
      <c r="B315" s="32" t="s">
        <v>2152</v>
      </c>
      <c r="C315" s="18" t="s">
        <v>22</v>
      </c>
      <c r="D315" s="63" t="s">
        <v>1496</v>
      </c>
      <c r="E315" s="50" t="s">
        <v>369</v>
      </c>
      <c r="F315" s="57">
        <v>3000</v>
      </c>
      <c r="G315" s="76"/>
      <c r="H315" s="57">
        <f t="shared" si="21"/>
        <v>3000</v>
      </c>
      <c r="I315" s="50">
        <v>1</v>
      </c>
      <c r="J315" s="57">
        <f t="shared" si="19"/>
        <v>3000</v>
      </c>
      <c r="K315" s="58">
        <f t="shared" si="20"/>
        <v>3300</v>
      </c>
      <c r="L315" s="18" t="s">
        <v>2153</v>
      </c>
      <c r="M315" s="50" t="s">
        <v>1954</v>
      </c>
    </row>
    <row r="316" spans="1:13" ht="21.75" hidden="1" customHeight="1" x14ac:dyDescent="0.4">
      <c r="A316" s="62">
        <v>45166</v>
      </c>
      <c r="B316" s="32" t="s">
        <v>710</v>
      </c>
      <c r="C316" s="18" t="s">
        <v>2149</v>
      </c>
      <c r="D316" s="63" t="s">
        <v>292</v>
      </c>
      <c r="E316" s="50" t="s">
        <v>2154</v>
      </c>
      <c r="F316" s="57">
        <v>5700</v>
      </c>
      <c r="G316" s="76">
        <v>-570</v>
      </c>
      <c r="H316" s="57">
        <f t="shared" si="21"/>
        <v>5130</v>
      </c>
      <c r="I316" s="50">
        <v>1</v>
      </c>
      <c r="J316" s="57">
        <f t="shared" si="19"/>
        <v>5130</v>
      </c>
      <c r="K316" s="58">
        <f t="shared" si="20"/>
        <v>5643</v>
      </c>
      <c r="L316" s="18" t="s">
        <v>25</v>
      </c>
      <c r="M316" s="50"/>
    </row>
    <row r="317" spans="1:13" ht="21.75" hidden="1" customHeight="1" x14ac:dyDescent="0.4">
      <c r="A317" s="62">
        <v>45166</v>
      </c>
      <c r="B317" s="32" t="s">
        <v>148</v>
      </c>
      <c r="C317" s="18" t="s">
        <v>27</v>
      </c>
      <c r="D317" s="63" t="s">
        <v>28</v>
      </c>
      <c r="E317" s="50" t="s">
        <v>1897</v>
      </c>
      <c r="F317" s="57">
        <v>17500</v>
      </c>
      <c r="G317" s="76"/>
      <c r="H317" s="57">
        <f t="shared" si="21"/>
        <v>17500</v>
      </c>
      <c r="I317" s="50">
        <v>1</v>
      </c>
      <c r="J317" s="57">
        <f t="shared" si="19"/>
        <v>17500</v>
      </c>
      <c r="K317" s="58">
        <f t="shared" si="20"/>
        <v>19250</v>
      </c>
      <c r="L317" s="18" t="s">
        <v>2153</v>
      </c>
      <c r="M317" s="50"/>
    </row>
    <row r="318" spans="1:13" ht="21.75" hidden="1" customHeight="1" x14ac:dyDescent="0.4">
      <c r="A318" s="62">
        <v>45166</v>
      </c>
      <c r="B318" s="32" t="s">
        <v>2155</v>
      </c>
      <c r="C318" s="18" t="s">
        <v>2149</v>
      </c>
      <c r="D318" s="63" t="s">
        <v>328</v>
      </c>
      <c r="E318" s="50" t="s">
        <v>2156</v>
      </c>
      <c r="F318" s="57">
        <v>25000</v>
      </c>
      <c r="G318" s="76">
        <v>-12500</v>
      </c>
      <c r="H318" s="57">
        <f t="shared" si="21"/>
        <v>12500</v>
      </c>
      <c r="I318" s="50">
        <v>1</v>
      </c>
      <c r="J318" s="57">
        <f t="shared" si="19"/>
        <v>12500</v>
      </c>
      <c r="K318" s="58">
        <f t="shared" si="20"/>
        <v>13750</v>
      </c>
      <c r="L318" s="18" t="s">
        <v>34</v>
      </c>
      <c r="M318" s="50"/>
    </row>
    <row r="319" spans="1:13" ht="21.75" hidden="1" customHeight="1" x14ac:dyDescent="0.4">
      <c r="A319" s="62">
        <v>45166</v>
      </c>
      <c r="B319" s="32" t="s">
        <v>2155</v>
      </c>
      <c r="C319" s="18" t="s">
        <v>2149</v>
      </c>
      <c r="D319" s="63" t="s">
        <v>2157</v>
      </c>
      <c r="E319" s="50" t="s">
        <v>2158</v>
      </c>
      <c r="F319" s="57">
        <v>36000</v>
      </c>
      <c r="G319" s="76">
        <v>-13320</v>
      </c>
      <c r="H319" s="57">
        <f t="shared" si="21"/>
        <v>22680</v>
      </c>
      <c r="I319" s="50">
        <v>3</v>
      </c>
      <c r="J319" s="57">
        <f t="shared" si="19"/>
        <v>68040</v>
      </c>
      <c r="K319" s="58">
        <f t="shared" si="20"/>
        <v>74844</v>
      </c>
      <c r="L319" s="18" t="s">
        <v>34</v>
      </c>
      <c r="M319" s="50"/>
    </row>
    <row r="320" spans="1:13" ht="21.75" hidden="1" customHeight="1" x14ac:dyDescent="0.4">
      <c r="A320" s="62">
        <v>45166</v>
      </c>
      <c r="B320" s="32" t="s">
        <v>2155</v>
      </c>
      <c r="C320" s="18" t="s">
        <v>2149</v>
      </c>
      <c r="D320" s="63" t="s">
        <v>332</v>
      </c>
      <c r="E320" s="50" t="s">
        <v>2159</v>
      </c>
      <c r="F320" s="57">
        <v>1800</v>
      </c>
      <c r="G320" s="76">
        <v>-900</v>
      </c>
      <c r="H320" s="57">
        <f t="shared" si="21"/>
        <v>900</v>
      </c>
      <c r="I320" s="50">
        <v>3</v>
      </c>
      <c r="J320" s="57">
        <f t="shared" si="19"/>
        <v>2700</v>
      </c>
      <c r="K320" s="58">
        <f t="shared" si="20"/>
        <v>2970</v>
      </c>
      <c r="L320" s="18" t="s">
        <v>34</v>
      </c>
      <c r="M320" s="50"/>
    </row>
    <row r="321" spans="1:15" ht="21.75" hidden="1" customHeight="1" x14ac:dyDescent="0.4">
      <c r="A321" s="62">
        <v>45166</v>
      </c>
      <c r="B321" s="32" t="s">
        <v>2160</v>
      </c>
      <c r="C321" s="18" t="s">
        <v>2149</v>
      </c>
      <c r="D321" s="63" t="s">
        <v>328</v>
      </c>
      <c r="E321" s="50" t="s">
        <v>1830</v>
      </c>
      <c r="F321" s="57">
        <v>40000</v>
      </c>
      <c r="G321" s="76">
        <v>-22000</v>
      </c>
      <c r="H321" s="57">
        <f t="shared" si="21"/>
        <v>18000</v>
      </c>
      <c r="I321" s="50">
        <v>1</v>
      </c>
      <c r="J321" s="57">
        <f t="shared" si="19"/>
        <v>18000</v>
      </c>
      <c r="K321" s="58">
        <f t="shared" si="20"/>
        <v>19800</v>
      </c>
      <c r="L321" s="18" t="s">
        <v>34</v>
      </c>
      <c r="M321" s="50"/>
    </row>
    <row r="322" spans="1:15" ht="21.75" hidden="1" customHeight="1" x14ac:dyDescent="0.4">
      <c r="A322" s="62">
        <v>45166</v>
      </c>
      <c r="B322" s="32" t="s">
        <v>2160</v>
      </c>
      <c r="C322" s="18" t="s">
        <v>2149</v>
      </c>
      <c r="D322" s="63" t="s">
        <v>328</v>
      </c>
      <c r="E322" s="124" t="s">
        <v>2161</v>
      </c>
      <c r="F322" s="57">
        <v>40000</v>
      </c>
      <c r="G322" s="76">
        <v>-22000</v>
      </c>
      <c r="H322" s="57">
        <f t="shared" si="21"/>
        <v>18000</v>
      </c>
      <c r="I322" s="50">
        <v>2</v>
      </c>
      <c r="J322" s="57">
        <f t="shared" si="19"/>
        <v>36000</v>
      </c>
      <c r="K322" s="58">
        <f t="shared" si="20"/>
        <v>39600</v>
      </c>
      <c r="L322" s="18" t="s">
        <v>34</v>
      </c>
      <c r="M322" s="50"/>
    </row>
    <row r="323" spans="1:15" ht="21.75" hidden="1" customHeight="1" x14ac:dyDescent="0.4">
      <c r="A323" s="62">
        <v>45166</v>
      </c>
      <c r="B323" s="32" t="s">
        <v>2160</v>
      </c>
      <c r="C323" s="18" t="s">
        <v>2149</v>
      </c>
      <c r="D323" s="63" t="s">
        <v>2157</v>
      </c>
      <c r="E323" s="50" t="s">
        <v>2162</v>
      </c>
      <c r="F323" s="57">
        <v>52000</v>
      </c>
      <c r="G323" s="76">
        <v>-20800</v>
      </c>
      <c r="H323" s="57">
        <f t="shared" si="21"/>
        <v>31200</v>
      </c>
      <c r="I323" s="50">
        <v>2</v>
      </c>
      <c r="J323" s="57">
        <f t="shared" si="19"/>
        <v>62400</v>
      </c>
      <c r="K323" s="58">
        <f t="shared" si="20"/>
        <v>68640</v>
      </c>
      <c r="L323" s="18" t="s">
        <v>34</v>
      </c>
      <c r="M323" s="50"/>
    </row>
    <row r="324" spans="1:15" ht="21.75" hidden="1" customHeight="1" x14ac:dyDescent="0.4">
      <c r="A324" s="62">
        <v>45166</v>
      </c>
      <c r="B324" s="32" t="s">
        <v>2160</v>
      </c>
      <c r="C324" s="18" t="s">
        <v>2149</v>
      </c>
      <c r="D324" s="63" t="s">
        <v>2157</v>
      </c>
      <c r="E324" s="50" t="s">
        <v>2163</v>
      </c>
      <c r="F324" s="57">
        <v>88000</v>
      </c>
      <c r="G324" s="76">
        <v>-32560</v>
      </c>
      <c r="H324" s="57">
        <f t="shared" si="21"/>
        <v>55440</v>
      </c>
      <c r="I324" s="50">
        <v>1</v>
      </c>
      <c r="J324" s="57">
        <f t="shared" si="19"/>
        <v>55440</v>
      </c>
      <c r="K324" s="58">
        <f t="shared" si="20"/>
        <v>60984</v>
      </c>
      <c r="L324" s="18" t="s">
        <v>34</v>
      </c>
      <c r="M324" s="50"/>
    </row>
    <row r="325" spans="1:15" ht="21.75" hidden="1" customHeight="1" x14ac:dyDescent="0.4">
      <c r="A325" s="62">
        <v>45166</v>
      </c>
      <c r="B325" s="32" t="s">
        <v>2160</v>
      </c>
      <c r="C325" s="18" t="s">
        <v>2149</v>
      </c>
      <c r="D325" s="63" t="s">
        <v>332</v>
      </c>
      <c r="E325" s="50" t="s">
        <v>1887</v>
      </c>
      <c r="F325" s="57">
        <v>1090</v>
      </c>
      <c r="G325" s="76">
        <v>-458</v>
      </c>
      <c r="H325" s="57">
        <f t="shared" si="21"/>
        <v>632</v>
      </c>
      <c r="I325" s="50">
        <v>3</v>
      </c>
      <c r="J325" s="57">
        <f t="shared" si="19"/>
        <v>1896</v>
      </c>
      <c r="K325" s="58">
        <f t="shared" si="20"/>
        <v>2085</v>
      </c>
      <c r="L325" s="18" t="s">
        <v>34</v>
      </c>
      <c r="M325" s="50"/>
    </row>
    <row r="326" spans="1:15" ht="21.75" hidden="1" customHeight="1" x14ac:dyDescent="0.4">
      <c r="A326" s="62">
        <v>45168</v>
      </c>
      <c r="B326" s="32" t="s">
        <v>1560</v>
      </c>
      <c r="C326" s="18" t="s">
        <v>2149</v>
      </c>
      <c r="D326" s="63" t="s">
        <v>426</v>
      </c>
      <c r="E326" s="50" t="s">
        <v>2164</v>
      </c>
      <c r="F326" s="57">
        <v>1700</v>
      </c>
      <c r="G326" s="76">
        <v>-170</v>
      </c>
      <c r="H326" s="57">
        <f t="shared" si="21"/>
        <v>1530</v>
      </c>
      <c r="I326" s="50">
        <v>1</v>
      </c>
      <c r="J326" s="57">
        <f t="shared" si="19"/>
        <v>1530</v>
      </c>
      <c r="K326" s="58">
        <f t="shared" si="20"/>
        <v>1683</v>
      </c>
      <c r="L326" s="18" t="s">
        <v>25</v>
      </c>
      <c r="M326" s="50"/>
    </row>
    <row r="327" spans="1:15" ht="21.75" hidden="1" customHeight="1" x14ac:dyDescent="0.4">
      <c r="A327" s="62">
        <v>45168</v>
      </c>
      <c r="B327" s="32" t="s">
        <v>2165</v>
      </c>
      <c r="C327" s="18" t="s">
        <v>22</v>
      </c>
      <c r="D327" s="63" t="s">
        <v>23</v>
      </c>
      <c r="E327" s="50" t="s">
        <v>2166</v>
      </c>
      <c r="F327" s="57">
        <v>13500</v>
      </c>
      <c r="G327" s="76"/>
      <c r="H327" s="57">
        <f t="shared" si="21"/>
        <v>13500</v>
      </c>
      <c r="I327" s="50">
        <v>1</v>
      </c>
      <c r="J327" s="57">
        <f t="shared" si="19"/>
        <v>13500</v>
      </c>
      <c r="K327" s="58">
        <f t="shared" si="20"/>
        <v>14850</v>
      </c>
      <c r="L327" s="18" t="s">
        <v>25</v>
      </c>
      <c r="M327" s="50" t="s">
        <v>1954</v>
      </c>
    </row>
    <row r="328" spans="1:15" ht="21.75" hidden="1" customHeight="1" x14ac:dyDescent="0.4">
      <c r="A328" s="62">
        <v>45168</v>
      </c>
      <c r="B328" s="32" t="s">
        <v>2165</v>
      </c>
      <c r="C328" s="18" t="s">
        <v>2149</v>
      </c>
      <c r="D328" s="63" t="s">
        <v>328</v>
      </c>
      <c r="E328" s="50" t="s">
        <v>2167</v>
      </c>
      <c r="F328" s="57">
        <v>40000</v>
      </c>
      <c r="G328" s="76">
        <v>-8000</v>
      </c>
      <c r="H328" s="57">
        <f t="shared" si="21"/>
        <v>32000</v>
      </c>
      <c r="I328" s="50">
        <v>1</v>
      </c>
      <c r="J328" s="57">
        <f t="shared" si="19"/>
        <v>32000</v>
      </c>
      <c r="K328" s="58">
        <f t="shared" si="20"/>
        <v>35200</v>
      </c>
      <c r="L328" s="18" t="s">
        <v>34</v>
      </c>
      <c r="M328" s="50"/>
    </row>
    <row r="329" spans="1:15" ht="21.75" hidden="1" customHeight="1" x14ac:dyDescent="0.4">
      <c r="A329" s="62">
        <v>45168</v>
      </c>
      <c r="B329" s="32" t="s">
        <v>2165</v>
      </c>
      <c r="C329" s="18" t="s">
        <v>2149</v>
      </c>
      <c r="D329" s="63" t="s">
        <v>2157</v>
      </c>
      <c r="E329" s="50" t="s">
        <v>2168</v>
      </c>
      <c r="F329" s="57">
        <v>85000</v>
      </c>
      <c r="G329" s="76">
        <v>-8500</v>
      </c>
      <c r="H329" s="57">
        <f t="shared" si="21"/>
        <v>76500</v>
      </c>
      <c r="I329" s="50">
        <v>1</v>
      </c>
      <c r="J329" s="57">
        <f t="shared" si="19"/>
        <v>76500</v>
      </c>
      <c r="K329" s="58">
        <f t="shared" si="20"/>
        <v>84150</v>
      </c>
      <c r="L329" s="18" t="s">
        <v>34</v>
      </c>
      <c r="M329" s="50"/>
    </row>
    <row r="330" spans="1:15" ht="21.75" hidden="1" customHeight="1" x14ac:dyDescent="0.4">
      <c r="A330" s="62">
        <v>45168</v>
      </c>
      <c r="B330" s="32" t="s">
        <v>2165</v>
      </c>
      <c r="C330" s="18" t="s">
        <v>2149</v>
      </c>
      <c r="D330" s="63" t="s">
        <v>332</v>
      </c>
      <c r="E330" s="50" t="s">
        <v>1887</v>
      </c>
      <c r="F330" s="57">
        <v>1090</v>
      </c>
      <c r="G330" s="76"/>
      <c r="H330" s="57">
        <f t="shared" si="21"/>
        <v>1090</v>
      </c>
      <c r="I330" s="50">
        <v>1</v>
      </c>
      <c r="J330" s="57">
        <f t="shared" si="19"/>
        <v>1090</v>
      </c>
      <c r="K330" s="58">
        <f t="shared" si="20"/>
        <v>1199</v>
      </c>
      <c r="L330" s="18" t="s">
        <v>34</v>
      </c>
      <c r="M330" s="50"/>
    </row>
    <row r="331" spans="1:15" ht="21.75" hidden="1" customHeight="1" x14ac:dyDescent="0.4">
      <c r="A331" s="62">
        <v>45168</v>
      </c>
      <c r="B331" s="32" t="s">
        <v>2169</v>
      </c>
      <c r="C331" s="18" t="s">
        <v>27</v>
      </c>
      <c r="D331" s="63" t="s">
        <v>28</v>
      </c>
      <c r="E331" s="50" t="s">
        <v>1897</v>
      </c>
      <c r="F331" s="57">
        <v>17500</v>
      </c>
      <c r="G331" s="76"/>
      <c r="H331" s="57">
        <f t="shared" si="21"/>
        <v>17500</v>
      </c>
      <c r="I331" s="50">
        <v>1</v>
      </c>
      <c r="J331" s="57">
        <f t="shared" si="19"/>
        <v>17500</v>
      </c>
      <c r="K331" s="58">
        <f t="shared" si="20"/>
        <v>19250</v>
      </c>
      <c r="L331" s="18" t="s">
        <v>25</v>
      </c>
      <c r="M331" s="50"/>
    </row>
    <row r="332" spans="1:15" ht="21.75" hidden="1" customHeight="1" x14ac:dyDescent="0.4">
      <c r="A332" s="62">
        <v>45169</v>
      </c>
      <c r="B332" s="32" t="s">
        <v>2170</v>
      </c>
      <c r="C332" s="18" t="s">
        <v>2149</v>
      </c>
      <c r="D332" s="63" t="s">
        <v>328</v>
      </c>
      <c r="E332" s="50" t="s">
        <v>2171</v>
      </c>
      <c r="F332" s="57">
        <v>18000</v>
      </c>
      <c r="G332" s="76">
        <v>-3600</v>
      </c>
      <c r="H332" s="57">
        <f t="shared" si="21"/>
        <v>14400</v>
      </c>
      <c r="I332" s="50">
        <v>1</v>
      </c>
      <c r="J332" s="57">
        <f t="shared" si="19"/>
        <v>14400</v>
      </c>
      <c r="K332" s="58">
        <f t="shared" si="20"/>
        <v>15840</v>
      </c>
      <c r="L332" s="18" t="s">
        <v>34</v>
      </c>
      <c r="M332" s="490" t="s">
        <v>2177</v>
      </c>
      <c r="N332" s="93"/>
      <c r="O332" s="93"/>
    </row>
    <row r="333" spans="1:15" ht="21.75" hidden="1" customHeight="1" x14ac:dyDescent="0.4">
      <c r="A333" s="62">
        <v>45169</v>
      </c>
      <c r="B333" s="32" t="s">
        <v>2170</v>
      </c>
      <c r="C333" s="18" t="s">
        <v>2149</v>
      </c>
      <c r="D333" s="63" t="s">
        <v>328</v>
      </c>
      <c r="E333" s="50" t="s">
        <v>2172</v>
      </c>
      <c r="F333" s="57">
        <v>50000</v>
      </c>
      <c r="G333" s="76">
        <v>-10000</v>
      </c>
      <c r="H333" s="57">
        <f t="shared" si="21"/>
        <v>40000</v>
      </c>
      <c r="I333" s="50">
        <v>1</v>
      </c>
      <c r="J333" s="57">
        <f t="shared" si="19"/>
        <v>40000</v>
      </c>
      <c r="K333" s="58">
        <f t="shared" si="20"/>
        <v>44000</v>
      </c>
      <c r="L333" s="18" t="s">
        <v>34</v>
      </c>
      <c r="M333" s="499"/>
      <c r="N333" s="93"/>
      <c r="O333" s="93"/>
    </row>
    <row r="334" spans="1:15" ht="21.75" hidden="1" customHeight="1" x14ac:dyDescent="0.4">
      <c r="A334" s="62">
        <v>45169</v>
      </c>
      <c r="B334" s="32" t="s">
        <v>2170</v>
      </c>
      <c r="C334" s="18" t="s">
        <v>2149</v>
      </c>
      <c r="D334" s="63" t="s">
        <v>2157</v>
      </c>
      <c r="E334" s="50" t="s">
        <v>2173</v>
      </c>
      <c r="F334" s="57">
        <v>43000</v>
      </c>
      <c r="G334" s="76">
        <v>-4300</v>
      </c>
      <c r="H334" s="57">
        <f t="shared" si="21"/>
        <v>38700</v>
      </c>
      <c r="I334" s="50">
        <v>1</v>
      </c>
      <c r="J334" s="57">
        <f t="shared" si="19"/>
        <v>38700</v>
      </c>
      <c r="K334" s="58">
        <f t="shared" si="20"/>
        <v>42570</v>
      </c>
      <c r="L334" s="18" t="s">
        <v>34</v>
      </c>
      <c r="M334" s="499"/>
      <c r="N334" s="93"/>
      <c r="O334" s="93"/>
    </row>
    <row r="335" spans="1:15" ht="21.75" hidden="1" customHeight="1" x14ac:dyDescent="0.4">
      <c r="A335" s="62">
        <v>45169</v>
      </c>
      <c r="B335" s="32" t="s">
        <v>2170</v>
      </c>
      <c r="C335" s="18" t="s">
        <v>2149</v>
      </c>
      <c r="D335" s="63" t="s">
        <v>2157</v>
      </c>
      <c r="E335" s="50" t="s">
        <v>2174</v>
      </c>
      <c r="F335" s="57">
        <v>85000</v>
      </c>
      <c r="G335" s="76">
        <v>-8500</v>
      </c>
      <c r="H335" s="57">
        <f t="shared" si="21"/>
        <v>76500</v>
      </c>
      <c r="I335" s="50">
        <v>1</v>
      </c>
      <c r="J335" s="57">
        <f t="shared" si="19"/>
        <v>76500</v>
      </c>
      <c r="K335" s="58">
        <f t="shared" si="20"/>
        <v>84150</v>
      </c>
      <c r="L335" s="18" t="s">
        <v>34</v>
      </c>
      <c r="M335" s="499"/>
      <c r="N335" s="93"/>
      <c r="O335" s="93"/>
    </row>
    <row r="336" spans="1:15" ht="21.75" hidden="1" customHeight="1" x14ac:dyDescent="0.4">
      <c r="A336" s="62">
        <v>45169</v>
      </c>
      <c r="B336" s="32" t="s">
        <v>2170</v>
      </c>
      <c r="C336" s="18" t="s">
        <v>22</v>
      </c>
      <c r="D336" s="63" t="s">
        <v>23</v>
      </c>
      <c r="E336" s="50" t="s">
        <v>1941</v>
      </c>
      <c r="F336" s="57">
        <v>20000</v>
      </c>
      <c r="G336" s="76">
        <v>-10000</v>
      </c>
      <c r="H336" s="57">
        <f t="shared" si="21"/>
        <v>10000</v>
      </c>
      <c r="I336" s="50">
        <v>2</v>
      </c>
      <c r="J336" s="57">
        <f t="shared" si="19"/>
        <v>20000</v>
      </c>
      <c r="K336" s="58">
        <f t="shared" si="20"/>
        <v>22000</v>
      </c>
      <c r="L336" s="18" t="s">
        <v>34</v>
      </c>
      <c r="M336" s="499"/>
      <c r="N336" s="93"/>
      <c r="O336" s="93"/>
    </row>
    <row r="337" spans="1:15" ht="21.75" hidden="1" customHeight="1" x14ac:dyDescent="0.4">
      <c r="A337" s="62">
        <v>45169</v>
      </c>
      <c r="B337" s="32" t="s">
        <v>2170</v>
      </c>
      <c r="C337" s="18" t="s">
        <v>2149</v>
      </c>
      <c r="D337" s="63" t="s">
        <v>332</v>
      </c>
      <c r="E337" s="50" t="s">
        <v>2175</v>
      </c>
      <c r="F337" s="57">
        <v>1650</v>
      </c>
      <c r="G337" s="76"/>
      <c r="H337" s="57">
        <f t="shared" si="21"/>
        <v>1650</v>
      </c>
      <c r="I337" s="50">
        <v>2</v>
      </c>
      <c r="J337" s="57">
        <f t="shared" si="19"/>
        <v>3300</v>
      </c>
      <c r="K337" s="58">
        <f t="shared" si="20"/>
        <v>3630</v>
      </c>
      <c r="L337" s="18" t="s">
        <v>34</v>
      </c>
      <c r="M337" s="499"/>
      <c r="N337" s="93"/>
      <c r="O337" s="93"/>
    </row>
    <row r="338" spans="1:15" ht="21.75" hidden="1" customHeight="1" x14ac:dyDescent="0.4">
      <c r="A338" s="62">
        <v>45169</v>
      </c>
      <c r="B338" s="32" t="s">
        <v>2176</v>
      </c>
      <c r="C338" s="18" t="s">
        <v>2149</v>
      </c>
      <c r="D338" s="63" t="s">
        <v>332</v>
      </c>
      <c r="E338" s="50" t="s">
        <v>1887</v>
      </c>
      <c r="F338" s="57">
        <v>1090</v>
      </c>
      <c r="G338" s="76"/>
      <c r="H338" s="57">
        <f t="shared" ref="H338:H400" si="22">SUM(F338:G338)</f>
        <v>1090</v>
      </c>
      <c r="I338" s="50">
        <v>1</v>
      </c>
      <c r="J338" s="57">
        <f t="shared" si="19"/>
        <v>1090</v>
      </c>
      <c r="K338" s="58">
        <f t="shared" si="20"/>
        <v>1199</v>
      </c>
      <c r="L338" s="18" t="s">
        <v>34</v>
      </c>
      <c r="M338" s="491"/>
      <c r="N338" s="93"/>
      <c r="O338" s="93"/>
    </row>
    <row r="339" spans="1:15" ht="21.75" hidden="1" customHeight="1" x14ac:dyDescent="0.4">
      <c r="A339" s="62">
        <v>45169</v>
      </c>
      <c r="B339" s="32" t="s">
        <v>2178</v>
      </c>
      <c r="C339" s="18" t="s">
        <v>27</v>
      </c>
      <c r="D339" s="63" t="s">
        <v>28</v>
      </c>
      <c r="E339" s="50" t="s">
        <v>1897</v>
      </c>
      <c r="F339" s="57">
        <v>17500</v>
      </c>
      <c r="G339" s="76"/>
      <c r="H339" s="57">
        <f t="shared" si="22"/>
        <v>17500</v>
      </c>
      <c r="I339" s="50">
        <v>1</v>
      </c>
      <c r="J339" s="57">
        <f t="shared" si="19"/>
        <v>17500</v>
      </c>
      <c r="K339" s="58">
        <f t="shared" si="20"/>
        <v>19250</v>
      </c>
      <c r="L339" s="18" t="s">
        <v>2153</v>
      </c>
      <c r="M339" s="50"/>
    </row>
    <row r="340" spans="1:15" ht="21.75" hidden="1" customHeight="1" x14ac:dyDescent="0.4">
      <c r="A340" s="62">
        <v>45169</v>
      </c>
      <c r="B340" s="32" t="s">
        <v>2180</v>
      </c>
      <c r="C340" s="18" t="s">
        <v>27</v>
      </c>
      <c r="D340" s="63" t="s">
        <v>28</v>
      </c>
      <c r="E340" s="50" t="s">
        <v>318</v>
      </c>
      <c r="F340" s="57">
        <v>15000</v>
      </c>
      <c r="G340" s="76"/>
      <c r="H340" s="57">
        <f t="shared" si="22"/>
        <v>15000</v>
      </c>
      <c r="I340" s="50">
        <v>1</v>
      </c>
      <c r="J340" s="57">
        <f t="shared" si="19"/>
        <v>15000</v>
      </c>
      <c r="K340" s="58">
        <f t="shared" si="20"/>
        <v>16500</v>
      </c>
      <c r="L340" s="18" t="s">
        <v>25</v>
      </c>
      <c r="M340" s="490" t="s">
        <v>2182</v>
      </c>
      <c r="N340" s="93"/>
      <c r="O340" s="93"/>
    </row>
    <row r="341" spans="1:15" ht="21.75" hidden="1" customHeight="1" x14ac:dyDescent="0.4">
      <c r="A341" s="62">
        <v>45169</v>
      </c>
      <c r="B341" s="32" t="s">
        <v>2179</v>
      </c>
      <c r="C341" s="18" t="s">
        <v>27</v>
      </c>
      <c r="D341" s="63" t="s">
        <v>28</v>
      </c>
      <c r="E341" s="50" t="s">
        <v>1897</v>
      </c>
      <c r="F341" s="57">
        <v>17500</v>
      </c>
      <c r="G341" s="76"/>
      <c r="H341" s="57">
        <f t="shared" si="22"/>
        <v>17500</v>
      </c>
      <c r="I341" s="50">
        <v>1</v>
      </c>
      <c r="J341" s="57">
        <f t="shared" si="19"/>
        <v>17500</v>
      </c>
      <c r="K341" s="58">
        <f t="shared" si="20"/>
        <v>19250</v>
      </c>
      <c r="L341" s="18" t="s">
        <v>25</v>
      </c>
      <c r="M341" s="499"/>
      <c r="N341" s="93"/>
      <c r="O341" s="93"/>
    </row>
    <row r="342" spans="1:15" ht="21.75" hidden="1" customHeight="1" thickBot="1" x14ac:dyDescent="0.45">
      <c r="A342" s="151">
        <v>45169</v>
      </c>
      <c r="B342" s="107" t="s">
        <v>2180</v>
      </c>
      <c r="C342" s="108" t="s">
        <v>27</v>
      </c>
      <c r="D342" s="109" t="s">
        <v>28</v>
      </c>
      <c r="E342" s="110" t="s">
        <v>2181</v>
      </c>
      <c r="F342" s="111">
        <v>12250</v>
      </c>
      <c r="G342" s="112"/>
      <c r="H342" s="111">
        <f t="shared" si="22"/>
        <v>12250</v>
      </c>
      <c r="I342" s="110">
        <v>1</v>
      </c>
      <c r="J342" s="111">
        <f t="shared" si="19"/>
        <v>12250</v>
      </c>
      <c r="K342" s="113">
        <f t="shared" si="20"/>
        <v>13475</v>
      </c>
      <c r="L342" s="108" t="s">
        <v>25</v>
      </c>
      <c r="M342" s="500"/>
      <c r="N342" s="163"/>
      <c r="O342" s="163"/>
    </row>
    <row r="343" spans="1:15" ht="21.75" hidden="1" customHeight="1" x14ac:dyDescent="0.4">
      <c r="A343" s="158">
        <v>45170</v>
      </c>
      <c r="B343" s="82" t="s">
        <v>2189</v>
      </c>
      <c r="C343" s="60" t="s">
        <v>2190</v>
      </c>
      <c r="D343" s="61" t="s">
        <v>426</v>
      </c>
      <c r="E343" s="56" t="s">
        <v>2191</v>
      </c>
      <c r="F343" s="99">
        <v>1700</v>
      </c>
      <c r="G343" s="79">
        <v>-680</v>
      </c>
      <c r="H343" s="99">
        <f t="shared" si="22"/>
        <v>1020</v>
      </c>
      <c r="I343" s="56">
        <v>1</v>
      </c>
      <c r="J343" s="99">
        <f t="shared" si="19"/>
        <v>1020</v>
      </c>
      <c r="K343" s="100">
        <f t="shared" si="20"/>
        <v>1122</v>
      </c>
      <c r="L343" s="60" t="s">
        <v>25</v>
      </c>
      <c r="M343" s="56"/>
    </row>
    <row r="344" spans="1:15" ht="21.75" hidden="1" customHeight="1" x14ac:dyDescent="0.4">
      <c r="A344" s="62">
        <v>45170</v>
      </c>
      <c r="B344" s="32" t="s">
        <v>2189</v>
      </c>
      <c r="C344" s="18" t="s">
        <v>2190</v>
      </c>
      <c r="D344" s="63" t="s">
        <v>292</v>
      </c>
      <c r="E344" s="50" t="s">
        <v>2192</v>
      </c>
      <c r="F344" s="57">
        <v>5700</v>
      </c>
      <c r="G344" s="76">
        <v>-975</v>
      </c>
      <c r="H344" s="57">
        <f t="shared" si="22"/>
        <v>4725</v>
      </c>
      <c r="I344" s="50">
        <v>1</v>
      </c>
      <c r="J344" s="57">
        <f t="shared" si="19"/>
        <v>4725</v>
      </c>
      <c r="K344" s="58">
        <f t="shared" si="20"/>
        <v>5197</v>
      </c>
      <c r="L344" s="60" t="s">
        <v>25</v>
      </c>
      <c r="M344" s="50"/>
    </row>
    <row r="345" spans="1:15" ht="21.75" hidden="1" customHeight="1" x14ac:dyDescent="0.4">
      <c r="A345" s="62">
        <v>45170</v>
      </c>
      <c r="B345" s="32" t="s">
        <v>2189</v>
      </c>
      <c r="C345" s="18" t="s">
        <v>2190</v>
      </c>
      <c r="D345" s="63" t="s">
        <v>845</v>
      </c>
      <c r="E345" s="50" t="s">
        <v>2193</v>
      </c>
      <c r="F345" s="57">
        <v>1000</v>
      </c>
      <c r="G345" s="76">
        <v>-350</v>
      </c>
      <c r="H345" s="57">
        <f t="shared" si="22"/>
        <v>650</v>
      </c>
      <c r="I345" s="50">
        <v>1</v>
      </c>
      <c r="J345" s="57">
        <f t="shared" si="19"/>
        <v>650</v>
      </c>
      <c r="K345" s="58">
        <f t="shared" si="20"/>
        <v>715</v>
      </c>
      <c r="L345" s="60" t="s">
        <v>25</v>
      </c>
      <c r="M345" s="50"/>
    </row>
    <row r="346" spans="1:15" ht="21.75" hidden="1" customHeight="1" x14ac:dyDescent="0.4">
      <c r="A346" s="62">
        <v>45170</v>
      </c>
      <c r="B346" s="32" t="s">
        <v>2152</v>
      </c>
      <c r="C346" s="18" t="s">
        <v>27</v>
      </c>
      <c r="D346" s="63" t="s">
        <v>28</v>
      </c>
      <c r="E346" s="50" t="s">
        <v>318</v>
      </c>
      <c r="F346" s="57">
        <v>15000</v>
      </c>
      <c r="G346" s="76"/>
      <c r="H346" s="57">
        <f t="shared" si="22"/>
        <v>15000</v>
      </c>
      <c r="I346" s="50">
        <v>1</v>
      </c>
      <c r="J346" s="57">
        <f t="shared" si="19"/>
        <v>15000</v>
      </c>
      <c r="K346" s="58">
        <f t="shared" si="20"/>
        <v>16500</v>
      </c>
      <c r="L346" s="60" t="s">
        <v>25</v>
      </c>
      <c r="M346" s="50"/>
    </row>
    <row r="347" spans="1:15" ht="21.75" hidden="1" customHeight="1" x14ac:dyDescent="0.4">
      <c r="A347" s="62">
        <v>45170</v>
      </c>
      <c r="B347" s="32" t="s">
        <v>2152</v>
      </c>
      <c r="C347" s="18" t="s">
        <v>27</v>
      </c>
      <c r="D347" s="63" t="s">
        <v>28</v>
      </c>
      <c r="E347" s="50" t="s">
        <v>2194</v>
      </c>
      <c r="F347" s="57">
        <v>13120</v>
      </c>
      <c r="G347" s="76"/>
      <c r="H347" s="57">
        <f t="shared" si="22"/>
        <v>13120</v>
      </c>
      <c r="I347" s="50">
        <v>1</v>
      </c>
      <c r="J347" s="57">
        <f t="shared" si="19"/>
        <v>13120</v>
      </c>
      <c r="K347" s="58">
        <f t="shared" si="20"/>
        <v>14432</v>
      </c>
      <c r="L347" s="60" t="s">
        <v>25</v>
      </c>
      <c r="M347" s="50"/>
    </row>
    <row r="348" spans="1:15" ht="21.75" hidden="1" customHeight="1" x14ac:dyDescent="0.4">
      <c r="A348" s="62">
        <v>45170</v>
      </c>
      <c r="B348" s="32" t="s">
        <v>1861</v>
      </c>
      <c r="C348" s="18" t="s">
        <v>27</v>
      </c>
      <c r="D348" s="63" t="s">
        <v>28</v>
      </c>
      <c r="E348" s="50" t="s">
        <v>2195</v>
      </c>
      <c r="F348" s="57">
        <v>9800</v>
      </c>
      <c r="G348" s="76"/>
      <c r="H348" s="57">
        <f t="shared" si="22"/>
        <v>9800</v>
      </c>
      <c r="I348" s="50">
        <v>1</v>
      </c>
      <c r="J348" s="57">
        <f t="shared" si="19"/>
        <v>9800</v>
      </c>
      <c r="K348" s="58">
        <f t="shared" si="20"/>
        <v>10780</v>
      </c>
      <c r="L348" s="18" t="s">
        <v>2196</v>
      </c>
      <c r="M348" s="50"/>
    </row>
    <row r="349" spans="1:15" ht="21.75" hidden="1" customHeight="1" x14ac:dyDescent="0.4">
      <c r="A349" s="62">
        <v>45170</v>
      </c>
      <c r="B349" s="32" t="s">
        <v>2197</v>
      </c>
      <c r="C349" s="18" t="s">
        <v>22</v>
      </c>
      <c r="D349" s="63" t="s">
        <v>1496</v>
      </c>
      <c r="E349" s="50" t="s">
        <v>369</v>
      </c>
      <c r="F349" s="57">
        <v>3000</v>
      </c>
      <c r="G349" s="76"/>
      <c r="H349" s="57">
        <f t="shared" si="22"/>
        <v>3000</v>
      </c>
      <c r="I349" s="50">
        <v>1</v>
      </c>
      <c r="J349" s="57">
        <f t="shared" si="19"/>
        <v>3000</v>
      </c>
      <c r="K349" s="58">
        <f t="shared" si="20"/>
        <v>3300</v>
      </c>
      <c r="L349" s="18" t="s">
        <v>25</v>
      </c>
      <c r="M349" s="50" t="s">
        <v>1954</v>
      </c>
    </row>
    <row r="350" spans="1:15" ht="21.75" hidden="1" customHeight="1" x14ac:dyDescent="0.4">
      <c r="A350" s="62">
        <v>45170</v>
      </c>
      <c r="B350" s="32" t="s">
        <v>678</v>
      </c>
      <c r="C350" s="18" t="s">
        <v>2190</v>
      </c>
      <c r="D350" s="63" t="s">
        <v>1442</v>
      </c>
      <c r="E350" s="124" t="s">
        <v>2198</v>
      </c>
      <c r="F350" s="57">
        <v>14020</v>
      </c>
      <c r="G350" s="76">
        <v>-1402</v>
      </c>
      <c r="H350" s="57">
        <f t="shared" si="22"/>
        <v>12618</v>
      </c>
      <c r="I350" s="50">
        <v>1</v>
      </c>
      <c r="J350" s="57">
        <f t="shared" si="19"/>
        <v>12618</v>
      </c>
      <c r="K350" s="58">
        <f t="shared" si="20"/>
        <v>13879</v>
      </c>
      <c r="L350" s="18" t="s">
        <v>2196</v>
      </c>
      <c r="M350" s="50"/>
    </row>
    <row r="351" spans="1:15" ht="21.75" hidden="1" customHeight="1" x14ac:dyDescent="0.4">
      <c r="A351" s="62">
        <v>45170</v>
      </c>
      <c r="B351" s="32" t="s">
        <v>678</v>
      </c>
      <c r="C351" s="18" t="s">
        <v>2190</v>
      </c>
      <c r="D351" s="63" t="s">
        <v>332</v>
      </c>
      <c r="E351" s="50" t="s">
        <v>2199</v>
      </c>
      <c r="F351" s="57">
        <v>1090</v>
      </c>
      <c r="G351" s="76">
        <v>-109</v>
      </c>
      <c r="H351" s="57">
        <f t="shared" si="22"/>
        <v>981</v>
      </c>
      <c r="I351" s="50">
        <v>1</v>
      </c>
      <c r="J351" s="57">
        <f t="shared" si="19"/>
        <v>981</v>
      </c>
      <c r="K351" s="58">
        <f t="shared" si="20"/>
        <v>1079</v>
      </c>
      <c r="L351" s="18" t="s">
        <v>2196</v>
      </c>
      <c r="M351" s="50"/>
    </row>
    <row r="352" spans="1:15" ht="21.75" hidden="1" customHeight="1" x14ac:dyDescent="0.4">
      <c r="A352" s="62">
        <v>45170</v>
      </c>
      <c r="B352" s="32" t="s">
        <v>2197</v>
      </c>
      <c r="C352" s="18" t="s">
        <v>27</v>
      </c>
      <c r="D352" s="63" t="s">
        <v>28</v>
      </c>
      <c r="E352" s="50" t="s">
        <v>318</v>
      </c>
      <c r="F352" s="57">
        <v>15000</v>
      </c>
      <c r="G352" s="76"/>
      <c r="H352" s="57">
        <f t="shared" si="22"/>
        <v>15000</v>
      </c>
      <c r="I352" s="50">
        <v>1</v>
      </c>
      <c r="J352" s="57">
        <f t="shared" si="19"/>
        <v>15000</v>
      </c>
      <c r="K352" s="58">
        <f t="shared" si="20"/>
        <v>16500</v>
      </c>
      <c r="L352" s="18" t="s">
        <v>25</v>
      </c>
      <c r="M352" s="50"/>
    </row>
    <row r="353" spans="1:15" ht="21.75" hidden="1" customHeight="1" x14ac:dyDescent="0.4">
      <c r="A353" s="62">
        <v>45171</v>
      </c>
      <c r="B353" s="32" t="s">
        <v>179</v>
      </c>
      <c r="C353" s="18" t="s">
        <v>2190</v>
      </c>
      <c r="D353" s="63" t="s">
        <v>332</v>
      </c>
      <c r="E353" s="50" t="s">
        <v>2200</v>
      </c>
      <c r="F353" s="57">
        <v>1400</v>
      </c>
      <c r="G353" s="76">
        <v>-140</v>
      </c>
      <c r="H353" s="57">
        <f t="shared" si="22"/>
        <v>1260</v>
      </c>
      <c r="I353" s="50">
        <v>1</v>
      </c>
      <c r="J353" s="57">
        <f t="shared" si="19"/>
        <v>1260</v>
      </c>
      <c r="K353" s="58">
        <f t="shared" si="20"/>
        <v>1386</v>
      </c>
      <c r="L353" s="18" t="s">
        <v>2196</v>
      </c>
      <c r="M353" s="50"/>
    </row>
    <row r="354" spans="1:15" ht="21.75" hidden="1" customHeight="1" x14ac:dyDescent="0.4">
      <c r="A354" s="62">
        <v>45171</v>
      </c>
      <c r="B354" s="32" t="s">
        <v>2201</v>
      </c>
      <c r="C354" s="18" t="s">
        <v>27</v>
      </c>
      <c r="D354" s="63" t="s">
        <v>28</v>
      </c>
      <c r="E354" s="50" t="s">
        <v>318</v>
      </c>
      <c r="F354" s="57">
        <v>15000</v>
      </c>
      <c r="G354" s="76"/>
      <c r="H354" s="57">
        <f t="shared" si="22"/>
        <v>15000</v>
      </c>
      <c r="I354" s="50">
        <v>1</v>
      </c>
      <c r="J354" s="57">
        <f t="shared" si="19"/>
        <v>15000</v>
      </c>
      <c r="K354" s="58">
        <f t="shared" si="20"/>
        <v>16500</v>
      </c>
      <c r="L354" s="18" t="s">
        <v>25</v>
      </c>
      <c r="M354" s="50"/>
    </row>
    <row r="355" spans="1:15" ht="21.75" hidden="1" customHeight="1" x14ac:dyDescent="0.4">
      <c r="A355" s="62">
        <v>45171</v>
      </c>
      <c r="B355" s="32" t="s">
        <v>2201</v>
      </c>
      <c r="C355" s="18" t="s">
        <v>27</v>
      </c>
      <c r="D355" s="63" t="s">
        <v>28</v>
      </c>
      <c r="E355" s="50" t="s">
        <v>2202</v>
      </c>
      <c r="F355" s="57">
        <v>12250</v>
      </c>
      <c r="G355" s="76"/>
      <c r="H355" s="57">
        <f t="shared" si="22"/>
        <v>12250</v>
      </c>
      <c r="I355" s="50">
        <v>1</v>
      </c>
      <c r="J355" s="57">
        <f t="shared" si="19"/>
        <v>12250</v>
      </c>
      <c r="K355" s="58">
        <f t="shared" si="20"/>
        <v>13475</v>
      </c>
      <c r="L355" s="18" t="s">
        <v>25</v>
      </c>
      <c r="M355" s="50"/>
    </row>
    <row r="356" spans="1:15" ht="21.75" hidden="1" customHeight="1" x14ac:dyDescent="0.4">
      <c r="A356" s="62">
        <v>45171</v>
      </c>
      <c r="B356" s="32" t="s">
        <v>503</v>
      </c>
      <c r="C356" s="18" t="s">
        <v>2190</v>
      </c>
      <c r="D356" s="63" t="s">
        <v>332</v>
      </c>
      <c r="E356" s="50" t="s">
        <v>2203</v>
      </c>
      <c r="F356" s="57">
        <v>2400</v>
      </c>
      <c r="G356" s="76">
        <v>-240</v>
      </c>
      <c r="H356" s="57">
        <f t="shared" si="22"/>
        <v>2160</v>
      </c>
      <c r="I356" s="50">
        <v>1</v>
      </c>
      <c r="J356" s="57">
        <f t="shared" si="19"/>
        <v>2160</v>
      </c>
      <c r="K356" s="58">
        <f t="shared" si="20"/>
        <v>2376</v>
      </c>
      <c r="L356" s="18" t="s">
        <v>25</v>
      </c>
      <c r="M356" s="50"/>
    </row>
    <row r="357" spans="1:15" ht="21.75" hidden="1" customHeight="1" x14ac:dyDescent="0.4">
      <c r="A357" s="62">
        <v>45171</v>
      </c>
      <c r="B357" s="32" t="s">
        <v>2151</v>
      </c>
      <c r="C357" s="18" t="s">
        <v>2204</v>
      </c>
      <c r="D357" s="63" t="s">
        <v>2205</v>
      </c>
      <c r="E357" s="50" t="s">
        <v>2206</v>
      </c>
      <c r="F357" s="57">
        <v>3500</v>
      </c>
      <c r="G357" s="76">
        <v>-350</v>
      </c>
      <c r="H357" s="57">
        <f t="shared" si="22"/>
        <v>3150</v>
      </c>
      <c r="I357" s="50">
        <v>1</v>
      </c>
      <c r="J357" s="57">
        <f t="shared" si="19"/>
        <v>3150</v>
      </c>
      <c r="K357" s="58">
        <f t="shared" si="20"/>
        <v>3465</v>
      </c>
      <c r="L357" s="18" t="s">
        <v>2196</v>
      </c>
      <c r="M357" s="50"/>
    </row>
    <row r="358" spans="1:15" ht="21.75" hidden="1" customHeight="1" x14ac:dyDescent="0.4">
      <c r="A358" s="62">
        <v>45172</v>
      </c>
      <c r="B358" s="32" t="s">
        <v>582</v>
      </c>
      <c r="C358" s="18" t="s">
        <v>2190</v>
      </c>
      <c r="D358" s="63" t="s">
        <v>455</v>
      </c>
      <c r="E358" s="50" t="s">
        <v>2199</v>
      </c>
      <c r="F358" s="57">
        <v>1090</v>
      </c>
      <c r="G358" s="76">
        <v>-109</v>
      </c>
      <c r="H358" s="57">
        <f t="shared" si="22"/>
        <v>981</v>
      </c>
      <c r="I358" s="50">
        <v>1</v>
      </c>
      <c r="J358" s="57">
        <f t="shared" si="19"/>
        <v>981</v>
      </c>
      <c r="K358" s="58">
        <f t="shared" si="20"/>
        <v>1079</v>
      </c>
      <c r="L358" s="18" t="s">
        <v>2196</v>
      </c>
      <c r="M358" s="50"/>
    </row>
    <row r="359" spans="1:15" ht="21.75" hidden="1" customHeight="1" x14ac:dyDescent="0.4">
      <c r="A359" s="62">
        <v>45172</v>
      </c>
      <c r="B359" s="32" t="s">
        <v>2207</v>
      </c>
      <c r="C359" s="18" t="s">
        <v>22</v>
      </c>
      <c r="D359" s="63" t="s">
        <v>1496</v>
      </c>
      <c r="E359" s="50" t="s">
        <v>369</v>
      </c>
      <c r="F359" s="57">
        <v>3000</v>
      </c>
      <c r="G359" s="76"/>
      <c r="H359" s="57">
        <f t="shared" si="22"/>
        <v>3000</v>
      </c>
      <c r="I359" s="50">
        <v>1</v>
      </c>
      <c r="J359" s="57">
        <f t="shared" si="19"/>
        <v>3000</v>
      </c>
      <c r="K359" s="58">
        <f t="shared" si="20"/>
        <v>3300</v>
      </c>
      <c r="L359" s="18" t="s">
        <v>2209</v>
      </c>
      <c r="M359" s="498" t="s">
        <v>2210</v>
      </c>
      <c r="N359" s="164"/>
      <c r="O359" s="164"/>
    </row>
    <row r="360" spans="1:15" ht="21.75" hidden="1" customHeight="1" x14ac:dyDescent="0.4">
      <c r="A360" s="62">
        <v>45172</v>
      </c>
      <c r="B360" s="32" t="s">
        <v>2208</v>
      </c>
      <c r="C360" s="18" t="s">
        <v>22</v>
      </c>
      <c r="D360" s="63" t="s">
        <v>1496</v>
      </c>
      <c r="E360" s="50" t="s">
        <v>369</v>
      </c>
      <c r="F360" s="57">
        <v>3000</v>
      </c>
      <c r="G360" s="76"/>
      <c r="H360" s="57">
        <f t="shared" si="22"/>
        <v>3000</v>
      </c>
      <c r="I360" s="50">
        <v>1</v>
      </c>
      <c r="J360" s="57">
        <f t="shared" ref="J360:J423" si="23">SUM(H360*I360)</f>
        <v>3000</v>
      </c>
      <c r="K360" s="58">
        <f t="shared" ref="K360:K423" si="24">ROUNDDOWN(J360*1.1,0)</f>
        <v>3300</v>
      </c>
      <c r="L360" s="18" t="s">
        <v>2209</v>
      </c>
      <c r="M360" s="491"/>
      <c r="N360" s="93"/>
      <c r="O360" s="93"/>
    </row>
    <row r="361" spans="1:15" ht="21.75" hidden="1" customHeight="1" x14ac:dyDescent="0.4">
      <c r="A361" s="62">
        <v>45172</v>
      </c>
      <c r="B361" s="32" t="s">
        <v>2207</v>
      </c>
      <c r="C361" s="18" t="s">
        <v>27</v>
      </c>
      <c r="D361" s="63" t="s">
        <v>28</v>
      </c>
      <c r="E361" s="50" t="s">
        <v>318</v>
      </c>
      <c r="F361" s="57">
        <v>15000</v>
      </c>
      <c r="G361" s="76"/>
      <c r="H361" s="57">
        <f t="shared" si="22"/>
        <v>15000</v>
      </c>
      <c r="I361" s="50">
        <v>1</v>
      </c>
      <c r="J361" s="57">
        <f t="shared" si="23"/>
        <v>15000</v>
      </c>
      <c r="K361" s="58">
        <f t="shared" si="24"/>
        <v>16500</v>
      </c>
      <c r="L361" s="18" t="s">
        <v>25</v>
      </c>
      <c r="M361" s="490" t="s">
        <v>2212</v>
      </c>
      <c r="N361" s="93"/>
      <c r="O361" s="93"/>
    </row>
    <row r="362" spans="1:15" ht="21.75" hidden="1" customHeight="1" x14ac:dyDescent="0.4">
      <c r="A362" s="62">
        <v>45172</v>
      </c>
      <c r="B362" s="32" t="s">
        <v>2208</v>
      </c>
      <c r="C362" s="18" t="s">
        <v>27</v>
      </c>
      <c r="D362" s="63" t="s">
        <v>28</v>
      </c>
      <c r="E362" s="50" t="s">
        <v>318</v>
      </c>
      <c r="F362" s="57">
        <v>15000</v>
      </c>
      <c r="G362" s="76"/>
      <c r="H362" s="57">
        <f t="shared" si="22"/>
        <v>15000</v>
      </c>
      <c r="I362" s="50">
        <v>1</v>
      </c>
      <c r="J362" s="57">
        <f t="shared" si="23"/>
        <v>15000</v>
      </c>
      <c r="K362" s="58">
        <f t="shared" si="24"/>
        <v>16500</v>
      </c>
      <c r="L362" s="18" t="s">
        <v>25</v>
      </c>
      <c r="M362" s="499"/>
      <c r="N362" s="93"/>
      <c r="O362" s="93"/>
    </row>
    <row r="363" spans="1:15" ht="21.75" hidden="1" customHeight="1" x14ac:dyDescent="0.4">
      <c r="A363" s="62">
        <v>45172</v>
      </c>
      <c r="B363" s="32" t="s">
        <v>2207</v>
      </c>
      <c r="C363" s="18" t="s">
        <v>27</v>
      </c>
      <c r="D363" s="63" t="s">
        <v>28</v>
      </c>
      <c r="E363" s="50" t="s">
        <v>2087</v>
      </c>
      <c r="F363" s="57">
        <v>13120</v>
      </c>
      <c r="G363" s="76"/>
      <c r="H363" s="57">
        <f t="shared" si="22"/>
        <v>13120</v>
      </c>
      <c r="I363" s="50">
        <v>1</v>
      </c>
      <c r="J363" s="57">
        <f t="shared" si="23"/>
        <v>13120</v>
      </c>
      <c r="K363" s="58">
        <f t="shared" si="24"/>
        <v>14432</v>
      </c>
      <c r="L363" s="18" t="s">
        <v>25</v>
      </c>
      <c r="M363" s="499"/>
      <c r="N363" s="93"/>
      <c r="O363" s="93"/>
    </row>
    <row r="364" spans="1:15" ht="21.75" hidden="1" customHeight="1" x14ac:dyDescent="0.4">
      <c r="A364" s="62">
        <v>45172</v>
      </c>
      <c r="B364" s="32" t="s">
        <v>2208</v>
      </c>
      <c r="C364" s="18" t="s">
        <v>27</v>
      </c>
      <c r="D364" s="63" t="s">
        <v>28</v>
      </c>
      <c r="E364" s="50" t="s">
        <v>2211</v>
      </c>
      <c r="F364" s="57">
        <v>9187</v>
      </c>
      <c r="G364" s="76"/>
      <c r="H364" s="57">
        <f t="shared" si="22"/>
        <v>9187</v>
      </c>
      <c r="I364" s="50">
        <v>1</v>
      </c>
      <c r="J364" s="57">
        <f t="shared" si="23"/>
        <v>9187</v>
      </c>
      <c r="K364" s="58">
        <f t="shared" si="24"/>
        <v>10105</v>
      </c>
      <c r="L364" s="18" t="s">
        <v>25</v>
      </c>
      <c r="M364" s="491"/>
      <c r="N364" s="93"/>
      <c r="O364" s="93"/>
    </row>
    <row r="365" spans="1:15" ht="21.75" hidden="1" customHeight="1" x14ac:dyDescent="0.4">
      <c r="A365" s="62">
        <v>45172</v>
      </c>
      <c r="B365" s="32" t="s">
        <v>1541</v>
      </c>
      <c r="C365" s="18" t="s">
        <v>2213</v>
      </c>
      <c r="D365" s="63" t="s">
        <v>426</v>
      </c>
      <c r="E365" s="50" t="s">
        <v>2214</v>
      </c>
      <c r="F365" s="57">
        <v>1650</v>
      </c>
      <c r="G365" s="76">
        <v>-165</v>
      </c>
      <c r="H365" s="57">
        <f t="shared" si="22"/>
        <v>1485</v>
      </c>
      <c r="I365" s="50">
        <v>1</v>
      </c>
      <c r="J365" s="57">
        <f t="shared" si="23"/>
        <v>1485</v>
      </c>
      <c r="K365" s="58">
        <f t="shared" si="24"/>
        <v>1633</v>
      </c>
      <c r="L365" s="18" t="s">
        <v>25</v>
      </c>
      <c r="M365" s="50"/>
    </row>
    <row r="366" spans="1:15" ht="21.75" hidden="1" customHeight="1" x14ac:dyDescent="0.4">
      <c r="A366" s="62">
        <v>45173</v>
      </c>
      <c r="B366" s="32" t="s">
        <v>248</v>
      </c>
      <c r="C366" s="18" t="s">
        <v>27</v>
      </c>
      <c r="D366" s="63" t="s">
        <v>28</v>
      </c>
      <c r="E366" s="50" t="s">
        <v>318</v>
      </c>
      <c r="F366" s="57">
        <v>15000</v>
      </c>
      <c r="G366" s="76"/>
      <c r="H366" s="57">
        <f t="shared" si="22"/>
        <v>15000</v>
      </c>
      <c r="I366" s="50">
        <v>1</v>
      </c>
      <c r="J366" s="57">
        <f t="shared" si="23"/>
        <v>15000</v>
      </c>
      <c r="K366" s="58">
        <f t="shared" si="24"/>
        <v>16500</v>
      </c>
      <c r="L366" s="18" t="s">
        <v>25</v>
      </c>
      <c r="M366" s="50"/>
    </row>
    <row r="367" spans="1:15" ht="21.75" hidden="1" customHeight="1" x14ac:dyDescent="0.4">
      <c r="A367" s="62">
        <v>45173</v>
      </c>
      <c r="B367" s="32" t="s">
        <v>678</v>
      </c>
      <c r="C367" s="18" t="s">
        <v>17</v>
      </c>
      <c r="D367" s="63" t="s">
        <v>2215</v>
      </c>
      <c r="E367" s="50" t="s">
        <v>2216</v>
      </c>
      <c r="F367" s="57">
        <v>2800</v>
      </c>
      <c r="G367" s="76"/>
      <c r="H367" s="57">
        <f t="shared" si="22"/>
        <v>2800</v>
      </c>
      <c r="I367" s="50">
        <v>1</v>
      </c>
      <c r="J367" s="57">
        <f t="shared" si="23"/>
        <v>2800</v>
      </c>
      <c r="K367" s="58">
        <f t="shared" si="24"/>
        <v>3080</v>
      </c>
      <c r="L367" s="18" t="s">
        <v>2209</v>
      </c>
      <c r="M367" s="50"/>
    </row>
    <row r="368" spans="1:15" ht="21.75" hidden="1" customHeight="1" x14ac:dyDescent="0.4">
      <c r="A368" s="62">
        <v>45173</v>
      </c>
      <c r="B368" s="32" t="s">
        <v>1269</v>
      </c>
      <c r="C368" s="18" t="s">
        <v>2213</v>
      </c>
      <c r="D368" s="63" t="s">
        <v>332</v>
      </c>
      <c r="E368" s="50" t="s">
        <v>2055</v>
      </c>
      <c r="F368" s="57">
        <v>1450</v>
      </c>
      <c r="G368" s="76">
        <v>-145</v>
      </c>
      <c r="H368" s="57">
        <f t="shared" si="22"/>
        <v>1305</v>
      </c>
      <c r="I368" s="50">
        <v>2</v>
      </c>
      <c r="J368" s="57">
        <f t="shared" si="23"/>
        <v>2610</v>
      </c>
      <c r="K368" s="58">
        <f t="shared" si="24"/>
        <v>2871</v>
      </c>
      <c r="L368" s="18" t="s">
        <v>34</v>
      </c>
      <c r="M368" s="50"/>
    </row>
    <row r="369" spans="1:13" ht="21.75" hidden="1" customHeight="1" x14ac:dyDescent="0.4">
      <c r="A369" s="62">
        <v>45173</v>
      </c>
      <c r="B369" s="32" t="s">
        <v>1269</v>
      </c>
      <c r="C369" s="18" t="s">
        <v>2213</v>
      </c>
      <c r="D369" s="63" t="s">
        <v>292</v>
      </c>
      <c r="E369" s="50" t="s">
        <v>2217</v>
      </c>
      <c r="F369" s="57">
        <v>5500</v>
      </c>
      <c r="G369" s="76"/>
      <c r="H369" s="57">
        <f t="shared" si="22"/>
        <v>5500</v>
      </c>
      <c r="I369" s="50">
        <v>2</v>
      </c>
      <c r="J369" s="57">
        <f t="shared" si="23"/>
        <v>11000</v>
      </c>
      <c r="K369" s="58">
        <f t="shared" si="24"/>
        <v>12100</v>
      </c>
      <c r="L369" s="18" t="s">
        <v>34</v>
      </c>
      <c r="M369" s="50"/>
    </row>
    <row r="370" spans="1:13" ht="21.75" hidden="1" customHeight="1" x14ac:dyDescent="0.4">
      <c r="A370" s="62">
        <v>45173</v>
      </c>
      <c r="B370" s="32" t="s">
        <v>1910</v>
      </c>
      <c r="C370" s="18" t="s">
        <v>2213</v>
      </c>
      <c r="D370" s="63" t="s">
        <v>332</v>
      </c>
      <c r="E370" s="50" t="s">
        <v>2218</v>
      </c>
      <c r="F370" s="57">
        <v>1150</v>
      </c>
      <c r="G370" s="76">
        <v>-115</v>
      </c>
      <c r="H370" s="57">
        <f t="shared" si="22"/>
        <v>1035</v>
      </c>
      <c r="I370" s="50">
        <v>8</v>
      </c>
      <c r="J370" s="57">
        <f t="shared" si="23"/>
        <v>8280</v>
      </c>
      <c r="K370" s="58">
        <f t="shared" si="24"/>
        <v>9108</v>
      </c>
      <c r="L370" s="18" t="s">
        <v>25</v>
      </c>
      <c r="M370" s="50"/>
    </row>
    <row r="371" spans="1:13" ht="21.75" hidden="1" customHeight="1" x14ac:dyDescent="0.4">
      <c r="A371" s="62">
        <v>45175</v>
      </c>
      <c r="B371" s="32" t="s">
        <v>167</v>
      </c>
      <c r="C371" s="18" t="s">
        <v>17</v>
      </c>
      <c r="D371" s="63" t="s">
        <v>2219</v>
      </c>
      <c r="E371" s="50" t="s">
        <v>2220</v>
      </c>
      <c r="F371" s="57">
        <v>24464</v>
      </c>
      <c r="G371" s="76"/>
      <c r="H371" s="57">
        <f t="shared" si="22"/>
        <v>24464</v>
      </c>
      <c r="I371" s="50">
        <v>1</v>
      </c>
      <c r="J371" s="57">
        <f t="shared" si="23"/>
        <v>24464</v>
      </c>
      <c r="K371" s="58">
        <f t="shared" si="24"/>
        <v>26910</v>
      </c>
      <c r="L371" s="18" t="s">
        <v>2221</v>
      </c>
      <c r="M371" s="50" t="s">
        <v>2222</v>
      </c>
    </row>
    <row r="372" spans="1:13" ht="21.75" hidden="1" customHeight="1" x14ac:dyDescent="0.4">
      <c r="A372" s="62">
        <v>45175</v>
      </c>
      <c r="B372" s="32" t="s">
        <v>2133</v>
      </c>
      <c r="C372" s="18" t="s">
        <v>2213</v>
      </c>
      <c r="D372" s="63" t="s">
        <v>328</v>
      </c>
      <c r="E372" s="50" t="s">
        <v>2223</v>
      </c>
      <c r="F372" s="57">
        <v>40000</v>
      </c>
      <c r="G372" s="76">
        <v>-8000</v>
      </c>
      <c r="H372" s="57">
        <f t="shared" si="22"/>
        <v>32000</v>
      </c>
      <c r="I372" s="50">
        <v>1</v>
      </c>
      <c r="J372" s="57">
        <f t="shared" si="23"/>
        <v>32000</v>
      </c>
      <c r="K372" s="58">
        <f t="shared" si="24"/>
        <v>35200</v>
      </c>
      <c r="L372" s="18" t="s">
        <v>34</v>
      </c>
      <c r="M372" s="50"/>
    </row>
    <row r="373" spans="1:13" ht="21.75" hidden="1" customHeight="1" x14ac:dyDescent="0.4">
      <c r="A373" s="62">
        <v>45175</v>
      </c>
      <c r="B373" s="32" t="s">
        <v>2133</v>
      </c>
      <c r="C373" s="18" t="s">
        <v>2213</v>
      </c>
      <c r="D373" s="63" t="s">
        <v>2215</v>
      </c>
      <c r="E373" s="50" t="s">
        <v>2224</v>
      </c>
      <c r="F373" s="57">
        <v>4000</v>
      </c>
      <c r="G373" s="76"/>
      <c r="H373" s="57">
        <f t="shared" si="22"/>
        <v>4000</v>
      </c>
      <c r="I373" s="50">
        <v>1</v>
      </c>
      <c r="J373" s="57">
        <f t="shared" si="23"/>
        <v>4000</v>
      </c>
      <c r="K373" s="58">
        <f t="shared" si="24"/>
        <v>4400</v>
      </c>
      <c r="L373" s="18" t="s">
        <v>34</v>
      </c>
      <c r="M373" s="50"/>
    </row>
    <row r="374" spans="1:13" ht="21.75" hidden="1" customHeight="1" x14ac:dyDescent="0.4">
      <c r="A374" s="62">
        <v>45175</v>
      </c>
      <c r="B374" s="32" t="s">
        <v>2133</v>
      </c>
      <c r="C374" s="18" t="s">
        <v>2213</v>
      </c>
      <c r="D374" s="63" t="s">
        <v>332</v>
      </c>
      <c r="E374" s="50" t="s">
        <v>2225</v>
      </c>
      <c r="F374" s="57">
        <v>1200</v>
      </c>
      <c r="G374" s="76"/>
      <c r="H374" s="57">
        <f t="shared" si="22"/>
        <v>1200</v>
      </c>
      <c r="I374" s="50">
        <v>1</v>
      </c>
      <c r="J374" s="57">
        <f t="shared" si="23"/>
        <v>1200</v>
      </c>
      <c r="K374" s="58">
        <f t="shared" si="24"/>
        <v>1320</v>
      </c>
      <c r="L374" s="18" t="s">
        <v>34</v>
      </c>
      <c r="M374" s="50"/>
    </row>
    <row r="375" spans="1:13" ht="21.75" hidden="1" customHeight="1" x14ac:dyDescent="0.4">
      <c r="A375" s="62">
        <v>45175</v>
      </c>
      <c r="B375" s="32" t="s">
        <v>2226</v>
      </c>
      <c r="C375" s="18" t="s">
        <v>22</v>
      </c>
      <c r="D375" s="63" t="s">
        <v>1496</v>
      </c>
      <c r="E375" s="50" t="s">
        <v>369</v>
      </c>
      <c r="F375" s="57">
        <v>3000</v>
      </c>
      <c r="G375" s="76"/>
      <c r="H375" s="57">
        <f t="shared" si="22"/>
        <v>3000</v>
      </c>
      <c r="I375" s="50">
        <v>1</v>
      </c>
      <c r="J375" s="57">
        <f t="shared" si="23"/>
        <v>3000</v>
      </c>
      <c r="K375" s="58">
        <f t="shared" si="24"/>
        <v>3300</v>
      </c>
      <c r="L375" s="18" t="s">
        <v>2209</v>
      </c>
      <c r="M375" s="50" t="s">
        <v>1954</v>
      </c>
    </row>
    <row r="376" spans="1:13" ht="21.75" hidden="1" customHeight="1" x14ac:dyDescent="0.4">
      <c r="A376" s="62">
        <v>45176</v>
      </c>
      <c r="B376" s="32" t="s">
        <v>2228</v>
      </c>
      <c r="C376" s="18" t="s">
        <v>27</v>
      </c>
      <c r="D376" s="63" t="s">
        <v>28</v>
      </c>
      <c r="E376" s="50" t="s">
        <v>1833</v>
      </c>
      <c r="F376" s="57">
        <v>17500</v>
      </c>
      <c r="G376" s="76"/>
      <c r="H376" s="57">
        <f t="shared" si="22"/>
        <v>17500</v>
      </c>
      <c r="I376" s="50">
        <v>1</v>
      </c>
      <c r="J376" s="57">
        <f t="shared" si="23"/>
        <v>17500</v>
      </c>
      <c r="K376" s="58">
        <f t="shared" si="24"/>
        <v>19250</v>
      </c>
      <c r="L376" s="18" t="s">
        <v>25</v>
      </c>
      <c r="M376" s="50"/>
    </row>
    <row r="377" spans="1:13" ht="21.75" hidden="1" customHeight="1" x14ac:dyDescent="0.4">
      <c r="A377" s="62">
        <v>45176</v>
      </c>
      <c r="B377" s="32" t="s">
        <v>2227</v>
      </c>
      <c r="C377" s="18" t="s">
        <v>27</v>
      </c>
      <c r="D377" s="63" t="s">
        <v>28</v>
      </c>
      <c r="E377" s="50" t="s">
        <v>318</v>
      </c>
      <c r="F377" s="57">
        <v>15000</v>
      </c>
      <c r="G377" s="76"/>
      <c r="H377" s="57">
        <f t="shared" si="22"/>
        <v>15000</v>
      </c>
      <c r="I377" s="50">
        <v>1</v>
      </c>
      <c r="J377" s="57">
        <f t="shared" si="23"/>
        <v>15000</v>
      </c>
      <c r="K377" s="58">
        <f t="shared" si="24"/>
        <v>16500</v>
      </c>
      <c r="L377" s="18" t="s">
        <v>25</v>
      </c>
      <c r="M377" s="50"/>
    </row>
    <row r="378" spans="1:13" ht="21.75" hidden="1" customHeight="1" x14ac:dyDescent="0.4">
      <c r="A378" s="62">
        <v>45176</v>
      </c>
      <c r="B378" s="32" t="s">
        <v>2227</v>
      </c>
      <c r="C378" s="18" t="s">
        <v>27</v>
      </c>
      <c r="D378" s="63" t="s">
        <v>28</v>
      </c>
      <c r="E378" s="50" t="s">
        <v>2229</v>
      </c>
      <c r="F378" s="57">
        <v>13120</v>
      </c>
      <c r="G378" s="76"/>
      <c r="H378" s="57">
        <f t="shared" si="22"/>
        <v>13120</v>
      </c>
      <c r="I378" s="50">
        <v>1</v>
      </c>
      <c r="J378" s="57">
        <f t="shared" si="23"/>
        <v>13120</v>
      </c>
      <c r="K378" s="58">
        <f t="shared" si="24"/>
        <v>14432</v>
      </c>
      <c r="L378" s="18" t="s">
        <v>25</v>
      </c>
      <c r="M378" s="50"/>
    </row>
    <row r="379" spans="1:13" ht="21.75" hidden="1" customHeight="1" x14ac:dyDescent="0.4">
      <c r="A379" s="62">
        <v>45176</v>
      </c>
      <c r="B379" s="32" t="s">
        <v>2230</v>
      </c>
      <c r="C379" s="18" t="s">
        <v>22</v>
      </c>
      <c r="D379" s="63" t="s">
        <v>23</v>
      </c>
      <c r="E379" s="50" t="s">
        <v>1941</v>
      </c>
      <c r="F379" s="57">
        <v>15000</v>
      </c>
      <c r="G379" s="76"/>
      <c r="H379" s="57">
        <f t="shared" si="22"/>
        <v>15000</v>
      </c>
      <c r="I379" s="50">
        <v>1</v>
      </c>
      <c r="J379" s="57">
        <f t="shared" si="23"/>
        <v>15000</v>
      </c>
      <c r="K379" s="58">
        <f t="shared" si="24"/>
        <v>16500</v>
      </c>
      <c r="L379" s="18" t="s">
        <v>25</v>
      </c>
      <c r="M379" s="50"/>
    </row>
    <row r="380" spans="1:13" ht="21.75" hidden="1" customHeight="1" x14ac:dyDescent="0.4">
      <c r="A380" s="62">
        <v>45176</v>
      </c>
      <c r="B380" s="32" t="s">
        <v>2230</v>
      </c>
      <c r="C380" s="18" t="s">
        <v>17</v>
      </c>
      <c r="D380" s="63" t="s">
        <v>455</v>
      </c>
      <c r="E380" s="50" t="s">
        <v>1887</v>
      </c>
      <c r="F380" s="57">
        <v>1090</v>
      </c>
      <c r="G380" s="76"/>
      <c r="H380" s="57">
        <f t="shared" si="22"/>
        <v>1090</v>
      </c>
      <c r="I380" s="50">
        <v>1</v>
      </c>
      <c r="J380" s="57">
        <f t="shared" si="23"/>
        <v>1090</v>
      </c>
      <c r="K380" s="58">
        <f t="shared" si="24"/>
        <v>1199</v>
      </c>
      <c r="L380" s="18" t="s">
        <v>25</v>
      </c>
      <c r="M380" s="50"/>
    </row>
    <row r="381" spans="1:13" ht="21.75" hidden="1" customHeight="1" x14ac:dyDescent="0.4">
      <c r="A381" s="62">
        <v>45176</v>
      </c>
      <c r="B381" s="32" t="s">
        <v>179</v>
      </c>
      <c r="C381" s="18" t="s">
        <v>2213</v>
      </c>
      <c r="D381" s="63" t="s">
        <v>426</v>
      </c>
      <c r="E381" s="50" t="s">
        <v>2231</v>
      </c>
      <c r="F381" s="57">
        <v>1700</v>
      </c>
      <c r="G381" s="76">
        <v>-170</v>
      </c>
      <c r="H381" s="57">
        <f t="shared" si="22"/>
        <v>1530</v>
      </c>
      <c r="I381" s="50">
        <v>2</v>
      </c>
      <c r="J381" s="57">
        <f t="shared" si="23"/>
        <v>3060</v>
      </c>
      <c r="K381" s="58">
        <f t="shared" si="24"/>
        <v>3366</v>
      </c>
      <c r="L381" s="18" t="s">
        <v>2209</v>
      </c>
      <c r="M381" s="50"/>
    </row>
    <row r="382" spans="1:13" ht="21.75" hidden="1" customHeight="1" x14ac:dyDescent="0.4">
      <c r="A382" s="62">
        <v>45176</v>
      </c>
      <c r="B382" s="32" t="s">
        <v>179</v>
      </c>
      <c r="C382" s="18" t="s">
        <v>17</v>
      </c>
      <c r="D382" s="63" t="s">
        <v>455</v>
      </c>
      <c r="E382" s="50" t="s">
        <v>2232</v>
      </c>
      <c r="F382" s="57">
        <v>1400</v>
      </c>
      <c r="G382" s="76">
        <v>-140</v>
      </c>
      <c r="H382" s="57">
        <f t="shared" si="22"/>
        <v>1260</v>
      </c>
      <c r="I382" s="50">
        <v>1</v>
      </c>
      <c r="J382" s="57">
        <f t="shared" si="23"/>
        <v>1260</v>
      </c>
      <c r="K382" s="58">
        <f t="shared" si="24"/>
        <v>1386</v>
      </c>
      <c r="L382" s="18" t="s">
        <v>2209</v>
      </c>
      <c r="M382" s="50"/>
    </row>
    <row r="383" spans="1:13" ht="21.75" hidden="1" customHeight="1" x14ac:dyDescent="0.4">
      <c r="A383" s="62">
        <v>45177</v>
      </c>
      <c r="B383" s="32" t="s">
        <v>2233</v>
      </c>
      <c r="C383" s="18" t="s">
        <v>27</v>
      </c>
      <c r="D383" s="63" t="s">
        <v>28</v>
      </c>
      <c r="E383" s="50" t="s">
        <v>73</v>
      </c>
      <c r="F383" s="57">
        <v>2000</v>
      </c>
      <c r="G383" s="76"/>
      <c r="H383" s="57">
        <f t="shared" si="22"/>
        <v>2000</v>
      </c>
      <c r="I383" s="50">
        <v>1</v>
      </c>
      <c r="J383" s="57">
        <f t="shared" si="23"/>
        <v>2000</v>
      </c>
      <c r="K383" s="58">
        <f t="shared" si="24"/>
        <v>2200</v>
      </c>
      <c r="L383" s="18" t="s">
        <v>25</v>
      </c>
      <c r="M383" s="50"/>
    </row>
    <row r="384" spans="1:13" ht="21.75" hidden="1" customHeight="1" x14ac:dyDescent="0.4">
      <c r="A384" s="62">
        <v>45177</v>
      </c>
      <c r="B384" s="32" t="s">
        <v>2234</v>
      </c>
      <c r="C384" s="18" t="s">
        <v>2213</v>
      </c>
      <c r="D384" s="63" t="s">
        <v>455</v>
      </c>
      <c r="E384" s="50" t="s">
        <v>2235</v>
      </c>
      <c r="F384" s="57">
        <v>1400</v>
      </c>
      <c r="G384" s="76">
        <v>-140</v>
      </c>
      <c r="H384" s="57">
        <f t="shared" si="22"/>
        <v>1260</v>
      </c>
      <c r="I384" s="50">
        <v>2</v>
      </c>
      <c r="J384" s="57">
        <f t="shared" si="23"/>
        <v>2520</v>
      </c>
      <c r="K384" s="58">
        <f t="shared" si="24"/>
        <v>2772</v>
      </c>
      <c r="L384" s="18" t="s">
        <v>25</v>
      </c>
      <c r="M384" s="50"/>
    </row>
    <row r="385" spans="1:13" ht="21.75" hidden="1" customHeight="1" x14ac:dyDescent="0.4">
      <c r="A385" s="62">
        <v>45177</v>
      </c>
      <c r="B385" s="32" t="s">
        <v>148</v>
      </c>
      <c r="C385" s="18" t="s">
        <v>2213</v>
      </c>
      <c r="D385" s="63" t="s">
        <v>332</v>
      </c>
      <c r="E385" s="50" t="s">
        <v>1887</v>
      </c>
      <c r="F385" s="57">
        <v>1090</v>
      </c>
      <c r="G385" s="76">
        <v>-109</v>
      </c>
      <c r="H385" s="57">
        <f t="shared" si="22"/>
        <v>981</v>
      </c>
      <c r="I385" s="50">
        <v>2</v>
      </c>
      <c r="J385" s="57">
        <f t="shared" si="23"/>
        <v>1962</v>
      </c>
      <c r="K385" s="58">
        <f t="shared" si="24"/>
        <v>2158</v>
      </c>
      <c r="L385" s="18" t="s">
        <v>2209</v>
      </c>
      <c r="M385" s="50"/>
    </row>
    <row r="386" spans="1:13" ht="21.75" hidden="1" customHeight="1" x14ac:dyDescent="0.4">
      <c r="A386" s="62">
        <v>45177</v>
      </c>
      <c r="B386" s="32" t="s">
        <v>2236</v>
      </c>
      <c r="C386" s="18" t="s">
        <v>2213</v>
      </c>
      <c r="D386" s="63" t="s">
        <v>2215</v>
      </c>
      <c r="E386" s="50" t="s">
        <v>2237</v>
      </c>
      <c r="F386" s="57">
        <v>2650</v>
      </c>
      <c r="G386" s="76"/>
      <c r="H386" s="57">
        <f t="shared" si="22"/>
        <v>2650</v>
      </c>
      <c r="I386" s="50">
        <v>1</v>
      </c>
      <c r="J386" s="57">
        <f t="shared" si="23"/>
        <v>2650</v>
      </c>
      <c r="K386" s="58">
        <f t="shared" si="24"/>
        <v>2915</v>
      </c>
      <c r="L386" s="18" t="s">
        <v>2209</v>
      </c>
      <c r="M386" s="50"/>
    </row>
    <row r="387" spans="1:13" ht="21.75" hidden="1" customHeight="1" x14ac:dyDescent="0.4">
      <c r="A387" s="62">
        <v>45178</v>
      </c>
      <c r="B387" s="32" t="s">
        <v>2238</v>
      </c>
      <c r="C387" s="18" t="s">
        <v>22</v>
      </c>
      <c r="D387" s="63" t="s">
        <v>1496</v>
      </c>
      <c r="E387" s="50" t="s">
        <v>369</v>
      </c>
      <c r="F387" s="57">
        <v>3000</v>
      </c>
      <c r="G387" s="76"/>
      <c r="H387" s="57">
        <f t="shared" si="22"/>
        <v>3000</v>
      </c>
      <c r="I387" s="50">
        <v>1</v>
      </c>
      <c r="J387" s="57">
        <f t="shared" si="23"/>
        <v>3000</v>
      </c>
      <c r="K387" s="58">
        <f t="shared" si="24"/>
        <v>3300</v>
      </c>
      <c r="L387" s="18" t="s">
        <v>2209</v>
      </c>
      <c r="M387" s="50"/>
    </row>
    <row r="388" spans="1:13" ht="21.75" hidden="1" customHeight="1" x14ac:dyDescent="0.4">
      <c r="A388" s="62">
        <v>45178</v>
      </c>
      <c r="B388" s="32" t="s">
        <v>2155</v>
      </c>
      <c r="C388" s="18" t="s">
        <v>2213</v>
      </c>
      <c r="D388" s="63" t="s">
        <v>2239</v>
      </c>
      <c r="E388" s="50" t="s">
        <v>2240</v>
      </c>
      <c r="F388" s="57">
        <v>35100</v>
      </c>
      <c r="G388" s="76">
        <v>-12987</v>
      </c>
      <c r="H388" s="57">
        <f t="shared" si="22"/>
        <v>22113</v>
      </c>
      <c r="I388" s="50">
        <v>1</v>
      </c>
      <c r="J388" s="57">
        <f t="shared" si="23"/>
        <v>22113</v>
      </c>
      <c r="K388" s="58">
        <f t="shared" si="24"/>
        <v>24324</v>
      </c>
      <c r="L388" s="18" t="s">
        <v>34</v>
      </c>
      <c r="M388" s="50"/>
    </row>
    <row r="389" spans="1:13" ht="21.75" hidden="1" customHeight="1" x14ac:dyDescent="0.4">
      <c r="A389" s="62">
        <v>45178</v>
      </c>
      <c r="B389" s="32" t="s">
        <v>2155</v>
      </c>
      <c r="C389" s="18" t="s">
        <v>2241</v>
      </c>
      <c r="D389" s="63" t="s">
        <v>292</v>
      </c>
      <c r="E389" s="50" t="s">
        <v>2242</v>
      </c>
      <c r="F389" s="57">
        <v>5500</v>
      </c>
      <c r="G389" s="76">
        <v>-627</v>
      </c>
      <c r="H389" s="57">
        <f t="shared" si="22"/>
        <v>4873</v>
      </c>
      <c r="I389" s="50">
        <v>1</v>
      </c>
      <c r="J389" s="57">
        <f t="shared" si="23"/>
        <v>4873</v>
      </c>
      <c r="K389" s="58">
        <f t="shared" si="24"/>
        <v>5360</v>
      </c>
      <c r="L389" s="18" t="s">
        <v>25</v>
      </c>
      <c r="M389" s="50"/>
    </row>
    <row r="390" spans="1:13" ht="21.75" hidden="1" customHeight="1" x14ac:dyDescent="0.4">
      <c r="A390" s="62">
        <v>45178</v>
      </c>
      <c r="B390" s="32" t="s">
        <v>2243</v>
      </c>
      <c r="C390" s="18" t="s">
        <v>22</v>
      </c>
      <c r="D390" s="63" t="s">
        <v>1496</v>
      </c>
      <c r="E390" s="50" t="s">
        <v>369</v>
      </c>
      <c r="F390" s="57">
        <v>3000</v>
      </c>
      <c r="G390" s="76"/>
      <c r="H390" s="57">
        <f t="shared" si="22"/>
        <v>3000</v>
      </c>
      <c r="I390" s="50">
        <v>1</v>
      </c>
      <c r="J390" s="57">
        <f t="shared" si="23"/>
        <v>3000</v>
      </c>
      <c r="K390" s="58">
        <f t="shared" si="24"/>
        <v>3300</v>
      </c>
      <c r="L390" s="18" t="s">
        <v>25</v>
      </c>
      <c r="M390" s="50" t="s">
        <v>1954</v>
      </c>
    </row>
    <row r="391" spans="1:13" ht="21.75" hidden="1" customHeight="1" x14ac:dyDescent="0.4">
      <c r="A391" s="62">
        <v>45179</v>
      </c>
      <c r="B391" s="32" t="s">
        <v>2244</v>
      </c>
      <c r="C391" s="18" t="s">
        <v>2241</v>
      </c>
      <c r="D391" s="63" t="s">
        <v>426</v>
      </c>
      <c r="E391" s="50" t="s">
        <v>2245</v>
      </c>
      <c r="F391" s="57">
        <v>1700</v>
      </c>
      <c r="G391" s="76">
        <v>-170</v>
      </c>
      <c r="H391" s="57">
        <f t="shared" si="22"/>
        <v>1530</v>
      </c>
      <c r="I391" s="50">
        <v>1</v>
      </c>
      <c r="J391" s="57">
        <f t="shared" si="23"/>
        <v>1530</v>
      </c>
      <c r="K391" s="58">
        <f t="shared" si="24"/>
        <v>1683</v>
      </c>
      <c r="L391" s="18" t="s">
        <v>25</v>
      </c>
      <c r="M391" s="50"/>
    </row>
    <row r="392" spans="1:13" ht="21.75" hidden="1" customHeight="1" x14ac:dyDescent="0.4">
      <c r="A392" s="62">
        <v>45179</v>
      </c>
      <c r="B392" s="32" t="s">
        <v>2244</v>
      </c>
      <c r="C392" s="18" t="s">
        <v>2241</v>
      </c>
      <c r="D392" s="63" t="s">
        <v>426</v>
      </c>
      <c r="E392" s="50" t="s">
        <v>2246</v>
      </c>
      <c r="F392" s="57">
        <v>1700</v>
      </c>
      <c r="G392" s="76">
        <v>-170</v>
      </c>
      <c r="H392" s="57">
        <f t="shared" si="22"/>
        <v>1530</v>
      </c>
      <c r="I392" s="50">
        <v>1</v>
      </c>
      <c r="J392" s="57">
        <f t="shared" si="23"/>
        <v>1530</v>
      </c>
      <c r="K392" s="58">
        <f t="shared" si="24"/>
        <v>1683</v>
      </c>
      <c r="L392" s="18" t="s">
        <v>25</v>
      </c>
      <c r="M392" s="50"/>
    </row>
    <row r="393" spans="1:13" ht="21.75" hidden="1" customHeight="1" x14ac:dyDescent="0.4">
      <c r="A393" s="62">
        <v>45179</v>
      </c>
      <c r="B393" s="32" t="s">
        <v>2057</v>
      </c>
      <c r="C393" s="18" t="s">
        <v>2241</v>
      </c>
      <c r="D393" s="63" t="s">
        <v>332</v>
      </c>
      <c r="E393" s="50" t="s">
        <v>2247</v>
      </c>
      <c r="F393" s="57">
        <v>1090</v>
      </c>
      <c r="G393" s="76">
        <v>-109</v>
      </c>
      <c r="H393" s="57">
        <f t="shared" si="22"/>
        <v>981</v>
      </c>
      <c r="I393" s="50">
        <v>5</v>
      </c>
      <c r="J393" s="57">
        <f t="shared" si="23"/>
        <v>4905</v>
      </c>
      <c r="K393" s="58">
        <f t="shared" si="24"/>
        <v>5395</v>
      </c>
      <c r="L393" s="18" t="s">
        <v>25</v>
      </c>
      <c r="M393" s="50"/>
    </row>
    <row r="394" spans="1:13" ht="21.75" hidden="1" customHeight="1" x14ac:dyDescent="0.4">
      <c r="A394" s="62">
        <v>45179</v>
      </c>
      <c r="B394" s="32" t="s">
        <v>2057</v>
      </c>
      <c r="C394" s="18" t="s">
        <v>2248</v>
      </c>
      <c r="D394" s="63"/>
      <c r="E394" s="50" t="s">
        <v>2249</v>
      </c>
      <c r="F394" s="57">
        <v>1000</v>
      </c>
      <c r="G394" s="76"/>
      <c r="H394" s="57">
        <f t="shared" si="22"/>
        <v>1000</v>
      </c>
      <c r="I394" s="50">
        <v>1</v>
      </c>
      <c r="J394" s="57">
        <f t="shared" si="23"/>
        <v>1000</v>
      </c>
      <c r="K394" s="58">
        <f t="shared" si="24"/>
        <v>1100</v>
      </c>
      <c r="L394" s="18" t="s">
        <v>25</v>
      </c>
      <c r="M394" s="50"/>
    </row>
    <row r="395" spans="1:13" ht="21.75" hidden="1" customHeight="1" x14ac:dyDescent="0.4">
      <c r="A395" s="62">
        <v>45179</v>
      </c>
      <c r="B395" s="32" t="s">
        <v>2250</v>
      </c>
      <c r="C395" s="18" t="s">
        <v>22</v>
      </c>
      <c r="D395" s="63" t="s">
        <v>1496</v>
      </c>
      <c r="E395" s="50" t="s">
        <v>369</v>
      </c>
      <c r="F395" s="57">
        <v>3000</v>
      </c>
      <c r="G395" s="76"/>
      <c r="H395" s="57">
        <f t="shared" si="22"/>
        <v>3000</v>
      </c>
      <c r="I395" s="50">
        <v>1</v>
      </c>
      <c r="J395" s="57">
        <f t="shared" si="23"/>
        <v>3000</v>
      </c>
      <c r="K395" s="58">
        <f t="shared" si="24"/>
        <v>3300</v>
      </c>
      <c r="L395" s="18" t="s">
        <v>2251</v>
      </c>
      <c r="M395" s="50" t="s">
        <v>1954</v>
      </c>
    </row>
    <row r="396" spans="1:13" ht="21.75" hidden="1" customHeight="1" x14ac:dyDescent="0.4">
      <c r="A396" s="62">
        <v>45179</v>
      </c>
      <c r="B396" s="32" t="s">
        <v>2252</v>
      </c>
      <c r="C396" s="18" t="s">
        <v>22</v>
      </c>
      <c r="D396" s="63" t="s">
        <v>23</v>
      </c>
      <c r="E396" s="50" t="s">
        <v>1941</v>
      </c>
      <c r="F396" s="57">
        <v>15000</v>
      </c>
      <c r="G396" s="76"/>
      <c r="H396" s="57">
        <f t="shared" si="22"/>
        <v>15000</v>
      </c>
      <c r="I396" s="50">
        <v>1</v>
      </c>
      <c r="J396" s="57">
        <f t="shared" si="23"/>
        <v>15000</v>
      </c>
      <c r="K396" s="58">
        <f t="shared" si="24"/>
        <v>16500</v>
      </c>
      <c r="L396" s="18" t="s">
        <v>2251</v>
      </c>
      <c r="M396" s="50" t="s">
        <v>1954</v>
      </c>
    </row>
    <row r="397" spans="1:13" ht="21.75" hidden="1" customHeight="1" x14ac:dyDescent="0.4">
      <c r="A397" s="62">
        <v>45179</v>
      </c>
      <c r="B397" s="32" t="s">
        <v>2207</v>
      </c>
      <c r="C397" s="18" t="s">
        <v>2241</v>
      </c>
      <c r="D397" s="63" t="s">
        <v>18</v>
      </c>
      <c r="E397" s="50" t="s">
        <v>2253</v>
      </c>
      <c r="F397" s="57">
        <v>1700</v>
      </c>
      <c r="G397" s="76">
        <v>-170</v>
      </c>
      <c r="H397" s="57">
        <f t="shared" si="22"/>
        <v>1530</v>
      </c>
      <c r="I397" s="50">
        <v>1</v>
      </c>
      <c r="J397" s="57">
        <f t="shared" si="23"/>
        <v>1530</v>
      </c>
      <c r="K397" s="58">
        <f t="shared" si="24"/>
        <v>1683</v>
      </c>
      <c r="L397" s="18" t="s">
        <v>25</v>
      </c>
      <c r="M397" s="50"/>
    </row>
    <row r="398" spans="1:13" ht="21.75" hidden="1" customHeight="1" x14ac:dyDescent="0.4">
      <c r="A398" s="62">
        <v>45179</v>
      </c>
      <c r="B398" s="32" t="s">
        <v>162</v>
      </c>
      <c r="C398" s="18" t="s">
        <v>27</v>
      </c>
      <c r="D398" s="63" t="s">
        <v>28</v>
      </c>
      <c r="E398" s="50" t="s">
        <v>73</v>
      </c>
      <c r="F398" s="57">
        <v>2000</v>
      </c>
      <c r="G398" s="76"/>
      <c r="H398" s="57">
        <f t="shared" si="22"/>
        <v>2000</v>
      </c>
      <c r="I398" s="50">
        <v>1</v>
      </c>
      <c r="J398" s="57">
        <f t="shared" si="23"/>
        <v>2000</v>
      </c>
      <c r="K398" s="58">
        <f t="shared" si="24"/>
        <v>2200</v>
      </c>
      <c r="L398" s="18" t="s">
        <v>2251</v>
      </c>
      <c r="M398" s="50"/>
    </row>
    <row r="399" spans="1:13" ht="21.75" hidden="1" customHeight="1" x14ac:dyDescent="0.4">
      <c r="A399" s="62">
        <v>45179</v>
      </c>
      <c r="B399" s="32" t="s">
        <v>162</v>
      </c>
      <c r="C399" s="18" t="s">
        <v>27</v>
      </c>
      <c r="D399" s="63" t="s">
        <v>28</v>
      </c>
      <c r="E399" s="50" t="s">
        <v>1810</v>
      </c>
      <c r="F399" s="57">
        <v>2500</v>
      </c>
      <c r="G399" s="76"/>
      <c r="H399" s="57">
        <f t="shared" si="22"/>
        <v>2500</v>
      </c>
      <c r="I399" s="50">
        <v>1</v>
      </c>
      <c r="J399" s="57">
        <f t="shared" si="23"/>
        <v>2500</v>
      </c>
      <c r="K399" s="58">
        <f t="shared" si="24"/>
        <v>2750</v>
      </c>
      <c r="L399" s="18" t="s">
        <v>2251</v>
      </c>
      <c r="M399" s="50"/>
    </row>
    <row r="400" spans="1:13" ht="21.75" hidden="1" customHeight="1" x14ac:dyDescent="0.4">
      <c r="A400" s="62">
        <v>45180</v>
      </c>
      <c r="B400" s="32" t="s">
        <v>428</v>
      </c>
      <c r="C400" s="18" t="s">
        <v>2241</v>
      </c>
      <c r="D400" s="63" t="s">
        <v>332</v>
      </c>
      <c r="E400" s="50" t="s">
        <v>2255</v>
      </c>
      <c r="F400" s="57">
        <v>2000</v>
      </c>
      <c r="G400" s="76">
        <v>-200</v>
      </c>
      <c r="H400" s="57">
        <f t="shared" si="22"/>
        <v>1800</v>
      </c>
      <c r="I400" s="50">
        <v>1</v>
      </c>
      <c r="J400" s="57">
        <f t="shared" si="23"/>
        <v>1800</v>
      </c>
      <c r="K400" s="58">
        <f t="shared" si="24"/>
        <v>1980</v>
      </c>
      <c r="L400" s="18" t="s">
        <v>2251</v>
      </c>
      <c r="M400" s="50"/>
    </row>
    <row r="401" spans="1:13" ht="21.75" hidden="1" customHeight="1" x14ac:dyDescent="0.4">
      <c r="A401" s="62">
        <v>45182</v>
      </c>
      <c r="B401" s="32" t="s">
        <v>2256</v>
      </c>
      <c r="C401" s="18" t="s">
        <v>22</v>
      </c>
      <c r="D401" s="63" t="s">
        <v>1496</v>
      </c>
      <c r="E401" s="50" t="s">
        <v>2257</v>
      </c>
      <c r="F401" s="57">
        <v>3000</v>
      </c>
      <c r="G401" s="76"/>
      <c r="H401" s="57">
        <f t="shared" ref="H401:H465" si="25">SUM(F401:G401)</f>
        <v>3000</v>
      </c>
      <c r="I401" s="50">
        <v>1</v>
      </c>
      <c r="J401" s="57">
        <f t="shared" si="23"/>
        <v>3000</v>
      </c>
      <c r="K401" s="58">
        <f t="shared" si="24"/>
        <v>3300</v>
      </c>
      <c r="L401" s="18" t="s">
        <v>25</v>
      </c>
      <c r="M401" s="50" t="s">
        <v>2258</v>
      </c>
    </row>
    <row r="402" spans="1:13" ht="21.75" hidden="1" customHeight="1" x14ac:dyDescent="0.4">
      <c r="A402" s="62">
        <v>45182</v>
      </c>
      <c r="B402" s="32" t="s">
        <v>2142</v>
      </c>
      <c r="C402" s="18" t="s">
        <v>17</v>
      </c>
      <c r="D402" s="63" t="s">
        <v>55</v>
      </c>
      <c r="E402" s="50" t="s">
        <v>2254</v>
      </c>
      <c r="F402" s="57">
        <v>5700</v>
      </c>
      <c r="G402" s="76"/>
      <c r="H402" s="57">
        <v>5700</v>
      </c>
      <c r="I402" s="50">
        <v>1</v>
      </c>
      <c r="J402" s="57">
        <v>5700</v>
      </c>
      <c r="K402" s="58">
        <v>6270</v>
      </c>
      <c r="L402" s="18" t="s">
        <v>2251</v>
      </c>
      <c r="M402" s="50"/>
    </row>
    <row r="403" spans="1:13" ht="21.75" hidden="1" customHeight="1" x14ac:dyDescent="0.4">
      <c r="A403" s="62">
        <v>45183</v>
      </c>
      <c r="B403" s="32" t="s">
        <v>2259</v>
      </c>
      <c r="C403" s="18" t="s">
        <v>2241</v>
      </c>
      <c r="D403" s="63" t="s">
        <v>292</v>
      </c>
      <c r="E403" s="50" t="s">
        <v>2242</v>
      </c>
      <c r="F403" s="57">
        <v>5500</v>
      </c>
      <c r="G403" s="76">
        <v>-627</v>
      </c>
      <c r="H403" s="57">
        <f t="shared" si="25"/>
        <v>4873</v>
      </c>
      <c r="I403" s="50">
        <v>1</v>
      </c>
      <c r="J403" s="57">
        <f t="shared" si="23"/>
        <v>4873</v>
      </c>
      <c r="K403" s="58">
        <f t="shared" si="24"/>
        <v>5360</v>
      </c>
      <c r="L403" s="18" t="s">
        <v>2251</v>
      </c>
      <c r="M403" s="50"/>
    </row>
    <row r="404" spans="1:13" ht="21.75" hidden="1" customHeight="1" x14ac:dyDescent="0.4">
      <c r="A404" s="62">
        <v>45183</v>
      </c>
      <c r="B404" s="32" t="s">
        <v>2322</v>
      </c>
      <c r="C404" s="18" t="s">
        <v>27</v>
      </c>
      <c r="D404" s="63" t="s">
        <v>28</v>
      </c>
      <c r="E404" s="50" t="s">
        <v>1897</v>
      </c>
      <c r="F404" s="57">
        <v>17500</v>
      </c>
      <c r="G404" s="76"/>
      <c r="H404" s="57">
        <f t="shared" si="25"/>
        <v>17500</v>
      </c>
      <c r="I404" s="50">
        <v>1</v>
      </c>
      <c r="J404" s="57">
        <f t="shared" si="23"/>
        <v>17500</v>
      </c>
      <c r="K404" s="58">
        <f t="shared" si="24"/>
        <v>19250</v>
      </c>
      <c r="L404" s="18" t="s">
        <v>2323</v>
      </c>
      <c r="M404" s="50"/>
    </row>
    <row r="405" spans="1:13" ht="21.75" hidden="1" customHeight="1" x14ac:dyDescent="0.4">
      <c r="A405" s="62">
        <v>45184</v>
      </c>
      <c r="B405" s="32" t="s">
        <v>405</v>
      </c>
      <c r="C405" s="18" t="s">
        <v>2241</v>
      </c>
      <c r="D405" s="63" t="s">
        <v>332</v>
      </c>
      <c r="E405" s="50" t="s">
        <v>2260</v>
      </c>
      <c r="F405" s="57">
        <v>3500</v>
      </c>
      <c r="G405" s="76"/>
      <c r="H405" s="57">
        <f t="shared" si="25"/>
        <v>3500</v>
      </c>
      <c r="I405" s="50">
        <v>1</v>
      </c>
      <c r="J405" s="57">
        <f t="shared" si="23"/>
        <v>3500</v>
      </c>
      <c r="K405" s="58">
        <f t="shared" si="24"/>
        <v>3850</v>
      </c>
      <c r="L405" s="18" t="s">
        <v>2251</v>
      </c>
      <c r="M405" s="50"/>
    </row>
    <row r="406" spans="1:13" ht="21.75" hidden="1" customHeight="1" x14ac:dyDescent="0.4">
      <c r="A406" s="62">
        <v>45184</v>
      </c>
      <c r="B406" s="32" t="s">
        <v>1541</v>
      </c>
      <c r="C406" s="18" t="s">
        <v>2241</v>
      </c>
      <c r="D406" s="63" t="s">
        <v>332</v>
      </c>
      <c r="E406" s="50" t="s">
        <v>2261</v>
      </c>
      <c r="F406" s="57">
        <v>2400</v>
      </c>
      <c r="G406" s="76">
        <v>-240</v>
      </c>
      <c r="H406" s="57">
        <f t="shared" si="25"/>
        <v>2160</v>
      </c>
      <c r="I406" s="50">
        <v>1</v>
      </c>
      <c r="J406" s="57">
        <f t="shared" si="23"/>
        <v>2160</v>
      </c>
      <c r="K406" s="58">
        <f t="shared" si="24"/>
        <v>2376</v>
      </c>
      <c r="L406" s="18" t="s">
        <v>25</v>
      </c>
      <c r="M406" s="50"/>
    </row>
    <row r="407" spans="1:13" ht="21.75" hidden="1" customHeight="1" x14ac:dyDescent="0.4">
      <c r="A407" s="62">
        <v>45184</v>
      </c>
      <c r="B407" s="32" t="s">
        <v>2262</v>
      </c>
      <c r="C407" s="18" t="s">
        <v>27</v>
      </c>
      <c r="D407" s="63" t="s">
        <v>28</v>
      </c>
      <c r="E407" s="50" t="s">
        <v>73</v>
      </c>
      <c r="F407" s="57">
        <v>2000</v>
      </c>
      <c r="G407" s="76"/>
      <c r="H407" s="57">
        <f t="shared" si="25"/>
        <v>2000</v>
      </c>
      <c r="I407" s="50">
        <v>2</v>
      </c>
      <c r="J407" s="57">
        <f t="shared" si="23"/>
        <v>4000</v>
      </c>
      <c r="K407" s="58">
        <f t="shared" si="24"/>
        <v>4400</v>
      </c>
      <c r="L407" s="18" t="s">
        <v>25</v>
      </c>
      <c r="M407" s="50"/>
    </row>
    <row r="408" spans="1:13" ht="21.75" hidden="1" customHeight="1" x14ac:dyDescent="0.4">
      <c r="A408" s="62">
        <v>45185</v>
      </c>
      <c r="B408" s="32" t="s">
        <v>678</v>
      </c>
      <c r="C408" s="18" t="s">
        <v>2241</v>
      </c>
      <c r="D408" s="63" t="s">
        <v>2263</v>
      </c>
      <c r="E408" s="50" t="s">
        <v>2264</v>
      </c>
      <c r="F408" s="57">
        <v>1200</v>
      </c>
      <c r="G408" s="76">
        <v>-120</v>
      </c>
      <c r="H408" s="57">
        <f t="shared" si="25"/>
        <v>1080</v>
      </c>
      <c r="I408" s="50">
        <v>1</v>
      </c>
      <c r="J408" s="57">
        <f t="shared" si="23"/>
        <v>1080</v>
      </c>
      <c r="K408" s="58">
        <f t="shared" si="24"/>
        <v>1188</v>
      </c>
      <c r="L408" s="18" t="s">
        <v>2251</v>
      </c>
      <c r="M408" s="50"/>
    </row>
    <row r="409" spans="1:13" ht="21.75" hidden="1" customHeight="1" x14ac:dyDescent="0.4">
      <c r="A409" s="62">
        <v>45185</v>
      </c>
      <c r="B409" s="32" t="s">
        <v>2265</v>
      </c>
      <c r="C409" s="18" t="s">
        <v>2241</v>
      </c>
      <c r="D409" s="63" t="s">
        <v>328</v>
      </c>
      <c r="E409" s="50" t="s">
        <v>2266</v>
      </c>
      <c r="F409" s="57">
        <v>28000</v>
      </c>
      <c r="G409" s="76">
        <v>-2800</v>
      </c>
      <c r="H409" s="57">
        <f t="shared" si="25"/>
        <v>25200</v>
      </c>
      <c r="I409" s="50">
        <v>1</v>
      </c>
      <c r="J409" s="57">
        <f t="shared" si="23"/>
        <v>25200</v>
      </c>
      <c r="K409" s="58">
        <f t="shared" si="24"/>
        <v>27720</v>
      </c>
      <c r="L409" s="18" t="s">
        <v>25</v>
      </c>
      <c r="M409" s="50"/>
    </row>
    <row r="410" spans="1:13" ht="21.75" hidden="1" customHeight="1" x14ac:dyDescent="0.4">
      <c r="A410" s="62">
        <v>45185</v>
      </c>
      <c r="B410" s="32" t="s">
        <v>2265</v>
      </c>
      <c r="C410" s="18" t="s">
        <v>2241</v>
      </c>
      <c r="D410" s="63" t="s">
        <v>332</v>
      </c>
      <c r="E410" s="50" t="s">
        <v>2267</v>
      </c>
      <c r="F410" s="57">
        <v>1090</v>
      </c>
      <c r="G410" s="76">
        <v>-109</v>
      </c>
      <c r="H410" s="57">
        <f t="shared" si="25"/>
        <v>981</v>
      </c>
      <c r="I410" s="50">
        <v>1</v>
      </c>
      <c r="J410" s="57">
        <f t="shared" si="23"/>
        <v>981</v>
      </c>
      <c r="K410" s="58">
        <f t="shared" si="24"/>
        <v>1079</v>
      </c>
      <c r="L410" s="18" t="s">
        <v>25</v>
      </c>
      <c r="M410" s="50"/>
    </row>
    <row r="411" spans="1:13" ht="21.75" hidden="1" customHeight="1" x14ac:dyDescent="0.4">
      <c r="A411" s="62">
        <v>45185</v>
      </c>
      <c r="B411" s="32" t="s">
        <v>428</v>
      </c>
      <c r="C411" s="18" t="s">
        <v>2241</v>
      </c>
      <c r="D411" s="63" t="s">
        <v>332</v>
      </c>
      <c r="E411" s="50" t="s">
        <v>2268</v>
      </c>
      <c r="F411" s="57">
        <v>3800</v>
      </c>
      <c r="G411" s="76">
        <v>-380</v>
      </c>
      <c r="H411" s="57">
        <f t="shared" si="25"/>
        <v>3420</v>
      </c>
      <c r="I411" s="50">
        <v>1</v>
      </c>
      <c r="J411" s="57">
        <f t="shared" si="23"/>
        <v>3420</v>
      </c>
      <c r="K411" s="58">
        <f t="shared" si="24"/>
        <v>3762</v>
      </c>
      <c r="L411" s="18" t="s">
        <v>2251</v>
      </c>
      <c r="M411" s="50"/>
    </row>
    <row r="412" spans="1:13" ht="21.75" hidden="1" customHeight="1" x14ac:dyDescent="0.4">
      <c r="A412" s="62">
        <v>45186</v>
      </c>
      <c r="B412" s="32" t="s">
        <v>2269</v>
      </c>
      <c r="C412" s="18" t="s">
        <v>2241</v>
      </c>
      <c r="D412" s="63" t="s">
        <v>292</v>
      </c>
      <c r="E412" s="50" t="s">
        <v>1962</v>
      </c>
      <c r="F412" s="57">
        <v>5500</v>
      </c>
      <c r="G412" s="76"/>
      <c r="H412" s="57">
        <f t="shared" si="25"/>
        <v>5500</v>
      </c>
      <c r="I412" s="50">
        <v>1</v>
      </c>
      <c r="J412" s="57">
        <f t="shared" si="23"/>
        <v>5500</v>
      </c>
      <c r="K412" s="58">
        <f t="shared" si="24"/>
        <v>6050</v>
      </c>
      <c r="L412" s="18" t="s">
        <v>25</v>
      </c>
      <c r="M412" s="50"/>
    </row>
    <row r="413" spans="1:13" ht="21.75" hidden="1" customHeight="1" x14ac:dyDescent="0.4">
      <c r="A413" s="62">
        <v>45186</v>
      </c>
      <c r="B413" s="32" t="s">
        <v>2270</v>
      </c>
      <c r="C413" s="18" t="s">
        <v>22</v>
      </c>
      <c r="D413" s="63" t="s">
        <v>1496</v>
      </c>
      <c r="E413" s="50" t="s">
        <v>369</v>
      </c>
      <c r="F413" s="57">
        <v>3000</v>
      </c>
      <c r="G413" s="76"/>
      <c r="H413" s="57">
        <f t="shared" si="25"/>
        <v>3000</v>
      </c>
      <c r="I413" s="50">
        <v>1</v>
      </c>
      <c r="J413" s="57">
        <f t="shared" si="23"/>
        <v>3000</v>
      </c>
      <c r="K413" s="58">
        <f t="shared" si="24"/>
        <v>3300</v>
      </c>
      <c r="L413" s="18" t="s">
        <v>25</v>
      </c>
      <c r="M413" s="50" t="s">
        <v>1954</v>
      </c>
    </row>
    <row r="414" spans="1:13" ht="21.75" hidden="1" customHeight="1" x14ac:dyDescent="0.4">
      <c r="A414" s="62">
        <v>45186</v>
      </c>
      <c r="B414" s="32" t="s">
        <v>2270</v>
      </c>
      <c r="C414" s="18" t="s">
        <v>27</v>
      </c>
      <c r="D414" s="63" t="s">
        <v>28</v>
      </c>
      <c r="E414" s="50" t="s">
        <v>318</v>
      </c>
      <c r="F414" s="57">
        <v>15000</v>
      </c>
      <c r="G414" s="76"/>
      <c r="H414" s="57">
        <f t="shared" si="25"/>
        <v>15000</v>
      </c>
      <c r="I414" s="50">
        <v>1</v>
      </c>
      <c r="J414" s="57">
        <f t="shared" si="23"/>
        <v>15000</v>
      </c>
      <c r="K414" s="58">
        <f t="shared" si="24"/>
        <v>16500</v>
      </c>
      <c r="L414" s="18" t="s">
        <v>25</v>
      </c>
      <c r="M414" s="50"/>
    </row>
    <row r="415" spans="1:13" ht="21.75" hidden="1" customHeight="1" x14ac:dyDescent="0.4">
      <c r="A415" s="62">
        <v>45186</v>
      </c>
      <c r="B415" s="32" t="s">
        <v>2270</v>
      </c>
      <c r="C415" s="18" t="s">
        <v>27</v>
      </c>
      <c r="D415" s="63" t="s">
        <v>28</v>
      </c>
      <c r="E415" s="50" t="s">
        <v>2271</v>
      </c>
      <c r="F415" s="57">
        <v>4370</v>
      </c>
      <c r="G415" s="76"/>
      <c r="H415" s="57">
        <f t="shared" si="25"/>
        <v>4370</v>
      </c>
      <c r="I415" s="50">
        <v>1</v>
      </c>
      <c r="J415" s="57">
        <f t="shared" si="23"/>
        <v>4370</v>
      </c>
      <c r="K415" s="58">
        <f t="shared" si="24"/>
        <v>4807</v>
      </c>
      <c r="L415" s="18" t="s">
        <v>25</v>
      </c>
      <c r="M415" s="50"/>
    </row>
    <row r="416" spans="1:13" ht="21.75" hidden="1" customHeight="1" x14ac:dyDescent="0.4">
      <c r="A416" s="62">
        <v>45186</v>
      </c>
      <c r="B416" s="32" t="s">
        <v>2270</v>
      </c>
      <c r="C416" s="18" t="s">
        <v>27</v>
      </c>
      <c r="D416" s="63" t="s">
        <v>28</v>
      </c>
      <c r="E416" s="50" t="s">
        <v>2272</v>
      </c>
      <c r="F416" s="57">
        <v>17500</v>
      </c>
      <c r="G416" s="76"/>
      <c r="H416" s="57">
        <f t="shared" si="25"/>
        <v>17500</v>
      </c>
      <c r="I416" s="50">
        <v>1</v>
      </c>
      <c r="J416" s="57">
        <f t="shared" si="23"/>
        <v>17500</v>
      </c>
      <c r="K416" s="58">
        <f t="shared" si="24"/>
        <v>19250</v>
      </c>
      <c r="L416" s="18" t="s">
        <v>25</v>
      </c>
      <c r="M416" s="50"/>
    </row>
    <row r="417" spans="1:15" ht="21.75" hidden="1" customHeight="1" x14ac:dyDescent="0.4">
      <c r="A417" s="62">
        <v>45187</v>
      </c>
      <c r="B417" s="32" t="s">
        <v>2273</v>
      </c>
      <c r="C417" s="18" t="s">
        <v>2241</v>
      </c>
      <c r="D417" s="63" t="s">
        <v>455</v>
      </c>
      <c r="E417" s="50" t="s">
        <v>2267</v>
      </c>
      <c r="F417" s="57">
        <v>1090</v>
      </c>
      <c r="G417" s="76">
        <v>-109</v>
      </c>
      <c r="H417" s="57">
        <f t="shared" si="25"/>
        <v>981</v>
      </c>
      <c r="I417" s="50">
        <v>1</v>
      </c>
      <c r="J417" s="57">
        <f t="shared" si="23"/>
        <v>981</v>
      </c>
      <c r="K417" s="58">
        <f t="shared" si="24"/>
        <v>1079</v>
      </c>
      <c r="L417" s="18" t="s">
        <v>2251</v>
      </c>
      <c r="M417" s="498" t="s">
        <v>2275</v>
      </c>
      <c r="N417" s="164"/>
      <c r="O417" s="164"/>
    </row>
    <row r="418" spans="1:15" ht="21.75" hidden="1" customHeight="1" x14ac:dyDescent="0.4">
      <c r="A418" s="62">
        <v>45187</v>
      </c>
      <c r="B418" s="32" t="s">
        <v>2273</v>
      </c>
      <c r="C418" s="18" t="s">
        <v>2241</v>
      </c>
      <c r="D418" s="63" t="s">
        <v>455</v>
      </c>
      <c r="E418" s="50" t="s">
        <v>2274</v>
      </c>
      <c r="F418" s="57">
        <v>1090</v>
      </c>
      <c r="G418" s="76">
        <v>-109</v>
      </c>
      <c r="H418" s="57">
        <f t="shared" si="25"/>
        <v>981</v>
      </c>
      <c r="I418" s="50">
        <v>1</v>
      </c>
      <c r="J418" s="57">
        <f t="shared" si="23"/>
        <v>981</v>
      </c>
      <c r="K418" s="58">
        <f t="shared" si="24"/>
        <v>1079</v>
      </c>
      <c r="L418" s="18" t="s">
        <v>2251</v>
      </c>
      <c r="M418" s="491"/>
      <c r="N418" s="93"/>
      <c r="O418" s="93"/>
    </row>
    <row r="419" spans="1:15" ht="21.75" hidden="1" customHeight="1" x14ac:dyDescent="0.4">
      <c r="A419" s="62">
        <v>45187</v>
      </c>
      <c r="B419" s="32" t="s">
        <v>2273</v>
      </c>
      <c r="C419" s="18" t="s">
        <v>2241</v>
      </c>
      <c r="D419" s="63" t="s">
        <v>426</v>
      </c>
      <c r="E419" s="50" t="s">
        <v>2276</v>
      </c>
      <c r="F419" s="57">
        <v>1700</v>
      </c>
      <c r="G419" s="76">
        <v>-170</v>
      </c>
      <c r="H419" s="57">
        <f t="shared" si="25"/>
        <v>1530</v>
      </c>
      <c r="I419" s="50">
        <v>2</v>
      </c>
      <c r="J419" s="57">
        <f t="shared" si="23"/>
        <v>3060</v>
      </c>
      <c r="K419" s="58">
        <f t="shared" si="24"/>
        <v>3366</v>
      </c>
      <c r="L419" s="18" t="s">
        <v>2251</v>
      </c>
      <c r="M419" s="50" t="s">
        <v>2277</v>
      </c>
    </row>
    <row r="420" spans="1:15" ht="21.75" hidden="1" customHeight="1" x14ac:dyDescent="0.4">
      <c r="A420" s="62">
        <v>45189</v>
      </c>
      <c r="B420" s="32" t="s">
        <v>2259</v>
      </c>
      <c r="C420" s="18" t="s">
        <v>2241</v>
      </c>
      <c r="D420" s="63" t="s">
        <v>332</v>
      </c>
      <c r="E420" s="50" t="s">
        <v>2267</v>
      </c>
      <c r="F420" s="57">
        <v>1090</v>
      </c>
      <c r="G420" s="76">
        <v>-458</v>
      </c>
      <c r="H420" s="57">
        <f t="shared" si="25"/>
        <v>632</v>
      </c>
      <c r="I420" s="50">
        <v>8</v>
      </c>
      <c r="J420" s="57">
        <f t="shared" si="23"/>
        <v>5056</v>
      </c>
      <c r="K420" s="58">
        <f t="shared" si="24"/>
        <v>5561</v>
      </c>
      <c r="L420" s="18" t="s">
        <v>2251</v>
      </c>
      <c r="M420" s="50"/>
    </row>
    <row r="421" spans="1:15" ht="21.75" hidden="1" customHeight="1" x14ac:dyDescent="0.4">
      <c r="A421" s="62">
        <v>45189</v>
      </c>
      <c r="B421" s="32" t="s">
        <v>2278</v>
      </c>
      <c r="C421" s="18" t="s">
        <v>17</v>
      </c>
      <c r="D421" s="63" t="s">
        <v>2280</v>
      </c>
      <c r="E421" s="50" t="s">
        <v>2281</v>
      </c>
      <c r="F421" s="57">
        <v>2458</v>
      </c>
      <c r="G421" s="76"/>
      <c r="H421" s="57">
        <f t="shared" si="25"/>
        <v>2458</v>
      </c>
      <c r="I421" s="50">
        <v>1</v>
      </c>
      <c r="J421" s="57">
        <f t="shared" si="23"/>
        <v>2458</v>
      </c>
      <c r="K421" s="58">
        <f t="shared" si="24"/>
        <v>2703</v>
      </c>
      <c r="L421" s="18" t="s">
        <v>2251</v>
      </c>
      <c r="M421" s="50" t="s">
        <v>2279</v>
      </c>
    </row>
    <row r="422" spans="1:15" ht="21.75" hidden="1" customHeight="1" x14ac:dyDescent="0.4">
      <c r="A422" s="62">
        <v>45190</v>
      </c>
      <c r="B422" s="32" t="s">
        <v>2259</v>
      </c>
      <c r="C422" s="18" t="s">
        <v>2241</v>
      </c>
      <c r="D422" s="63" t="s">
        <v>455</v>
      </c>
      <c r="E422" s="50" t="s">
        <v>2267</v>
      </c>
      <c r="F422" s="57">
        <v>1090</v>
      </c>
      <c r="G422" s="76">
        <v>-458</v>
      </c>
      <c r="H422" s="57">
        <f t="shared" si="25"/>
        <v>632</v>
      </c>
      <c r="I422" s="50">
        <v>1</v>
      </c>
      <c r="J422" s="57">
        <f t="shared" si="23"/>
        <v>632</v>
      </c>
      <c r="K422" s="58">
        <f t="shared" si="24"/>
        <v>695</v>
      </c>
      <c r="L422" s="18" t="s">
        <v>2251</v>
      </c>
      <c r="M422" s="50"/>
    </row>
    <row r="423" spans="1:15" ht="21.75" hidden="1" customHeight="1" x14ac:dyDescent="0.4">
      <c r="A423" s="62">
        <v>45190</v>
      </c>
      <c r="B423" s="32" t="s">
        <v>2123</v>
      </c>
      <c r="C423" s="18" t="s">
        <v>2248</v>
      </c>
      <c r="D423" s="63"/>
      <c r="E423" s="50" t="s">
        <v>2282</v>
      </c>
      <c r="F423" s="57">
        <v>500</v>
      </c>
      <c r="G423" s="76"/>
      <c r="H423" s="57">
        <f t="shared" si="25"/>
        <v>500</v>
      </c>
      <c r="I423" s="50">
        <v>1</v>
      </c>
      <c r="J423" s="57">
        <f t="shared" si="23"/>
        <v>500</v>
      </c>
      <c r="K423" s="58">
        <f t="shared" si="24"/>
        <v>550</v>
      </c>
      <c r="L423" s="18" t="s">
        <v>2251</v>
      </c>
      <c r="M423" s="50"/>
    </row>
    <row r="424" spans="1:15" ht="21.75" hidden="1" customHeight="1" x14ac:dyDescent="0.4">
      <c r="A424" s="62">
        <v>45190</v>
      </c>
      <c r="B424" s="32" t="s">
        <v>2123</v>
      </c>
      <c r="C424" s="18" t="s">
        <v>2248</v>
      </c>
      <c r="D424" s="63"/>
      <c r="E424" s="50" t="s">
        <v>2283</v>
      </c>
      <c r="F424" s="57">
        <v>500</v>
      </c>
      <c r="G424" s="76"/>
      <c r="H424" s="57">
        <f t="shared" si="25"/>
        <v>500</v>
      </c>
      <c r="I424" s="50">
        <v>1</v>
      </c>
      <c r="J424" s="57">
        <f t="shared" ref="J424:J486" si="26">SUM(H424*I424)</f>
        <v>500</v>
      </c>
      <c r="K424" s="58">
        <f t="shared" ref="K424:K486" si="27">ROUNDDOWN(J424*1.1,0)</f>
        <v>550</v>
      </c>
      <c r="L424" s="18" t="s">
        <v>2251</v>
      </c>
      <c r="M424" s="50"/>
    </row>
    <row r="425" spans="1:15" ht="21.75" hidden="1" customHeight="1" x14ac:dyDescent="0.4">
      <c r="A425" s="62">
        <v>45191</v>
      </c>
      <c r="B425" s="32" t="s">
        <v>2259</v>
      </c>
      <c r="C425" s="18" t="s">
        <v>2241</v>
      </c>
      <c r="D425" s="63" t="s">
        <v>18</v>
      </c>
      <c r="E425" s="50" t="s">
        <v>2284</v>
      </c>
      <c r="F425" s="57">
        <v>1700</v>
      </c>
      <c r="G425" s="76">
        <v>-680</v>
      </c>
      <c r="H425" s="57">
        <f t="shared" si="25"/>
        <v>1020</v>
      </c>
      <c r="I425" s="50">
        <v>1</v>
      </c>
      <c r="J425" s="57">
        <f t="shared" si="26"/>
        <v>1020</v>
      </c>
      <c r="K425" s="58">
        <f t="shared" si="27"/>
        <v>1122</v>
      </c>
      <c r="L425" s="18" t="s">
        <v>2251</v>
      </c>
      <c r="M425" s="50"/>
    </row>
    <row r="426" spans="1:15" ht="21.75" hidden="1" customHeight="1" x14ac:dyDescent="0.4">
      <c r="A426" s="62">
        <v>45191</v>
      </c>
      <c r="B426" s="32" t="s">
        <v>179</v>
      </c>
      <c r="C426" s="18" t="s">
        <v>2241</v>
      </c>
      <c r="D426" s="63" t="s">
        <v>2263</v>
      </c>
      <c r="E426" s="50" t="s">
        <v>1273</v>
      </c>
      <c r="F426" s="57">
        <v>1400</v>
      </c>
      <c r="G426" s="76">
        <v>-140</v>
      </c>
      <c r="H426" s="57">
        <f t="shared" si="25"/>
        <v>1260</v>
      </c>
      <c r="I426" s="50">
        <v>1</v>
      </c>
      <c r="J426" s="57">
        <f t="shared" si="26"/>
        <v>1260</v>
      </c>
      <c r="K426" s="58">
        <f t="shared" si="27"/>
        <v>1386</v>
      </c>
      <c r="L426" s="18" t="s">
        <v>2251</v>
      </c>
      <c r="M426" s="50"/>
    </row>
    <row r="427" spans="1:15" ht="21.75" hidden="1" customHeight="1" x14ac:dyDescent="0.4">
      <c r="A427" s="62">
        <v>45192</v>
      </c>
      <c r="B427" s="32" t="s">
        <v>2285</v>
      </c>
      <c r="C427" s="18" t="s">
        <v>22</v>
      </c>
      <c r="D427" s="63" t="s">
        <v>23</v>
      </c>
      <c r="E427" s="50" t="s">
        <v>1941</v>
      </c>
      <c r="F427" s="57">
        <v>15000</v>
      </c>
      <c r="G427" s="76"/>
      <c r="H427" s="57">
        <f t="shared" si="25"/>
        <v>15000</v>
      </c>
      <c r="I427" s="50">
        <v>1</v>
      </c>
      <c r="J427" s="57">
        <f t="shared" si="26"/>
        <v>15000</v>
      </c>
      <c r="K427" s="58">
        <f t="shared" si="27"/>
        <v>16500</v>
      </c>
      <c r="L427" s="18" t="s">
        <v>2251</v>
      </c>
      <c r="M427" s="50"/>
    </row>
    <row r="428" spans="1:15" ht="21.75" hidden="1" customHeight="1" x14ac:dyDescent="0.4">
      <c r="A428" s="62">
        <v>45192</v>
      </c>
      <c r="B428" s="32" t="s">
        <v>2286</v>
      </c>
      <c r="C428" s="18" t="s">
        <v>27</v>
      </c>
      <c r="D428" s="63" t="s">
        <v>28</v>
      </c>
      <c r="E428" s="50" t="s">
        <v>2271</v>
      </c>
      <c r="F428" s="57">
        <v>4370</v>
      </c>
      <c r="G428" s="76"/>
      <c r="H428" s="57">
        <f t="shared" si="25"/>
        <v>4370</v>
      </c>
      <c r="I428" s="50">
        <v>1</v>
      </c>
      <c r="J428" s="57">
        <f t="shared" si="26"/>
        <v>4370</v>
      </c>
      <c r="K428" s="58">
        <f t="shared" si="27"/>
        <v>4807</v>
      </c>
      <c r="L428" s="18" t="s">
        <v>25</v>
      </c>
      <c r="M428" s="50"/>
    </row>
    <row r="429" spans="1:15" ht="21.75" hidden="1" customHeight="1" x14ac:dyDescent="0.4">
      <c r="A429" s="62">
        <v>45192</v>
      </c>
      <c r="B429" s="32" t="s">
        <v>2286</v>
      </c>
      <c r="C429" s="18" t="s">
        <v>27</v>
      </c>
      <c r="D429" s="63" t="s">
        <v>28</v>
      </c>
      <c r="E429" s="50" t="s">
        <v>2287</v>
      </c>
      <c r="F429" s="57">
        <v>9000</v>
      </c>
      <c r="G429" s="76"/>
      <c r="H429" s="57">
        <f t="shared" si="25"/>
        <v>9000</v>
      </c>
      <c r="I429" s="50">
        <v>1</v>
      </c>
      <c r="J429" s="57">
        <f t="shared" si="26"/>
        <v>9000</v>
      </c>
      <c r="K429" s="58">
        <f t="shared" si="27"/>
        <v>9900</v>
      </c>
      <c r="L429" s="18" t="s">
        <v>25</v>
      </c>
      <c r="M429" s="50"/>
    </row>
    <row r="430" spans="1:15" ht="21.75" hidden="1" customHeight="1" x14ac:dyDescent="0.4">
      <c r="A430" s="62">
        <v>45192</v>
      </c>
      <c r="B430" s="32" t="s">
        <v>1269</v>
      </c>
      <c r="C430" s="18" t="s">
        <v>2241</v>
      </c>
      <c r="D430" s="63" t="s">
        <v>2288</v>
      </c>
      <c r="E430" s="50" t="s">
        <v>2289</v>
      </c>
      <c r="F430" s="57">
        <v>50000</v>
      </c>
      <c r="G430" s="76">
        <v>-5000</v>
      </c>
      <c r="H430" s="57">
        <f t="shared" si="25"/>
        <v>45000</v>
      </c>
      <c r="I430" s="50">
        <v>1</v>
      </c>
      <c r="J430" s="57">
        <f t="shared" si="26"/>
        <v>45000</v>
      </c>
      <c r="K430" s="58">
        <f t="shared" si="27"/>
        <v>49500</v>
      </c>
      <c r="L430" s="18" t="s">
        <v>34</v>
      </c>
      <c r="M430" s="50"/>
    </row>
    <row r="431" spans="1:15" ht="21.75" hidden="1" customHeight="1" x14ac:dyDescent="0.4">
      <c r="A431" s="62">
        <v>45192</v>
      </c>
      <c r="B431" s="32" t="s">
        <v>1269</v>
      </c>
      <c r="C431" s="18" t="s">
        <v>2241</v>
      </c>
      <c r="D431" s="63" t="s">
        <v>2288</v>
      </c>
      <c r="E431" s="50" t="s">
        <v>2290</v>
      </c>
      <c r="F431" s="57">
        <v>50000</v>
      </c>
      <c r="G431" s="76">
        <v>-5000</v>
      </c>
      <c r="H431" s="57">
        <f t="shared" si="25"/>
        <v>45000</v>
      </c>
      <c r="I431" s="50">
        <v>1</v>
      </c>
      <c r="J431" s="57">
        <f t="shared" si="26"/>
        <v>45000</v>
      </c>
      <c r="K431" s="58">
        <f t="shared" si="27"/>
        <v>49500</v>
      </c>
      <c r="L431" s="18" t="s">
        <v>34</v>
      </c>
      <c r="M431" s="50"/>
    </row>
    <row r="432" spans="1:15" ht="21.75" hidden="1" customHeight="1" x14ac:dyDescent="0.4">
      <c r="A432" s="62">
        <v>45192</v>
      </c>
      <c r="B432" s="32" t="s">
        <v>1269</v>
      </c>
      <c r="C432" s="18" t="s">
        <v>2241</v>
      </c>
      <c r="D432" s="63" t="s">
        <v>328</v>
      </c>
      <c r="E432" s="50" t="s">
        <v>2291</v>
      </c>
      <c r="F432" s="57">
        <v>16000</v>
      </c>
      <c r="G432" s="76">
        <v>-1600</v>
      </c>
      <c r="H432" s="57">
        <f t="shared" si="25"/>
        <v>14400</v>
      </c>
      <c r="I432" s="50">
        <v>1</v>
      </c>
      <c r="J432" s="57">
        <f t="shared" si="26"/>
        <v>14400</v>
      </c>
      <c r="K432" s="58">
        <f t="shared" si="27"/>
        <v>15840</v>
      </c>
      <c r="L432" s="18" t="s">
        <v>34</v>
      </c>
      <c r="M432" s="50"/>
    </row>
    <row r="433" spans="1:15" ht="21.75" hidden="1" customHeight="1" x14ac:dyDescent="0.4">
      <c r="A433" s="62">
        <v>45192</v>
      </c>
      <c r="B433" s="32" t="s">
        <v>1269</v>
      </c>
      <c r="C433" s="18" t="s">
        <v>2241</v>
      </c>
      <c r="D433" s="63" t="s">
        <v>328</v>
      </c>
      <c r="E433" s="50" t="s">
        <v>2292</v>
      </c>
      <c r="F433" s="57">
        <v>16000</v>
      </c>
      <c r="G433" s="76">
        <v>-1600</v>
      </c>
      <c r="H433" s="57">
        <f t="shared" si="25"/>
        <v>14400</v>
      </c>
      <c r="I433" s="50">
        <v>1</v>
      </c>
      <c r="J433" s="57">
        <f t="shared" si="26"/>
        <v>14400</v>
      </c>
      <c r="K433" s="58">
        <f t="shared" si="27"/>
        <v>15840</v>
      </c>
      <c r="L433" s="18" t="s">
        <v>34</v>
      </c>
      <c r="M433" s="50"/>
    </row>
    <row r="434" spans="1:15" ht="21.75" hidden="1" customHeight="1" x14ac:dyDescent="0.4">
      <c r="A434" s="62">
        <v>45192</v>
      </c>
      <c r="B434" s="32" t="s">
        <v>1269</v>
      </c>
      <c r="C434" s="18" t="s">
        <v>2241</v>
      </c>
      <c r="D434" s="63" t="s">
        <v>2263</v>
      </c>
      <c r="E434" s="50" t="s">
        <v>2293</v>
      </c>
      <c r="F434" s="57">
        <v>1200</v>
      </c>
      <c r="G434" s="76">
        <v>-120</v>
      </c>
      <c r="H434" s="57">
        <f t="shared" si="25"/>
        <v>1080</v>
      </c>
      <c r="I434" s="50">
        <v>2</v>
      </c>
      <c r="J434" s="57">
        <f t="shared" si="26"/>
        <v>2160</v>
      </c>
      <c r="K434" s="58">
        <f t="shared" si="27"/>
        <v>2376</v>
      </c>
      <c r="L434" s="18" t="s">
        <v>34</v>
      </c>
      <c r="M434" s="50"/>
    </row>
    <row r="435" spans="1:15" ht="21.75" customHeight="1" x14ac:dyDescent="0.4">
      <c r="A435" s="62">
        <v>45192</v>
      </c>
      <c r="B435" s="32" t="s">
        <v>1269</v>
      </c>
      <c r="C435" s="18" t="s">
        <v>2241</v>
      </c>
      <c r="D435" s="63" t="s">
        <v>2012</v>
      </c>
      <c r="E435" s="50" t="s">
        <v>2294</v>
      </c>
      <c r="F435" s="57">
        <v>3000</v>
      </c>
      <c r="G435" s="76">
        <v>-300</v>
      </c>
      <c r="H435" s="57">
        <f t="shared" si="25"/>
        <v>2700</v>
      </c>
      <c r="I435" s="50">
        <v>2</v>
      </c>
      <c r="J435" s="57">
        <f t="shared" si="26"/>
        <v>5400</v>
      </c>
      <c r="K435" s="58">
        <f t="shared" si="27"/>
        <v>5940</v>
      </c>
      <c r="L435" s="18" t="s">
        <v>34</v>
      </c>
      <c r="M435" s="50"/>
    </row>
    <row r="436" spans="1:15" ht="21.75" hidden="1" customHeight="1" x14ac:dyDescent="0.4">
      <c r="A436" s="62">
        <v>45192</v>
      </c>
      <c r="B436" s="32" t="s">
        <v>2295</v>
      </c>
      <c r="C436" s="18" t="s">
        <v>22</v>
      </c>
      <c r="D436" s="63" t="s">
        <v>2296</v>
      </c>
      <c r="E436" s="50" t="s">
        <v>461</v>
      </c>
      <c r="F436" s="57">
        <v>5000</v>
      </c>
      <c r="G436" s="76"/>
      <c r="H436" s="57">
        <f t="shared" si="25"/>
        <v>5000</v>
      </c>
      <c r="I436" s="50">
        <v>1</v>
      </c>
      <c r="J436" s="57">
        <f t="shared" si="26"/>
        <v>5000</v>
      </c>
      <c r="K436" s="58">
        <f t="shared" si="27"/>
        <v>5500</v>
      </c>
      <c r="L436" s="18" t="s">
        <v>25</v>
      </c>
      <c r="M436" s="498" t="s">
        <v>2299</v>
      </c>
      <c r="N436" s="164"/>
      <c r="O436" s="164"/>
    </row>
    <row r="437" spans="1:15" ht="21.75" hidden="1" customHeight="1" x14ac:dyDescent="0.4">
      <c r="A437" s="62">
        <v>45192</v>
      </c>
      <c r="B437" s="32" t="s">
        <v>2295</v>
      </c>
      <c r="C437" s="18" t="s">
        <v>22</v>
      </c>
      <c r="D437" s="63" t="s">
        <v>2296</v>
      </c>
      <c r="E437" s="50" t="s">
        <v>2297</v>
      </c>
      <c r="F437" s="57">
        <v>7500</v>
      </c>
      <c r="G437" s="76"/>
      <c r="H437" s="57">
        <f t="shared" si="25"/>
        <v>7500</v>
      </c>
      <c r="I437" s="50">
        <v>1</v>
      </c>
      <c r="J437" s="57">
        <f t="shared" si="26"/>
        <v>7500</v>
      </c>
      <c r="K437" s="58">
        <f t="shared" si="27"/>
        <v>8250</v>
      </c>
      <c r="L437" s="18" t="s">
        <v>25</v>
      </c>
      <c r="M437" s="499"/>
      <c r="N437" s="93"/>
      <c r="O437" s="93"/>
    </row>
    <row r="438" spans="1:15" ht="21.75" hidden="1" customHeight="1" x14ac:dyDescent="0.4">
      <c r="A438" s="62">
        <v>45192</v>
      </c>
      <c r="B438" s="32" t="s">
        <v>2298</v>
      </c>
      <c r="C438" s="18" t="s">
        <v>22</v>
      </c>
      <c r="D438" s="63" t="s">
        <v>2296</v>
      </c>
      <c r="E438" s="50" t="s">
        <v>461</v>
      </c>
      <c r="F438" s="57">
        <v>5000</v>
      </c>
      <c r="G438" s="76"/>
      <c r="H438" s="57">
        <f t="shared" si="25"/>
        <v>5000</v>
      </c>
      <c r="I438" s="50">
        <v>1</v>
      </c>
      <c r="J438" s="57">
        <f t="shared" si="26"/>
        <v>5000</v>
      </c>
      <c r="K438" s="58">
        <f t="shared" si="27"/>
        <v>5500</v>
      </c>
      <c r="L438" s="18" t="s">
        <v>25</v>
      </c>
      <c r="M438" s="499"/>
      <c r="N438" s="93"/>
      <c r="O438" s="93"/>
    </row>
    <row r="439" spans="1:15" ht="21.75" hidden="1" customHeight="1" x14ac:dyDescent="0.4">
      <c r="A439" s="62">
        <v>45192</v>
      </c>
      <c r="B439" s="32" t="s">
        <v>2298</v>
      </c>
      <c r="C439" s="18" t="s">
        <v>22</v>
      </c>
      <c r="D439" s="63" t="s">
        <v>2296</v>
      </c>
      <c r="E439" s="50" t="s">
        <v>2297</v>
      </c>
      <c r="F439" s="57">
        <v>7500</v>
      </c>
      <c r="G439" s="76"/>
      <c r="H439" s="57">
        <f t="shared" si="25"/>
        <v>7500</v>
      </c>
      <c r="I439" s="50">
        <v>1</v>
      </c>
      <c r="J439" s="57">
        <f t="shared" si="26"/>
        <v>7500</v>
      </c>
      <c r="K439" s="58">
        <f t="shared" si="27"/>
        <v>8250</v>
      </c>
      <c r="L439" s="18" t="s">
        <v>25</v>
      </c>
      <c r="M439" s="491"/>
      <c r="N439" s="93"/>
      <c r="O439" s="93"/>
    </row>
    <row r="440" spans="1:15" ht="21.75" hidden="1" customHeight="1" x14ac:dyDescent="0.4">
      <c r="A440" s="62">
        <v>45193</v>
      </c>
      <c r="B440" s="32" t="s">
        <v>2300</v>
      </c>
      <c r="C440" s="18" t="s">
        <v>22</v>
      </c>
      <c r="D440" s="63" t="s">
        <v>23</v>
      </c>
      <c r="E440" s="50" t="s">
        <v>1941</v>
      </c>
      <c r="F440" s="57">
        <v>15000</v>
      </c>
      <c r="G440" s="76"/>
      <c r="H440" s="57">
        <f t="shared" si="25"/>
        <v>15000</v>
      </c>
      <c r="I440" s="50">
        <v>1</v>
      </c>
      <c r="J440" s="57">
        <f t="shared" si="26"/>
        <v>15000</v>
      </c>
      <c r="K440" s="58">
        <f t="shared" si="27"/>
        <v>16500</v>
      </c>
      <c r="L440" s="18" t="s">
        <v>25</v>
      </c>
      <c r="M440" s="50" t="s">
        <v>1954</v>
      </c>
    </row>
    <row r="441" spans="1:15" ht="21.75" hidden="1" customHeight="1" x14ac:dyDescent="0.4">
      <c r="A441" s="62">
        <v>45193</v>
      </c>
      <c r="B441" s="32" t="s">
        <v>2285</v>
      </c>
      <c r="C441" s="18" t="s">
        <v>2241</v>
      </c>
      <c r="D441" s="63" t="s">
        <v>328</v>
      </c>
      <c r="E441" s="124" t="s">
        <v>2301</v>
      </c>
      <c r="F441" s="57">
        <v>64000</v>
      </c>
      <c r="G441" s="76">
        <v>-12800</v>
      </c>
      <c r="H441" s="57">
        <f t="shared" si="25"/>
        <v>51200</v>
      </c>
      <c r="I441" s="50">
        <v>1</v>
      </c>
      <c r="J441" s="57">
        <f t="shared" si="26"/>
        <v>51200</v>
      </c>
      <c r="K441" s="58">
        <f t="shared" si="27"/>
        <v>56320</v>
      </c>
      <c r="L441" s="18" t="s">
        <v>2251</v>
      </c>
      <c r="M441" s="50"/>
    </row>
    <row r="442" spans="1:15" ht="21.75" hidden="1" customHeight="1" x14ac:dyDescent="0.4">
      <c r="A442" s="62">
        <v>45193</v>
      </c>
      <c r="B442" s="32" t="s">
        <v>2285</v>
      </c>
      <c r="C442" s="18" t="s">
        <v>2241</v>
      </c>
      <c r="D442" s="63" t="s">
        <v>332</v>
      </c>
      <c r="E442" s="50" t="s">
        <v>2302</v>
      </c>
      <c r="F442" s="57">
        <v>2000</v>
      </c>
      <c r="G442" s="76"/>
      <c r="H442" s="57">
        <f t="shared" si="25"/>
        <v>2000</v>
      </c>
      <c r="I442" s="50">
        <v>1</v>
      </c>
      <c r="J442" s="57">
        <f t="shared" si="26"/>
        <v>2000</v>
      </c>
      <c r="K442" s="58">
        <f t="shared" si="27"/>
        <v>2200</v>
      </c>
      <c r="L442" s="18" t="s">
        <v>2251</v>
      </c>
      <c r="M442" s="50"/>
    </row>
    <row r="443" spans="1:15" ht="21.75" customHeight="1" x14ac:dyDescent="0.4">
      <c r="A443" s="62">
        <v>45193</v>
      </c>
      <c r="B443" s="32" t="s">
        <v>171</v>
      </c>
      <c r="C443" s="18" t="s">
        <v>2241</v>
      </c>
      <c r="D443" s="63" t="s">
        <v>2303</v>
      </c>
      <c r="E443" s="50" t="s">
        <v>2304</v>
      </c>
      <c r="F443" s="57">
        <v>66000</v>
      </c>
      <c r="G443" s="76">
        <v>-6600</v>
      </c>
      <c r="H443" s="57">
        <f t="shared" si="25"/>
        <v>59400</v>
      </c>
      <c r="I443" s="50">
        <v>1</v>
      </c>
      <c r="J443" s="57">
        <f t="shared" si="26"/>
        <v>59400</v>
      </c>
      <c r="K443" s="58">
        <f t="shared" si="27"/>
        <v>65340</v>
      </c>
      <c r="L443" s="18" t="s">
        <v>34</v>
      </c>
      <c r="M443" s="50"/>
    </row>
    <row r="444" spans="1:15" ht="21.75" hidden="1" customHeight="1" x14ac:dyDescent="0.4">
      <c r="A444" s="62">
        <v>45193</v>
      </c>
      <c r="B444" s="32" t="s">
        <v>171</v>
      </c>
      <c r="C444" s="18" t="s">
        <v>2241</v>
      </c>
      <c r="D444" s="63" t="s">
        <v>332</v>
      </c>
      <c r="E444" s="50" t="s">
        <v>2305</v>
      </c>
      <c r="F444" s="57">
        <v>1600</v>
      </c>
      <c r="G444" s="76">
        <v>-160</v>
      </c>
      <c r="H444" s="57">
        <f t="shared" si="25"/>
        <v>1440</v>
      </c>
      <c r="I444" s="50">
        <v>1</v>
      </c>
      <c r="J444" s="57">
        <f t="shared" si="26"/>
        <v>1440</v>
      </c>
      <c r="K444" s="58">
        <f t="shared" si="27"/>
        <v>1584</v>
      </c>
      <c r="L444" s="18" t="s">
        <v>34</v>
      </c>
      <c r="M444" s="50"/>
    </row>
    <row r="445" spans="1:15" ht="21.75" hidden="1" customHeight="1" x14ac:dyDescent="0.4">
      <c r="A445" s="62">
        <v>45194</v>
      </c>
      <c r="B445" s="32" t="s">
        <v>2306</v>
      </c>
      <c r="C445" s="18" t="s">
        <v>2241</v>
      </c>
      <c r="D445" s="63" t="s">
        <v>2307</v>
      </c>
      <c r="E445" s="50" t="s">
        <v>2308</v>
      </c>
      <c r="F445" s="57">
        <v>1700</v>
      </c>
      <c r="G445" s="76">
        <v>-170</v>
      </c>
      <c r="H445" s="57">
        <f t="shared" si="25"/>
        <v>1530</v>
      </c>
      <c r="I445" s="50">
        <v>1</v>
      </c>
      <c r="J445" s="57">
        <f t="shared" si="26"/>
        <v>1530</v>
      </c>
      <c r="K445" s="58">
        <f t="shared" si="27"/>
        <v>1683</v>
      </c>
      <c r="L445" s="18" t="s">
        <v>2251</v>
      </c>
      <c r="M445" s="50"/>
    </row>
    <row r="446" spans="1:15" ht="21.75" hidden="1" customHeight="1" x14ac:dyDescent="0.4">
      <c r="A446" s="62">
        <v>45194</v>
      </c>
      <c r="B446" s="32" t="s">
        <v>2309</v>
      </c>
      <c r="C446" s="18" t="s">
        <v>2241</v>
      </c>
      <c r="D446" s="63" t="s">
        <v>332</v>
      </c>
      <c r="E446" s="50" t="s">
        <v>2267</v>
      </c>
      <c r="F446" s="57">
        <v>1090</v>
      </c>
      <c r="G446" s="76">
        <v>-109</v>
      </c>
      <c r="H446" s="57">
        <f t="shared" si="25"/>
        <v>981</v>
      </c>
      <c r="I446" s="50">
        <v>1</v>
      </c>
      <c r="J446" s="57">
        <f t="shared" si="26"/>
        <v>981</v>
      </c>
      <c r="K446" s="58">
        <f t="shared" si="27"/>
        <v>1079</v>
      </c>
      <c r="L446" s="18" t="s">
        <v>25</v>
      </c>
      <c r="M446" s="50"/>
    </row>
    <row r="447" spans="1:15" ht="21.75" hidden="1" customHeight="1" x14ac:dyDescent="0.4">
      <c r="A447" s="62">
        <v>45196</v>
      </c>
      <c r="B447" s="32" t="s">
        <v>139</v>
      </c>
      <c r="C447" s="18" t="s">
        <v>17</v>
      </c>
      <c r="D447" s="63" t="s">
        <v>55</v>
      </c>
      <c r="E447" s="50" t="s">
        <v>2310</v>
      </c>
      <c r="F447" s="57">
        <v>5800</v>
      </c>
      <c r="G447" s="76">
        <v>-580</v>
      </c>
      <c r="H447" s="57">
        <f t="shared" si="25"/>
        <v>5220</v>
      </c>
      <c r="I447" s="50">
        <v>1</v>
      </c>
      <c r="J447" s="57">
        <f t="shared" si="26"/>
        <v>5220</v>
      </c>
      <c r="K447" s="58">
        <f t="shared" si="27"/>
        <v>5742</v>
      </c>
      <c r="L447" s="18" t="s">
        <v>25</v>
      </c>
      <c r="M447" s="50"/>
    </row>
    <row r="448" spans="1:15" ht="21.75" hidden="1" customHeight="1" x14ac:dyDescent="0.4">
      <c r="A448" s="62">
        <v>45197</v>
      </c>
      <c r="B448" s="32" t="s">
        <v>2311</v>
      </c>
      <c r="C448" s="18" t="s">
        <v>22</v>
      </c>
      <c r="D448" s="63" t="s">
        <v>23</v>
      </c>
      <c r="E448" s="50" t="s">
        <v>1941</v>
      </c>
      <c r="F448" s="57">
        <v>15000</v>
      </c>
      <c r="G448" s="76"/>
      <c r="H448" s="57">
        <f t="shared" si="25"/>
        <v>15000</v>
      </c>
      <c r="I448" s="50">
        <v>1</v>
      </c>
      <c r="J448" s="57">
        <f t="shared" si="26"/>
        <v>15000</v>
      </c>
      <c r="K448" s="58">
        <f t="shared" si="27"/>
        <v>16500</v>
      </c>
      <c r="L448" s="18" t="s">
        <v>2251</v>
      </c>
      <c r="M448" s="50" t="s">
        <v>1954</v>
      </c>
    </row>
    <row r="449" spans="1:15" ht="21.75" hidden="1" customHeight="1" x14ac:dyDescent="0.4">
      <c r="A449" s="62">
        <v>45197</v>
      </c>
      <c r="B449" s="32" t="s">
        <v>167</v>
      </c>
      <c r="C449" s="18" t="s">
        <v>2241</v>
      </c>
      <c r="D449" s="63" t="s">
        <v>332</v>
      </c>
      <c r="E449" s="50" t="s">
        <v>2312</v>
      </c>
      <c r="F449" s="57">
        <v>1800</v>
      </c>
      <c r="G449" s="76">
        <v>-180</v>
      </c>
      <c r="H449" s="57">
        <f t="shared" si="25"/>
        <v>1620</v>
      </c>
      <c r="I449" s="50">
        <v>2</v>
      </c>
      <c r="J449" s="57">
        <f t="shared" si="26"/>
        <v>3240</v>
      </c>
      <c r="K449" s="58">
        <f t="shared" si="27"/>
        <v>3564</v>
      </c>
      <c r="L449" s="18" t="s">
        <v>2251</v>
      </c>
      <c r="M449" s="50"/>
    </row>
    <row r="450" spans="1:15" ht="21.75" hidden="1" customHeight="1" x14ac:dyDescent="0.4">
      <c r="A450" s="62">
        <v>45197</v>
      </c>
      <c r="B450" s="32" t="s">
        <v>2061</v>
      </c>
      <c r="C450" s="18" t="s">
        <v>2241</v>
      </c>
      <c r="D450" s="63" t="s">
        <v>332</v>
      </c>
      <c r="E450" s="50" t="s">
        <v>2313</v>
      </c>
      <c r="F450" s="57">
        <v>1800</v>
      </c>
      <c r="G450" s="76">
        <v>-180</v>
      </c>
      <c r="H450" s="57">
        <f t="shared" si="25"/>
        <v>1620</v>
      </c>
      <c r="I450" s="50">
        <v>2</v>
      </c>
      <c r="J450" s="57">
        <f t="shared" si="26"/>
        <v>3240</v>
      </c>
      <c r="K450" s="58">
        <f t="shared" si="27"/>
        <v>3564</v>
      </c>
      <c r="L450" s="18" t="s">
        <v>2251</v>
      </c>
      <c r="M450" s="50"/>
    </row>
    <row r="451" spans="1:15" ht="21.75" hidden="1" customHeight="1" x14ac:dyDescent="0.4">
      <c r="A451" s="62">
        <v>45197</v>
      </c>
      <c r="B451" s="32" t="s">
        <v>1297</v>
      </c>
      <c r="C451" s="18" t="s">
        <v>27</v>
      </c>
      <c r="D451" s="63" t="s">
        <v>28</v>
      </c>
      <c r="E451" s="50" t="s">
        <v>2272</v>
      </c>
      <c r="F451" s="57">
        <v>17500</v>
      </c>
      <c r="G451" s="76"/>
      <c r="H451" s="57">
        <f t="shared" si="25"/>
        <v>17500</v>
      </c>
      <c r="I451" s="50">
        <v>1</v>
      </c>
      <c r="J451" s="57">
        <f t="shared" si="26"/>
        <v>17500</v>
      </c>
      <c r="K451" s="58">
        <f t="shared" si="27"/>
        <v>19250</v>
      </c>
      <c r="L451" s="18" t="s">
        <v>25</v>
      </c>
      <c r="M451" s="50"/>
    </row>
    <row r="452" spans="1:15" ht="21.75" hidden="1" customHeight="1" x14ac:dyDescent="0.4">
      <c r="A452" s="62">
        <v>45197</v>
      </c>
      <c r="B452" s="32" t="s">
        <v>148</v>
      </c>
      <c r="C452" s="18" t="s">
        <v>27</v>
      </c>
      <c r="D452" s="63" t="s">
        <v>28</v>
      </c>
      <c r="E452" s="50" t="s">
        <v>2272</v>
      </c>
      <c r="F452" s="57">
        <v>17500</v>
      </c>
      <c r="G452" s="76"/>
      <c r="H452" s="57">
        <f t="shared" si="25"/>
        <v>17500</v>
      </c>
      <c r="I452" s="50">
        <v>1</v>
      </c>
      <c r="J452" s="57">
        <f t="shared" si="26"/>
        <v>17500</v>
      </c>
      <c r="K452" s="58">
        <f t="shared" si="27"/>
        <v>19250</v>
      </c>
      <c r="L452" s="18" t="s">
        <v>2251</v>
      </c>
      <c r="M452" s="50"/>
    </row>
    <row r="453" spans="1:15" ht="21.75" hidden="1" customHeight="1" x14ac:dyDescent="0.4">
      <c r="A453" s="62">
        <v>45198</v>
      </c>
      <c r="B453" s="32" t="s">
        <v>503</v>
      </c>
      <c r="C453" s="18" t="s">
        <v>2241</v>
      </c>
      <c r="D453" s="63" t="s">
        <v>2314</v>
      </c>
      <c r="E453" s="50" t="s">
        <v>2315</v>
      </c>
      <c r="F453" s="57">
        <v>5500</v>
      </c>
      <c r="G453" s="76"/>
      <c r="H453" s="57">
        <f t="shared" si="25"/>
        <v>5500</v>
      </c>
      <c r="I453" s="50">
        <v>2</v>
      </c>
      <c r="J453" s="57">
        <f t="shared" si="26"/>
        <v>11000</v>
      </c>
      <c r="K453" s="58">
        <f t="shared" si="27"/>
        <v>12100</v>
      </c>
      <c r="L453" s="18" t="s">
        <v>34</v>
      </c>
      <c r="M453" s="50"/>
    </row>
    <row r="454" spans="1:15" ht="21.75" hidden="1" customHeight="1" x14ac:dyDescent="0.4">
      <c r="A454" s="62">
        <v>45199</v>
      </c>
      <c r="B454" s="32" t="s">
        <v>2104</v>
      </c>
      <c r="C454" s="18" t="s">
        <v>22</v>
      </c>
      <c r="D454" s="63" t="s">
        <v>23</v>
      </c>
      <c r="E454" s="50" t="s">
        <v>1941</v>
      </c>
      <c r="F454" s="57">
        <v>15000</v>
      </c>
      <c r="G454" s="76"/>
      <c r="H454" s="57">
        <f t="shared" si="25"/>
        <v>15000</v>
      </c>
      <c r="I454" s="50">
        <v>1</v>
      </c>
      <c r="J454" s="57">
        <f t="shared" si="26"/>
        <v>15000</v>
      </c>
      <c r="K454" s="58">
        <f t="shared" si="27"/>
        <v>16500</v>
      </c>
      <c r="L454" s="18" t="s">
        <v>25</v>
      </c>
      <c r="M454" s="50"/>
    </row>
    <row r="455" spans="1:15" ht="21.75" hidden="1" customHeight="1" x14ac:dyDescent="0.4">
      <c r="A455" s="62">
        <v>45199</v>
      </c>
      <c r="B455" s="32" t="s">
        <v>2104</v>
      </c>
      <c r="C455" s="18" t="s">
        <v>2316</v>
      </c>
      <c r="D455" s="63" t="s">
        <v>328</v>
      </c>
      <c r="E455" s="50" t="s">
        <v>2317</v>
      </c>
      <c r="F455" s="57">
        <v>40000</v>
      </c>
      <c r="G455" s="76">
        <v>-8000</v>
      </c>
      <c r="H455" s="57">
        <f t="shared" si="25"/>
        <v>32000</v>
      </c>
      <c r="I455" s="50">
        <v>1</v>
      </c>
      <c r="J455" s="57">
        <f t="shared" si="26"/>
        <v>32000</v>
      </c>
      <c r="K455" s="58">
        <f t="shared" si="27"/>
        <v>35200</v>
      </c>
      <c r="L455" s="18" t="s">
        <v>34</v>
      </c>
      <c r="M455" s="50"/>
    </row>
    <row r="456" spans="1:15" ht="21.75" hidden="1" customHeight="1" x14ac:dyDescent="0.4">
      <c r="A456" s="62">
        <v>45199</v>
      </c>
      <c r="B456" s="32" t="s">
        <v>2104</v>
      </c>
      <c r="C456" s="18" t="s">
        <v>2316</v>
      </c>
      <c r="D456" s="63" t="s">
        <v>2318</v>
      </c>
      <c r="E456" s="50" t="s">
        <v>2319</v>
      </c>
      <c r="F456" s="57">
        <v>4000</v>
      </c>
      <c r="G456" s="76"/>
      <c r="H456" s="57">
        <f t="shared" si="25"/>
        <v>4000</v>
      </c>
      <c r="I456" s="50">
        <v>1</v>
      </c>
      <c r="J456" s="57">
        <f t="shared" si="26"/>
        <v>4000</v>
      </c>
      <c r="K456" s="58">
        <f t="shared" si="27"/>
        <v>4400</v>
      </c>
      <c r="L456" s="18" t="s">
        <v>34</v>
      </c>
      <c r="M456" s="50"/>
    </row>
    <row r="457" spans="1:15" ht="21.75" hidden="1" customHeight="1" x14ac:dyDescent="0.4">
      <c r="A457" s="62">
        <v>45199</v>
      </c>
      <c r="B457" s="32" t="s">
        <v>2104</v>
      </c>
      <c r="C457" s="18" t="s">
        <v>2316</v>
      </c>
      <c r="D457" s="63" t="s">
        <v>332</v>
      </c>
      <c r="E457" s="50" t="s">
        <v>2320</v>
      </c>
      <c r="F457" s="57">
        <v>2400</v>
      </c>
      <c r="G457" s="76"/>
      <c r="H457" s="57">
        <f t="shared" si="25"/>
        <v>2400</v>
      </c>
      <c r="I457" s="50">
        <v>1</v>
      </c>
      <c r="J457" s="57">
        <f t="shared" si="26"/>
        <v>2400</v>
      </c>
      <c r="K457" s="58">
        <f t="shared" si="27"/>
        <v>2640</v>
      </c>
      <c r="L457" s="18" t="s">
        <v>34</v>
      </c>
      <c r="M457" s="50"/>
    </row>
    <row r="458" spans="1:15" ht="21.75" hidden="1" customHeight="1" thickBot="1" x14ac:dyDescent="0.45">
      <c r="A458" s="151">
        <v>45199</v>
      </c>
      <c r="B458" s="107" t="s">
        <v>2104</v>
      </c>
      <c r="C458" s="108" t="s">
        <v>198</v>
      </c>
      <c r="D458" s="109" t="s">
        <v>23</v>
      </c>
      <c r="E458" s="110" t="s">
        <v>199</v>
      </c>
      <c r="F458" s="111">
        <v>-15000</v>
      </c>
      <c r="G458" s="112"/>
      <c r="H458" s="111">
        <f t="shared" si="25"/>
        <v>-15000</v>
      </c>
      <c r="I458" s="110">
        <v>1</v>
      </c>
      <c r="J458" s="111">
        <f t="shared" si="26"/>
        <v>-15000</v>
      </c>
      <c r="K458" s="113">
        <f t="shared" si="27"/>
        <v>-16500</v>
      </c>
      <c r="L458" s="108" t="s">
        <v>34</v>
      </c>
      <c r="M458" s="110" t="s">
        <v>2321</v>
      </c>
      <c r="N458" s="165"/>
      <c r="O458" s="165"/>
    </row>
    <row r="459" spans="1:15" ht="21.75" hidden="1" customHeight="1" x14ac:dyDescent="0.4">
      <c r="A459" s="158">
        <v>45200</v>
      </c>
      <c r="B459" s="82" t="s">
        <v>2324</v>
      </c>
      <c r="C459" s="60" t="s">
        <v>2325</v>
      </c>
      <c r="D459" s="61" t="s">
        <v>328</v>
      </c>
      <c r="E459" s="56" t="s">
        <v>2326</v>
      </c>
      <c r="F459" s="99">
        <v>60000</v>
      </c>
      <c r="G459" s="79">
        <v>-12000</v>
      </c>
      <c r="H459" s="99">
        <f t="shared" si="25"/>
        <v>48000</v>
      </c>
      <c r="I459" s="56">
        <v>1</v>
      </c>
      <c r="J459" s="99">
        <f t="shared" si="26"/>
        <v>48000</v>
      </c>
      <c r="K459" s="100">
        <f t="shared" si="27"/>
        <v>52800</v>
      </c>
      <c r="L459" s="60" t="s">
        <v>34</v>
      </c>
      <c r="M459" s="56"/>
    </row>
    <row r="460" spans="1:15" ht="21.75" hidden="1" customHeight="1" x14ac:dyDescent="0.4">
      <c r="A460" s="62">
        <v>45200</v>
      </c>
      <c r="B460" s="82" t="s">
        <v>2324</v>
      </c>
      <c r="C460" s="60" t="s">
        <v>2325</v>
      </c>
      <c r="D460" s="63" t="s">
        <v>2327</v>
      </c>
      <c r="E460" s="50" t="s">
        <v>2328</v>
      </c>
      <c r="F460" s="57">
        <v>65000</v>
      </c>
      <c r="G460" s="76">
        <v>-9750</v>
      </c>
      <c r="H460" s="57">
        <f t="shared" si="25"/>
        <v>55250</v>
      </c>
      <c r="I460" s="50">
        <v>1</v>
      </c>
      <c r="J460" s="57">
        <f t="shared" si="26"/>
        <v>55250</v>
      </c>
      <c r="K460" s="58">
        <f t="shared" si="27"/>
        <v>60775</v>
      </c>
      <c r="L460" s="60" t="s">
        <v>34</v>
      </c>
      <c r="M460" s="50"/>
    </row>
    <row r="461" spans="1:15" ht="21.75" hidden="1" customHeight="1" x14ac:dyDescent="0.4">
      <c r="A461" s="62">
        <v>45200</v>
      </c>
      <c r="B461" s="82" t="s">
        <v>2324</v>
      </c>
      <c r="C461" s="60" t="s">
        <v>2325</v>
      </c>
      <c r="D461" s="63" t="s">
        <v>332</v>
      </c>
      <c r="E461" s="50" t="s">
        <v>2329</v>
      </c>
      <c r="F461" s="57">
        <v>1500</v>
      </c>
      <c r="G461" s="76"/>
      <c r="H461" s="57">
        <f t="shared" si="25"/>
        <v>1500</v>
      </c>
      <c r="I461" s="50">
        <v>1</v>
      </c>
      <c r="J461" s="57">
        <f t="shared" si="26"/>
        <v>1500</v>
      </c>
      <c r="K461" s="58">
        <f t="shared" si="27"/>
        <v>1650</v>
      </c>
      <c r="L461" s="60" t="s">
        <v>34</v>
      </c>
      <c r="M461" s="50"/>
    </row>
    <row r="462" spans="1:15" ht="21.75" hidden="1" customHeight="1" x14ac:dyDescent="0.4">
      <c r="A462" s="62">
        <v>45200</v>
      </c>
      <c r="B462" s="32" t="s">
        <v>2330</v>
      </c>
      <c r="C462" s="18" t="s">
        <v>22</v>
      </c>
      <c r="D462" s="63" t="s">
        <v>955</v>
      </c>
      <c r="E462" s="50" t="s">
        <v>2331</v>
      </c>
      <c r="F462" s="57">
        <v>3000</v>
      </c>
      <c r="G462" s="76"/>
      <c r="H462" s="57">
        <f t="shared" si="25"/>
        <v>3000</v>
      </c>
      <c r="I462" s="50">
        <v>2</v>
      </c>
      <c r="J462" s="57">
        <f t="shared" si="26"/>
        <v>6000</v>
      </c>
      <c r="K462" s="58">
        <f t="shared" si="27"/>
        <v>6600</v>
      </c>
      <c r="L462" s="18" t="s">
        <v>25</v>
      </c>
      <c r="M462" s="50"/>
    </row>
    <row r="463" spans="1:15" ht="21.75" hidden="1" customHeight="1" x14ac:dyDescent="0.4">
      <c r="A463" s="62">
        <v>45200</v>
      </c>
      <c r="B463" s="32" t="s">
        <v>2332</v>
      </c>
      <c r="C463" s="18" t="s">
        <v>27</v>
      </c>
      <c r="D463" s="63" t="s">
        <v>28</v>
      </c>
      <c r="E463" s="50" t="s">
        <v>318</v>
      </c>
      <c r="F463" s="57">
        <v>15000</v>
      </c>
      <c r="G463" s="76"/>
      <c r="H463" s="57">
        <f t="shared" si="25"/>
        <v>15000</v>
      </c>
      <c r="I463" s="50">
        <v>1</v>
      </c>
      <c r="J463" s="57">
        <f t="shared" si="26"/>
        <v>15000</v>
      </c>
      <c r="K463" s="58">
        <f t="shared" si="27"/>
        <v>16500</v>
      </c>
      <c r="L463" s="18" t="s">
        <v>25</v>
      </c>
      <c r="M463" s="50"/>
    </row>
    <row r="464" spans="1:15" ht="21.75" hidden="1" customHeight="1" x14ac:dyDescent="0.4">
      <c r="A464" s="62">
        <v>45200</v>
      </c>
      <c r="B464" s="32" t="s">
        <v>2332</v>
      </c>
      <c r="C464" s="18" t="s">
        <v>27</v>
      </c>
      <c r="D464" s="63" t="s">
        <v>28</v>
      </c>
      <c r="E464" s="50" t="s">
        <v>2333</v>
      </c>
      <c r="F464" s="57">
        <v>13120</v>
      </c>
      <c r="G464" s="76"/>
      <c r="H464" s="57">
        <f t="shared" si="25"/>
        <v>13120</v>
      </c>
      <c r="I464" s="50">
        <v>1</v>
      </c>
      <c r="J464" s="57">
        <f t="shared" si="26"/>
        <v>13120</v>
      </c>
      <c r="K464" s="58">
        <f t="shared" si="27"/>
        <v>14432</v>
      </c>
      <c r="L464" s="18" t="s">
        <v>25</v>
      </c>
      <c r="M464" s="50"/>
    </row>
    <row r="465" spans="1:15" ht="21.75" hidden="1" customHeight="1" x14ac:dyDescent="0.4">
      <c r="A465" s="62">
        <v>45200</v>
      </c>
      <c r="B465" s="32" t="s">
        <v>1541</v>
      </c>
      <c r="C465" s="18" t="s">
        <v>17</v>
      </c>
      <c r="D465" s="63" t="s">
        <v>2334</v>
      </c>
      <c r="E465" s="50" t="s">
        <v>2335</v>
      </c>
      <c r="F465" s="57">
        <v>2400</v>
      </c>
      <c r="G465" s="76">
        <v>-240</v>
      </c>
      <c r="H465" s="57">
        <f t="shared" si="25"/>
        <v>2160</v>
      </c>
      <c r="I465" s="50">
        <v>1</v>
      </c>
      <c r="J465" s="57">
        <f t="shared" si="26"/>
        <v>2160</v>
      </c>
      <c r="K465" s="58">
        <f t="shared" si="27"/>
        <v>2376</v>
      </c>
      <c r="L465" s="18" t="s">
        <v>2336</v>
      </c>
      <c r="M465" s="50"/>
    </row>
    <row r="466" spans="1:15" ht="21.75" hidden="1" customHeight="1" x14ac:dyDescent="0.4">
      <c r="A466" s="62">
        <v>45201</v>
      </c>
      <c r="B466" s="32" t="s">
        <v>2337</v>
      </c>
      <c r="C466" s="18" t="s">
        <v>22</v>
      </c>
      <c r="D466" s="63" t="s">
        <v>23</v>
      </c>
      <c r="E466" s="50" t="s">
        <v>1941</v>
      </c>
      <c r="F466" s="57">
        <v>15000</v>
      </c>
      <c r="G466" s="76"/>
      <c r="H466" s="57">
        <f t="shared" ref="H466:H528" si="28">SUM(F466:G466)</f>
        <v>15000</v>
      </c>
      <c r="I466" s="50">
        <v>1</v>
      </c>
      <c r="J466" s="57">
        <f t="shared" si="26"/>
        <v>15000</v>
      </c>
      <c r="K466" s="58">
        <f t="shared" si="27"/>
        <v>16500</v>
      </c>
      <c r="L466" s="18" t="s">
        <v>2336</v>
      </c>
      <c r="M466" s="50" t="s">
        <v>1954</v>
      </c>
    </row>
    <row r="467" spans="1:15" ht="21.75" hidden="1" customHeight="1" x14ac:dyDescent="0.4">
      <c r="A467" s="62">
        <v>45201</v>
      </c>
      <c r="B467" s="32" t="s">
        <v>2337</v>
      </c>
      <c r="C467" s="18" t="s">
        <v>2338</v>
      </c>
      <c r="D467" s="63" t="s">
        <v>328</v>
      </c>
      <c r="E467" s="50" t="s">
        <v>2339</v>
      </c>
      <c r="F467" s="57">
        <v>72000</v>
      </c>
      <c r="G467" s="76">
        <v>-14400</v>
      </c>
      <c r="H467" s="57">
        <f t="shared" si="28"/>
        <v>57600</v>
      </c>
      <c r="I467" s="50">
        <v>1</v>
      </c>
      <c r="J467" s="57">
        <f t="shared" si="26"/>
        <v>57600</v>
      </c>
      <c r="K467" s="58">
        <f t="shared" si="27"/>
        <v>63360</v>
      </c>
      <c r="L467" s="18" t="s">
        <v>34</v>
      </c>
      <c r="M467" s="50"/>
    </row>
    <row r="468" spans="1:15" ht="21.75" hidden="1" customHeight="1" x14ac:dyDescent="0.4">
      <c r="A468" s="62">
        <v>45201</v>
      </c>
      <c r="B468" s="32" t="s">
        <v>2337</v>
      </c>
      <c r="C468" s="18" t="s">
        <v>2338</v>
      </c>
      <c r="D468" s="63" t="s">
        <v>328</v>
      </c>
      <c r="E468" s="50" t="s">
        <v>2340</v>
      </c>
      <c r="F468" s="57">
        <v>48000</v>
      </c>
      <c r="G468" s="76">
        <v>-9600</v>
      </c>
      <c r="H468" s="57">
        <f t="shared" si="28"/>
        <v>38400</v>
      </c>
      <c r="I468" s="50">
        <v>1</v>
      </c>
      <c r="J468" s="57">
        <f t="shared" si="26"/>
        <v>38400</v>
      </c>
      <c r="K468" s="58">
        <f t="shared" si="27"/>
        <v>42240</v>
      </c>
      <c r="L468" s="18" t="s">
        <v>34</v>
      </c>
      <c r="M468" s="50"/>
    </row>
    <row r="469" spans="1:15" ht="21.75" hidden="1" customHeight="1" x14ac:dyDescent="0.4">
      <c r="A469" s="62">
        <v>45201</v>
      </c>
      <c r="B469" s="32" t="s">
        <v>2337</v>
      </c>
      <c r="C469" s="18" t="s">
        <v>2338</v>
      </c>
      <c r="D469" s="63" t="s">
        <v>332</v>
      </c>
      <c r="E469" s="50" t="s">
        <v>2341</v>
      </c>
      <c r="F469" s="57">
        <v>1090</v>
      </c>
      <c r="G469" s="76">
        <v>-109</v>
      </c>
      <c r="H469" s="57">
        <f t="shared" si="28"/>
        <v>981</v>
      </c>
      <c r="I469" s="50">
        <v>2</v>
      </c>
      <c r="J469" s="57">
        <f t="shared" si="26"/>
        <v>1962</v>
      </c>
      <c r="K469" s="58">
        <f t="shared" si="27"/>
        <v>2158</v>
      </c>
      <c r="L469" s="18" t="s">
        <v>34</v>
      </c>
      <c r="M469" s="50"/>
    </row>
    <row r="470" spans="1:15" ht="21.75" hidden="1" customHeight="1" x14ac:dyDescent="0.4">
      <c r="A470" s="62">
        <v>45201</v>
      </c>
      <c r="B470" s="32" t="s">
        <v>2342</v>
      </c>
      <c r="C470" s="18" t="s">
        <v>22</v>
      </c>
      <c r="D470" s="63" t="s">
        <v>1496</v>
      </c>
      <c r="E470" s="50" t="s">
        <v>369</v>
      </c>
      <c r="F470" s="57">
        <v>3000</v>
      </c>
      <c r="G470" s="76"/>
      <c r="H470" s="57">
        <f t="shared" si="28"/>
        <v>3000</v>
      </c>
      <c r="I470" s="50">
        <v>1</v>
      </c>
      <c r="J470" s="57">
        <f t="shared" si="26"/>
        <v>3000</v>
      </c>
      <c r="K470" s="58">
        <f t="shared" si="27"/>
        <v>3300</v>
      </c>
      <c r="L470" s="18" t="s">
        <v>25</v>
      </c>
      <c r="M470" s="498" t="s">
        <v>2344</v>
      </c>
      <c r="N470" s="164"/>
      <c r="O470" s="164"/>
    </row>
    <row r="471" spans="1:15" ht="21.75" hidden="1" customHeight="1" x14ac:dyDescent="0.4">
      <c r="A471" s="62">
        <v>45201</v>
      </c>
      <c r="B471" s="32" t="s">
        <v>2343</v>
      </c>
      <c r="C471" s="18" t="s">
        <v>22</v>
      </c>
      <c r="D471" s="63" t="s">
        <v>1496</v>
      </c>
      <c r="E471" s="50" t="s">
        <v>369</v>
      </c>
      <c r="F471" s="57">
        <v>3000</v>
      </c>
      <c r="G471" s="76"/>
      <c r="H471" s="57">
        <f t="shared" si="28"/>
        <v>3000</v>
      </c>
      <c r="I471" s="50">
        <v>1</v>
      </c>
      <c r="J471" s="57">
        <f t="shared" si="26"/>
        <v>3000</v>
      </c>
      <c r="K471" s="58">
        <f t="shared" si="27"/>
        <v>3300</v>
      </c>
      <c r="L471" s="18" t="s">
        <v>25</v>
      </c>
      <c r="M471" s="491"/>
      <c r="N471" s="93"/>
      <c r="O471" s="93"/>
    </row>
    <row r="472" spans="1:15" ht="21.75" hidden="1" customHeight="1" x14ac:dyDescent="0.4">
      <c r="A472" s="62">
        <v>45201</v>
      </c>
      <c r="B472" s="32" t="s">
        <v>2342</v>
      </c>
      <c r="C472" s="18" t="s">
        <v>2338</v>
      </c>
      <c r="D472" s="63" t="s">
        <v>2345</v>
      </c>
      <c r="E472" s="50" t="s">
        <v>2347</v>
      </c>
      <c r="F472" s="57">
        <v>1700</v>
      </c>
      <c r="G472" s="76"/>
      <c r="H472" s="57">
        <f t="shared" si="28"/>
        <v>1700</v>
      </c>
      <c r="I472" s="50">
        <v>2</v>
      </c>
      <c r="J472" s="57">
        <f t="shared" si="26"/>
        <v>3400</v>
      </c>
      <c r="K472" s="58">
        <f t="shared" si="27"/>
        <v>3740</v>
      </c>
      <c r="L472" s="18" t="s">
        <v>25</v>
      </c>
      <c r="M472" s="50"/>
    </row>
    <row r="473" spans="1:15" ht="21.75" hidden="1" customHeight="1" x14ac:dyDescent="0.4">
      <c r="A473" s="62">
        <v>45201</v>
      </c>
      <c r="B473" s="32" t="s">
        <v>2346</v>
      </c>
      <c r="C473" s="18" t="s">
        <v>2338</v>
      </c>
      <c r="D473" s="63" t="s">
        <v>2345</v>
      </c>
      <c r="E473" s="50" t="s">
        <v>2347</v>
      </c>
      <c r="F473" s="57">
        <v>1700</v>
      </c>
      <c r="G473" s="76">
        <v>-170</v>
      </c>
      <c r="H473" s="57">
        <f t="shared" si="28"/>
        <v>1530</v>
      </c>
      <c r="I473" s="50">
        <v>1</v>
      </c>
      <c r="J473" s="57">
        <f t="shared" si="26"/>
        <v>1530</v>
      </c>
      <c r="K473" s="58">
        <f t="shared" si="27"/>
        <v>1683</v>
      </c>
      <c r="L473" s="18" t="s">
        <v>2336</v>
      </c>
      <c r="M473" s="50"/>
    </row>
    <row r="474" spans="1:15" ht="21.75" hidden="1" customHeight="1" x14ac:dyDescent="0.4">
      <c r="A474" s="62">
        <v>45202</v>
      </c>
      <c r="B474" s="32" t="s">
        <v>2348</v>
      </c>
      <c r="C474" s="18" t="s">
        <v>2338</v>
      </c>
      <c r="D474" s="63" t="s">
        <v>2349</v>
      </c>
      <c r="E474" s="50" t="s">
        <v>2350</v>
      </c>
      <c r="F474" s="57">
        <v>5800</v>
      </c>
      <c r="G474" s="76">
        <v>-1740</v>
      </c>
      <c r="H474" s="57">
        <f t="shared" si="28"/>
        <v>4060</v>
      </c>
      <c r="I474" s="50">
        <v>5</v>
      </c>
      <c r="J474" s="57">
        <f t="shared" si="26"/>
        <v>20300</v>
      </c>
      <c r="K474" s="58">
        <f t="shared" si="27"/>
        <v>22330</v>
      </c>
      <c r="L474" s="18" t="s">
        <v>25</v>
      </c>
      <c r="M474" s="50"/>
    </row>
    <row r="475" spans="1:15" ht="21.75" hidden="1" customHeight="1" x14ac:dyDescent="0.4">
      <c r="A475" s="62">
        <v>45202</v>
      </c>
      <c r="B475" s="32" t="s">
        <v>2348</v>
      </c>
      <c r="C475" s="18" t="s">
        <v>2338</v>
      </c>
      <c r="D475" s="63" t="s">
        <v>2351</v>
      </c>
      <c r="E475" s="50" t="s">
        <v>2352</v>
      </c>
      <c r="F475" s="57">
        <v>1000</v>
      </c>
      <c r="G475" s="76">
        <v>-350</v>
      </c>
      <c r="H475" s="57">
        <f t="shared" si="28"/>
        <v>650</v>
      </c>
      <c r="I475" s="50">
        <v>2</v>
      </c>
      <c r="J475" s="57">
        <f t="shared" si="26"/>
        <v>1300</v>
      </c>
      <c r="K475" s="58">
        <f t="shared" si="27"/>
        <v>1430</v>
      </c>
      <c r="L475" s="18" t="s">
        <v>25</v>
      </c>
      <c r="M475" s="50"/>
    </row>
    <row r="476" spans="1:15" ht="21.75" hidden="1" customHeight="1" x14ac:dyDescent="0.4">
      <c r="A476" s="62">
        <v>45203</v>
      </c>
      <c r="B476" s="32" t="s">
        <v>167</v>
      </c>
      <c r="C476" s="18" t="s">
        <v>2338</v>
      </c>
      <c r="D476" s="63" t="s">
        <v>332</v>
      </c>
      <c r="E476" s="50" t="s">
        <v>2353</v>
      </c>
      <c r="F476" s="57">
        <v>1800</v>
      </c>
      <c r="G476" s="76">
        <v>-180</v>
      </c>
      <c r="H476" s="57">
        <f t="shared" si="28"/>
        <v>1620</v>
      </c>
      <c r="I476" s="50">
        <v>1</v>
      </c>
      <c r="J476" s="57">
        <f t="shared" si="26"/>
        <v>1620</v>
      </c>
      <c r="K476" s="58">
        <f t="shared" si="27"/>
        <v>1782</v>
      </c>
      <c r="L476" s="18" t="s">
        <v>2336</v>
      </c>
      <c r="M476" s="50"/>
    </row>
    <row r="477" spans="1:15" ht="21.75" hidden="1" customHeight="1" x14ac:dyDescent="0.4">
      <c r="A477" s="62">
        <v>45205</v>
      </c>
      <c r="B477" s="32" t="s">
        <v>2354</v>
      </c>
      <c r="C477" s="18" t="s">
        <v>22</v>
      </c>
      <c r="D477" s="63" t="s">
        <v>1496</v>
      </c>
      <c r="E477" s="50" t="s">
        <v>369</v>
      </c>
      <c r="F477" s="57">
        <v>3000</v>
      </c>
      <c r="G477" s="76"/>
      <c r="H477" s="57">
        <f t="shared" si="28"/>
        <v>3000</v>
      </c>
      <c r="I477" s="50">
        <v>1</v>
      </c>
      <c r="J477" s="57">
        <f t="shared" si="26"/>
        <v>3000</v>
      </c>
      <c r="K477" s="58">
        <f t="shared" si="27"/>
        <v>3300</v>
      </c>
      <c r="L477" s="18" t="s">
        <v>25</v>
      </c>
      <c r="M477" s="50" t="s">
        <v>1954</v>
      </c>
    </row>
    <row r="478" spans="1:15" ht="21.75" hidden="1" customHeight="1" x14ac:dyDescent="0.4">
      <c r="A478" s="62">
        <v>45205</v>
      </c>
      <c r="B478" s="32" t="s">
        <v>1401</v>
      </c>
      <c r="C478" s="18" t="s">
        <v>27</v>
      </c>
      <c r="D478" s="63" t="s">
        <v>103</v>
      </c>
      <c r="E478" s="50" t="s">
        <v>2355</v>
      </c>
      <c r="F478" s="57">
        <v>2500</v>
      </c>
      <c r="G478" s="76"/>
      <c r="H478" s="57">
        <f t="shared" si="28"/>
        <v>2500</v>
      </c>
      <c r="I478" s="50">
        <v>2</v>
      </c>
      <c r="J478" s="57">
        <f t="shared" si="26"/>
        <v>5000</v>
      </c>
      <c r="K478" s="58">
        <f t="shared" si="27"/>
        <v>5500</v>
      </c>
      <c r="L478" s="18" t="s">
        <v>25</v>
      </c>
      <c r="M478" s="50"/>
    </row>
    <row r="479" spans="1:15" ht="21.75" hidden="1" customHeight="1" x14ac:dyDescent="0.4">
      <c r="A479" s="62">
        <v>45205</v>
      </c>
      <c r="B479" s="32" t="s">
        <v>1401</v>
      </c>
      <c r="C479" s="18" t="s">
        <v>2338</v>
      </c>
      <c r="D479" s="63" t="s">
        <v>332</v>
      </c>
      <c r="E479" s="50" t="s">
        <v>2356</v>
      </c>
      <c r="F479" s="57">
        <v>1200</v>
      </c>
      <c r="G479" s="76">
        <v>-120</v>
      </c>
      <c r="H479" s="57">
        <f t="shared" si="28"/>
        <v>1080</v>
      </c>
      <c r="I479" s="50">
        <v>2</v>
      </c>
      <c r="J479" s="57">
        <f t="shared" si="26"/>
        <v>2160</v>
      </c>
      <c r="K479" s="58">
        <f t="shared" si="27"/>
        <v>2376</v>
      </c>
      <c r="L479" s="18" t="s">
        <v>25</v>
      </c>
      <c r="M479" s="50"/>
    </row>
    <row r="480" spans="1:15" ht="21.75" hidden="1" customHeight="1" x14ac:dyDescent="0.4">
      <c r="A480" s="62">
        <v>45205</v>
      </c>
      <c r="B480" s="32" t="s">
        <v>179</v>
      </c>
      <c r="C480" s="18" t="s">
        <v>2338</v>
      </c>
      <c r="D480" s="63" t="s">
        <v>332</v>
      </c>
      <c r="E480" s="50" t="s">
        <v>2357</v>
      </c>
      <c r="F480" s="57">
        <v>1600</v>
      </c>
      <c r="G480" s="76">
        <v>-160</v>
      </c>
      <c r="H480" s="57">
        <f t="shared" si="28"/>
        <v>1440</v>
      </c>
      <c r="I480" s="50">
        <v>1</v>
      </c>
      <c r="J480" s="57">
        <f t="shared" si="26"/>
        <v>1440</v>
      </c>
      <c r="K480" s="58">
        <f t="shared" si="27"/>
        <v>1584</v>
      </c>
      <c r="L480" s="18" t="s">
        <v>2336</v>
      </c>
      <c r="M480" s="50"/>
    </row>
    <row r="481" spans="1:13" ht="21.75" hidden="1" customHeight="1" x14ac:dyDescent="0.4">
      <c r="A481" s="62">
        <v>45205</v>
      </c>
      <c r="B481" s="32" t="s">
        <v>2358</v>
      </c>
      <c r="C481" s="18" t="s">
        <v>2338</v>
      </c>
      <c r="D481" s="63" t="s">
        <v>332</v>
      </c>
      <c r="E481" s="50" t="s">
        <v>2359</v>
      </c>
      <c r="F481" s="57">
        <v>1600</v>
      </c>
      <c r="G481" s="76">
        <v>-160</v>
      </c>
      <c r="H481" s="57">
        <f t="shared" si="28"/>
        <v>1440</v>
      </c>
      <c r="I481" s="50">
        <v>2</v>
      </c>
      <c r="J481" s="57">
        <f t="shared" si="26"/>
        <v>2880</v>
      </c>
      <c r="K481" s="58">
        <f t="shared" si="27"/>
        <v>3168</v>
      </c>
      <c r="L481" s="18" t="s">
        <v>2336</v>
      </c>
      <c r="M481" s="50"/>
    </row>
    <row r="482" spans="1:13" ht="21.75" hidden="1" customHeight="1" x14ac:dyDescent="0.4">
      <c r="A482" s="62">
        <v>45206</v>
      </c>
      <c r="B482" s="32" t="s">
        <v>678</v>
      </c>
      <c r="C482" s="18" t="s">
        <v>2338</v>
      </c>
      <c r="D482" s="63" t="s">
        <v>2360</v>
      </c>
      <c r="E482" s="50" t="s">
        <v>2361</v>
      </c>
      <c r="F482" s="57">
        <v>3000</v>
      </c>
      <c r="G482" s="76"/>
      <c r="H482" s="57">
        <f t="shared" si="28"/>
        <v>3000</v>
      </c>
      <c r="I482" s="50">
        <v>1</v>
      </c>
      <c r="J482" s="57">
        <f t="shared" si="26"/>
        <v>3000</v>
      </c>
      <c r="K482" s="58">
        <f t="shared" si="27"/>
        <v>3300</v>
      </c>
      <c r="L482" s="18" t="s">
        <v>2336</v>
      </c>
      <c r="M482" s="50"/>
    </row>
    <row r="483" spans="1:13" ht="21.75" hidden="1" customHeight="1" x14ac:dyDescent="0.4">
      <c r="A483" s="62">
        <v>45206</v>
      </c>
      <c r="B483" s="32" t="s">
        <v>2197</v>
      </c>
      <c r="C483" s="18" t="s">
        <v>2338</v>
      </c>
      <c r="D483" s="63" t="s">
        <v>328</v>
      </c>
      <c r="E483" s="50" t="s">
        <v>2362</v>
      </c>
      <c r="F483" s="57">
        <v>2960</v>
      </c>
      <c r="G483" s="76">
        <v>-296</v>
      </c>
      <c r="H483" s="57">
        <f t="shared" si="28"/>
        <v>2664</v>
      </c>
      <c r="I483" s="50">
        <v>1</v>
      </c>
      <c r="J483" s="57">
        <f t="shared" si="26"/>
        <v>2664</v>
      </c>
      <c r="K483" s="58">
        <f t="shared" si="27"/>
        <v>2930</v>
      </c>
      <c r="L483" s="18" t="s">
        <v>2336</v>
      </c>
      <c r="M483" s="50"/>
    </row>
    <row r="484" spans="1:13" ht="21.75" hidden="1" customHeight="1" x14ac:dyDescent="0.4">
      <c r="A484" s="62">
        <v>45207</v>
      </c>
      <c r="B484" s="32" t="s">
        <v>2363</v>
      </c>
      <c r="C484" s="18" t="s">
        <v>22</v>
      </c>
      <c r="D484" s="63" t="s">
        <v>1496</v>
      </c>
      <c r="E484" s="50" t="s">
        <v>369</v>
      </c>
      <c r="F484" s="57">
        <v>3000</v>
      </c>
      <c r="G484" s="76"/>
      <c r="H484" s="57">
        <f t="shared" si="28"/>
        <v>3000</v>
      </c>
      <c r="I484" s="50">
        <v>1</v>
      </c>
      <c r="J484" s="57">
        <f t="shared" si="26"/>
        <v>3000</v>
      </c>
      <c r="K484" s="58">
        <f t="shared" si="27"/>
        <v>3300</v>
      </c>
      <c r="L484" s="18" t="s">
        <v>2336</v>
      </c>
      <c r="M484" s="50" t="s">
        <v>1954</v>
      </c>
    </row>
    <row r="485" spans="1:13" ht="21.75" hidden="1" customHeight="1" x14ac:dyDescent="0.4">
      <c r="A485" s="62">
        <v>45207</v>
      </c>
      <c r="B485" s="32" t="s">
        <v>2364</v>
      </c>
      <c r="C485" s="18" t="s">
        <v>2338</v>
      </c>
      <c r="D485" s="63" t="s">
        <v>2349</v>
      </c>
      <c r="E485" s="50" t="s">
        <v>2365</v>
      </c>
      <c r="F485" s="57">
        <v>5500</v>
      </c>
      <c r="G485" s="76"/>
      <c r="H485" s="57">
        <f t="shared" si="28"/>
        <v>5500</v>
      </c>
      <c r="I485" s="50">
        <v>1</v>
      </c>
      <c r="J485" s="57">
        <f t="shared" si="26"/>
        <v>5500</v>
      </c>
      <c r="K485" s="58">
        <f t="shared" si="27"/>
        <v>6050</v>
      </c>
      <c r="L485" s="18" t="s">
        <v>25</v>
      </c>
      <c r="M485" s="50"/>
    </row>
    <row r="486" spans="1:13" ht="21.75" hidden="1" customHeight="1" x14ac:dyDescent="0.4">
      <c r="A486" s="62">
        <v>45207</v>
      </c>
      <c r="B486" s="32" t="s">
        <v>2363</v>
      </c>
      <c r="C486" s="18" t="s">
        <v>27</v>
      </c>
      <c r="D486" s="63" t="s">
        <v>28</v>
      </c>
      <c r="E486" s="50" t="s">
        <v>318</v>
      </c>
      <c r="F486" s="57">
        <v>15000</v>
      </c>
      <c r="G486" s="76"/>
      <c r="H486" s="57">
        <f t="shared" si="28"/>
        <v>15000</v>
      </c>
      <c r="I486" s="50">
        <v>1</v>
      </c>
      <c r="J486" s="57">
        <f t="shared" si="26"/>
        <v>15000</v>
      </c>
      <c r="K486" s="58">
        <f t="shared" si="27"/>
        <v>16500</v>
      </c>
      <c r="L486" s="18" t="s">
        <v>2336</v>
      </c>
      <c r="M486" s="50"/>
    </row>
    <row r="487" spans="1:13" ht="21.75" hidden="1" customHeight="1" x14ac:dyDescent="0.4">
      <c r="A487" s="62">
        <v>45207</v>
      </c>
      <c r="B487" s="32" t="s">
        <v>2363</v>
      </c>
      <c r="C487" s="18" t="s">
        <v>27</v>
      </c>
      <c r="D487" s="63" t="s">
        <v>28</v>
      </c>
      <c r="E487" s="50" t="s">
        <v>2367</v>
      </c>
      <c r="F487" s="57">
        <v>8750</v>
      </c>
      <c r="G487" s="76"/>
      <c r="H487" s="57">
        <f t="shared" si="28"/>
        <v>8750</v>
      </c>
      <c r="I487" s="50">
        <v>1</v>
      </c>
      <c r="J487" s="57">
        <f t="shared" ref="J487:J560" si="29">SUM(H487*I487)</f>
        <v>8750</v>
      </c>
      <c r="K487" s="58">
        <f t="shared" ref="K487:K560" si="30">ROUNDDOWN(J487*1.1,0)</f>
        <v>9625</v>
      </c>
      <c r="L487" s="18" t="s">
        <v>2336</v>
      </c>
      <c r="M487" s="50"/>
    </row>
    <row r="488" spans="1:13" ht="21.75" hidden="1" customHeight="1" x14ac:dyDescent="0.4">
      <c r="A488" s="62">
        <v>45207</v>
      </c>
      <c r="B488" s="32" t="s">
        <v>2368</v>
      </c>
      <c r="C488" s="18" t="s">
        <v>27</v>
      </c>
      <c r="D488" s="63" t="s">
        <v>28</v>
      </c>
      <c r="E488" s="50" t="s">
        <v>73</v>
      </c>
      <c r="F488" s="57">
        <v>2000</v>
      </c>
      <c r="G488" s="76"/>
      <c r="H488" s="57">
        <f t="shared" si="28"/>
        <v>2000</v>
      </c>
      <c r="I488" s="50">
        <v>1</v>
      </c>
      <c r="J488" s="57">
        <f t="shared" si="29"/>
        <v>2000</v>
      </c>
      <c r="K488" s="58">
        <f t="shared" si="30"/>
        <v>2200</v>
      </c>
      <c r="L488" s="18" t="s">
        <v>25</v>
      </c>
      <c r="M488" s="50"/>
    </row>
    <row r="489" spans="1:13" ht="21.75" hidden="1" customHeight="1" x14ac:dyDescent="0.4">
      <c r="A489" s="62">
        <v>45207</v>
      </c>
      <c r="B489" s="32" t="s">
        <v>179</v>
      </c>
      <c r="C489" s="18" t="s">
        <v>2338</v>
      </c>
      <c r="D489" s="63" t="s">
        <v>332</v>
      </c>
      <c r="E489" s="50" t="s">
        <v>2357</v>
      </c>
      <c r="F489" s="57">
        <v>1600</v>
      </c>
      <c r="G489" s="76">
        <v>-160</v>
      </c>
      <c r="H489" s="57">
        <f t="shared" si="28"/>
        <v>1440</v>
      </c>
      <c r="I489" s="50">
        <v>2</v>
      </c>
      <c r="J489" s="57">
        <f t="shared" si="29"/>
        <v>2880</v>
      </c>
      <c r="K489" s="58">
        <f t="shared" si="30"/>
        <v>3168</v>
      </c>
      <c r="L489" s="18" t="s">
        <v>2336</v>
      </c>
      <c r="M489" s="50"/>
    </row>
    <row r="490" spans="1:13" ht="21.75" hidden="1" customHeight="1" x14ac:dyDescent="0.4">
      <c r="A490" s="62">
        <v>45207</v>
      </c>
      <c r="B490" s="32" t="s">
        <v>2369</v>
      </c>
      <c r="C490" s="18" t="s">
        <v>2338</v>
      </c>
      <c r="D490" s="63" t="s">
        <v>328</v>
      </c>
      <c r="E490" s="50" t="s">
        <v>2370</v>
      </c>
      <c r="F490" s="57">
        <v>4750</v>
      </c>
      <c r="G490" s="76"/>
      <c r="H490" s="57">
        <f t="shared" si="28"/>
        <v>4750</v>
      </c>
      <c r="I490" s="50">
        <v>1</v>
      </c>
      <c r="J490" s="57">
        <f t="shared" si="29"/>
        <v>4750</v>
      </c>
      <c r="K490" s="58">
        <f t="shared" si="30"/>
        <v>5225</v>
      </c>
      <c r="L490" s="18" t="s">
        <v>2336</v>
      </c>
      <c r="M490" s="50"/>
    </row>
    <row r="491" spans="1:13" ht="21.75" hidden="1" customHeight="1" x14ac:dyDescent="0.4">
      <c r="A491" s="62">
        <v>45207</v>
      </c>
      <c r="B491" s="32" t="s">
        <v>2369</v>
      </c>
      <c r="C491" s="18" t="s">
        <v>2338</v>
      </c>
      <c r="D491" s="63" t="s">
        <v>332</v>
      </c>
      <c r="E491" s="50" t="s">
        <v>2371</v>
      </c>
      <c r="F491" s="57">
        <v>3800</v>
      </c>
      <c r="G491" s="76">
        <v>-1900</v>
      </c>
      <c r="H491" s="57">
        <f t="shared" si="28"/>
        <v>1900</v>
      </c>
      <c r="I491" s="50">
        <v>1</v>
      </c>
      <c r="J491" s="57">
        <f t="shared" si="29"/>
        <v>1900</v>
      </c>
      <c r="K491" s="58">
        <f t="shared" si="30"/>
        <v>2090</v>
      </c>
      <c r="L491" s="18" t="s">
        <v>2336</v>
      </c>
      <c r="M491" s="50"/>
    </row>
    <row r="492" spans="1:13" ht="21.75" hidden="1" customHeight="1" x14ac:dyDescent="0.4">
      <c r="A492" s="62">
        <v>45207</v>
      </c>
      <c r="B492" s="32" t="s">
        <v>2372</v>
      </c>
      <c r="C492" s="18" t="s">
        <v>27</v>
      </c>
      <c r="D492" s="63" t="s">
        <v>28</v>
      </c>
      <c r="E492" s="50" t="s">
        <v>318</v>
      </c>
      <c r="F492" s="57">
        <v>15000</v>
      </c>
      <c r="G492" s="76"/>
      <c r="H492" s="57">
        <f t="shared" si="28"/>
        <v>15000</v>
      </c>
      <c r="I492" s="50">
        <v>1</v>
      </c>
      <c r="J492" s="57">
        <f t="shared" si="29"/>
        <v>15000</v>
      </c>
      <c r="K492" s="58">
        <f t="shared" si="30"/>
        <v>16500</v>
      </c>
      <c r="L492" s="18" t="s">
        <v>2336</v>
      </c>
      <c r="M492" s="50"/>
    </row>
    <row r="493" spans="1:13" ht="21.75" hidden="1" customHeight="1" x14ac:dyDescent="0.4">
      <c r="A493" s="62">
        <v>45207</v>
      </c>
      <c r="B493" s="32" t="s">
        <v>2372</v>
      </c>
      <c r="C493" s="18" t="s">
        <v>27</v>
      </c>
      <c r="D493" s="63" t="s">
        <v>28</v>
      </c>
      <c r="E493" s="50" t="s">
        <v>2366</v>
      </c>
      <c r="F493" s="57">
        <v>8750</v>
      </c>
      <c r="G493" s="76"/>
      <c r="H493" s="57">
        <f t="shared" si="28"/>
        <v>8750</v>
      </c>
      <c r="I493" s="50">
        <v>1</v>
      </c>
      <c r="J493" s="57">
        <f t="shared" si="29"/>
        <v>8750</v>
      </c>
      <c r="K493" s="58">
        <f t="shared" si="30"/>
        <v>9625</v>
      </c>
      <c r="L493" s="18" t="s">
        <v>2336</v>
      </c>
      <c r="M493" s="50"/>
    </row>
    <row r="494" spans="1:13" ht="21.75" hidden="1" customHeight="1" x14ac:dyDescent="0.4">
      <c r="A494" s="62">
        <v>45207</v>
      </c>
      <c r="B494" s="32" t="s">
        <v>405</v>
      </c>
      <c r="C494" s="18" t="s">
        <v>2338</v>
      </c>
      <c r="D494" s="63" t="s">
        <v>332</v>
      </c>
      <c r="E494" s="50" t="s">
        <v>2373</v>
      </c>
      <c r="F494" s="57">
        <v>1090</v>
      </c>
      <c r="G494" s="76"/>
      <c r="H494" s="57">
        <f t="shared" si="28"/>
        <v>1090</v>
      </c>
      <c r="I494" s="50">
        <v>1</v>
      </c>
      <c r="J494" s="57">
        <f t="shared" si="29"/>
        <v>1090</v>
      </c>
      <c r="K494" s="58">
        <f t="shared" si="30"/>
        <v>1199</v>
      </c>
      <c r="L494" s="18" t="s">
        <v>25</v>
      </c>
      <c r="M494" s="50"/>
    </row>
    <row r="495" spans="1:13" ht="21.75" hidden="1" customHeight="1" x14ac:dyDescent="0.4">
      <c r="A495" s="62">
        <v>45207</v>
      </c>
      <c r="B495" s="32" t="s">
        <v>2374</v>
      </c>
      <c r="C495" s="18" t="s">
        <v>27</v>
      </c>
      <c r="D495" s="63" t="s">
        <v>28</v>
      </c>
      <c r="E495" s="50" t="s">
        <v>73</v>
      </c>
      <c r="F495" s="57">
        <v>2000</v>
      </c>
      <c r="G495" s="76"/>
      <c r="H495" s="57">
        <f t="shared" si="28"/>
        <v>2000</v>
      </c>
      <c r="I495" s="50">
        <v>1</v>
      </c>
      <c r="J495" s="57">
        <f t="shared" si="29"/>
        <v>2000</v>
      </c>
      <c r="K495" s="58">
        <f t="shared" si="30"/>
        <v>2200</v>
      </c>
      <c r="L495" s="18" t="s">
        <v>25</v>
      </c>
      <c r="M495" s="50"/>
    </row>
    <row r="496" spans="1:13" ht="21.75" hidden="1" customHeight="1" x14ac:dyDescent="0.4">
      <c r="A496" s="62">
        <v>45207</v>
      </c>
      <c r="B496" s="32" t="s">
        <v>2375</v>
      </c>
      <c r="C496" s="18" t="s">
        <v>22</v>
      </c>
      <c r="D496" s="63" t="s">
        <v>23</v>
      </c>
      <c r="E496" s="50" t="s">
        <v>2376</v>
      </c>
      <c r="F496" s="57">
        <v>13500</v>
      </c>
      <c r="G496" s="76"/>
      <c r="H496" s="57">
        <f t="shared" si="28"/>
        <v>13500</v>
      </c>
      <c r="I496" s="50">
        <v>1</v>
      </c>
      <c r="J496" s="57">
        <f t="shared" si="29"/>
        <v>13500</v>
      </c>
      <c r="K496" s="58">
        <f t="shared" si="30"/>
        <v>14850</v>
      </c>
      <c r="L496" s="18" t="s">
        <v>2336</v>
      </c>
      <c r="M496" s="50" t="s">
        <v>2377</v>
      </c>
    </row>
    <row r="497" spans="1:13" ht="21.75" hidden="1" customHeight="1" x14ac:dyDescent="0.4">
      <c r="A497" s="62">
        <v>45208</v>
      </c>
      <c r="B497" s="32" t="s">
        <v>1269</v>
      </c>
      <c r="C497" s="18" t="s">
        <v>2338</v>
      </c>
      <c r="D497" s="63" t="s">
        <v>332</v>
      </c>
      <c r="E497" s="50" t="s">
        <v>2378</v>
      </c>
      <c r="F497" s="57">
        <v>2000</v>
      </c>
      <c r="G497" s="76">
        <v>-200</v>
      </c>
      <c r="H497" s="57">
        <f t="shared" si="28"/>
        <v>1800</v>
      </c>
      <c r="I497" s="50">
        <v>1</v>
      </c>
      <c r="J497" s="57">
        <f t="shared" si="29"/>
        <v>1800</v>
      </c>
      <c r="K497" s="58">
        <f t="shared" si="30"/>
        <v>1980</v>
      </c>
      <c r="L497" s="18" t="s">
        <v>25</v>
      </c>
      <c r="M497" s="50"/>
    </row>
    <row r="498" spans="1:13" ht="21.75" hidden="1" customHeight="1" x14ac:dyDescent="0.4">
      <c r="A498" s="62">
        <v>45208</v>
      </c>
      <c r="B498" s="32" t="s">
        <v>1269</v>
      </c>
      <c r="C498" s="18" t="s">
        <v>2338</v>
      </c>
      <c r="D498" s="63" t="s">
        <v>332</v>
      </c>
      <c r="E498" s="50" t="s">
        <v>2379</v>
      </c>
      <c r="F498" s="57">
        <v>1450</v>
      </c>
      <c r="G498" s="76">
        <v>-145</v>
      </c>
      <c r="H498" s="57">
        <f t="shared" si="28"/>
        <v>1305</v>
      </c>
      <c r="I498" s="50">
        <v>1</v>
      </c>
      <c r="J498" s="57">
        <f t="shared" si="29"/>
        <v>1305</v>
      </c>
      <c r="K498" s="58">
        <f t="shared" si="30"/>
        <v>1435</v>
      </c>
      <c r="L498" s="18" t="s">
        <v>25</v>
      </c>
      <c r="M498" s="50"/>
    </row>
    <row r="499" spans="1:13" ht="21.75" hidden="1" customHeight="1" x14ac:dyDescent="0.4">
      <c r="A499" s="62">
        <v>45208</v>
      </c>
      <c r="B499" s="32" t="s">
        <v>162</v>
      </c>
      <c r="C499" s="18" t="s">
        <v>27</v>
      </c>
      <c r="D499" s="63" t="s">
        <v>28</v>
      </c>
      <c r="E499" s="50" t="s">
        <v>1810</v>
      </c>
      <c r="F499" s="57">
        <v>2500</v>
      </c>
      <c r="G499" s="76"/>
      <c r="H499" s="57">
        <f t="shared" si="28"/>
        <v>2500</v>
      </c>
      <c r="I499" s="50">
        <v>1</v>
      </c>
      <c r="J499" s="57">
        <f t="shared" si="29"/>
        <v>2500</v>
      </c>
      <c r="K499" s="58">
        <f t="shared" si="30"/>
        <v>2750</v>
      </c>
      <c r="L499" s="18" t="s">
        <v>2336</v>
      </c>
      <c r="M499" s="50"/>
    </row>
    <row r="500" spans="1:13" ht="21.75" hidden="1" customHeight="1" x14ac:dyDescent="0.4">
      <c r="A500" s="62">
        <v>45208</v>
      </c>
      <c r="B500" s="32" t="s">
        <v>162</v>
      </c>
      <c r="C500" s="18" t="s">
        <v>27</v>
      </c>
      <c r="D500" s="63" t="s">
        <v>28</v>
      </c>
      <c r="E500" s="50" t="s">
        <v>73</v>
      </c>
      <c r="F500" s="57">
        <v>2000</v>
      </c>
      <c r="G500" s="76"/>
      <c r="H500" s="57">
        <f t="shared" si="28"/>
        <v>2000</v>
      </c>
      <c r="I500" s="50">
        <v>1</v>
      </c>
      <c r="J500" s="57">
        <f t="shared" si="29"/>
        <v>2000</v>
      </c>
      <c r="K500" s="58">
        <f t="shared" si="30"/>
        <v>2200</v>
      </c>
      <c r="L500" s="18" t="s">
        <v>2336</v>
      </c>
      <c r="M500" s="50"/>
    </row>
    <row r="501" spans="1:13" ht="21.75" hidden="1" customHeight="1" x14ac:dyDescent="0.4">
      <c r="A501" s="62">
        <v>45208</v>
      </c>
      <c r="B501" s="32" t="s">
        <v>503</v>
      </c>
      <c r="C501" s="18" t="s">
        <v>2338</v>
      </c>
      <c r="D501" s="63" t="s">
        <v>328</v>
      </c>
      <c r="E501" s="50" t="s">
        <v>2380</v>
      </c>
      <c r="F501" s="57">
        <v>50000</v>
      </c>
      <c r="G501" s="76">
        <v>-5000</v>
      </c>
      <c r="H501" s="57">
        <f t="shared" si="28"/>
        <v>45000</v>
      </c>
      <c r="I501" s="50">
        <v>1</v>
      </c>
      <c r="J501" s="57">
        <f t="shared" si="29"/>
        <v>45000</v>
      </c>
      <c r="K501" s="58">
        <f t="shared" si="30"/>
        <v>49500</v>
      </c>
      <c r="L501" s="18" t="s">
        <v>34</v>
      </c>
      <c r="M501" s="50"/>
    </row>
    <row r="502" spans="1:13" ht="21.75" hidden="1" customHeight="1" x14ac:dyDescent="0.4">
      <c r="A502" s="62">
        <v>45208</v>
      </c>
      <c r="B502" s="32" t="s">
        <v>503</v>
      </c>
      <c r="C502" s="18" t="s">
        <v>2338</v>
      </c>
      <c r="D502" s="63" t="s">
        <v>332</v>
      </c>
      <c r="E502" s="106" t="s">
        <v>2381</v>
      </c>
      <c r="F502" s="57">
        <v>2700</v>
      </c>
      <c r="G502" s="76">
        <v>-270</v>
      </c>
      <c r="H502" s="57">
        <f t="shared" si="28"/>
        <v>2430</v>
      </c>
      <c r="I502" s="50">
        <v>6</v>
      </c>
      <c r="J502" s="57">
        <f t="shared" si="29"/>
        <v>14580</v>
      </c>
      <c r="K502" s="58">
        <f t="shared" si="30"/>
        <v>16038</v>
      </c>
      <c r="L502" s="18" t="s">
        <v>34</v>
      </c>
      <c r="M502" s="50"/>
    </row>
    <row r="503" spans="1:13" ht="21.75" hidden="1" customHeight="1" x14ac:dyDescent="0.4">
      <c r="A503" s="62">
        <v>45208</v>
      </c>
      <c r="B503" s="32" t="s">
        <v>503</v>
      </c>
      <c r="C503" s="18" t="s">
        <v>2338</v>
      </c>
      <c r="D503" s="63" t="s">
        <v>332</v>
      </c>
      <c r="E503" s="50" t="s">
        <v>2382</v>
      </c>
      <c r="F503" s="57">
        <v>2400</v>
      </c>
      <c r="G503" s="76">
        <v>-240</v>
      </c>
      <c r="H503" s="57">
        <f t="shared" si="28"/>
        <v>2160</v>
      </c>
      <c r="I503" s="50">
        <v>1</v>
      </c>
      <c r="J503" s="57">
        <f t="shared" si="29"/>
        <v>2160</v>
      </c>
      <c r="K503" s="58">
        <f t="shared" si="30"/>
        <v>2376</v>
      </c>
      <c r="L503" s="18" t="s">
        <v>34</v>
      </c>
      <c r="M503" s="50"/>
    </row>
    <row r="504" spans="1:13" ht="21.75" hidden="1" customHeight="1" x14ac:dyDescent="0.4">
      <c r="A504" s="62">
        <v>45208</v>
      </c>
      <c r="B504" s="32" t="s">
        <v>503</v>
      </c>
      <c r="C504" s="18" t="s">
        <v>2338</v>
      </c>
      <c r="D504" s="63" t="s">
        <v>2360</v>
      </c>
      <c r="E504" s="50" t="s">
        <v>2383</v>
      </c>
      <c r="F504" s="57">
        <v>5000</v>
      </c>
      <c r="G504" s="76"/>
      <c r="H504" s="57">
        <f t="shared" si="28"/>
        <v>5000</v>
      </c>
      <c r="I504" s="50">
        <v>1</v>
      </c>
      <c r="J504" s="57">
        <f t="shared" si="29"/>
        <v>5000</v>
      </c>
      <c r="K504" s="58">
        <f t="shared" si="30"/>
        <v>5500</v>
      </c>
      <c r="L504" s="18" t="s">
        <v>34</v>
      </c>
      <c r="M504" s="50"/>
    </row>
    <row r="505" spans="1:13" ht="21.75" hidden="1" customHeight="1" x14ac:dyDescent="0.4">
      <c r="A505" s="62">
        <v>45208</v>
      </c>
      <c r="B505" s="32" t="s">
        <v>2384</v>
      </c>
      <c r="C505" s="18" t="s">
        <v>2338</v>
      </c>
      <c r="D505" s="63" t="s">
        <v>332</v>
      </c>
      <c r="E505" s="50" t="s">
        <v>2385</v>
      </c>
      <c r="F505" s="57">
        <v>1090</v>
      </c>
      <c r="G505" s="76">
        <v>-109</v>
      </c>
      <c r="H505" s="57">
        <f t="shared" si="28"/>
        <v>981</v>
      </c>
      <c r="I505" s="50">
        <v>1</v>
      </c>
      <c r="J505" s="57">
        <f t="shared" si="29"/>
        <v>981</v>
      </c>
      <c r="K505" s="58">
        <f t="shared" si="30"/>
        <v>1079</v>
      </c>
      <c r="L505" s="18" t="s">
        <v>25</v>
      </c>
      <c r="M505" s="50"/>
    </row>
    <row r="506" spans="1:13" ht="21.75" hidden="1" customHeight="1" x14ac:dyDescent="0.4">
      <c r="A506" s="62">
        <v>45208</v>
      </c>
      <c r="B506" s="32" t="s">
        <v>2386</v>
      </c>
      <c r="C506" s="18" t="s">
        <v>22</v>
      </c>
      <c r="D506" s="63" t="s">
        <v>23</v>
      </c>
      <c r="E506" s="50" t="s">
        <v>1941</v>
      </c>
      <c r="F506" s="57">
        <v>15000</v>
      </c>
      <c r="G506" s="76"/>
      <c r="H506" s="57">
        <f t="shared" si="28"/>
        <v>15000</v>
      </c>
      <c r="I506" s="50">
        <v>1</v>
      </c>
      <c r="J506" s="57">
        <f t="shared" si="29"/>
        <v>15000</v>
      </c>
      <c r="K506" s="58">
        <f t="shared" si="30"/>
        <v>16500</v>
      </c>
      <c r="L506" s="18" t="s">
        <v>2336</v>
      </c>
      <c r="M506" s="50"/>
    </row>
    <row r="507" spans="1:13" ht="21.75" hidden="1" customHeight="1" x14ac:dyDescent="0.4">
      <c r="A507" s="62">
        <v>45208</v>
      </c>
      <c r="B507" s="32" t="s">
        <v>2386</v>
      </c>
      <c r="C507" s="18" t="s">
        <v>2338</v>
      </c>
      <c r="D507" s="63" t="s">
        <v>328</v>
      </c>
      <c r="E507" s="50" t="s">
        <v>2387</v>
      </c>
      <c r="F507" s="57">
        <v>60000</v>
      </c>
      <c r="G507" s="76">
        <v>-12000</v>
      </c>
      <c r="H507" s="57">
        <f t="shared" si="28"/>
        <v>48000</v>
      </c>
      <c r="I507" s="50">
        <v>1</v>
      </c>
      <c r="J507" s="57">
        <f t="shared" si="29"/>
        <v>48000</v>
      </c>
      <c r="K507" s="58">
        <f t="shared" si="30"/>
        <v>52800</v>
      </c>
      <c r="L507" s="18" t="s">
        <v>34</v>
      </c>
      <c r="M507" s="50"/>
    </row>
    <row r="508" spans="1:13" ht="21.75" hidden="1" customHeight="1" x14ac:dyDescent="0.4">
      <c r="A508" s="62">
        <v>45208</v>
      </c>
      <c r="B508" s="32" t="s">
        <v>2386</v>
      </c>
      <c r="C508" s="18" t="s">
        <v>2338</v>
      </c>
      <c r="D508" s="63" t="s">
        <v>455</v>
      </c>
      <c r="E508" s="50" t="s">
        <v>2385</v>
      </c>
      <c r="F508" s="57">
        <v>1090</v>
      </c>
      <c r="G508" s="76"/>
      <c r="H508" s="57">
        <f t="shared" si="28"/>
        <v>1090</v>
      </c>
      <c r="I508" s="50">
        <v>1</v>
      </c>
      <c r="J508" s="57">
        <f t="shared" si="29"/>
        <v>1090</v>
      </c>
      <c r="K508" s="58">
        <f t="shared" si="30"/>
        <v>1199</v>
      </c>
      <c r="L508" s="18" t="s">
        <v>34</v>
      </c>
      <c r="M508" s="50"/>
    </row>
    <row r="509" spans="1:13" ht="21.75" hidden="1" customHeight="1" x14ac:dyDescent="0.4">
      <c r="A509" s="62">
        <v>45208</v>
      </c>
      <c r="B509" s="32" t="s">
        <v>2386</v>
      </c>
      <c r="C509" s="18" t="s">
        <v>2338</v>
      </c>
      <c r="D509" s="63" t="s">
        <v>2360</v>
      </c>
      <c r="E509" s="50" t="s">
        <v>2388</v>
      </c>
      <c r="F509" s="57">
        <v>4000</v>
      </c>
      <c r="G509" s="76"/>
      <c r="H509" s="57">
        <f t="shared" si="28"/>
        <v>4000</v>
      </c>
      <c r="I509" s="50">
        <v>1</v>
      </c>
      <c r="J509" s="57">
        <f t="shared" si="29"/>
        <v>4000</v>
      </c>
      <c r="K509" s="58">
        <f t="shared" si="30"/>
        <v>4400</v>
      </c>
      <c r="L509" s="18" t="s">
        <v>34</v>
      </c>
      <c r="M509" s="50"/>
    </row>
    <row r="510" spans="1:13" ht="21.75" hidden="1" customHeight="1" x14ac:dyDescent="0.4">
      <c r="A510" s="62">
        <v>45210</v>
      </c>
      <c r="B510" s="32" t="s">
        <v>1861</v>
      </c>
      <c r="C510" s="18" t="s">
        <v>2338</v>
      </c>
      <c r="D510" s="63" t="s">
        <v>332</v>
      </c>
      <c r="E510" s="50" t="s">
        <v>2389</v>
      </c>
      <c r="F510" s="57">
        <v>1700</v>
      </c>
      <c r="G510" s="76">
        <v>-170</v>
      </c>
      <c r="H510" s="57">
        <f t="shared" si="28"/>
        <v>1530</v>
      </c>
      <c r="I510" s="50">
        <v>1</v>
      </c>
      <c r="J510" s="57">
        <f t="shared" si="29"/>
        <v>1530</v>
      </c>
      <c r="K510" s="58">
        <f t="shared" si="30"/>
        <v>1683</v>
      </c>
      <c r="L510" s="18" t="s">
        <v>2336</v>
      </c>
      <c r="M510" s="50"/>
    </row>
    <row r="511" spans="1:13" ht="21.75" hidden="1" customHeight="1" x14ac:dyDescent="0.4">
      <c r="A511" s="62">
        <v>45210</v>
      </c>
      <c r="B511" s="32" t="s">
        <v>2390</v>
      </c>
      <c r="C511" s="18" t="s">
        <v>2338</v>
      </c>
      <c r="D511" s="63" t="s">
        <v>332</v>
      </c>
      <c r="E511" s="50" t="s">
        <v>1273</v>
      </c>
      <c r="F511" s="57">
        <v>1400</v>
      </c>
      <c r="G511" s="76">
        <v>-140</v>
      </c>
      <c r="H511" s="57">
        <f t="shared" si="28"/>
        <v>1260</v>
      </c>
      <c r="I511" s="50">
        <v>8</v>
      </c>
      <c r="J511" s="57">
        <f t="shared" si="29"/>
        <v>10080</v>
      </c>
      <c r="K511" s="58">
        <f t="shared" si="30"/>
        <v>11088</v>
      </c>
      <c r="L511" s="18" t="s">
        <v>25</v>
      </c>
      <c r="M511" s="50"/>
    </row>
    <row r="512" spans="1:13" ht="21.75" hidden="1" customHeight="1" x14ac:dyDescent="0.4">
      <c r="A512" s="62">
        <v>45211</v>
      </c>
      <c r="B512" s="32" t="s">
        <v>2469</v>
      </c>
      <c r="C512" s="18" t="s">
        <v>2338</v>
      </c>
      <c r="D512" s="63" t="s">
        <v>2360</v>
      </c>
      <c r="E512" s="50" t="s">
        <v>2383</v>
      </c>
      <c r="F512" s="57">
        <v>5000</v>
      </c>
      <c r="G512" s="76"/>
      <c r="H512" s="57">
        <f t="shared" si="28"/>
        <v>5000</v>
      </c>
      <c r="I512" s="50">
        <v>1</v>
      </c>
      <c r="J512" s="57">
        <f t="shared" si="29"/>
        <v>5000</v>
      </c>
      <c r="K512" s="58">
        <f t="shared" si="30"/>
        <v>5500</v>
      </c>
      <c r="L512" s="18" t="s">
        <v>25</v>
      </c>
      <c r="M512" s="50"/>
    </row>
    <row r="513" spans="1:13" ht="21.75" hidden="1" customHeight="1" x14ac:dyDescent="0.4">
      <c r="A513" s="62">
        <v>45211</v>
      </c>
      <c r="B513" s="32" t="s">
        <v>2469</v>
      </c>
      <c r="C513" s="18" t="s">
        <v>2338</v>
      </c>
      <c r="D513" s="63" t="s">
        <v>2391</v>
      </c>
      <c r="E513" s="50" t="s">
        <v>2392</v>
      </c>
      <c r="F513" s="57">
        <v>500</v>
      </c>
      <c r="G513" s="76"/>
      <c r="H513" s="57">
        <f t="shared" si="28"/>
        <v>500</v>
      </c>
      <c r="I513" s="50">
        <v>1</v>
      </c>
      <c r="J513" s="57">
        <f t="shared" si="29"/>
        <v>500</v>
      </c>
      <c r="K513" s="58">
        <f t="shared" si="30"/>
        <v>550</v>
      </c>
      <c r="L513" s="18" t="s">
        <v>25</v>
      </c>
      <c r="M513" s="50"/>
    </row>
    <row r="514" spans="1:13" ht="21.75" hidden="1" customHeight="1" x14ac:dyDescent="0.4">
      <c r="A514" s="62">
        <v>45211</v>
      </c>
      <c r="B514" s="32" t="s">
        <v>2469</v>
      </c>
      <c r="C514" s="18" t="s">
        <v>2338</v>
      </c>
      <c r="D514" s="63" t="s">
        <v>2391</v>
      </c>
      <c r="E514" s="50" t="s">
        <v>2393</v>
      </c>
      <c r="F514" s="57">
        <v>500</v>
      </c>
      <c r="G514" s="76"/>
      <c r="H514" s="57">
        <f t="shared" si="28"/>
        <v>500</v>
      </c>
      <c r="I514" s="50">
        <v>1</v>
      </c>
      <c r="J514" s="57">
        <f t="shared" si="29"/>
        <v>500</v>
      </c>
      <c r="K514" s="58">
        <f t="shared" si="30"/>
        <v>550</v>
      </c>
      <c r="L514" s="18" t="s">
        <v>25</v>
      </c>
      <c r="M514" s="50"/>
    </row>
    <row r="515" spans="1:13" ht="21.75" hidden="1" customHeight="1" x14ac:dyDescent="0.4">
      <c r="A515" s="62">
        <v>45211</v>
      </c>
      <c r="B515" s="32" t="s">
        <v>2342</v>
      </c>
      <c r="C515" s="18" t="s">
        <v>27</v>
      </c>
      <c r="D515" s="63" t="s">
        <v>28</v>
      </c>
      <c r="E515" s="50" t="s">
        <v>318</v>
      </c>
      <c r="F515" s="57">
        <v>15000</v>
      </c>
      <c r="G515" s="76"/>
      <c r="H515" s="57">
        <f t="shared" si="28"/>
        <v>15000</v>
      </c>
      <c r="I515" s="50">
        <v>2</v>
      </c>
      <c r="J515" s="57">
        <f t="shared" si="29"/>
        <v>30000</v>
      </c>
      <c r="K515" s="58">
        <f t="shared" si="30"/>
        <v>33000</v>
      </c>
      <c r="L515" s="18" t="s">
        <v>25</v>
      </c>
      <c r="M515" s="50" t="s">
        <v>2395</v>
      </c>
    </row>
    <row r="516" spans="1:13" ht="21.75" hidden="1" customHeight="1" x14ac:dyDescent="0.4">
      <c r="A516" s="62">
        <v>45211</v>
      </c>
      <c r="B516" s="32" t="s">
        <v>2342</v>
      </c>
      <c r="C516" s="18" t="s">
        <v>27</v>
      </c>
      <c r="D516" s="63" t="s">
        <v>28</v>
      </c>
      <c r="E516" s="50" t="s">
        <v>2366</v>
      </c>
      <c r="F516" s="57">
        <v>8750</v>
      </c>
      <c r="G516" s="76"/>
      <c r="H516" s="57">
        <f t="shared" si="28"/>
        <v>8750</v>
      </c>
      <c r="I516" s="50">
        <v>1</v>
      </c>
      <c r="J516" s="57">
        <f t="shared" si="29"/>
        <v>8750</v>
      </c>
      <c r="K516" s="58">
        <f t="shared" si="30"/>
        <v>9625</v>
      </c>
      <c r="L516" s="18" t="s">
        <v>25</v>
      </c>
      <c r="M516" s="50"/>
    </row>
    <row r="517" spans="1:13" ht="21.75" hidden="1" customHeight="1" x14ac:dyDescent="0.4">
      <c r="A517" s="62">
        <v>45211</v>
      </c>
      <c r="B517" s="32" t="s">
        <v>2342</v>
      </c>
      <c r="C517" s="18" t="s">
        <v>27</v>
      </c>
      <c r="D517" s="63" t="s">
        <v>28</v>
      </c>
      <c r="E517" s="50" t="s">
        <v>2394</v>
      </c>
      <c r="F517" s="57">
        <v>17500</v>
      </c>
      <c r="G517" s="76"/>
      <c r="H517" s="57">
        <f t="shared" si="28"/>
        <v>17500</v>
      </c>
      <c r="I517" s="50">
        <v>2</v>
      </c>
      <c r="J517" s="57">
        <f t="shared" si="29"/>
        <v>35000</v>
      </c>
      <c r="K517" s="58">
        <f t="shared" si="30"/>
        <v>38500</v>
      </c>
      <c r="L517" s="18" t="s">
        <v>25</v>
      </c>
      <c r="M517" s="50" t="s">
        <v>2395</v>
      </c>
    </row>
    <row r="518" spans="1:13" ht="21.75" hidden="1" customHeight="1" x14ac:dyDescent="0.4">
      <c r="A518" s="62">
        <v>45211</v>
      </c>
      <c r="B518" s="32" t="s">
        <v>223</v>
      </c>
      <c r="C518" s="18" t="s">
        <v>2338</v>
      </c>
      <c r="D518" s="63" t="s">
        <v>332</v>
      </c>
      <c r="E518" s="50" t="s">
        <v>2396</v>
      </c>
      <c r="F518" s="57">
        <v>1500</v>
      </c>
      <c r="G518" s="76">
        <v>-150</v>
      </c>
      <c r="H518" s="57">
        <f t="shared" si="28"/>
        <v>1350</v>
      </c>
      <c r="I518" s="50">
        <v>1</v>
      </c>
      <c r="J518" s="57">
        <f t="shared" si="29"/>
        <v>1350</v>
      </c>
      <c r="K518" s="58">
        <f t="shared" si="30"/>
        <v>1485</v>
      </c>
      <c r="L518" s="18" t="s">
        <v>25</v>
      </c>
      <c r="M518" s="50"/>
    </row>
    <row r="519" spans="1:13" ht="21.75" hidden="1" customHeight="1" x14ac:dyDescent="0.4">
      <c r="A519" s="62">
        <v>45211</v>
      </c>
      <c r="B519" s="32" t="s">
        <v>2397</v>
      </c>
      <c r="C519" s="18" t="s">
        <v>27</v>
      </c>
      <c r="D519" s="63" t="s">
        <v>28</v>
      </c>
      <c r="E519" s="50" t="s">
        <v>318</v>
      </c>
      <c r="F519" s="57">
        <v>15000</v>
      </c>
      <c r="G519" s="76"/>
      <c r="H519" s="57">
        <f t="shared" si="28"/>
        <v>15000</v>
      </c>
      <c r="I519" s="50">
        <v>1</v>
      </c>
      <c r="J519" s="57">
        <f t="shared" si="29"/>
        <v>15000</v>
      </c>
      <c r="K519" s="58">
        <f t="shared" si="30"/>
        <v>16500</v>
      </c>
      <c r="L519" s="18" t="s">
        <v>25</v>
      </c>
      <c r="M519" s="50"/>
    </row>
    <row r="520" spans="1:13" ht="21.75" hidden="1" customHeight="1" x14ac:dyDescent="0.4">
      <c r="A520" s="62">
        <v>45211</v>
      </c>
      <c r="B520" s="32" t="s">
        <v>2397</v>
      </c>
      <c r="C520" s="18" t="s">
        <v>27</v>
      </c>
      <c r="D520" s="63" t="s">
        <v>28</v>
      </c>
      <c r="E520" s="50" t="s">
        <v>2394</v>
      </c>
      <c r="F520" s="57">
        <v>17500</v>
      </c>
      <c r="G520" s="76"/>
      <c r="H520" s="57">
        <f t="shared" si="28"/>
        <v>17500</v>
      </c>
      <c r="I520" s="50">
        <v>1</v>
      </c>
      <c r="J520" s="57">
        <f t="shared" si="29"/>
        <v>17500</v>
      </c>
      <c r="K520" s="58">
        <f t="shared" si="30"/>
        <v>19250</v>
      </c>
      <c r="L520" s="18" t="s">
        <v>25</v>
      </c>
      <c r="M520" s="50"/>
    </row>
    <row r="521" spans="1:13" ht="21.75" hidden="1" customHeight="1" x14ac:dyDescent="0.4">
      <c r="A521" s="62">
        <v>45212</v>
      </c>
      <c r="B521" s="32" t="s">
        <v>2398</v>
      </c>
      <c r="C521" s="18" t="s">
        <v>22</v>
      </c>
      <c r="D521" s="63" t="s">
        <v>1496</v>
      </c>
      <c r="E521" s="50" t="s">
        <v>369</v>
      </c>
      <c r="F521" s="57">
        <v>3000</v>
      </c>
      <c r="G521" s="76"/>
      <c r="H521" s="57">
        <f t="shared" si="28"/>
        <v>3000</v>
      </c>
      <c r="I521" s="50">
        <v>1</v>
      </c>
      <c r="J521" s="57">
        <f t="shared" si="29"/>
        <v>3000</v>
      </c>
      <c r="K521" s="58">
        <f t="shared" si="30"/>
        <v>3300</v>
      </c>
      <c r="L521" s="18" t="s">
        <v>25</v>
      </c>
      <c r="M521" s="50" t="s">
        <v>1954</v>
      </c>
    </row>
    <row r="522" spans="1:13" ht="21.75" hidden="1" customHeight="1" x14ac:dyDescent="0.4">
      <c r="A522" s="62">
        <v>45212</v>
      </c>
      <c r="B522" s="32" t="s">
        <v>2398</v>
      </c>
      <c r="C522" s="18" t="s">
        <v>27</v>
      </c>
      <c r="D522" s="63" t="s">
        <v>28</v>
      </c>
      <c r="E522" s="50" t="s">
        <v>318</v>
      </c>
      <c r="F522" s="57">
        <v>15000</v>
      </c>
      <c r="G522" s="76"/>
      <c r="H522" s="57">
        <f t="shared" si="28"/>
        <v>15000</v>
      </c>
      <c r="I522" s="50">
        <v>1</v>
      </c>
      <c r="J522" s="57">
        <f t="shared" si="29"/>
        <v>15000</v>
      </c>
      <c r="K522" s="58">
        <f t="shared" si="30"/>
        <v>16500</v>
      </c>
      <c r="L522" s="18" t="s">
        <v>25</v>
      </c>
      <c r="M522" s="50"/>
    </row>
    <row r="523" spans="1:13" ht="21.75" hidden="1" customHeight="1" x14ac:dyDescent="0.4">
      <c r="A523" s="62">
        <v>45212</v>
      </c>
      <c r="B523" s="32" t="s">
        <v>179</v>
      </c>
      <c r="C523" s="18" t="s">
        <v>2338</v>
      </c>
      <c r="D523" s="63" t="s">
        <v>332</v>
      </c>
      <c r="E523" s="50" t="s">
        <v>2399</v>
      </c>
      <c r="F523" s="57">
        <v>3500</v>
      </c>
      <c r="G523" s="76"/>
      <c r="H523" s="57">
        <f t="shared" si="28"/>
        <v>3500</v>
      </c>
      <c r="I523" s="50">
        <v>1</v>
      </c>
      <c r="J523" s="57">
        <f t="shared" si="29"/>
        <v>3500</v>
      </c>
      <c r="K523" s="58">
        <f t="shared" si="30"/>
        <v>3850</v>
      </c>
      <c r="L523" s="18" t="s">
        <v>2336</v>
      </c>
      <c r="M523" s="50"/>
    </row>
    <row r="524" spans="1:13" ht="21.75" hidden="1" customHeight="1" x14ac:dyDescent="0.4">
      <c r="A524" s="62">
        <v>45212</v>
      </c>
      <c r="B524" s="32" t="s">
        <v>2322</v>
      </c>
      <c r="C524" s="18" t="s">
        <v>27</v>
      </c>
      <c r="D524" s="63" t="s">
        <v>28</v>
      </c>
      <c r="E524" s="50" t="s">
        <v>2400</v>
      </c>
      <c r="F524" s="57">
        <v>17500</v>
      </c>
      <c r="G524" s="76"/>
      <c r="H524" s="57">
        <f t="shared" si="28"/>
        <v>17500</v>
      </c>
      <c r="I524" s="50">
        <v>2</v>
      </c>
      <c r="J524" s="57">
        <f t="shared" si="29"/>
        <v>35000</v>
      </c>
      <c r="K524" s="58">
        <f t="shared" si="30"/>
        <v>38500</v>
      </c>
      <c r="L524" s="18" t="s">
        <v>2336</v>
      </c>
      <c r="M524" s="50"/>
    </row>
    <row r="525" spans="1:13" ht="21.75" hidden="1" customHeight="1" x14ac:dyDescent="0.4">
      <c r="A525" s="62">
        <v>45212</v>
      </c>
      <c r="B525" s="32" t="s">
        <v>2322</v>
      </c>
      <c r="C525" s="18" t="s">
        <v>27</v>
      </c>
      <c r="D525" s="63" t="s">
        <v>28</v>
      </c>
      <c r="E525" s="50" t="s">
        <v>2401</v>
      </c>
      <c r="F525" s="57">
        <v>17500</v>
      </c>
      <c r="G525" s="76"/>
      <c r="H525" s="57">
        <f t="shared" si="28"/>
        <v>17500</v>
      </c>
      <c r="I525" s="50">
        <v>1</v>
      </c>
      <c r="J525" s="57">
        <f t="shared" si="29"/>
        <v>17500</v>
      </c>
      <c r="K525" s="58">
        <f t="shared" si="30"/>
        <v>19250</v>
      </c>
      <c r="L525" s="18" t="s">
        <v>2336</v>
      </c>
      <c r="M525" s="50"/>
    </row>
    <row r="526" spans="1:13" ht="21.75" hidden="1" customHeight="1" x14ac:dyDescent="0.4">
      <c r="A526" s="62">
        <v>45213</v>
      </c>
      <c r="B526" s="32" t="s">
        <v>1269</v>
      </c>
      <c r="C526" s="18" t="s">
        <v>17</v>
      </c>
      <c r="D526" s="63" t="s">
        <v>2349</v>
      </c>
      <c r="E526" s="50" t="s">
        <v>2402</v>
      </c>
      <c r="F526" s="57">
        <v>5500</v>
      </c>
      <c r="G526" s="76"/>
      <c r="H526" s="57">
        <f t="shared" si="28"/>
        <v>5500</v>
      </c>
      <c r="I526" s="50">
        <v>2</v>
      </c>
      <c r="J526" s="57">
        <f t="shared" si="29"/>
        <v>11000</v>
      </c>
      <c r="K526" s="58">
        <f t="shared" si="30"/>
        <v>12100</v>
      </c>
      <c r="L526" s="18" t="s">
        <v>25</v>
      </c>
      <c r="M526" s="50"/>
    </row>
    <row r="527" spans="1:13" ht="21.75" hidden="1" customHeight="1" x14ac:dyDescent="0.4">
      <c r="A527" s="62">
        <v>45213</v>
      </c>
      <c r="B527" s="32" t="s">
        <v>1269</v>
      </c>
      <c r="C527" s="18" t="s">
        <v>17</v>
      </c>
      <c r="D527" s="63" t="s">
        <v>2349</v>
      </c>
      <c r="E527" s="50" t="s">
        <v>2403</v>
      </c>
      <c r="F527" s="57">
        <v>5500</v>
      </c>
      <c r="G527" s="76"/>
      <c r="H527" s="57">
        <f t="shared" si="28"/>
        <v>5500</v>
      </c>
      <c r="I527" s="50">
        <v>2</v>
      </c>
      <c r="J527" s="57">
        <f t="shared" si="29"/>
        <v>11000</v>
      </c>
      <c r="K527" s="58">
        <f t="shared" si="30"/>
        <v>12100</v>
      </c>
      <c r="L527" s="18" t="s">
        <v>25</v>
      </c>
      <c r="M527" s="50"/>
    </row>
    <row r="528" spans="1:13" ht="21.75" hidden="1" customHeight="1" x14ac:dyDescent="0.4">
      <c r="A528" s="62">
        <v>45213</v>
      </c>
      <c r="B528" s="32" t="s">
        <v>2386</v>
      </c>
      <c r="C528" s="18" t="s">
        <v>2338</v>
      </c>
      <c r="D528" s="63" t="s">
        <v>328</v>
      </c>
      <c r="E528" s="50" t="s">
        <v>2404</v>
      </c>
      <c r="F528" s="57">
        <v>25000</v>
      </c>
      <c r="G528" s="76">
        <v>-8750</v>
      </c>
      <c r="H528" s="57">
        <f t="shared" si="28"/>
        <v>16250</v>
      </c>
      <c r="I528" s="50">
        <v>1</v>
      </c>
      <c r="J528" s="57">
        <f t="shared" si="29"/>
        <v>16250</v>
      </c>
      <c r="K528" s="58">
        <f t="shared" si="30"/>
        <v>17875</v>
      </c>
      <c r="L528" s="18" t="s">
        <v>2336</v>
      </c>
      <c r="M528" s="50"/>
    </row>
    <row r="529" spans="1:15" ht="21.75" hidden="1" customHeight="1" x14ac:dyDescent="0.4">
      <c r="A529" s="62">
        <v>45213</v>
      </c>
      <c r="B529" s="32" t="s">
        <v>2386</v>
      </c>
      <c r="C529" s="18" t="s">
        <v>2338</v>
      </c>
      <c r="D529" s="63" t="s">
        <v>455</v>
      </c>
      <c r="E529" s="50" t="s">
        <v>2405</v>
      </c>
      <c r="F529" s="57">
        <v>1090</v>
      </c>
      <c r="G529" s="76"/>
      <c r="H529" s="57">
        <f t="shared" ref="H529:H592" si="31">SUM(F529:G529)</f>
        <v>1090</v>
      </c>
      <c r="I529" s="50">
        <v>1</v>
      </c>
      <c r="J529" s="57">
        <f t="shared" si="29"/>
        <v>1090</v>
      </c>
      <c r="K529" s="58">
        <f t="shared" si="30"/>
        <v>1199</v>
      </c>
      <c r="L529" s="18" t="s">
        <v>2336</v>
      </c>
      <c r="M529" s="50"/>
    </row>
    <row r="530" spans="1:15" ht="21.75" hidden="1" customHeight="1" x14ac:dyDescent="0.4">
      <c r="A530" s="62">
        <v>45213</v>
      </c>
      <c r="B530" s="32" t="s">
        <v>2406</v>
      </c>
      <c r="C530" s="18" t="s">
        <v>22</v>
      </c>
      <c r="D530" s="63" t="s">
        <v>23</v>
      </c>
      <c r="E530" s="50" t="s">
        <v>1941</v>
      </c>
      <c r="F530" s="57">
        <v>15000</v>
      </c>
      <c r="G530" s="76"/>
      <c r="H530" s="57">
        <f t="shared" si="31"/>
        <v>15000</v>
      </c>
      <c r="I530" s="50">
        <v>1</v>
      </c>
      <c r="J530" s="57">
        <f t="shared" si="29"/>
        <v>15000</v>
      </c>
      <c r="K530" s="58">
        <f t="shared" si="30"/>
        <v>16500</v>
      </c>
      <c r="L530" s="18" t="s">
        <v>25</v>
      </c>
      <c r="M530" s="50"/>
    </row>
    <row r="531" spans="1:15" ht="21.75" hidden="1" customHeight="1" x14ac:dyDescent="0.4">
      <c r="A531" s="62">
        <v>45213</v>
      </c>
      <c r="B531" s="32" t="s">
        <v>2406</v>
      </c>
      <c r="C531" s="18" t="s">
        <v>2338</v>
      </c>
      <c r="D531" s="63" t="s">
        <v>328</v>
      </c>
      <c r="E531" s="50" t="s">
        <v>2407</v>
      </c>
      <c r="F531" s="57">
        <v>50000</v>
      </c>
      <c r="G531" s="76">
        <v>-10000</v>
      </c>
      <c r="H531" s="57">
        <f t="shared" si="31"/>
        <v>40000</v>
      </c>
      <c r="I531" s="50">
        <v>1</v>
      </c>
      <c r="J531" s="57">
        <f t="shared" si="29"/>
        <v>40000</v>
      </c>
      <c r="K531" s="58">
        <f t="shared" si="30"/>
        <v>44000</v>
      </c>
      <c r="L531" s="18" t="s">
        <v>34</v>
      </c>
      <c r="M531" s="50"/>
    </row>
    <row r="532" spans="1:15" ht="21.75" hidden="1" customHeight="1" x14ac:dyDescent="0.4">
      <c r="A532" s="62">
        <v>45213</v>
      </c>
      <c r="B532" s="32" t="s">
        <v>2406</v>
      </c>
      <c r="C532" s="18" t="s">
        <v>2338</v>
      </c>
      <c r="D532" s="63" t="s">
        <v>332</v>
      </c>
      <c r="E532" s="50" t="s">
        <v>2408</v>
      </c>
      <c r="F532" s="57">
        <v>1500</v>
      </c>
      <c r="G532" s="76"/>
      <c r="H532" s="57">
        <f t="shared" si="31"/>
        <v>1500</v>
      </c>
      <c r="I532" s="50">
        <v>1</v>
      </c>
      <c r="J532" s="57">
        <f t="shared" si="29"/>
        <v>1500</v>
      </c>
      <c r="K532" s="58">
        <f t="shared" si="30"/>
        <v>1650</v>
      </c>
      <c r="L532" s="18" t="s">
        <v>34</v>
      </c>
      <c r="M532" s="50"/>
    </row>
    <row r="533" spans="1:15" ht="21.75" hidden="1" customHeight="1" x14ac:dyDescent="0.4">
      <c r="A533" s="62">
        <v>45213</v>
      </c>
      <c r="B533" s="32" t="s">
        <v>171</v>
      </c>
      <c r="C533" s="18" t="s">
        <v>2338</v>
      </c>
      <c r="D533" s="63" t="s">
        <v>2349</v>
      </c>
      <c r="E533" s="50" t="s">
        <v>2403</v>
      </c>
      <c r="F533" s="57">
        <v>5500</v>
      </c>
      <c r="G533" s="76"/>
      <c r="H533" s="57">
        <f t="shared" si="31"/>
        <v>5500</v>
      </c>
      <c r="I533" s="50">
        <v>1</v>
      </c>
      <c r="J533" s="57">
        <f t="shared" si="29"/>
        <v>5500</v>
      </c>
      <c r="K533" s="58">
        <f t="shared" si="30"/>
        <v>6050</v>
      </c>
      <c r="L533" s="18" t="s">
        <v>25</v>
      </c>
      <c r="M533" s="50"/>
    </row>
    <row r="534" spans="1:15" ht="21.75" hidden="1" customHeight="1" x14ac:dyDescent="0.4">
      <c r="A534" s="62">
        <v>45213</v>
      </c>
      <c r="B534" s="32" t="s">
        <v>582</v>
      </c>
      <c r="C534" s="18" t="s">
        <v>2338</v>
      </c>
      <c r="D534" s="63" t="s">
        <v>332</v>
      </c>
      <c r="E534" s="50" t="s">
        <v>2405</v>
      </c>
      <c r="F534" s="57">
        <v>1090</v>
      </c>
      <c r="G534" s="76">
        <v>-109</v>
      </c>
      <c r="H534" s="57">
        <f t="shared" si="31"/>
        <v>981</v>
      </c>
      <c r="I534" s="50">
        <v>1</v>
      </c>
      <c r="J534" s="57">
        <f t="shared" si="29"/>
        <v>981</v>
      </c>
      <c r="K534" s="58">
        <f t="shared" si="30"/>
        <v>1079</v>
      </c>
      <c r="L534" s="18" t="s">
        <v>2336</v>
      </c>
      <c r="M534" s="50"/>
    </row>
    <row r="535" spans="1:15" ht="21.75" hidden="1" customHeight="1" x14ac:dyDescent="0.4">
      <c r="A535" s="62">
        <v>45214</v>
      </c>
      <c r="B535" s="32" t="s">
        <v>2409</v>
      </c>
      <c r="C535" s="18" t="s">
        <v>27</v>
      </c>
      <c r="D535" s="63" t="s">
        <v>28</v>
      </c>
      <c r="E535" s="50" t="s">
        <v>73</v>
      </c>
      <c r="F535" s="57">
        <v>2000</v>
      </c>
      <c r="G535" s="76"/>
      <c r="H535" s="57">
        <f t="shared" si="31"/>
        <v>2000</v>
      </c>
      <c r="I535" s="50">
        <v>3</v>
      </c>
      <c r="J535" s="57">
        <f t="shared" si="29"/>
        <v>6000</v>
      </c>
      <c r="K535" s="58">
        <f t="shared" si="30"/>
        <v>6600</v>
      </c>
      <c r="L535" s="18" t="s">
        <v>25</v>
      </c>
      <c r="M535" s="50"/>
    </row>
    <row r="536" spans="1:15" ht="21.75" hidden="1" customHeight="1" x14ac:dyDescent="0.4">
      <c r="A536" s="62">
        <v>45214</v>
      </c>
      <c r="B536" s="32" t="s">
        <v>2410</v>
      </c>
      <c r="C536" s="18" t="s">
        <v>2338</v>
      </c>
      <c r="D536" s="63" t="s">
        <v>426</v>
      </c>
      <c r="E536" s="50" t="s">
        <v>2347</v>
      </c>
      <c r="F536" s="57">
        <v>1700</v>
      </c>
      <c r="G536" s="76">
        <v>-170</v>
      </c>
      <c r="H536" s="57">
        <f t="shared" si="31"/>
        <v>1530</v>
      </c>
      <c r="I536" s="50">
        <v>1</v>
      </c>
      <c r="J536" s="57">
        <f t="shared" si="29"/>
        <v>1530</v>
      </c>
      <c r="K536" s="58">
        <f t="shared" si="30"/>
        <v>1683</v>
      </c>
      <c r="L536" s="18" t="s">
        <v>25</v>
      </c>
      <c r="M536" s="50"/>
    </row>
    <row r="537" spans="1:15" ht="21.75" hidden="1" customHeight="1" x14ac:dyDescent="0.4">
      <c r="A537" s="62">
        <v>45214</v>
      </c>
      <c r="B537" s="32" t="s">
        <v>2411</v>
      </c>
      <c r="C537" s="18" t="s">
        <v>22</v>
      </c>
      <c r="D537" s="63" t="s">
        <v>1496</v>
      </c>
      <c r="E537" s="50" t="s">
        <v>369</v>
      </c>
      <c r="F537" s="57">
        <v>3000</v>
      </c>
      <c r="G537" s="76"/>
      <c r="H537" s="57">
        <f t="shared" si="31"/>
        <v>3000</v>
      </c>
      <c r="I537" s="50">
        <v>1</v>
      </c>
      <c r="J537" s="57">
        <f t="shared" si="29"/>
        <v>3000</v>
      </c>
      <c r="K537" s="58">
        <f t="shared" si="30"/>
        <v>3300</v>
      </c>
      <c r="L537" s="18" t="s">
        <v>2336</v>
      </c>
      <c r="M537" s="498" t="s">
        <v>2413</v>
      </c>
      <c r="N537" s="164"/>
      <c r="O537" s="164"/>
    </row>
    <row r="538" spans="1:15" ht="21.75" hidden="1" customHeight="1" x14ac:dyDescent="0.4">
      <c r="A538" s="62">
        <v>45214</v>
      </c>
      <c r="B538" s="32" t="s">
        <v>2412</v>
      </c>
      <c r="C538" s="18" t="s">
        <v>22</v>
      </c>
      <c r="D538" s="63" t="s">
        <v>1496</v>
      </c>
      <c r="E538" s="50" t="s">
        <v>369</v>
      </c>
      <c r="F538" s="57">
        <v>3000</v>
      </c>
      <c r="G538" s="76"/>
      <c r="H538" s="57">
        <f t="shared" si="31"/>
        <v>3000</v>
      </c>
      <c r="I538" s="50">
        <v>1</v>
      </c>
      <c r="J538" s="57">
        <f t="shared" si="29"/>
        <v>3000</v>
      </c>
      <c r="K538" s="58">
        <f t="shared" si="30"/>
        <v>3300</v>
      </c>
      <c r="L538" s="18" t="s">
        <v>2336</v>
      </c>
      <c r="M538" s="491"/>
      <c r="N538" s="93"/>
      <c r="O538" s="93"/>
    </row>
    <row r="539" spans="1:15" ht="21.75" hidden="1" customHeight="1" x14ac:dyDescent="0.4">
      <c r="A539" s="62">
        <v>45214</v>
      </c>
      <c r="B539" s="32" t="s">
        <v>2300</v>
      </c>
      <c r="C539" s="18" t="s">
        <v>22</v>
      </c>
      <c r="D539" s="63" t="s">
        <v>23</v>
      </c>
      <c r="E539" s="50" t="s">
        <v>1941</v>
      </c>
      <c r="F539" s="57">
        <v>15000</v>
      </c>
      <c r="G539" s="76"/>
      <c r="H539" s="57">
        <f t="shared" si="31"/>
        <v>15000</v>
      </c>
      <c r="I539" s="50">
        <v>1</v>
      </c>
      <c r="J539" s="57">
        <f t="shared" si="29"/>
        <v>15000</v>
      </c>
      <c r="K539" s="58">
        <f t="shared" si="30"/>
        <v>16500</v>
      </c>
      <c r="L539" s="18" t="s">
        <v>25</v>
      </c>
      <c r="M539" s="50"/>
    </row>
    <row r="540" spans="1:15" ht="21.75" hidden="1" customHeight="1" x14ac:dyDescent="0.4">
      <c r="A540" s="62">
        <v>45214</v>
      </c>
      <c r="B540" s="32" t="s">
        <v>2468</v>
      </c>
      <c r="C540" s="18" t="s">
        <v>2338</v>
      </c>
      <c r="D540" s="63" t="s">
        <v>332</v>
      </c>
      <c r="E540" s="50" t="s">
        <v>2414</v>
      </c>
      <c r="F540" s="57">
        <v>1500</v>
      </c>
      <c r="G540" s="76"/>
      <c r="H540" s="57">
        <f t="shared" si="31"/>
        <v>1500</v>
      </c>
      <c r="I540" s="50">
        <v>1</v>
      </c>
      <c r="J540" s="57">
        <f t="shared" si="29"/>
        <v>1500</v>
      </c>
      <c r="K540" s="58">
        <f t="shared" si="30"/>
        <v>1650</v>
      </c>
      <c r="L540" s="18" t="s">
        <v>2336</v>
      </c>
      <c r="M540" s="50"/>
    </row>
    <row r="541" spans="1:15" ht="21.75" hidden="1" customHeight="1" x14ac:dyDescent="0.4">
      <c r="A541" s="62">
        <v>45217</v>
      </c>
      <c r="B541" s="32" t="s">
        <v>2415</v>
      </c>
      <c r="C541" s="18" t="s">
        <v>27</v>
      </c>
      <c r="D541" s="63" t="s">
        <v>28</v>
      </c>
      <c r="E541" s="50" t="s">
        <v>73</v>
      </c>
      <c r="F541" s="57">
        <v>2000</v>
      </c>
      <c r="G541" s="76"/>
      <c r="H541" s="57">
        <f t="shared" si="31"/>
        <v>2000</v>
      </c>
      <c r="I541" s="50">
        <v>3</v>
      </c>
      <c r="J541" s="57">
        <f t="shared" si="29"/>
        <v>6000</v>
      </c>
      <c r="K541" s="58">
        <f t="shared" si="30"/>
        <v>6600</v>
      </c>
      <c r="L541" s="18" t="s">
        <v>25</v>
      </c>
      <c r="M541" s="50"/>
    </row>
    <row r="542" spans="1:15" ht="21.75" hidden="1" customHeight="1" x14ac:dyDescent="0.4">
      <c r="A542" s="62">
        <v>45217</v>
      </c>
      <c r="B542" s="32" t="s">
        <v>1269</v>
      </c>
      <c r="C542" s="18" t="s">
        <v>2338</v>
      </c>
      <c r="D542" s="63" t="s">
        <v>2391</v>
      </c>
      <c r="E542" s="50" t="s">
        <v>2416</v>
      </c>
      <c r="F542" s="57">
        <v>500</v>
      </c>
      <c r="G542" s="76"/>
      <c r="H542" s="57">
        <f t="shared" si="31"/>
        <v>500</v>
      </c>
      <c r="I542" s="50">
        <v>1</v>
      </c>
      <c r="J542" s="57">
        <f t="shared" si="29"/>
        <v>500</v>
      </c>
      <c r="K542" s="58">
        <f t="shared" si="30"/>
        <v>550</v>
      </c>
      <c r="L542" s="18" t="s">
        <v>25</v>
      </c>
      <c r="M542" s="50"/>
    </row>
    <row r="543" spans="1:15" ht="21.75" hidden="1" customHeight="1" x14ac:dyDescent="0.4">
      <c r="A543" s="62">
        <v>45217</v>
      </c>
      <c r="B543" s="32" t="s">
        <v>1269</v>
      </c>
      <c r="C543" s="18" t="s">
        <v>2338</v>
      </c>
      <c r="D543" s="63" t="s">
        <v>2391</v>
      </c>
      <c r="E543" s="50" t="s">
        <v>2417</v>
      </c>
      <c r="F543" s="57">
        <v>900</v>
      </c>
      <c r="G543" s="76"/>
      <c r="H543" s="57">
        <f t="shared" si="31"/>
        <v>900</v>
      </c>
      <c r="I543" s="50">
        <v>1</v>
      </c>
      <c r="J543" s="57">
        <f t="shared" si="29"/>
        <v>900</v>
      </c>
      <c r="K543" s="58">
        <f t="shared" si="30"/>
        <v>990</v>
      </c>
      <c r="L543" s="18" t="s">
        <v>25</v>
      </c>
      <c r="M543" s="50"/>
    </row>
    <row r="544" spans="1:15" ht="21.75" hidden="1" customHeight="1" x14ac:dyDescent="0.4">
      <c r="A544" s="62">
        <v>45218</v>
      </c>
      <c r="B544" s="32" t="s">
        <v>2418</v>
      </c>
      <c r="C544" s="18" t="s">
        <v>2338</v>
      </c>
      <c r="D544" s="63" t="s">
        <v>332</v>
      </c>
      <c r="E544" s="50" t="s">
        <v>2419</v>
      </c>
      <c r="F544" s="57">
        <v>1450</v>
      </c>
      <c r="G544" s="76">
        <v>-145</v>
      </c>
      <c r="H544" s="57">
        <f t="shared" si="31"/>
        <v>1305</v>
      </c>
      <c r="I544" s="50">
        <v>2</v>
      </c>
      <c r="J544" s="57">
        <f t="shared" si="29"/>
        <v>2610</v>
      </c>
      <c r="K544" s="58">
        <f t="shared" si="30"/>
        <v>2871</v>
      </c>
      <c r="L544" s="18" t="s">
        <v>25</v>
      </c>
      <c r="M544" s="50"/>
    </row>
    <row r="545" spans="1:13" ht="21.75" hidden="1" customHeight="1" x14ac:dyDescent="0.4">
      <c r="A545" s="62">
        <v>45218</v>
      </c>
      <c r="B545" s="32" t="s">
        <v>2418</v>
      </c>
      <c r="C545" s="18" t="s">
        <v>2338</v>
      </c>
      <c r="D545" s="63" t="s">
        <v>2391</v>
      </c>
      <c r="E545" s="50" t="s">
        <v>2417</v>
      </c>
      <c r="F545" s="57">
        <v>500</v>
      </c>
      <c r="G545" s="76"/>
      <c r="H545" s="57">
        <f t="shared" si="31"/>
        <v>500</v>
      </c>
      <c r="I545" s="50">
        <v>2</v>
      </c>
      <c r="J545" s="57">
        <f t="shared" si="29"/>
        <v>1000</v>
      </c>
      <c r="K545" s="58">
        <f t="shared" si="30"/>
        <v>1100</v>
      </c>
      <c r="L545" s="18" t="s">
        <v>25</v>
      </c>
      <c r="M545" s="50"/>
    </row>
    <row r="546" spans="1:13" ht="21.75" hidden="1" customHeight="1" x14ac:dyDescent="0.4">
      <c r="A546" s="62">
        <v>45218</v>
      </c>
      <c r="B546" s="32" t="s">
        <v>2420</v>
      </c>
      <c r="C546" s="18" t="s">
        <v>2338</v>
      </c>
      <c r="D546" s="63" t="s">
        <v>2349</v>
      </c>
      <c r="E546" s="50" t="s">
        <v>2402</v>
      </c>
      <c r="F546" s="57">
        <v>5500</v>
      </c>
      <c r="G546" s="76">
        <v>-628</v>
      </c>
      <c r="H546" s="57">
        <f t="shared" si="31"/>
        <v>4872</v>
      </c>
      <c r="I546" s="50">
        <v>1</v>
      </c>
      <c r="J546" s="57">
        <f t="shared" si="29"/>
        <v>4872</v>
      </c>
      <c r="K546" s="58">
        <f t="shared" si="30"/>
        <v>5359</v>
      </c>
      <c r="L546" s="18" t="s">
        <v>25</v>
      </c>
      <c r="M546" s="50"/>
    </row>
    <row r="547" spans="1:13" ht="21.75" hidden="1" customHeight="1" x14ac:dyDescent="0.4">
      <c r="A547" s="62">
        <v>45218</v>
      </c>
      <c r="B547" s="32" t="s">
        <v>2421</v>
      </c>
      <c r="C547" s="18" t="s">
        <v>22</v>
      </c>
      <c r="D547" s="63" t="s">
        <v>1496</v>
      </c>
      <c r="E547" s="50" t="s">
        <v>2422</v>
      </c>
      <c r="F547" s="57">
        <v>2000</v>
      </c>
      <c r="G547" s="76"/>
      <c r="H547" s="57">
        <f t="shared" si="31"/>
        <v>2000</v>
      </c>
      <c r="I547" s="50">
        <v>1</v>
      </c>
      <c r="J547" s="57">
        <f t="shared" si="29"/>
        <v>2000</v>
      </c>
      <c r="K547" s="58">
        <f t="shared" si="30"/>
        <v>2200</v>
      </c>
      <c r="L547" s="18" t="s">
        <v>2336</v>
      </c>
      <c r="M547" s="50"/>
    </row>
    <row r="548" spans="1:13" ht="21.75" hidden="1" customHeight="1" x14ac:dyDescent="0.4">
      <c r="A548" s="62">
        <v>45219</v>
      </c>
      <c r="B548" s="32" t="s">
        <v>2423</v>
      </c>
      <c r="C548" s="18" t="s">
        <v>2338</v>
      </c>
      <c r="D548" s="63" t="s">
        <v>328</v>
      </c>
      <c r="E548" s="50" t="s">
        <v>2424</v>
      </c>
      <c r="F548" s="57">
        <v>70000</v>
      </c>
      <c r="G548" s="76">
        <v>-14000</v>
      </c>
      <c r="H548" s="57">
        <f t="shared" si="31"/>
        <v>56000</v>
      </c>
      <c r="I548" s="50">
        <v>1</v>
      </c>
      <c r="J548" s="57">
        <f t="shared" si="29"/>
        <v>56000</v>
      </c>
      <c r="K548" s="58">
        <f t="shared" si="30"/>
        <v>61600</v>
      </c>
      <c r="L548" s="18" t="s">
        <v>34</v>
      </c>
      <c r="M548" s="50"/>
    </row>
    <row r="549" spans="1:13" ht="21.75" hidden="1" customHeight="1" x14ac:dyDescent="0.4">
      <c r="A549" s="62">
        <v>45219</v>
      </c>
      <c r="B549" s="32" t="s">
        <v>2423</v>
      </c>
      <c r="C549" s="18" t="s">
        <v>2338</v>
      </c>
      <c r="D549" s="63" t="s">
        <v>332</v>
      </c>
      <c r="E549" s="50" t="s">
        <v>2425</v>
      </c>
      <c r="F549" s="57">
        <v>1650</v>
      </c>
      <c r="G549" s="76"/>
      <c r="H549" s="57">
        <f t="shared" si="31"/>
        <v>1650</v>
      </c>
      <c r="I549" s="50">
        <v>1</v>
      </c>
      <c r="J549" s="57">
        <f t="shared" si="29"/>
        <v>1650</v>
      </c>
      <c r="K549" s="58">
        <f t="shared" si="30"/>
        <v>1815</v>
      </c>
      <c r="L549" s="18" t="s">
        <v>34</v>
      </c>
      <c r="M549" s="50"/>
    </row>
    <row r="550" spans="1:13" ht="21.75" hidden="1" customHeight="1" x14ac:dyDescent="0.4">
      <c r="A550" s="62">
        <v>45219</v>
      </c>
      <c r="B550" s="32" t="s">
        <v>2423</v>
      </c>
      <c r="C550" s="18" t="s">
        <v>22</v>
      </c>
      <c r="D550" s="63" t="s">
        <v>23</v>
      </c>
      <c r="E550" s="50" t="s">
        <v>1941</v>
      </c>
      <c r="F550" s="57">
        <v>15000</v>
      </c>
      <c r="G550" s="76">
        <v>-5000</v>
      </c>
      <c r="H550" s="57">
        <f t="shared" si="31"/>
        <v>10000</v>
      </c>
      <c r="I550" s="50">
        <v>1</v>
      </c>
      <c r="J550" s="57">
        <f t="shared" si="29"/>
        <v>10000</v>
      </c>
      <c r="K550" s="58">
        <f t="shared" si="30"/>
        <v>11000</v>
      </c>
      <c r="L550" s="18" t="s">
        <v>34</v>
      </c>
      <c r="M550" s="50" t="s">
        <v>2426</v>
      </c>
    </row>
    <row r="551" spans="1:13" ht="21.75" hidden="1" customHeight="1" x14ac:dyDescent="0.4">
      <c r="A551" s="62">
        <v>45219</v>
      </c>
      <c r="B551" s="32" t="s">
        <v>2423</v>
      </c>
      <c r="C551" s="18" t="s">
        <v>17</v>
      </c>
      <c r="D551" s="63" t="s">
        <v>2360</v>
      </c>
      <c r="E551" s="50" t="s">
        <v>2427</v>
      </c>
      <c r="F551" s="57">
        <v>3000</v>
      </c>
      <c r="G551" s="76"/>
      <c r="H551" s="57">
        <f t="shared" si="31"/>
        <v>3000</v>
      </c>
      <c r="I551" s="50">
        <v>1</v>
      </c>
      <c r="J551" s="57">
        <f t="shared" si="29"/>
        <v>3000</v>
      </c>
      <c r="K551" s="58">
        <f t="shared" si="30"/>
        <v>3300</v>
      </c>
      <c r="L551" s="18" t="s">
        <v>34</v>
      </c>
      <c r="M551" s="50"/>
    </row>
    <row r="552" spans="1:13" ht="21.75" hidden="1" customHeight="1" x14ac:dyDescent="0.4">
      <c r="A552" s="62">
        <v>45219</v>
      </c>
      <c r="B552" s="32" t="s">
        <v>2428</v>
      </c>
      <c r="C552" s="18" t="s">
        <v>2338</v>
      </c>
      <c r="D552" s="63" t="s">
        <v>2349</v>
      </c>
      <c r="E552" s="50" t="s">
        <v>2429</v>
      </c>
      <c r="F552" s="57">
        <v>5700</v>
      </c>
      <c r="G552" s="76"/>
      <c r="H552" s="57">
        <f t="shared" si="31"/>
        <v>5700</v>
      </c>
      <c r="I552" s="50">
        <v>1</v>
      </c>
      <c r="J552" s="57">
        <f t="shared" si="29"/>
        <v>5700</v>
      </c>
      <c r="K552" s="58">
        <f t="shared" si="30"/>
        <v>6270</v>
      </c>
      <c r="L552" s="18" t="s">
        <v>25</v>
      </c>
      <c r="M552" s="50"/>
    </row>
    <row r="553" spans="1:13" ht="21.75" hidden="1" customHeight="1" x14ac:dyDescent="0.4">
      <c r="A553" s="62">
        <v>45219</v>
      </c>
      <c r="B553" s="32" t="s">
        <v>2430</v>
      </c>
      <c r="C553" s="18" t="s">
        <v>22</v>
      </c>
      <c r="D553" s="63" t="s">
        <v>23</v>
      </c>
      <c r="E553" s="50" t="s">
        <v>1941</v>
      </c>
      <c r="F553" s="57">
        <v>15000</v>
      </c>
      <c r="G553" s="76"/>
      <c r="H553" s="57">
        <f t="shared" si="31"/>
        <v>15000</v>
      </c>
      <c r="I553" s="50">
        <v>1</v>
      </c>
      <c r="J553" s="57">
        <f t="shared" si="29"/>
        <v>15000</v>
      </c>
      <c r="K553" s="58">
        <f t="shared" si="30"/>
        <v>16500</v>
      </c>
      <c r="L553" s="18" t="s">
        <v>2336</v>
      </c>
      <c r="M553" s="50" t="s">
        <v>1954</v>
      </c>
    </row>
    <row r="554" spans="1:13" ht="21.75" hidden="1" customHeight="1" x14ac:dyDescent="0.4">
      <c r="A554" s="62">
        <v>45219</v>
      </c>
      <c r="B554" s="32" t="s">
        <v>2431</v>
      </c>
      <c r="C554" s="18" t="s">
        <v>22</v>
      </c>
      <c r="D554" s="63" t="s">
        <v>1496</v>
      </c>
      <c r="E554" s="50" t="s">
        <v>369</v>
      </c>
      <c r="F554" s="57">
        <v>3000</v>
      </c>
      <c r="G554" s="76"/>
      <c r="H554" s="57">
        <f t="shared" si="31"/>
        <v>3000</v>
      </c>
      <c r="I554" s="50">
        <v>1</v>
      </c>
      <c r="J554" s="57">
        <f t="shared" si="29"/>
        <v>3000</v>
      </c>
      <c r="K554" s="58">
        <f t="shared" si="30"/>
        <v>3300</v>
      </c>
      <c r="L554" s="18" t="s">
        <v>2336</v>
      </c>
      <c r="M554" s="50" t="s">
        <v>1954</v>
      </c>
    </row>
    <row r="555" spans="1:13" ht="21.75" hidden="1" customHeight="1" x14ac:dyDescent="0.4">
      <c r="A555" s="62">
        <v>45220</v>
      </c>
      <c r="B555" s="32" t="s">
        <v>1292</v>
      </c>
      <c r="C555" s="18" t="s">
        <v>2338</v>
      </c>
      <c r="D555" s="63" t="s">
        <v>2345</v>
      </c>
      <c r="E555" s="50" t="s">
        <v>2347</v>
      </c>
      <c r="F555" s="57">
        <v>1700</v>
      </c>
      <c r="G555" s="76">
        <v>-170</v>
      </c>
      <c r="H555" s="57">
        <f t="shared" si="31"/>
        <v>1530</v>
      </c>
      <c r="I555" s="50">
        <v>1</v>
      </c>
      <c r="J555" s="57">
        <f t="shared" si="29"/>
        <v>1530</v>
      </c>
      <c r="K555" s="58">
        <f t="shared" si="30"/>
        <v>1683</v>
      </c>
      <c r="L555" s="18" t="s">
        <v>2336</v>
      </c>
      <c r="M555" s="50"/>
    </row>
    <row r="556" spans="1:13" ht="21.75" hidden="1" customHeight="1" x14ac:dyDescent="0.4">
      <c r="A556" s="62">
        <v>45220</v>
      </c>
      <c r="B556" s="32" t="s">
        <v>2053</v>
      </c>
      <c r="C556" s="18" t="s">
        <v>27</v>
      </c>
      <c r="D556" s="63" t="s">
        <v>28</v>
      </c>
      <c r="E556" s="50" t="s">
        <v>73</v>
      </c>
      <c r="F556" s="57">
        <v>2000</v>
      </c>
      <c r="G556" s="76"/>
      <c r="H556" s="57">
        <f t="shared" si="31"/>
        <v>2000</v>
      </c>
      <c r="I556" s="50">
        <v>1</v>
      </c>
      <c r="J556" s="57">
        <f t="shared" si="29"/>
        <v>2000</v>
      </c>
      <c r="K556" s="58">
        <f t="shared" si="30"/>
        <v>2200</v>
      </c>
      <c r="L556" s="18" t="s">
        <v>2336</v>
      </c>
      <c r="M556" s="50"/>
    </row>
    <row r="557" spans="1:13" ht="21.75" hidden="1" customHeight="1" x14ac:dyDescent="0.4">
      <c r="A557" s="62">
        <v>45220</v>
      </c>
      <c r="B557" s="32" t="s">
        <v>2432</v>
      </c>
      <c r="C557" s="18" t="s">
        <v>22</v>
      </c>
      <c r="D557" s="63" t="s">
        <v>1496</v>
      </c>
      <c r="E557" s="50" t="s">
        <v>369</v>
      </c>
      <c r="F557" s="57">
        <v>3000</v>
      </c>
      <c r="G557" s="76"/>
      <c r="H557" s="57">
        <f t="shared" si="31"/>
        <v>3000</v>
      </c>
      <c r="I557" s="50">
        <v>1</v>
      </c>
      <c r="J557" s="57">
        <f t="shared" si="29"/>
        <v>3000</v>
      </c>
      <c r="K557" s="58">
        <f t="shared" si="30"/>
        <v>3300</v>
      </c>
      <c r="L557" s="18" t="s">
        <v>2336</v>
      </c>
      <c r="M557" s="50" t="s">
        <v>1954</v>
      </c>
    </row>
    <row r="558" spans="1:13" ht="21.75" hidden="1" customHeight="1" x14ac:dyDescent="0.4">
      <c r="A558" s="62">
        <v>45220</v>
      </c>
      <c r="B558" s="32" t="s">
        <v>2433</v>
      </c>
      <c r="C558" s="18" t="s">
        <v>22</v>
      </c>
      <c r="D558" s="63" t="s">
        <v>1496</v>
      </c>
      <c r="E558" s="50" t="s">
        <v>369</v>
      </c>
      <c r="F558" s="57">
        <v>3000</v>
      </c>
      <c r="G558" s="76"/>
      <c r="H558" s="57">
        <f t="shared" si="31"/>
        <v>3000</v>
      </c>
      <c r="I558" s="50">
        <v>1</v>
      </c>
      <c r="J558" s="57">
        <f t="shared" si="29"/>
        <v>3000</v>
      </c>
      <c r="K558" s="58">
        <f t="shared" si="30"/>
        <v>3300</v>
      </c>
      <c r="L558" s="18" t="s">
        <v>25</v>
      </c>
      <c r="M558" s="50" t="s">
        <v>1954</v>
      </c>
    </row>
    <row r="559" spans="1:13" ht="21.75" hidden="1" customHeight="1" x14ac:dyDescent="0.4">
      <c r="A559" s="62">
        <v>45220</v>
      </c>
      <c r="B559" s="32" t="s">
        <v>2300</v>
      </c>
      <c r="C559" s="18" t="s">
        <v>2338</v>
      </c>
      <c r="D559" s="63" t="s">
        <v>328</v>
      </c>
      <c r="E559" s="50" t="s">
        <v>2434</v>
      </c>
      <c r="F559" s="57">
        <v>45000</v>
      </c>
      <c r="G559" s="76">
        <v>-9000</v>
      </c>
      <c r="H559" s="57">
        <f t="shared" si="31"/>
        <v>36000</v>
      </c>
      <c r="I559" s="50">
        <v>1</v>
      </c>
      <c r="J559" s="57">
        <f t="shared" si="29"/>
        <v>36000</v>
      </c>
      <c r="K559" s="58">
        <f t="shared" si="30"/>
        <v>39600</v>
      </c>
      <c r="L559" s="18" t="s">
        <v>34</v>
      </c>
      <c r="M559" s="50"/>
    </row>
    <row r="560" spans="1:13" ht="21.75" hidden="1" customHeight="1" x14ac:dyDescent="0.4">
      <c r="A560" s="62">
        <v>45220</v>
      </c>
      <c r="B560" s="32" t="s">
        <v>2300</v>
      </c>
      <c r="C560" s="18" t="s">
        <v>2338</v>
      </c>
      <c r="D560" s="63" t="s">
        <v>328</v>
      </c>
      <c r="E560" s="50" t="s">
        <v>2435</v>
      </c>
      <c r="F560" s="57">
        <v>18000</v>
      </c>
      <c r="G560" s="76">
        <v>-3600</v>
      </c>
      <c r="H560" s="57">
        <f t="shared" si="31"/>
        <v>14400</v>
      </c>
      <c r="I560" s="50">
        <v>1</v>
      </c>
      <c r="J560" s="57">
        <f t="shared" si="29"/>
        <v>14400</v>
      </c>
      <c r="K560" s="58">
        <f t="shared" si="30"/>
        <v>15840</v>
      </c>
      <c r="L560" s="18" t="s">
        <v>34</v>
      </c>
      <c r="M560" s="50"/>
    </row>
    <row r="561" spans="1:13" ht="21.75" hidden="1" customHeight="1" x14ac:dyDescent="0.4">
      <c r="A561" s="62">
        <v>45220</v>
      </c>
      <c r="B561" s="32" t="s">
        <v>2300</v>
      </c>
      <c r="C561" s="18" t="s">
        <v>2338</v>
      </c>
      <c r="D561" s="63" t="s">
        <v>332</v>
      </c>
      <c r="E561" s="50" t="s">
        <v>2436</v>
      </c>
      <c r="F561" s="57">
        <v>1500</v>
      </c>
      <c r="G561" s="76"/>
      <c r="H561" s="57">
        <f t="shared" si="31"/>
        <v>1500</v>
      </c>
      <c r="I561" s="50">
        <v>2</v>
      </c>
      <c r="J561" s="57">
        <f t="shared" ref="J561:J604" si="32">SUM(H561*I561)</f>
        <v>3000</v>
      </c>
      <c r="K561" s="58">
        <f t="shared" ref="K561:K625" si="33">ROUNDDOWN(J561*1.1,0)</f>
        <v>3300</v>
      </c>
      <c r="L561" s="18" t="s">
        <v>34</v>
      </c>
      <c r="M561" s="50"/>
    </row>
    <row r="562" spans="1:13" ht="21.75" hidden="1" customHeight="1" x14ac:dyDescent="0.4">
      <c r="A562" s="62">
        <v>45220</v>
      </c>
      <c r="B562" s="32" t="s">
        <v>2300</v>
      </c>
      <c r="C562" s="96" t="s">
        <v>2437</v>
      </c>
      <c r="D562" s="63" t="s">
        <v>23</v>
      </c>
      <c r="E562" s="50" t="s">
        <v>199</v>
      </c>
      <c r="F562" s="57">
        <v>-15000</v>
      </c>
      <c r="G562" s="76"/>
      <c r="H562" s="57">
        <f t="shared" si="31"/>
        <v>-15000</v>
      </c>
      <c r="I562" s="50">
        <v>1</v>
      </c>
      <c r="J562" s="57">
        <f t="shared" si="32"/>
        <v>-15000</v>
      </c>
      <c r="K562" s="58">
        <f t="shared" si="33"/>
        <v>-16500</v>
      </c>
      <c r="L562" s="18" t="s">
        <v>34</v>
      </c>
      <c r="M562" s="50" t="s">
        <v>2438</v>
      </c>
    </row>
    <row r="563" spans="1:13" ht="21.75" hidden="1" customHeight="1" x14ac:dyDescent="0.4">
      <c r="A563" s="62">
        <v>45221</v>
      </c>
      <c r="B563" s="32" t="s">
        <v>2363</v>
      </c>
      <c r="C563" s="18" t="s">
        <v>2338</v>
      </c>
      <c r="D563" s="63" t="s">
        <v>426</v>
      </c>
      <c r="E563" s="50" t="s">
        <v>2347</v>
      </c>
      <c r="F563" s="57">
        <v>1700</v>
      </c>
      <c r="G563" s="76">
        <v>-170</v>
      </c>
      <c r="H563" s="57">
        <f t="shared" si="31"/>
        <v>1530</v>
      </c>
      <c r="I563" s="50">
        <v>1</v>
      </c>
      <c r="J563" s="57">
        <f t="shared" si="32"/>
        <v>1530</v>
      </c>
      <c r="K563" s="58">
        <f t="shared" si="33"/>
        <v>1683</v>
      </c>
      <c r="L563" s="18" t="s">
        <v>34</v>
      </c>
      <c r="M563" s="50"/>
    </row>
    <row r="564" spans="1:13" ht="21.75" hidden="1" customHeight="1" x14ac:dyDescent="0.4">
      <c r="A564" s="62">
        <v>45221</v>
      </c>
      <c r="B564" s="32" t="s">
        <v>2439</v>
      </c>
      <c r="C564" s="18" t="s">
        <v>22</v>
      </c>
      <c r="D564" s="63" t="s">
        <v>23</v>
      </c>
      <c r="E564" s="50" t="s">
        <v>1941</v>
      </c>
      <c r="F564" s="57">
        <v>15000</v>
      </c>
      <c r="G564" s="76"/>
      <c r="H564" s="57">
        <f t="shared" si="31"/>
        <v>15000</v>
      </c>
      <c r="I564" s="50">
        <v>1</v>
      </c>
      <c r="J564" s="57">
        <f t="shared" si="32"/>
        <v>15000</v>
      </c>
      <c r="K564" s="58">
        <f t="shared" si="33"/>
        <v>16500</v>
      </c>
      <c r="L564" s="18" t="s">
        <v>25</v>
      </c>
      <c r="M564" s="50" t="s">
        <v>1954</v>
      </c>
    </row>
    <row r="565" spans="1:13" ht="21.75" hidden="1" customHeight="1" x14ac:dyDescent="0.4">
      <c r="A565" s="62">
        <v>45221</v>
      </c>
      <c r="B565" s="32" t="s">
        <v>2439</v>
      </c>
      <c r="C565" s="18" t="s">
        <v>2338</v>
      </c>
      <c r="D565" s="63" t="s">
        <v>328</v>
      </c>
      <c r="E565" s="106" t="s">
        <v>2440</v>
      </c>
      <c r="F565" s="57">
        <v>30000</v>
      </c>
      <c r="G565" s="76">
        <v>-6000</v>
      </c>
      <c r="H565" s="57">
        <f t="shared" si="31"/>
        <v>24000</v>
      </c>
      <c r="I565" s="50">
        <v>1</v>
      </c>
      <c r="J565" s="57">
        <f t="shared" si="32"/>
        <v>24000</v>
      </c>
      <c r="K565" s="58">
        <f t="shared" si="33"/>
        <v>26400</v>
      </c>
      <c r="L565" s="18" t="s">
        <v>34</v>
      </c>
      <c r="M565" s="50"/>
    </row>
    <row r="566" spans="1:13" ht="21.75" hidden="1" customHeight="1" x14ac:dyDescent="0.4">
      <c r="A566" s="62">
        <v>45221</v>
      </c>
      <c r="B566" s="32" t="s">
        <v>2439</v>
      </c>
      <c r="C566" s="18" t="s">
        <v>2338</v>
      </c>
      <c r="D566" s="63" t="s">
        <v>332</v>
      </c>
      <c r="E566" s="50" t="s">
        <v>2373</v>
      </c>
      <c r="F566" s="57">
        <v>1090</v>
      </c>
      <c r="G566" s="76"/>
      <c r="H566" s="57">
        <f t="shared" si="31"/>
        <v>1090</v>
      </c>
      <c r="I566" s="50">
        <v>1</v>
      </c>
      <c r="J566" s="57">
        <f t="shared" si="32"/>
        <v>1090</v>
      </c>
      <c r="K566" s="58">
        <f t="shared" si="33"/>
        <v>1199</v>
      </c>
      <c r="L566" s="18" t="s">
        <v>34</v>
      </c>
      <c r="M566" s="50"/>
    </row>
    <row r="567" spans="1:13" ht="21.75" hidden="1" customHeight="1" x14ac:dyDescent="0.4">
      <c r="A567" s="62">
        <v>45221</v>
      </c>
      <c r="B567" s="32" t="s">
        <v>2439</v>
      </c>
      <c r="C567" s="18" t="s">
        <v>2338</v>
      </c>
      <c r="D567" s="63" t="s">
        <v>332</v>
      </c>
      <c r="E567" s="50" t="s">
        <v>2356</v>
      </c>
      <c r="F567" s="57">
        <v>1200</v>
      </c>
      <c r="G567" s="76"/>
      <c r="H567" s="57">
        <f t="shared" si="31"/>
        <v>1200</v>
      </c>
      <c r="I567" s="50">
        <v>1</v>
      </c>
      <c r="J567" s="57">
        <f t="shared" si="32"/>
        <v>1200</v>
      </c>
      <c r="K567" s="58">
        <f t="shared" si="33"/>
        <v>1320</v>
      </c>
      <c r="L567" s="18" t="s">
        <v>34</v>
      </c>
      <c r="M567" s="50"/>
    </row>
    <row r="568" spans="1:13" ht="21.75" hidden="1" customHeight="1" x14ac:dyDescent="0.4">
      <c r="A568" s="62">
        <v>45221</v>
      </c>
      <c r="B568" s="32" t="s">
        <v>2439</v>
      </c>
      <c r="C568" s="96" t="s">
        <v>2437</v>
      </c>
      <c r="D568" s="63" t="s">
        <v>23</v>
      </c>
      <c r="E568" s="50" t="s">
        <v>199</v>
      </c>
      <c r="F568" s="57">
        <v>-14546</v>
      </c>
      <c r="G568" s="76"/>
      <c r="H568" s="57">
        <f t="shared" si="31"/>
        <v>-14546</v>
      </c>
      <c r="I568" s="50">
        <v>1</v>
      </c>
      <c r="J568" s="57">
        <f t="shared" si="32"/>
        <v>-14546</v>
      </c>
      <c r="K568" s="58">
        <f t="shared" si="33"/>
        <v>-16000</v>
      </c>
      <c r="L568" s="18" t="s">
        <v>34</v>
      </c>
      <c r="M568" s="50"/>
    </row>
    <row r="569" spans="1:13" ht="21.75" hidden="1" customHeight="1" x14ac:dyDescent="0.4">
      <c r="A569" s="62">
        <v>45222</v>
      </c>
      <c r="B569" s="32" t="s">
        <v>2441</v>
      </c>
      <c r="C569" s="18" t="s">
        <v>27</v>
      </c>
      <c r="D569" s="63" t="s">
        <v>28</v>
      </c>
      <c r="E569" s="50" t="s">
        <v>318</v>
      </c>
      <c r="F569" s="57">
        <v>15000</v>
      </c>
      <c r="G569" s="76"/>
      <c r="H569" s="57">
        <f t="shared" si="31"/>
        <v>15000</v>
      </c>
      <c r="I569" s="50">
        <v>1</v>
      </c>
      <c r="J569" s="57">
        <f t="shared" si="32"/>
        <v>15000</v>
      </c>
      <c r="K569" s="58">
        <f t="shared" si="33"/>
        <v>16500</v>
      </c>
      <c r="L569" s="18" t="s">
        <v>25</v>
      </c>
      <c r="M569" s="50"/>
    </row>
    <row r="570" spans="1:13" ht="21.75" hidden="1" customHeight="1" x14ac:dyDescent="0.4">
      <c r="A570" s="62">
        <v>45222</v>
      </c>
      <c r="B570" s="32" t="s">
        <v>2441</v>
      </c>
      <c r="C570" s="18" t="s">
        <v>27</v>
      </c>
      <c r="D570" s="63" t="s">
        <v>28</v>
      </c>
      <c r="E570" s="50" t="s">
        <v>2394</v>
      </c>
      <c r="F570" s="57">
        <v>17500</v>
      </c>
      <c r="G570" s="76"/>
      <c r="H570" s="57">
        <f t="shared" si="31"/>
        <v>17500</v>
      </c>
      <c r="I570" s="50">
        <v>1</v>
      </c>
      <c r="J570" s="57">
        <f t="shared" si="32"/>
        <v>17500</v>
      </c>
      <c r="K570" s="58">
        <f t="shared" si="33"/>
        <v>19250</v>
      </c>
      <c r="L570" s="18" t="s">
        <v>25</v>
      </c>
      <c r="M570" s="50"/>
    </row>
    <row r="571" spans="1:13" ht="21.75" hidden="1" customHeight="1" x14ac:dyDescent="0.4">
      <c r="A571" s="62">
        <v>45222</v>
      </c>
      <c r="B571" s="32" t="s">
        <v>1401</v>
      </c>
      <c r="C571" s="18" t="s">
        <v>22</v>
      </c>
      <c r="D571" s="63" t="s">
        <v>23</v>
      </c>
      <c r="E571" s="50" t="s">
        <v>2442</v>
      </c>
      <c r="F571" s="57">
        <v>10000</v>
      </c>
      <c r="G571" s="76"/>
      <c r="H571" s="57">
        <f t="shared" si="31"/>
        <v>10000</v>
      </c>
      <c r="I571" s="50">
        <v>1</v>
      </c>
      <c r="J571" s="57">
        <f t="shared" si="32"/>
        <v>10000</v>
      </c>
      <c r="K571" s="58">
        <f t="shared" si="33"/>
        <v>11000</v>
      </c>
      <c r="L571" s="18" t="s">
        <v>25</v>
      </c>
      <c r="M571" s="50"/>
    </row>
    <row r="572" spans="1:13" ht="21.75" hidden="1" customHeight="1" x14ac:dyDescent="0.4">
      <c r="A572" s="62">
        <v>45222</v>
      </c>
      <c r="B572" s="32" t="s">
        <v>1401</v>
      </c>
      <c r="C572" s="18" t="s">
        <v>2338</v>
      </c>
      <c r="D572" s="63" t="s">
        <v>328</v>
      </c>
      <c r="E572" s="50" t="s">
        <v>2443</v>
      </c>
      <c r="F572" s="57">
        <v>40000</v>
      </c>
      <c r="G572" s="76">
        <v>-12000</v>
      </c>
      <c r="H572" s="57">
        <f t="shared" si="31"/>
        <v>28000</v>
      </c>
      <c r="I572" s="50">
        <v>2</v>
      </c>
      <c r="J572" s="57">
        <f t="shared" si="32"/>
        <v>56000</v>
      </c>
      <c r="K572" s="58">
        <f t="shared" si="33"/>
        <v>61600</v>
      </c>
      <c r="L572" s="18" t="s">
        <v>34</v>
      </c>
      <c r="M572" s="50"/>
    </row>
    <row r="573" spans="1:13" ht="21.75" hidden="1" customHeight="1" x14ac:dyDescent="0.4">
      <c r="A573" s="62">
        <v>45222</v>
      </c>
      <c r="B573" s="32" t="s">
        <v>1401</v>
      </c>
      <c r="C573" s="18" t="s">
        <v>2338</v>
      </c>
      <c r="D573" s="63" t="s">
        <v>332</v>
      </c>
      <c r="E573" s="50" t="s">
        <v>2445</v>
      </c>
      <c r="F573" s="57">
        <v>1200</v>
      </c>
      <c r="G573" s="76">
        <v>-120</v>
      </c>
      <c r="H573" s="57">
        <f t="shared" si="31"/>
        <v>1080</v>
      </c>
      <c r="I573" s="50">
        <v>2</v>
      </c>
      <c r="J573" s="57">
        <f t="shared" si="32"/>
        <v>2160</v>
      </c>
      <c r="K573" s="58">
        <f t="shared" si="33"/>
        <v>2376</v>
      </c>
      <c r="L573" s="18" t="s">
        <v>34</v>
      </c>
      <c r="M573" s="50"/>
    </row>
    <row r="574" spans="1:13" ht="21.75" hidden="1" customHeight="1" x14ac:dyDescent="0.4">
      <c r="A574" s="62">
        <v>45222</v>
      </c>
      <c r="B574" s="32" t="s">
        <v>1401</v>
      </c>
      <c r="C574" s="96" t="s">
        <v>2437</v>
      </c>
      <c r="D574" s="63" t="s">
        <v>23</v>
      </c>
      <c r="E574" s="50" t="s">
        <v>199</v>
      </c>
      <c r="F574" s="57">
        <v>-10000</v>
      </c>
      <c r="G574" s="76"/>
      <c r="H574" s="57">
        <f t="shared" si="31"/>
        <v>-10000</v>
      </c>
      <c r="I574" s="50">
        <v>1</v>
      </c>
      <c r="J574" s="57">
        <f t="shared" si="32"/>
        <v>-10000</v>
      </c>
      <c r="K574" s="58">
        <f t="shared" si="33"/>
        <v>-11000</v>
      </c>
      <c r="L574" s="18" t="s">
        <v>34</v>
      </c>
      <c r="M574" s="50" t="s">
        <v>2446</v>
      </c>
    </row>
    <row r="575" spans="1:13" ht="21.75" hidden="1" customHeight="1" x14ac:dyDescent="0.4">
      <c r="A575" s="62">
        <v>45222</v>
      </c>
      <c r="B575" s="32" t="s">
        <v>2447</v>
      </c>
      <c r="C575" s="18" t="s">
        <v>2338</v>
      </c>
      <c r="D575" s="63" t="s">
        <v>332</v>
      </c>
      <c r="E575" s="50" t="s">
        <v>2448</v>
      </c>
      <c r="F575" s="57">
        <v>5000</v>
      </c>
      <c r="G575" s="76"/>
      <c r="H575" s="57">
        <f t="shared" si="31"/>
        <v>5000</v>
      </c>
      <c r="I575" s="50">
        <v>1</v>
      </c>
      <c r="J575" s="57">
        <f t="shared" si="32"/>
        <v>5000</v>
      </c>
      <c r="K575" s="58">
        <f t="shared" si="33"/>
        <v>5500</v>
      </c>
      <c r="L575" s="18" t="s">
        <v>25</v>
      </c>
      <c r="M575" s="50"/>
    </row>
    <row r="576" spans="1:13" ht="21.75" hidden="1" customHeight="1" x14ac:dyDescent="0.4">
      <c r="A576" s="62">
        <v>45224</v>
      </c>
      <c r="B576" s="32" t="s">
        <v>2449</v>
      </c>
      <c r="C576" s="18" t="s">
        <v>27</v>
      </c>
      <c r="D576" s="63" t="s">
        <v>28</v>
      </c>
      <c r="E576" s="50" t="s">
        <v>318</v>
      </c>
      <c r="F576" s="57">
        <v>15000</v>
      </c>
      <c r="G576" s="76"/>
      <c r="H576" s="57">
        <f t="shared" si="31"/>
        <v>15000</v>
      </c>
      <c r="I576" s="50">
        <v>1</v>
      </c>
      <c r="J576" s="57">
        <f t="shared" si="32"/>
        <v>15000</v>
      </c>
      <c r="K576" s="58">
        <f t="shared" si="33"/>
        <v>16500</v>
      </c>
      <c r="L576" s="18" t="s">
        <v>2336</v>
      </c>
      <c r="M576" s="50"/>
    </row>
    <row r="577" spans="1:13" ht="21.75" hidden="1" customHeight="1" x14ac:dyDescent="0.4">
      <c r="A577" s="62">
        <v>45224</v>
      </c>
      <c r="B577" s="32" t="s">
        <v>2449</v>
      </c>
      <c r="C577" s="18" t="s">
        <v>27</v>
      </c>
      <c r="D577" s="63" t="s">
        <v>28</v>
      </c>
      <c r="E577" s="50" t="s">
        <v>1897</v>
      </c>
      <c r="F577" s="57">
        <v>17500</v>
      </c>
      <c r="G577" s="76"/>
      <c r="H577" s="57">
        <f t="shared" si="31"/>
        <v>17500</v>
      </c>
      <c r="I577" s="50">
        <v>1</v>
      </c>
      <c r="J577" s="57">
        <f t="shared" si="32"/>
        <v>17500</v>
      </c>
      <c r="K577" s="58">
        <f t="shared" si="33"/>
        <v>19250</v>
      </c>
      <c r="L577" s="18" t="s">
        <v>2336</v>
      </c>
      <c r="M577" s="50"/>
    </row>
    <row r="578" spans="1:13" ht="21.75" hidden="1" customHeight="1" x14ac:dyDescent="0.4">
      <c r="A578" s="62">
        <v>45224</v>
      </c>
      <c r="B578" s="32" t="s">
        <v>1924</v>
      </c>
      <c r="C578" s="18" t="s">
        <v>22</v>
      </c>
      <c r="D578" s="63" t="s">
        <v>23</v>
      </c>
      <c r="E578" s="50" t="s">
        <v>2450</v>
      </c>
      <c r="F578" s="57">
        <v>15000</v>
      </c>
      <c r="G578" s="76"/>
      <c r="H578" s="57">
        <f t="shared" si="31"/>
        <v>15000</v>
      </c>
      <c r="I578" s="50">
        <v>1</v>
      </c>
      <c r="J578" s="57">
        <f t="shared" si="32"/>
        <v>15000</v>
      </c>
      <c r="K578" s="58">
        <f t="shared" si="33"/>
        <v>16500</v>
      </c>
      <c r="L578" s="18" t="s">
        <v>25</v>
      </c>
      <c r="M578" s="50"/>
    </row>
    <row r="579" spans="1:13" ht="21.75" hidden="1" customHeight="1" x14ac:dyDescent="0.4">
      <c r="A579" s="62">
        <v>45224</v>
      </c>
      <c r="B579" s="32" t="s">
        <v>1924</v>
      </c>
      <c r="C579" s="18" t="s">
        <v>2338</v>
      </c>
      <c r="D579" s="63" t="s">
        <v>328</v>
      </c>
      <c r="E579" s="50" t="s">
        <v>2451</v>
      </c>
      <c r="F579" s="57">
        <v>50000</v>
      </c>
      <c r="G579" s="76">
        <v>-15000</v>
      </c>
      <c r="H579" s="57">
        <f t="shared" si="31"/>
        <v>35000</v>
      </c>
      <c r="I579" s="50">
        <v>1</v>
      </c>
      <c r="J579" s="57">
        <f t="shared" si="32"/>
        <v>35000</v>
      </c>
      <c r="K579" s="58">
        <f t="shared" si="33"/>
        <v>38500</v>
      </c>
      <c r="L579" s="18" t="s">
        <v>34</v>
      </c>
      <c r="M579" s="50"/>
    </row>
    <row r="580" spans="1:13" ht="21.75" hidden="1" customHeight="1" x14ac:dyDescent="0.4">
      <c r="A580" s="62">
        <v>45224</v>
      </c>
      <c r="B580" s="32" t="s">
        <v>1924</v>
      </c>
      <c r="C580" s="18" t="s">
        <v>2338</v>
      </c>
      <c r="D580" s="63" t="s">
        <v>328</v>
      </c>
      <c r="E580" s="50" t="s">
        <v>2452</v>
      </c>
      <c r="F580" s="57">
        <v>28000</v>
      </c>
      <c r="G580" s="76">
        <v>-8400</v>
      </c>
      <c r="H580" s="57">
        <f t="shared" si="31"/>
        <v>19600</v>
      </c>
      <c r="I580" s="50">
        <v>1</v>
      </c>
      <c r="J580" s="57">
        <f t="shared" si="32"/>
        <v>19600</v>
      </c>
      <c r="K580" s="58">
        <f t="shared" si="33"/>
        <v>21560</v>
      </c>
      <c r="L580" s="18" t="s">
        <v>34</v>
      </c>
      <c r="M580" s="50"/>
    </row>
    <row r="581" spans="1:13" ht="21.75" hidden="1" customHeight="1" x14ac:dyDescent="0.4">
      <c r="A581" s="62">
        <v>45224</v>
      </c>
      <c r="B581" s="32" t="s">
        <v>1924</v>
      </c>
      <c r="C581" s="18" t="s">
        <v>2338</v>
      </c>
      <c r="D581" s="63" t="s">
        <v>328</v>
      </c>
      <c r="E581" s="50" t="s">
        <v>2453</v>
      </c>
      <c r="F581" s="57">
        <v>18000</v>
      </c>
      <c r="G581" s="76">
        <v>-5400</v>
      </c>
      <c r="H581" s="57">
        <f t="shared" si="31"/>
        <v>12600</v>
      </c>
      <c r="I581" s="50">
        <v>1</v>
      </c>
      <c r="J581" s="57">
        <f t="shared" si="32"/>
        <v>12600</v>
      </c>
      <c r="K581" s="58">
        <f t="shared" si="33"/>
        <v>13860</v>
      </c>
      <c r="L581" s="18" t="s">
        <v>34</v>
      </c>
      <c r="M581" s="50"/>
    </row>
    <row r="582" spans="1:13" ht="21.75" hidden="1" customHeight="1" x14ac:dyDescent="0.4">
      <c r="A582" s="62">
        <v>45224</v>
      </c>
      <c r="B582" s="32" t="s">
        <v>1924</v>
      </c>
      <c r="C582" s="18" t="s">
        <v>2338</v>
      </c>
      <c r="D582" s="63" t="s">
        <v>332</v>
      </c>
      <c r="E582" s="50" t="s">
        <v>2341</v>
      </c>
      <c r="F582" s="57">
        <v>1090</v>
      </c>
      <c r="G582" s="76">
        <v>-109</v>
      </c>
      <c r="H582" s="57">
        <f t="shared" si="31"/>
        <v>981</v>
      </c>
      <c r="I582" s="50">
        <v>3</v>
      </c>
      <c r="J582" s="57">
        <f t="shared" si="32"/>
        <v>2943</v>
      </c>
      <c r="K582" s="58">
        <f t="shared" si="33"/>
        <v>3237</v>
      </c>
      <c r="L582" s="18" t="s">
        <v>34</v>
      </c>
      <c r="M582" s="50"/>
    </row>
    <row r="583" spans="1:13" ht="21.75" hidden="1" customHeight="1" x14ac:dyDescent="0.4">
      <c r="A583" s="62">
        <v>45225</v>
      </c>
      <c r="B583" s="32" t="s">
        <v>2454</v>
      </c>
      <c r="C583" s="18" t="s">
        <v>22</v>
      </c>
      <c r="D583" s="63" t="s">
        <v>1496</v>
      </c>
      <c r="E583" s="50" t="s">
        <v>369</v>
      </c>
      <c r="F583" s="57">
        <v>3000</v>
      </c>
      <c r="G583" s="76"/>
      <c r="H583" s="57">
        <f t="shared" si="31"/>
        <v>3000</v>
      </c>
      <c r="I583" s="50">
        <v>1</v>
      </c>
      <c r="J583" s="57">
        <f t="shared" si="32"/>
        <v>3000</v>
      </c>
      <c r="K583" s="58">
        <f t="shared" si="33"/>
        <v>3300</v>
      </c>
      <c r="L583" s="18" t="s">
        <v>25</v>
      </c>
      <c r="M583" s="50"/>
    </row>
    <row r="584" spans="1:13" ht="21.75" hidden="1" customHeight="1" x14ac:dyDescent="0.4">
      <c r="A584" s="62">
        <v>45226</v>
      </c>
      <c r="B584" s="32" t="s">
        <v>2433</v>
      </c>
      <c r="C584" s="18" t="s">
        <v>27</v>
      </c>
      <c r="D584" s="63" t="s">
        <v>28</v>
      </c>
      <c r="E584" s="50" t="s">
        <v>318</v>
      </c>
      <c r="F584" s="57">
        <v>15000</v>
      </c>
      <c r="G584" s="76"/>
      <c r="H584" s="57">
        <f t="shared" si="31"/>
        <v>15000</v>
      </c>
      <c r="I584" s="50">
        <v>1</v>
      </c>
      <c r="J584" s="57">
        <f t="shared" si="32"/>
        <v>15000</v>
      </c>
      <c r="K584" s="58">
        <f t="shared" si="33"/>
        <v>16500</v>
      </c>
      <c r="L584" s="18" t="s">
        <v>25</v>
      </c>
      <c r="M584" s="50"/>
    </row>
    <row r="585" spans="1:13" ht="21.75" hidden="1" customHeight="1" x14ac:dyDescent="0.4">
      <c r="A585" s="62">
        <v>45226</v>
      </c>
      <c r="B585" s="32" t="s">
        <v>2433</v>
      </c>
      <c r="C585" s="18" t="s">
        <v>27</v>
      </c>
      <c r="D585" s="63" t="s">
        <v>28</v>
      </c>
      <c r="E585" s="50" t="s">
        <v>1897</v>
      </c>
      <c r="F585" s="57">
        <v>17500</v>
      </c>
      <c r="G585" s="76"/>
      <c r="H585" s="57">
        <f t="shared" si="31"/>
        <v>17500</v>
      </c>
      <c r="I585" s="50">
        <v>1</v>
      </c>
      <c r="J585" s="57">
        <f t="shared" si="32"/>
        <v>17500</v>
      </c>
      <c r="K585" s="58">
        <f t="shared" si="33"/>
        <v>19250</v>
      </c>
      <c r="L585" s="18" t="s">
        <v>25</v>
      </c>
      <c r="M585" s="50"/>
    </row>
    <row r="586" spans="1:13" ht="21.75" hidden="1" customHeight="1" x14ac:dyDescent="0.4">
      <c r="A586" s="62">
        <v>45226</v>
      </c>
      <c r="B586" s="32" t="s">
        <v>179</v>
      </c>
      <c r="C586" s="18" t="s">
        <v>2338</v>
      </c>
      <c r="D586" s="63" t="s">
        <v>455</v>
      </c>
      <c r="E586" s="50" t="s">
        <v>2357</v>
      </c>
      <c r="F586" s="57">
        <v>1600</v>
      </c>
      <c r="G586" s="76">
        <v>-160</v>
      </c>
      <c r="H586" s="57">
        <f t="shared" si="31"/>
        <v>1440</v>
      </c>
      <c r="I586" s="50">
        <v>1</v>
      </c>
      <c r="J586" s="57">
        <f t="shared" si="32"/>
        <v>1440</v>
      </c>
      <c r="K586" s="58">
        <f t="shared" si="33"/>
        <v>1584</v>
      </c>
      <c r="L586" s="18" t="s">
        <v>2336</v>
      </c>
      <c r="M586" s="50"/>
    </row>
    <row r="587" spans="1:13" ht="21.75" hidden="1" customHeight="1" x14ac:dyDescent="0.4">
      <c r="A587" s="62">
        <v>45226</v>
      </c>
      <c r="B587" s="32" t="s">
        <v>2455</v>
      </c>
      <c r="C587" s="18" t="s">
        <v>22</v>
      </c>
      <c r="D587" s="63" t="s">
        <v>23</v>
      </c>
      <c r="E587" s="50" t="s">
        <v>2442</v>
      </c>
      <c r="F587" s="57">
        <v>10000</v>
      </c>
      <c r="G587" s="76"/>
      <c r="H587" s="57">
        <f t="shared" si="31"/>
        <v>10000</v>
      </c>
      <c r="I587" s="50">
        <v>1</v>
      </c>
      <c r="J587" s="57">
        <f t="shared" si="32"/>
        <v>10000</v>
      </c>
      <c r="K587" s="58">
        <f t="shared" si="33"/>
        <v>11000</v>
      </c>
      <c r="L587" s="18" t="s">
        <v>25</v>
      </c>
      <c r="M587" s="50"/>
    </row>
    <row r="588" spans="1:13" ht="21.75" hidden="1" customHeight="1" x14ac:dyDescent="0.4">
      <c r="A588" s="62">
        <v>45227</v>
      </c>
      <c r="B588" s="32" t="s">
        <v>678</v>
      </c>
      <c r="C588" s="18" t="s">
        <v>2338</v>
      </c>
      <c r="D588" s="63" t="s">
        <v>332</v>
      </c>
      <c r="E588" s="50" t="s">
        <v>2445</v>
      </c>
      <c r="F588" s="57">
        <v>1200</v>
      </c>
      <c r="G588" s="76">
        <v>-120</v>
      </c>
      <c r="H588" s="57">
        <f t="shared" si="31"/>
        <v>1080</v>
      </c>
      <c r="I588" s="50">
        <v>1</v>
      </c>
      <c r="J588" s="57">
        <f t="shared" si="32"/>
        <v>1080</v>
      </c>
      <c r="K588" s="58">
        <f t="shared" si="33"/>
        <v>1188</v>
      </c>
      <c r="L588" s="18" t="s">
        <v>2336</v>
      </c>
      <c r="M588" s="50"/>
    </row>
    <row r="589" spans="1:13" ht="21.75" hidden="1" customHeight="1" x14ac:dyDescent="0.4">
      <c r="A589" s="62">
        <v>45227</v>
      </c>
      <c r="B589" s="32" t="s">
        <v>2456</v>
      </c>
      <c r="C589" s="18" t="s">
        <v>2457</v>
      </c>
      <c r="D589" s="63" t="s">
        <v>2458</v>
      </c>
      <c r="E589" s="50" t="s">
        <v>2459</v>
      </c>
      <c r="F589" s="57">
        <v>15000</v>
      </c>
      <c r="G589" s="76"/>
      <c r="H589" s="57">
        <f t="shared" si="31"/>
        <v>15000</v>
      </c>
      <c r="I589" s="50">
        <v>1</v>
      </c>
      <c r="J589" s="57">
        <f t="shared" si="32"/>
        <v>15000</v>
      </c>
      <c r="K589" s="58">
        <f t="shared" si="33"/>
        <v>16500</v>
      </c>
      <c r="L589" s="18" t="s">
        <v>25</v>
      </c>
      <c r="M589" s="50"/>
    </row>
    <row r="590" spans="1:13" ht="21.75" hidden="1" customHeight="1" x14ac:dyDescent="0.4">
      <c r="A590" s="62">
        <v>45227</v>
      </c>
      <c r="B590" s="32" t="s">
        <v>1924</v>
      </c>
      <c r="C590" s="18" t="s">
        <v>2338</v>
      </c>
      <c r="D590" s="63" t="s">
        <v>328</v>
      </c>
      <c r="E590" s="50" t="s">
        <v>2460</v>
      </c>
      <c r="F590" s="57">
        <v>5300</v>
      </c>
      <c r="G590" s="76">
        <v>-530</v>
      </c>
      <c r="H590" s="57">
        <f t="shared" si="31"/>
        <v>4770</v>
      </c>
      <c r="I590" s="50">
        <v>6</v>
      </c>
      <c r="J590" s="57">
        <f t="shared" si="32"/>
        <v>28620</v>
      </c>
      <c r="K590" s="58">
        <f t="shared" si="33"/>
        <v>31482</v>
      </c>
      <c r="L590" s="18" t="s">
        <v>34</v>
      </c>
      <c r="M590" s="50"/>
    </row>
    <row r="591" spans="1:13" ht="21.75" hidden="1" customHeight="1" x14ac:dyDescent="0.4">
      <c r="A591" s="62">
        <v>45227</v>
      </c>
      <c r="B591" s="32" t="s">
        <v>1924</v>
      </c>
      <c r="C591" s="18" t="s">
        <v>2338</v>
      </c>
      <c r="D591" s="63" t="s">
        <v>455</v>
      </c>
      <c r="E591" s="50" t="s">
        <v>2461</v>
      </c>
      <c r="F591" s="57">
        <v>1090</v>
      </c>
      <c r="G591" s="76">
        <v>-109</v>
      </c>
      <c r="H591" s="57">
        <f t="shared" si="31"/>
        <v>981</v>
      </c>
      <c r="I591" s="50">
        <v>2</v>
      </c>
      <c r="J591" s="57">
        <f t="shared" si="32"/>
        <v>1962</v>
      </c>
      <c r="K591" s="58">
        <f t="shared" si="33"/>
        <v>2158</v>
      </c>
      <c r="L591" s="18" t="s">
        <v>34</v>
      </c>
      <c r="M591" s="50"/>
    </row>
    <row r="592" spans="1:13" ht="21.75" hidden="1" customHeight="1" x14ac:dyDescent="0.4">
      <c r="A592" s="62">
        <v>45227</v>
      </c>
      <c r="B592" s="32" t="s">
        <v>1924</v>
      </c>
      <c r="C592" s="18" t="s">
        <v>2338</v>
      </c>
      <c r="D592" s="63" t="s">
        <v>455</v>
      </c>
      <c r="E592" s="50" t="s">
        <v>2470</v>
      </c>
      <c r="F592" s="57">
        <v>1090</v>
      </c>
      <c r="G592" s="76">
        <v>-109</v>
      </c>
      <c r="H592" s="57">
        <f t="shared" si="31"/>
        <v>981</v>
      </c>
      <c r="I592" s="50">
        <v>6</v>
      </c>
      <c r="J592" s="57">
        <f t="shared" si="32"/>
        <v>5886</v>
      </c>
      <c r="K592" s="58">
        <f t="shared" si="33"/>
        <v>6474</v>
      </c>
      <c r="L592" s="18" t="s">
        <v>34</v>
      </c>
      <c r="M592" s="50"/>
    </row>
    <row r="593" spans="1:15" ht="21.75" hidden="1" customHeight="1" x14ac:dyDescent="0.4">
      <c r="A593" s="62">
        <v>45228</v>
      </c>
      <c r="B593" s="32" t="s">
        <v>1401</v>
      </c>
      <c r="C593" s="18" t="s">
        <v>27</v>
      </c>
      <c r="D593" s="63" t="s">
        <v>103</v>
      </c>
      <c r="E593" s="50" t="s">
        <v>104</v>
      </c>
      <c r="F593" s="57">
        <v>2500</v>
      </c>
      <c r="G593" s="76"/>
      <c r="H593" s="57">
        <f t="shared" ref="H593:H604" si="34">SUM(F593:G593)</f>
        <v>2500</v>
      </c>
      <c r="I593" s="50">
        <v>1</v>
      </c>
      <c r="J593" s="57">
        <f t="shared" si="32"/>
        <v>2500</v>
      </c>
      <c r="K593" s="58">
        <f t="shared" si="33"/>
        <v>2750</v>
      </c>
      <c r="L593" s="18" t="s">
        <v>2336</v>
      </c>
      <c r="M593" s="50"/>
    </row>
    <row r="594" spans="1:15" ht="21.75" hidden="1" customHeight="1" x14ac:dyDescent="0.4">
      <c r="A594" s="62">
        <v>45228</v>
      </c>
      <c r="B594" s="32" t="s">
        <v>1401</v>
      </c>
      <c r="C594" s="18" t="s">
        <v>2338</v>
      </c>
      <c r="D594" s="63" t="s">
        <v>328</v>
      </c>
      <c r="E594" s="50" t="s">
        <v>2171</v>
      </c>
      <c r="F594" s="57">
        <v>18000</v>
      </c>
      <c r="G594" s="76">
        <v>-1800</v>
      </c>
      <c r="H594" s="57">
        <f t="shared" si="34"/>
        <v>16200</v>
      </c>
      <c r="I594" s="50">
        <v>2</v>
      </c>
      <c r="J594" s="57">
        <f t="shared" si="32"/>
        <v>32400</v>
      </c>
      <c r="K594" s="58">
        <f t="shared" si="33"/>
        <v>35640</v>
      </c>
      <c r="L594" s="18" t="s">
        <v>34</v>
      </c>
      <c r="M594" s="50"/>
    </row>
    <row r="595" spans="1:15" ht="21.75" hidden="1" customHeight="1" x14ac:dyDescent="0.4">
      <c r="A595" s="62">
        <v>45228</v>
      </c>
      <c r="B595" s="32" t="s">
        <v>1401</v>
      </c>
      <c r="C595" s="18" t="s">
        <v>2338</v>
      </c>
      <c r="D595" s="63" t="s">
        <v>455</v>
      </c>
      <c r="E595" s="50" t="s">
        <v>2444</v>
      </c>
      <c r="F595" s="57">
        <v>1200</v>
      </c>
      <c r="G595" s="76">
        <v>-120</v>
      </c>
      <c r="H595" s="57">
        <f t="shared" si="34"/>
        <v>1080</v>
      </c>
      <c r="I595" s="50">
        <v>2</v>
      </c>
      <c r="J595" s="57">
        <f t="shared" si="32"/>
        <v>2160</v>
      </c>
      <c r="K595" s="58">
        <f t="shared" si="33"/>
        <v>2376</v>
      </c>
      <c r="L595" s="18" t="s">
        <v>34</v>
      </c>
      <c r="M595" s="50"/>
    </row>
    <row r="596" spans="1:15" ht="21.75" hidden="1" customHeight="1" x14ac:dyDescent="0.4">
      <c r="A596" s="62">
        <v>45228</v>
      </c>
      <c r="B596" s="32" t="s">
        <v>2363</v>
      </c>
      <c r="C596" s="18" t="s">
        <v>27</v>
      </c>
      <c r="D596" s="63" t="s">
        <v>28</v>
      </c>
      <c r="E596" s="50" t="s">
        <v>1897</v>
      </c>
      <c r="F596" s="57">
        <v>17500</v>
      </c>
      <c r="G596" s="76"/>
      <c r="H596" s="57">
        <f t="shared" si="34"/>
        <v>17500</v>
      </c>
      <c r="I596" s="50">
        <v>1</v>
      </c>
      <c r="J596" s="57">
        <f t="shared" si="32"/>
        <v>17500</v>
      </c>
      <c r="K596" s="58">
        <f t="shared" si="33"/>
        <v>19250</v>
      </c>
      <c r="L596" s="18" t="s">
        <v>2336</v>
      </c>
      <c r="M596" s="50"/>
    </row>
    <row r="597" spans="1:15" ht="21.75" hidden="1" customHeight="1" x14ac:dyDescent="0.4">
      <c r="A597" s="62">
        <v>45228</v>
      </c>
      <c r="B597" s="32" t="s">
        <v>1861</v>
      </c>
      <c r="C597" s="18" t="s">
        <v>2457</v>
      </c>
      <c r="D597" s="63" t="s">
        <v>1615</v>
      </c>
      <c r="E597" s="50" t="s">
        <v>2459</v>
      </c>
      <c r="F597" s="57">
        <v>15000</v>
      </c>
      <c r="G597" s="76"/>
      <c r="H597" s="57">
        <f t="shared" si="34"/>
        <v>15000</v>
      </c>
      <c r="I597" s="50">
        <v>1</v>
      </c>
      <c r="J597" s="57">
        <f t="shared" si="32"/>
        <v>15000</v>
      </c>
      <c r="K597" s="58">
        <f t="shared" si="33"/>
        <v>16500</v>
      </c>
      <c r="L597" s="18" t="s">
        <v>2336</v>
      </c>
      <c r="M597" s="50"/>
    </row>
    <row r="598" spans="1:15" ht="21.75" hidden="1" customHeight="1" x14ac:dyDescent="0.4">
      <c r="A598" s="62">
        <v>45228</v>
      </c>
      <c r="B598" s="32" t="s">
        <v>2462</v>
      </c>
      <c r="C598" s="18" t="s">
        <v>27</v>
      </c>
      <c r="D598" s="63" t="s">
        <v>28</v>
      </c>
      <c r="E598" s="50" t="s">
        <v>73</v>
      </c>
      <c r="F598" s="57">
        <v>2000</v>
      </c>
      <c r="G598" s="76"/>
      <c r="H598" s="57">
        <f t="shared" si="34"/>
        <v>2000</v>
      </c>
      <c r="I598" s="50">
        <v>1</v>
      </c>
      <c r="J598" s="57">
        <f t="shared" si="32"/>
        <v>2000</v>
      </c>
      <c r="K598" s="58">
        <f t="shared" si="33"/>
        <v>2200</v>
      </c>
      <c r="L598" s="18" t="s">
        <v>25</v>
      </c>
      <c r="M598" s="50"/>
    </row>
    <row r="599" spans="1:15" ht="21.75" hidden="1" customHeight="1" x14ac:dyDescent="0.4">
      <c r="A599" s="62">
        <v>45228</v>
      </c>
      <c r="B599" s="32" t="s">
        <v>2463</v>
      </c>
      <c r="C599" s="18" t="s">
        <v>2338</v>
      </c>
      <c r="D599" s="63" t="s">
        <v>426</v>
      </c>
      <c r="E599" s="50" t="s">
        <v>2347</v>
      </c>
      <c r="F599" s="57">
        <v>1700</v>
      </c>
      <c r="G599" s="76">
        <v>-170</v>
      </c>
      <c r="H599" s="57">
        <f t="shared" si="34"/>
        <v>1530</v>
      </c>
      <c r="I599" s="50">
        <v>1</v>
      </c>
      <c r="J599" s="57">
        <f t="shared" si="32"/>
        <v>1530</v>
      </c>
      <c r="K599" s="58">
        <f t="shared" si="33"/>
        <v>1683</v>
      </c>
      <c r="L599" s="18" t="s">
        <v>25</v>
      </c>
      <c r="M599" s="50"/>
    </row>
    <row r="600" spans="1:15" ht="21.75" hidden="1" customHeight="1" x14ac:dyDescent="0.4">
      <c r="A600" s="62">
        <v>45229</v>
      </c>
      <c r="B600" s="32" t="s">
        <v>2464</v>
      </c>
      <c r="C600" s="18" t="s">
        <v>22</v>
      </c>
      <c r="D600" s="63" t="s">
        <v>23</v>
      </c>
      <c r="E600" s="50" t="s">
        <v>1941</v>
      </c>
      <c r="F600" s="57">
        <v>15000</v>
      </c>
      <c r="G600" s="76"/>
      <c r="H600" s="57">
        <f t="shared" si="34"/>
        <v>15000</v>
      </c>
      <c r="I600" s="50">
        <v>1</v>
      </c>
      <c r="J600" s="57">
        <f t="shared" si="32"/>
        <v>15000</v>
      </c>
      <c r="K600" s="58">
        <f t="shared" si="33"/>
        <v>16500</v>
      </c>
      <c r="L600" s="18" t="s">
        <v>2465</v>
      </c>
      <c r="M600" s="50" t="s">
        <v>1954</v>
      </c>
    </row>
    <row r="601" spans="1:15" ht="21.75" hidden="1" customHeight="1" x14ac:dyDescent="0.4">
      <c r="A601" s="62">
        <v>45229</v>
      </c>
      <c r="B601" s="32" t="s">
        <v>727</v>
      </c>
      <c r="C601" s="18" t="s">
        <v>2466</v>
      </c>
      <c r="D601" s="63" t="s">
        <v>328</v>
      </c>
      <c r="E601" s="50" t="s">
        <v>2467</v>
      </c>
      <c r="F601" s="57">
        <v>72000</v>
      </c>
      <c r="G601" s="76">
        <v>-21600</v>
      </c>
      <c r="H601" s="57">
        <f t="shared" si="34"/>
        <v>50400</v>
      </c>
      <c r="I601" s="50">
        <v>1</v>
      </c>
      <c r="J601" s="57">
        <f t="shared" si="32"/>
        <v>50400</v>
      </c>
      <c r="K601" s="58">
        <f t="shared" si="33"/>
        <v>55440</v>
      </c>
      <c r="L601" s="18" t="s">
        <v>2465</v>
      </c>
      <c r="M601" s="50"/>
    </row>
    <row r="602" spans="1:15" ht="21.75" hidden="1" customHeight="1" x14ac:dyDescent="0.4">
      <c r="A602" s="62">
        <v>45229</v>
      </c>
      <c r="B602" s="32" t="s">
        <v>727</v>
      </c>
      <c r="C602" s="18" t="s">
        <v>17</v>
      </c>
      <c r="D602" s="63" t="s">
        <v>455</v>
      </c>
      <c r="E602" s="50" t="s">
        <v>2341</v>
      </c>
      <c r="F602" s="57">
        <v>1090</v>
      </c>
      <c r="G602" s="76">
        <v>-109</v>
      </c>
      <c r="H602" s="57">
        <f t="shared" si="34"/>
        <v>981</v>
      </c>
      <c r="I602" s="50">
        <v>1</v>
      </c>
      <c r="J602" s="57">
        <f t="shared" si="32"/>
        <v>981</v>
      </c>
      <c r="K602" s="58">
        <f t="shared" si="33"/>
        <v>1079</v>
      </c>
      <c r="L602" s="18" t="s">
        <v>2465</v>
      </c>
      <c r="M602" s="50"/>
    </row>
    <row r="603" spans="1:15" ht="21.75" hidden="1" customHeight="1" x14ac:dyDescent="0.4">
      <c r="A603" s="62">
        <v>45229</v>
      </c>
      <c r="B603" s="32" t="s">
        <v>727</v>
      </c>
      <c r="C603" s="96" t="s">
        <v>198</v>
      </c>
      <c r="D603" s="63" t="s">
        <v>23</v>
      </c>
      <c r="E603" s="50" t="s">
        <v>199</v>
      </c>
      <c r="F603" s="57">
        <v>-10000</v>
      </c>
      <c r="G603" s="76"/>
      <c r="H603" s="57">
        <f t="shared" si="34"/>
        <v>-10000</v>
      </c>
      <c r="I603" s="50">
        <v>1</v>
      </c>
      <c r="J603" s="57">
        <f t="shared" si="32"/>
        <v>-10000</v>
      </c>
      <c r="K603" s="58">
        <f t="shared" si="33"/>
        <v>-11000</v>
      </c>
      <c r="L603" s="18" t="s">
        <v>2465</v>
      </c>
      <c r="M603" s="50"/>
    </row>
    <row r="604" spans="1:15" ht="21.75" hidden="1" customHeight="1" thickBot="1" x14ac:dyDescent="0.45">
      <c r="A604" s="150">
        <v>45229</v>
      </c>
      <c r="B604" s="107" t="s">
        <v>148</v>
      </c>
      <c r="C604" s="108" t="s">
        <v>27</v>
      </c>
      <c r="D604" s="109" t="s">
        <v>28</v>
      </c>
      <c r="E604" s="110" t="s">
        <v>1897</v>
      </c>
      <c r="F604" s="111">
        <v>17500</v>
      </c>
      <c r="G604" s="112"/>
      <c r="H604" s="111">
        <f t="shared" si="34"/>
        <v>17500</v>
      </c>
      <c r="I604" s="110">
        <v>1</v>
      </c>
      <c r="J604" s="111">
        <f t="shared" si="32"/>
        <v>17500</v>
      </c>
      <c r="K604" s="113">
        <f t="shared" si="33"/>
        <v>19250</v>
      </c>
      <c r="L604" s="108" t="s">
        <v>2465</v>
      </c>
      <c r="M604" s="110"/>
      <c r="N604" s="168" t="s">
        <v>2556</v>
      </c>
      <c r="O604" s="165"/>
    </row>
    <row r="605" spans="1:15" ht="21.75" hidden="1" customHeight="1" x14ac:dyDescent="0.4">
      <c r="A605" s="158">
        <v>45231</v>
      </c>
      <c r="B605" s="169" t="s">
        <v>593</v>
      </c>
      <c r="C605" s="170" t="s">
        <v>17</v>
      </c>
      <c r="D605" s="171" t="s">
        <v>700</v>
      </c>
      <c r="E605" s="126" t="s">
        <v>2471</v>
      </c>
      <c r="F605" s="127">
        <v>3800</v>
      </c>
      <c r="G605" s="128"/>
      <c r="H605" s="127">
        <f t="shared" ref="H605:H669" si="35">SUM(F605:G605)</f>
        <v>3800</v>
      </c>
      <c r="I605" s="126">
        <v>1</v>
      </c>
      <c r="J605" s="127">
        <f t="shared" ref="J605:J669" si="36">SUM(H605*I605)</f>
        <v>3800</v>
      </c>
      <c r="K605" s="136">
        <f t="shared" si="33"/>
        <v>4180</v>
      </c>
      <c r="L605" s="170" t="s">
        <v>25</v>
      </c>
      <c r="M605" s="126"/>
      <c r="N605" s="50"/>
    </row>
    <row r="606" spans="1:15" ht="21.75" hidden="1" customHeight="1" x14ac:dyDescent="0.4">
      <c r="A606" s="59">
        <v>45231</v>
      </c>
      <c r="B606" s="32" t="s">
        <v>2472</v>
      </c>
      <c r="C606" s="18" t="s">
        <v>22</v>
      </c>
      <c r="D606" s="63" t="s">
        <v>1496</v>
      </c>
      <c r="E606" s="50" t="s">
        <v>369</v>
      </c>
      <c r="F606" s="57">
        <v>3000</v>
      </c>
      <c r="G606" s="76"/>
      <c r="H606" s="57">
        <f t="shared" si="35"/>
        <v>3000</v>
      </c>
      <c r="I606" s="50">
        <v>1</v>
      </c>
      <c r="J606" s="57">
        <f t="shared" si="36"/>
        <v>3000</v>
      </c>
      <c r="K606" s="58">
        <f t="shared" si="33"/>
        <v>3300</v>
      </c>
      <c r="L606" s="18" t="s">
        <v>20</v>
      </c>
      <c r="M606" s="50" t="s">
        <v>1954</v>
      </c>
      <c r="N606" s="50" t="s">
        <v>2594</v>
      </c>
    </row>
    <row r="607" spans="1:15" ht="21.75" hidden="1" customHeight="1" x14ac:dyDescent="0.4">
      <c r="A607" s="59">
        <v>45231</v>
      </c>
      <c r="B607" s="32" t="s">
        <v>223</v>
      </c>
      <c r="C607" s="18" t="s">
        <v>17</v>
      </c>
      <c r="D607" s="63" t="s">
        <v>314</v>
      </c>
      <c r="E607" s="50" t="s">
        <v>2473</v>
      </c>
      <c r="F607" s="57">
        <v>7800</v>
      </c>
      <c r="G607" s="76">
        <v>-780</v>
      </c>
      <c r="H607" s="57">
        <f t="shared" si="35"/>
        <v>7020</v>
      </c>
      <c r="I607" s="50">
        <v>1</v>
      </c>
      <c r="J607" s="57">
        <f t="shared" si="36"/>
        <v>7020</v>
      </c>
      <c r="K607" s="58">
        <f t="shared" si="33"/>
        <v>7722</v>
      </c>
      <c r="L607" s="18" t="s">
        <v>25</v>
      </c>
      <c r="M607" s="50"/>
      <c r="N607" s="50"/>
    </row>
    <row r="608" spans="1:15" ht="21.75" hidden="1" customHeight="1" x14ac:dyDescent="0.4">
      <c r="A608" s="59">
        <v>45232</v>
      </c>
      <c r="B608" s="32" t="s">
        <v>2431</v>
      </c>
      <c r="C608" s="18" t="s">
        <v>27</v>
      </c>
      <c r="D608" s="63" t="s">
        <v>28</v>
      </c>
      <c r="E608" s="50" t="s">
        <v>318</v>
      </c>
      <c r="F608" s="57">
        <v>15000</v>
      </c>
      <c r="G608" s="76"/>
      <c r="H608" s="57">
        <f t="shared" si="35"/>
        <v>15000</v>
      </c>
      <c r="I608" s="50">
        <v>1</v>
      </c>
      <c r="J608" s="57">
        <f t="shared" si="36"/>
        <v>15000</v>
      </c>
      <c r="K608" s="58">
        <f t="shared" si="33"/>
        <v>16500</v>
      </c>
      <c r="L608" s="18" t="s">
        <v>25</v>
      </c>
      <c r="M608" s="50"/>
      <c r="N608" s="50"/>
    </row>
    <row r="609" spans="1:14" ht="21.75" hidden="1" customHeight="1" x14ac:dyDescent="0.4">
      <c r="A609" s="59">
        <v>45232</v>
      </c>
      <c r="B609" s="32" t="s">
        <v>428</v>
      </c>
      <c r="C609" s="18" t="s">
        <v>17</v>
      </c>
      <c r="D609" s="63" t="s">
        <v>404</v>
      </c>
      <c r="E609" s="50" t="s">
        <v>431</v>
      </c>
      <c r="F609" s="57">
        <v>2000</v>
      </c>
      <c r="G609" s="76">
        <v>-200</v>
      </c>
      <c r="H609" s="57">
        <f t="shared" si="35"/>
        <v>1800</v>
      </c>
      <c r="I609" s="50">
        <v>1</v>
      </c>
      <c r="J609" s="57">
        <f t="shared" si="36"/>
        <v>1800</v>
      </c>
      <c r="K609" s="58">
        <f t="shared" si="33"/>
        <v>1980</v>
      </c>
      <c r="L609" s="18" t="s">
        <v>25</v>
      </c>
      <c r="M609" s="50"/>
      <c r="N609" s="50"/>
    </row>
    <row r="610" spans="1:14" ht="21.75" hidden="1" customHeight="1" x14ac:dyDescent="0.4">
      <c r="A610" s="59">
        <v>45232</v>
      </c>
      <c r="B610" s="32" t="s">
        <v>168</v>
      </c>
      <c r="C610" s="18" t="s">
        <v>17</v>
      </c>
      <c r="D610" s="63" t="s">
        <v>576</v>
      </c>
      <c r="E610" s="50" t="s">
        <v>2564</v>
      </c>
      <c r="F610" s="57">
        <v>75000</v>
      </c>
      <c r="G610" s="76">
        <v>-7500</v>
      </c>
      <c r="H610" s="57">
        <f t="shared" si="35"/>
        <v>67500</v>
      </c>
      <c r="I610" s="50">
        <v>1</v>
      </c>
      <c r="J610" s="57">
        <f t="shared" si="36"/>
        <v>67500</v>
      </c>
      <c r="K610" s="58">
        <f t="shared" si="33"/>
        <v>74250</v>
      </c>
      <c r="L610" s="18" t="s">
        <v>25</v>
      </c>
      <c r="M610" s="50"/>
      <c r="N610" s="50" t="s">
        <v>2595</v>
      </c>
    </row>
    <row r="611" spans="1:14" ht="21.75" hidden="1" customHeight="1" x14ac:dyDescent="0.4">
      <c r="A611" s="59">
        <v>45232</v>
      </c>
      <c r="B611" s="32" t="s">
        <v>168</v>
      </c>
      <c r="C611" s="18" t="s">
        <v>17</v>
      </c>
      <c r="D611" s="63" t="s">
        <v>328</v>
      </c>
      <c r="E611" s="50" t="s">
        <v>2474</v>
      </c>
      <c r="F611" s="57">
        <v>72000</v>
      </c>
      <c r="G611" s="76">
        <v>-14400</v>
      </c>
      <c r="H611" s="57">
        <f t="shared" si="35"/>
        <v>57600</v>
      </c>
      <c r="I611" s="50">
        <v>1</v>
      </c>
      <c r="J611" s="57">
        <f t="shared" si="36"/>
        <v>57600</v>
      </c>
      <c r="K611" s="58">
        <f t="shared" si="33"/>
        <v>63360</v>
      </c>
      <c r="L611" s="18" t="s">
        <v>25</v>
      </c>
      <c r="M611" s="50"/>
      <c r="N611" s="50" t="s">
        <v>2595</v>
      </c>
    </row>
    <row r="612" spans="1:14" ht="21.75" hidden="1" customHeight="1" x14ac:dyDescent="0.4">
      <c r="A612" s="59">
        <v>45232</v>
      </c>
      <c r="B612" s="32" t="s">
        <v>168</v>
      </c>
      <c r="C612" s="18" t="s">
        <v>17</v>
      </c>
      <c r="D612" s="63" t="s">
        <v>455</v>
      </c>
      <c r="E612" s="50" t="s">
        <v>2341</v>
      </c>
      <c r="F612" s="57">
        <v>1090</v>
      </c>
      <c r="G612" s="76"/>
      <c r="H612" s="57">
        <f t="shared" si="35"/>
        <v>1090</v>
      </c>
      <c r="I612" s="50">
        <v>1</v>
      </c>
      <c r="J612" s="57">
        <f t="shared" si="36"/>
        <v>1090</v>
      </c>
      <c r="K612" s="58">
        <f t="shared" si="33"/>
        <v>1199</v>
      </c>
      <c r="L612" s="18" t="s">
        <v>25</v>
      </c>
      <c r="M612" s="50"/>
      <c r="N612" s="50" t="s">
        <v>2595</v>
      </c>
    </row>
    <row r="613" spans="1:14" ht="21.75" hidden="1" customHeight="1" x14ac:dyDescent="0.4">
      <c r="A613" s="59">
        <v>45233</v>
      </c>
      <c r="B613" s="32" t="s">
        <v>2411</v>
      </c>
      <c r="C613" s="18" t="s">
        <v>27</v>
      </c>
      <c r="D613" s="63" t="s">
        <v>28</v>
      </c>
      <c r="E613" s="50" t="s">
        <v>318</v>
      </c>
      <c r="F613" s="57">
        <v>15000</v>
      </c>
      <c r="G613" s="76"/>
      <c r="H613" s="57">
        <f t="shared" si="35"/>
        <v>15000</v>
      </c>
      <c r="I613" s="50">
        <v>1</v>
      </c>
      <c r="J613" s="57">
        <f t="shared" si="36"/>
        <v>15000</v>
      </c>
      <c r="K613" s="58">
        <f t="shared" si="33"/>
        <v>16500</v>
      </c>
      <c r="L613" s="18" t="s">
        <v>20</v>
      </c>
      <c r="M613" s="50"/>
      <c r="N613" s="50"/>
    </row>
    <row r="614" spans="1:14" ht="21.75" hidden="1" customHeight="1" x14ac:dyDescent="0.4">
      <c r="A614" s="59">
        <v>45233</v>
      </c>
      <c r="B614" s="32" t="s">
        <v>2411</v>
      </c>
      <c r="C614" s="18" t="s">
        <v>27</v>
      </c>
      <c r="D614" s="63" t="s">
        <v>28</v>
      </c>
      <c r="E614" s="50" t="s">
        <v>1956</v>
      </c>
      <c r="F614" s="57">
        <v>13120</v>
      </c>
      <c r="G614" s="76"/>
      <c r="H614" s="57">
        <f t="shared" si="35"/>
        <v>13120</v>
      </c>
      <c r="I614" s="50">
        <v>1</v>
      </c>
      <c r="J614" s="57">
        <f t="shared" si="36"/>
        <v>13120</v>
      </c>
      <c r="K614" s="58">
        <f t="shared" si="33"/>
        <v>14432</v>
      </c>
      <c r="L614" s="18" t="s">
        <v>20</v>
      </c>
      <c r="M614" s="50"/>
      <c r="N614" s="50"/>
    </row>
    <row r="615" spans="1:14" ht="21.75" hidden="1" customHeight="1" x14ac:dyDescent="0.4">
      <c r="A615" s="59">
        <v>45233</v>
      </c>
      <c r="B615" s="32" t="s">
        <v>2412</v>
      </c>
      <c r="C615" s="18" t="s">
        <v>27</v>
      </c>
      <c r="D615" s="63" t="s">
        <v>28</v>
      </c>
      <c r="E615" s="50" t="s">
        <v>318</v>
      </c>
      <c r="F615" s="57">
        <v>15000</v>
      </c>
      <c r="G615" s="76"/>
      <c r="H615" s="57">
        <f t="shared" si="35"/>
        <v>15000</v>
      </c>
      <c r="I615" s="50">
        <v>1</v>
      </c>
      <c r="J615" s="57">
        <f t="shared" si="36"/>
        <v>15000</v>
      </c>
      <c r="K615" s="58">
        <f t="shared" si="33"/>
        <v>16500</v>
      </c>
      <c r="L615" s="18" t="s">
        <v>25</v>
      </c>
      <c r="M615" s="50"/>
      <c r="N615" s="50"/>
    </row>
    <row r="616" spans="1:14" ht="21.75" hidden="1" customHeight="1" x14ac:dyDescent="0.4">
      <c r="A616" s="59">
        <v>45233</v>
      </c>
      <c r="B616" s="32" t="s">
        <v>2412</v>
      </c>
      <c r="C616" s="18" t="s">
        <v>27</v>
      </c>
      <c r="D616" s="63" t="s">
        <v>28</v>
      </c>
      <c r="E616" s="50" t="s">
        <v>2475</v>
      </c>
      <c r="F616" s="57">
        <v>6375</v>
      </c>
      <c r="G616" s="76"/>
      <c r="H616" s="57">
        <f t="shared" si="35"/>
        <v>6375</v>
      </c>
      <c r="I616" s="50">
        <v>1</v>
      </c>
      <c r="J616" s="57">
        <f t="shared" si="36"/>
        <v>6375</v>
      </c>
      <c r="K616" s="58">
        <f t="shared" si="33"/>
        <v>7012</v>
      </c>
      <c r="L616" s="18" t="s">
        <v>25</v>
      </c>
      <c r="M616" s="50"/>
      <c r="N616" s="50"/>
    </row>
    <row r="617" spans="1:14" ht="21.75" hidden="1" customHeight="1" x14ac:dyDescent="0.4">
      <c r="A617" s="59">
        <v>45233</v>
      </c>
      <c r="B617" s="32" t="s">
        <v>2412</v>
      </c>
      <c r="C617" s="18" t="s">
        <v>27</v>
      </c>
      <c r="D617" s="63" t="s">
        <v>103</v>
      </c>
      <c r="E617" s="50" t="s">
        <v>2565</v>
      </c>
      <c r="F617" s="57">
        <v>25000</v>
      </c>
      <c r="G617" s="76"/>
      <c r="H617" s="57">
        <f t="shared" si="35"/>
        <v>25000</v>
      </c>
      <c r="I617" s="50">
        <v>1</v>
      </c>
      <c r="J617" s="57">
        <f t="shared" si="36"/>
        <v>25000</v>
      </c>
      <c r="K617" s="58">
        <f t="shared" si="33"/>
        <v>27500</v>
      </c>
      <c r="L617" s="18" t="s">
        <v>25</v>
      </c>
      <c r="M617" s="50"/>
      <c r="N617" s="50"/>
    </row>
    <row r="618" spans="1:14" ht="21.75" hidden="1" customHeight="1" x14ac:dyDescent="0.4">
      <c r="A618" s="59">
        <v>45234</v>
      </c>
      <c r="B618" s="32" t="s">
        <v>2476</v>
      </c>
      <c r="C618" s="18" t="s">
        <v>22</v>
      </c>
      <c r="D618" s="63" t="s">
        <v>23</v>
      </c>
      <c r="E618" s="50" t="s">
        <v>1941</v>
      </c>
      <c r="F618" s="57">
        <v>15000</v>
      </c>
      <c r="G618" s="76"/>
      <c r="H618" s="57">
        <f t="shared" si="35"/>
        <v>15000</v>
      </c>
      <c r="I618" s="50">
        <v>1</v>
      </c>
      <c r="J618" s="57">
        <f t="shared" si="36"/>
        <v>15000</v>
      </c>
      <c r="K618" s="58">
        <f t="shared" si="33"/>
        <v>16500</v>
      </c>
      <c r="L618" s="18" t="s">
        <v>20</v>
      </c>
      <c r="M618" s="50" t="s">
        <v>1954</v>
      </c>
      <c r="N618" s="50" t="s">
        <v>2595</v>
      </c>
    </row>
    <row r="619" spans="1:14" ht="21.75" hidden="1" customHeight="1" x14ac:dyDescent="0.4">
      <c r="A619" s="59">
        <v>45234</v>
      </c>
      <c r="B619" s="32" t="s">
        <v>1059</v>
      </c>
      <c r="C619" s="18" t="s">
        <v>17</v>
      </c>
      <c r="D619" s="63" t="s">
        <v>292</v>
      </c>
      <c r="E619" s="50" t="s">
        <v>2477</v>
      </c>
      <c r="F619" s="57">
        <v>5500</v>
      </c>
      <c r="G619" s="76"/>
      <c r="H619" s="57">
        <f t="shared" si="35"/>
        <v>5500</v>
      </c>
      <c r="I619" s="50">
        <v>1</v>
      </c>
      <c r="J619" s="57">
        <f t="shared" si="36"/>
        <v>5500</v>
      </c>
      <c r="K619" s="58">
        <f t="shared" si="33"/>
        <v>6050</v>
      </c>
      <c r="L619" s="18" t="s">
        <v>25</v>
      </c>
      <c r="M619" s="50"/>
      <c r="N619" s="50"/>
    </row>
    <row r="620" spans="1:14" ht="21.75" hidden="1" customHeight="1" x14ac:dyDescent="0.4">
      <c r="A620" s="59">
        <v>45234</v>
      </c>
      <c r="B620" s="32" t="s">
        <v>2476</v>
      </c>
      <c r="C620" s="18" t="s">
        <v>17</v>
      </c>
      <c r="D620" s="63" t="s">
        <v>328</v>
      </c>
      <c r="E620" s="50" t="s">
        <v>2478</v>
      </c>
      <c r="F620" s="57">
        <v>72000</v>
      </c>
      <c r="G620" s="76">
        <v>-14400</v>
      </c>
      <c r="H620" s="57">
        <f t="shared" si="35"/>
        <v>57600</v>
      </c>
      <c r="I620" s="50">
        <v>1</v>
      </c>
      <c r="J620" s="57">
        <f t="shared" si="36"/>
        <v>57600</v>
      </c>
      <c r="K620" s="58">
        <f t="shared" si="33"/>
        <v>63360</v>
      </c>
      <c r="L620" s="18" t="s">
        <v>20</v>
      </c>
      <c r="M620" s="50"/>
      <c r="N620" s="50" t="s">
        <v>2595</v>
      </c>
    </row>
    <row r="621" spans="1:14" ht="21.75" hidden="1" customHeight="1" x14ac:dyDescent="0.4">
      <c r="A621" s="59">
        <v>45234</v>
      </c>
      <c r="B621" s="32" t="s">
        <v>2476</v>
      </c>
      <c r="C621" s="18" t="s">
        <v>17</v>
      </c>
      <c r="D621" s="63" t="s">
        <v>404</v>
      </c>
      <c r="E621" s="50" t="s">
        <v>2479</v>
      </c>
      <c r="F621" s="57">
        <v>1090</v>
      </c>
      <c r="G621" s="76"/>
      <c r="H621" s="57">
        <f t="shared" si="35"/>
        <v>1090</v>
      </c>
      <c r="I621" s="50">
        <v>1</v>
      </c>
      <c r="J621" s="57">
        <f t="shared" si="36"/>
        <v>1090</v>
      </c>
      <c r="K621" s="58">
        <f t="shared" si="33"/>
        <v>1199</v>
      </c>
      <c r="L621" s="18" t="s">
        <v>20</v>
      </c>
      <c r="M621" s="50"/>
      <c r="N621" s="50" t="s">
        <v>2595</v>
      </c>
    </row>
    <row r="622" spans="1:14" ht="21.75" hidden="1" customHeight="1" x14ac:dyDescent="0.4">
      <c r="A622" s="59">
        <v>45234</v>
      </c>
      <c r="B622" s="32" t="s">
        <v>2463</v>
      </c>
      <c r="C622" s="18" t="s">
        <v>17</v>
      </c>
      <c r="D622" s="63" t="s">
        <v>404</v>
      </c>
      <c r="E622" s="50" t="s">
        <v>2479</v>
      </c>
      <c r="F622" s="57">
        <v>1090</v>
      </c>
      <c r="G622" s="76">
        <v>-109</v>
      </c>
      <c r="H622" s="57">
        <f t="shared" si="35"/>
        <v>981</v>
      </c>
      <c r="I622" s="50">
        <v>1</v>
      </c>
      <c r="J622" s="57">
        <f t="shared" si="36"/>
        <v>981</v>
      </c>
      <c r="K622" s="58">
        <f t="shared" si="33"/>
        <v>1079</v>
      </c>
      <c r="L622" s="18" t="s">
        <v>20</v>
      </c>
      <c r="M622" s="50"/>
      <c r="N622" s="50"/>
    </row>
    <row r="623" spans="1:14" ht="21.75" hidden="1" customHeight="1" x14ac:dyDescent="0.4">
      <c r="A623" s="59">
        <v>45234</v>
      </c>
      <c r="B623" s="32" t="s">
        <v>139</v>
      </c>
      <c r="C623" s="18" t="s">
        <v>17</v>
      </c>
      <c r="D623" s="63" t="s">
        <v>426</v>
      </c>
      <c r="E623" s="50" t="s">
        <v>2480</v>
      </c>
      <c r="F623" s="57">
        <v>1700</v>
      </c>
      <c r="G623" s="76">
        <v>-170</v>
      </c>
      <c r="H623" s="57">
        <f t="shared" si="35"/>
        <v>1530</v>
      </c>
      <c r="I623" s="50">
        <v>2</v>
      </c>
      <c r="J623" s="57">
        <f t="shared" si="36"/>
        <v>3060</v>
      </c>
      <c r="K623" s="58">
        <f t="shared" si="33"/>
        <v>3366</v>
      </c>
      <c r="L623" s="18" t="s">
        <v>25</v>
      </c>
      <c r="M623" s="50"/>
      <c r="N623" s="50"/>
    </row>
    <row r="624" spans="1:14" ht="21.75" hidden="1" customHeight="1" x14ac:dyDescent="0.4">
      <c r="A624" s="59">
        <v>45234</v>
      </c>
      <c r="B624" s="32" t="s">
        <v>503</v>
      </c>
      <c r="C624" s="18" t="s">
        <v>17</v>
      </c>
      <c r="D624" s="63" t="s">
        <v>292</v>
      </c>
      <c r="E624" s="50" t="s">
        <v>2481</v>
      </c>
      <c r="F624" s="57">
        <v>5500</v>
      </c>
      <c r="G624" s="76"/>
      <c r="H624" s="57">
        <f t="shared" si="35"/>
        <v>5500</v>
      </c>
      <c r="I624" s="50">
        <v>2</v>
      </c>
      <c r="J624" s="57">
        <f t="shared" si="36"/>
        <v>11000</v>
      </c>
      <c r="K624" s="58">
        <f t="shared" si="33"/>
        <v>12100</v>
      </c>
      <c r="L624" s="18" t="s">
        <v>25</v>
      </c>
      <c r="M624" s="50"/>
      <c r="N624" s="50"/>
    </row>
    <row r="625" spans="1:14" ht="21.75" hidden="1" customHeight="1" x14ac:dyDescent="0.4">
      <c r="A625" s="59">
        <v>45235</v>
      </c>
      <c r="B625" s="32" t="s">
        <v>2482</v>
      </c>
      <c r="C625" s="18" t="s">
        <v>22</v>
      </c>
      <c r="D625" s="63" t="s">
        <v>1496</v>
      </c>
      <c r="E625" s="50" t="s">
        <v>369</v>
      </c>
      <c r="F625" s="57">
        <v>3000</v>
      </c>
      <c r="G625" s="76"/>
      <c r="H625" s="57">
        <f t="shared" si="35"/>
        <v>3000</v>
      </c>
      <c r="I625" s="50">
        <v>1</v>
      </c>
      <c r="J625" s="57">
        <f t="shared" si="36"/>
        <v>3000</v>
      </c>
      <c r="K625" s="58">
        <f t="shared" si="33"/>
        <v>3300</v>
      </c>
      <c r="L625" s="18" t="s">
        <v>20</v>
      </c>
      <c r="M625" s="50" t="s">
        <v>1954</v>
      </c>
      <c r="N625" s="50" t="s">
        <v>2595</v>
      </c>
    </row>
    <row r="626" spans="1:14" ht="21.75" hidden="1" customHeight="1" x14ac:dyDescent="0.4">
      <c r="A626" s="59">
        <v>45236</v>
      </c>
      <c r="B626" s="32" t="s">
        <v>2483</v>
      </c>
      <c r="C626" s="18" t="s">
        <v>22</v>
      </c>
      <c r="D626" s="63" t="s">
        <v>2484</v>
      </c>
      <c r="E626" s="50" t="s">
        <v>461</v>
      </c>
      <c r="F626" s="57">
        <v>5000</v>
      </c>
      <c r="G626" s="76"/>
      <c r="H626" s="57">
        <f t="shared" si="35"/>
        <v>5000</v>
      </c>
      <c r="I626" s="50">
        <v>1</v>
      </c>
      <c r="J626" s="57">
        <f t="shared" si="36"/>
        <v>5000</v>
      </c>
      <c r="K626" s="58">
        <f t="shared" ref="K626" si="37">ROUNDDOWN(J626*1.1,0)</f>
        <v>5500</v>
      </c>
      <c r="L626" s="18" t="s">
        <v>20</v>
      </c>
      <c r="M626" s="50" t="s">
        <v>1954</v>
      </c>
      <c r="N626" s="50"/>
    </row>
    <row r="627" spans="1:14" ht="21.75" hidden="1" customHeight="1" x14ac:dyDescent="0.4">
      <c r="A627" s="59">
        <v>45236</v>
      </c>
      <c r="B627" s="32" t="s">
        <v>2483</v>
      </c>
      <c r="C627" s="18" t="s">
        <v>22</v>
      </c>
      <c r="D627" s="63" t="s">
        <v>1496</v>
      </c>
      <c r="E627" s="50" t="s">
        <v>2599</v>
      </c>
      <c r="F627" s="57">
        <v>3000</v>
      </c>
      <c r="G627" s="76"/>
      <c r="H627" s="57">
        <f t="shared" si="35"/>
        <v>3000</v>
      </c>
      <c r="I627" s="50">
        <v>1</v>
      </c>
      <c r="J627" s="57">
        <f t="shared" si="36"/>
        <v>3000</v>
      </c>
      <c r="K627" s="58">
        <f t="shared" ref="K627:K673" si="38">ROUNDDOWN(J627*1.1,0)</f>
        <v>3300</v>
      </c>
      <c r="L627" s="18" t="s">
        <v>20</v>
      </c>
      <c r="M627" s="50"/>
      <c r="N627" s="50"/>
    </row>
    <row r="628" spans="1:14" ht="21.75" hidden="1" customHeight="1" x14ac:dyDescent="0.4">
      <c r="A628" s="59">
        <v>45236</v>
      </c>
      <c r="B628" s="32" t="s">
        <v>2485</v>
      </c>
      <c r="C628" s="18" t="s">
        <v>22</v>
      </c>
      <c r="D628" s="63" t="s">
        <v>2484</v>
      </c>
      <c r="E628" s="50" t="s">
        <v>461</v>
      </c>
      <c r="F628" s="57">
        <v>5000</v>
      </c>
      <c r="G628" s="76"/>
      <c r="H628" s="57">
        <f t="shared" si="35"/>
        <v>5000</v>
      </c>
      <c r="I628" s="50">
        <v>1</v>
      </c>
      <c r="J628" s="57">
        <f t="shared" si="36"/>
        <v>5000</v>
      </c>
      <c r="K628" s="58">
        <f t="shared" si="38"/>
        <v>5500</v>
      </c>
      <c r="L628" s="18" t="s">
        <v>25</v>
      </c>
      <c r="M628" s="50" t="s">
        <v>1954</v>
      </c>
      <c r="N628" s="50"/>
    </row>
    <row r="629" spans="1:14" ht="21.75" hidden="1" customHeight="1" x14ac:dyDescent="0.4">
      <c r="A629" s="59">
        <v>45236</v>
      </c>
      <c r="B629" s="32" t="s">
        <v>2485</v>
      </c>
      <c r="C629" s="18" t="s">
        <v>22</v>
      </c>
      <c r="D629" s="63" t="s">
        <v>1496</v>
      </c>
      <c r="E629" s="50" t="s">
        <v>2599</v>
      </c>
      <c r="F629" s="57">
        <v>3000</v>
      </c>
      <c r="G629" s="76"/>
      <c r="H629" s="57">
        <f t="shared" si="35"/>
        <v>3000</v>
      </c>
      <c r="I629" s="50">
        <v>1</v>
      </c>
      <c r="J629" s="57">
        <f t="shared" si="36"/>
        <v>3000</v>
      </c>
      <c r="K629" s="58">
        <f t="shared" si="38"/>
        <v>3300</v>
      </c>
      <c r="L629" s="18" t="s">
        <v>25</v>
      </c>
      <c r="M629" s="50"/>
      <c r="N629" s="50"/>
    </row>
    <row r="630" spans="1:14" ht="21.75" hidden="1" customHeight="1" x14ac:dyDescent="0.4">
      <c r="A630" s="59">
        <v>45236</v>
      </c>
      <c r="B630" s="32" t="s">
        <v>171</v>
      </c>
      <c r="C630" s="18" t="s">
        <v>17</v>
      </c>
      <c r="D630" s="63" t="s">
        <v>2566</v>
      </c>
      <c r="E630" s="50" t="s">
        <v>2481</v>
      </c>
      <c r="F630" s="57">
        <v>5500</v>
      </c>
      <c r="G630" s="76"/>
      <c r="H630" s="57">
        <f t="shared" si="35"/>
        <v>5500</v>
      </c>
      <c r="I630" s="50">
        <v>1</v>
      </c>
      <c r="J630" s="57">
        <f t="shared" si="36"/>
        <v>5500</v>
      </c>
      <c r="K630" s="58">
        <f t="shared" si="38"/>
        <v>6050</v>
      </c>
      <c r="L630" s="18" t="s">
        <v>25</v>
      </c>
      <c r="M630" s="50"/>
      <c r="N630" s="50"/>
    </row>
    <row r="631" spans="1:14" ht="21.75" hidden="1" customHeight="1" x14ac:dyDescent="0.4">
      <c r="A631" s="59">
        <v>45237</v>
      </c>
      <c r="B631" s="32" t="s">
        <v>2557</v>
      </c>
      <c r="C631" s="18" t="s">
        <v>22</v>
      </c>
      <c r="D631" s="63" t="s">
        <v>2558</v>
      </c>
      <c r="E631" s="50"/>
      <c r="F631" s="57">
        <v>1819</v>
      </c>
      <c r="G631" s="76"/>
      <c r="H631" s="57">
        <v>1818</v>
      </c>
      <c r="I631" s="50">
        <v>48</v>
      </c>
      <c r="J631" s="57">
        <f t="shared" si="36"/>
        <v>87264</v>
      </c>
      <c r="K631" s="58">
        <v>96000</v>
      </c>
      <c r="L631" s="18" t="s">
        <v>20</v>
      </c>
      <c r="M631" s="130" t="s">
        <v>2559</v>
      </c>
      <c r="N631" s="50"/>
    </row>
    <row r="632" spans="1:14" ht="21.75" hidden="1" customHeight="1" x14ac:dyDescent="0.4">
      <c r="A632" s="62">
        <v>45238</v>
      </c>
      <c r="B632" s="32" t="s">
        <v>2228</v>
      </c>
      <c r="C632" s="18" t="s">
        <v>2457</v>
      </c>
      <c r="D632" s="63" t="s">
        <v>1615</v>
      </c>
      <c r="E632" s="50" t="s">
        <v>2459</v>
      </c>
      <c r="F632" s="57">
        <v>15000</v>
      </c>
      <c r="G632" s="76"/>
      <c r="H632" s="57">
        <f t="shared" si="35"/>
        <v>15000</v>
      </c>
      <c r="I632" s="50">
        <v>1</v>
      </c>
      <c r="J632" s="57">
        <f t="shared" si="36"/>
        <v>15000</v>
      </c>
      <c r="K632" s="157">
        <f t="shared" si="38"/>
        <v>16500</v>
      </c>
      <c r="L632" s="18" t="s">
        <v>25</v>
      </c>
      <c r="M632" s="50"/>
      <c r="N632" s="50"/>
    </row>
    <row r="633" spans="1:14" ht="21.75" hidden="1" customHeight="1" x14ac:dyDescent="0.4">
      <c r="A633" s="62">
        <v>45238</v>
      </c>
      <c r="B633" s="32" t="s">
        <v>2486</v>
      </c>
      <c r="C633" s="18" t="s">
        <v>22</v>
      </c>
      <c r="D633" s="63" t="s">
        <v>23</v>
      </c>
      <c r="E633" s="50" t="s">
        <v>1941</v>
      </c>
      <c r="F633" s="57">
        <v>15000</v>
      </c>
      <c r="G633" s="76"/>
      <c r="H633" s="57">
        <f t="shared" si="35"/>
        <v>15000</v>
      </c>
      <c r="I633" s="50">
        <v>1</v>
      </c>
      <c r="J633" s="57">
        <f t="shared" si="36"/>
        <v>15000</v>
      </c>
      <c r="K633" s="58">
        <f t="shared" si="38"/>
        <v>16500</v>
      </c>
      <c r="L633" s="18" t="s">
        <v>25</v>
      </c>
      <c r="M633" s="50"/>
      <c r="N633" s="50" t="s">
        <v>2598</v>
      </c>
    </row>
    <row r="634" spans="1:14" ht="21.75" hidden="1" customHeight="1" x14ac:dyDescent="0.4">
      <c r="A634" s="62">
        <v>45238</v>
      </c>
      <c r="B634" s="32" t="s">
        <v>905</v>
      </c>
      <c r="C634" s="18" t="s">
        <v>27</v>
      </c>
      <c r="D634" s="63" t="s">
        <v>103</v>
      </c>
      <c r="E634" s="50" t="s">
        <v>217</v>
      </c>
      <c r="F634" s="57">
        <v>25000</v>
      </c>
      <c r="G634" s="76"/>
      <c r="H634" s="57">
        <f t="shared" si="35"/>
        <v>25000</v>
      </c>
      <c r="I634" s="50">
        <v>1</v>
      </c>
      <c r="J634" s="57">
        <f t="shared" si="36"/>
        <v>25000</v>
      </c>
      <c r="K634" s="58">
        <f t="shared" si="38"/>
        <v>27500</v>
      </c>
      <c r="L634" s="18" t="s">
        <v>25</v>
      </c>
      <c r="M634" s="50"/>
      <c r="N634" s="50"/>
    </row>
    <row r="635" spans="1:14" ht="21.75" hidden="1" customHeight="1" x14ac:dyDescent="0.4">
      <c r="A635" s="62">
        <v>45238</v>
      </c>
      <c r="B635" s="32" t="s">
        <v>2486</v>
      </c>
      <c r="C635" s="18" t="s">
        <v>17</v>
      </c>
      <c r="D635" s="63" t="s">
        <v>328</v>
      </c>
      <c r="E635" s="50" t="s">
        <v>2487</v>
      </c>
      <c r="F635" s="57">
        <v>48000</v>
      </c>
      <c r="G635" s="76">
        <v>-9600</v>
      </c>
      <c r="H635" s="57">
        <f t="shared" si="35"/>
        <v>38400</v>
      </c>
      <c r="I635" s="50">
        <v>2</v>
      </c>
      <c r="J635" s="57">
        <f t="shared" si="36"/>
        <v>76800</v>
      </c>
      <c r="K635" s="58">
        <f t="shared" si="38"/>
        <v>84480</v>
      </c>
      <c r="L635" s="18" t="s">
        <v>34</v>
      </c>
      <c r="M635" s="50"/>
      <c r="N635" s="50" t="s">
        <v>2598</v>
      </c>
    </row>
    <row r="636" spans="1:14" ht="21.75" hidden="1" customHeight="1" x14ac:dyDescent="0.4">
      <c r="A636" s="62">
        <v>45238</v>
      </c>
      <c r="B636" s="32" t="s">
        <v>2486</v>
      </c>
      <c r="C636" s="18" t="s">
        <v>17</v>
      </c>
      <c r="D636" s="63" t="s">
        <v>2567</v>
      </c>
      <c r="E636" s="50" t="s">
        <v>2488</v>
      </c>
      <c r="F636" s="57">
        <v>33000</v>
      </c>
      <c r="G636" s="76">
        <v>-6600</v>
      </c>
      <c r="H636" s="57">
        <f t="shared" si="35"/>
        <v>26400</v>
      </c>
      <c r="I636" s="50">
        <v>2</v>
      </c>
      <c r="J636" s="57">
        <f t="shared" si="36"/>
        <v>52800</v>
      </c>
      <c r="K636" s="58">
        <f t="shared" si="38"/>
        <v>58080</v>
      </c>
      <c r="L636" s="18" t="s">
        <v>34</v>
      </c>
      <c r="M636" s="50"/>
      <c r="N636" s="50" t="s">
        <v>2598</v>
      </c>
    </row>
    <row r="637" spans="1:14" ht="21.75" hidden="1" customHeight="1" x14ac:dyDescent="0.4">
      <c r="A637" s="62">
        <v>45238</v>
      </c>
      <c r="B637" s="32" t="s">
        <v>2486</v>
      </c>
      <c r="C637" s="18" t="s">
        <v>17</v>
      </c>
      <c r="D637" s="63" t="s">
        <v>576</v>
      </c>
      <c r="E637" s="50" t="s">
        <v>2568</v>
      </c>
      <c r="F637" s="57">
        <v>33000</v>
      </c>
      <c r="G637" s="76"/>
      <c r="H637" s="57">
        <f t="shared" si="35"/>
        <v>33000</v>
      </c>
      <c r="I637" s="50">
        <v>1</v>
      </c>
      <c r="J637" s="57">
        <f t="shared" si="36"/>
        <v>33000</v>
      </c>
      <c r="K637" s="58">
        <f t="shared" si="38"/>
        <v>36300</v>
      </c>
      <c r="L637" s="18" t="s">
        <v>34</v>
      </c>
      <c r="M637" s="50"/>
      <c r="N637" s="50" t="s">
        <v>2598</v>
      </c>
    </row>
    <row r="638" spans="1:14" ht="21.75" hidden="1" customHeight="1" x14ac:dyDescent="0.4">
      <c r="A638" s="62">
        <v>45238</v>
      </c>
      <c r="B638" s="32" t="s">
        <v>2486</v>
      </c>
      <c r="C638" s="18" t="s">
        <v>17</v>
      </c>
      <c r="D638" s="63" t="s">
        <v>2569</v>
      </c>
      <c r="E638" s="50" t="s">
        <v>2489</v>
      </c>
      <c r="F638" s="57">
        <v>33000</v>
      </c>
      <c r="G638" s="76"/>
      <c r="H638" s="57">
        <f t="shared" si="35"/>
        <v>33000</v>
      </c>
      <c r="I638" s="50">
        <v>1</v>
      </c>
      <c r="J638" s="57">
        <f t="shared" si="36"/>
        <v>33000</v>
      </c>
      <c r="K638" s="58">
        <f t="shared" si="38"/>
        <v>36300</v>
      </c>
      <c r="L638" s="18" t="s">
        <v>34</v>
      </c>
      <c r="M638" s="50"/>
      <c r="N638" s="50" t="s">
        <v>2598</v>
      </c>
    </row>
    <row r="639" spans="1:14" ht="21.75" hidden="1" customHeight="1" x14ac:dyDescent="0.4">
      <c r="A639" s="62">
        <v>45238</v>
      </c>
      <c r="B639" s="32" t="s">
        <v>2486</v>
      </c>
      <c r="C639" s="18" t="s">
        <v>17</v>
      </c>
      <c r="D639" s="63" t="s">
        <v>404</v>
      </c>
      <c r="E639" s="50" t="s">
        <v>2490</v>
      </c>
      <c r="F639" s="57">
        <v>1400</v>
      </c>
      <c r="G639" s="76"/>
      <c r="H639" s="57">
        <f t="shared" si="35"/>
        <v>1400</v>
      </c>
      <c r="I639" s="50">
        <v>4</v>
      </c>
      <c r="J639" s="57">
        <f t="shared" si="36"/>
        <v>5600</v>
      </c>
      <c r="K639" s="58">
        <f t="shared" si="38"/>
        <v>6160</v>
      </c>
      <c r="L639" s="18" t="s">
        <v>34</v>
      </c>
      <c r="M639" s="50"/>
      <c r="N639" s="50" t="s">
        <v>2598</v>
      </c>
    </row>
    <row r="640" spans="1:14" ht="21.75" hidden="1" customHeight="1" x14ac:dyDescent="0.4">
      <c r="A640" s="62">
        <v>45238</v>
      </c>
      <c r="B640" s="32" t="s">
        <v>2486</v>
      </c>
      <c r="C640" s="96" t="s">
        <v>198</v>
      </c>
      <c r="D640" s="63"/>
      <c r="E640" s="50" t="s">
        <v>2491</v>
      </c>
      <c r="F640" s="57">
        <v>-15000</v>
      </c>
      <c r="G640" s="76"/>
      <c r="H640" s="57">
        <f t="shared" si="35"/>
        <v>-15000</v>
      </c>
      <c r="I640" s="50">
        <v>1</v>
      </c>
      <c r="J640" s="57">
        <f t="shared" si="36"/>
        <v>-15000</v>
      </c>
      <c r="K640" s="58">
        <f t="shared" si="38"/>
        <v>-16500</v>
      </c>
      <c r="L640" s="18" t="s">
        <v>34</v>
      </c>
      <c r="M640" s="50"/>
      <c r="N640" s="50"/>
    </row>
    <row r="641" spans="1:14" ht="21.75" hidden="1" customHeight="1" x14ac:dyDescent="0.4">
      <c r="A641" s="62">
        <v>45238</v>
      </c>
      <c r="B641" s="32" t="s">
        <v>2044</v>
      </c>
      <c r="C641" s="18" t="s">
        <v>27</v>
      </c>
      <c r="D641" s="63" t="s">
        <v>317</v>
      </c>
      <c r="E641" s="50" t="s">
        <v>2492</v>
      </c>
      <c r="F641" s="57">
        <v>3750</v>
      </c>
      <c r="G641" s="76"/>
      <c r="H641" s="57">
        <f t="shared" si="35"/>
        <v>3750</v>
      </c>
      <c r="I641" s="50">
        <v>1</v>
      </c>
      <c r="J641" s="57">
        <f t="shared" si="36"/>
        <v>3750</v>
      </c>
      <c r="K641" s="58">
        <f t="shared" si="38"/>
        <v>4125</v>
      </c>
      <c r="L641" s="18" t="s">
        <v>20</v>
      </c>
      <c r="M641" s="50"/>
      <c r="N641" s="50"/>
    </row>
    <row r="642" spans="1:14" ht="21.75" hidden="1" customHeight="1" x14ac:dyDescent="0.4">
      <c r="A642" s="62">
        <v>45238</v>
      </c>
      <c r="B642" s="32" t="s">
        <v>148</v>
      </c>
      <c r="C642" s="18" t="s">
        <v>27</v>
      </c>
      <c r="D642" s="63" t="s">
        <v>28</v>
      </c>
      <c r="E642" s="50" t="s">
        <v>73</v>
      </c>
      <c r="F642" s="57">
        <v>2000</v>
      </c>
      <c r="G642" s="76"/>
      <c r="H642" s="57">
        <f t="shared" si="35"/>
        <v>2000</v>
      </c>
      <c r="I642" s="50">
        <v>1</v>
      </c>
      <c r="J642" s="57">
        <f t="shared" si="36"/>
        <v>2000</v>
      </c>
      <c r="K642" s="58">
        <f t="shared" si="38"/>
        <v>2200</v>
      </c>
      <c r="L642" s="18" t="s">
        <v>20</v>
      </c>
      <c r="M642" s="50"/>
      <c r="N642" s="50"/>
    </row>
    <row r="643" spans="1:14" ht="21.75" hidden="1" customHeight="1" x14ac:dyDescent="0.4">
      <c r="A643" s="62">
        <v>45238</v>
      </c>
      <c r="B643" s="32" t="s">
        <v>503</v>
      </c>
      <c r="C643" s="18" t="s">
        <v>17</v>
      </c>
      <c r="D643" s="63" t="s">
        <v>2569</v>
      </c>
      <c r="E643" s="50" t="s">
        <v>2570</v>
      </c>
      <c r="F643" s="57">
        <v>46000</v>
      </c>
      <c r="G643" s="76">
        <v>-4600</v>
      </c>
      <c r="H643" s="57">
        <f t="shared" si="35"/>
        <v>41400</v>
      </c>
      <c r="I643" s="50">
        <v>1</v>
      </c>
      <c r="J643" s="57">
        <f t="shared" si="36"/>
        <v>41400</v>
      </c>
      <c r="K643" s="58">
        <f t="shared" si="38"/>
        <v>45540</v>
      </c>
      <c r="L643" s="18" t="s">
        <v>34</v>
      </c>
      <c r="M643" s="50"/>
      <c r="N643" s="50"/>
    </row>
    <row r="644" spans="1:14" ht="21.75" hidden="1" customHeight="1" x14ac:dyDescent="0.4">
      <c r="A644" s="62">
        <v>45239</v>
      </c>
      <c r="B644" s="32" t="s">
        <v>2472</v>
      </c>
      <c r="C644" s="18" t="s">
        <v>27</v>
      </c>
      <c r="D644" s="63" t="s">
        <v>28</v>
      </c>
      <c r="E644" s="50" t="s">
        <v>318</v>
      </c>
      <c r="F644" s="57">
        <v>15000</v>
      </c>
      <c r="G644" s="76"/>
      <c r="H644" s="57">
        <f t="shared" si="35"/>
        <v>15000</v>
      </c>
      <c r="I644" s="50">
        <v>1</v>
      </c>
      <c r="J644" s="57">
        <f t="shared" si="36"/>
        <v>15000</v>
      </c>
      <c r="K644" s="58">
        <f t="shared" si="38"/>
        <v>16500</v>
      </c>
      <c r="L644" s="18" t="s">
        <v>25</v>
      </c>
      <c r="M644" s="50"/>
      <c r="N644" s="50"/>
    </row>
    <row r="645" spans="1:14" ht="21.75" hidden="1" customHeight="1" x14ac:dyDescent="0.4">
      <c r="A645" s="62">
        <v>45239</v>
      </c>
      <c r="B645" s="32" t="s">
        <v>2472</v>
      </c>
      <c r="C645" s="18" t="s">
        <v>27</v>
      </c>
      <c r="D645" s="63" t="s">
        <v>28</v>
      </c>
      <c r="E645" s="50" t="s">
        <v>1956</v>
      </c>
      <c r="F645" s="57">
        <v>13120</v>
      </c>
      <c r="G645" s="76"/>
      <c r="H645" s="57">
        <f t="shared" si="35"/>
        <v>13120</v>
      </c>
      <c r="I645" s="50">
        <v>1</v>
      </c>
      <c r="J645" s="57">
        <f t="shared" si="36"/>
        <v>13120</v>
      </c>
      <c r="K645" s="58">
        <f t="shared" si="38"/>
        <v>14432</v>
      </c>
      <c r="L645" s="18" t="s">
        <v>25</v>
      </c>
      <c r="M645" s="50"/>
      <c r="N645" s="50"/>
    </row>
    <row r="646" spans="1:14" ht="21.75" hidden="1" customHeight="1" x14ac:dyDescent="0.4">
      <c r="A646" s="62">
        <v>45239</v>
      </c>
      <c r="B646" s="32" t="s">
        <v>182</v>
      </c>
      <c r="C646" s="18" t="s">
        <v>27</v>
      </c>
      <c r="D646" s="63" t="s">
        <v>103</v>
      </c>
      <c r="E646" s="50" t="s">
        <v>1222</v>
      </c>
      <c r="F646" s="57">
        <v>2500</v>
      </c>
      <c r="G646" s="76"/>
      <c r="H646" s="57">
        <f t="shared" si="35"/>
        <v>2500</v>
      </c>
      <c r="I646" s="50">
        <v>1</v>
      </c>
      <c r="J646" s="57">
        <f t="shared" si="36"/>
        <v>2500</v>
      </c>
      <c r="K646" s="58">
        <f t="shared" si="38"/>
        <v>2750</v>
      </c>
      <c r="L646" s="18" t="s">
        <v>20</v>
      </c>
      <c r="M646" s="50"/>
      <c r="N646" s="50"/>
    </row>
    <row r="647" spans="1:14" ht="21.75" hidden="1" customHeight="1" x14ac:dyDescent="0.4">
      <c r="A647" s="62">
        <v>45239</v>
      </c>
      <c r="B647" s="32" t="s">
        <v>1989</v>
      </c>
      <c r="C647" s="18" t="s">
        <v>17</v>
      </c>
      <c r="D647" s="63" t="s">
        <v>2571</v>
      </c>
      <c r="E647" s="50" t="s">
        <v>2493</v>
      </c>
      <c r="F647" s="57">
        <v>1800</v>
      </c>
      <c r="G647" s="76">
        <v>-180</v>
      </c>
      <c r="H647" s="57">
        <f t="shared" si="35"/>
        <v>1620</v>
      </c>
      <c r="I647" s="50">
        <v>1</v>
      </c>
      <c r="J647" s="57">
        <f t="shared" si="36"/>
        <v>1620</v>
      </c>
      <c r="K647" s="58">
        <f t="shared" si="38"/>
        <v>1782</v>
      </c>
      <c r="L647" s="18" t="s">
        <v>25</v>
      </c>
      <c r="M647" s="50"/>
      <c r="N647" s="50"/>
    </row>
    <row r="648" spans="1:14" ht="21.75" hidden="1" customHeight="1" x14ac:dyDescent="0.4">
      <c r="A648" s="62">
        <v>45239</v>
      </c>
      <c r="B648" s="32" t="s">
        <v>376</v>
      </c>
      <c r="C648" s="18" t="s">
        <v>17</v>
      </c>
      <c r="D648" s="63" t="s">
        <v>292</v>
      </c>
      <c r="E648" s="50" t="s">
        <v>2572</v>
      </c>
      <c r="F648" s="57">
        <v>5500</v>
      </c>
      <c r="G648" s="76"/>
      <c r="H648" s="57">
        <f t="shared" si="35"/>
        <v>5500</v>
      </c>
      <c r="I648" s="50">
        <v>1</v>
      </c>
      <c r="J648" s="57">
        <f t="shared" si="36"/>
        <v>5500</v>
      </c>
      <c r="K648" s="58">
        <f t="shared" si="38"/>
        <v>6050</v>
      </c>
      <c r="L648" s="18" t="s">
        <v>25</v>
      </c>
      <c r="M648" s="50"/>
      <c r="N648" s="50"/>
    </row>
    <row r="649" spans="1:14" ht="21.75" hidden="1" customHeight="1" x14ac:dyDescent="0.4">
      <c r="A649" s="62">
        <v>45239</v>
      </c>
      <c r="B649" s="32" t="s">
        <v>1242</v>
      </c>
      <c r="C649" s="18" t="s">
        <v>17</v>
      </c>
      <c r="D649" s="63" t="s">
        <v>404</v>
      </c>
      <c r="E649" s="50" t="s">
        <v>2357</v>
      </c>
      <c r="F649" s="57">
        <v>1600</v>
      </c>
      <c r="G649" s="76">
        <v>-160</v>
      </c>
      <c r="H649" s="57">
        <f t="shared" si="35"/>
        <v>1440</v>
      </c>
      <c r="I649" s="50">
        <v>1</v>
      </c>
      <c r="J649" s="57">
        <f t="shared" si="36"/>
        <v>1440</v>
      </c>
      <c r="K649" s="58">
        <f t="shared" si="38"/>
        <v>1584</v>
      </c>
      <c r="L649" s="18" t="s">
        <v>20</v>
      </c>
      <c r="M649" s="50"/>
      <c r="N649" s="50"/>
    </row>
    <row r="650" spans="1:14" ht="21.75" hidden="1" customHeight="1" x14ac:dyDescent="0.4">
      <c r="A650" s="62">
        <v>45240</v>
      </c>
      <c r="B650" s="32" t="s">
        <v>1082</v>
      </c>
      <c r="C650" s="18" t="s">
        <v>27</v>
      </c>
      <c r="D650" s="63" t="s">
        <v>28</v>
      </c>
      <c r="E650" s="50" t="s">
        <v>73</v>
      </c>
      <c r="F650" s="57">
        <v>2000</v>
      </c>
      <c r="G650" s="76"/>
      <c r="H650" s="57">
        <f t="shared" si="35"/>
        <v>2000</v>
      </c>
      <c r="I650" s="50">
        <v>1</v>
      </c>
      <c r="J650" s="57">
        <f t="shared" si="36"/>
        <v>2000</v>
      </c>
      <c r="K650" s="58">
        <f t="shared" si="38"/>
        <v>2200</v>
      </c>
      <c r="L650" s="18" t="s">
        <v>25</v>
      </c>
      <c r="M650" s="50"/>
      <c r="N650" s="50"/>
    </row>
    <row r="651" spans="1:14" ht="21.75" hidden="1" customHeight="1" x14ac:dyDescent="0.4">
      <c r="A651" s="62">
        <v>45240</v>
      </c>
      <c r="B651" s="32" t="s">
        <v>984</v>
      </c>
      <c r="C651" s="18" t="s">
        <v>17</v>
      </c>
      <c r="D651" s="63" t="s">
        <v>2573</v>
      </c>
      <c r="E651" s="50" t="s">
        <v>2574</v>
      </c>
      <c r="F651" s="57">
        <v>1000</v>
      </c>
      <c r="G651" s="76"/>
      <c r="H651" s="57">
        <f t="shared" si="35"/>
        <v>1000</v>
      </c>
      <c r="I651" s="50">
        <v>1</v>
      </c>
      <c r="J651" s="57">
        <f t="shared" si="36"/>
        <v>1000</v>
      </c>
      <c r="K651" s="58">
        <f t="shared" si="38"/>
        <v>1100</v>
      </c>
      <c r="L651" s="18" t="s">
        <v>20</v>
      </c>
      <c r="M651" s="50"/>
      <c r="N651" s="50"/>
    </row>
    <row r="652" spans="1:14" ht="21.75" hidden="1" customHeight="1" x14ac:dyDescent="0.4">
      <c r="A652" s="62">
        <v>45240</v>
      </c>
      <c r="B652" s="32" t="s">
        <v>139</v>
      </c>
      <c r="C652" s="18" t="s">
        <v>17</v>
      </c>
      <c r="D652" s="63" t="s">
        <v>292</v>
      </c>
      <c r="E652" s="50" t="s">
        <v>2575</v>
      </c>
      <c r="F652" s="57">
        <v>5800</v>
      </c>
      <c r="G652" s="76">
        <v>-580</v>
      </c>
      <c r="H652" s="57">
        <f t="shared" si="35"/>
        <v>5220</v>
      </c>
      <c r="I652" s="50">
        <v>1</v>
      </c>
      <c r="J652" s="57">
        <f t="shared" si="36"/>
        <v>5220</v>
      </c>
      <c r="K652" s="58">
        <f t="shared" si="38"/>
        <v>5742</v>
      </c>
      <c r="L652" s="18" t="s">
        <v>25</v>
      </c>
      <c r="M652" s="50"/>
      <c r="N652" s="50"/>
    </row>
    <row r="653" spans="1:14" ht="21.75" hidden="1" customHeight="1" x14ac:dyDescent="0.4">
      <c r="A653" s="62">
        <v>45240</v>
      </c>
      <c r="B653" s="32" t="s">
        <v>633</v>
      </c>
      <c r="C653" s="18" t="s">
        <v>17</v>
      </c>
      <c r="D653" s="63" t="s">
        <v>2567</v>
      </c>
      <c r="E653" s="50" t="s">
        <v>2494</v>
      </c>
      <c r="F653" s="57">
        <v>6200</v>
      </c>
      <c r="G653" s="76">
        <v>-620</v>
      </c>
      <c r="H653" s="57">
        <f t="shared" si="35"/>
        <v>5580</v>
      </c>
      <c r="I653" s="50">
        <v>1</v>
      </c>
      <c r="J653" s="57">
        <f t="shared" si="36"/>
        <v>5580</v>
      </c>
      <c r="K653" s="58">
        <f t="shared" si="38"/>
        <v>6138</v>
      </c>
      <c r="L653" s="18" t="s">
        <v>25</v>
      </c>
      <c r="M653" s="50"/>
      <c r="N653" s="50"/>
    </row>
    <row r="654" spans="1:14" ht="21.75" hidden="1" customHeight="1" x14ac:dyDescent="0.4">
      <c r="A654" s="62">
        <v>45240</v>
      </c>
      <c r="B654" s="32" t="s">
        <v>633</v>
      </c>
      <c r="C654" s="18" t="s">
        <v>17</v>
      </c>
      <c r="D654" s="63" t="s">
        <v>455</v>
      </c>
      <c r="E654" s="50" t="s">
        <v>2495</v>
      </c>
      <c r="F654" s="57">
        <v>1090</v>
      </c>
      <c r="G654" s="76">
        <v>-109</v>
      </c>
      <c r="H654" s="57">
        <f t="shared" si="35"/>
        <v>981</v>
      </c>
      <c r="I654" s="50">
        <v>1</v>
      </c>
      <c r="J654" s="57">
        <f t="shared" si="36"/>
        <v>981</v>
      </c>
      <c r="K654" s="58">
        <f t="shared" si="38"/>
        <v>1079</v>
      </c>
      <c r="L654" s="18" t="s">
        <v>25</v>
      </c>
      <c r="M654" s="50"/>
      <c r="N654" s="50"/>
    </row>
    <row r="655" spans="1:14" ht="21.75" hidden="1" customHeight="1" x14ac:dyDescent="0.4">
      <c r="A655" s="62">
        <v>45240</v>
      </c>
      <c r="B655" s="32" t="s">
        <v>162</v>
      </c>
      <c r="C655" s="18" t="s">
        <v>27</v>
      </c>
      <c r="D655" s="63" t="s">
        <v>28</v>
      </c>
      <c r="E655" s="50" t="s">
        <v>1810</v>
      </c>
      <c r="F655" s="57">
        <v>2500</v>
      </c>
      <c r="G655" s="76"/>
      <c r="H655" s="57">
        <f t="shared" si="35"/>
        <v>2500</v>
      </c>
      <c r="I655" s="50">
        <v>1</v>
      </c>
      <c r="J655" s="57">
        <f t="shared" si="36"/>
        <v>2500</v>
      </c>
      <c r="K655" s="58">
        <f t="shared" si="38"/>
        <v>2750</v>
      </c>
      <c r="L655" s="18" t="s">
        <v>25</v>
      </c>
      <c r="M655" s="50"/>
      <c r="N655" s="50"/>
    </row>
    <row r="656" spans="1:14" ht="21.75" hidden="1" customHeight="1" x14ac:dyDescent="0.4">
      <c r="A656" s="62">
        <v>45240</v>
      </c>
      <c r="B656" s="32" t="s">
        <v>162</v>
      </c>
      <c r="C656" s="18" t="s">
        <v>27</v>
      </c>
      <c r="D656" s="63" t="s">
        <v>28</v>
      </c>
      <c r="E656" s="50" t="s">
        <v>73</v>
      </c>
      <c r="F656" s="57">
        <v>2000</v>
      </c>
      <c r="G656" s="76"/>
      <c r="H656" s="57">
        <f t="shared" si="35"/>
        <v>2000</v>
      </c>
      <c r="I656" s="50">
        <v>1</v>
      </c>
      <c r="J656" s="57">
        <f t="shared" si="36"/>
        <v>2000</v>
      </c>
      <c r="K656" s="58">
        <f t="shared" si="38"/>
        <v>2200</v>
      </c>
      <c r="L656" s="18" t="s">
        <v>25</v>
      </c>
      <c r="M656" s="50"/>
      <c r="N656" s="50"/>
    </row>
    <row r="657" spans="1:15" ht="21.75" hidden="1" customHeight="1" x14ac:dyDescent="0.4">
      <c r="A657" s="62">
        <v>45241</v>
      </c>
      <c r="B657" s="32" t="s">
        <v>2496</v>
      </c>
      <c r="C657" s="18" t="s">
        <v>22</v>
      </c>
      <c r="D657" s="63" t="s">
        <v>23</v>
      </c>
      <c r="E657" s="50" t="s">
        <v>1941</v>
      </c>
      <c r="F657" s="57">
        <v>15000</v>
      </c>
      <c r="G657" s="76"/>
      <c r="H657" s="57">
        <f t="shared" si="35"/>
        <v>15000</v>
      </c>
      <c r="I657" s="50">
        <v>1</v>
      </c>
      <c r="J657" s="57">
        <f t="shared" si="36"/>
        <v>15000</v>
      </c>
      <c r="K657" s="58">
        <f t="shared" si="38"/>
        <v>16500</v>
      </c>
      <c r="L657" s="18" t="s">
        <v>20</v>
      </c>
      <c r="M657" s="50" t="s">
        <v>1954</v>
      </c>
      <c r="N657" s="50" t="s">
        <v>2598</v>
      </c>
    </row>
    <row r="658" spans="1:15" ht="21.75" hidden="1" customHeight="1" x14ac:dyDescent="0.4">
      <c r="A658" s="62">
        <v>45241</v>
      </c>
      <c r="B658" s="32" t="s">
        <v>1402</v>
      </c>
      <c r="C658" s="18" t="s">
        <v>22</v>
      </c>
      <c r="D658" s="63" t="s">
        <v>23</v>
      </c>
      <c r="E658" s="50" t="s">
        <v>1941</v>
      </c>
      <c r="F658" s="57">
        <v>15000</v>
      </c>
      <c r="G658" s="76"/>
      <c r="H658" s="57">
        <f t="shared" si="35"/>
        <v>15000</v>
      </c>
      <c r="I658" s="50">
        <v>1</v>
      </c>
      <c r="J658" s="57">
        <f t="shared" si="36"/>
        <v>15000</v>
      </c>
      <c r="K658" s="58">
        <f t="shared" si="38"/>
        <v>16500</v>
      </c>
      <c r="L658" s="18" t="s">
        <v>25</v>
      </c>
      <c r="M658" s="50"/>
      <c r="N658" s="50" t="s">
        <v>2595</v>
      </c>
    </row>
    <row r="659" spans="1:15" ht="21.75" hidden="1" customHeight="1" x14ac:dyDescent="0.4">
      <c r="A659" s="62">
        <v>45241</v>
      </c>
      <c r="B659" s="32" t="s">
        <v>1402</v>
      </c>
      <c r="C659" s="18" t="s">
        <v>17</v>
      </c>
      <c r="D659" s="63" t="s">
        <v>328</v>
      </c>
      <c r="E659" s="50" t="s">
        <v>2576</v>
      </c>
      <c r="F659" s="57">
        <v>40000</v>
      </c>
      <c r="G659" s="76">
        <v>-8000</v>
      </c>
      <c r="H659" s="57">
        <f t="shared" si="35"/>
        <v>32000</v>
      </c>
      <c r="I659" s="50">
        <v>1</v>
      </c>
      <c r="J659" s="57">
        <f t="shared" si="36"/>
        <v>32000</v>
      </c>
      <c r="K659" s="58">
        <f t="shared" si="38"/>
        <v>35200</v>
      </c>
      <c r="L659" s="18" t="s">
        <v>34</v>
      </c>
      <c r="M659" s="50"/>
      <c r="N659" s="50" t="s">
        <v>2595</v>
      </c>
    </row>
    <row r="660" spans="1:15" ht="21.75" hidden="1" customHeight="1" x14ac:dyDescent="0.4">
      <c r="A660" s="62">
        <v>45241</v>
      </c>
      <c r="B660" s="32" t="s">
        <v>1402</v>
      </c>
      <c r="C660" s="18" t="s">
        <v>17</v>
      </c>
      <c r="D660" s="63" t="s">
        <v>2571</v>
      </c>
      <c r="E660" s="50" t="s">
        <v>2497</v>
      </c>
      <c r="F660" s="57">
        <v>1090</v>
      </c>
      <c r="G660" s="76"/>
      <c r="H660" s="57">
        <f t="shared" si="35"/>
        <v>1090</v>
      </c>
      <c r="I660" s="50">
        <v>1</v>
      </c>
      <c r="J660" s="57">
        <f t="shared" si="36"/>
        <v>1090</v>
      </c>
      <c r="K660" s="58">
        <f t="shared" si="38"/>
        <v>1199</v>
      </c>
      <c r="L660" s="18" t="s">
        <v>34</v>
      </c>
      <c r="M660" s="50"/>
      <c r="N660" s="50" t="s">
        <v>2595</v>
      </c>
    </row>
    <row r="661" spans="1:15" ht="21.75" hidden="1" customHeight="1" x14ac:dyDescent="0.4">
      <c r="A661" s="62">
        <v>45241</v>
      </c>
      <c r="B661" s="32" t="s">
        <v>1402</v>
      </c>
      <c r="C661" s="18" t="s">
        <v>17</v>
      </c>
      <c r="D661" s="63" t="s">
        <v>2577</v>
      </c>
      <c r="E661" s="50" t="s">
        <v>2498</v>
      </c>
      <c r="F661" s="57">
        <v>5000</v>
      </c>
      <c r="G661" s="76"/>
      <c r="H661" s="57">
        <f t="shared" si="35"/>
        <v>5000</v>
      </c>
      <c r="I661" s="50">
        <v>1</v>
      </c>
      <c r="J661" s="57">
        <f t="shared" si="36"/>
        <v>5000</v>
      </c>
      <c r="K661" s="58">
        <f t="shared" si="38"/>
        <v>5500</v>
      </c>
      <c r="L661" s="18" t="s">
        <v>34</v>
      </c>
      <c r="M661" s="50"/>
      <c r="N661" s="50" t="s">
        <v>2595</v>
      </c>
    </row>
    <row r="662" spans="1:15" s="35" customFormat="1" ht="21.75" hidden="1" customHeight="1" x14ac:dyDescent="0.4">
      <c r="A662" s="62">
        <v>45241</v>
      </c>
      <c r="B662" s="32" t="s">
        <v>1402</v>
      </c>
      <c r="C662" s="96" t="s">
        <v>198</v>
      </c>
      <c r="D662" s="63"/>
      <c r="E662" s="50" t="s">
        <v>2491</v>
      </c>
      <c r="F662" s="57">
        <v>-15000</v>
      </c>
      <c r="G662" s="76"/>
      <c r="H662" s="57">
        <f t="shared" si="35"/>
        <v>-15000</v>
      </c>
      <c r="I662" s="50">
        <v>1</v>
      </c>
      <c r="J662" s="57">
        <f t="shared" si="36"/>
        <v>-15000</v>
      </c>
      <c r="K662" s="58">
        <f t="shared" si="38"/>
        <v>-16500</v>
      </c>
      <c r="L662" s="18" t="s">
        <v>34</v>
      </c>
      <c r="M662" s="50"/>
      <c r="N662" s="50"/>
      <c r="O662" s="52"/>
    </row>
    <row r="663" spans="1:15" ht="21.75" hidden="1" customHeight="1" x14ac:dyDescent="0.4">
      <c r="A663" s="62">
        <v>45241</v>
      </c>
      <c r="B663" s="32" t="s">
        <v>2499</v>
      </c>
      <c r="C663" s="18" t="s">
        <v>17</v>
      </c>
      <c r="D663" s="63" t="s">
        <v>328</v>
      </c>
      <c r="E663" s="106" t="s">
        <v>2578</v>
      </c>
      <c r="F663" s="57">
        <v>28000</v>
      </c>
      <c r="G663" s="76">
        <v>-5600</v>
      </c>
      <c r="H663" s="57">
        <f t="shared" si="35"/>
        <v>22400</v>
      </c>
      <c r="I663" s="50">
        <v>4</v>
      </c>
      <c r="J663" s="57">
        <f t="shared" si="36"/>
        <v>89600</v>
      </c>
      <c r="K663" s="157">
        <f t="shared" si="38"/>
        <v>98560</v>
      </c>
      <c r="L663" s="18" t="s">
        <v>34</v>
      </c>
      <c r="M663" s="130" t="s">
        <v>2560</v>
      </c>
      <c r="N663" s="50"/>
    </row>
    <row r="664" spans="1:15" ht="21.75" hidden="1" customHeight="1" x14ac:dyDescent="0.4">
      <c r="A664" s="62">
        <v>45241</v>
      </c>
      <c r="B664" s="32" t="s">
        <v>2499</v>
      </c>
      <c r="C664" s="18" t="s">
        <v>17</v>
      </c>
      <c r="D664" s="63" t="s">
        <v>328</v>
      </c>
      <c r="E664" s="50" t="s">
        <v>2579</v>
      </c>
      <c r="F664" s="57">
        <v>50000</v>
      </c>
      <c r="G664" s="76">
        <v>-10000</v>
      </c>
      <c r="H664" s="57">
        <f t="shared" si="35"/>
        <v>40000</v>
      </c>
      <c r="I664" s="50">
        <v>1</v>
      </c>
      <c r="J664" s="57">
        <f t="shared" si="36"/>
        <v>40000</v>
      </c>
      <c r="K664" s="58">
        <f t="shared" si="38"/>
        <v>44000</v>
      </c>
      <c r="L664" s="18" t="s">
        <v>34</v>
      </c>
      <c r="M664" s="50"/>
      <c r="N664" s="50"/>
    </row>
    <row r="665" spans="1:15" ht="21.75" hidden="1" customHeight="1" x14ac:dyDescent="0.4">
      <c r="A665" s="62">
        <v>45241</v>
      </c>
      <c r="B665" s="32" t="s">
        <v>2499</v>
      </c>
      <c r="C665" s="18" t="s">
        <v>17</v>
      </c>
      <c r="D665" s="63" t="s">
        <v>2571</v>
      </c>
      <c r="E665" s="50" t="s">
        <v>2501</v>
      </c>
      <c r="F665" s="57">
        <v>1090</v>
      </c>
      <c r="G665" s="76"/>
      <c r="H665" s="57">
        <f t="shared" si="35"/>
        <v>1090</v>
      </c>
      <c r="I665" s="50">
        <v>6</v>
      </c>
      <c r="J665" s="57">
        <f t="shared" si="36"/>
        <v>6540</v>
      </c>
      <c r="K665" s="58">
        <f t="shared" si="38"/>
        <v>7194</v>
      </c>
      <c r="L665" s="18" t="s">
        <v>34</v>
      </c>
      <c r="M665" s="50"/>
      <c r="N665" s="50"/>
    </row>
    <row r="666" spans="1:15" ht="21.75" hidden="1" customHeight="1" x14ac:dyDescent="0.4">
      <c r="A666" s="62">
        <v>45241</v>
      </c>
      <c r="B666" s="32" t="s">
        <v>2502</v>
      </c>
      <c r="C666" s="18" t="s">
        <v>22</v>
      </c>
      <c r="D666" s="63" t="s">
        <v>1496</v>
      </c>
      <c r="E666" s="50" t="s">
        <v>369</v>
      </c>
      <c r="F666" s="57">
        <v>3000</v>
      </c>
      <c r="G666" s="76"/>
      <c r="H666" s="57">
        <f t="shared" si="35"/>
        <v>3000</v>
      </c>
      <c r="I666" s="50">
        <v>1</v>
      </c>
      <c r="J666" s="57">
        <f t="shared" si="36"/>
        <v>3000</v>
      </c>
      <c r="K666" s="58">
        <f t="shared" si="38"/>
        <v>3300</v>
      </c>
      <c r="L666" s="18" t="s">
        <v>20</v>
      </c>
      <c r="M666" s="50" t="s">
        <v>1954</v>
      </c>
      <c r="N666" s="50" t="s">
        <v>2595</v>
      </c>
    </row>
    <row r="667" spans="1:15" ht="21.75" hidden="1" customHeight="1" x14ac:dyDescent="0.4">
      <c r="A667" s="62">
        <v>45241</v>
      </c>
      <c r="B667" s="32" t="s">
        <v>2502</v>
      </c>
      <c r="C667" s="18" t="s">
        <v>27</v>
      </c>
      <c r="D667" s="63" t="s">
        <v>28</v>
      </c>
      <c r="E667" s="50" t="s">
        <v>318</v>
      </c>
      <c r="F667" s="57">
        <v>15000</v>
      </c>
      <c r="G667" s="76"/>
      <c r="H667" s="57">
        <f t="shared" si="35"/>
        <v>15000</v>
      </c>
      <c r="I667" s="50">
        <v>1</v>
      </c>
      <c r="J667" s="57">
        <f t="shared" si="36"/>
        <v>15000</v>
      </c>
      <c r="K667" s="58">
        <f t="shared" si="38"/>
        <v>16500</v>
      </c>
      <c r="L667" s="18" t="s">
        <v>20</v>
      </c>
      <c r="M667" s="50"/>
      <c r="N667" s="50"/>
    </row>
    <row r="668" spans="1:15" ht="21.75" hidden="1" customHeight="1" x14ac:dyDescent="0.4">
      <c r="A668" s="62">
        <v>45241</v>
      </c>
      <c r="B668" s="32" t="s">
        <v>2502</v>
      </c>
      <c r="C668" s="18" t="s">
        <v>27</v>
      </c>
      <c r="D668" s="63" t="s">
        <v>28</v>
      </c>
      <c r="E668" s="50" t="s">
        <v>1816</v>
      </c>
      <c r="F668" s="57">
        <v>8750</v>
      </c>
      <c r="G668" s="76"/>
      <c r="H668" s="57">
        <f t="shared" si="35"/>
        <v>8750</v>
      </c>
      <c r="I668" s="50">
        <v>1</v>
      </c>
      <c r="J668" s="57">
        <f t="shared" si="36"/>
        <v>8750</v>
      </c>
      <c r="K668" s="58">
        <f t="shared" si="38"/>
        <v>9625</v>
      </c>
      <c r="L668" s="18" t="s">
        <v>20</v>
      </c>
      <c r="M668" s="50"/>
      <c r="N668" s="50"/>
    </row>
    <row r="669" spans="1:15" ht="21.75" hidden="1" customHeight="1" x14ac:dyDescent="0.4">
      <c r="A669" s="62">
        <v>45241</v>
      </c>
      <c r="B669" s="32" t="s">
        <v>2502</v>
      </c>
      <c r="C669" s="18" t="s">
        <v>27</v>
      </c>
      <c r="D669" s="63" t="s">
        <v>28</v>
      </c>
      <c r="E669" s="50" t="s">
        <v>2580</v>
      </c>
      <c r="F669" s="57">
        <v>17500</v>
      </c>
      <c r="G669" s="76"/>
      <c r="H669" s="57">
        <f t="shared" si="35"/>
        <v>17500</v>
      </c>
      <c r="I669" s="50">
        <v>1</v>
      </c>
      <c r="J669" s="57">
        <f t="shared" si="36"/>
        <v>17500</v>
      </c>
      <c r="K669" s="58">
        <f t="shared" si="38"/>
        <v>19250</v>
      </c>
      <c r="L669" s="18" t="s">
        <v>20</v>
      </c>
      <c r="M669" s="50"/>
      <c r="N669" s="50"/>
    </row>
    <row r="670" spans="1:15" ht="21.75" hidden="1" customHeight="1" x14ac:dyDescent="0.4">
      <c r="A670" s="62">
        <v>45242</v>
      </c>
      <c r="B670" s="32" t="s">
        <v>2503</v>
      </c>
      <c r="C670" s="18" t="s">
        <v>22</v>
      </c>
      <c r="D670" s="63" t="s">
        <v>1496</v>
      </c>
      <c r="E670" s="50" t="s">
        <v>369</v>
      </c>
      <c r="F670" s="57">
        <v>3000</v>
      </c>
      <c r="G670" s="76"/>
      <c r="H670" s="57">
        <f t="shared" ref="H670:H736" si="39">SUM(F670:G670)</f>
        <v>3000</v>
      </c>
      <c r="I670" s="50">
        <v>1</v>
      </c>
      <c r="J670" s="57">
        <f t="shared" ref="J670:J735" si="40">SUM(H670*I670)</f>
        <v>3000</v>
      </c>
      <c r="K670" s="58">
        <f t="shared" si="38"/>
        <v>3300</v>
      </c>
      <c r="L670" s="18" t="s">
        <v>25</v>
      </c>
      <c r="M670" s="50" t="s">
        <v>1954</v>
      </c>
      <c r="N670" s="50" t="s">
        <v>2595</v>
      </c>
    </row>
    <row r="671" spans="1:15" ht="21.75" hidden="1" customHeight="1" x14ac:dyDescent="0.4">
      <c r="A671" s="62">
        <v>45242</v>
      </c>
      <c r="B671" s="32" t="s">
        <v>2504</v>
      </c>
      <c r="C671" s="18" t="s">
        <v>22</v>
      </c>
      <c r="D671" s="63" t="s">
        <v>1496</v>
      </c>
      <c r="E671" s="50" t="s">
        <v>369</v>
      </c>
      <c r="F671" s="57">
        <v>3000</v>
      </c>
      <c r="G671" s="76"/>
      <c r="H671" s="57">
        <f t="shared" si="39"/>
        <v>3000</v>
      </c>
      <c r="I671" s="50">
        <v>1</v>
      </c>
      <c r="J671" s="57">
        <f t="shared" si="40"/>
        <v>3000</v>
      </c>
      <c r="K671" s="58">
        <f t="shared" si="38"/>
        <v>3300</v>
      </c>
      <c r="L671" s="18" t="s">
        <v>20</v>
      </c>
      <c r="M671" s="50" t="s">
        <v>1954</v>
      </c>
      <c r="N671" s="50" t="s">
        <v>2595</v>
      </c>
    </row>
    <row r="672" spans="1:15" ht="21.75" hidden="1" customHeight="1" x14ac:dyDescent="0.4">
      <c r="A672" s="62">
        <v>45242</v>
      </c>
      <c r="B672" s="32" t="s">
        <v>2505</v>
      </c>
      <c r="C672" s="18" t="s">
        <v>22</v>
      </c>
      <c r="D672" s="63" t="s">
        <v>1496</v>
      </c>
      <c r="E672" s="50" t="s">
        <v>369</v>
      </c>
      <c r="F672" s="57">
        <v>3000</v>
      </c>
      <c r="G672" s="76"/>
      <c r="H672" s="57">
        <f t="shared" si="39"/>
        <v>3000</v>
      </c>
      <c r="I672" s="50">
        <v>1</v>
      </c>
      <c r="J672" s="57">
        <f t="shared" si="40"/>
        <v>3000</v>
      </c>
      <c r="K672" s="58">
        <f t="shared" si="38"/>
        <v>3300</v>
      </c>
      <c r="L672" s="18" t="s">
        <v>20</v>
      </c>
      <c r="M672" s="50" t="s">
        <v>1954</v>
      </c>
      <c r="N672" s="50" t="s">
        <v>2595</v>
      </c>
    </row>
    <row r="673" spans="1:14" ht="21.75" hidden="1" customHeight="1" x14ac:dyDescent="0.4">
      <c r="A673" s="62">
        <v>45242</v>
      </c>
      <c r="B673" s="32" t="s">
        <v>2506</v>
      </c>
      <c r="C673" s="18" t="s">
        <v>22</v>
      </c>
      <c r="D673" s="63" t="s">
        <v>1496</v>
      </c>
      <c r="E673" s="50" t="s">
        <v>369</v>
      </c>
      <c r="F673" s="57">
        <v>3000</v>
      </c>
      <c r="G673" s="76"/>
      <c r="H673" s="57">
        <f t="shared" si="39"/>
        <v>3000</v>
      </c>
      <c r="I673" s="50">
        <v>1</v>
      </c>
      <c r="J673" s="57">
        <f t="shared" si="40"/>
        <v>3000</v>
      </c>
      <c r="K673" s="58">
        <f t="shared" si="38"/>
        <v>3300</v>
      </c>
      <c r="L673" s="18" t="s">
        <v>25</v>
      </c>
      <c r="M673" s="50" t="s">
        <v>1954</v>
      </c>
      <c r="N673" s="50" t="s">
        <v>2594</v>
      </c>
    </row>
    <row r="674" spans="1:14" ht="21.75" hidden="1" customHeight="1" x14ac:dyDescent="0.4">
      <c r="A674" s="62">
        <v>45242</v>
      </c>
      <c r="B674" s="32" t="s">
        <v>2505</v>
      </c>
      <c r="C674" s="18" t="s">
        <v>27</v>
      </c>
      <c r="D674" s="63" t="s">
        <v>28</v>
      </c>
      <c r="E674" s="50" t="s">
        <v>318</v>
      </c>
      <c r="F674" s="57">
        <v>15000</v>
      </c>
      <c r="G674" s="76"/>
      <c r="H674" s="57">
        <f t="shared" si="39"/>
        <v>15000</v>
      </c>
      <c r="I674" s="50">
        <v>1</v>
      </c>
      <c r="J674" s="57">
        <f t="shared" si="40"/>
        <v>15000</v>
      </c>
      <c r="K674" s="58">
        <f t="shared" ref="K674:K738" si="41">ROUNDDOWN(J674*1.1,0)</f>
        <v>16500</v>
      </c>
      <c r="L674" s="18" t="s">
        <v>25</v>
      </c>
      <c r="M674" s="50"/>
      <c r="N674" s="50"/>
    </row>
    <row r="675" spans="1:14" ht="21.75" hidden="1" customHeight="1" x14ac:dyDescent="0.4">
      <c r="A675" s="62">
        <v>45242</v>
      </c>
      <c r="B675" s="32" t="s">
        <v>2505</v>
      </c>
      <c r="C675" s="18" t="s">
        <v>27</v>
      </c>
      <c r="D675" s="63" t="s">
        <v>28</v>
      </c>
      <c r="E675" s="50" t="s">
        <v>2366</v>
      </c>
      <c r="F675" s="57">
        <v>8750</v>
      </c>
      <c r="G675" s="76"/>
      <c r="H675" s="57">
        <f t="shared" si="39"/>
        <v>8750</v>
      </c>
      <c r="I675" s="50">
        <v>1</v>
      </c>
      <c r="J675" s="57">
        <f t="shared" si="40"/>
        <v>8750</v>
      </c>
      <c r="K675" s="58">
        <f t="shared" si="41"/>
        <v>9625</v>
      </c>
      <c r="L675" s="18" t="s">
        <v>25</v>
      </c>
      <c r="M675" s="50"/>
      <c r="N675" s="50"/>
    </row>
    <row r="676" spans="1:14" ht="21.75" hidden="1" customHeight="1" x14ac:dyDescent="0.4">
      <c r="A676" s="62">
        <v>45242</v>
      </c>
      <c r="B676" s="32" t="s">
        <v>2505</v>
      </c>
      <c r="C676" s="18" t="s">
        <v>27</v>
      </c>
      <c r="D676" s="63" t="s">
        <v>28</v>
      </c>
      <c r="E676" s="50" t="s">
        <v>1897</v>
      </c>
      <c r="F676" s="57">
        <v>17500</v>
      </c>
      <c r="G676" s="76"/>
      <c r="H676" s="57">
        <f t="shared" si="39"/>
        <v>17500</v>
      </c>
      <c r="I676" s="50">
        <v>1</v>
      </c>
      <c r="J676" s="57">
        <f t="shared" si="40"/>
        <v>17500</v>
      </c>
      <c r="K676" s="58">
        <f t="shared" si="41"/>
        <v>19250</v>
      </c>
      <c r="L676" s="18" t="s">
        <v>25</v>
      </c>
      <c r="M676" s="50"/>
      <c r="N676" s="50"/>
    </row>
    <row r="677" spans="1:14" ht="21.75" hidden="1" customHeight="1" x14ac:dyDescent="0.4">
      <c r="A677" s="62">
        <v>45243</v>
      </c>
      <c r="B677" s="32" t="s">
        <v>861</v>
      </c>
      <c r="C677" s="18" t="s">
        <v>22</v>
      </c>
      <c r="D677" s="63" t="s">
        <v>23</v>
      </c>
      <c r="E677" s="50" t="s">
        <v>1941</v>
      </c>
      <c r="F677" s="57">
        <v>15000</v>
      </c>
      <c r="G677" s="76"/>
      <c r="H677" s="57">
        <f t="shared" si="39"/>
        <v>15000</v>
      </c>
      <c r="I677" s="50">
        <v>1</v>
      </c>
      <c r="J677" s="57">
        <f t="shared" si="40"/>
        <v>15000</v>
      </c>
      <c r="K677" s="58">
        <f t="shared" si="41"/>
        <v>16500</v>
      </c>
      <c r="L677" s="18" t="s">
        <v>25</v>
      </c>
      <c r="M677" s="50"/>
      <c r="N677" s="50" t="s">
        <v>2594</v>
      </c>
    </row>
    <row r="678" spans="1:14" ht="21.75" hidden="1" customHeight="1" x14ac:dyDescent="0.4">
      <c r="A678" s="62">
        <v>45243</v>
      </c>
      <c r="B678" s="32" t="s">
        <v>2431</v>
      </c>
      <c r="C678" s="18" t="s">
        <v>27</v>
      </c>
      <c r="D678" s="63" t="s">
        <v>28</v>
      </c>
      <c r="E678" s="50" t="s">
        <v>2202</v>
      </c>
      <c r="F678" s="57">
        <v>9187</v>
      </c>
      <c r="G678" s="76"/>
      <c r="H678" s="57">
        <f t="shared" si="39"/>
        <v>9187</v>
      </c>
      <c r="I678" s="50">
        <v>1</v>
      </c>
      <c r="J678" s="57">
        <f t="shared" si="40"/>
        <v>9187</v>
      </c>
      <c r="K678" s="58">
        <f t="shared" si="41"/>
        <v>10105</v>
      </c>
      <c r="L678" s="18" t="s">
        <v>20</v>
      </c>
      <c r="M678" s="50"/>
      <c r="N678" s="50"/>
    </row>
    <row r="679" spans="1:14" ht="21.75" hidden="1" customHeight="1" x14ac:dyDescent="0.4">
      <c r="A679" s="62">
        <v>45245</v>
      </c>
      <c r="B679" s="32" t="s">
        <v>593</v>
      </c>
      <c r="C679" s="18" t="s">
        <v>27</v>
      </c>
      <c r="D679" s="63" t="s">
        <v>28</v>
      </c>
      <c r="E679" s="50" t="s">
        <v>1917</v>
      </c>
      <c r="F679" s="57">
        <v>22500</v>
      </c>
      <c r="G679" s="76"/>
      <c r="H679" s="57">
        <f t="shared" si="39"/>
        <v>22500</v>
      </c>
      <c r="I679" s="50">
        <v>1</v>
      </c>
      <c r="J679" s="57">
        <f t="shared" si="40"/>
        <v>22500</v>
      </c>
      <c r="K679" s="58">
        <f t="shared" si="41"/>
        <v>24750</v>
      </c>
      <c r="L679" s="18" t="s">
        <v>25</v>
      </c>
      <c r="M679" s="50"/>
      <c r="N679" s="50"/>
    </row>
    <row r="680" spans="1:14" ht="21.75" hidden="1" customHeight="1" x14ac:dyDescent="0.4">
      <c r="A680" s="62">
        <v>45245</v>
      </c>
      <c r="B680" s="32" t="s">
        <v>2507</v>
      </c>
      <c r="C680" s="18" t="s">
        <v>22</v>
      </c>
      <c r="D680" s="63" t="s">
        <v>23</v>
      </c>
      <c r="E680" s="50" t="s">
        <v>2509</v>
      </c>
      <c r="F680" s="57">
        <v>18000</v>
      </c>
      <c r="G680" s="76"/>
      <c r="H680" s="57">
        <f t="shared" si="39"/>
        <v>18000</v>
      </c>
      <c r="I680" s="50">
        <v>1</v>
      </c>
      <c r="J680" s="57">
        <f t="shared" si="40"/>
        <v>18000</v>
      </c>
      <c r="K680" s="58">
        <f t="shared" si="41"/>
        <v>19800</v>
      </c>
      <c r="L680" s="18" t="s">
        <v>20</v>
      </c>
      <c r="M680" s="50" t="s">
        <v>2511</v>
      </c>
      <c r="N680" s="50" t="s">
        <v>2598</v>
      </c>
    </row>
    <row r="681" spans="1:14" ht="21.75" hidden="1" customHeight="1" x14ac:dyDescent="0.4">
      <c r="A681" s="62">
        <v>45245</v>
      </c>
      <c r="B681" s="32" t="s">
        <v>223</v>
      </c>
      <c r="C681" s="18" t="s">
        <v>17</v>
      </c>
      <c r="D681" s="63" t="s">
        <v>2581</v>
      </c>
      <c r="E681" s="50" t="s">
        <v>1576</v>
      </c>
      <c r="F681" s="57">
        <v>1700</v>
      </c>
      <c r="G681" s="76">
        <v>-170</v>
      </c>
      <c r="H681" s="57">
        <f t="shared" si="39"/>
        <v>1530</v>
      </c>
      <c r="I681" s="50">
        <v>1</v>
      </c>
      <c r="J681" s="57">
        <f t="shared" si="40"/>
        <v>1530</v>
      </c>
      <c r="K681" s="58">
        <f t="shared" si="41"/>
        <v>1683</v>
      </c>
      <c r="L681" s="18" t="s">
        <v>25</v>
      </c>
      <c r="M681" s="50"/>
      <c r="N681" s="50"/>
    </row>
    <row r="682" spans="1:14" ht="21.75" hidden="1" customHeight="1" x14ac:dyDescent="0.4">
      <c r="A682" s="62">
        <v>45246</v>
      </c>
      <c r="B682" s="32" t="s">
        <v>2057</v>
      </c>
      <c r="C682" s="18" t="s">
        <v>17</v>
      </c>
      <c r="D682" s="63" t="s">
        <v>700</v>
      </c>
      <c r="E682" s="106" t="s">
        <v>2582</v>
      </c>
      <c r="F682" s="57">
        <v>3000</v>
      </c>
      <c r="G682" s="76"/>
      <c r="H682" s="57">
        <f t="shared" si="39"/>
        <v>3000</v>
      </c>
      <c r="I682" s="50">
        <v>1</v>
      </c>
      <c r="J682" s="57">
        <f t="shared" si="40"/>
        <v>3000</v>
      </c>
      <c r="K682" s="58">
        <f t="shared" si="41"/>
        <v>3300</v>
      </c>
      <c r="L682" s="18" t="s">
        <v>25</v>
      </c>
      <c r="M682" s="50"/>
      <c r="N682" s="50"/>
    </row>
    <row r="683" spans="1:14" ht="21.75" hidden="1" customHeight="1" x14ac:dyDescent="0.4">
      <c r="A683" s="62">
        <v>45246</v>
      </c>
      <c r="B683" s="32" t="s">
        <v>678</v>
      </c>
      <c r="C683" s="18" t="s">
        <v>17</v>
      </c>
      <c r="D683" s="63" t="s">
        <v>2571</v>
      </c>
      <c r="E683" s="50" t="s">
        <v>2510</v>
      </c>
      <c r="F683" s="57">
        <v>1200</v>
      </c>
      <c r="G683" s="76"/>
      <c r="H683" s="57">
        <f t="shared" si="39"/>
        <v>1200</v>
      </c>
      <c r="I683" s="50">
        <v>1</v>
      </c>
      <c r="J683" s="57">
        <f t="shared" si="40"/>
        <v>1200</v>
      </c>
      <c r="K683" s="58">
        <f t="shared" si="41"/>
        <v>1320</v>
      </c>
      <c r="L683" s="18" t="s">
        <v>20</v>
      </c>
      <c r="M683" s="50"/>
      <c r="N683" s="50"/>
    </row>
    <row r="684" spans="1:14" ht="21.75" hidden="1" customHeight="1" x14ac:dyDescent="0.4">
      <c r="A684" s="62">
        <v>45247</v>
      </c>
      <c r="B684" s="32" t="s">
        <v>2512</v>
      </c>
      <c r="C684" s="18" t="s">
        <v>22</v>
      </c>
      <c r="D684" s="63" t="s">
        <v>23</v>
      </c>
      <c r="E684" s="50" t="s">
        <v>2508</v>
      </c>
      <c r="F684" s="57">
        <v>13500</v>
      </c>
      <c r="G684" s="76"/>
      <c r="H684" s="57">
        <f t="shared" si="39"/>
        <v>13500</v>
      </c>
      <c r="I684" s="50">
        <v>1</v>
      </c>
      <c r="J684" s="57">
        <f t="shared" si="40"/>
        <v>13500</v>
      </c>
      <c r="K684" s="58">
        <f t="shared" si="41"/>
        <v>14850</v>
      </c>
      <c r="L684" s="18" t="s">
        <v>25</v>
      </c>
      <c r="M684" s="50" t="s">
        <v>2516</v>
      </c>
      <c r="N684" s="50" t="s">
        <v>2594</v>
      </c>
    </row>
    <row r="685" spans="1:14" ht="21.75" hidden="1" customHeight="1" x14ac:dyDescent="0.4">
      <c r="A685" s="62">
        <v>45247</v>
      </c>
      <c r="B685" s="32" t="s">
        <v>2513</v>
      </c>
      <c r="C685" s="18" t="s">
        <v>22</v>
      </c>
      <c r="D685" s="63" t="s">
        <v>23</v>
      </c>
      <c r="E685" s="50" t="s">
        <v>2508</v>
      </c>
      <c r="F685" s="57">
        <v>13500</v>
      </c>
      <c r="G685" s="76"/>
      <c r="H685" s="57">
        <f t="shared" si="39"/>
        <v>13500</v>
      </c>
      <c r="I685" s="50">
        <v>1</v>
      </c>
      <c r="J685" s="57">
        <f t="shared" si="40"/>
        <v>13500</v>
      </c>
      <c r="K685" s="58">
        <f t="shared" si="41"/>
        <v>14850</v>
      </c>
      <c r="L685" s="18" t="s">
        <v>25</v>
      </c>
      <c r="M685" s="50" t="s">
        <v>2516</v>
      </c>
      <c r="N685" s="50" t="s">
        <v>2595</v>
      </c>
    </row>
    <row r="686" spans="1:14" ht="21.75" hidden="1" customHeight="1" x14ac:dyDescent="0.4">
      <c r="A686" s="62">
        <v>45247</v>
      </c>
      <c r="B686" s="32" t="s">
        <v>2514</v>
      </c>
      <c r="C686" s="18" t="s">
        <v>22</v>
      </c>
      <c r="D686" s="63" t="s">
        <v>1496</v>
      </c>
      <c r="E686" s="50" t="s">
        <v>369</v>
      </c>
      <c r="F686" s="57">
        <v>3000</v>
      </c>
      <c r="G686" s="76"/>
      <c r="H686" s="57">
        <f t="shared" si="39"/>
        <v>3000</v>
      </c>
      <c r="I686" s="50">
        <v>1</v>
      </c>
      <c r="J686" s="57">
        <f t="shared" si="40"/>
        <v>3000</v>
      </c>
      <c r="K686" s="58">
        <f t="shared" si="41"/>
        <v>3300</v>
      </c>
      <c r="L686" s="18" t="s">
        <v>20</v>
      </c>
      <c r="M686" s="50" t="s">
        <v>2583</v>
      </c>
      <c r="N686" s="50" t="s">
        <v>2596</v>
      </c>
    </row>
    <row r="687" spans="1:14" ht="21.75" hidden="1" customHeight="1" x14ac:dyDescent="0.4">
      <c r="A687" s="62">
        <v>45247</v>
      </c>
      <c r="B687" s="32" t="s">
        <v>2517</v>
      </c>
      <c r="C687" s="18" t="s">
        <v>22</v>
      </c>
      <c r="D687" s="63" t="s">
        <v>1496</v>
      </c>
      <c r="E687" s="50" t="s">
        <v>369</v>
      </c>
      <c r="F687" s="57">
        <v>3000</v>
      </c>
      <c r="G687" s="76"/>
      <c r="H687" s="57">
        <f t="shared" si="39"/>
        <v>3000</v>
      </c>
      <c r="I687" s="50">
        <v>1</v>
      </c>
      <c r="J687" s="57">
        <f t="shared" si="40"/>
        <v>3000</v>
      </c>
      <c r="K687" s="58">
        <f t="shared" si="41"/>
        <v>3300</v>
      </c>
      <c r="L687" s="18" t="s">
        <v>25</v>
      </c>
      <c r="M687" s="50" t="s">
        <v>2583</v>
      </c>
      <c r="N687" s="159" t="s">
        <v>2597</v>
      </c>
    </row>
    <row r="688" spans="1:14" ht="21.75" hidden="1" customHeight="1" x14ac:dyDescent="0.4">
      <c r="A688" s="62">
        <v>45247</v>
      </c>
      <c r="B688" s="32" t="s">
        <v>984</v>
      </c>
      <c r="C688" s="18" t="s">
        <v>17</v>
      </c>
      <c r="D688" s="63" t="s">
        <v>18</v>
      </c>
      <c r="E688" s="50" t="s">
        <v>1773</v>
      </c>
      <c r="F688" s="57">
        <v>1700</v>
      </c>
      <c r="G688" s="76">
        <v>-170</v>
      </c>
      <c r="H688" s="57">
        <f t="shared" si="39"/>
        <v>1530</v>
      </c>
      <c r="I688" s="50">
        <v>1</v>
      </c>
      <c r="J688" s="57">
        <f t="shared" si="40"/>
        <v>1530</v>
      </c>
      <c r="K688" s="58">
        <f t="shared" si="41"/>
        <v>1683</v>
      </c>
      <c r="L688" s="18" t="s">
        <v>25</v>
      </c>
      <c r="M688" s="50"/>
      <c r="N688" s="50"/>
    </row>
    <row r="689" spans="1:15" ht="21.75" hidden="1" customHeight="1" x14ac:dyDescent="0.4">
      <c r="A689" s="62">
        <v>45247</v>
      </c>
      <c r="B689" s="32" t="s">
        <v>984</v>
      </c>
      <c r="C689" s="18" t="s">
        <v>2457</v>
      </c>
      <c r="D689" s="63" t="s">
        <v>1615</v>
      </c>
      <c r="E689" s="50" t="s">
        <v>2518</v>
      </c>
      <c r="F689" s="57">
        <v>15000</v>
      </c>
      <c r="G689" s="76"/>
      <c r="H689" s="57">
        <f t="shared" si="39"/>
        <v>15000</v>
      </c>
      <c r="I689" s="50">
        <v>1</v>
      </c>
      <c r="J689" s="57">
        <f t="shared" si="40"/>
        <v>15000</v>
      </c>
      <c r="K689" s="58">
        <f t="shared" si="41"/>
        <v>16500</v>
      </c>
      <c r="L689" s="18" t="s">
        <v>25</v>
      </c>
      <c r="M689" s="50"/>
      <c r="N689" s="160"/>
      <c r="O689" s="166"/>
    </row>
    <row r="690" spans="1:15" ht="21.75" hidden="1" customHeight="1" x14ac:dyDescent="0.4">
      <c r="A690" s="62">
        <v>45247</v>
      </c>
      <c r="B690" s="32" t="s">
        <v>2499</v>
      </c>
      <c r="C690" s="18" t="s">
        <v>17</v>
      </c>
      <c r="D690" s="63" t="s">
        <v>2567</v>
      </c>
      <c r="E690" s="50" t="s">
        <v>2519</v>
      </c>
      <c r="F690" s="57">
        <v>44000</v>
      </c>
      <c r="G690" s="76">
        <v>-8800</v>
      </c>
      <c r="H690" s="57">
        <f t="shared" si="39"/>
        <v>35200</v>
      </c>
      <c r="I690" s="50">
        <v>2</v>
      </c>
      <c r="J690" s="57">
        <f t="shared" si="40"/>
        <v>70400</v>
      </c>
      <c r="K690" s="157">
        <f t="shared" si="41"/>
        <v>77440</v>
      </c>
      <c r="L690" s="18" t="s">
        <v>34</v>
      </c>
      <c r="M690" s="160"/>
      <c r="N690" s="50"/>
    </row>
    <row r="691" spans="1:15" ht="21.75" hidden="1" customHeight="1" x14ac:dyDescent="0.4">
      <c r="A691" s="62">
        <v>45247</v>
      </c>
      <c r="B691" s="32" t="s">
        <v>2499</v>
      </c>
      <c r="C691" s="96" t="s">
        <v>2561</v>
      </c>
      <c r="D691" s="63" t="s">
        <v>328</v>
      </c>
      <c r="E691" s="106" t="s">
        <v>2500</v>
      </c>
      <c r="F691" s="57"/>
      <c r="G691" s="76"/>
      <c r="H691" s="57">
        <v>-22400</v>
      </c>
      <c r="I691" s="50">
        <v>2</v>
      </c>
      <c r="J691" s="57">
        <f t="shared" si="40"/>
        <v>-44800</v>
      </c>
      <c r="K691" s="157">
        <f t="shared" si="41"/>
        <v>-49280</v>
      </c>
      <c r="L691" s="18" t="s">
        <v>34</v>
      </c>
      <c r="M691" s="172" t="s">
        <v>2562</v>
      </c>
      <c r="N691" s="50"/>
    </row>
    <row r="692" spans="1:15" ht="21.75" hidden="1" customHeight="1" x14ac:dyDescent="0.4">
      <c r="A692" s="62">
        <v>45247</v>
      </c>
      <c r="B692" s="32" t="s">
        <v>861</v>
      </c>
      <c r="C692" s="18" t="s">
        <v>17</v>
      </c>
      <c r="D692" s="63" t="s">
        <v>2567</v>
      </c>
      <c r="E692" s="50" t="s">
        <v>2520</v>
      </c>
      <c r="F692" s="57">
        <v>40000</v>
      </c>
      <c r="G692" s="76">
        <v>-8000</v>
      </c>
      <c r="H692" s="57">
        <f t="shared" si="39"/>
        <v>32000</v>
      </c>
      <c r="I692" s="50">
        <v>1</v>
      </c>
      <c r="J692" s="57">
        <f t="shared" si="40"/>
        <v>32000</v>
      </c>
      <c r="K692" s="58">
        <f t="shared" si="41"/>
        <v>35200</v>
      </c>
      <c r="L692" s="18" t="s">
        <v>34</v>
      </c>
      <c r="M692" s="50"/>
      <c r="N692" s="50" t="s">
        <v>2594</v>
      </c>
    </row>
    <row r="693" spans="1:15" ht="21.75" hidden="1" customHeight="1" x14ac:dyDescent="0.4">
      <c r="A693" s="62">
        <v>45247</v>
      </c>
      <c r="B693" s="32" t="s">
        <v>861</v>
      </c>
      <c r="C693" s="18" t="s">
        <v>17</v>
      </c>
      <c r="D693" s="63" t="s">
        <v>2569</v>
      </c>
      <c r="E693" s="50" t="s">
        <v>2584</v>
      </c>
      <c r="F693" s="57">
        <v>80000</v>
      </c>
      <c r="G693" s="76">
        <v>-8000</v>
      </c>
      <c r="H693" s="57">
        <f t="shared" si="39"/>
        <v>72000</v>
      </c>
      <c r="I693" s="50">
        <v>1</v>
      </c>
      <c r="J693" s="57">
        <f t="shared" si="40"/>
        <v>72000</v>
      </c>
      <c r="K693" s="58">
        <f t="shared" si="41"/>
        <v>79200</v>
      </c>
      <c r="L693" s="18" t="s">
        <v>34</v>
      </c>
      <c r="M693" s="50"/>
      <c r="N693" s="50" t="s">
        <v>2594</v>
      </c>
    </row>
    <row r="694" spans="1:15" ht="21.75" hidden="1" customHeight="1" x14ac:dyDescent="0.4">
      <c r="A694" s="62">
        <v>45247</v>
      </c>
      <c r="B694" s="32" t="s">
        <v>861</v>
      </c>
      <c r="C694" s="18" t="s">
        <v>17</v>
      </c>
      <c r="D694" s="63" t="s">
        <v>404</v>
      </c>
      <c r="E694" s="50" t="s">
        <v>2521</v>
      </c>
      <c r="F694" s="57">
        <v>1800</v>
      </c>
      <c r="G694" s="76"/>
      <c r="H694" s="57">
        <f t="shared" si="39"/>
        <v>1800</v>
      </c>
      <c r="I694" s="50">
        <v>1</v>
      </c>
      <c r="J694" s="57">
        <f t="shared" si="40"/>
        <v>1800</v>
      </c>
      <c r="K694" s="58">
        <f t="shared" si="41"/>
        <v>1980</v>
      </c>
      <c r="L694" s="18" t="s">
        <v>34</v>
      </c>
      <c r="M694" s="50"/>
      <c r="N694" s="50" t="s">
        <v>2594</v>
      </c>
    </row>
    <row r="695" spans="1:15" ht="21.75" hidden="1" customHeight="1" x14ac:dyDescent="0.4">
      <c r="A695" s="62">
        <v>45247</v>
      </c>
      <c r="B695" s="32" t="s">
        <v>861</v>
      </c>
      <c r="C695" s="96" t="s">
        <v>198</v>
      </c>
      <c r="D695" s="63"/>
      <c r="E695" s="50" t="s">
        <v>2491</v>
      </c>
      <c r="F695" s="57">
        <v>-15000</v>
      </c>
      <c r="G695" s="76"/>
      <c r="H695" s="57">
        <f t="shared" si="39"/>
        <v>-15000</v>
      </c>
      <c r="I695" s="50">
        <v>1</v>
      </c>
      <c r="J695" s="57">
        <f t="shared" si="40"/>
        <v>-15000</v>
      </c>
      <c r="K695" s="58">
        <f t="shared" si="41"/>
        <v>-16500</v>
      </c>
      <c r="L695" s="18" t="s">
        <v>34</v>
      </c>
      <c r="M695" s="50"/>
      <c r="N695" s="50"/>
    </row>
    <row r="696" spans="1:15" ht="21.75" hidden="1" customHeight="1" x14ac:dyDescent="0.4">
      <c r="A696" s="62">
        <v>45247</v>
      </c>
      <c r="B696" s="32" t="s">
        <v>179</v>
      </c>
      <c r="C696" s="18" t="s">
        <v>17</v>
      </c>
      <c r="D696" s="63" t="s">
        <v>328</v>
      </c>
      <c r="E696" s="50" t="s">
        <v>2585</v>
      </c>
      <c r="F696" s="57">
        <v>23000</v>
      </c>
      <c r="G696" s="76">
        <v>-2300</v>
      </c>
      <c r="H696" s="57">
        <f t="shared" si="39"/>
        <v>20700</v>
      </c>
      <c r="I696" s="50">
        <v>1</v>
      </c>
      <c r="J696" s="57">
        <f t="shared" si="40"/>
        <v>20700</v>
      </c>
      <c r="K696" s="58">
        <f t="shared" si="41"/>
        <v>22770</v>
      </c>
      <c r="L696" s="18" t="s">
        <v>20</v>
      </c>
      <c r="M696" s="50"/>
      <c r="N696" s="50"/>
    </row>
    <row r="697" spans="1:15" ht="21.75" hidden="1" customHeight="1" x14ac:dyDescent="0.4">
      <c r="A697" s="62">
        <v>45247</v>
      </c>
      <c r="B697" s="32" t="s">
        <v>179</v>
      </c>
      <c r="C697" s="18" t="s">
        <v>17</v>
      </c>
      <c r="D697" s="63" t="s">
        <v>330</v>
      </c>
      <c r="E697" s="50" t="s">
        <v>1681</v>
      </c>
      <c r="F697" s="57">
        <v>5000</v>
      </c>
      <c r="G697" s="76"/>
      <c r="H697" s="57">
        <f t="shared" si="39"/>
        <v>5000</v>
      </c>
      <c r="I697" s="50">
        <v>1</v>
      </c>
      <c r="J697" s="57">
        <f t="shared" si="40"/>
        <v>5000</v>
      </c>
      <c r="K697" s="58">
        <f t="shared" si="41"/>
        <v>5500</v>
      </c>
      <c r="L697" s="18" t="s">
        <v>20</v>
      </c>
      <c r="M697" s="50"/>
      <c r="N697" s="50"/>
    </row>
    <row r="698" spans="1:15" ht="21.75" hidden="1" customHeight="1" x14ac:dyDescent="0.4">
      <c r="A698" s="62">
        <v>45247</v>
      </c>
      <c r="B698" s="32" t="s">
        <v>179</v>
      </c>
      <c r="C698" s="18" t="s">
        <v>17</v>
      </c>
      <c r="D698" s="63" t="s">
        <v>404</v>
      </c>
      <c r="E698" s="50" t="s">
        <v>2357</v>
      </c>
      <c r="F698" s="57">
        <v>1600</v>
      </c>
      <c r="G698" s="76">
        <v>-160</v>
      </c>
      <c r="H698" s="57">
        <f t="shared" si="39"/>
        <v>1440</v>
      </c>
      <c r="I698" s="50">
        <v>1</v>
      </c>
      <c r="J698" s="57">
        <f t="shared" si="40"/>
        <v>1440</v>
      </c>
      <c r="K698" s="58">
        <f t="shared" si="41"/>
        <v>1584</v>
      </c>
      <c r="L698" s="18" t="s">
        <v>20</v>
      </c>
      <c r="M698" s="50"/>
      <c r="N698" s="50"/>
    </row>
    <row r="699" spans="1:15" ht="21.75" hidden="1" customHeight="1" x14ac:dyDescent="0.4">
      <c r="A699" s="62">
        <v>45248</v>
      </c>
      <c r="B699" s="32" t="s">
        <v>2522</v>
      </c>
      <c r="C699" s="18" t="s">
        <v>22</v>
      </c>
      <c r="D699" s="63" t="s">
        <v>1496</v>
      </c>
      <c r="E699" s="50" t="s">
        <v>369</v>
      </c>
      <c r="F699" s="57">
        <v>3000</v>
      </c>
      <c r="G699" s="76"/>
      <c r="H699" s="57">
        <f t="shared" si="39"/>
        <v>3000</v>
      </c>
      <c r="I699" s="50">
        <v>1</v>
      </c>
      <c r="J699" s="57">
        <f t="shared" si="40"/>
        <v>3000</v>
      </c>
      <c r="K699" s="58">
        <f t="shared" si="41"/>
        <v>3300</v>
      </c>
      <c r="L699" s="18" t="s">
        <v>25</v>
      </c>
      <c r="M699" s="50" t="s">
        <v>2515</v>
      </c>
      <c r="N699" s="50" t="s">
        <v>2594</v>
      </c>
    </row>
    <row r="700" spans="1:15" ht="21.75" hidden="1" customHeight="1" x14ac:dyDescent="0.4">
      <c r="A700" s="62">
        <v>45248</v>
      </c>
      <c r="B700" s="32" t="s">
        <v>2482</v>
      </c>
      <c r="C700" s="18" t="s">
        <v>27</v>
      </c>
      <c r="D700" s="63" t="s">
        <v>28</v>
      </c>
      <c r="E700" s="50" t="s">
        <v>318</v>
      </c>
      <c r="F700" s="57">
        <v>15000</v>
      </c>
      <c r="G700" s="76"/>
      <c r="H700" s="57">
        <f t="shared" si="39"/>
        <v>15000</v>
      </c>
      <c r="I700" s="50">
        <v>1</v>
      </c>
      <c r="J700" s="57">
        <f t="shared" si="40"/>
        <v>15000</v>
      </c>
      <c r="K700" s="58">
        <f t="shared" si="41"/>
        <v>16500</v>
      </c>
      <c r="L700" s="18" t="s">
        <v>25</v>
      </c>
      <c r="M700" s="50"/>
      <c r="N700" s="50"/>
    </row>
    <row r="701" spans="1:15" ht="21.75" hidden="1" customHeight="1" x14ac:dyDescent="0.4">
      <c r="A701" s="62">
        <v>45248</v>
      </c>
      <c r="B701" s="32" t="s">
        <v>2482</v>
      </c>
      <c r="C701" s="18" t="s">
        <v>27</v>
      </c>
      <c r="D701" s="63" t="s">
        <v>28</v>
      </c>
      <c r="E701" s="50" t="s">
        <v>2586</v>
      </c>
      <c r="F701" s="57">
        <v>17500</v>
      </c>
      <c r="G701" s="76"/>
      <c r="H701" s="57">
        <f t="shared" si="39"/>
        <v>17500</v>
      </c>
      <c r="I701" s="50">
        <v>1</v>
      </c>
      <c r="J701" s="57">
        <f t="shared" si="40"/>
        <v>17500</v>
      </c>
      <c r="K701" s="58">
        <f t="shared" si="41"/>
        <v>19250</v>
      </c>
      <c r="L701" s="18" t="s">
        <v>25</v>
      </c>
      <c r="M701" s="50"/>
      <c r="N701" s="50"/>
    </row>
    <row r="702" spans="1:15" ht="21.75" hidden="1" customHeight="1" x14ac:dyDescent="0.4">
      <c r="A702" s="62">
        <v>45248</v>
      </c>
      <c r="B702" s="32" t="s">
        <v>2482</v>
      </c>
      <c r="C702" s="18" t="s">
        <v>27</v>
      </c>
      <c r="D702" s="63" t="s">
        <v>28</v>
      </c>
      <c r="E702" s="50" t="s">
        <v>2587</v>
      </c>
      <c r="F702" s="57">
        <v>4370</v>
      </c>
      <c r="G702" s="76"/>
      <c r="H702" s="57">
        <f t="shared" si="39"/>
        <v>4370</v>
      </c>
      <c r="I702" s="50">
        <v>1</v>
      </c>
      <c r="J702" s="57">
        <f t="shared" si="40"/>
        <v>4370</v>
      </c>
      <c r="K702" s="58">
        <f t="shared" si="41"/>
        <v>4807</v>
      </c>
      <c r="L702" s="18" t="s">
        <v>25</v>
      </c>
      <c r="M702" s="50"/>
      <c r="N702" s="50"/>
    </row>
    <row r="703" spans="1:15" ht="21.75" hidden="1" customHeight="1" x14ac:dyDescent="0.4">
      <c r="A703" s="62">
        <v>45248</v>
      </c>
      <c r="B703" s="32" t="s">
        <v>1861</v>
      </c>
      <c r="C703" s="18" t="s">
        <v>2457</v>
      </c>
      <c r="D703" s="63" t="s">
        <v>1615</v>
      </c>
      <c r="E703" s="50" t="s">
        <v>2518</v>
      </c>
      <c r="F703" s="57">
        <v>15000</v>
      </c>
      <c r="G703" s="76"/>
      <c r="H703" s="57">
        <f t="shared" si="39"/>
        <v>15000</v>
      </c>
      <c r="I703" s="50">
        <v>1</v>
      </c>
      <c r="J703" s="57">
        <f t="shared" si="40"/>
        <v>15000</v>
      </c>
      <c r="K703" s="58">
        <f t="shared" si="41"/>
        <v>16500</v>
      </c>
      <c r="L703" s="18" t="s">
        <v>20</v>
      </c>
      <c r="M703" s="50"/>
      <c r="N703" s="50"/>
    </row>
    <row r="704" spans="1:15" ht="21.75" hidden="1" customHeight="1" x14ac:dyDescent="0.4">
      <c r="A704" s="62">
        <v>45248</v>
      </c>
      <c r="B704" s="32" t="s">
        <v>2523</v>
      </c>
      <c r="C704" s="18" t="s">
        <v>22</v>
      </c>
      <c r="D704" s="63" t="s">
        <v>1496</v>
      </c>
      <c r="E704" s="50" t="s">
        <v>369</v>
      </c>
      <c r="F704" s="57">
        <v>3000</v>
      </c>
      <c r="G704" s="76"/>
      <c r="H704" s="57">
        <f t="shared" si="39"/>
        <v>3000</v>
      </c>
      <c r="I704" s="50">
        <v>1</v>
      </c>
      <c r="J704" s="57">
        <f t="shared" si="40"/>
        <v>3000</v>
      </c>
      <c r="K704" s="58">
        <f t="shared" si="41"/>
        <v>3300</v>
      </c>
      <c r="L704" s="18" t="s">
        <v>20</v>
      </c>
      <c r="M704" s="50" t="s">
        <v>2583</v>
      </c>
      <c r="N704" s="167" t="s">
        <v>2598</v>
      </c>
      <c r="O704" s="164"/>
    </row>
    <row r="705" spans="1:15" ht="21.75" hidden="1" customHeight="1" x14ac:dyDescent="0.4">
      <c r="A705" s="62">
        <v>45248</v>
      </c>
      <c r="B705" s="32" t="s">
        <v>230</v>
      </c>
      <c r="C705" s="18" t="s">
        <v>27</v>
      </c>
      <c r="D705" s="63" t="s">
        <v>28</v>
      </c>
      <c r="E705" s="50" t="s">
        <v>1897</v>
      </c>
      <c r="F705" s="57">
        <v>17500</v>
      </c>
      <c r="G705" s="76"/>
      <c r="H705" s="57">
        <f t="shared" si="39"/>
        <v>17500</v>
      </c>
      <c r="I705" s="50">
        <v>1</v>
      </c>
      <c r="J705" s="57">
        <f t="shared" si="40"/>
        <v>17500</v>
      </c>
      <c r="K705" s="58">
        <f t="shared" si="41"/>
        <v>19250</v>
      </c>
      <c r="L705" s="18" t="s">
        <v>25</v>
      </c>
      <c r="M705" s="50"/>
      <c r="N705" s="63"/>
      <c r="O705" s="93"/>
    </row>
    <row r="706" spans="1:15" ht="21.75" hidden="1" customHeight="1" x14ac:dyDescent="0.4">
      <c r="A706" s="62">
        <v>45248</v>
      </c>
      <c r="B706" s="32" t="s">
        <v>2524</v>
      </c>
      <c r="C706" s="18" t="s">
        <v>22</v>
      </c>
      <c r="D706" s="63" t="s">
        <v>1496</v>
      </c>
      <c r="E706" s="50" t="s">
        <v>369</v>
      </c>
      <c r="F706" s="57">
        <v>3000</v>
      </c>
      <c r="G706" s="76"/>
      <c r="H706" s="57">
        <f t="shared" si="39"/>
        <v>3000</v>
      </c>
      <c r="I706" s="50">
        <v>1</v>
      </c>
      <c r="J706" s="57">
        <f t="shared" si="40"/>
        <v>3000</v>
      </c>
      <c r="K706" s="58">
        <f t="shared" si="41"/>
        <v>3300</v>
      </c>
      <c r="L706" s="18" t="s">
        <v>20</v>
      </c>
      <c r="M706" s="498" t="s">
        <v>2526</v>
      </c>
      <c r="N706" s="50" t="s">
        <v>2594</v>
      </c>
    </row>
    <row r="707" spans="1:15" ht="21.75" hidden="1" customHeight="1" x14ac:dyDescent="0.4">
      <c r="A707" s="62">
        <v>45248</v>
      </c>
      <c r="B707" s="32" t="s">
        <v>2525</v>
      </c>
      <c r="C707" s="18" t="s">
        <v>22</v>
      </c>
      <c r="D707" s="63" t="s">
        <v>1496</v>
      </c>
      <c r="E707" s="50" t="s">
        <v>369</v>
      </c>
      <c r="F707" s="57">
        <v>3000</v>
      </c>
      <c r="G707" s="76"/>
      <c r="H707" s="57">
        <f t="shared" si="39"/>
        <v>3000</v>
      </c>
      <c r="I707" s="50">
        <v>1</v>
      </c>
      <c r="J707" s="57">
        <f t="shared" si="40"/>
        <v>3000</v>
      </c>
      <c r="K707" s="58">
        <f t="shared" si="41"/>
        <v>3300</v>
      </c>
      <c r="L707" s="18" t="s">
        <v>20</v>
      </c>
      <c r="M707" s="491"/>
      <c r="N707" s="50" t="s">
        <v>2594</v>
      </c>
    </row>
    <row r="708" spans="1:15" ht="21.75" hidden="1" customHeight="1" x14ac:dyDescent="0.4">
      <c r="A708" s="62">
        <v>45248</v>
      </c>
      <c r="B708" s="32" t="s">
        <v>2523</v>
      </c>
      <c r="C708" s="18" t="s">
        <v>27</v>
      </c>
      <c r="D708" s="63" t="s">
        <v>28</v>
      </c>
      <c r="E708" s="50" t="s">
        <v>318</v>
      </c>
      <c r="F708" s="57">
        <v>15000</v>
      </c>
      <c r="G708" s="76"/>
      <c r="H708" s="57">
        <f t="shared" si="39"/>
        <v>15000</v>
      </c>
      <c r="I708" s="50">
        <v>1</v>
      </c>
      <c r="J708" s="57">
        <f t="shared" si="40"/>
        <v>15000</v>
      </c>
      <c r="K708" s="58">
        <f t="shared" si="41"/>
        <v>16500</v>
      </c>
      <c r="L708" s="18" t="s">
        <v>25</v>
      </c>
      <c r="M708" s="50"/>
      <c r="N708" s="50"/>
    </row>
    <row r="709" spans="1:15" ht="21.75" hidden="1" customHeight="1" x14ac:dyDescent="0.4">
      <c r="A709" s="62">
        <v>45248</v>
      </c>
      <c r="B709" s="32" t="s">
        <v>2523</v>
      </c>
      <c r="C709" s="18" t="s">
        <v>27</v>
      </c>
      <c r="D709" s="63" t="s">
        <v>28</v>
      </c>
      <c r="E709" s="50" t="s">
        <v>2588</v>
      </c>
      <c r="F709" s="57">
        <v>22500</v>
      </c>
      <c r="G709" s="76"/>
      <c r="H709" s="57">
        <f t="shared" si="39"/>
        <v>22500</v>
      </c>
      <c r="I709" s="50">
        <v>1</v>
      </c>
      <c r="J709" s="57">
        <f t="shared" si="40"/>
        <v>22500</v>
      </c>
      <c r="K709" s="58">
        <f t="shared" si="41"/>
        <v>24750</v>
      </c>
      <c r="L709" s="18" t="s">
        <v>25</v>
      </c>
      <c r="M709" s="50"/>
      <c r="N709" s="50"/>
    </row>
    <row r="710" spans="1:15" ht="21.75" hidden="1" customHeight="1" x14ac:dyDescent="0.4">
      <c r="A710" s="62">
        <v>45248</v>
      </c>
      <c r="B710" s="32" t="s">
        <v>2523</v>
      </c>
      <c r="C710" s="18" t="s">
        <v>27</v>
      </c>
      <c r="D710" s="63" t="s">
        <v>28</v>
      </c>
      <c r="E710" s="50" t="s">
        <v>2114</v>
      </c>
      <c r="F710" s="57">
        <v>5620</v>
      </c>
      <c r="G710" s="76"/>
      <c r="H710" s="57">
        <f t="shared" si="39"/>
        <v>5620</v>
      </c>
      <c r="I710" s="50">
        <v>1</v>
      </c>
      <c r="J710" s="57">
        <f t="shared" si="40"/>
        <v>5620</v>
      </c>
      <c r="K710" s="58">
        <f t="shared" si="41"/>
        <v>6182</v>
      </c>
      <c r="L710" s="18" t="s">
        <v>25</v>
      </c>
      <c r="M710" s="50"/>
      <c r="N710" s="50"/>
    </row>
    <row r="711" spans="1:15" ht="21.75" hidden="1" customHeight="1" x14ac:dyDescent="0.4">
      <c r="A711" s="62">
        <v>45248</v>
      </c>
      <c r="B711" s="32" t="s">
        <v>2057</v>
      </c>
      <c r="C711" s="18" t="s">
        <v>27</v>
      </c>
      <c r="D711" s="63" t="s">
        <v>28</v>
      </c>
      <c r="E711" s="50" t="s">
        <v>1897</v>
      </c>
      <c r="F711" s="57">
        <v>17500</v>
      </c>
      <c r="G711" s="76"/>
      <c r="H711" s="57">
        <f t="shared" si="39"/>
        <v>17500</v>
      </c>
      <c r="I711" s="50">
        <v>1</v>
      </c>
      <c r="J711" s="57">
        <f t="shared" si="40"/>
        <v>17500</v>
      </c>
      <c r="K711" s="58">
        <f t="shared" si="41"/>
        <v>19250</v>
      </c>
      <c r="L711" s="18" t="s">
        <v>25</v>
      </c>
      <c r="M711" s="50"/>
      <c r="N711" s="50"/>
    </row>
    <row r="712" spans="1:15" ht="21.75" hidden="1" customHeight="1" x14ac:dyDescent="0.4">
      <c r="A712" s="62">
        <v>45248</v>
      </c>
      <c r="B712" s="32" t="s">
        <v>2527</v>
      </c>
      <c r="C712" s="18" t="s">
        <v>17</v>
      </c>
      <c r="D712" s="63" t="s">
        <v>2571</v>
      </c>
      <c r="E712" s="50" t="s">
        <v>2528</v>
      </c>
      <c r="F712" s="57">
        <v>1090</v>
      </c>
      <c r="G712" s="76">
        <v>-109</v>
      </c>
      <c r="H712" s="57">
        <f t="shared" si="39"/>
        <v>981</v>
      </c>
      <c r="I712" s="50">
        <v>3</v>
      </c>
      <c r="J712" s="57">
        <f t="shared" si="40"/>
        <v>2943</v>
      </c>
      <c r="K712" s="58">
        <f t="shared" si="41"/>
        <v>3237</v>
      </c>
      <c r="L712" s="18" t="s">
        <v>20</v>
      </c>
      <c r="M712" s="50"/>
      <c r="N712" s="50"/>
    </row>
    <row r="713" spans="1:15" ht="21.75" hidden="1" customHeight="1" x14ac:dyDescent="0.4">
      <c r="A713" s="62">
        <v>45249</v>
      </c>
      <c r="B713" s="32" t="s">
        <v>2529</v>
      </c>
      <c r="C713" s="18" t="s">
        <v>17</v>
      </c>
      <c r="D713" s="63" t="s">
        <v>2569</v>
      </c>
      <c r="E713" s="50" t="s">
        <v>2589</v>
      </c>
      <c r="F713" s="57">
        <v>65000</v>
      </c>
      <c r="G713" s="76">
        <v>-6500</v>
      </c>
      <c r="H713" s="57">
        <f t="shared" si="39"/>
        <v>58500</v>
      </c>
      <c r="I713" s="50">
        <v>1</v>
      </c>
      <c r="J713" s="57">
        <f t="shared" si="40"/>
        <v>58500</v>
      </c>
      <c r="K713" s="58">
        <f t="shared" si="41"/>
        <v>64350</v>
      </c>
      <c r="L713" s="18" t="s">
        <v>34</v>
      </c>
      <c r="M713" s="50"/>
      <c r="N713" s="50"/>
    </row>
    <row r="714" spans="1:15" ht="21.75" hidden="1" customHeight="1" x14ac:dyDescent="0.4">
      <c r="A714" s="62">
        <v>45249</v>
      </c>
      <c r="B714" s="32" t="s">
        <v>2529</v>
      </c>
      <c r="C714" s="18" t="s">
        <v>17</v>
      </c>
      <c r="D714" s="63" t="s">
        <v>455</v>
      </c>
      <c r="E714" s="50" t="s">
        <v>2530</v>
      </c>
      <c r="F714" s="57">
        <v>1090</v>
      </c>
      <c r="G714" s="76">
        <v>-109</v>
      </c>
      <c r="H714" s="57">
        <f t="shared" si="39"/>
        <v>981</v>
      </c>
      <c r="I714" s="50">
        <v>1</v>
      </c>
      <c r="J714" s="57">
        <f t="shared" si="40"/>
        <v>981</v>
      </c>
      <c r="K714" s="58">
        <f t="shared" si="41"/>
        <v>1079</v>
      </c>
      <c r="L714" s="18" t="s">
        <v>34</v>
      </c>
      <c r="M714" s="50"/>
      <c r="N714" s="50"/>
    </row>
    <row r="715" spans="1:15" ht="21.75" hidden="1" customHeight="1" x14ac:dyDescent="0.4">
      <c r="A715" s="62">
        <v>45250</v>
      </c>
      <c r="B715" s="32" t="s">
        <v>2531</v>
      </c>
      <c r="C715" s="18" t="s">
        <v>22</v>
      </c>
      <c r="D715" s="63" t="s">
        <v>23</v>
      </c>
      <c r="E715" s="50" t="s">
        <v>1941</v>
      </c>
      <c r="F715" s="57">
        <v>15000</v>
      </c>
      <c r="G715" s="76"/>
      <c r="H715" s="57">
        <f t="shared" si="39"/>
        <v>15000</v>
      </c>
      <c r="I715" s="50">
        <v>1</v>
      </c>
      <c r="J715" s="57">
        <f t="shared" si="40"/>
        <v>15000</v>
      </c>
      <c r="K715" s="58">
        <f t="shared" si="41"/>
        <v>16500</v>
      </c>
      <c r="L715" s="18" t="s">
        <v>20</v>
      </c>
      <c r="M715" s="50" t="s">
        <v>2515</v>
      </c>
      <c r="N715" s="50" t="s">
        <v>2595</v>
      </c>
    </row>
    <row r="716" spans="1:15" ht="21.75" hidden="1" customHeight="1" x14ac:dyDescent="0.4">
      <c r="A716" s="62">
        <v>45250</v>
      </c>
      <c r="B716" s="32" t="s">
        <v>2531</v>
      </c>
      <c r="C716" s="18" t="s">
        <v>17</v>
      </c>
      <c r="D716" s="63" t="s">
        <v>2569</v>
      </c>
      <c r="E716" s="50" t="s">
        <v>2532</v>
      </c>
      <c r="F716" s="57">
        <v>65000</v>
      </c>
      <c r="G716" s="76"/>
      <c r="H716" s="57">
        <f t="shared" si="39"/>
        <v>65000</v>
      </c>
      <c r="I716" s="50">
        <v>1</v>
      </c>
      <c r="J716" s="57">
        <f t="shared" si="40"/>
        <v>65000</v>
      </c>
      <c r="K716" s="58">
        <f t="shared" si="41"/>
        <v>71500</v>
      </c>
      <c r="L716" s="18" t="s">
        <v>34</v>
      </c>
      <c r="M716" s="50"/>
      <c r="N716" s="50" t="s">
        <v>2595</v>
      </c>
    </row>
    <row r="717" spans="1:15" ht="21.75" hidden="1" customHeight="1" x14ac:dyDescent="0.4">
      <c r="A717" s="62">
        <v>45250</v>
      </c>
      <c r="B717" s="32" t="s">
        <v>2563</v>
      </c>
      <c r="C717" s="18" t="s">
        <v>22</v>
      </c>
      <c r="D717" s="63" t="s">
        <v>1586</v>
      </c>
      <c r="E717" s="50"/>
      <c r="F717" s="57">
        <v>15000</v>
      </c>
      <c r="G717" s="76"/>
      <c r="H717" s="57">
        <f t="shared" si="39"/>
        <v>15000</v>
      </c>
      <c r="I717" s="50">
        <v>1</v>
      </c>
      <c r="J717" s="57">
        <f t="shared" si="40"/>
        <v>15000</v>
      </c>
      <c r="K717" s="58">
        <f t="shared" si="41"/>
        <v>16500</v>
      </c>
      <c r="L717" s="18" t="s">
        <v>34</v>
      </c>
      <c r="M717" s="130" t="s">
        <v>2559</v>
      </c>
      <c r="N717" s="50"/>
    </row>
    <row r="718" spans="1:15" ht="21.75" hidden="1" customHeight="1" x14ac:dyDescent="0.4">
      <c r="A718" s="62">
        <v>45252</v>
      </c>
      <c r="B718" s="32" t="s">
        <v>1608</v>
      </c>
      <c r="C718" s="18" t="s">
        <v>17</v>
      </c>
      <c r="D718" s="63" t="s">
        <v>2566</v>
      </c>
      <c r="E718" s="50" t="s">
        <v>2590</v>
      </c>
      <c r="F718" s="57">
        <v>5500</v>
      </c>
      <c r="G718" s="76">
        <v>-628</v>
      </c>
      <c r="H718" s="57">
        <f t="shared" si="39"/>
        <v>4872</v>
      </c>
      <c r="I718" s="50">
        <v>1</v>
      </c>
      <c r="J718" s="57">
        <f t="shared" si="40"/>
        <v>4872</v>
      </c>
      <c r="K718" s="58">
        <f t="shared" si="41"/>
        <v>5359</v>
      </c>
      <c r="L718" s="18" t="s">
        <v>20</v>
      </c>
      <c r="M718" s="50"/>
      <c r="N718" s="50"/>
    </row>
    <row r="719" spans="1:15" ht="21.75" hidden="1" customHeight="1" x14ac:dyDescent="0.4">
      <c r="A719" s="62">
        <v>45252</v>
      </c>
      <c r="B719" s="32" t="s">
        <v>2533</v>
      </c>
      <c r="C719" s="18" t="s">
        <v>22</v>
      </c>
      <c r="D719" s="63" t="s">
        <v>23</v>
      </c>
      <c r="E719" s="50" t="s">
        <v>1941</v>
      </c>
      <c r="F719" s="57">
        <v>15000</v>
      </c>
      <c r="G719" s="76"/>
      <c r="H719" s="57">
        <f t="shared" si="39"/>
        <v>15000</v>
      </c>
      <c r="I719" s="50">
        <v>1</v>
      </c>
      <c r="J719" s="57">
        <f t="shared" si="40"/>
        <v>15000</v>
      </c>
      <c r="K719" s="58">
        <f t="shared" si="41"/>
        <v>16500</v>
      </c>
      <c r="L719" s="18" t="s">
        <v>25</v>
      </c>
      <c r="M719" s="50"/>
      <c r="N719" s="50" t="s">
        <v>2594</v>
      </c>
    </row>
    <row r="720" spans="1:15" ht="21.75" hidden="1" customHeight="1" x14ac:dyDescent="0.4">
      <c r="A720" s="62">
        <v>45253</v>
      </c>
      <c r="B720" s="32" t="s">
        <v>2517</v>
      </c>
      <c r="C720" s="18" t="s">
        <v>22</v>
      </c>
      <c r="D720" s="63" t="s">
        <v>1496</v>
      </c>
      <c r="E720" s="50" t="s">
        <v>2599</v>
      </c>
      <c r="F720" s="57">
        <v>3000</v>
      </c>
      <c r="G720" s="76"/>
      <c r="H720" s="57">
        <f t="shared" si="39"/>
        <v>3000</v>
      </c>
      <c r="I720" s="50">
        <v>1</v>
      </c>
      <c r="J720" s="57">
        <f t="shared" si="40"/>
        <v>3000</v>
      </c>
      <c r="K720" s="58">
        <f t="shared" si="41"/>
        <v>3300</v>
      </c>
      <c r="L720" s="18" t="s">
        <v>25</v>
      </c>
      <c r="M720" s="50"/>
      <c r="N720" s="50"/>
    </row>
    <row r="721" spans="1:14" ht="21.75" hidden="1" customHeight="1" x14ac:dyDescent="0.4">
      <c r="A721" s="62">
        <v>45254</v>
      </c>
      <c r="B721" s="32" t="s">
        <v>2522</v>
      </c>
      <c r="C721" s="18" t="s">
        <v>27</v>
      </c>
      <c r="D721" s="63" t="s">
        <v>28</v>
      </c>
      <c r="E721" s="50" t="s">
        <v>318</v>
      </c>
      <c r="F721" s="57">
        <v>15000</v>
      </c>
      <c r="G721" s="76"/>
      <c r="H721" s="57">
        <f t="shared" si="39"/>
        <v>15000</v>
      </c>
      <c r="I721" s="50">
        <v>1</v>
      </c>
      <c r="J721" s="57">
        <f t="shared" si="40"/>
        <v>15000</v>
      </c>
      <c r="K721" s="58">
        <f t="shared" si="41"/>
        <v>16500</v>
      </c>
      <c r="L721" s="18" t="s">
        <v>25</v>
      </c>
      <c r="M721" s="50"/>
      <c r="N721" s="50"/>
    </row>
    <row r="722" spans="1:14" ht="21.75" hidden="1" customHeight="1" x14ac:dyDescent="0.4">
      <c r="A722" s="62">
        <v>45254</v>
      </c>
      <c r="B722" s="32" t="s">
        <v>2522</v>
      </c>
      <c r="C722" s="18" t="s">
        <v>27</v>
      </c>
      <c r="D722" s="63" t="s">
        <v>28</v>
      </c>
      <c r="E722" s="50" t="s">
        <v>1897</v>
      </c>
      <c r="F722" s="57">
        <v>17500</v>
      </c>
      <c r="G722" s="76"/>
      <c r="H722" s="57">
        <f t="shared" si="39"/>
        <v>17500</v>
      </c>
      <c r="I722" s="50">
        <v>1</v>
      </c>
      <c r="J722" s="57">
        <f t="shared" si="40"/>
        <v>17500</v>
      </c>
      <c r="K722" s="58">
        <f t="shared" si="41"/>
        <v>19250</v>
      </c>
      <c r="L722" s="18" t="s">
        <v>25</v>
      </c>
      <c r="M722" s="50"/>
      <c r="N722" s="50"/>
    </row>
    <row r="723" spans="1:14" ht="21.75" hidden="1" customHeight="1" x14ac:dyDescent="0.4">
      <c r="A723" s="62">
        <v>45255</v>
      </c>
      <c r="B723" s="32" t="s">
        <v>2534</v>
      </c>
      <c r="C723" s="18" t="s">
        <v>17</v>
      </c>
      <c r="D723" s="63" t="s">
        <v>2571</v>
      </c>
      <c r="E723" s="50" t="s">
        <v>2591</v>
      </c>
      <c r="F723" s="57">
        <v>1200</v>
      </c>
      <c r="G723" s="76">
        <v>-120</v>
      </c>
      <c r="H723" s="57">
        <f t="shared" si="39"/>
        <v>1080</v>
      </c>
      <c r="I723" s="50">
        <v>1</v>
      </c>
      <c r="J723" s="57">
        <f t="shared" si="40"/>
        <v>1080</v>
      </c>
      <c r="K723" s="58">
        <f t="shared" si="41"/>
        <v>1188</v>
      </c>
      <c r="L723" s="18" t="s">
        <v>25</v>
      </c>
      <c r="M723" s="50"/>
      <c r="N723" s="50"/>
    </row>
    <row r="724" spans="1:14" ht="21.75" hidden="1" customHeight="1" x14ac:dyDescent="0.4">
      <c r="A724" s="62">
        <v>45255</v>
      </c>
      <c r="B724" s="32" t="s">
        <v>2160</v>
      </c>
      <c r="C724" s="18" t="s">
        <v>27</v>
      </c>
      <c r="D724" s="63" t="s">
        <v>28</v>
      </c>
      <c r="E724" s="50" t="s">
        <v>1897</v>
      </c>
      <c r="F724" s="57">
        <v>17500</v>
      </c>
      <c r="G724" s="76"/>
      <c r="H724" s="57">
        <f t="shared" si="39"/>
        <v>17500</v>
      </c>
      <c r="I724" s="50">
        <v>1</v>
      </c>
      <c r="J724" s="57">
        <f t="shared" si="40"/>
        <v>17500</v>
      </c>
      <c r="K724" s="58">
        <f t="shared" si="41"/>
        <v>19250</v>
      </c>
      <c r="L724" s="18" t="s">
        <v>25</v>
      </c>
      <c r="M724" s="50"/>
      <c r="N724" s="50"/>
    </row>
    <row r="725" spans="1:14" ht="21.75" hidden="1" customHeight="1" x14ac:dyDescent="0.4">
      <c r="A725" s="62">
        <v>45255</v>
      </c>
      <c r="B725" s="32" t="s">
        <v>1541</v>
      </c>
      <c r="C725" s="18" t="s">
        <v>17</v>
      </c>
      <c r="D725" s="63" t="s">
        <v>2571</v>
      </c>
      <c r="E725" s="106" t="s">
        <v>2535</v>
      </c>
      <c r="F725" s="57">
        <v>2400</v>
      </c>
      <c r="G725" s="76">
        <v>-240</v>
      </c>
      <c r="H725" s="57">
        <f t="shared" si="39"/>
        <v>2160</v>
      </c>
      <c r="I725" s="50">
        <v>1</v>
      </c>
      <c r="J725" s="57">
        <f t="shared" si="40"/>
        <v>2160</v>
      </c>
      <c r="K725" s="58">
        <f t="shared" si="41"/>
        <v>2376</v>
      </c>
      <c r="L725" s="18" t="s">
        <v>25</v>
      </c>
      <c r="M725" s="50"/>
      <c r="N725" s="50"/>
    </row>
    <row r="726" spans="1:14" ht="21.75" hidden="1" customHeight="1" x14ac:dyDescent="0.4">
      <c r="A726" s="62">
        <v>45255</v>
      </c>
      <c r="B726" s="32" t="s">
        <v>1541</v>
      </c>
      <c r="C726" s="18" t="s">
        <v>17</v>
      </c>
      <c r="D726" s="63" t="s">
        <v>2571</v>
      </c>
      <c r="E726" s="106" t="s">
        <v>2536</v>
      </c>
      <c r="F726" s="57">
        <v>2400</v>
      </c>
      <c r="G726" s="76">
        <v>-240</v>
      </c>
      <c r="H726" s="57">
        <f t="shared" si="39"/>
        <v>2160</v>
      </c>
      <c r="I726" s="50">
        <v>1</v>
      </c>
      <c r="J726" s="57">
        <f t="shared" si="40"/>
        <v>2160</v>
      </c>
      <c r="K726" s="58">
        <f t="shared" si="41"/>
        <v>2376</v>
      </c>
      <c r="L726" s="18" t="s">
        <v>25</v>
      </c>
      <c r="M726" s="50"/>
      <c r="N726" s="50"/>
    </row>
    <row r="727" spans="1:14" ht="21.75" hidden="1" customHeight="1" x14ac:dyDescent="0.4">
      <c r="A727" s="62">
        <v>45255</v>
      </c>
      <c r="B727" s="32" t="s">
        <v>203</v>
      </c>
      <c r="C727" s="18" t="s">
        <v>22</v>
      </c>
      <c r="D727" s="63" t="s">
        <v>23</v>
      </c>
      <c r="E727" s="50" t="s">
        <v>2442</v>
      </c>
      <c r="F727" s="57">
        <v>10000</v>
      </c>
      <c r="G727" s="76"/>
      <c r="H727" s="57">
        <f t="shared" si="39"/>
        <v>10000</v>
      </c>
      <c r="I727" s="50">
        <v>1</v>
      </c>
      <c r="J727" s="57">
        <f t="shared" si="40"/>
        <v>10000</v>
      </c>
      <c r="K727" s="58">
        <f t="shared" si="41"/>
        <v>11000</v>
      </c>
      <c r="L727" s="18" t="s">
        <v>25</v>
      </c>
      <c r="M727" s="50"/>
      <c r="N727" s="50"/>
    </row>
    <row r="728" spans="1:14" ht="21.75" hidden="1" customHeight="1" x14ac:dyDescent="0.4">
      <c r="A728" s="62">
        <v>45255</v>
      </c>
      <c r="B728" s="32" t="s">
        <v>2537</v>
      </c>
      <c r="C728" s="18" t="s">
        <v>17</v>
      </c>
      <c r="D728" s="63" t="s">
        <v>404</v>
      </c>
      <c r="E728" s="50" t="s">
        <v>2538</v>
      </c>
      <c r="F728" s="57">
        <v>1600</v>
      </c>
      <c r="G728" s="76">
        <v>-160</v>
      </c>
      <c r="H728" s="57">
        <f t="shared" si="39"/>
        <v>1440</v>
      </c>
      <c r="I728" s="50">
        <v>1</v>
      </c>
      <c r="J728" s="57">
        <f t="shared" si="40"/>
        <v>1440</v>
      </c>
      <c r="K728" s="58">
        <f t="shared" si="41"/>
        <v>1584</v>
      </c>
      <c r="L728" s="18" t="s">
        <v>25</v>
      </c>
      <c r="M728" s="50" t="s">
        <v>2539</v>
      </c>
      <c r="N728" s="50"/>
    </row>
    <row r="729" spans="1:14" ht="21.75" hidden="1" customHeight="1" x14ac:dyDescent="0.4">
      <c r="A729" s="62">
        <v>45255</v>
      </c>
      <c r="B729" s="32" t="s">
        <v>2525</v>
      </c>
      <c r="C729" s="18" t="s">
        <v>27</v>
      </c>
      <c r="D729" s="63" t="s">
        <v>28</v>
      </c>
      <c r="E729" s="50" t="s">
        <v>318</v>
      </c>
      <c r="F729" s="57">
        <v>15000</v>
      </c>
      <c r="G729" s="76"/>
      <c r="H729" s="57">
        <f t="shared" si="39"/>
        <v>15000</v>
      </c>
      <c r="I729" s="50">
        <v>1</v>
      </c>
      <c r="J729" s="57">
        <f t="shared" si="40"/>
        <v>15000</v>
      </c>
      <c r="K729" s="58">
        <f t="shared" si="41"/>
        <v>16500</v>
      </c>
      <c r="L729" s="18" t="s">
        <v>25</v>
      </c>
      <c r="M729" s="50"/>
      <c r="N729" s="50"/>
    </row>
    <row r="730" spans="1:14" ht="21.75" hidden="1" customHeight="1" x14ac:dyDescent="0.4">
      <c r="A730" s="62">
        <v>45256</v>
      </c>
      <c r="B730" s="32" t="s">
        <v>2363</v>
      </c>
      <c r="C730" s="18" t="s">
        <v>27</v>
      </c>
      <c r="D730" s="63" t="s">
        <v>28</v>
      </c>
      <c r="E730" s="50" t="s">
        <v>1897</v>
      </c>
      <c r="F730" s="57">
        <v>17500</v>
      </c>
      <c r="G730" s="76"/>
      <c r="H730" s="57">
        <f t="shared" si="39"/>
        <v>17500</v>
      </c>
      <c r="I730" s="50">
        <v>1</v>
      </c>
      <c r="J730" s="57">
        <f t="shared" si="40"/>
        <v>17500</v>
      </c>
      <c r="K730" s="58">
        <f t="shared" si="41"/>
        <v>19250</v>
      </c>
      <c r="L730" s="18" t="s">
        <v>20</v>
      </c>
      <c r="M730" s="50"/>
      <c r="N730" s="50"/>
    </row>
    <row r="731" spans="1:14" ht="21.75" hidden="1" customHeight="1" x14ac:dyDescent="0.4">
      <c r="A731" s="62">
        <v>45257</v>
      </c>
      <c r="B731" s="32" t="s">
        <v>2540</v>
      </c>
      <c r="C731" s="18" t="s">
        <v>17</v>
      </c>
      <c r="D731" s="63" t="s">
        <v>2581</v>
      </c>
      <c r="E731" s="50" t="s">
        <v>2592</v>
      </c>
      <c r="F731" s="57">
        <v>1700</v>
      </c>
      <c r="G731" s="76">
        <v>-170</v>
      </c>
      <c r="H731" s="57">
        <f t="shared" si="39"/>
        <v>1530</v>
      </c>
      <c r="I731" s="50">
        <v>1</v>
      </c>
      <c r="J731" s="57">
        <f t="shared" si="40"/>
        <v>1530</v>
      </c>
      <c r="K731" s="58">
        <f t="shared" si="41"/>
        <v>1683</v>
      </c>
      <c r="L731" s="18" t="s">
        <v>20</v>
      </c>
      <c r="M731" s="50"/>
      <c r="N731" s="50"/>
    </row>
    <row r="732" spans="1:14" ht="21.75" hidden="1" customHeight="1" x14ac:dyDescent="0.4">
      <c r="A732" s="62">
        <v>45259</v>
      </c>
      <c r="B732" s="32" t="s">
        <v>1360</v>
      </c>
      <c r="C732" s="18" t="s">
        <v>27</v>
      </c>
      <c r="D732" s="63" t="s">
        <v>28</v>
      </c>
      <c r="E732" s="50" t="s">
        <v>1897</v>
      </c>
      <c r="F732" s="57">
        <v>17500</v>
      </c>
      <c r="G732" s="76"/>
      <c r="H732" s="57">
        <f t="shared" si="39"/>
        <v>17500</v>
      </c>
      <c r="I732" s="50">
        <v>1</v>
      </c>
      <c r="J732" s="57">
        <f t="shared" si="40"/>
        <v>17500</v>
      </c>
      <c r="K732" s="58">
        <f t="shared" si="41"/>
        <v>19250</v>
      </c>
      <c r="L732" s="18" t="s">
        <v>25</v>
      </c>
      <c r="M732" s="50"/>
      <c r="N732" s="50"/>
    </row>
    <row r="733" spans="1:14" ht="21.75" hidden="1" customHeight="1" x14ac:dyDescent="0.4">
      <c r="A733" s="62">
        <v>45259</v>
      </c>
      <c r="B733" s="32" t="s">
        <v>2514</v>
      </c>
      <c r="C733" s="18" t="s">
        <v>27</v>
      </c>
      <c r="D733" s="63" t="s">
        <v>28</v>
      </c>
      <c r="E733" s="50" t="s">
        <v>318</v>
      </c>
      <c r="F733" s="57">
        <v>15000</v>
      </c>
      <c r="G733" s="76"/>
      <c r="H733" s="57">
        <f t="shared" si="39"/>
        <v>15000</v>
      </c>
      <c r="I733" s="50">
        <v>1</v>
      </c>
      <c r="J733" s="57">
        <f t="shared" si="40"/>
        <v>15000</v>
      </c>
      <c r="K733" s="58">
        <f t="shared" si="41"/>
        <v>16500</v>
      </c>
      <c r="L733" s="18" t="s">
        <v>20</v>
      </c>
      <c r="M733" s="50"/>
      <c r="N733" s="50"/>
    </row>
    <row r="734" spans="1:14" ht="21.75" hidden="1" customHeight="1" x14ac:dyDescent="0.4">
      <c r="A734" s="62">
        <v>45259</v>
      </c>
      <c r="B734" s="32" t="s">
        <v>203</v>
      </c>
      <c r="C734" s="18" t="s">
        <v>17</v>
      </c>
      <c r="D734" s="63" t="s">
        <v>2567</v>
      </c>
      <c r="E734" s="50" t="s">
        <v>2593</v>
      </c>
      <c r="F734" s="57">
        <v>60000</v>
      </c>
      <c r="G734" s="76">
        <v>-18000</v>
      </c>
      <c r="H734" s="57">
        <f t="shared" si="39"/>
        <v>42000</v>
      </c>
      <c r="I734" s="50">
        <v>1</v>
      </c>
      <c r="J734" s="57">
        <f t="shared" si="40"/>
        <v>42000</v>
      </c>
      <c r="K734" s="58">
        <f t="shared" si="41"/>
        <v>46200</v>
      </c>
      <c r="L734" s="18" t="s">
        <v>34</v>
      </c>
      <c r="M734" s="50"/>
      <c r="N734" s="50"/>
    </row>
    <row r="735" spans="1:14" ht="21.75" hidden="1" customHeight="1" x14ac:dyDescent="0.4">
      <c r="A735" s="62">
        <v>45259</v>
      </c>
      <c r="B735" s="32" t="s">
        <v>203</v>
      </c>
      <c r="C735" s="18" t="s">
        <v>17</v>
      </c>
      <c r="D735" s="63" t="s">
        <v>404</v>
      </c>
      <c r="E735" s="50" t="s">
        <v>2121</v>
      </c>
      <c r="F735" s="57">
        <v>1800</v>
      </c>
      <c r="G735" s="76">
        <v>-180</v>
      </c>
      <c r="H735" s="57">
        <f t="shared" si="39"/>
        <v>1620</v>
      </c>
      <c r="I735" s="50">
        <v>1</v>
      </c>
      <c r="J735" s="57">
        <f t="shared" si="40"/>
        <v>1620</v>
      </c>
      <c r="K735" s="58">
        <f t="shared" si="41"/>
        <v>1782</v>
      </c>
      <c r="L735" s="18" t="s">
        <v>34</v>
      </c>
      <c r="M735" s="50"/>
      <c r="N735" s="50"/>
    </row>
    <row r="736" spans="1:14" ht="21.75" hidden="1" customHeight="1" x14ac:dyDescent="0.4">
      <c r="A736" s="62">
        <v>45260</v>
      </c>
      <c r="B736" s="32" t="s">
        <v>1836</v>
      </c>
      <c r="C736" s="18" t="s">
        <v>17</v>
      </c>
      <c r="D736" s="63" t="s">
        <v>2581</v>
      </c>
      <c r="E736" s="50" t="s">
        <v>2543</v>
      </c>
      <c r="F736" s="57">
        <v>1700</v>
      </c>
      <c r="G736" s="76">
        <v>-650</v>
      </c>
      <c r="H736" s="57">
        <f t="shared" si="39"/>
        <v>1050</v>
      </c>
      <c r="I736" s="50">
        <v>4</v>
      </c>
      <c r="J736" s="57">
        <f t="shared" ref="J736:J740" si="42">SUM(H736*I736)</f>
        <v>4200</v>
      </c>
      <c r="K736" s="58">
        <f t="shared" si="41"/>
        <v>4620</v>
      </c>
      <c r="L736" s="18" t="s">
        <v>20</v>
      </c>
      <c r="M736" s="50"/>
      <c r="N736" s="50"/>
    </row>
    <row r="737" spans="1:15" ht="21.75" hidden="1" customHeight="1" thickBot="1" x14ac:dyDescent="0.45">
      <c r="A737" s="62">
        <v>45260</v>
      </c>
      <c r="B737" s="32" t="s">
        <v>1608</v>
      </c>
      <c r="C737" s="18" t="s">
        <v>17</v>
      </c>
      <c r="D737" s="63" t="s">
        <v>2567</v>
      </c>
      <c r="E737" s="124" t="s">
        <v>2545</v>
      </c>
      <c r="F737" s="57">
        <v>3600</v>
      </c>
      <c r="G737" s="76">
        <v>-1800</v>
      </c>
      <c r="H737" s="57">
        <f t="shared" ref="H737:H740" si="43">SUM(F737:G737)</f>
        <v>1800</v>
      </c>
      <c r="I737" s="50">
        <v>3</v>
      </c>
      <c r="J737" s="57">
        <f t="shared" si="42"/>
        <v>5400</v>
      </c>
      <c r="K737" s="58">
        <f t="shared" si="41"/>
        <v>5940</v>
      </c>
      <c r="L737" s="18" t="s">
        <v>20</v>
      </c>
      <c r="M737" s="50"/>
      <c r="N737" s="50"/>
      <c r="O737" s="162"/>
    </row>
    <row r="738" spans="1:15" ht="21.75" hidden="1" customHeight="1" x14ac:dyDescent="0.4">
      <c r="A738" s="62">
        <v>45260</v>
      </c>
      <c r="B738" s="32" t="s">
        <v>2546</v>
      </c>
      <c r="C738" s="18" t="s">
        <v>22</v>
      </c>
      <c r="D738" s="63" t="s">
        <v>1496</v>
      </c>
      <c r="E738" s="50" t="s">
        <v>369</v>
      </c>
      <c r="F738" s="57">
        <v>3000</v>
      </c>
      <c r="G738" s="76"/>
      <c r="H738" s="57">
        <f t="shared" si="43"/>
        <v>3000</v>
      </c>
      <c r="I738" s="50">
        <v>1</v>
      </c>
      <c r="J738" s="57">
        <f t="shared" si="42"/>
        <v>3000</v>
      </c>
      <c r="K738" s="58">
        <f t="shared" si="41"/>
        <v>3300</v>
      </c>
      <c r="L738" s="18" t="s">
        <v>25</v>
      </c>
      <c r="M738" s="50" t="s">
        <v>2515</v>
      </c>
      <c r="N738" s="50" t="s">
        <v>2598</v>
      </c>
    </row>
    <row r="739" spans="1:15" ht="21.75" hidden="1" customHeight="1" x14ac:dyDescent="0.4">
      <c r="A739" s="62">
        <v>45260</v>
      </c>
      <c r="B739" s="32" t="s">
        <v>678</v>
      </c>
      <c r="C739" s="18" t="s">
        <v>17</v>
      </c>
      <c r="D739" s="63" t="s">
        <v>404</v>
      </c>
      <c r="E739" s="50" t="s">
        <v>2547</v>
      </c>
      <c r="F739" s="57">
        <v>1200</v>
      </c>
      <c r="G739" s="76">
        <v>-120</v>
      </c>
      <c r="H739" s="57">
        <f t="shared" si="43"/>
        <v>1080</v>
      </c>
      <c r="I739" s="50">
        <v>1</v>
      </c>
      <c r="J739" s="57">
        <f t="shared" si="42"/>
        <v>1080</v>
      </c>
      <c r="K739" s="58">
        <f t="shared" ref="K739:K740" si="44">ROUNDDOWN(J739*1.1,0)</f>
        <v>1188</v>
      </c>
      <c r="L739" s="18" t="s">
        <v>20</v>
      </c>
      <c r="M739" s="50"/>
      <c r="N739" s="50"/>
    </row>
    <row r="740" spans="1:15" ht="21.75" hidden="1" customHeight="1" thickBot="1" x14ac:dyDescent="0.45">
      <c r="A740" s="149">
        <v>45260</v>
      </c>
      <c r="B740" s="97" t="s">
        <v>148</v>
      </c>
      <c r="C740" s="98" t="s">
        <v>27</v>
      </c>
      <c r="D740" s="101" t="s">
        <v>28</v>
      </c>
      <c r="E740" s="102" t="s">
        <v>1897</v>
      </c>
      <c r="F740" s="103">
        <v>17500</v>
      </c>
      <c r="G740" s="104"/>
      <c r="H740" s="103">
        <f t="shared" si="43"/>
        <v>17500</v>
      </c>
      <c r="I740" s="102">
        <v>1</v>
      </c>
      <c r="J740" s="103">
        <f t="shared" si="42"/>
        <v>17500</v>
      </c>
      <c r="K740" s="105">
        <f t="shared" si="44"/>
        <v>19250</v>
      </c>
      <c r="L740" s="98" t="s">
        <v>20</v>
      </c>
      <c r="M740" s="102"/>
      <c r="N740" s="50"/>
    </row>
    <row r="741" spans="1:15" ht="21.75" hidden="1" customHeight="1" x14ac:dyDescent="0.4">
      <c r="A741" s="59">
        <v>45261</v>
      </c>
      <c r="B741" s="82" t="s">
        <v>2548</v>
      </c>
      <c r="C741" s="60" t="s">
        <v>2542</v>
      </c>
      <c r="D741" s="61" t="s">
        <v>2549</v>
      </c>
      <c r="E741" s="56" t="s">
        <v>2550</v>
      </c>
      <c r="F741" s="99">
        <v>3500</v>
      </c>
      <c r="G741" s="79"/>
      <c r="H741" s="99">
        <f t="shared" ref="H741:H806" si="45">SUM(F741:G741)</f>
        <v>3500</v>
      </c>
      <c r="I741" s="56">
        <v>1</v>
      </c>
      <c r="J741" s="99">
        <f t="shared" ref="J741:J757" si="46">SUM(H741*I741)</f>
        <v>3500</v>
      </c>
      <c r="K741" s="100">
        <f t="shared" ref="K741:K757" si="47">ROUNDDOWN(J741*1.1,0)</f>
        <v>3850</v>
      </c>
      <c r="L741" s="60" t="s">
        <v>25</v>
      </c>
      <c r="M741" s="56"/>
      <c r="N741" s="50"/>
    </row>
    <row r="742" spans="1:15" ht="21.75" hidden="1" customHeight="1" x14ac:dyDescent="0.4">
      <c r="A742" s="59">
        <v>45261</v>
      </c>
      <c r="B742" s="82" t="s">
        <v>984</v>
      </c>
      <c r="C742" s="60" t="s">
        <v>17</v>
      </c>
      <c r="D742" s="61" t="s">
        <v>2600</v>
      </c>
      <c r="E742" s="56" t="s">
        <v>2601</v>
      </c>
      <c r="F742" s="99">
        <v>1000</v>
      </c>
      <c r="G742" s="79"/>
      <c r="H742" s="99">
        <f t="shared" si="45"/>
        <v>1000</v>
      </c>
      <c r="I742" s="56">
        <v>1</v>
      </c>
      <c r="J742" s="99">
        <f t="shared" si="46"/>
        <v>1000</v>
      </c>
      <c r="K742" s="100">
        <f t="shared" si="47"/>
        <v>1100</v>
      </c>
      <c r="L742" s="60" t="s">
        <v>25</v>
      </c>
      <c r="M742" s="56"/>
      <c r="N742" s="50"/>
    </row>
    <row r="743" spans="1:15" ht="21.75" hidden="1" customHeight="1" x14ac:dyDescent="0.4">
      <c r="A743" s="59">
        <v>45261</v>
      </c>
      <c r="B743" s="32" t="s">
        <v>2551</v>
      </c>
      <c r="C743" s="18" t="s">
        <v>2542</v>
      </c>
      <c r="D743" s="63" t="s">
        <v>292</v>
      </c>
      <c r="E743" s="50" t="s">
        <v>2552</v>
      </c>
      <c r="F743" s="57">
        <v>5500</v>
      </c>
      <c r="G743" s="76">
        <v>-628</v>
      </c>
      <c r="H743" s="57">
        <f t="shared" si="45"/>
        <v>4872</v>
      </c>
      <c r="I743" s="50">
        <v>1</v>
      </c>
      <c r="J743" s="57">
        <f t="shared" si="46"/>
        <v>4872</v>
      </c>
      <c r="K743" s="58">
        <f t="shared" si="47"/>
        <v>5359</v>
      </c>
      <c r="L743" s="18" t="s">
        <v>25</v>
      </c>
      <c r="M743" s="50"/>
      <c r="N743" s="50"/>
    </row>
    <row r="744" spans="1:15" ht="21.75" hidden="1" customHeight="1" x14ac:dyDescent="0.4">
      <c r="A744" s="59">
        <v>45261</v>
      </c>
      <c r="B744" s="32" t="s">
        <v>2544</v>
      </c>
      <c r="C744" s="18" t="s">
        <v>2542</v>
      </c>
      <c r="D744" s="63" t="s">
        <v>332</v>
      </c>
      <c r="E744" s="50" t="s">
        <v>2530</v>
      </c>
      <c r="F744" s="57">
        <v>1090</v>
      </c>
      <c r="G744" s="76">
        <v>-458</v>
      </c>
      <c r="H744" s="57">
        <f t="shared" si="45"/>
        <v>632</v>
      </c>
      <c r="I744" s="50">
        <v>6</v>
      </c>
      <c r="J744" s="57">
        <f t="shared" si="46"/>
        <v>3792</v>
      </c>
      <c r="K744" s="58">
        <f t="shared" si="47"/>
        <v>4171</v>
      </c>
      <c r="L744" s="18" t="s">
        <v>2541</v>
      </c>
      <c r="M744" s="50"/>
      <c r="N744" s="50"/>
    </row>
    <row r="745" spans="1:15" ht="21.75" hidden="1" customHeight="1" x14ac:dyDescent="0.4">
      <c r="A745" s="59">
        <v>45261</v>
      </c>
      <c r="B745" s="32" t="s">
        <v>2553</v>
      </c>
      <c r="C745" s="18" t="s">
        <v>2554</v>
      </c>
      <c r="D745" s="63" t="s">
        <v>328</v>
      </c>
      <c r="E745" s="50" t="s">
        <v>2555</v>
      </c>
      <c r="F745" s="57">
        <v>2780</v>
      </c>
      <c r="G745" s="76">
        <v>-1390</v>
      </c>
      <c r="H745" s="57">
        <f t="shared" si="45"/>
        <v>1390</v>
      </c>
      <c r="I745" s="50">
        <v>3</v>
      </c>
      <c r="J745" s="57">
        <f t="shared" si="46"/>
        <v>4170</v>
      </c>
      <c r="K745" s="58">
        <f t="shared" si="47"/>
        <v>4587</v>
      </c>
      <c r="L745" s="18" t="s">
        <v>25</v>
      </c>
      <c r="M745" s="50"/>
      <c r="N745" s="50"/>
    </row>
    <row r="746" spans="1:15" ht="21.75" hidden="1" customHeight="1" x14ac:dyDescent="0.4">
      <c r="A746" s="59">
        <v>45261</v>
      </c>
      <c r="B746" s="32" t="s">
        <v>2602</v>
      </c>
      <c r="C746" s="18" t="s">
        <v>2603</v>
      </c>
      <c r="D746" s="63" t="s">
        <v>2604</v>
      </c>
      <c r="E746" s="50" t="s">
        <v>2605</v>
      </c>
      <c r="F746" s="57">
        <v>1700</v>
      </c>
      <c r="G746" s="76">
        <v>-170</v>
      </c>
      <c r="H746" s="57">
        <f t="shared" si="45"/>
        <v>1530</v>
      </c>
      <c r="I746" s="50">
        <v>1</v>
      </c>
      <c r="J746" s="57">
        <f t="shared" si="46"/>
        <v>1530</v>
      </c>
      <c r="K746" s="58">
        <f t="shared" si="47"/>
        <v>1683</v>
      </c>
      <c r="L746" s="18" t="s">
        <v>25</v>
      </c>
      <c r="M746" s="50"/>
      <c r="N746" s="50"/>
    </row>
    <row r="747" spans="1:15" ht="21.75" hidden="1" customHeight="1" x14ac:dyDescent="0.4">
      <c r="A747" s="59">
        <v>45261</v>
      </c>
      <c r="B747" s="32" t="s">
        <v>179</v>
      </c>
      <c r="C747" s="18" t="s">
        <v>17</v>
      </c>
      <c r="D747" s="63" t="s">
        <v>455</v>
      </c>
      <c r="E747" s="50" t="s">
        <v>2606</v>
      </c>
      <c r="F747" s="57">
        <v>1600</v>
      </c>
      <c r="G747" s="76">
        <v>-160</v>
      </c>
      <c r="H747" s="57">
        <f t="shared" si="45"/>
        <v>1440</v>
      </c>
      <c r="I747" s="50">
        <v>1</v>
      </c>
      <c r="J747" s="57">
        <f t="shared" si="46"/>
        <v>1440</v>
      </c>
      <c r="K747" s="58">
        <f t="shared" si="47"/>
        <v>1584</v>
      </c>
      <c r="L747" s="18" t="s">
        <v>2607</v>
      </c>
      <c r="M747" s="50"/>
      <c r="N747" s="50"/>
    </row>
    <row r="748" spans="1:15" ht="21.75" hidden="1" customHeight="1" x14ac:dyDescent="0.4">
      <c r="A748" s="59">
        <v>45261</v>
      </c>
      <c r="B748" s="32" t="s">
        <v>179</v>
      </c>
      <c r="C748" s="18" t="s">
        <v>17</v>
      </c>
      <c r="D748" s="63" t="s">
        <v>283</v>
      </c>
      <c r="E748" s="50" t="s">
        <v>2608</v>
      </c>
      <c r="F748" s="57">
        <v>1000</v>
      </c>
      <c r="G748" s="76"/>
      <c r="H748" s="57">
        <f t="shared" si="45"/>
        <v>1000</v>
      </c>
      <c r="I748" s="50">
        <v>1</v>
      </c>
      <c r="J748" s="57">
        <f t="shared" si="46"/>
        <v>1000</v>
      </c>
      <c r="K748" s="58">
        <f t="shared" si="47"/>
        <v>1100</v>
      </c>
      <c r="L748" s="18" t="s">
        <v>2607</v>
      </c>
      <c r="M748" s="184" t="s">
        <v>2725</v>
      </c>
      <c r="N748" s="50"/>
    </row>
    <row r="749" spans="1:15" ht="21.75" hidden="1" customHeight="1" x14ac:dyDescent="0.4">
      <c r="A749" s="62">
        <v>45263</v>
      </c>
      <c r="B749" s="32" t="s">
        <v>2609</v>
      </c>
      <c r="C749" s="18" t="s">
        <v>2610</v>
      </c>
      <c r="D749" s="63" t="s">
        <v>2611</v>
      </c>
      <c r="E749" s="50" t="s">
        <v>2612</v>
      </c>
      <c r="F749" s="57">
        <v>1700</v>
      </c>
      <c r="G749" s="76">
        <v>-170</v>
      </c>
      <c r="H749" s="57">
        <f t="shared" si="45"/>
        <v>1530</v>
      </c>
      <c r="I749" s="50">
        <v>2</v>
      </c>
      <c r="J749" s="57">
        <f t="shared" si="46"/>
        <v>3060</v>
      </c>
      <c r="K749" s="58">
        <f t="shared" si="47"/>
        <v>3366</v>
      </c>
      <c r="L749" s="18" t="s">
        <v>2613</v>
      </c>
      <c r="M749" s="50"/>
      <c r="N749" s="50"/>
    </row>
    <row r="750" spans="1:15" ht="21.75" hidden="1" customHeight="1" x14ac:dyDescent="0.4">
      <c r="A750" s="62">
        <v>45263</v>
      </c>
      <c r="B750" s="32" t="s">
        <v>2614</v>
      </c>
      <c r="C750" s="18" t="s">
        <v>2610</v>
      </c>
      <c r="D750" s="63" t="s">
        <v>330</v>
      </c>
      <c r="E750" s="50" t="s">
        <v>2616</v>
      </c>
      <c r="F750" s="57">
        <v>2600</v>
      </c>
      <c r="G750" s="76"/>
      <c r="H750" s="57">
        <f t="shared" si="45"/>
        <v>2600</v>
      </c>
      <c r="I750" s="50">
        <v>2</v>
      </c>
      <c r="J750" s="57">
        <f t="shared" si="46"/>
        <v>5200</v>
      </c>
      <c r="K750" s="58">
        <f t="shared" si="47"/>
        <v>5720</v>
      </c>
      <c r="L750" s="18" t="s">
        <v>2613</v>
      </c>
      <c r="M750" s="50"/>
      <c r="N750" s="50"/>
    </row>
    <row r="751" spans="1:15" ht="21.75" hidden="1" customHeight="1" x14ac:dyDescent="0.4">
      <c r="A751" s="62">
        <v>45263</v>
      </c>
      <c r="B751" s="32" t="s">
        <v>2614</v>
      </c>
      <c r="C751" s="18" t="s">
        <v>2610</v>
      </c>
      <c r="D751" s="63" t="s">
        <v>332</v>
      </c>
      <c r="E751" s="50" t="s">
        <v>2619</v>
      </c>
      <c r="F751" s="57">
        <v>1090</v>
      </c>
      <c r="G751" s="76">
        <v>-458</v>
      </c>
      <c r="H751" s="57">
        <f t="shared" si="45"/>
        <v>632</v>
      </c>
      <c r="I751" s="50">
        <v>1</v>
      </c>
      <c r="J751" s="57">
        <f t="shared" si="46"/>
        <v>632</v>
      </c>
      <c r="K751" s="58">
        <f t="shared" si="47"/>
        <v>695</v>
      </c>
      <c r="L751" s="18" t="s">
        <v>2613</v>
      </c>
      <c r="M751" s="50"/>
      <c r="N751" s="50"/>
    </row>
    <row r="752" spans="1:15" ht="21.75" hidden="1" customHeight="1" x14ac:dyDescent="0.4">
      <c r="A752" s="62">
        <v>45263</v>
      </c>
      <c r="B752" s="32" t="s">
        <v>2614</v>
      </c>
      <c r="C752" s="18" t="s">
        <v>2610</v>
      </c>
      <c r="D752" s="63" t="s">
        <v>2617</v>
      </c>
      <c r="E752" s="50" t="s">
        <v>2615</v>
      </c>
      <c r="F752" s="57">
        <v>2600</v>
      </c>
      <c r="G752" s="76"/>
      <c r="H752" s="57">
        <f t="shared" si="45"/>
        <v>2600</v>
      </c>
      <c r="I752" s="50">
        <v>2</v>
      </c>
      <c r="J752" s="57">
        <f t="shared" si="46"/>
        <v>5200</v>
      </c>
      <c r="K752" s="58">
        <f t="shared" si="47"/>
        <v>5720</v>
      </c>
      <c r="L752" s="18" t="s">
        <v>2613</v>
      </c>
      <c r="M752" s="50"/>
      <c r="N752" s="50"/>
    </row>
    <row r="753" spans="1:14" ht="21.75" hidden="1" customHeight="1" x14ac:dyDescent="0.4">
      <c r="A753" s="62">
        <v>45263</v>
      </c>
      <c r="B753" s="32" t="s">
        <v>2614</v>
      </c>
      <c r="C753" s="18" t="s">
        <v>2610</v>
      </c>
      <c r="D753" s="63" t="s">
        <v>455</v>
      </c>
      <c r="E753" s="50" t="s">
        <v>2619</v>
      </c>
      <c r="F753" s="57">
        <v>1090</v>
      </c>
      <c r="G753" s="76">
        <v>-458</v>
      </c>
      <c r="H753" s="57">
        <f t="shared" si="45"/>
        <v>632</v>
      </c>
      <c r="I753" s="50">
        <v>2</v>
      </c>
      <c r="J753" s="57">
        <f t="shared" si="46"/>
        <v>1264</v>
      </c>
      <c r="K753" s="58">
        <f t="shared" si="47"/>
        <v>1390</v>
      </c>
      <c r="L753" s="18" t="s">
        <v>2613</v>
      </c>
      <c r="M753" s="50"/>
      <c r="N753" s="50"/>
    </row>
    <row r="754" spans="1:14" ht="21.75" hidden="1" customHeight="1" x14ac:dyDescent="0.4">
      <c r="A754" s="62">
        <v>45264</v>
      </c>
      <c r="B754" s="32" t="s">
        <v>2620</v>
      </c>
      <c r="C754" s="18" t="s">
        <v>2610</v>
      </c>
      <c r="D754" s="63" t="s">
        <v>2621</v>
      </c>
      <c r="E754" s="50" t="s">
        <v>2622</v>
      </c>
      <c r="F754" s="57">
        <v>88000</v>
      </c>
      <c r="G754" s="76">
        <v>-13200</v>
      </c>
      <c r="H754" s="57">
        <f t="shared" si="45"/>
        <v>74800</v>
      </c>
      <c r="I754" s="50">
        <v>1</v>
      </c>
      <c r="J754" s="57">
        <f t="shared" si="46"/>
        <v>74800</v>
      </c>
      <c r="K754" s="58">
        <f t="shared" si="47"/>
        <v>82280</v>
      </c>
      <c r="L754" s="18" t="s">
        <v>34</v>
      </c>
      <c r="M754" s="130"/>
      <c r="N754" s="50" t="s">
        <v>2680</v>
      </c>
    </row>
    <row r="755" spans="1:14" ht="21.75" hidden="1" customHeight="1" x14ac:dyDescent="0.4">
      <c r="A755" s="62">
        <v>45264</v>
      </c>
      <c r="B755" s="32" t="s">
        <v>2620</v>
      </c>
      <c r="C755" s="18" t="s">
        <v>2610</v>
      </c>
      <c r="D755" s="63" t="s">
        <v>328</v>
      </c>
      <c r="E755" s="50" t="s">
        <v>2623</v>
      </c>
      <c r="F755" s="57">
        <v>55000</v>
      </c>
      <c r="G755" s="76">
        <v>-5500</v>
      </c>
      <c r="H755" s="57">
        <f t="shared" si="45"/>
        <v>49500</v>
      </c>
      <c r="I755" s="50">
        <v>1</v>
      </c>
      <c r="J755" s="57">
        <f t="shared" si="46"/>
        <v>49500</v>
      </c>
      <c r="K755" s="58">
        <f t="shared" si="47"/>
        <v>54450</v>
      </c>
      <c r="L755" s="18" t="s">
        <v>34</v>
      </c>
      <c r="M755" s="50"/>
      <c r="N755" s="50" t="s">
        <v>2680</v>
      </c>
    </row>
    <row r="756" spans="1:14" ht="21.75" hidden="1" customHeight="1" x14ac:dyDescent="0.4">
      <c r="A756" s="62">
        <v>45264</v>
      </c>
      <c r="B756" s="32" t="s">
        <v>2620</v>
      </c>
      <c r="C756" s="18" t="s">
        <v>2610</v>
      </c>
      <c r="D756" s="63" t="s">
        <v>2624</v>
      </c>
      <c r="E756" s="106" t="s">
        <v>2625</v>
      </c>
      <c r="F756" s="57">
        <v>135000</v>
      </c>
      <c r="G756" s="76">
        <v>-13500</v>
      </c>
      <c r="H756" s="57">
        <f t="shared" si="45"/>
        <v>121500</v>
      </c>
      <c r="I756" s="50">
        <v>1</v>
      </c>
      <c r="J756" s="57">
        <f t="shared" si="46"/>
        <v>121500</v>
      </c>
      <c r="K756" s="58">
        <f t="shared" si="47"/>
        <v>133650</v>
      </c>
      <c r="L756" s="18" t="s">
        <v>34</v>
      </c>
      <c r="M756" s="130"/>
      <c r="N756" s="50" t="s">
        <v>2680</v>
      </c>
    </row>
    <row r="757" spans="1:14" ht="21.75" hidden="1" customHeight="1" x14ac:dyDescent="0.4">
      <c r="A757" s="62">
        <v>45264</v>
      </c>
      <c r="B757" s="32" t="s">
        <v>2620</v>
      </c>
      <c r="C757" s="18" t="s">
        <v>2610</v>
      </c>
      <c r="D757" s="63" t="s">
        <v>332</v>
      </c>
      <c r="E757" s="50" t="s">
        <v>2626</v>
      </c>
      <c r="F757" s="57">
        <v>1090</v>
      </c>
      <c r="G757" s="76">
        <v>-109</v>
      </c>
      <c r="H757" s="57">
        <f t="shared" si="45"/>
        <v>981</v>
      </c>
      <c r="I757" s="50">
        <v>1</v>
      </c>
      <c r="J757" s="57">
        <f t="shared" si="46"/>
        <v>981</v>
      </c>
      <c r="K757" s="58">
        <f t="shared" si="47"/>
        <v>1079</v>
      </c>
      <c r="L757" s="18" t="s">
        <v>34</v>
      </c>
      <c r="M757" s="50"/>
      <c r="N757" s="50" t="s">
        <v>2680</v>
      </c>
    </row>
    <row r="758" spans="1:14" ht="21.75" hidden="1" customHeight="1" x14ac:dyDescent="0.4">
      <c r="A758" s="62">
        <v>45266</v>
      </c>
      <c r="B758" s="32" t="s">
        <v>2627</v>
      </c>
      <c r="C758" s="18" t="s">
        <v>27</v>
      </c>
      <c r="D758" s="63" t="s">
        <v>28</v>
      </c>
      <c r="E758" s="50" t="s">
        <v>1897</v>
      </c>
      <c r="F758" s="57">
        <v>17500</v>
      </c>
      <c r="G758" s="76"/>
      <c r="H758" s="57">
        <f t="shared" si="45"/>
        <v>17500</v>
      </c>
      <c r="I758" s="50">
        <v>1</v>
      </c>
      <c r="J758" s="57">
        <f t="shared" ref="J758:J823" si="48">SUM(H758*I758)</f>
        <v>17500</v>
      </c>
      <c r="K758" s="58">
        <f t="shared" ref="K758:K811" si="49">ROUNDDOWN(J758*1.1,0)</f>
        <v>19250</v>
      </c>
      <c r="L758" s="18" t="s">
        <v>2613</v>
      </c>
      <c r="M758" s="50"/>
      <c r="N758" s="50"/>
    </row>
    <row r="759" spans="1:14" ht="21.75" hidden="1" customHeight="1" x14ac:dyDescent="0.4">
      <c r="A759" s="62">
        <v>45266</v>
      </c>
      <c r="B759" s="32" t="s">
        <v>2719</v>
      </c>
      <c r="C759" s="18" t="s">
        <v>2610</v>
      </c>
      <c r="D759" s="63" t="s">
        <v>426</v>
      </c>
      <c r="E759" s="50" t="s">
        <v>2718</v>
      </c>
      <c r="F759" s="57">
        <v>1300</v>
      </c>
      <c r="G759" s="76"/>
      <c r="H759" s="57">
        <f t="shared" si="45"/>
        <v>1300</v>
      </c>
      <c r="I759" s="50">
        <v>2</v>
      </c>
      <c r="J759" s="57">
        <f t="shared" si="48"/>
        <v>2600</v>
      </c>
      <c r="K759" s="157">
        <f t="shared" si="49"/>
        <v>2860</v>
      </c>
      <c r="L759" s="18" t="s">
        <v>2613</v>
      </c>
      <c r="M759" s="50"/>
      <c r="N759" s="50"/>
    </row>
    <row r="760" spans="1:14" ht="21.75" hidden="1" customHeight="1" x14ac:dyDescent="0.4">
      <c r="A760" s="62">
        <v>45267</v>
      </c>
      <c r="B760" s="32" t="s">
        <v>2628</v>
      </c>
      <c r="C760" s="18" t="s">
        <v>22</v>
      </c>
      <c r="D760" s="63" t="s">
        <v>1496</v>
      </c>
      <c r="E760" s="50" t="s">
        <v>369</v>
      </c>
      <c r="F760" s="57">
        <v>3000</v>
      </c>
      <c r="G760" s="76"/>
      <c r="H760" s="57">
        <f t="shared" si="45"/>
        <v>3000</v>
      </c>
      <c r="I760" s="50">
        <v>1</v>
      </c>
      <c r="J760" s="57">
        <f t="shared" si="48"/>
        <v>3000</v>
      </c>
      <c r="K760" s="58">
        <f t="shared" si="49"/>
        <v>3300</v>
      </c>
      <c r="L760" s="18" t="s">
        <v>25</v>
      </c>
      <c r="M760" s="50" t="s">
        <v>2515</v>
      </c>
      <c r="N760" s="50"/>
    </row>
    <row r="761" spans="1:14" ht="21.75" hidden="1" customHeight="1" x14ac:dyDescent="0.4">
      <c r="A761" s="62">
        <v>45267</v>
      </c>
      <c r="B761" s="32" t="s">
        <v>1976</v>
      </c>
      <c r="C761" s="18" t="s">
        <v>2629</v>
      </c>
      <c r="D761" s="63" t="s">
        <v>2631</v>
      </c>
      <c r="E761" s="50" t="s">
        <v>2632</v>
      </c>
      <c r="F761" s="57">
        <v>1000</v>
      </c>
      <c r="G761" s="76"/>
      <c r="H761" s="57">
        <f t="shared" si="45"/>
        <v>1000</v>
      </c>
      <c r="I761" s="50">
        <v>1</v>
      </c>
      <c r="J761" s="57">
        <f t="shared" si="48"/>
        <v>1000</v>
      </c>
      <c r="K761" s="58">
        <f t="shared" si="49"/>
        <v>1100</v>
      </c>
      <c r="L761" s="18" t="s">
        <v>25</v>
      </c>
      <c r="M761" s="50"/>
      <c r="N761" s="50"/>
    </row>
    <row r="762" spans="1:14" ht="21.75" hidden="1" customHeight="1" x14ac:dyDescent="0.4">
      <c r="A762" s="62">
        <v>45267</v>
      </c>
      <c r="B762" s="32" t="s">
        <v>593</v>
      </c>
      <c r="C762" s="18" t="s">
        <v>2610</v>
      </c>
      <c r="D762" s="63" t="s">
        <v>2611</v>
      </c>
      <c r="E762" s="50" t="s">
        <v>1576</v>
      </c>
      <c r="F762" s="57">
        <v>1700</v>
      </c>
      <c r="G762" s="76">
        <v>-170</v>
      </c>
      <c r="H762" s="57">
        <f t="shared" si="45"/>
        <v>1530</v>
      </c>
      <c r="I762" s="50">
        <v>1</v>
      </c>
      <c r="J762" s="57">
        <f t="shared" si="48"/>
        <v>1530</v>
      </c>
      <c r="K762" s="58">
        <f t="shared" si="49"/>
        <v>1683</v>
      </c>
      <c r="L762" s="18" t="s">
        <v>25</v>
      </c>
      <c r="M762" s="50"/>
      <c r="N762" s="50"/>
    </row>
    <row r="763" spans="1:14" ht="21.75" hidden="1" customHeight="1" x14ac:dyDescent="0.4">
      <c r="A763" s="62">
        <v>45267</v>
      </c>
      <c r="B763" s="32" t="s">
        <v>1401</v>
      </c>
      <c r="C763" s="18" t="s">
        <v>27</v>
      </c>
      <c r="D763" s="63" t="s">
        <v>28</v>
      </c>
      <c r="E763" s="50" t="s">
        <v>2633</v>
      </c>
      <c r="F763" s="57">
        <v>8500</v>
      </c>
      <c r="G763" s="76"/>
      <c r="H763" s="57">
        <f t="shared" si="45"/>
        <v>8500</v>
      </c>
      <c r="I763" s="50">
        <v>2</v>
      </c>
      <c r="J763" s="57">
        <f t="shared" si="48"/>
        <v>17000</v>
      </c>
      <c r="K763" s="58">
        <f t="shared" si="49"/>
        <v>18700</v>
      </c>
      <c r="L763" s="18" t="s">
        <v>25</v>
      </c>
      <c r="M763" s="50"/>
      <c r="N763" s="50"/>
    </row>
    <row r="764" spans="1:14" ht="21.75" hidden="1" customHeight="1" x14ac:dyDescent="0.4">
      <c r="A764" s="62">
        <v>45267</v>
      </c>
      <c r="B764" s="32" t="s">
        <v>2634</v>
      </c>
      <c r="C764" s="18" t="s">
        <v>27</v>
      </c>
      <c r="D764" s="63" t="s">
        <v>28</v>
      </c>
      <c r="E764" s="50" t="s">
        <v>73</v>
      </c>
      <c r="F764" s="57">
        <v>2000</v>
      </c>
      <c r="G764" s="76"/>
      <c r="H764" s="57">
        <f t="shared" si="45"/>
        <v>2000</v>
      </c>
      <c r="I764" s="50">
        <v>1</v>
      </c>
      <c r="J764" s="57">
        <f t="shared" si="48"/>
        <v>2000</v>
      </c>
      <c r="K764" s="58">
        <f t="shared" si="49"/>
        <v>2200</v>
      </c>
      <c r="L764" s="18" t="s">
        <v>2613</v>
      </c>
      <c r="M764" s="50"/>
      <c r="N764" s="50"/>
    </row>
    <row r="765" spans="1:14" ht="21.75" hidden="1" customHeight="1" x14ac:dyDescent="0.4">
      <c r="A765" s="62">
        <v>45268</v>
      </c>
      <c r="B765" s="32" t="s">
        <v>2635</v>
      </c>
      <c r="C765" s="18" t="s">
        <v>2610</v>
      </c>
      <c r="D765" s="63" t="s">
        <v>292</v>
      </c>
      <c r="E765" s="50" t="s">
        <v>2636</v>
      </c>
      <c r="F765" s="57">
        <v>5800</v>
      </c>
      <c r="G765" s="76">
        <v>-580</v>
      </c>
      <c r="H765" s="57">
        <f t="shared" si="45"/>
        <v>5220</v>
      </c>
      <c r="I765" s="50">
        <v>1</v>
      </c>
      <c r="J765" s="57">
        <f t="shared" si="48"/>
        <v>5220</v>
      </c>
      <c r="K765" s="58">
        <f t="shared" si="49"/>
        <v>5742</v>
      </c>
      <c r="L765" s="18" t="s">
        <v>25</v>
      </c>
      <c r="M765" s="50"/>
      <c r="N765" s="50"/>
    </row>
    <row r="766" spans="1:14" ht="21.75" hidden="1" customHeight="1" x14ac:dyDescent="0.4">
      <c r="A766" s="62">
        <v>45268</v>
      </c>
      <c r="B766" s="32" t="s">
        <v>2635</v>
      </c>
      <c r="C766" s="18" t="s">
        <v>2610</v>
      </c>
      <c r="D766" s="63" t="s">
        <v>2611</v>
      </c>
      <c r="E766" s="50" t="s">
        <v>2480</v>
      </c>
      <c r="F766" s="57">
        <v>1700</v>
      </c>
      <c r="G766" s="76">
        <v>-170</v>
      </c>
      <c r="H766" s="57">
        <f t="shared" si="45"/>
        <v>1530</v>
      </c>
      <c r="I766" s="50">
        <v>2</v>
      </c>
      <c r="J766" s="57">
        <f t="shared" si="48"/>
        <v>3060</v>
      </c>
      <c r="K766" s="58">
        <f t="shared" si="49"/>
        <v>3366</v>
      </c>
      <c r="L766" s="18" t="s">
        <v>25</v>
      </c>
      <c r="M766" s="50"/>
      <c r="N766" s="50"/>
    </row>
    <row r="767" spans="1:14" ht="21.75" hidden="1" customHeight="1" x14ac:dyDescent="0.4">
      <c r="A767" s="62">
        <v>45268</v>
      </c>
      <c r="B767" s="32" t="s">
        <v>2614</v>
      </c>
      <c r="C767" s="18" t="s">
        <v>2637</v>
      </c>
      <c r="D767" s="63"/>
      <c r="E767" s="50" t="s">
        <v>2638</v>
      </c>
      <c r="F767" s="57">
        <v>300</v>
      </c>
      <c r="G767" s="76"/>
      <c r="H767" s="57">
        <f t="shared" si="45"/>
        <v>300</v>
      </c>
      <c r="I767" s="50">
        <v>1</v>
      </c>
      <c r="J767" s="57">
        <f t="shared" si="48"/>
        <v>300</v>
      </c>
      <c r="K767" s="58">
        <f t="shared" si="49"/>
        <v>330</v>
      </c>
      <c r="L767" s="18" t="s">
        <v>2613</v>
      </c>
      <c r="M767" s="50"/>
      <c r="N767" s="50"/>
    </row>
    <row r="768" spans="1:14" ht="21.75" hidden="1" customHeight="1" x14ac:dyDescent="0.4">
      <c r="A768" s="62">
        <v>45268</v>
      </c>
      <c r="B768" s="32" t="s">
        <v>171</v>
      </c>
      <c r="C768" s="18" t="s">
        <v>2610</v>
      </c>
      <c r="D768" s="63" t="s">
        <v>292</v>
      </c>
      <c r="E768" s="50" t="s">
        <v>2639</v>
      </c>
      <c r="F768" s="57">
        <v>5500</v>
      </c>
      <c r="G768" s="76"/>
      <c r="H768" s="57">
        <f t="shared" si="45"/>
        <v>5500</v>
      </c>
      <c r="I768" s="50">
        <v>1</v>
      </c>
      <c r="J768" s="57">
        <f t="shared" si="48"/>
        <v>5500</v>
      </c>
      <c r="K768" s="58">
        <f t="shared" si="49"/>
        <v>6050</v>
      </c>
      <c r="L768" s="18" t="s">
        <v>25</v>
      </c>
      <c r="M768" s="50"/>
      <c r="N768" s="50"/>
    </row>
    <row r="769" spans="1:14" ht="21.75" hidden="1" customHeight="1" x14ac:dyDescent="0.4">
      <c r="A769" s="62">
        <v>45269</v>
      </c>
      <c r="B769" s="32" t="s">
        <v>2641</v>
      </c>
      <c r="C769" s="18" t="s">
        <v>2610</v>
      </c>
      <c r="D769" s="63" t="s">
        <v>332</v>
      </c>
      <c r="E769" s="50" t="s">
        <v>2724</v>
      </c>
      <c r="F769" s="57">
        <v>1600</v>
      </c>
      <c r="G769" s="76">
        <v>-160</v>
      </c>
      <c r="H769" s="57">
        <f t="shared" si="45"/>
        <v>1440</v>
      </c>
      <c r="I769" s="50">
        <v>1</v>
      </c>
      <c r="J769" s="57">
        <f t="shared" si="48"/>
        <v>1440</v>
      </c>
      <c r="K769" s="58">
        <f t="shared" si="49"/>
        <v>1584</v>
      </c>
      <c r="L769" s="18" t="s">
        <v>2613</v>
      </c>
      <c r="M769" s="50"/>
      <c r="N769" s="50"/>
    </row>
    <row r="770" spans="1:14" ht="21.75" hidden="1" customHeight="1" x14ac:dyDescent="0.4">
      <c r="A770" s="62">
        <v>45269</v>
      </c>
      <c r="B770" s="32" t="s">
        <v>2151</v>
      </c>
      <c r="C770" s="18" t="s">
        <v>2610</v>
      </c>
      <c r="D770" s="63" t="s">
        <v>332</v>
      </c>
      <c r="E770" s="50" t="s">
        <v>2640</v>
      </c>
      <c r="F770" s="57">
        <v>1090</v>
      </c>
      <c r="G770" s="76">
        <v>-109</v>
      </c>
      <c r="H770" s="57">
        <f t="shared" si="45"/>
        <v>981</v>
      </c>
      <c r="I770" s="50">
        <v>1</v>
      </c>
      <c r="J770" s="57">
        <f t="shared" si="48"/>
        <v>981</v>
      </c>
      <c r="K770" s="58">
        <f t="shared" si="49"/>
        <v>1079</v>
      </c>
      <c r="L770" s="18" t="s">
        <v>2613</v>
      </c>
      <c r="M770" s="50"/>
      <c r="N770" s="50"/>
    </row>
    <row r="771" spans="1:14" ht="21.75" hidden="1" customHeight="1" x14ac:dyDescent="0.4">
      <c r="A771" s="62">
        <v>45270</v>
      </c>
      <c r="B771" s="32" t="s">
        <v>2642</v>
      </c>
      <c r="C771" s="18" t="s">
        <v>2610</v>
      </c>
      <c r="D771" s="63" t="s">
        <v>328</v>
      </c>
      <c r="E771" s="50" t="s">
        <v>2643</v>
      </c>
      <c r="F771" s="57">
        <v>40000</v>
      </c>
      <c r="G771" s="76">
        <v>-8000</v>
      </c>
      <c r="H771" s="57">
        <f t="shared" si="45"/>
        <v>32000</v>
      </c>
      <c r="I771" s="50">
        <v>1</v>
      </c>
      <c r="J771" s="57">
        <f t="shared" si="48"/>
        <v>32000</v>
      </c>
      <c r="K771" s="58">
        <f t="shared" si="49"/>
        <v>35200</v>
      </c>
      <c r="L771" s="18" t="s">
        <v>34</v>
      </c>
      <c r="M771" s="50"/>
      <c r="N771" s="50" t="s">
        <v>2679</v>
      </c>
    </row>
    <row r="772" spans="1:14" ht="21.75" hidden="1" customHeight="1" x14ac:dyDescent="0.4">
      <c r="A772" s="62">
        <v>45270</v>
      </c>
      <c r="B772" s="32" t="s">
        <v>2642</v>
      </c>
      <c r="C772" s="18" t="s">
        <v>2610</v>
      </c>
      <c r="D772" s="63" t="s">
        <v>328</v>
      </c>
      <c r="E772" s="50" t="s">
        <v>2644</v>
      </c>
      <c r="F772" s="57">
        <v>50000</v>
      </c>
      <c r="G772" s="76">
        <v>-10000</v>
      </c>
      <c r="H772" s="57">
        <f t="shared" si="45"/>
        <v>40000</v>
      </c>
      <c r="I772" s="50">
        <v>1</v>
      </c>
      <c r="J772" s="57">
        <f t="shared" si="48"/>
        <v>40000</v>
      </c>
      <c r="K772" s="58">
        <f t="shared" si="49"/>
        <v>44000</v>
      </c>
      <c r="L772" s="18" t="s">
        <v>34</v>
      </c>
      <c r="M772" s="50"/>
      <c r="N772" s="50" t="s">
        <v>2679</v>
      </c>
    </row>
    <row r="773" spans="1:14" ht="21.75" hidden="1" customHeight="1" x14ac:dyDescent="0.4">
      <c r="A773" s="62">
        <v>45270</v>
      </c>
      <c r="B773" s="32" t="s">
        <v>2642</v>
      </c>
      <c r="C773" s="18" t="s">
        <v>2610</v>
      </c>
      <c r="D773" s="63" t="s">
        <v>2618</v>
      </c>
      <c r="E773" s="50" t="s">
        <v>2616</v>
      </c>
      <c r="F773" s="57">
        <v>5000</v>
      </c>
      <c r="G773" s="76"/>
      <c r="H773" s="57">
        <f t="shared" si="45"/>
        <v>5000</v>
      </c>
      <c r="I773" s="50">
        <v>2</v>
      </c>
      <c r="J773" s="57">
        <f t="shared" si="48"/>
        <v>10000</v>
      </c>
      <c r="K773" s="58">
        <f t="shared" si="49"/>
        <v>11000</v>
      </c>
      <c r="L773" s="18" t="s">
        <v>34</v>
      </c>
      <c r="M773" s="50"/>
      <c r="N773" s="50" t="s">
        <v>2679</v>
      </c>
    </row>
    <row r="774" spans="1:14" ht="21.75" hidden="1" customHeight="1" x14ac:dyDescent="0.4">
      <c r="A774" s="62">
        <v>45270</v>
      </c>
      <c r="B774" s="32" t="s">
        <v>2642</v>
      </c>
      <c r="C774" s="18" t="s">
        <v>2610</v>
      </c>
      <c r="D774" s="63" t="s">
        <v>332</v>
      </c>
      <c r="E774" s="50" t="s">
        <v>2645</v>
      </c>
      <c r="F774" s="57">
        <v>1760</v>
      </c>
      <c r="G774" s="76"/>
      <c r="H774" s="57">
        <f t="shared" si="45"/>
        <v>1760</v>
      </c>
      <c r="I774" s="50">
        <v>2</v>
      </c>
      <c r="J774" s="57">
        <f t="shared" si="48"/>
        <v>3520</v>
      </c>
      <c r="K774" s="58">
        <f t="shared" si="49"/>
        <v>3872</v>
      </c>
      <c r="L774" s="18" t="s">
        <v>34</v>
      </c>
      <c r="M774" s="50"/>
      <c r="N774" s="50" t="s">
        <v>2679</v>
      </c>
    </row>
    <row r="775" spans="1:14" ht="21.75" hidden="1" customHeight="1" x14ac:dyDescent="0.4">
      <c r="A775" s="62">
        <v>45270</v>
      </c>
      <c r="B775" s="32" t="s">
        <v>2646</v>
      </c>
      <c r="C775" s="18" t="s">
        <v>2610</v>
      </c>
      <c r="D775" s="63" t="s">
        <v>332</v>
      </c>
      <c r="E775" s="50" t="s">
        <v>2647</v>
      </c>
      <c r="F775" s="57">
        <v>1200</v>
      </c>
      <c r="G775" s="76">
        <v>-120</v>
      </c>
      <c r="H775" s="57">
        <f t="shared" si="45"/>
        <v>1080</v>
      </c>
      <c r="I775" s="50">
        <v>1</v>
      </c>
      <c r="J775" s="57">
        <f t="shared" si="48"/>
        <v>1080</v>
      </c>
      <c r="K775" s="58">
        <f t="shared" si="49"/>
        <v>1188</v>
      </c>
      <c r="L775" s="18" t="s">
        <v>2613</v>
      </c>
      <c r="M775" s="50"/>
      <c r="N775" s="50"/>
    </row>
    <row r="776" spans="1:14" ht="21.75" hidden="1" customHeight="1" x14ac:dyDescent="0.4">
      <c r="A776" s="62">
        <v>45270</v>
      </c>
      <c r="B776" s="32" t="s">
        <v>162</v>
      </c>
      <c r="C776" s="18" t="s">
        <v>27</v>
      </c>
      <c r="D776" s="63" t="s">
        <v>28</v>
      </c>
      <c r="E776" s="50" t="s">
        <v>1810</v>
      </c>
      <c r="F776" s="57">
        <v>2500</v>
      </c>
      <c r="G776" s="76"/>
      <c r="H776" s="57">
        <f t="shared" si="45"/>
        <v>2500</v>
      </c>
      <c r="I776" s="50">
        <v>1</v>
      </c>
      <c r="J776" s="57">
        <f t="shared" si="48"/>
        <v>2500</v>
      </c>
      <c r="K776" s="58">
        <f t="shared" si="49"/>
        <v>2750</v>
      </c>
      <c r="L776" s="18" t="s">
        <v>2613</v>
      </c>
      <c r="M776" s="50"/>
      <c r="N776" s="50"/>
    </row>
    <row r="777" spans="1:14" ht="21.75" hidden="1" customHeight="1" x14ac:dyDescent="0.4">
      <c r="A777" s="62">
        <v>45270</v>
      </c>
      <c r="B777" s="32" t="s">
        <v>162</v>
      </c>
      <c r="C777" s="18" t="s">
        <v>27</v>
      </c>
      <c r="D777" s="63" t="s">
        <v>28</v>
      </c>
      <c r="E777" s="50" t="s">
        <v>73</v>
      </c>
      <c r="F777" s="57">
        <v>2000</v>
      </c>
      <c r="G777" s="76"/>
      <c r="H777" s="57">
        <f t="shared" si="45"/>
        <v>2000</v>
      </c>
      <c r="I777" s="50">
        <v>1</v>
      </c>
      <c r="J777" s="57">
        <f t="shared" si="48"/>
        <v>2000</v>
      </c>
      <c r="K777" s="58">
        <f t="shared" si="49"/>
        <v>2200</v>
      </c>
      <c r="L777" s="18" t="s">
        <v>2613</v>
      </c>
      <c r="M777" s="50"/>
      <c r="N777" s="50"/>
    </row>
    <row r="778" spans="1:14" ht="21.75" hidden="1" customHeight="1" x14ac:dyDescent="0.4">
      <c r="A778" s="62">
        <v>45270</v>
      </c>
      <c r="B778" s="32" t="s">
        <v>2648</v>
      </c>
      <c r="C778" s="18" t="s">
        <v>22</v>
      </c>
      <c r="D778" s="63" t="s">
        <v>23</v>
      </c>
      <c r="E778" s="50" t="s">
        <v>1941</v>
      </c>
      <c r="F778" s="57">
        <v>15000</v>
      </c>
      <c r="G778" s="76"/>
      <c r="H778" s="57">
        <f t="shared" si="45"/>
        <v>15000</v>
      </c>
      <c r="I778" s="50">
        <v>1</v>
      </c>
      <c r="J778" s="57">
        <f t="shared" si="48"/>
        <v>15000</v>
      </c>
      <c r="K778" s="58">
        <f t="shared" si="49"/>
        <v>16500</v>
      </c>
      <c r="L778" s="18" t="s">
        <v>34</v>
      </c>
      <c r="M778" s="50"/>
      <c r="N778" s="50"/>
    </row>
    <row r="779" spans="1:14" ht="21.75" hidden="1" customHeight="1" x14ac:dyDescent="0.4">
      <c r="A779" s="62">
        <v>45270</v>
      </c>
      <c r="B779" s="32" t="s">
        <v>2648</v>
      </c>
      <c r="C779" s="18" t="s">
        <v>2610</v>
      </c>
      <c r="D779" s="63" t="s">
        <v>328</v>
      </c>
      <c r="E779" s="50" t="s">
        <v>2649</v>
      </c>
      <c r="F779" s="57">
        <v>40000</v>
      </c>
      <c r="G779" s="76">
        <v>-8000</v>
      </c>
      <c r="H779" s="57">
        <f t="shared" si="45"/>
        <v>32000</v>
      </c>
      <c r="I779" s="50">
        <v>1</v>
      </c>
      <c r="J779" s="57">
        <f t="shared" si="48"/>
        <v>32000</v>
      </c>
      <c r="K779" s="58">
        <f t="shared" si="49"/>
        <v>35200</v>
      </c>
      <c r="L779" s="18" t="s">
        <v>34</v>
      </c>
      <c r="M779" s="50"/>
      <c r="N779" s="50" t="s">
        <v>2679</v>
      </c>
    </row>
    <row r="780" spans="1:14" ht="21.75" hidden="1" customHeight="1" x14ac:dyDescent="0.4">
      <c r="A780" s="62">
        <v>45270</v>
      </c>
      <c r="B780" s="32" t="s">
        <v>2648</v>
      </c>
      <c r="C780" s="18" t="s">
        <v>2610</v>
      </c>
      <c r="D780" s="63" t="s">
        <v>2611</v>
      </c>
      <c r="E780" s="50" t="s">
        <v>2650</v>
      </c>
      <c r="F780" s="57">
        <v>1700</v>
      </c>
      <c r="G780" s="76"/>
      <c r="H780" s="57">
        <f t="shared" si="45"/>
        <v>1700</v>
      </c>
      <c r="I780" s="50">
        <v>1</v>
      </c>
      <c r="J780" s="57">
        <f t="shared" si="48"/>
        <v>1700</v>
      </c>
      <c r="K780" s="58">
        <f t="shared" si="49"/>
        <v>1870</v>
      </c>
      <c r="L780" s="18" t="s">
        <v>2613</v>
      </c>
      <c r="M780" s="50"/>
      <c r="N780" s="50"/>
    </row>
    <row r="781" spans="1:14" ht="21.75" hidden="1" customHeight="1" x14ac:dyDescent="0.4">
      <c r="A781" s="62">
        <v>45270</v>
      </c>
      <c r="B781" s="32" t="s">
        <v>2651</v>
      </c>
      <c r="C781" s="18" t="s">
        <v>2653</v>
      </c>
      <c r="D781" s="63" t="s">
        <v>2655</v>
      </c>
      <c r="E781" s="50" t="s">
        <v>2656</v>
      </c>
      <c r="F781" s="57">
        <v>2000</v>
      </c>
      <c r="G781" s="76"/>
      <c r="H781" s="57">
        <f t="shared" si="45"/>
        <v>2000</v>
      </c>
      <c r="I781" s="50">
        <v>1</v>
      </c>
      <c r="J781" s="57">
        <f t="shared" si="48"/>
        <v>2000</v>
      </c>
      <c r="K781" s="58">
        <f t="shared" si="49"/>
        <v>2200</v>
      </c>
      <c r="L781" s="18" t="s">
        <v>25</v>
      </c>
      <c r="M781" s="50"/>
      <c r="N781" s="50"/>
    </row>
    <row r="782" spans="1:14" ht="21.75" hidden="1" customHeight="1" x14ac:dyDescent="0.4">
      <c r="A782" s="62">
        <v>45270</v>
      </c>
      <c r="B782" s="32" t="s">
        <v>2652</v>
      </c>
      <c r="C782" s="18" t="s">
        <v>2653</v>
      </c>
      <c r="D782" s="63" t="s">
        <v>2655</v>
      </c>
      <c r="E782" s="50" t="s">
        <v>2656</v>
      </c>
      <c r="F782" s="57">
        <v>2000</v>
      </c>
      <c r="G782" s="76"/>
      <c r="H782" s="57">
        <f t="shared" si="45"/>
        <v>2000</v>
      </c>
      <c r="I782" s="50">
        <v>1</v>
      </c>
      <c r="J782" s="57">
        <f t="shared" si="48"/>
        <v>2000</v>
      </c>
      <c r="K782" s="58">
        <f t="shared" si="49"/>
        <v>2200</v>
      </c>
      <c r="L782" s="18" t="s">
        <v>25</v>
      </c>
      <c r="M782" s="50"/>
      <c r="N782" s="50"/>
    </row>
    <row r="783" spans="1:14" ht="21.75" hidden="1" customHeight="1" x14ac:dyDescent="0.4">
      <c r="A783" s="62">
        <v>45270</v>
      </c>
      <c r="B783" s="32" t="s">
        <v>2657</v>
      </c>
      <c r="C783" s="18" t="s">
        <v>22</v>
      </c>
      <c r="D783" s="63" t="s">
        <v>1496</v>
      </c>
      <c r="E783" s="50" t="s">
        <v>369</v>
      </c>
      <c r="F783" s="57">
        <v>3000</v>
      </c>
      <c r="G783" s="76"/>
      <c r="H783" s="57">
        <f t="shared" si="45"/>
        <v>3000</v>
      </c>
      <c r="I783" s="50">
        <v>1</v>
      </c>
      <c r="J783" s="57">
        <f t="shared" si="48"/>
        <v>3000</v>
      </c>
      <c r="K783" s="58">
        <f t="shared" si="49"/>
        <v>3300</v>
      </c>
      <c r="L783" s="18" t="s">
        <v>25</v>
      </c>
      <c r="M783" s="50"/>
      <c r="N783" s="50"/>
    </row>
    <row r="784" spans="1:14" ht="21.75" hidden="1" customHeight="1" x14ac:dyDescent="0.4">
      <c r="A784" s="62">
        <v>45270</v>
      </c>
      <c r="B784" s="32" t="s">
        <v>2657</v>
      </c>
      <c r="C784" s="18" t="s">
        <v>2610</v>
      </c>
      <c r="D784" s="63" t="s">
        <v>426</v>
      </c>
      <c r="E784" s="50" t="s">
        <v>2658</v>
      </c>
      <c r="F784" s="57">
        <v>1700</v>
      </c>
      <c r="G784" s="76"/>
      <c r="H784" s="57">
        <f t="shared" si="45"/>
        <v>1700</v>
      </c>
      <c r="I784" s="50">
        <v>1</v>
      </c>
      <c r="J784" s="57">
        <f t="shared" si="48"/>
        <v>1700</v>
      </c>
      <c r="K784" s="58">
        <f t="shared" si="49"/>
        <v>1870</v>
      </c>
      <c r="L784" s="18" t="s">
        <v>25</v>
      </c>
      <c r="M784" s="50"/>
      <c r="N784" s="50"/>
    </row>
    <row r="785" spans="1:15" s="183" customFormat="1" ht="21.75" hidden="1" customHeight="1" x14ac:dyDescent="0.4">
      <c r="A785" s="174">
        <v>45270</v>
      </c>
      <c r="B785" s="175" t="s">
        <v>2657</v>
      </c>
      <c r="C785" s="176" t="s">
        <v>2726</v>
      </c>
      <c r="D785" s="177" t="s">
        <v>2726</v>
      </c>
      <c r="E785" s="173" t="s">
        <v>2727</v>
      </c>
      <c r="F785" s="178"/>
      <c r="G785" s="179"/>
      <c r="H785" s="178"/>
      <c r="I785" s="173"/>
      <c r="J785" s="178"/>
      <c r="K785" s="180">
        <v>-500</v>
      </c>
      <c r="L785" s="181" t="s">
        <v>20</v>
      </c>
      <c r="M785" s="173" t="s">
        <v>2735</v>
      </c>
      <c r="N785" s="173"/>
      <c r="O785" s="182"/>
    </row>
    <row r="786" spans="1:15" ht="21.75" hidden="1" customHeight="1" x14ac:dyDescent="0.4">
      <c r="A786" s="62">
        <v>45275</v>
      </c>
      <c r="B786" s="32" t="s">
        <v>2648</v>
      </c>
      <c r="C786" s="18" t="s">
        <v>2610</v>
      </c>
      <c r="D786" s="63" t="s">
        <v>332</v>
      </c>
      <c r="E786" s="50" t="s">
        <v>2619</v>
      </c>
      <c r="F786" s="57">
        <v>1090</v>
      </c>
      <c r="G786" s="76"/>
      <c r="H786" s="57">
        <f t="shared" si="45"/>
        <v>1090</v>
      </c>
      <c r="I786" s="50">
        <v>1</v>
      </c>
      <c r="J786" s="57">
        <f t="shared" si="48"/>
        <v>1090</v>
      </c>
      <c r="K786" s="58">
        <f t="shared" si="49"/>
        <v>1199</v>
      </c>
      <c r="L786" s="18" t="s">
        <v>25</v>
      </c>
      <c r="M786" s="50"/>
      <c r="N786" s="50" t="s">
        <v>2679</v>
      </c>
    </row>
    <row r="787" spans="1:15" ht="21.75" hidden="1" customHeight="1" x14ac:dyDescent="0.4">
      <c r="A787" s="62">
        <v>45276</v>
      </c>
      <c r="B787" s="32" t="s">
        <v>582</v>
      </c>
      <c r="C787" s="18" t="s">
        <v>2610</v>
      </c>
      <c r="D787" s="63" t="s">
        <v>332</v>
      </c>
      <c r="E787" s="50" t="s">
        <v>2659</v>
      </c>
      <c r="F787" s="57">
        <v>1090</v>
      </c>
      <c r="G787" s="76">
        <v>-109</v>
      </c>
      <c r="H787" s="57">
        <f t="shared" si="45"/>
        <v>981</v>
      </c>
      <c r="I787" s="50">
        <v>2</v>
      </c>
      <c r="J787" s="57">
        <f t="shared" si="48"/>
        <v>1962</v>
      </c>
      <c r="K787" s="58">
        <f t="shared" si="49"/>
        <v>2158</v>
      </c>
      <c r="L787" s="18" t="s">
        <v>2613</v>
      </c>
      <c r="M787" s="50"/>
      <c r="N787" s="50"/>
    </row>
    <row r="788" spans="1:15" ht="21.75" hidden="1" customHeight="1" x14ac:dyDescent="0.4">
      <c r="A788" s="62">
        <v>45277</v>
      </c>
      <c r="B788" s="32" t="s">
        <v>2660</v>
      </c>
      <c r="C788" s="18" t="s">
        <v>2610</v>
      </c>
      <c r="D788" s="63" t="s">
        <v>292</v>
      </c>
      <c r="E788" s="50" t="s">
        <v>2661</v>
      </c>
      <c r="F788" s="57">
        <v>5500</v>
      </c>
      <c r="G788" s="76"/>
      <c r="H788" s="57">
        <f t="shared" si="45"/>
        <v>5500</v>
      </c>
      <c r="I788" s="50">
        <v>2</v>
      </c>
      <c r="J788" s="57">
        <f t="shared" si="48"/>
        <v>11000</v>
      </c>
      <c r="K788" s="58">
        <f t="shared" si="49"/>
        <v>12100</v>
      </c>
      <c r="L788" s="18" t="s">
        <v>25</v>
      </c>
      <c r="M788" s="50"/>
      <c r="N788" s="50"/>
    </row>
    <row r="789" spans="1:15" ht="21.75" hidden="1" customHeight="1" x14ac:dyDescent="0.4">
      <c r="A789" s="62">
        <v>45277</v>
      </c>
      <c r="B789" s="32" t="s">
        <v>2663</v>
      </c>
      <c r="C789" s="18" t="s">
        <v>22</v>
      </c>
      <c r="D789" s="63" t="s">
        <v>1496</v>
      </c>
      <c r="E789" s="50" t="s">
        <v>369</v>
      </c>
      <c r="F789" s="57">
        <v>3000</v>
      </c>
      <c r="G789" s="76"/>
      <c r="H789" s="57">
        <f t="shared" si="45"/>
        <v>3000</v>
      </c>
      <c r="I789" s="50">
        <v>1</v>
      </c>
      <c r="J789" s="57">
        <f t="shared" si="48"/>
        <v>3000</v>
      </c>
      <c r="K789" s="58">
        <f t="shared" si="49"/>
        <v>3300</v>
      </c>
      <c r="L789" s="18" t="s">
        <v>2613</v>
      </c>
      <c r="M789" s="50"/>
      <c r="N789" s="50"/>
    </row>
    <row r="790" spans="1:15" ht="21.75" hidden="1" customHeight="1" x14ac:dyDescent="0.4">
      <c r="A790" s="62">
        <v>45278</v>
      </c>
      <c r="B790" s="32" t="s">
        <v>2662</v>
      </c>
      <c r="C790" s="18" t="s">
        <v>22</v>
      </c>
      <c r="D790" s="63" t="s">
        <v>1496</v>
      </c>
      <c r="E790" s="50" t="s">
        <v>369</v>
      </c>
      <c r="F790" s="57">
        <v>3000</v>
      </c>
      <c r="G790" s="76"/>
      <c r="H790" s="57">
        <f t="shared" si="45"/>
        <v>3000</v>
      </c>
      <c r="I790" s="50">
        <v>1</v>
      </c>
      <c r="J790" s="57">
        <f t="shared" si="48"/>
        <v>3000</v>
      </c>
      <c r="K790" s="58">
        <f t="shared" si="49"/>
        <v>3300</v>
      </c>
      <c r="L790" s="18" t="s">
        <v>2613</v>
      </c>
      <c r="M790" s="173" t="s">
        <v>2736</v>
      </c>
      <c r="N790" s="50"/>
    </row>
    <row r="791" spans="1:15" ht="21.75" hidden="1" customHeight="1" x14ac:dyDescent="0.4">
      <c r="A791" s="62">
        <v>45278</v>
      </c>
      <c r="B791" s="32" t="s">
        <v>2662</v>
      </c>
      <c r="C791" s="18" t="s">
        <v>27</v>
      </c>
      <c r="D791" s="63" t="s">
        <v>28</v>
      </c>
      <c r="E791" s="50" t="s">
        <v>318</v>
      </c>
      <c r="F791" s="57">
        <v>15000</v>
      </c>
      <c r="G791" s="76"/>
      <c r="H791" s="57">
        <f t="shared" si="45"/>
        <v>15000</v>
      </c>
      <c r="I791" s="50">
        <v>1</v>
      </c>
      <c r="J791" s="57">
        <f t="shared" si="48"/>
        <v>15000</v>
      </c>
      <c r="K791" s="58">
        <f t="shared" si="49"/>
        <v>16500</v>
      </c>
      <c r="L791" s="18" t="s">
        <v>25</v>
      </c>
      <c r="M791" s="50"/>
      <c r="N791" s="50"/>
    </row>
    <row r="792" spans="1:15" ht="21.75" hidden="1" customHeight="1" x14ac:dyDescent="0.4">
      <c r="A792" s="62">
        <v>45278</v>
      </c>
      <c r="B792" s="32" t="s">
        <v>2662</v>
      </c>
      <c r="C792" s="18" t="s">
        <v>27</v>
      </c>
      <c r="D792" s="63" t="s">
        <v>28</v>
      </c>
      <c r="E792" s="50" t="s">
        <v>1897</v>
      </c>
      <c r="F792" s="57">
        <v>17500</v>
      </c>
      <c r="G792" s="76"/>
      <c r="H792" s="57">
        <f t="shared" si="45"/>
        <v>17500</v>
      </c>
      <c r="I792" s="50">
        <v>1</v>
      </c>
      <c r="J792" s="57">
        <f t="shared" si="48"/>
        <v>17500</v>
      </c>
      <c r="K792" s="58">
        <f t="shared" si="49"/>
        <v>19250</v>
      </c>
      <c r="L792" s="18" t="s">
        <v>25</v>
      </c>
      <c r="M792" s="50"/>
      <c r="N792" s="50"/>
    </row>
    <row r="793" spans="1:15" ht="21.75" hidden="1" customHeight="1" x14ac:dyDescent="0.4">
      <c r="A793" s="62">
        <v>45278</v>
      </c>
      <c r="B793" s="32" t="s">
        <v>2662</v>
      </c>
      <c r="C793" s="18" t="s">
        <v>27</v>
      </c>
      <c r="D793" s="63" t="s">
        <v>28</v>
      </c>
      <c r="E793" s="50" t="s">
        <v>2664</v>
      </c>
      <c r="F793" s="57">
        <v>4370</v>
      </c>
      <c r="G793" s="76"/>
      <c r="H793" s="57">
        <f t="shared" si="45"/>
        <v>4370</v>
      </c>
      <c r="I793" s="50">
        <v>1</v>
      </c>
      <c r="J793" s="57">
        <f t="shared" si="48"/>
        <v>4370</v>
      </c>
      <c r="K793" s="58">
        <f t="shared" si="49"/>
        <v>4807</v>
      </c>
      <c r="L793" s="18" t="s">
        <v>25</v>
      </c>
      <c r="M793" s="50"/>
      <c r="N793" s="50"/>
    </row>
    <row r="794" spans="1:15" ht="21.75" hidden="1" customHeight="1" x14ac:dyDescent="0.4">
      <c r="A794" s="62">
        <v>45278</v>
      </c>
      <c r="B794" s="32" t="s">
        <v>2665</v>
      </c>
      <c r="C794" s="18" t="s">
        <v>2629</v>
      </c>
      <c r="D794" s="63" t="s">
        <v>2630</v>
      </c>
      <c r="E794" s="50" t="s">
        <v>821</v>
      </c>
      <c r="F794" s="57">
        <v>1000</v>
      </c>
      <c r="G794" s="76"/>
      <c r="H794" s="57">
        <f t="shared" si="45"/>
        <v>1000</v>
      </c>
      <c r="I794" s="50">
        <v>1</v>
      </c>
      <c r="J794" s="57">
        <f t="shared" si="48"/>
        <v>1000</v>
      </c>
      <c r="K794" s="58">
        <f t="shared" si="49"/>
        <v>1100</v>
      </c>
      <c r="L794" s="18" t="s">
        <v>2613</v>
      </c>
      <c r="M794" s="50"/>
      <c r="N794" s="50"/>
    </row>
    <row r="795" spans="1:15" ht="21.75" hidden="1" customHeight="1" x14ac:dyDescent="0.4">
      <c r="A795" s="62">
        <v>45278</v>
      </c>
      <c r="B795" s="32" t="s">
        <v>2666</v>
      </c>
      <c r="C795" s="18" t="s">
        <v>22</v>
      </c>
      <c r="D795" s="63" t="s">
        <v>1496</v>
      </c>
      <c r="E795" s="50" t="s">
        <v>369</v>
      </c>
      <c r="F795" s="57">
        <v>3000</v>
      </c>
      <c r="G795" s="76"/>
      <c r="H795" s="57">
        <f t="shared" si="45"/>
        <v>3000</v>
      </c>
      <c r="I795" s="50">
        <v>1</v>
      </c>
      <c r="J795" s="57">
        <f t="shared" si="48"/>
        <v>3000</v>
      </c>
      <c r="K795" s="58">
        <f t="shared" si="49"/>
        <v>3300</v>
      </c>
      <c r="L795" s="18" t="s">
        <v>2613</v>
      </c>
      <c r="M795" s="50"/>
      <c r="N795" s="50"/>
    </row>
    <row r="796" spans="1:15" ht="21.75" hidden="1" customHeight="1" x14ac:dyDescent="0.4">
      <c r="A796" s="62">
        <v>45278</v>
      </c>
      <c r="B796" s="32" t="s">
        <v>2667</v>
      </c>
      <c r="C796" s="18" t="s">
        <v>2653</v>
      </c>
      <c r="D796" s="63" t="s">
        <v>2654</v>
      </c>
      <c r="E796" s="50" t="s">
        <v>2656</v>
      </c>
      <c r="F796" s="57">
        <v>2000</v>
      </c>
      <c r="G796" s="76"/>
      <c r="H796" s="57">
        <f t="shared" si="45"/>
        <v>2000</v>
      </c>
      <c r="I796" s="50">
        <v>1</v>
      </c>
      <c r="J796" s="57">
        <f t="shared" si="48"/>
        <v>2000</v>
      </c>
      <c r="K796" s="58">
        <f t="shared" si="49"/>
        <v>2200</v>
      </c>
      <c r="L796" s="18" t="s">
        <v>2613</v>
      </c>
      <c r="M796" s="50"/>
      <c r="N796" s="50"/>
    </row>
    <row r="797" spans="1:15" s="183" customFormat="1" ht="21.75" hidden="1" customHeight="1" x14ac:dyDescent="0.4">
      <c r="A797" s="174">
        <v>45278</v>
      </c>
      <c r="B797" s="175" t="s">
        <v>2731</v>
      </c>
      <c r="C797" s="176" t="s">
        <v>2726</v>
      </c>
      <c r="D797" s="177" t="s">
        <v>28</v>
      </c>
      <c r="E797" s="173" t="s">
        <v>2733</v>
      </c>
      <c r="F797" s="178">
        <v>-17500</v>
      </c>
      <c r="G797" s="179"/>
      <c r="H797" s="178">
        <f t="shared" si="45"/>
        <v>-17500</v>
      </c>
      <c r="I797" s="173">
        <v>1</v>
      </c>
      <c r="J797" s="178">
        <f t="shared" si="48"/>
        <v>-17500</v>
      </c>
      <c r="K797" s="180">
        <f t="shared" si="49"/>
        <v>-19250</v>
      </c>
      <c r="L797" s="181" t="s">
        <v>2732</v>
      </c>
      <c r="M797" s="173"/>
      <c r="N797" s="173"/>
      <c r="O797" s="182"/>
    </row>
    <row r="798" spans="1:15" s="183" customFormat="1" ht="21.75" hidden="1" customHeight="1" x14ac:dyDescent="0.4">
      <c r="A798" s="174">
        <v>45280</v>
      </c>
      <c r="B798" s="175" t="s">
        <v>1541</v>
      </c>
      <c r="C798" s="181" t="s">
        <v>2610</v>
      </c>
      <c r="D798" s="177" t="s">
        <v>332</v>
      </c>
      <c r="E798" s="173" t="s">
        <v>2261</v>
      </c>
      <c r="F798" s="178">
        <v>2400</v>
      </c>
      <c r="G798" s="179">
        <v>-240</v>
      </c>
      <c r="H798" s="178">
        <f t="shared" si="45"/>
        <v>2160</v>
      </c>
      <c r="I798" s="173">
        <v>1</v>
      </c>
      <c r="J798" s="178">
        <f t="shared" si="48"/>
        <v>2160</v>
      </c>
      <c r="K798" s="180">
        <f t="shared" si="49"/>
        <v>2376</v>
      </c>
      <c r="L798" s="181" t="s">
        <v>2613</v>
      </c>
      <c r="M798" s="173"/>
      <c r="N798" s="173"/>
      <c r="O798" s="182"/>
    </row>
    <row r="799" spans="1:15" s="183" customFormat="1" ht="21.75" hidden="1" customHeight="1" x14ac:dyDescent="0.4">
      <c r="A799" s="174">
        <v>45281</v>
      </c>
      <c r="B799" s="175" t="s">
        <v>2634</v>
      </c>
      <c r="C799" s="181" t="s">
        <v>27</v>
      </c>
      <c r="D799" s="177" t="s">
        <v>28</v>
      </c>
      <c r="E799" s="173" t="s">
        <v>73</v>
      </c>
      <c r="F799" s="178">
        <v>2000</v>
      </c>
      <c r="G799" s="179"/>
      <c r="H799" s="178">
        <f t="shared" si="45"/>
        <v>2000</v>
      </c>
      <c r="I799" s="173">
        <v>1</v>
      </c>
      <c r="J799" s="178">
        <f t="shared" si="48"/>
        <v>2000</v>
      </c>
      <c r="K799" s="180">
        <f t="shared" si="49"/>
        <v>2200</v>
      </c>
      <c r="L799" s="181" t="s">
        <v>2613</v>
      </c>
      <c r="M799" s="173"/>
      <c r="N799" s="173"/>
      <c r="O799" s="182"/>
    </row>
    <row r="800" spans="1:15" ht="21.75" hidden="1" customHeight="1" x14ac:dyDescent="0.4">
      <c r="A800" s="62">
        <v>45282</v>
      </c>
      <c r="B800" s="32" t="s">
        <v>2668</v>
      </c>
      <c r="C800" s="18" t="s">
        <v>22</v>
      </c>
      <c r="D800" s="63" t="s">
        <v>23</v>
      </c>
      <c r="E800" s="50" t="s">
        <v>1941</v>
      </c>
      <c r="F800" s="57">
        <v>15000</v>
      </c>
      <c r="G800" s="76"/>
      <c r="H800" s="57">
        <f t="shared" si="45"/>
        <v>15000</v>
      </c>
      <c r="I800" s="50">
        <v>1</v>
      </c>
      <c r="J800" s="57">
        <f t="shared" si="48"/>
        <v>15000</v>
      </c>
      <c r="K800" s="58">
        <f t="shared" si="49"/>
        <v>16500</v>
      </c>
      <c r="L800" s="18" t="s">
        <v>34</v>
      </c>
      <c r="M800" s="50"/>
      <c r="N800" s="50"/>
    </row>
    <row r="801" spans="1:15" ht="21.75" hidden="1" customHeight="1" x14ac:dyDescent="0.4">
      <c r="A801" s="62">
        <v>45282</v>
      </c>
      <c r="B801" s="32" t="s">
        <v>2668</v>
      </c>
      <c r="C801" s="18" t="s">
        <v>2610</v>
      </c>
      <c r="D801" s="63" t="s">
        <v>328</v>
      </c>
      <c r="E801" s="50" t="s">
        <v>2669</v>
      </c>
      <c r="F801" s="57">
        <v>72000</v>
      </c>
      <c r="G801" s="76">
        <v>-14400</v>
      </c>
      <c r="H801" s="57">
        <f t="shared" si="45"/>
        <v>57600</v>
      </c>
      <c r="I801" s="50">
        <v>1</v>
      </c>
      <c r="J801" s="57">
        <f t="shared" si="48"/>
        <v>57600</v>
      </c>
      <c r="K801" s="58">
        <f t="shared" si="49"/>
        <v>63360</v>
      </c>
      <c r="L801" s="18" t="s">
        <v>34</v>
      </c>
      <c r="M801" s="50"/>
      <c r="N801" s="50" t="s">
        <v>2680</v>
      </c>
    </row>
    <row r="802" spans="1:15" ht="21.75" hidden="1" customHeight="1" x14ac:dyDescent="0.4">
      <c r="A802" s="62">
        <v>45282</v>
      </c>
      <c r="B802" s="32" t="s">
        <v>2668</v>
      </c>
      <c r="C802" s="18" t="s">
        <v>2610</v>
      </c>
      <c r="D802" s="63" t="s">
        <v>455</v>
      </c>
      <c r="E802" s="50" t="s">
        <v>2659</v>
      </c>
      <c r="F802" s="57">
        <v>1090</v>
      </c>
      <c r="G802" s="76"/>
      <c r="H802" s="57">
        <f t="shared" si="45"/>
        <v>1090</v>
      </c>
      <c r="I802" s="50">
        <v>1</v>
      </c>
      <c r="J802" s="57">
        <f t="shared" si="48"/>
        <v>1090</v>
      </c>
      <c r="K802" s="58">
        <f t="shared" si="49"/>
        <v>1199</v>
      </c>
      <c r="L802" s="18" t="s">
        <v>34</v>
      </c>
      <c r="M802" s="50"/>
      <c r="N802" s="50" t="s">
        <v>2680</v>
      </c>
    </row>
    <row r="803" spans="1:15" ht="21.75" hidden="1" customHeight="1" x14ac:dyDescent="0.4">
      <c r="A803" s="62">
        <v>45282</v>
      </c>
      <c r="B803" s="32" t="s">
        <v>2670</v>
      </c>
      <c r="C803" s="18" t="s">
        <v>22</v>
      </c>
      <c r="D803" s="63" t="s">
        <v>1496</v>
      </c>
      <c r="E803" s="50" t="s">
        <v>2671</v>
      </c>
      <c r="F803" s="57">
        <v>3000</v>
      </c>
      <c r="G803" s="76"/>
      <c r="H803" s="57">
        <f t="shared" si="45"/>
        <v>3000</v>
      </c>
      <c r="I803" s="50">
        <v>1</v>
      </c>
      <c r="J803" s="57">
        <f t="shared" si="48"/>
        <v>3000</v>
      </c>
      <c r="K803" s="58">
        <f t="shared" si="49"/>
        <v>3300</v>
      </c>
      <c r="L803" s="18" t="s">
        <v>25</v>
      </c>
      <c r="M803" s="50"/>
      <c r="N803" s="50"/>
    </row>
    <row r="804" spans="1:15" ht="21.75" hidden="1" customHeight="1" x14ac:dyDescent="0.4">
      <c r="A804" s="62">
        <v>45282</v>
      </c>
      <c r="B804" s="32" t="s">
        <v>582</v>
      </c>
      <c r="C804" s="18" t="s">
        <v>2610</v>
      </c>
      <c r="D804" s="63" t="s">
        <v>455</v>
      </c>
      <c r="E804" s="50" t="s">
        <v>2659</v>
      </c>
      <c r="F804" s="57">
        <v>1090</v>
      </c>
      <c r="G804" s="76">
        <v>-109</v>
      </c>
      <c r="H804" s="57">
        <f t="shared" si="45"/>
        <v>981</v>
      </c>
      <c r="I804" s="50">
        <v>1</v>
      </c>
      <c r="J804" s="57">
        <f t="shared" si="48"/>
        <v>981</v>
      </c>
      <c r="K804" s="58">
        <f t="shared" si="49"/>
        <v>1079</v>
      </c>
      <c r="L804" s="18" t="s">
        <v>2613</v>
      </c>
      <c r="M804" s="50"/>
      <c r="N804" s="50"/>
    </row>
    <row r="805" spans="1:15" ht="21.75" hidden="1" customHeight="1" x14ac:dyDescent="0.4">
      <c r="A805" s="62">
        <v>45283</v>
      </c>
      <c r="B805" s="32" t="s">
        <v>2672</v>
      </c>
      <c r="C805" s="18" t="s">
        <v>2610</v>
      </c>
      <c r="D805" s="63" t="s">
        <v>2611</v>
      </c>
      <c r="E805" s="50" t="s">
        <v>2673</v>
      </c>
      <c r="F805" s="57">
        <v>1700</v>
      </c>
      <c r="G805" s="76">
        <v>-660</v>
      </c>
      <c r="H805" s="57">
        <f t="shared" si="45"/>
        <v>1040</v>
      </c>
      <c r="I805" s="50">
        <v>2</v>
      </c>
      <c r="J805" s="57">
        <f t="shared" si="48"/>
        <v>2080</v>
      </c>
      <c r="K805" s="58">
        <f t="shared" si="49"/>
        <v>2288</v>
      </c>
      <c r="L805" s="18" t="s">
        <v>25</v>
      </c>
      <c r="M805" s="50"/>
      <c r="N805" s="50"/>
    </row>
    <row r="806" spans="1:15" ht="21.75" hidden="1" customHeight="1" x14ac:dyDescent="0.4">
      <c r="A806" s="62">
        <v>45283</v>
      </c>
      <c r="B806" s="32" t="s">
        <v>2674</v>
      </c>
      <c r="C806" s="18" t="s">
        <v>2610</v>
      </c>
      <c r="D806" s="63" t="s">
        <v>328</v>
      </c>
      <c r="E806" s="50" t="s">
        <v>2675</v>
      </c>
      <c r="F806" s="57">
        <v>40000</v>
      </c>
      <c r="G806" s="76">
        <v>-12000</v>
      </c>
      <c r="H806" s="57">
        <f t="shared" si="45"/>
        <v>28000</v>
      </c>
      <c r="I806" s="50">
        <v>1</v>
      </c>
      <c r="J806" s="57">
        <f t="shared" si="48"/>
        <v>28000</v>
      </c>
      <c r="K806" s="58">
        <f t="shared" si="49"/>
        <v>30800</v>
      </c>
      <c r="L806" s="18" t="s">
        <v>2728</v>
      </c>
      <c r="M806" s="184" t="s">
        <v>2734</v>
      </c>
      <c r="N806" s="50" t="s">
        <v>2681</v>
      </c>
    </row>
    <row r="807" spans="1:15" ht="21.75" hidden="1" customHeight="1" x14ac:dyDescent="0.4">
      <c r="A807" s="62">
        <v>45283</v>
      </c>
      <c r="B807" s="32" t="s">
        <v>2676</v>
      </c>
      <c r="C807" s="18" t="s">
        <v>22</v>
      </c>
      <c r="D807" s="63" t="s">
        <v>1496</v>
      </c>
      <c r="E807" s="50" t="s">
        <v>369</v>
      </c>
      <c r="F807" s="57">
        <v>3000</v>
      </c>
      <c r="G807" s="76">
        <v>-1000</v>
      </c>
      <c r="H807" s="57">
        <f t="shared" ref="H807:H870" si="50">SUM(F807:G807)</f>
        <v>2000</v>
      </c>
      <c r="I807" s="50">
        <v>1</v>
      </c>
      <c r="J807" s="57">
        <f t="shared" si="48"/>
        <v>2000</v>
      </c>
      <c r="K807" s="58">
        <f t="shared" si="49"/>
        <v>2200</v>
      </c>
      <c r="L807" s="18" t="s">
        <v>25</v>
      </c>
      <c r="M807" s="50" t="s">
        <v>1913</v>
      </c>
      <c r="N807" s="50"/>
    </row>
    <row r="808" spans="1:15" s="183" customFormat="1" ht="21.75" hidden="1" customHeight="1" x14ac:dyDescent="0.4">
      <c r="A808" s="174">
        <v>45283</v>
      </c>
      <c r="B808" s="175" t="s">
        <v>2677</v>
      </c>
      <c r="C808" s="181" t="s">
        <v>22</v>
      </c>
      <c r="D808" s="177" t="s">
        <v>1496</v>
      </c>
      <c r="E808" s="173" t="s">
        <v>369</v>
      </c>
      <c r="F808" s="178">
        <v>3000</v>
      </c>
      <c r="G808" s="179"/>
      <c r="H808" s="178">
        <f t="shared" si="50"/>
        <v>3000</v>
      </c>
      <c r="I808" s="173">
        <v>1</v>
      </c>
      <c r="J808" s="178">
        <f t="shared" si="48"/>
        <v>3000</v>
      </c>
      <c r="K808" s="180">
        <f t="shared" si="49"/>
        <v>3300</v>
      </c>
      <c r="L808" s="181" t="s">
        <v>2713</v>
      </c>
      <c r="M808" s="173" t="s">
        <v>2515</v>
      </c>
      <c r="N808" s="184" t="s">
        <v>2737</v>
      </c>
      <c r="O808" s="182"/>
    </row>
    <row r="809" spans="1:15" ht="21.75" hidden="1" customHeight="1" x14ac:dyDescent="0.4">
      <c r="A809" s="62">
        <v>45284</v>
      </c>
      <c r="B809" s="32" t="s">
        <v>678</v>
      </c>
      <c r="C809" s="18" t="s">
        <v>2457</v>
      </c>
      <c r="D809" s="63" t="s">
        <v>1615</v>
      </c>
      <c r="E809" s="50" t="s">
        <v>2678</v>
      </c>
      <c r="F809" s="57">
        <v>15000</v>
      </c>
      <c r="G809" s="76"/>
      <c r="H809" s="57">
        <f t="shared" si="50"/>
        <v>15000</v>
      </c>
      <c r="I809" s="50">
        <v>1</v>
      </c>
      <c r="J809" s="57">
        <f t="shared" si="48"/>
        <v>15000</v>
      </c>
      <c r="K809" s="58">
        <f t="shared" si="49"/>
        <v>16500</v>
      </c>
      <c r="L809" s="18" t="s">
        <v>2613</v>
      </c>
      <c r="M809" s="50"/>
      <c r="N809" s="50"/>
    </row>
    <row r="810" spans="1:15" ht="21.75" hidden="1" customHeight="1" x14ac:dyDescent="0.4">
      <c r="A810" s="62">
        <v>45285</v>
      </c>
      <c r="B810" s="32" t="s">
        <v>2682</v>
      </c>
      <c r="C810" s="18" t="s">
        <v>27</v>
      </c>
      <c r="D810" s="63" t="s">
        <v>28</v>
      </c>
      <c r="E810" s="50" t="s">
        <v>2683</v>
      </c>
      <c r="F810" s="57">
        <v>2000</v>
      </c>
      <c r="G810" s="76"/>
      <c r="H810" s="57">
        <f t="shared" si="50"/>
        <v>2000</v>
      </c>
      <c r="I810" s="50">
        <v>3</v>
      </c>
      <c r="J810" s="57">
        <f t="shared" si="48"/>
        <v>6000</v>
      </c>
      <c r="K810" s="58">
        <f t="shared" si="49"/>
        <v>6600</v>
      </c>
      <c r="L810" s="18" t="s">
        <v>2684</v>
      </c>
      <c r="M810" s="50"/>
      <c r="N810" s="50"/>
    </row>
    <row r="811" spans="1:15" ht="21.75" hidden="1" customHeight="1" x14ac:dyDescent="0.4">
      <c r="A811" s="62">
        <v>45285</v>
      </c>
      <c r="B811" s="32" t="s">
        <v>148</v>
      </c>
      <c r="C811" s="18" t="s">
        <v>27</v>
      </c>
      <c r="D811" s="63" t="s">
        <v>28</v>
      </c>
      <c r="E811" s="50" t="s">
        <v>1897</v>
      </c>
      <c r="F811" s="57">
        <v>17500</v>
      </c>
      <c r="G811" s="76"/>
      <c r="H811" s="57">
        <f t="shared" si="50"/>
        <v>17500</v>
      </c>
      <c r="I811" s="50">
        <v>1</v>
      </c>
      <c r="J811" s="57">
        <f t="shared" si="48"/>
        <v>17500</v>
      </c>
      <c r="K811" s="58">
        <f t="shared" si="49"/>
        <v>19250</v>
      </c>
      <c r="L811" s="18" t="s">
        <v>2684</v>
      </c>
      <c r="M811" s="50"/>
      <c r="N811" s="50"/>
    </row>
    <row r="812" spans="1:15" ht="21.75" hidden="1" customHeight="1" x14ac:dyDescent="0.4">
      <c r="A812" s="62">
        <v>45286</v>
      </c>
      <c r="B812" s="32" t="s">
        <v>1910</v>
      </c>
      <c r="C812" s="18" t="s">
        <v>17</v>
      </c>
      <c r="D812" s="63" t="s">
        <v>332</v>
      </c>
      <c r="E812" s="50" t="s">
        <v>2685</v>
      </c>
      <c r="F812" s="57">
        <v>1600</v>
      </c>
      <c r="G812" s="76">
        <v>-160</v>
      </c>
      <c r="H812" s="57">
        <f t="shared" si="50"/>
        <v>1440</v>
      </c>
      <c r="I812" s="50">
        <v>13</v>
      </c>
      <c r="J812" s="57">
        <f t="shared" si="48"/>
        <v>18720</v>
      </c>
      <c r="K812" s="495">
        <v>308142</v>
      </c>
      <c r="L812" s="495" t="s">
        <v>2729</v>
      </c>
      <c r="M812" s="498" t="s">
        <v>2730</v>
      </c>
      <c r="N812" s="50" t="s">
        <v>2679</v>
      </c>
    </row>
    <row r="813" spans="1:15" ht="21.75" hidden="1" customHeight="1" x14ac:dyDescent="0.4">
      <c r="A813" s="62">
        <v>45286</v>
      </c>
      <c r="B813" s="32" t="s">
        <v>1910</v>
      </c>
      <c r="C813" s="18" t="s">
        <v>17</v>
      </c>
      <c r="D813" s="63" t="s">
        <v>2686</v>
      </c>
      <c r="E813" s="50" t="s">
        <v>2687</v>
      </c>
      <c r="F813" s="57">
        <v>75000</v>
      </c>
      <c r="G813" s="76">
        <v>-60000</v>
      </c>
      <c r="H813" s="57">
        <f t="shared" si="50"/>
        <v>15000</v>
      </c>
      <c r="I813" s="50">
        <v>1</v>
      </c>
      <c r="J813" s="57">
        <f t="shared" si="48"/>
        <v>15000</v>
      </c>
      <c r="K813" s="496"/>
      <c r="L813" s="496"/>
      <c r="M813" s="499"/>
      <c r="N813" s="50" t="s">
        <v>2679</v>
      </c>
    </row>
    <row r="814" spans="1:15" ht="21.75" hidden="1" customHeight="1" x14ac:dyDescent="0.4">
      <c r="A814" s="62">
        <v>45286</v>
      </c>
      <c r="B814" s="32" t="s">
        <v>1910</v>
      </c>
      <c r="C814" s="18" t="s">
        <v>17</v>
      </c>
      <c r="D814" s="63" t="s">
        <v>2686</v>
      </c>
      <c r="E814" s="50" t="s">
        <v>2688</v>
      </c>
      <c r="F814" s="57">
        <v>52000</v>
      </c>
      <c r="G814" s="76">
        <v>-10400</v>
      </c>
      <c r="H814" s="57">
        <f t="shared" si="50"/>
        <v>41600</v>
      </c>
      <c r="I814" s="50">
        <v>1</v>
      </c>
      <c r="J814" s="57">
        <f t="shared" si="48"/>
        <v>41600</v>
      </c>
      <c r="K814" s="496"/>
      <c r="L814" s="496"/>
      <c r="M814" s="499"/>
      <c r="N814" s="50" t="s">
        <v>2679</v>
      </c>
    </row>
    <row r="815" spans="1:15" ht="21.75" hidden="1" customHeight="1" x14ac:dyDescent="0.4">
      <c r="A815" s="62">
        <v>45286</v>
      </c>
      <c r="B815" s="32" t="s">
        <v>1910</v>
      </c>
      <c r="C815" s="18" t="s">
        <v>17</v>
      </c>
      <c r="D815" s="63" t="s">
        <v>2686</v>
      </c>
      <c r="E815" s="50" t="s">
        <v>2689</v>
      </c>
      <c r="F815" s="57">
        <v>50000</v>
      </c>
      <c r="G815" s="76">
        <v>-10000</v>
      </c>
      <c r="H815" s="57">
        <f t="shared" si="50"/>
        <v>40000</v>
      </c>
      <c r="I815" s="50">
        <v>1</v>
      </c>
      <c r="J815" s="57">
        <f t="shared" si="48"/>
        <v>40000</v>
      </c>
      <c r="K815" s="496"/>
      <c r="L815" s="496"/>
      <c r="M815" s="499"/>
      <c r="N815" s="50" t="s">
        <v>2679</v>
      </c>
    </row>
    <row r="816" spans="1:15" ht="21.75" hidden="1" customHeight="1" x14ac:dyDescent="0.4">
      <c r="A816" s="62">
        <v>45286</v>
      </c>
      <c r="B816" s="32" t="s">
        <v>1910</v>
      </c>
      <c r="C816" s="18" t="s">
        <v>17</v>
      </c>
      <c r="D816" s="63" t="s">
        <v>2686</v>
      </c>
      <c r="E816" s="50" t="s">
        <v>2690</v>
      </c>
      <c r="F816" s="57">
        <v>50000</v>
      </c>
      <c r="G816" s="76">
        <v>-10000</v>
      </c>
      <c r="H816" s="57">
        <f t="shared" si="50"/>
        <v>40000</v>
      </c>
      <c r="I816" s="50">
        <v>1</v>
      </c>
      <c r="J816" s="57">
        <f t="shared" si="48"/>
        <v>40000</v>
      </c>
      <c r="K816" s="496"/>
      <c r="L816" s="496"/>
      <c r="M816" s="499"/>
      <c r="N816" s="50" t="s">
        <v>2679</v>
      </c>
    </row>
    <row r="817" spans="1:14" ht="21.75" customHeight="1" x14ac:dyDescent="0.4">
      <c r="A817" s="62">
        <v>45286</v>
      </c>
      <c r="B817" s="32" t="s">
        <v>1910</v>
      </c>
      <c r="C817" s="18" t="s">
        <v>17</v>
      </c>
      <c r="D817" s="63" t="s">
        <v>2694</v>
      </c>
      <c r="E817" s="50" t="s">
        <v>2691</v>
      </c>
      <c r="F817" s="57">
        <v>3000</v>
      </c>
      <c r="G817" s="76">
        <v>-300</v>
      </c>
      <c r="H817" s="57">
        <f t="shared" si="50"/>
        <v>2700</v>
      </c>
      <c r="I817" s="50">
        <v>1</v>
      </c>
      <c r="J817" s="57">
        <f t="shared" si="48"/>
        <v>2700</v>
      </c>
      <c r="K817" s="496"/>
      <c r="L817" s="496"/>
      <c r="M817" s="499"/>
      <c r="N817" s="50" t="s">
        <v>2679</v>
      </c>
    </row>
    <row r="818" spans="1:14" ht="21.75" customHeight="1" x14ac:dyDescent="0.4">
      <c r="A818" s="62">
        <v>45286</v>
      </c>
      <c r="B818" s="32" t="s">
        <v>1910</v>
      </c>
      <c r="C818" s="18" t="s">
        <v>17</v>
      </c>
      <c r="D818" s="63" t="s">
        <v>2694</v>
      </c>
      <c r="E818" s="50" t="s">
        <v>2692</v>
      </c>
      <c r="F818" s="57">
        <v>3000</v>
      </c>
      <c r="G818" s="76">
        <v>-300</v>
      </c>
      <c r="H818" s="57">
        <f t="shared" si="50"/>
        <v>2700</v>
      </c>
      <c r="I818" s="50">
        <v>2</v>
      </c>
      <c r="J818" s="57">
        <f t="shared" si="48"/>
        <v>5400</v>
      </c>
      <c r="K818" s="496"/>
      <c r="L818" s="496"/>
      <c r="M818" s="499"/>
      <c r="N818" s="50" t="s">
        <v>2679</v>
      </c>
    </row>
    <row r="819" spans="1:14" ht="21.75" customHeight="1" x14ac:dyDescent="0.4">
      <c r="A819" s="62">
        <v>45286</v>
      </c>
      <c r="B819" s="32" t="s">
        <v>1910</v>
      </c>
      <c r="C819" s="18" t="s">
        <v>17</v>
      </c>
      <c r="D819" s="63" t="s">
        <v>2694</v>
      </c>
      <c r="E819" s="50" t="s">
        <v>2693</v>
      </c>
      <c r="F819" s="57">
        <v>3000</v>
      </c>
      <c r="G819" s="76">
        <v>-300</v>
      </c>
      <c r="H819" s="57">
        <f t="shared" si="50"/>
        <v>2700</v>
      </c>
      <c r="I819" s="50">
        <v>2</v>
      </c>
      <c r="J819" s="57">
        <f t="shared" si="48"/>
        <v>5400</v>
      </c>
      <c r="K819" s="496"/>
      <c r="L819" s="496"/>
      <c r="M819" s="499"/>
      <c r="N819" s="50" t="s">
        <v>2679</v>
      </c>
    </row>
    <row r="820" spans="1:14" ht="21.75" hidden="1" customHeight="1" x14ac:dyDescent="0.4">
      <c r="A820" s="62">
        <v>45286</v>
      </c>
      <c r="B820" s="32" t="s">
        <v>1910</v>
      </c>
      <c r="C820" s="18" t="s">
        <v>17</v>
      </c>
      <c r="D820" s="63" t="s">
        <v>328</v>
      </c>
      <c r="E820" s="50" t="s">
        <v>2695</v>
      </c>
      <c r="F820" s="57">
        <v>40000</v>
      </c>
      <c r="G820" s="76">
        <v>-12000</v>
      </c>
      <c r="H820" s="57">
        <f t="shared" si="50"/>
        <v>28000</v>
      </c>
      <c r="I820" s="50">
        <v>3</v>
      </c>
      <c r="J820" s="57">
        <f t="shared" si="48"/>
        <v>84000</v>
      </c>
      <c r="K820" s="496"/>
      <c r="L820" s="496"/>
      <c r="M820" s="499"/>
      <c r="N820" s="50" t="s">
        <v>2679</v>
      </c>
    </row>
    <row r="821" spans="1:14" ht="21.75" hidden="1" customHeight="1" x14ac:dyDescent="0.4">
      <c r="A821" s="62">
        <v>45286</v>
      </c>
      <c r="B821" s="32" t="s">
        <v>1910</v>
      </c>
      <c r="C821" s="18" t="s">
        <v>17</v>
      </c>
      <c r="D821" s="63" t="s">
        <v>328</v>
      </c>
      <c r="E821" s="50" t="s">
        <v>2696</v>
      </c>
      <c r="F821" s="57">
        <v>16000</v>
      </c>
      <c r="G821" s="76">
        <v>-4800</v>
      </c>
      <c r="H821" s="57">
        <f t="shared" si="50"/>
        <v>11200</v>
      </c>
      <c r="I821" s="50">
        <v>2</v>
      </c>
      <c r="J821" s="57">
        <f t="shared" si="48"/>
        <v>22400</v>
      </c>
      <c r="K821" s="496"/>
      <c r="L821" s="496"/>
      <c r="M821" s="499"/>
      <c r="N821" s="50" t="s">
        <v>2679</v>
      </c>
    </row>
    <row r="822" spans="1:14" ht="21.75" hidden="1" customHeight="1" x14ac:dyDescent="0.4">
      <c r="A822" s="62">
        <v>45286</v>
      </c>
      <c r="B822" s="32" t="s">
        <v>1910</v>
      </c>
      <c r="C822" s="18" t="s">
        <v>17</v>
      </c>
      <c r="D822" s="63" t="s">
        <v>330</v>
      </c>
      <c r="E822" s="50" t="s">
        <v>2691</v>
      </c>
      <c r="F822" s="57">
        <v>4000</v>
      </c>
      <c r="G822" s="76"/>
      <c r="H822" s="57">
        <f t="shared" si="50"/>
        <v>4000</v>
      </c>
      <c r="I822" s="50">
        <v>1</v>
      </c>
      <c r="J822" s="57">
        <f t="shared" si="48"/>
        <v>4000</v>
      </c>
      <c r="K822" s="496"/>
      <c r="L822" s="496"/>
      <c r="M822" s="499"/>
      <c r="N822" s="50" t="s">
        <v>2679</v>
      </c>
    </row>
    <row r="823" spans="1:14" ht="21.75" hidden="1" customHeight="1" x14ac:dyDescent="0.4">
      <c r="A823" s="62">
        <v>45286</v>
      </c>
      <c r="B823" s="32" t="s">
        <v>1910</v>
      </c>
      <c r="C823" s="18" t="s">
        <v>22</v>
      </c>
      <c r="D823" s="63" t="s">
        <v>23</v>
      </c>
      <c r="E823" s="50" t="s">
        <v>2697</v>
      </c>
      <c r="F823" s="57">
        <v>10000</v>
      </c>
      <c r="G823" s="76"/>
      <c r="H823" s="57">
        <f t="shared" si="50"/>
        <v>10000</v>
      </c>
      <c r="I823" s="50">
        <v>1</v>
      </c>
      <c r="J823" s="57">
        <f t="shared" si="48"/>
        <v>10000</v>
      </c>
      <c r="K823" s="497"/>
      <c r="L823" s="497"/>
      <c r="M823" s="491"/>
      <c r="N823" s="50"/>
    </row>
    <row r="824" spans="1:14" ht="21.75" hidden="1" customHeight="1" x14ac:dyDescent="0.4">
      <c r="A824" s="62">
        <v>45286</v>
      </c>
      <c r="B824" s="32" t="s">
        <v>2363</v>
      </c>
      <c r="C824" s="18" t="s">
        <v>27</v>
      </c>
      <c r="D824" s="63" t="s">
        <v>28</v>
      </c>
      <c r="E824" s="50" t="s">
        <v>1897</v>
      </c>
      <c r="F824" s="57">
        <v>17500</v>
      </c>
      <c r="G824" s="76"/>
      <c r="H824" s="57">
        <f t="shared" si="50"/>
        <v>17500</v>
      </c>
      <c r="I824" s="50">
        <v>1</v>
      </c>
      <c r="J824" s="57">
        <f t="shared" ref="J824:J887" si="51">SUM(H824*I824)</f>
        <v>17500</v>
      </c>
      <c r="K824" s="58">
        <f t="shared" ref="K824:K887" si="52">ROUNDDOWN(J824*1.1,0)</f>
        <v>19250</v>
      </c>
      <c r="L824" s="18" t="s">
        <v>2698</v>
      </c>
      <c r="M824" s="50"/>
      <c r="N824" s="50"/>
    </row>
    <row r="825" spans="1:14" ht="21.75" hidden="1" customHeight="1" x14ac:dyDescent="0.4">
      <c r="A825" s="62">
        <v>45286</v>
      </c>
      <c r="B825" s="32" t="s">
        <v>171</v>
      </c>
      <c r="C825" s="18" t="s">
        <v>2699</v>
      </c>
      <c r="D825" s="63" t="s">
        <v>332</v>
      </c>
      <c r="E825" s="50" t="s">
        <v>2700</v>
      </c>
      <c r="F825" s="57">
        <v>1200</v>
      </c>
      <c r="G825" s="76">
        <v>-120</v>
      </c>
      <c r="H825" s="57">
        <f t="shared" si="50"/>
        <v>1080</v>
      </c>
      <c r="I825" s="50">
        <v>1</v>
      </c>
      <c r="J825" s="57">
        <f t="shared" si="51"/>
        <v>1080</v>
      </c>
      <c r="K825" s="58">
        <f t="shared" si="52"/>
        <v>1188</v>
      </c>
      <c r="L825" s="18" t="s">
        <v>25</v>
      </c>
      <c r="M825" s="50"/>
      <c r="N825" s="50"/>
    </row>
    <row r="826" spans="1:14" ht="21.75" hidden="1" customHeight="1" x14ac:dyDescent="0.4">
      <c r="A826" s="62">
        <v>45286</v>
      </c>
      <c r="B826" s="32" t="s">
        <v>171</v>
      </c>
      <c r="C826" s="18" t="s">
        <v>2699</v>
      </c>
      <c r="D826" s="63" t="s">
        <v>332</v>
      </c>
      <c r="E826" s="50" t="s">
        <v>2701</v>
      </c>
      <c r="F826" s="57">
        <v>1600</v>
      </c>
      <c r="G826" s="76">
        <v>-160</v>
      </c>
      <c r="H826" s="57">
        <f t="shared" si="50"/>
        <v>1440</v>
      </c>
      <c r="I826" s="50">
        <v>1</v>
      </c>
      <c r="J826" s="57">
        <f t="shared" si="51"/>
        <v>1440</v>
      </c>
      <c r="K826" s="58">
        <f t="shared" si="52"/>
        <v>1584</v>
      </c>
      <c r="L826" s="18" t="s">
        <v>25</v>
      </c>
      <c r="M826" s="50"/>
      <c r="N826" s="50"/>
    </row>
    <row r="827" spans="1:14" ht="21.75" hidden="1" customHeight="1" x14ac:dyDescent="0.4">
      <c r="A827" s="62">
        <v>45286</v>
      </c>
      <c r="B827" s="32" t="s">
        <v>1608</v>
      </c>
      <c r="C827" s="18" t="s">
        <v>2702</v>
      </c>
      <c r="D827" s="63" t="s">
        <v>292</v>
      </c>
      <c r="E827" s="50" t="s">
        <v>2703</v>
      </c>
      <c r="F827" s="57">
        <v>5500</v>
      </c>
      <c r="G827" s="76">
        <v>-628</v>
      </c>
      <c r="H827" s="57">
        <f t="shared" si="50"/>
        <v>4872</v>
      </c>
      <c r="I827" s="50">
        <v>1</v>
      </c>
      <c r="J827" s="57">
        <f t="shared" si="51"/>
        <v>4872</v>
      </c>
      <c r="K827" s="58">
        <f t="shared" si="52"/>
        <v>5359</v>
      </c>
      <c r="L827" s="18" t="s">
        <v>2704</v>
      </c>
      <c r="M827" s="50"/>
      <c r="N827" s="50"/>
    </row>
    <row r="828" spans="1:14" ht="21.75" hidden="1" customHeight="1" x14ac:dyDescent="0.4">
      <c r="A828" s="62">
        <v>45287</v>
      </c>
      <c r="B828" s="32" t="s">
        <v>2705</v>
      </c>
      <c r="C828" s="18" t="s">
        <v>22</v>
      </c>
      <c r="D828" s="63" t="s">
        <v>23</v>
      </c>
      <c r="E828" s="50" t="s">
        <v>2697</v>
      </c>
      <c r="F828" s="57">
        <v>10000</v>
      </c>
      <c r="G828" s="76"/>
      <c r="H828" s="57">
        <f t="shared" si="50"/>
        <v>10000</v>
      </c>
      <c r="I828" s="50">
        <v>1</v>
      </c>
      <c r="J828" s="57">
        <f t="shared" si="51"/>
        <v>10000</v>
      </c>
      <c r="K828" s="58">
        <f t="shared" si="52"/>
        <v>11000</v>
      </c>
      <c r="L828" s="18" t="s">
        <v>2704</v>
      </c>
      <c r="M828" s="50"/>
      <c r="N828" s="50"/>
    </row>
    <row r="829" spans="1:14" ht="21.75" hidden="1" customHeight="1" x14ac:dyDescent="0.4">
      <c r="A829" s="62">
        <v>45287</v>
      </c>
      <c r="B829" s="32" t="s">
        <v>2705</v>
      </c>
      <c r="C829" s="18" t="s">
        <v>2702</v>
      </c>
      <c r="D829" s="63" t="s">
        <v>328</v>
      </c>
      <c r="E829" s="50" t="s">
        <v>2706</v>
      </c>
      <c r="F829" s="57">
        <v>55000</v>
      </c>
      <c r="G829" s="76">
        <v>-16500</v>
      </c>
      <c r="H829" s="57">
        <f t="shared" si="50"/>
        <v>38500</v>
      </c>
      <c r="I829" s="50">
        <v>1</v>
      </c>
      <c r="J829" s="57">
        <f t="shared" si="51"/>
        <v>38500</v>
      </c>
      <c r="K829" s="58">
        <f t="shared" si="52"/>
        <v>42350</v>
      </c>
      <c r="L829" s="18" t="s">
        <v>2704</v>
      </c>
      <c r="M829" s="50"/>
      <c r="N829" s="50"/>
    </row>
    <row r="830" spans="1:14" ht="21.75" hidden="1" customHeight="1" x14ac:dyDescent="0.4">
      <c r="A830" s="62">
        <v>45287</v>
      </c>
      <c r="B830" s="32" t="s">
        <v>2705</v>
      </c>
      <c r="C830" s="18" t="s">
        <v>2702</v>
      </c>
      <c r="D830" s="63" t="s">
        <v>332</v>
      </c>
      <c r="E830" s="50" t="s">
        <v>2640</v>
      </c>
      <c r="F830" s="57">
        <v>1090</v>
      </c>
      <c r="G830" s="76">
        <v>-109</v>
      </c>
      <c r="H830" s="57">
        <f t="shared" si="50"/>
        <v>981</v>
      </c>
      <c r="I830" s="50">
        <v>1</v>
      </c>
      <c r="J830" s="57">
        <f t="shared" si="51"/>
        <v>981</v>
      </c>
      <c r="K830" s="58">
        <f t="shared" si="52"/>
        <v>1079</v>
      </c>
      <c r="L830" s="18" t="s">
        <v>2704</v>
      </c>
      <c r="M830" s="50"/>
      <c r="N830" s="50"/>
    </row>
    <row r="831" spans="1:14" ht="21.75" hidden="1" customHeight="1" thickBot="1" x14ac:dyDescent="0.45">
      <c r="A831" s="151">
        <v>45288</v>
      </c>
      <c r="B831" s="107" t="s">
        <v>2707</v>
      </c>
      <c r="C831" s="108" t="s">
        <v>2702</v>
      </c>
      <c r="D831" s="109" t="s">
        <v>2708</v>
      </c>
      <c r="E831" s="110" t="s">
        <v>2709</v>
      </c>
      <c r="F831" s="111">
        <v>1000</v>
      </c>
      <c r="G831" s="112">
        <v>-350</v>
      </c>
      <c r="H831" s="111">
        <f t="shared" si="50"/>
        <v>650</v>
      </c>
      <c r="I831" s="110">
        <v>2</v>
      </c>
      <c r="J831" s="111">
        <f t="shared" si="51"/>
        <v>1300</v>
      </c>
      <c r="K831" s="113">
        <f t="shared" si="52"/>
        <v>1430</v>
      </c>
      <c r="L831" s="108" t="s">
        <v>2704</v>
      </c>
      <c r="M831" s="110"/>
      <c r="N831" s="110"/>
    </row>
    <row r="832" spans="1:14" ht="21.75" hidden="1" customHeight="1" x14ac:dyDescent="0.4">
      <c r="A832" s="158">
        <v>45295</v>
      </c>
      <c r="B832" s="82" t="s">
        <v>1872</v>
      </c>
      <c r="C832" s="60" t="s">
        <v>22</v>
      </c>
      <c r="D832" s="61" t="s">
        <v>23</v>
      </c>
      <c r="E832" s="56" t="s">
        <v>2697</v>
      </c>
      <c r="F832" s="99">
        <v>10000</v>
      </c>
      <c r="G832" s="79"/>
      <c r="H832" s="99">
        <f t="shared" si="50"/>
        <v>10000</v>
      </c>
      <c r="I832" s="56">
        <v>1</v>
      </c>
      <c r="J832" s="99">
        <f t="shared" si="51"/>
        <v>10000</v>
      </c>
      <c r="K832" s="100">
        <f t="shared" si="52"/>
        <v>11000</v>
      </c>
      <c r="L832" s="60" t="s">
        <v>34</v>
      </c>
      <c r="M832" s="56"/>
      <c r="N832" s="56"/>
    </row>
    <row r="833" spans="1:14" ht="21.75" hidden="1" customHeight="1" x14ac:dyDescent="0.4">
      <c r="A833" s="62">
        <v>45295</v>
      </c>
      <c r="B833" s="82" t="s">
        <v>1872</v>
      </c>
      <c r="C833" s="18" t="s">
        <v>2702</v>
      </c>
      <c r="D833" s="63" t="s">
        <v>328</v>
      </c>
      <c r="E833" s="50" t="s">
        <v>2710</v>
      </c>
      <c r="F833" s="57">
        <v>60000</v>
      </c>
      <c r="G833" s="76">
        <v>-18000</v>
      </c>
      <c r="H833" s="57">
        <f t="shared" si="50"/>
        <v>42000</v>
      </c>
      <c r="I833" s="50">
        <v>1</v>
      </c>
      <c r="J833" s="57">
        <f t="shared" si="51"/>
        <v>42000</v>
      </c>
      <c r="K833" s="58">
        <f t="shared" si="52"/>
        <v>46200</v>
      </c>
      <c r="L833" s="60" t="s">
        <v>34</v>
      </c>
      <c r="M833" s="50"/>
      <c r="N833" s="50" t="s">
        <v>2866</v>
      </c>
    </row>
    <row r="834" spans="1:14" ht="21.75" hidden="1" customHeight="1" x14ac:dyDescent="0.4">
      <c r="A834" s="62">
        <v>45295</v>
      </c>
      <c r="B834" s="82" t="s">
        <v>1872</v>
      </c>
      <c r="C834" s="18" t="s">
        <v>2702</v>
      </c>
      <c r="D834" s="63" t="s">
        <v>330</v>
      </c>
      <c r="E834" s="50" t="s">
        <v>2711</v>
      </c>
      <c r="F834" s="57">
        <v>5000</v>
      </c>
      <c r="G834" s="76"/>
      <c r="H834" s="57">
        <f t="shared" si="50"/>
        <v>5000</v>
      </c>
      <c r="I834" s="50">
        <v>1</v>
      </c>
      <c r="J834" s="57">
        <f t="shared" si="51"/>
        <v>5000</v>
      </c>
      <c r="K834" s="58">
        <f t="shared" si="52"/>
        <v>5500</v>
      </c>
      <c r="L834" s="60" t="s">
        <v>34</v>
      </c>
      <c r="M834" s="50"/>
      <c r="N834" s="50" t="s">
        <v>2866</v>
      </c>
    </row>
    <row r="835" spans="1:14" ht="21.75" hidden="1" customHeight="1" x14ac:dyDescent="0.4">
      <c r="A835" s="62">
        <v>45295</v>
      </c>
      <c r="B835" s="82" t="s">
        <v>1872</v>
      </c>
      <c r="C835" s="18" t="s">
        <v>2702</v>
      </c>
      <c r="D835" s="63" t="s">
        <v>455</v>
      </c>
      <c r="E835" s="50" t="s">
        <v>2712</v>
      </c>
      <c r="F835" s="57">
        <v>1090</v>
      </c>
      <c r="G835" s="76">
        <v>-109</v>
      </c>
      <c r="H835" s="57">
        <f t="shared" si="50"/>
        <v>981</v>
      </c>
      <c r="I835" s="50">
        <v>1</v>
      </c>
      <c r="J835" s="57">
        <f t="shared" si="51"/>
        <v>981</v>
      </c>
      <c r="K835" s="58">
        <f t="shared" si="52"/>
        <v>1079</v>
      </c>
      <c r="L835" s="60" t="s">
        <v>34</v>
      </c>
      <c r="M835" s="50"/>
      <c r="N835" s="50" t="s">
        <v>2866</v>
      </c>
    </row>
    <row r="836" spans="1:14" ht="21.75" hidden="1" customHeight="1" x14ac:dyDescent="0.4">
      <c r="A836" s="62">
        <v>45295</v>
      </c>
      <c r="B836" s="32" t="s">
        <v>633</v>
      </c>
      <c r="C836" s="18" t="s">
        <v>2714</v>
      </c>
      <c r="D836" s="63" t="s">
        <v>332</v>
      </c>
      <c r="E836" s="50" t="s">
        <v>2715</v>
      </c>
      <c r="F836" s="57">
        <v>1090</v>
      </c>
      <c r="G836" s="76">
        <v>-109</v>
      </c>
      <c r="H836" s="57">
        <f t="shared" si="50"/>
        <v>981</v>
      </c>
      <c r="I836" s="50">
        <v>1</v>
      </c>
      <c r="J836" s="57">
        <f t="shared" si="51"/>
        <v>981</v>
      </c>
      <c r="K836" s="58">
        <f t="shared" si="52"/>
        <v>1079</v>
      </c>
      <c r="L836" s="18" t="s">
        <v>2713</v>
      </c>
      <c r="M836" s="50"/>
      <c r="N836" s="50"/>
    </row>
    <row r="837" spans="1:14" ht="21.75" hidden="1" customHeight="1" x14ac:dyDescent="0.4">
      <c r="A837" s="62">
        <v>45295</v>
      </c>
      <c r="B837" s="32" t="s">
        <v>2716</v>
      </c>
      <c r="C837" s="18" t="s">
        <v>2714</v>
      </c>
      <c r="D837" s="63" t="s">
        <v>292</v>
      </c>
      <c r="E837" s="50" t="s">
        <v>2717</v>
      </c>
      <c r="F837" s="57">
        <v>5800</v>
      </c>
      <c r="G837" s="76">
        <v>-580</v>
      </c>
      <c r="H837" s="57">
        <f t="shared" si="50"/>
        <v>5220</v>
      </c>
      <c r="I837" s="50">
        <v>1</v>
      </c>
      <c r="J837" s="57">
        <f t="shared" si="51"/>
        <v>5220</v>
      </c>
      <c r="K837" s="58">
        <f t="shared" si="52"/>
        <v>5742</v>
      </c>
      <c r="L837" s="18" t="s">
        <v>25</v>
      </c>
      <c r="M837" s="50"/>
      <c r="N837" s="50"/>
    </row>
    <row r="838" spans="1:14" ht="21.75" hidden="1" customHeight="1" x14ac:dyDescent="0.4">
      <c r="A838" s="62">
        <v>45295</v>
      </c>
      <c r="B838" s="32" t="s">
        <v>2720</v>
      </c>
      <c r="C838" s="18" t="s">
        <v>2721</v>
      </c>
      <c r="D838" s="63" t="s">
        <v>292</v>
      </c>
      <c r="E838" s="50" t="s">
        <v>2722</v>
      </c>
      <c r="F838" s="57">
        <v>5500</v>
      </c>
      <c r="G838" s="76"/>
      <c r="H838" s="57">
        <f t="shared" si="50"/>
        <v>5500</v>
      </c>
      <c r="I838" s="50">
        <v>2</v>
      </c>
      <c r="J838" s="57">
        <f t="shared" si="51"/>
        <v>11000</v>
      </c>
      <c r="K838" s="58">
        <f t="shared" si="52"/>
        <v>12100</v>
      </c>
      <c r="L838" s="18" t="s">
        <v>2723</v>
      </c>
      <c r="M838" s="50"/>
      <c r="N838" s="50"/>
    </row>
    <row r="839" spans="1:14" ht="21.75" hidden="1" customHeight="1" x14ac:dyDescent="0.4">
      <c r="A839" s="62">
        <v>45295</v>
      </c>
      <c r="B839" s="32" t="s">
        <v>179</v>
      </c>
      <c r="C839" s="18" t="s">
        <v>2721</v>
      </c>
      <c r="D839" s="63" t="s">
        <v>332</v>
      </c>
      <c r="E839" s="50" t="s">
        <v>2724</v>
      </c>
      <c r="F839" s="57">
        <v>1600</v>
      </c>
      <c r="G839" s="76">
        <v>-160</v>
      </c>
      <c r="H839" s="57">
        <f t="shared" si="50"/>
        <v>1440</v>
      </c>
      <c r="I839" s="50">
        <v>1</v>
      </c>
      <c r="J839" s="57">
        <f t="shared" si="51"/>
        <v>1440</v>
      </c>
      <c r="K839" s="58">
        <f t="shared" si="52"/>
        <v>1584</v>
      </c>
      <c r="L839" s="18" t="s">
        <v>2723</v>
      </c>
      <c r="M839" s="50"/>
      <c r="N839" s="50"/>
    </row>
    <row r="840" spans="1:14" ht="21.75" hidden="1" customHeight="1" x14ac:dyDescent="0.4">
      <c r="A840" s="62">
        <v>45296</v>
      </c>
      <c r="B840" s="32" t="s">
        <v>2738</v>
      </c>
      <c r="C840" s="18" t="s">
        <v>27</v>
      </c>
      <c r="D840" s="63" t="s">
        <v>28</v>
      </c>
      <c r="E840" s="50" t="s">
        <v>2739</v>
      </c>
      <c r="F840" s="57">
        <v>2000</v>
      </c>
      <c r="G840" s="76"/>
      <c r="H840" s="57">
        <f t="shared" si="50"/>
        <v>2000</v>
      </c>
      <c r="I840" s="50">
        <v>1</v>
      </c>
      <c r="J840" s="57">
        <f t="shared" si="51"/>
        <v>2000</v>
      </c>
      <c r="K840" s="58">
        <f t="shared" si="52"/>
        <v>2200</v>
      </c>
      <c r="L840" s="18" t="s">
        <v>2740</v>
      </c>
      <c r="M840" s="50"/>
      <c r="N840" s="50"/>
    </row>
    <row r="841" spans="1:14" ht="21.75" hidden="1" customHeight="1" x14ac:dyDescent="0.4">
      <c r="A841" s="62">
        <v>45296</v>
      </c>
      <c r="B841" s="32" t="s">
        <v>2741</v>
      </c>
      <c r="C841" s="18" t="s">
        <v>2742</v>
      </c>
      <c r="D841" s="63" t="s">
        <v>332</v>
      </c>
      <c r="E841" s="50" t="s">
        <v>2744</v>
      </c>
      <c r="F841" s="57">
        <v>1090</v>
      </c>
      <c r="G841" s="76">
        <v>-109</v>
      </c>
      <c r="H841" s="57">
        <f t="shared" si="50"/>
        <v>981</v>
      </c>
      <c r="I841" s="50">
        <v>6</v>
      </c>
      <c r="J841" s="57">
        <f t="shared" si="51"/>
        <v>5886</v>
      </c>
      <c r="K841" s="58">
        <f t="shared" si="52"/>
        <v>6474</v>
      </c>
      <c r="L841" s="18" t="s">
        <v>25</v>
      </c>
      <c r="M841" s="50"/>
      <c r="N841" s="50"/>
    </row>
    <row r="842" spans="1:14" ht="21.75" hidden="1" customHeight="1" x14ac:dyDescent="0.4">
      <c r="A842" s="62">
        <v>45296</v>
      </c>
      <c r="B842" s="32" t="s">
        <v>2741</v>
      </c>
      <c r="C842" s="18" t="s">
        <v>2742</v>
      </c>
      <c r="D842" s="63" t="s">
        <v>332</v>
      </c>
      <c r="E842" s="50" t="s">
        <v>2743</v>
      </c>
      <c r="F842" s="57">
        <v>1090</v>
      </c>
      <c r="G842" s="76">
        <v>-109</v>
      </c>
      <c r="H842" s="57">
        <f t="shared" si="50"/>
        <v>981</v>
      </c>
      <c r="I842" s="50">
        <v>2</v>
      </c>
      <c r="J842" s="57">
        <f t="shared" si="51"/>
        <v>1962</v>
      </c>
      <c r="K842" s="58">
        <f t="shared" si="52"/>
        <v>2158</v>
      </c>
      <c r="L842" s="18" t="s">
        <v>25</v>
      </c>
      <c r="M842" s="50"/>
      <c r="N842" s="50"/>
    </row>
    <row r="843" spans="1:14" ht="21.75" hidden="1" customHeight="1" x14ac:dyDescent="0.4">
      <c r="A843" s="62">
        <v>45296</v>
      </c>
      <c r="B843" s="32" t="s">
        <v>179</v>
      </c>
      <c r="C843" s="18" t="s">
        <v>2742</v>
      </c>
      <c r="D843" s="63" t="s">
        <v>332</v>
      </c>
      <c r="E843" s="50" t="s">
        <v>2606</v>
      </c>
      <c r="F843" s="57">
        <v>1600</v>
      </c>
      <c r="G843" s="76">
        <v>-160</v>
      </c>
      <c r="H843" s="57">
        <f t="shared" si="50"/>
        <v>1440</v>
      </c>
      <c r="I843" s="50">
        <v>1</v>
      </c>
      <c r="J843" s="57">
        <f t="shared" si="51"/>
        <v>1440</v>
      </c>
      <c r="K843" s="58">
        <f t="shared" si="52"/>
        <v>1584</v>
      </c>
      <c r="L843" s="18" t="s">
        <v>2740</v>
      </c>
      <c r="M843" s="50"/>
      <c r="N843" s="50"/>
    </row>
    <row r="844" spans="1:14" ht="21.75" hidden="1" customHeight="1" x14ac:dyDescent="0.4">
      <c r="A844" s="62">
        <v>45296</v>
      </c>
      <c r="B844" s="32" t="s">
        <v>2745</v>
      </c>
      <c r="C844" s="18" t="s">
        <v>2742</v>
      </c>
      <c r="D844" s="63" t="s">
        <v>332</v>
      </c>
      <c r="E844" s="50" t="s">
        <v>2746</v>
      </c>
      <c r="F844" s="57">
        <v>1090</v>
      </c>
      <c r="G844" s="76">
        <v>-109</v>
      </c>
      <c r="H844" s="57">
        <f t="shared" si="50"/>
        <v>981</v>
      </c>
      <c r="I844" s="50">
        <v>1</v>
      </c>
      <c r="J844" s="57">
        <f t="shared" si="51"/>
        <v>981</v>
      </c>
      <c r="K844" s="58">
        <f t="shared" si="52"/>
        <v>1079</v>
      </c>
      <c r="L844" s="18" t="s">
        <v>25</v>
      </c>
      <c r="M844" s="50"/>
      <c r="N844" s="50"/>
    </row>
    <row r="845" spans="1:14" ht="21.75" hidden="1" customHeight="1" x14ac:dyDescent="0.4">
      <c r="A845" s="62">
        <v>45297</v>
      </c>
      <c r="B845" s="32" t="s">
        <v>2747</v>
      </c>
      <c r="C845" s="18" t="s">
        <v>2742</v>
      </c>
      <c r="D845" s="63" t="s">
        <v>292</v>
      </c>
      <c r="E845" s="50" t="s">
        <v>2748</v>
      </c>
      <c r="F845" s="57">
        <v>5500</v>
      </c>
      <c r="G845" s="76"/>
      <c r="H845" s="57">
        <f t="shared" si="50"/>
        <v>5500</v>
      </c>
      <c r="I845" s="50">
        <v>1</v>
      </c>
      <c r="J845" s="57">
        <f t="shared" si="51"/>
        <v>5500</v>
      </c>
      <c r="K845" s="58">
        <f t="shared" si="52"/>
        <v>6050</v>
      </c>
      <c r="L845" s="18" t="s">
        <v>25</v>
      </c>
      <c r="M845" s="50"/>
      <c r="N845" s="50"/>
    </row>
    <row r="846" spans="1:14" ht="21.75" hidden="1" customHeight="1" x14ac:dyDescent="0.4">
      <c r="A846" s="62">
        <v>45297</v>
      </c>
      <c r="B846" s="32" t="s">
        <v>2749</v>
      </c>
      <c r="C846" s="18" t="s">
        <v>27</v>
      </c>
      <c r="D846" s="63" t="s">
        <v>28</v>
      </c>
      <c r="E846" s="50" t="s">
        <v>2739</v>
      </c>
      <c r="F846" s="57">
        <v>2000</v>
      </c>
      <c r="G846" s="76"/>
      <c r="H846" s="57">
        <f t="shared" si="50"/>
        <v>2000</v>
      </c>
      <c r="I846" s="50">
        <v>1</v>
      </c>
      <c r="J846" s="57">
        <f t="shared" si="51"/>
        <v>2000</v>
      </c>
      <c r="K846" s="58">
        <f t="shared" si="52"/>
        <v>2200</v>
      </c>
      <c r="L846" s="18" t="s">
        <v>2740</v>
      </c>
      <c r="M846" s="50"/>
      <c r="N846" s="50"/>
    </row>
    <row r="847" spans="1:14" ht="21.75" hidden="1" customHeight="1" x14ac:dyDescent="0.4">
      <c r="A847" s="62">
        <v>45297</v>
      </c>
      <c r="B847" s="32" t="s">
        <v>179</v>
      </c>
      <c r="C847" s="18" t="s">
        <v>2742</v>
      </c>
      <c r="D847" s="63" t="s">
        <v>455</v>
      </c>
      <c r="E847" s="50" t="s">
        <v>2606</v>
      </c>
      <c r="F847" s="57">
        <v>1600</v>
      </c>
      <c r="G847" s="76">
        <v>-160</v>
      </c>
      <c r="H847" s="57">
        <f t="shared" si="50"/>
        <v>1440</v>
      </c>
      <c r="I847" s="50">
        <v>1</v>
      </c>
      <c r="J847" s="57">
        <f t="shared" si="51"/>
        <v>1440</v>
      </c>
      <c r="K847" s="58">
        <f t="shared" si="52"/>
        <v>1584</v>
      </c>
      <c r="L847" s="18" t="s">
        <v>2740</v>
      </c>
      <c r="M847" s="50"/>
      <c r="N847" s="50"/>
    </row>
    <row r="848" spans="1:14" ht="21.75" hidden="1" customHeight="1" x14ac:dyDescent="0.4">
      <c r="A848" s="62">
        <v>45297</v>
      </c>
      <c r="B848" s="32" t="s">
        <v>2750</v>
      </c>
      <c r="C848" s="18" t="s">
        <v>22</v>
      </c>
      <c r="D848" s="63" t="s">
        <v>23</v>
      </c>
      <c r="E848" s="50" t="s">
        <v>1941</v>
      </c>
      <c r="F848" s="57">
        <v>15000</v>
      </c>
      <c r="G848" s="76"/>
      <c r="H848" s="57">
        <f t="shared" si="50"/>
        <v>15000</v>
      </c>
      <c r="I848" s="50">
        <v>1</v>
      </c>
      <c r="J848" s="57">
        <f t="shared" si="51"/>
        <v>15000</v>
      </c>
      <c r="K848" s="58">
        <f t="shared" si="52"/>
        <v>16500</v>
      </c>
      <c r="L848" s="18" t="s">
        <v>25</v>
      </c>
      <c r="M848" s="50" t="s">
        <v>2515</v>
      </c>
      <c r="N848" s="50"/>
    </row>
    <row r="849" spans="1:14" ht="21.75" hidden="1" customHeight="1" x14ac:dyDescent="0.4">
      <c r="A849" s="62">
        <v>45297</v>
      </c>
      <c r="B849" s="32" t="s">
        <v>1694</v>
      </c>
      <c r="C849" s="18" t="s">
        <v>2742</v>
      </c>
      <c r="D849" s="63" t="s">
        <v>292</v>
      </c>
      <c r="E849" s="50" t="s">
        <v>2751</v>
      </c>
      <c r="F849" s="57">
        <v>6300</v>
      </c>
      <c r="G849" s="76">
        <v>-1575</v>
      </c>
      <c r="H849" s="57">
        <f t="shared" si="50"/>
        <v>4725</v>
      </c>
      <c r="I849" s="50">
        <v>1</v>
      </c>
      <c r="J849" s="57">
        <f t="shared" si="51"/>
        <v>4725</v>
      </c>
      <c r="K849" s="58">
        <f t="shared" si="52"/>
        <v>5197</v>
      </c>
      <c r="L849" s="18" t="s">
        <v>2740</v>
      </c>
      <c r="M849" s="50"/>
      <c r="N849" s="50"/>
    </row>
    <row r="850" spans="1:14" ht="21.75" hidden="1" customHeight="1" x14ac:dyDescent="0.4">
      <c r="A850" s="62">
        <v>45297</v>
      </c>
      <c r="B850" s="32" t="s">
        <v>2752</v>
      </c>
      <c r="C850" s="18" t="s">
        <v>2742</v>
      </c>
      <c r="D850" s="63" t="s">
        <v>328</v>
      </c>
      <c r="E850" s="50" t="s">
        <v>2753</v>
      </c>
      <c r="F850" s="57">
        <v>80000</v>
      </c>
      <c r="G850" s="76">
        <v>-16000</v>
      </c>
      <c r="H850" s="57">
        <f t="shared" si="50"/>
        <v>64000</v>
      </c>
      <c r="I850" s="50">
        <v>1</v>
      </c>
      <c r="J850" s="57">
        <f t="shared" si="51"/>
        <v>64000</v>
      </c>
      <c r="K850" s="58">
        <f t="shared" si="52"/>
        <v>70400</v>
      </c>
      <c r="L850" s="18" t="s">
        <v>34</v>
      </c>
      <c r="M850" s="50"/>
      <c r="N850" s="50" t="s">
        <v>2867</v>
      </c>
    </row>
    <row r="851" spans="1:14" ht="21.75" hidden="1" customHeight="1" x14ac:dyDescent="0.4">
      <c r="A851" s="62">
        <v>45297</v>
      </c>
      <c r="B851" s="32" t="s">
        <v>2752</v>
      </c>
      <c r="C851" s="18" t="s">
        <v>2742</v>
      </c>
      <c r="D851" s="63" t="s">
        <v>2754</v>
      </c>
      <c r="E851" s="50" t="s">
        <v>2755</v>
      </c>
      <c r="F851" s="57">
        <v>1090</v>
      </c>
      <c r="G851" s="76"/>
      <c r="H851" s="57">
        <f t="shared" si="50"/>
        <v>1090</v>
      </c>
      <c r="I851" s="50">
        <v>1</v>
      </c>
      <c r="J851" s="57">
        <f t="shared" si="51"/>
        <v>1090</v>
      </c>
      <c r="K851" s="58">
        <f t="shared" si="52"/>
        <v>1199</v>
      </c>
      <c r="L851" s="18" t="s">
        <v>34</v>
      </c>
      <c r="M851" s="50"/>
      <c r="N851" s="50" t="s">
        <v>2867</v>
      </c>
    </row>
    <row r="852" spans="1:14" ht="21.75" hidden="1" customHeight="1" x14ac:dyDescent="0.4">
      <c r="A852" s="62">
        <v>45298</v>
      </c>
      <c r="B852" s="32" t="s">
        <v>678</v>
      </c>
      <c r="C852" s="18" t="s">
        <v>2756</v>
      </c>
      <c r="D852" s="63" t="s">
        <v>2757</v>
      </c>
      <c r="E852" s="50" t="s">
        <v>2758</v>
      </c>
      <c r="F852" s="57">
        <v>1200</v>
      </c>
      <c r="G852" s="76">
        <v>-120</v>
      </c>
      <c r="H852" s="57">
        <f t="shared" si="50"/>
        <v>1080</v>
      </c>
      <c r="I852" s="50">
        <v>3</v>
      </c>
      <c r="J852" s="57">
        <f t="shared" si="51"/>
        <v>3240</v>
      </c>
      <c r="K852" s="58">
        <f t="shared" si="52"/>
        <v>3564</v>
      </c>
      <c r="L852" s="18" t="s">
        <v>2759</v>
      </c>
      <c r="M852" s="50"/>
      <c r="N852" s="50"/>
    </row>
    <row r="853" spans="1:14" ht="21.75" hidden="1" customHeight="1" x14ac:dyDescent="0.4">
      <c r="A853" s="62">
        <v>45299</v>
      </c>
      <c r="B853" s="32" t="s">
        <v>2760</v>
      </c>
      <c r="C853" s="18" t="s">
        <v>27</v>
      </c>
      <c r="D853" s="63" t="s">
        <v>28</v>
      </c>
      <c r="E853" s="50" t="s">
        <v>318</v>
      </c>
      <c r="F853" s="57">
        <v>15000</v>
      </c>
      <c r="G853" s="76"/>
      <c r="H853" s="57">
        <f t="shared" si="50"/>
        <v>15000</v>
      </c>
      <c r="I853" s="50">
        <v>1</v>
      </c>
      <c r="J853" s="57">
        <f t="shared" si="51"/>
        <v>15000</v>
      </c>
      <c r="K853" s="58">
        <f t="shared" si="52"/>
        <v>16500</v>
      </c>
      <c r="L853" s="18" t="s">
        <v>2759</v>
      </c>
      <c r="M853" s="50"/>
      <c r="N853" s="50"/>
    </row>
    <row r="854" spans="1:14" ht="21.75" hidden="1" customHeight="1" x14ac:dyDescent="0.4">
      <c r="A854" s="62">
        <v>45299</v>
      </c>
      <c r="B854" s="32" t="s">
        <v>2760</v>
      </c>
      <c r="C854" s="18" t="s">
        <v>27</v>
      </c>
      <c r="D854" s="63" t="s">
        <v>28</v>
      </c>
      <c r="E854" s="50" t="s">
        <v>2761</v>
      </c>
      <c r="F854" s="57">
        <v>8750</v>
      </c>
      <c r="G854" s="76"/>
      <c r="H854" s="57">
        <f t="shared" si="50"/>
        <v>8750</v>
      </c>
      <c r="I854" s="50">
        <v>1</v>
      </c>
      <c r="J854" s="57">
        <f t="shared" si="51"/>
        <v>8750</v>
      </c>
      <c r="K854" s="58">
        <f t="shared" si="52"/>
        <v>9625</v>
      </c>
      <c r="L854" s="18" t="s">
        <v>2759</v>
      </c>
      <c r="M854" s="50"/>
      <c r="N854" s="50"/>
    </row>
    <row r="855" spans="1:14" ht="21.75" hidden="1" customHeight="1" x14ac:dyDescent="0.4">
      <c r="A855" s="62">
        <v>45299</v>
      </c>
      <c r="B855" s="32" t="s">
        <v>2760</v>
      </c>
      <c r="C855" s="18" t="s">
        <v>27</v>
      </c>
      <c r="D855" s="63" t="s">
        <v>28</v>
      </c>
      <c r="E855" s="50" t="s">
        <v>2762</v>
      </c>
      <c r="F855" s="57">
        <v>17500</v>
      </c>
      <c r="G855" s="76"/>
      <c r="H855" s="57">
        <f t="shared" si="50"/>
        <v>17500</v>
      </c>
      <c r="I855" s="50">
        <v>1</v>
      </c>
      <c r="J855" s="57">
        <f t="shared" si="51"/>
        <v>17500</v>
      </c>
      <c r="K855" s="58">
        <f t="shared" si="52"/>
        <v>19250</v>
      </c>
      <c r="L855" s="18" t="s">
        <v>2759</v>
      </c>
      <c r="M855" s="50"/>
      <c r="N855" s="50"/>
    </row>
    <row r="856" spans="1:14" ht="21.75" hidden="1" customHeight="1" x14ac:dyDescent="0.4">
      <c r="A856" s="62">
        <v>45299</v>
      </c>
      <c r="B856" s="32" t="s">
        <v>2763</v>
      </c>
      <c r="C856" s="18" t="s">
        <v>2756</v>
      </c>
      <c r="D856" s="63" t="s">
        <v>292</v>
      </c>
      <c r="E856" s="50" t="s">
        <v>2764</v>
      </c>
      <c r="F856" s="57">
        <v>5500</v>
      </c>
      <c r="G856" s="76"/>
      <c r="H856" s="57">
        <f t="shared" si="50"/>
        <v>5500</v>
      </c>
      <c r="I856" s="50">
        <v>2</v>
      </c>
      <c r="J856" s="57">
        <f t="shared" si="51"/>
        <v>11000</v>
      </c>
      <c r="K856" s="58">
        <f t="shared" si="52"/>
        <v>12100</v>
      </c>
      <c r="L856" s="18" t="s">
        <v>34</v>
      </c>
      <c r="M856" s="50"/>
      <c r="N856" s="50"/>
    </row>
    <row r="857" spans="1:14" ht="21.75" hidden="1" customHeight="1" x14ac:dyDescent="0.4">
      <c r="A857" s="62">
        <v>45299</v>
      </c>
      <c r="B857" s="32" t="s">
        <v>2765</v>
      </c>
      <c r="C857" s="18" t="s">
        <v>27</v>
      </c>
      <c r="D857" s="63" t="s">
        <v>28</v>
      </c>
      <c r="E857" s="50" t="s">
        <v>2683</v>
      </c>
      <c r="F857" s="57">
        <v>2000</v>
      </c>
      <c r="G857" s="76"/>
      <c r="H857" s="57">
        <f t="shared" si="50"/>
        <v>2000</v>
      </c>
      <c r="I857" s="50">
        <v>3</v>
      </c>
      <c r="J857" s="57">
        <f t="shared" si="51"/>
        <v>6000</v>
      </c>
      <c r="K857" s="58">
        <f t="shared" si="52"/>
        <v>6600</v>
      </c>
      <c r="L857" s="18" t="s">
        <v>2759</v>
      </c>
      <c r="M857" s="50"/>
      <c r="N857" s="50"/>
    </row>
    <row r="858" spans="1:14" ht="21.75" hidden="1" customHeight="1" x14ac:dyDescent="0.4">
      <c r="A858" s="62">
        <v>45299</v>
      </c>
      <c r="B858" s="32" t="s">
        <v>2766</v>
      </c>
      <c r="C858" s="18" t="s">
        <v>27</v>
      </c>
      <c r="D858" s="63" t="s">
        <v>28</v>
      </c>
      <c r="E858" s="50" t="s">
        <v>2739</v>
      </c>
      <c r="F858" s="57">
        <v>2000</v>
      </c>
      <c r="G858" s="76"/>
      <c r="H858" s="57">
        <f t="shared" si="50"/>
        <v>2000</v>
      </c>
      <c r="I858" s="50">
        <v>1</v>
      </c>
      <c r="J858" s="57">
        <f t="shared" si="51"/>
        <v>2000</v>
      </c>
      <c r="K858" s="58">
        <f t="shared" si="52"/>
        <v>2200</v>
      </c>
      <c r="L858" s="18" t="s">
        <v>2759</v>
      </c>
      <c r="M858" s="50"/>
      <c r="N858" s="50"/>
    </row>
    <row r="859" spans="1:14" ht="21.75" hidden="1" customHeight="1" x14ac:dyDescent="0.4">
      <c r="A859" s="62">
        <v>45301</v>
      </c>
      <c r="B859" s="32" t="s">
        <v>2767</v>
      </c>
      <c r="C859" s="18" t="s">
        <v>2756</v>
      </c>
      <c r="D859" s="63" t="s">
        <v>332</v>
      </c>
      <c r="E859" s="50" t="s">
        <v>2148</v>
      </c>
      <c r="F859" s="57">
        <v>1090</v>
      </c>
      <c r="G859" s="76">
        <v>-109</v>
      </c>
      <c r="H859" s="57">
        <f t="shared" si="50"/>
        <v>981</v>
      </c>
      <c r="I859" s="50">
        <v>1</v>
      </c>
      <c r="J859" s="57">
        <f t="shared" si="51"/>
        <v>981</v>
      </c>
      <c r="K859" s="58">
        <f t="shared" si="52"/>
        <v>1079</v>
      </c>
      <c r="L859" s="18" t="s">
        <v>2759</v>
      </c>
      <c r="M859" s="50"/>
      <c r="N859" s="50"/>
    </row>
    <row r="860" spans="1:14" ht="21.75" hidden="1" customHeight="1" x14ac:dyDescent="0.4">
      <c r="A860" s="62">
        <v>45301</v>
      </c>
      <c r="B860" s="32" t="s">
        <v>2760</v>
      </c>
      <c r="C860" s="18" t="s">
        <v>2756</v>
      </c>
      <c r="D860" s="63" t="s">
        <v>2768</v>
      </c>
      <c r="E860" s="50" t="s">
        <v>2769</v>
      </c>
      <c r="F860" s="57">
        <v>1500</v>
      </c>
      <c r="G860" s="76"/>
      <c r="H860" s="57">
        <f t="shared" si="50"/>
        <v>1500</v>
      </c>
      <c r="I860" s="50">
        <v>1</v>
      </c>
      <c r="J860" s="57">
        <f t="shared" si="51"/>
        <v>1500</v>
      </c>
      <c r="K860" s="58">
        <f t="shared" si="52"/>
        <v>1650</v>
      </c>
      <c r="L860" s="18" t="s">
        <v>2759</v>
      </c>
      <c r="M860" s="50"/>
      <c r="N860" s="50"/>
    </row>
    <row r="861" spans="1:14" ht="21.75" hidden="1" customHeight="1" x14ac:dyDescent="0.4">
      <c r="A861" s="62">
        <v>45301</v>
      </c>
      <c r="B861" s="32" t="s">
        <v>2770</v>
      </c>
      <c r="C861" s="18" t="s">
        <v>22</v>
      </c>
      <c r="D861" s="63" t="s">
        <v>23</v>
      </c>
      <c r="E861" s="50" t="s">
        <v>1941</v>
      </c>
      <c r="F861" s="57">
        <v>15000</v>
      </c>
      <c r="G861" s="76"/>
      <c r="H861" s="57">
        <f t="shared" si="50"/>
        <v>15000</v>
      </c>
      <c r="I861" s="50">
        <v>1</v>
      </c>
      <c r="J861" s="57">
        <f t="shared" si="51"/>
        <v>15000</v>
      </c>
      <c r="K861" s="58">
        <f t="shared" si="52"/>
        <v>16500</v>
      </c>
      <c r="L861" s="18" t="s">
        <v>25</v>
      </c>
      <c r="M861" s="50" t="s">
        <v>2515</v>
      </c>
      <c r="N861" s="50"/>
    </row>
    <row r="862" spans="1:14" ht="21.75" hidden="1" customHeight="1" x14ac:dyDescent="0.4">
      <c r="A862" s="62">
        <v>45301</v>
      </c>
      <c r="B862" s="32" t="s">
        <v>162</v>
      </c>
      <c r="C862" s="18" t="s">
        <v>27</v>
      </c>
      <c r="D862" s="63" t="s">
        <v>28</v>
      </c>
      <c r="E862" s="50" t="s">
        <v>1810</v>
      </c>
      <c r="F862" s="57">
        <v>2500</v>
      </c>
      <c r="G862" s="76"/>
      <c r="H862" s="57">
        <f t="shared" si="50"/>
        <v>2500</v>
      </c>
      <c r="I862" s="50">
        <v>1</v>
      </c>
      <c r="J862" s="57">
        <f t="shared" si="51"/>
        <v>2500</v>
      </c>
      <c r="K862" s="58">
        <f t="shared" si="52"/>
        <v>2750</v>
      </c>
      <c r="L862" s="18" t="s">
        <v>25</v>
      </c>
      <c r="M862" s="50"/>
      <c r="N862" s="50"/>
    </row>
    <row r="863" spans="1:14" ht="21.75" hidden="1" customHeight="1" x14ac:dyDescent="0.4">
      <c r="A863" s="62">
        <v>45301</v>
      </c>
      <c r="B863" s="32" t="s">
        <v>162</v>
      </c>
      <c r="C863" s="18" t="s">
        <v>27</v>
      </c>
      <c r="D863" s="63" t="s">
        <v>28</v>
      </c>
      <c r="E863" s="50" t="s">
        <v>73</v>
      </c>
      <c r="F863" s="57">
        <v>2000</v>
      </c>
      <c r="G863" s="76"/>
      <c r="H863" s="57">
        <f t="shared" si="50"/>
        <v>2000</v>
      </c>
      <c r="I863" s="50">
        <v>1</v>
      </c>
      <c r="J863" s="57">
        <f t="shared" si="51"/>
        <v>2000</v>
      </c>
      <c r="K863" s="58">
        <f t="shared" si="52"/>
        <v>2200</v>
      </c>
      <c r="L863" s="18" t="s">
        <v>25</v>
      </c>
      <c r="M863" s="50"/>
      <c r="N863" s="50"/>
    </row>
    <row r="864" spans="1:14" ht="21.75" hidden="1" customHeight="1" x14ac:dyDescent="0.4">
      <c r="A864" s="62">
        <v>45301</v>
      </c>
      <c r="B864" s="32" t="s">
        <v>2771</v>
      </c>
      <c r="C864" s="18" t="s">
        <v>2756</v>
      </c>
      <c r="D864" s="63" t="s">
        <v>426</v>
      </c>
      <c r="E864" s="50" t="s">
        <v>2772</v>
      </c>
      <c r="F864" s="57">
        <v>1700</v>
      </c>
      <c r="G864" s="76">
        <v>-170</v>
      </c>
      <c r="H864" s="57">
        <f t="shared" si="50"/>
        <v>1530</v>
      </c>
      <c r="I864" s="50">
        <v>2</v>
      </c>
      <c r="J864" s="57">
        <f t="shared" si="51"/>
        <v>3060</v>
      </c>
      <c r="K864" s="58">
        <f t="shared" si="52"/>
        <v>3366</v>
      </c>
      <c r="L864" s="18" t="s">
        <v>25</v>
      </c>
      <c r="M864" s="50"/>
      <c r="N864" s="50"/>
    </row>
    <row r="865" spans="1:14" ht="21.75" hidden="1" customHeight="1" x14ac:dyDescent="0.4">
      <c r="A865" s="62">
        <v>45301</v>
      </c>
      <c r="B865" s="32" t="s">
        <v>2773</v>
      </c>
      <c r="C865" s="18" t="s">
        <v>2774</v>
      </c>
      <c r="D865" s="63" t="s">
        <v>2775</v>
      </c>
      <c r="E865" s="50" t="s">
        <v>2776</v>
      </c>
      <c r="F865" s="57">
        <v>15000</v>
      </c>
      <c r="G865" s="76"/>
      <c r="H865" s="57">
        <f t="shared" si="50"/>
        <v>15000</v>
      </c>
      <c r="I865" s="50">
        <v>1</v>
      </c>
      <c r="J865" s="57">
        <f t="shared" si="51"/>
        <v>15000</v>
      </c>
      <c r="K865" s="58">
        <f t="shared" si="52"/>
        <v>16500</v>
      </c>
      <c r="L865" s="18" t="s">
        <v>2759</v>
      </c>
      <c r="M865" s="50"/>
      <c r="N865" s="50"/>
    </row>
    <row r="866" spans="1:14" ht="21.75" hidden="1" customHeight="1" x14ac:dyDescent="0.4">
      <c r="A866" s="62">
        <v>45301</v>
      </c>
      <c r="B866" s="32" t="s">
        <v>2777</v>
      </c>
      <c r="C866" s="18" t="s">
        <v>2774</v>
      </c>
      <c r="D866" s="63" t="s">
        <v>2775</v>
      </c>
      <c r="E866" s="50" t="s">
        <v>2776</v>
      </c>
      <c r="F866" s="57">
        <v>15000</v>
      </c>
      <c r="G866" s="76"/>
      <c r="H866" s="57">
        <f t="shared" si="50"/>
        <v>15000</v>
      </c>
      <c r="I866" s="50">
        <v>1</v>
      </c>
      <c r="J866" s="57">
        <f t="shared" si="51"/>
        <v>15000</v>
      </c>
      <c r="K866" s="58">
        <f t="shared" si="52"/>
        <v>16500</v>
      </c>
      <c r="L866" s="18" t="s">
        <v>25</v>
      </c>
      <c r="M866" s="50"/>
      <c r="N866" s="50"/>
    </row>
    <row r="867" spans="1:14" ht="21.75" hidden="1" customHeight="1" x14ac:dyDescent="0.4">
      <c r="A867" s="62">
        <v>45301</v>
      </c>
      <c r="B867" s="32" t="s">
        <v>2778</v>
      </c>
      <c r="C867" s="18" t="s">
        <v>2774</v>
      </c>
      <c r="D867" s="63" t="s">
        <v>2775</v>
      </c>
      <c r="E867" s="50" t="s">
        <v>2776</v>
      </c>
      <c r="F867" s="57">
        <v>15000</v>
      </c>
      <c r="G867" s="76"/>
      <c r="H867" s="57">
        <f t="shared" si="50"/>
        <v>15000</v>
      </c>
      <c r="I867" s="50">
        <v>1</v>
      </c>
      <c r="J867" s="57">
        <f t="shared" si="51"/>
        <v>15000</v>
      </c>
      <c r="K867" s="58">
        <f t="shared" si="52"/>
        <v>16500</v>
      </c>
      <c r="L867" s="18" t="s">
        <v>25</v>
      </c>
      <c r="M867" s="50"/>
      <c r="N867" s="50"/>
    </row>
    <row r="868" spans="1:14" ht="21.75" hidden="1" customHeight="1" x14ac:dyDescent="0.4">
      <c r="A868" s="62">
        <v>45301</v>
      </c>
      <c r="B868" s="32" t="s">
        <v>148</v>
      </c>
      <c r="C868" s="18" t="s">
        <v>2756</v>
      </c>
      <c r="D868" s="63" t="s">
        <v>292</v>
      </c>
      <c r="E868" s="50" t="s">
        <v>2779</v>
      </c>
      <c r="F868" s="57">
        <v>4500</v>
      </c>
      <c r="G868" s="76"/>
      <c r="H868" s="57">
        <f t="shared" si="50"/>
        <v>4500</v>
      </c>
      <c r="I868" s="50">
        <v>1</v>
      </c>
      <c r="J868" s="57">
        <f t="shared" si="51"/>
        <v>4500</v>
      </c>
      <c r="K868" s="58">
        <f t="shared" si="52"/>
        <v>4950</v>
      </c>
      <c r="L868" s="18" t="s">
        <v>2759</v>
      </c>
      <c r="M868" s="50"/>
      <c r="N868" s="50"/>
    </row>
    <row r="869" spans="1:14" ht="21.75" hidden="1" customHeight="1" x14ac:dyDescent="0.4">
      <c r="A869" s="62">
        <v>45302</v>
      </c>
      <c r="B869" s="32" t="s">
        <v>2780</v>
      </c>
      <c r="C869" s="18" t="s">
        <v>22</v>
      </c>
      <c r="D869" s="63" t="s">
        <v>1496</v>
      </c>
      <c r="E869" s="50" t="s">
        <v>369</v>
      </c>
      <c r="F869" s="57">
        <v>3000</v>
      </c>
      <c r="G869" s="76"/>
      <c r="H869" s="57">
        <f t="shared" si="50"/>
        <v>3000</v>
      </c>
      <c r="I869" s="50">
        <v>1</v>
      </c>
      <c r="J869" s="57">
        <f t="shared" si="51"/>
        <v>3000</v>
      </c>
      <c r="K869" s="58">
        <f t="shared" si="52"/>
        <v>3300</v>
      </c>
      <c r="L869" s="18" t="s">
        <v>25</v>
      </c>
      <c r="M869" s="50" t="s">
        <v>2515</v>
      </c>
      <c r="N869" s="50"/>
    </row>
    <row r="870" spans="1:14" ht="21.75" hidden="1" customHeight="1" x14ac:dyDescent="0.4">
      <c r="A870" s="62">
        <v>45302</v>
      </c>
      <c r="B870" s="32" t="s">
        <v>2781</v>
      </c>
      <c r="C870" s="18" t="s">
        <v>2756</v>
      </c>
      <c r="D870" s="63" t="s">
        <v>328</v>
      </c>
      <c r="E870" s="50" t="s">
        <v>2782</v>
      </c>
      <c r="F870" s="57">
        <v>4600</v>
      </c>
      <c r="G870" s="76">
        <v>-460</v>
      </c>
      <c r="H870" s="57">
        <f t="shared" si="50"/>
        <v>4140</v>
      </c>
      <c r="I870" s="50">
        <v>1</v>
      </c>
      <c r="J870" s="57">
        <f t="shared" si="51"/>
        <v>4140</v>
      </c>
      <c r="K870" s="58">
        <f t="shared" si="52"/>
        <v>4554</v>
      </c>
      <c r="L870" s="18" t="s">
        <v>2759</v>
      </c>
      <c r="M870" s="50"/>
      <c r="N870" s="50" t="s">
        <v>2867</v>
      </c>
    </row>
    <row r="871" spans="1:14" ht="21.75" hidden="1" customHeight="1" x14ac:dyDescent="0.4">
      <c r="A871" s="62">
        <v>45302</v>
      </c>
      <c r="B871" s="32" t="s">
        <v>2781</v>
      </c>
      <c r="C871" s="18" t="s">
        <v>2756</v>
      </c>
      <c r="D871" s="63" t="s">
        <v>328</v>
      </c>
      <c r="E871" s="50" t="s">
        <v>2783</v>
      </c>
      <c r="F871" s="57">
        <v>50000</v>
      </c>
      <c r="G871" s="76">
        <v>-25000</v>
      </c>
      <c r="H871" s="57">
        <f t="shared" ref="H871:H937" si="53">SUM(F871:G871)</f>
        <v>25000</v>
      </c>
      <c r="I871" s="50">
        <v>1</v>
      </c>
      <c r="J871" s="57">
        <f t="shared" si="51"/>
        <v>25000</v>
      </c>
      <c r="K871" s="58">
        <f t="shared" si="52"/>
        <v>27500</v>
      </c>
      <c r="L871" s="18" t="s">
        <v>2759</v>
      </c>
      <c r="M871" s="50"/>
      <c r="N871" s="50" t="s">
        <v>2867</v>
      </c>
    </row>
    <row r="872" spans="1:14" ht="21.75" hidden="1" customHeight="1" x14ac:dyDescent="0.4">
      <c r="A872" s="62">
        <v>45302</v>
      </c>
      <c r="B872" s="32" t="s">
        <v>2781</v>
      </c>
      <c r="C872" s="18" t="s">
        <v>2756</v>
      </c>
      <c r="D872" s="63" t="s">
        <v>332</v>
      </c>
      <c r="E872" s="50" t="s">
        <v>2800</v>
      </c>
      <c r="F872" s="57">
        <v>1090</v>
      </c>
      <c r="G872" s="76">
        <v>-109</v>
      </c>
      <c r="H872" s="57">
        <f t="shared" si="53"/>
        <v>981</v>
      </c>
      <c r="I872" s="50">
        <v>2</v>
      </c>
      <c r="J872" s="57">
        <f t="shared" si="51"/>
        <v>1962</v>
      </c>
      <c r="K872" s="58">
        <f t="shared" si="52"/>
        <v>2158</v>
      </c>
      <c r="L872" s="18" t="s">
        <v>2759</v>
      </c>
      <c r="M872" s="50"/>
      <c r="N872" s="50" t="s">
        <v>2867</v>
      </c>
    </row>
    <row r="873" spans="1:14" ht="21.75" hidden="1" customHeight="1" x14ac:dyDescent="0.4">
      <c r="A873" s="62">
        <v>45303</v>
      </c>
      <c r="B873" s="32" t="s">
        <v>179</v>
      </c>
      <c r="C873" s="18" t="s">
        <v>17</v>
      </c>
      <c r="D873" s="63" t="s">
        <v>455</v>
      </c>
      <c r="E873" s="50" t="s">
        <v>2606</v>
      </c>
      <c r="F873" s="57">
        <v>1600</v>
      </c>
      <c r="G873" s="76">
        <v>-160</v>
      </c>
      <c r="H873" s="57">
        <f t="shared" si="53"/>
        <v>1440</v>
      </c>
      <c r="I873" s="50">
        <v>1</v>
      </c>
      <c r="J873" s="57">
        <f t="shared" si="51"/>
        <v>1440</v>
      </c>
      <c r="K873" s="58">
        <f t="shared" si="52"/>
        <v>1584</v>
      </c>
      <c r="L873" s="18" t="s">
        <v>2759</v>
      </c>
      <c r="M873" s="50"/>
      <c r="N873" s="50"/>
    </row>
    <row r="874" spans="1:14" ht="21.75" hidden="1" customHeight="1" x14ac:dyDescent="0.4">
      <c r="A874" s="62">
        <v>45303</v>
      </c>
      <c r="B874" s="32" t="s">
        <v>179</v>
      </c>
      <c r="C874" s="18" t="s">
        <v>17</v>
      </c>
      <c r="D874" s="63" t="s">
        <v>426</v>
      </c>
      <c r="E874" s="50" t="s">
        <v>1576</v>
      </c>
      <c r="F874" s="57">
        <v>1700</v>
      </c>
      <c r="G874" s="76">
        <v>-170</v>
      </c>
      <c r="H874" s="57">
        <f t="shared" si="53"/>
        <v>1530</v>
      </c>
      <c r="I874" s="50">
        <v>1</v>
      </c>
      <c r="J874" s="57">
        <f t="shared" si="51"/>
        <v>1530</v>
      </c>
      <c r="K874" s="58">
        <f t="shared" si="52"/>
        <v>1683</v>
      </c>
      <c r="L874" s="18" t="s">
        <v>2759</v>
      </c>
      <c r="M874" s="50"/>
      <c r="N874" s="50"/>
    </row>
    <row r="875" spans="1:14" ht="21.75" hidden="1" customHeight="1" x14ac:dyDescent="0.4">
      <c r="A875" s="62">
        <v>45303</v>
      </c>
      <c r="B875" s="32" t="s">
        <v>2784</v>
      </c>
      <c r="C875" s="18" t="s">
        <v>22</v>
      </c>
      <c r="D875" s="63" t="s">
        <v>1496</v>
      </c>
      <c r="E875" s="50" t="s">
        <v>369</v>
      </c>
      <c r="F875" s="57">
        <v>3000</v>
      </c>
      <c r="G875" s="76"/>
      <c r="H875" s="57">
        <f t="shared" si="53"/>
        <v>3000</v>
      </c>
      <c r="I875" s="50">
        <v>1</v>
      </c>
      <c r="J875" s="57">
        <f t="shared" si="51"/>
        <v>3000</v>
      </c>
      <c r="K875" s="58">
        <f t="shared" si="52"/>
        <v>3300</v>
      </c>
      <c r="L875" s="18" t="s">
        <v>25</v>
      </c>
      <c r="M875" s="50" t="s">
        <v>2515</v>
      </c>
      <c r="N875" s="50"/>
    </row>
    <row r="876" spans="1:14" ht="21.75" hidden="1" customHeight="1" x14ac:dyDescent="0.4">
      <c r="A876" s="62">
        <v>45304</v>
      </c>
      <c r="B876" s="32" t="s">
        <v>2785</v>
      </c>
      <c r="C876" s="18" t="s">
        <v>22</v>
      </c>
      <c r="D876" s="63" t="s">
        <v>23</v>
      </c>
      <c r="E876" s="50" t="s">
        <v>1941</v>
      </c>
      <c r="F876" s="57">
        <v>15000</v>
      </c>
      <c r="G876" s="76"/>
      <c r="H876" s="57">
        <f t="shared" si="53"/>
        <v>15000</v>
      </c>
      <c r="I876" s="50">
        <v>1</v>
      </c>
      <c r="J876" s="57">
        <f t="shared" si="51"/>
        <v>15000</v>
      </c>
      <c r="K876" s="58">
        <f t="shared" si="52"/>
        <v>16500</v>
      </c>
      <c r="L876" s="18" t="s">
        <v>2759</v>
      </c>
      <c r="M876" s="50" t="s">
        <v>2786</v>
      </c>
      <c r="N876" s="50"/>
    </row>
    <row r="877" spans="1:14" ht="21.75" hidden="1" customHeight="1" x14ac:dyDescent="0.4">
      <c r="A877" s="62">
        <v>45304</v>
      </c>
      <c r="B877" s="32" t="s">
        <v>2785</v>
      </c>
      <c r="C877" s="18" t="s">
        <v>2756</v>
      </c>
      <c r="D877" s="63" t="s">
        <v>328</v>
      </c>
      <c r="E877" s="50" t="s">
        <v>2787</v>
      </c>
      <c r="F877" s="57">
        <v>60000</v>
      </c>
      <c r="G877" s="76">
        <v>-12000</v>
      </c>
      <c r="H877" s="57">
        <f t="shared" si="53"/>
        <v>48000</v>
      </c>
      <c r="I877" s="50">
        <v>1</v>
      </c>
      <c r="J877" s="57">
        <f t="shared" si="51"/>
        <v>48000</v>
      </c>
      <c r="K877" s="58">
        <f t="shared" si="52"/>
        <v>52800</v>
      </c>
      <c r="L877" s="18" t="s">
        <v>2759</v>
      </c>
      <c r="M877" s="50"/>
      <c r="N877" s="50" t="s">
        <v>2867</v>
      </c>
    </row>
    <row r="878" spans="1:14" ht="21.75" hidden="1" customHeight="1" x14ac:dyDescent="0.4">
      <c r="A878" s="62">
        <v>45304</v>
      </c>
      <c r="B878" s="32" t="s">
        <v>2785</v>
      </c>
      <c r="C878" s="18" t="s">
        <v>2756</v>
      </c>
      <c r="D878" s="63" t="s">
        <v>2788</v>
      </c>
      <c r="E878" s="50" t="s">
        <v>2789</v>
      </c>
      <c r="F878" s="57">
        <v>80000</v>
      </c>
      <c r="G878" s="76"/>
      <c r="H878" s="57">
        <f t="shared" si="53"/>
        <v>80000</v>
      </c>
      <c r="I878" s="50">
        <v>1</v>
      </c>
      <c r="J878" s="57">
        <f t="shared" si="51"/>
        <v>80000</v>
      </c>
      <c r="K878" s="58">
        <f t="shared" si="52"/>
        <v>88000</v>
      </c>
      <c r="L878" s="18" t="s">
        <v>2759</v>
      </c>
      <c r="M878" s="50"/>
      <c r="N878" s="50" t="s">
        <v>2867</v>
      </c>
    </row>
    <row r="879" spans="1:14" ht="21.75" hidden="1" customHeight="1" x14ac:dyDescent="0.4">
      <c r="A879" s="62">
        <v>45304</v>
      </c>
      <c r="B879" s="32" t="s">
        <v>2785</v>
      </c>
      <c r="C879" s="18" t="s">
        <v>2756</v>
      </c>
      <c r="D879" s="63" t="s">
        <v>332</v>
      </c>
      <c r="E879" s="50" t="s">
        <v>2790</v>
      </c>
      <c r="F879" s="57">
        <v>1090</v>
      </c>
      <c r="G879" s="76"/>
      <c r="H879" s="57">
        <f t="shared" si="53"/>
        <v>1090</v>
      </c>
      <c r="I879" s="50">
        <v>1</v>
      </c>
      <c r="J879" s="57">
        <f t="shared" si="51"/>
        <v>1090</v>
      </c>
      <c r="K879" s="58">
        <f t="shared" si="52"/>
        <v>1199</v>
      </c>
      <c r="L879" s="18" t="s">
        <v>2759</v>
      </c>
      <c r="M879" s="50"/>
      <c r="N879" s="50" t="s">
        <v>2867</v>
      </c>
    </row>
    <row r="880" spans="1:14" ht="21.75" hidden="1" customHeight="1" x14ac:dyDescent="0.4">
      <c r="A880" s="62">
        <v>45304</v>
      </c>
      <c r="B880" s="32" t="s">
        <v>2785</v>
      </c>
      <c r="C880" s="185" t="s">
        <v>2791</v>
      </c>
      <c r="D880" s="63"/>
      <c r="E880" s="50" t="s">
        <v>2792</v>
      </c>
      <c r="F880" s="57">
        <v>-15000</v>
      </c>
      <c r="G880" s="76"/>
      <c r="H880" s="57">
        <f t="shared" si="53"/>
        <v>-15000</v>
      </c>
      <c r="I880" s="50">
        <v>1</v>
      </c>
      <c r="J880" s="57">
        <f t="shared" si="51"/>
        <v>-15000</v>
      </c>
      <c r="K880" s="58">
        <f t="shared" si="52"/>
        <v>-16500</v>
      </c>
      <c r="L880" s="18" t="s">
        <v>2759</v>
      </c>
      <c r="M880" s="50" t="s">
        <v>2786</v>
      </c>
      <c r="N880" s="50" t="s">
        <v>2867</v>
      </c>
    </row>
    <row r="881" spans="1:14" ht="21.75" hidden="1" customHeight="1" x14ac:dyDescent="0.4">
      <c r="A881" s="62">
        <v>45305</v>
      </c>
      <c r="B881" s="32" t="s">
        <v>2793</v>
      </c>
      <c r="C881" s="18" t="s">
        <v>22</v>
      </c>
      <c r="D881" s="63" t="s">
        <v>1496</v>
      </c>
      <c r="E881" s="50" t="s">
        <v>369</v>
      </c>
      <c r="F881" s="57">
        <v>3000</v>
      </c>
      <c r="G881" s="76"/>
      <c r="H881" s="57">
        <f t="shared" si="53"/>
        <v>3000</v>
      </c>
      <c r="I881" s="50">
        <v>1</v>
      </c>
      <c r="J881" s="57">
        <f t="shared" si="51"/>
        <v>3000</v>
      </c>
      <c r="K881" s="58">
        <f t="shared" si="52"/>
        <v>3300</v>
      </c>
      <c r="L881" s="18" t="s">
        <v>2759</v>
      </c>
      <c r="M881" s="50" t="s">
        <v>2515</v>
      </c>
      <c r="N881" s="50"/>
    </row>
    <row r="882" spans="1:14" ht="21.75" hidden="1" customHeight="1" x14ac:dyDescent="0.4">
      <c r="A882" s="62">
        <v>45305</v>
      </c>
      <c r="B882" s="32" t="s">
        <v>2793</v>
      </c>
      <c r="C882" s="18" t="s">
        <v>27</v>
      </c>
      <c r="D882" s="63" t="s">
        <v>28</v>
      </c>
      <c r="E882" s="50" t="s">
        <v>318</v>
      </c>
      <c r="F882" s="57">
        <v>15000</v>
      </c>
      <c r="G882" s="76"/>
      <c r="H882" s="57">
        <f t="shared" si="53"/>
        <v>15000</v>
      </c>
      <c r="I882" s="50">
        <v>1</v>
      </c>
      <c r="J882" s="57">
        <f t="shared" si="51"/>
        <v>15000</v>
      </c>
      <c r="K882" s="58">
        <f t="shared" si="52"/>
        <v>16500</v>
      </c>
      <c r="L882" s="18" t="s">
        <v>25</v>
      </c>
      <c r="M882" s="50"/>
      <c r="N882" s="50"/>
    </row>
    <row r="883" spans="1:14" ht="21.75" hidden="1" customHeight="1" x14ac:dyDescent="0.4">
      <c r="A883" s="62">
        <v>45305</v>
      </c>
      <c r="B883" s="32" t="s">
        <v>2793</v>
      </c>
      <c r="C883" s="18" t="s">
        <v>27</v>
      </c>
      <c r="D883" s="63" t="s">
        <v>28</v>
      </c>
      <c r="E883" s="50" t="s">
        <v>2366</v>
      </c>
      <c r="F883" s="57">
        <v>8750</v>
      </c>
      <c r="G883" s="76"/>
      <c r="H883" s="57">
        <f t="shared" si="53"/>
        <v>8750</v>
      </c>
      <c r="I883" s="50">
        <v>1</v>
      </c>
      <c r="J883" s="57">
        <f t="shared" si="51"/>
        <v>8750</v>
      </c>
      <c r="K883" s="58">
        <f t="shared" si="52"/>
        <v>9625</v>
      </c>
      <c r="L883" s="18" t="s">
        <v>25</v>
      </c>
      <c r="M883" s="50"/>
      <c r="N883" s="50"/>
    </row>
    <row r="884" spans="1:14" ht="21.75" hidden="1" customHeight="1" x14ac:dyDescent="0.4">
      <c r="A884" s="62">
        <v>45305</v>
      </c>
      <c r="B884" s="32" t="s">
        <v>2793</v>
      </c>
      <c r="C884" s="18" t="s">
        <v>27</v>
      </c>
      <c r="D884" s="63" t="s">
        <v>28</v>
      </c>
      <c r="E884" s="50" t="s">
        <v>1897</v>
      </c>
      <c r="F884" s="57">
        <v>17500</v>
      </c>
      <c r="G884" s="76"/>
      <c r="H884" s="57">
        <f t="shared" si="53"/>
        <v>17500</v>
      </c>
      <c r="I884" s="50">
        <v>1</v>
      </c>
      <c r="J884" s="57">
        <f t="shared" si="51"/>
        <v>17500</v>
      </c>
      <c r="K884" s="58">
        <f t="shared" si="52"/>
        <v>19250</v>
      </c>
      <c r="L884" s="18" t="s">
        <v>25</v>
      </c>
      <c r="M884" s="50"/>
      <c r="N884" s="50"/>
    </row>
    <row r="885" spans="1:14" ht="21.75" hidden="1" customHeight="1" x14ac:dyDescent="0.4">
      <c r="A885" s="62">
        <v>45305</v>
      </c>
      <c r="B885" s="32" t="s">
        <v>2794</v>
      </c>
      <c r="C885" s="18" t="s">
        <v>22</v>
      </c>
      <c r="D885" s="63" t="s">
        <v>1496</v>
      </c>
      <c r="E885" s="50" t="s">
        <v>369</v>
      </c>
      <c r="F885" s="57">
        <v>3000</v>
      </c>
      <c r="G885" s="76"/>
      <c r="H885" s="57">
        <f t="shared" si="53"/>
        <v>3000</v>
      </c>
      <c r="I885" s="50">
        <v>1</v>
      </c>
      <c r="J885" s="57">
        <f t="shared" si="51"/>
        <v>3000</v>
      </c>
      <c r="K885" s="58">
        <f t="shared" si="52"/>
        <v>3300</v>
      </c>
      <c r="L885" s="18" t="s">
        <v>25</v>
      </c>
      <c r="M885" s="195" t="s">
        <v>2515</v>
      </c>
      <c r="N885" s="50"/>
    </row>
    <row r="886" spans="1:14" ht="21.75" hidden="1" customHeight="1" x14ac:dyDescent="0.4">
      <c r="A886" s="62">
        <v>45305</v>
      </c>
      <c r="B886" s="32" t="s">
        <v>2270</v>
      </c>
      <c r="C886" s="18" t="s">
        <v>2756</v>
      </c>
      <c r="D886" s="63" t="s">
        <v>332</v>
      </c>
      <c r="E886" s="50" t="s">
        <v>2800</v>
      </c>
      <c r="F886" s="57">
        <v>1090</v>
      </c>
      <c r="G886" s="76">
        <v>-109</v>
      </c>
      <c r="H886" s="57">
        <f t="shared" si="53"/>
        <v>981</v>
      </c>
      <c r="I886" s="50">
        <v>13</v>
      </c>
      <c r="J886" s="57">
        <f t="shared" si="51"/>
        <v>12753</v>
      </c>
      <c r="K886" s="58">
        <f t="shared" si="52"/>
        <v>14028</v>
      </c>
      <c r="L886" s="18" t="s">
        <v>25</v>
      </c>
      <c r="M886" s="50"/>
      <c r="N886" s="50"/>
    </row>
    <row r="887" spans="1:14" ht="21.75" hidden="1" customHeight="1" x14ac:dyDescent="0.4">
      <c r="A887" s="62">
        <v>45305</v>
      </c>
      <c r="B887" s="32" t="s">
        <v>2794</v>
      </c>
      <c r="C887" s="18" t="s">
        <v>27</v>
      </c>
      <c r="D887" s="63" t="s">
        <v>28</v>
      </c>
      <c r="E887" s="50" t="s">
        <v>318</v>
      </c>
      <c r="F887" s="57">
        <v>15000</v>
      </c>
      <c r="G887" s="76"/>
      <c r="H887" s="57">
        <f t="shared" si="53"/>
        <v>15000</v>
      </c>
      <c r="I887" s="50">
        <v>1</v>
      </c>
      <c r="J887" s="57">
        <f t="shared" si="51"/>
        <v>15000</v>
      </c>
      <c r="K887" s="58">
        <f t="shared" si="52"/>
        <v>16500</v>
      </c>
      <c r="L887" s="18" t="s">
        <v>25</v>
      </c>
      <c r="M887" s="50"/>
      <c r="N887" s="50"/>
    </row>
    <row r="888" spans="1:14" ht="21.75" hidden="1" customHeight="1" x14ac:dyDescent="0.4">
      <c r="A888" s="62">
        <v>45305</v>
      </c>
      <c r="B888" s="32" t="s">
        <v>2794</v>
      </c>
      <c r="C888" s="18" t="s">
        <v>27</v>
      </c>
      <c r="D888" s="63" t="s">
        <v>28</v>
      </c>
      <c r="E888" s="50" t="s">
        <v>2366</v>
      </c>
      <c r="F888" s="57">
        <v>8750</v>
      </c>
      <c r="G888" s="76"/>
      <c r="H888" s="57">
        <f t="shared" si="53"/>
        <v>8750</v>
      </c>
      <c r="I888" s="50">
        <v>1</v>
      </c>
      <c r="J888" s="57">
        <f t="shared" ref="J888:J954" si="54">SUM(H888*I888)</f>
        <v>8750</v>
      </c>
      <c r="K888" s="58">
        <f t="shared" ref="K888:K954" si="55">ROUNDDOWN(J888*1.1,0)</f>
        <v>9625</v>
      </c>
      <c r="L888" s="18" t="s">
        <v>25</v>
      </c>
      <c r="M888" s="50"/>
      <c r="N888" s="50"/>
    </row>
    <row r="889" spans="1:14" ht="21.75" hidden="1" customHeight="1" x14ac:dyDescent="0.4">
      <c r="A889" s="62">
        <v>45305</v>
      </c>
      <c r="B889" s="32" t="s">
        <v>2794</v>
      </c>
      <c r="C889" s="18" t="s">
        <v>27</v>
      </c>
      <c r="D889" s="63" t="s">
        <v>28</v>
      </c>
      <c r="E889" s="50" t="s">
        <v>1897</v>
      </c>
      <c r="F889" s="57">
        <v>17500</v>
      </c>
      <c r="G889" s="76"/>
      <c r="H889" s="57">
        <f t="shared" si="53"/>
        <v>17500</v>
      </c>
      <c r="I889" s="50">
        <v>1</v>
      </c>
      <c r="J889" s="57">
        <f t="shared" si="54"/>
        <v>17500</v>
      </c>
      <c r="K889" s="58">
        <f t="shared" si="55"/>
        <v>19250</v>
      </c>
      <c r="L889" s="18" t="s">
        <v>25</v>
      </c>
      <c r="M889" s="50"/>
      <c r="N889" s="50"/>
    </row>
    <row r="890" spans="1:14" ht="21.75" hidden="1" customHeight="1" x14ac:dyDescent="0.4">
      <c r="A890" s="62">
        <v>45305</v>
      </c>
      <c r="B890" s="32" t="s">
        <v>2795</v>
      </c>
      <c r="C890" s="18" t="s">
        <v>2756</v>
      </c>
      <c r="D890" s="63" t="s">
        <v>332</v>
      </c>
      <c r="E890" s="50" t="s">
        <v>2796</v>
      </c>
      <c r="F890" s="57">
        <v>2500</v>
      </c>
      <c r="G890" s="76">
        <v>-1250</v>
      </c>
      <c r="H890" s="57">
        <f t="shared" si="53"/>
        <v>1250</v>
      </c>
      <c r="I890" s="50">
        <v>2</v>
      </c>
      <c r="J890" s="57">
        <f t="shared" si="54"/>
        <v>2500</v>
      </c>
      <c r="K890" s="58">
        <f t="shared" si="55"/>
        <v>2750</v>
      </c>
      <c r="L890" s="18" t="s">
        <v>2759</v>
      </c>
      <c r="M890" s="50"/>
      <c r="N890" s="50"/>
    </row>
    <row r="891" spans="1:14" ht="21.75" hidden="1" customHeight="1" x14ac:dyDescent="0.4">
      <c r="A891" s="62">
        <v>45305</v>
      </c>
      <c r="B891" s="32" t="s">
        <v>2797</v>
      </c>
      <c r="C891" s="18" t="s">
        <v>2756</v>
      </c>
      <c r="D891" s="63" t="s">
        <v>426</v>
      </c>
      <c r="E891" s="50" t="s">
        <v>2798</v>
      </c>
      <c r="F891" s="57">
        <v>1700</v>
      </c>
      <c r="G891" s="76">
        <v>-680</v>
      </c>
      <c r="H891" s="57">
        <f t="shared" si="53"/>
        <v>1020</v>
      </c>
      <c r="I891" s="50">
        <v>2</v>
      </c>
      <c r="J891" s="57">
        <f t="shared" si="54"/>
        <v>2040</v>
      </c>
      <c r="K891" s="58">
        <f t="shared" si="55"/>
        <v>2244</v>
      </c>
      <c r="L891" s="18" t="s">
        <v>25</v>
      </c>
      <c r="M891" s="50"/>
      <c r="N891" s="50"/>
    </row>
    <row r="892" spans="1:14" ht="21.75" hidden="1" customHeight="1" x14ac:dyDescent="0.4">
      <c r="A892" s="62">
        <v>45306</v>
      </c>
      <c r="B892" s="32" t="s">
        <v>2799</v>
      </c>
      <c r="C892" s="18" t="s">
        <v>2756</v>
      </c>
      <c r="D892" s="63" t="s">
        <v>332</v>
      </c>
      <c r="E892" s="50" t="s">
        <v>2801</v>
      </c>
      <c r="F892" s="57">
        <v>1090</v>
      </c>
      <c r="G892" s="76">
        <v>-109</v>
      </c>
      <c r="H892" s="57">
        <f t="shared" si="53"/>
        <v>981</v>
      </c>
      <c r="I892" s="50">
        <v>1</v>
      </c>
      <c r="J892" s="57">
        <f t="shared" si="54"/>
        <v>981</v>
      </c>
      <c r="K892" s="58">
        <f t="shared" si="55"/>
        <v>1079</v>
      </c>
      <c r="L892" s="18" t="s">
        <v>2759</v>
      </c>
      <c r="M892" s="50"/>
      <c r="N892" s="50"/>
    </row>
    <row r="893" spans="1:14" ht="21.75" hidden="1" customHeight="1" x14ac:dyDescent="0.4">
      <c r="A893" s="62">
        <v>45306</v>
      </c>
      <c r="B893" s="32" t="s">
        <v>2802</v>
      </c>
      <c r="C893" s="18" t="s">
        <v>2756</v>
      </c>
      <c r="D893" s="63" t="s">
        <v>426</v>
      </c>
      <c r="E893" s="50" t="s">
        <v>2803</v>
      </c>
      <c r="F893" s="57">
        <v>1700</v>
      </c>
      <c r="G893" s="76">
        <v>-170</v>
      </c>
      <c r="H893" s="57">
        <f t="shared" si="53"/>
        <v>1530</v>
      </c>
      <c r="I893" s="50">
        <v>1</v>
      </c>
      <c r="J893" s="57">
        <f t="shared" si="54"/>
        <v>1530</v>
      </c>
      <c r="K893" s="58">
        <f t="shared" si="55"/>
        <v>1683</v>
      </c>
      <c r="L893" s="18" t="s">
        <v>25</v>
      </c>
      <c r="M893" s="50"/>
      <c r="N893" s="50"/>
    </row>
    <row r="894" spans="1:14" ht="21.75" hidden="1" customHeight="1" x14ac:dyDescent="0.4">
      <c r="A894" s="62">
        <v>45308</v>
      </c>
      <c r="B894" s="32" t="s">
        <v>2780</v>
      </c>
      <c r="C894" s="18" t="s">
        <v>27</v>
      </c>
      <c r="D894" s="63" t="s">
        <v>28</v>
      </c>
      <c r="E894" s="50" t="s">
        <v>318</v>
      </c>
      <c r="F894" s="57">
        <v>15000</v>
      </c>
      <c r="G894" s="76"/>
      <c r="H894" s="57">
        <f t="shared" si="53"/>
        <v>15000</v>
      </c>
      <c r="I894" s="50">
        <v>1</v>
      </c>
      <c r="J894" s="57">
        <f t="shared" si="54"/>
        <v>15000</v>
      </c>
      <c r="K894" s="58">
        <f t="shared" si="55"/>
        <v>16500</v>
      </c>
      <c r="L894" s="18" t="s">
        <v>25</v>
      </c>
      <c r="M894" s="50"/>
      <c r="N894" s="50"/>
    </row>
    <row r="895" spans="1:14" ht="21.75" hidden="1" customHeight="1" x14ac:dyDescent="0.4">
      <c r="A895" s="62">
        <v>45308</v>
      </c>
      <c r="B895" s="32" t="s">
        <v>2780</v>
      </c>
      <c r="C895" s="18" t="s">
        <v>27</v>
      </c>
      <c r="D895" s="63" t="s">
        <v>28</v>
      </c>
      <c r="E895" s="50" t="s">
        <v>2804</v>
      </c>
      <c r="F895" s="57">
        <v>4370</v>
      </c>
      <c r="G895" s="76"/>
      <c r="H895" s="57">
        <f t="shared" si="53"/>
        <v>4370</v>
      </c>
      <c r="I895" s="50">
        <v>1</v>
      </c>
      <c r="J895" s="57">
        <f t="shared" si="54"/>
        <v>4370</v>
      </c>
      <c r="K895" s="58">
        <f t="shared" si="55"/>
        <v>4807</v>
      </c>
      <c r="L895" s="18" t="s">
        <v>25</v>
      </c>
      <c r="M895" s="50"/>
      <c r="N895" s="50"/>
    </row>
    <row r="896" spans="1:14" ht="21.75" hidden="1" customHeight="1" x14ac:dyDescent="0.4">
      <c r="A896" s="62">
        <v>45308</v>
      </c>
      <c r="B896" s="32" t="s">
        <v>2780</v>
      </c>
      <c r="C896" s="18" t="s">
        <v>27</v>
      </c>
      <c r="D896" s="63" t="s">
        <v>28</v>
      </c>
      <c r="E896" s="50" t="s">
        <v>1897</v>
      </c>
      <c r="F896" s="57">
        <v>17500</v>
      </c>
      <c r="G896" s="76"/>
      <c r="H896" s="57">
        <f t="shared" si="53"/>
        <v>17500</v>
      </c>
      <c r="I896" s="50">
        <v>1</v>
      </c>
      <c r="J896" s="57">
        <f t="shared" si="54"/>
        <v>17500</v>
      </c>
      <c r="K896" s="58">
        <f t="shared" si="55"/>
        <v>19250</v>
      </c>
      <c r="L896" s="18" t="s">
        <v>25</v>
      </c>
      <c r="M896" s="50"/>
      <c r="N896" s="50"/>
    </row>
    <row r="897" spans="1:14" ht="21.75" hidden="1" customHeight="1" x14ac:dyDescent="0.4">
      <c r="A897" s="62">
        <v>45308</v>
      </c>
      <c r="B897" s="32" t="s">
        <v>678</v>
      </c>
      <c r="C897" s="18" t="s">
        <v>2756</v>
      </c>
      <c r="D897" s="63" t="s">
        <v>2757</v>
      </c>
      <c r="E897" s="50" t="s">
        <v>2805</v>
      </c>
      <c r="F897" s="57">
        <v>2600</v>
      </c>
      <c r="G897" s="76">
        <v>-260</v>
      </c>
      <c r="H897" s="57">
        <f t="shared" si="53"/>
        <v>2340</v>
      </c>
      <c r="I897" s="50">
        <v>1</v>
      </c>
      <c r="J897" s="57">
        <f t="shared" si="54"/>
        <v>2340</v>
      </c>
      <c r="K897" s="58">
        <f t="shared" si="55"/>
        <v>2574</v>
      </c>
      <c r="L897" s="18" t="s">
        <v>2759</v>
      </c>
      <c r="M897" s="50"/>
      <c r="N897" s="50"/>
    </row>
    <row r="898" spans="1:14" ht="21.75" hidden="1" customHeight="1" x14ac:dyDescent="0.4">
      <c r="A898" s="62">
        <v>45308</v>
      </c>
      <c r="B898" s="32" t="s">
        <v>2806</v>
      </c>
      <c r="C898" s="18" t="s">
        <v>22</v>
      </c>
      <c r="D898" s="63" t="s">
        <v>23</v>
      </c>
      <c r="E898" s="50" t="s">
        <v>1941</v>
      </c>
      <c r="F898" s="57">
        <v>15000</v>
      </c>
      <c r="G898" s="76"/>
      <c r="H898" s="57">
        <f t="shared" si="53"/>
        <v>15000</v>
      </c>
      <c r="I898" s="50">
        <v>1</v>
      </c>
      <c r="J898" s="57">
        <f t="shared" si="54"/>
        <v>15000</v>
      </c>
      <c r="K898" s="58">
        <f t="shared" si="55"/>
        <v>16500</v>
      </c>
      <c r="L898" s="18" t="s">
        <v>25</v>
      </c>
      <c r="M898" s="50" t="s">
        <v>2515</v>
      </c>
      <c r="N898" s="50"/>
    </row>
    <row r="899" spans="1:14" ht="21.75" hidden="1" customHeight="1" x14ac:dyDescent="0.4">
      <c r="A899" s="62">
        <v>45308</v>
      </c>
      <c r="B899" s="32" t="s">
        <v>2807</v>
      </c>
      <c r="C899" s="18" t="s">
        <v>22</v>
      </c>
      <c r="D899" s="63" t="s">
        <v>1496</v>
      </c>
      <c r="E899" s="50" t="s">
        <v>369</v>
      </c>
      <c r="F899" s="57">
        <v>3000</v>
      </c>
      <c r="G899" s="76"/>
      <c r="H899" s="57">
        <f t="shared" si="53"/>
        <v>3000</v>
      </c>
      <c r="I899" s="50">
        <v>1</v>
      </c>
      <c r="J899" s="57">
        <f t="shared" si="54"/>
        <v>3000</v>
      </c>
      <c r="K899" s="58">
        <f t="shared" si="55"/>
        <v>3300</v>
      </c>
      <c r="L899" s="18" t="s">
        <v>25</v>
      </c>
      <c r="M899" s="50" t="s">
        <v>2515</v>
      </c>
      <c r="N899" s="50"/>
    </row>
    <row r="900" spans="1:14" ht="21.75" hidden="1" customHeight="1" x14ac:dyDescent="0.4">
      <c r="A900" s="62">
        <v>45308</v>
      </c>
      <c r="B900" s="32" t="s">
        <v>2760</v>
      </c>
      <c r="C900" s="18" t="s">
        <v>27</v>
      </c>
      <c r="D900" s="63" t="s">
        <v>28</v>
      </c>
      <c r="E900" s="50" t="s">
        <v>2808</v>
      </c>
      <c r="F900" s="57">
        <v>2500</v>
      </c>
      <c r="G900" s="76"/>
      <c r="H900" s="57">
        <f t="shared" si="53"/>
        <v>2500</v>
      </c>
      <c r="I900" s="50">
        <v>1</v>
      </c>
      <c r="J900" s="57">
        <f t="shared" si="54"/>
        <v>2500</v>
      </c>
      <c r="K900" s="58">
        <f t="shared" si="55"/>
        <v>2750</v>
      </c>
      <c r="L900" s="18" t="s">
        <v>2759</v>
      </c>
      <c r="M900" s="50"/>
      <c r="N900" s="50"/>
    </row>
    <row r="901" spans="1:14" ht="21.75" hidden="1" customHeight="1" x14ac:dyDescent="0.4">
      <c r="A901" s="62">
        <v>45308</v>
      </c>
      <c r="B901" s="32" t="s">
        <v>1571</v>
      </c>
      <c r="C901" s="18" t="s">
        <v>2756</v>
      </c>
      <c r="D901" s="63" t="s">
        <v>328</v>
      </c>
      <c r="E901" s="50" t="s">
        <v>2809</v>
      </c>
      <c r="F901" s="57">
        <v>50000</v>
      </c>
      <c r="G901" s="76">
        <v>-10000</v>
      </c>
      <c r="H901" s="57">
        <f t="shared" si="53"/>
        <v>40000</v>
      </c>
      <c r="I901" s="50">
        <v>1</v>
      </c>
      <c r="J901" s="57">
        <f t="shared" si="54"/>
        <v>40000</v>
      </c>
      <c r="K901" s="58">
        <f t="shared" si="55"/>
        <v>44000</v>
      </c>
      <c r="L901" s="18" t="s">
        <v>34</v>
      </c>
      <c r="M901" s="50"/>
      <c r="N901" s="50" t="s">
        <v>2868</v>
      </c>
    </row>
    <row r="902" spans="1:14" ht="21.75" hidden="1" customHeight="1" x14ac:dyDescent="0.4">
      <c r="A902" s="62">
        <v>45308</v>
      </c>
      <c r="B902" s="32" t="s">
        <v>1571</v>
      </c>
      <c r="C902" s="18" t="s">
        <v>2756</v>
      </c>
      <c r="D902" s="63" t="s">
        <v>330</v>
      </c>
      <c r="E902" s="50" t="s">
        <v>2810</v>
      </c>
      <c r="F902" s="57">
        <v>4200</v>
      </c>
      <c r="G902" s="76"/>
      <c r="H902" s="57">
        <f t="shared" si="53"/>
        <v>4200</v>
      </c>
      <c r="I902" s="50">
        <v>1</v>
      </c>
      <c r="J902" s="57">
        <f t="shared" si="54"/>
        <v>4200</v>
      </c>
      <c r="K902" s="58">
        <f t="shared" si="55"/>
        <v>4620</v>
      </c>
      <c r="L902" s="18" t="s">
        <v>34</v>
      </c>
      <c r="M902" s="50"/>
      <c r="N902" s="50" t="s">
        <v>2868</v>
      </c>
    </row>
    <row r="903" spans="1:14" ht="21.75" hidden="1" customHeight="1" x14ac:dyDescent="0.4">
      <c r="A903" s="62">
        <v>45308</v>
      </c>
      <c r="B903" s="32" t="s">
        <v>1571</v>
      </c>
      <c r="C903" s="18" t="s">
        <v>2756</v>
      </c>
      <c r="D903" s="63" t="s">
        <v>332</v>
      </c>
      <c r="E903" s="50" t="s">
        <v>2811</v>
      </c>
      <c r="F903" s="57">
        <v>1200</v>
      </c>
      <c r="G903" s="76"/>
      <c r="H903" s="57">
        <f t="shared" si="53"/>
        <v>1200</v>
      </c>
      <c r="I903" s="50">
        <v>1</v>
      </c>
      <c r="J903" s="57">
        <f t="shared" si="54"/>
        <v>1200</v>
      </c>
      <c r="K903" s="58">
        <f t="shared" si="55"/>
        <v>1320</v>
      </c>
      <c r="L903" s="18" t="s">
        <v>34</v>
      </c>
      <c r="M903" s="50"/>
      <c r="N903" s="50" t="s">
        <v>2868</v>
      </c>
    </row>
    <row r="904" spans="1:14" ht="21.75" hidden="1" customHeight="1" x14ac:dyDescent="0.4">
      <c r="A904" s="62">
        <v>45308</v>
      </c>
      <c r="B904" s="32" t="s">
        <v>2760</v>
      </c>
      <c r="C904" s="18" t="s">
        <v>27</v>
      </c>
      <c r="D904" s="63" t="s">
        <v>28</v>
      </c>
      <c r="E904" s="50" t="s">
        <v>2808</v>
      </c>
      <c r="F904" s="57">
        <v>5000</v>
      </c>
      <c r="G904" s="76"/>
      <c r="H904" s="57">
        <f t="shared" si="53"/>
        <v>5000</v>
      </c>
      <c r="I904" s="50">
        <v>1</v>
      </c>
      <c r="J904" s="57">
        <f t="shared" si="54"/>
        <v>5000</v>
      </c>
      <c r="K904" s="58">
        <f t="shared" si="55"/>
        <v>5500</v>
      </c>
      <c r="L904" s="18" t="s">
        <v>2759</v>
      </c>
      <c r="M904" s="50"/>
      <c r="N904" s="50"/>
    </row>
    <row r="905" spans="1:14" ht="21.75" hidden="1" customHeight="1" x14ac:dyDescent="0.4">
      <c r="A905" s="62">
        <v>45308</v>
      </c>
      <c r="B905" s="32" t="s">
        <v>2812</v>
      </c>
      <c r="C905" s="18" t="s">
        <v>2756</v>
      </c>
      <c r="D905" s="63" t="s">
        <v>332</v>
      </c>
      <c r="E905" s="50" t="s">
        <v>2813</v>
      </c>
      <c r="F905" s="57">
        <v>2700</v>
      </c>
      <c r="G905" s="76">
        <v>-270</v>
      </c>
      <c r="H905" s="57">
        <f t="shared" si="53"/>
        <v>2430</v>
      </c>
      <c r="I905" s="50">
        <v>6</v>
      </c>
      <c r="J905" s="57">
        <f t="shared" si="54"/>
        <v>14580</v>
      </c>
      <c r="K905" s="58">
        <f t="shared" si="55"/>
        <v>16038</v>
      </c>
      <c r="L905" s="18" t="s">
        <v>34</v>
      </c>
      <c r="M905" s="50"/>
      <c r="N905" s="50"/>
    </row>
    <row r="906" spans="1:14" ht="21.75" hidden="1" customHeight="1" x14ac:dyDescent="0.4">
      <c r="A906" s="62">
        <v>45308</v>
      </c>
      <c r="B906" s="32" t="s">
        <v>2812</v>
      </c>
      <c r="C906" s="18" t="s">
        <v>2756</v>
      </c>
      <c r="D906" s="63" t="s">
        <v>332</v>
      </c>
      <c r="E906" s="50" t="s">
        <v>2813</v>
      </c>
      <c r="F906" s="57">
        <v>2700</v>
      </c>
      <c r="G906" s="76">
        <v>-270</v>
      </c>
      <c r="H906" s="57">
        <f t="shared" si="53"/>
        <v>2430</v>
      </c>
      <c r="I906" s="50">
        <v>2</v>
      </c>
      <c r="J906" s="57">
        <f t="shared" si="54"/>
        <v>4860</v>
      </c>
      <c r="K906" s="58">
        <f t="shared" si="55"/>
        <v>5346</v>
      </c>
      <c r="L906" s="18" t="s">
        <v>25</v>
      </c>
      <c r="M906" s="50"/>
      <c r="N906" s="50"/>
    </row>
    <row r="907" spans="1:14" ht="21.75" hidden="1" customHeight="1" x14ac:dyDescent="0.4">
      <c r="A907" s="62">
        <v>45309</v>
      </c>
      <c r="B907" s="32" t="s">
        <v>2814</v>
      </c>
      <c r="C907" s="18" t="s">
        <v>22</v>
      </c>
      <c r="D907" s="63" t="s">
        <v>1496</v>
      </c>
      <c r="E907" s="50" t="s">
        <v>369</v>
      </c>
      <c r="F907" s="57">
        <v>3000</v>
      </c>
      <c r="G907" s="76"/>
      <c r="H907" s="57">
        <f t="shared" si="53"/>
        <v>3000</v>
      </c>
      <c r="I907" s="50">
        <v>1</v>
      </c>
      <c r="J907" s="57">
        <f t="shared" si="54"/>
        <v>3000</v>
      </c>
      <c r="K907" s="58">
        <f t="shared" si="55"/>
        <v>3300</v>
      </c>
      <c r="L907" s="18" t="s">
        <v>25</v>
      </c>
      <c r="M907" s="50" t="s">
        <v>2515</v>
      </c>
      <c r="N907" s="50"/>
    </row>
    <row r="908" spans="1:14" ht="21.75" hidden="1" customHeight="1" x14ac:dyDescent="0.4">
      <c r="A908" s="62">
        <v>45309</v>
      </c>
      <c r="B908" s="32" t="s">
        <v>2814</v>
      </c>
      <c r="C908" s="18" t="s">
        <v>27</v>
      </c>
      <c r="D908" s="63" t="s">
        <v>28</v>
      </c>
      <c r="E908" s="50" t="s">
        <v>318</v>
      </c>
      <c r="F908" s="57">
        <v>15000</v>
      </c>
      <c r="G908" s="76"/>
      <c r="H908" s="57">
        <f t="shared" si="53"/>
        <v>15000</v>
      </c>
      <c r="I908" s="50">
        <v>1</v>
      </c>
      <c r="J908" s="57">
        <f t="shared" si="54"/>
        <v>15000</v>
      </c>
      <c r="K908" s="58">
        <f t="shared" si="55"/>
        <v>16500</v>
      </c>
      <c r="L908" s="18" t="s">
        <v>25</v>
      </c>
      <c r="M908" s="50"/>
      <c r="N908" s="50"/>
    </row>
    <row r="909" spans="1:14" ht="21.75" hidden="1" customHeight="1" x14ac:dyDescent="0.4">
      <c r="A909" s="62">
        <v>45309</v>
      </c>
      <c r="B909" s="32" t="s">
        <v>2814</v>
      </c>
      <c r="C909" s="18" t="s">
        <v>27</v>
      </c>
      <c r="D909" s="63" t="s">
        <v>28</v>
      </c>
      <c r="E909" s="50" t="s">
        <v>2107</v>
      </c>
      <c r="F909" s="57">
        <v>4370</v>
      </c>
      <c r="G909" s="76"/>
      <c r="H909" s="57">
        <f t="shared" si="53"/>
        <v>4370</v>
      </c>
      <c r="I909" s="50">
        <v>1</v>
      </c>
      <c r="J909" s="57">
        <f t="shared" si="54"/>
        <v>4370</v>
      </c>
      <c r="K909" s="58">
        <f t="shared" si="55"/>
        <v>4807</v>
      </c>
      <c r="L909" s="18" t="s">
        <v>25</v>
      </c>
      <c r="M909" s="50"/>
      <c r="N909" s="50"/>
    </row>
    <row r="910" spans="1:14" ht="21.75" hidden="1" customHeight="1" x14ac:dyDescent="0.4">
      <c r="A910" s="62">
        <v>45309</v>
      </c>
      <c r="B910" s="32" t="s">
        <v>2814</v>
      </c>
      <c r="C910" s="18" t="s">
        <v>27</v>
      </c>
      <c r="D910" s="63" t="s">
        <v>28</v>
      </c>
      <c r="E910" s="50" t="s">
        <v>1897</v>
      </c>
      <c r="F910" s="57">
        <v>17500</v>
      </c>
      <c r="G910" s="76"/>
      <c r="H910" s="57">
        <f t="shared" si="53"/>
        <v>17500</v>
      </c>
      <c r="I910" s="50">
        <v>1</v>
      </c>
      <c r="J910" s="57">
        <f t="shared" si="54"/>
        <v>17500</v>
      </c>
      <c r="K910" s="58">
        <f t="shared" si="55"/>
        <v>19250</v>
      </c>
      <c r="L910" s="18" t="s">
        <v>25</v>
      </c>
      <c r="M910" s="50"/>
      <c r="N910" s="50"/>
    </row>
    <row r="911" spans="1:14" ht="21.75" hidden="1" customHeight="1" x14ac:dyDescent="0.4">
      <c r="A911" s="62">
        <v>45309</v>
      </c>
      <c r="B911" s="32" t="s">
        <v>2815</v>
      </c>
      <c r="C911" s="18" t="s">
        <v>22</v>
      </c>
      <c r="D911" s="63" t="s">
        <v>23</v>
      </c>
      <c r="E911" s="50" t="s">
        <v>2816</v>
      </c>
      <c r="F911" s="57">
        <v>10000</v>
      </c>
      <c r="G911" s="76"/>
      <c r="H911" s="57">
        <f t="shared" si="53"/>
        <v>10000</v>
      </c>
      <c r="I911" s="50">
        <v>1</v>
      </c>
      <c r="J911" s="57">
        <f t="shared" si="54"/>
        <v>10000</v>
      </c>
      <c r="K911" s="58">
        <f t="shared" si="55"/>
        <v>11000</v>
      </c>
      <c r="L911" s="18" t="s">
        <v>25</v>
      </c>
      <c r="M911" s="50"/>
      <c r="N911" s="50"/>
    </row>
    <row r="912" spans="1:14" ht="21.75" hidden="1" customHeight="1" x14ac:dyDescent="0.4">
      <c r="A912" s="62">
        <v>45310</v>
      </c>
      <c r="B912" s="32" t="s">
        <v>2817</v>
      </c>
      <c r="C912" s="18" t="s">
        <v>2756</v>
      </c>
      <c r="D912" s="63" t="s">
        <v>2818</v>
      </c>
      <c r="E912" s="50" t="s">
        <v>2819</v>
      </c>
      <c r="F912" s="57">
        <v>1000</v>
      </c>
      <c r="G912" s="76">
        <v>-100</v>
      </c>
      <c r="H912" s="57">
        <f t="shared" si="53"/>
        <v>900</v>
      </c>
      <c r="I912" s="50">
        <v>1</v>
      </c>
      <c r="J912" s="57">
        <f t="shared" si="54"/>
        <v>900</v>
      </c>
      <c r="K912" s="58">
        <f t="shared" si="55"/>
        <v>990</v>
      </c>
      <c r="L912" s="18" t="s">
        <v>2759</v>
      </c>
      <c r="M912" s="50"/>
      <c r="N912" s="50"/>
    </row>
    <row r="913" spans="1:15" ht="21.75" hidden="1" customHeight="1" x14ac:dyDescent="0.4">
      <c r="A913" s="62">
        <v>45310</v>
      </c>
      <c r="B913" s="32" t="s">
        <v>179</v>
      </c>
      <c r="C913" s="18" t="s">
        <v>2756</v>
      </c>
      <c r="D913" s="63" t="s">
        <v>328</v>
      </c>
      <c r="E913" s="50" t="s">
        <v>2820</v>
      </c>
      <c r="F913" s="57">
        <v>25000</v>
      </c>
      <c r="G913" s="76">
        <v>-2500</v>
      </c>
      <c r="H913" s="57">
        <f t="shared" si="53"/>
        <v>22500</v>
      </c>
      <c r="I913" s="50">
        <v>1</v>
      </c>
      <c r="J913" s="57">
        <f t="shared" si="54"/>
        <v>22500</v>
      </c>
      <c r="K913" s="58">
        <f t="shared" si="55"/>
        <v>24750</v>
      </c>
      <c r="L913" s="18" t="s">
        <v>2759</v>
      </c>
      <c r="M913" s="50"/>
      <c r="N913" s="50"/>
    </row>
    <row r="914" spans="1:15" ht="21.75" hidden="1" customHeight="1" x14ac:dyDescent="0.4">
      <c r="A914" s="62">
        <v>45310</v>
      </c>
      <c r="B914" s="32" t="s">
        <v>179</v>
      </c>
      <c r="C914" s="18" t="s">
        <v>17</v>
      </c>
      <c r="D914" s="63" t="s">
        <v>455</v>
      </c>
      <c r="E914" s="50" t="s">
        <v>2606</v>
      </c>
      <c r="F914" s="57">
        <v>1600</v>
      </c>
      <c r="G914" s="76">
        <v>-160</v>
      </c>
      <c r="H914" s="57">
        <f t="shared" si="53"/>
        <v>1440</v>
      </c>
      <c r="I914" s="50">
        <v>1</v>
      </c>
      <c r="J914" s="57">
        <f t="shared" si="54"/>
        <v>1440</v>
      </c>
      <c r="K914" s="58">
        <f t="shared" si="55"/>
        <v>1584</v>
      </c>
      <c r="L914" s="18" t="s">
        <v>2759</v>
      </c>
      <c r="M914" s="50"/>
      <c r="N914" s="50"/>
    </row>
    <row r="915" spans="1:15" ht="21.75" hidden="1" customHeight="1" x14ac:dyDescent="0.4">
      <c r="A915" s="62">
        <v>45310</v>
      </c>
      <c r="B915" s="32" t="s">
        <v>2821</v>
      </c>
      <c r="C915" s="18" t="s">
        <v>2756</v>
      </c>
      <c r="D915" s="63" t="s">
        <v>426</v>
      </c>
      <c r="E915" s="50" t="s">
        <v>1899</v>
      </c>
      <c r="F915" s="57">
        <v>1700</v>
      </c>
      <c r="G915" s="76">
        <v>-170</v>
      </c>
      <c r="H915" s="57">
        <f t="shared" si="53"/>
        <v>1530</v>
      </c>
      <c r="I915" s="50">
        <v>1</v>
      </c>
      <c r="J915" s="57">
        <f t="shared" si="54"/>
        <v>1530</v>
      </c>
      <c r="K915" s="58">
        <f t="shared" si="55"/>
        <v>1683</v>
      </c>
      <c r="L915" s="18" t="s">
        <v>2759</v>
      </c>
      <c r="M915" s="50"/>
      <c r="N915" s="50"/>
    </row>
    <row r="916" spans="1:15" ht="21.75" hidden="1" customHeight="1" x14ac:dyDescent="0.4">
      <c r="A916" s="62">
        <v>45310</v>
      </c>
      <c r="B916" s="32" t="s">
        <v>2821</v>
      </c>
      <c r="C916" s="18" t="s">
        <v>2756</v>
      </c>
      <c r="D916" s="63" t="s">
        <v>455</v>
      </c>
      <c r="E916" s="50" t="s">
        <v>2822</v>
      </c>
      <c r="F916" s="57">
        <v>1090</v>
      </c>
      <c r="G916" s="76">
        <v>-109</v>
      </c>
      <c r="H916" s="57">
        <f t="shared" si="53"/>
        <v>981</v>
      </c>
      <c r="I916" s="50">
        <v>1</v>
      </c>
      <c r="J916" s="57">
        <f t="shared" si="54"/>
        <v>981</v>
      </c>
      <c r="K916" s="58">
        <f t="shared" si="55"/>
        <v>1079</v>
      </c>
      <c r="L916" s="18" t="s">
        <v>2759</v>
      </c>
      <c r="M916" s="50"/>
      <c r="N916" s="50"/>
    </row>
    <row r="917" spans="1:15" ht="21.75" hidden="1" customHeight="1" x14ac:dyDescent="0.4">
      <c r="A917" s="62">
        <v>45311</v>
      </c>
      <c r="B917" s="32" t="s">
        <v>2777</v>
      </c>
      <c r="C917" s="18" t="s">
        <v>2756</v>
      </c>
      <c r="D917" s="63" t="s">
        <v>292</v>
      </c>
      <c r="E917" s="50" t="s">
        <v>2764</v>
      </c>
      <c r="F917" s="57">
        <v>5500</v>
      </c>
      <c r="G917" s="76"/>
      <c r="H917" s="57">
        <f t="shared" si="53"/>
        <v>5500</v>
      </c>
      <c r="I917" s="50">
        <v>1</v>
      </c>
      <c r="J917" s="57">
        <f t="shared" si="54"/>
        <v>5500</v>
      </c>
      <c r="K917" s="58">
        <f t="shared" si="55"/>
        <v>6050</v>
      </c>
      <c r="L917" s="18" t="s">
        <v>25</v>
      </c>
      <c r="M917" s="50"/>
      <c r="N917" s="50"/>
    </row>
    <row r="918" spans="1:15" ht="21.75" hidden="1" customHeight="1" x14ac:dyDescent="0.4">
      <c r="A918" s="62">
        <v>45311</v>
      </c>
      <c r="B918" s="32" t="s">
        <v>1924</v>
      </c>
      <c r="C918" s="18" t="s">
        <v>2756</v>
      </c>
      <c r="D918" s="63" t="s">
        <v>332</v>
      </c>
      <c r="E918" s="50" t="s">
        <v>2823</v>
      </c>
      <c r="F918" s="57">
        <v>1090</v>
      </c>
      <c r="G918" s="76">
        <v>-109</v>
      </c>
      <c r="H918" s="57">
        <f t="shared" si="53"/>
        <v>981</v>
      </c>
      <c r="I918" s="50">
        <v>1</v>
      </c>
      <c r="J918" s="57">
        <f t="shared" si="54"/>
        <v>981</v>
      </c>
      <c r="K918" s="58">
        <f t="shared" si="55"/>
        <v>1079</v>
      </c>
      <c r="L918" s="18" t="s">
        <v>2759</v>
      </c>
      <c r="M918" s="50"/>
      <c r="N918" s="50"/>
    </row>
    <row r="919" spans="1:15" ht="21.75" hidden="1" customHeight="1" x14ac:dyDescent="0.4">
      <c r="A919" s="62">
        <v>45311</v>
      </c>
      <c r="B919" s="32" t="s">
        <v>2824</v>
      </c>
      <c r="C919" s="18" t="s">
        <v>22</v>
      </c>
      <c r="D919" s="63" t="s">
        <v>23</v>
      </c>
      <c r="E919" s="50" t="s">
        <v>1941</v>
      </c>
      <c r="F919" s="57">
        <v>15000</v>
      </c>
      <c r="G919" s="76"/>
      <c r="H919" s="57">
        <f t="shared" si="53"/>
        <v>15000</v>
      </c>
      <c r="I919" s="50">
        <v>1</v>
      </c>
      <c r="J919" s="57">
        <f t="shared" si="54"/>
        <v>15000</v>
      </c>
      <c r="K919" s="58">
        <f t="shared" si="55"/>
        <v>16500</v>
      </c>
      <c r="L919" s="18" t="s">
        <v>2759</v>
      </c>
      <c r="M919" s="50" t="s">
        <v>2515</v>
      </c>
      <c r="N919" s="50"/>
    </row>
    <row r="920" spans="1:15" ht="21.75" hidden="1" customHeight="1" x14ac:dyDescent="0.4">
      <c r="A920" s="62">
        <v>45311</v>
      </c>
      <c r="B920" s="32" t="s">
        <v>2825</v>
      </c>
      <c r="C920" s="18" t="s">
        <v>22</v>
      </c>
      <c r="D920" s="63" t="s">
        <v>23</v>
      </c>
      <c r="E920" s="50" t="s">
        <v>1941</v>
      </c>
      <c r="F920" s="57">
        <v>15000</v>
      </c>
      <c r="G920" s="76"/>
      <c r="H920" s="57">
        <f t="shared" si="53"/>
        <v>15000</v>
      </c>
      <c r="I920" s="50">
        <v>1</v>
      </c>
      <c r="J920" s="57">
        <f t="shared" si="54"/>
        <v>15000</v>
      </c>
      <c r="K920" s="58">
        <f t="shared" si="55"/>
        <v>16500</v>
      </c>
      <c r="L920" s="18" t="s">
        <v>25</v>
      </c>
      <c r="M920" s="50" t="s">
        <v>2515</v>
      </c>
      <c r="N920" s="50"/>
    </row>
    <row r="921" spans="1:15" ht="21.75" hidden="1" customHeight="1" x14ac:dyDescent="0.4">
      <c r="A921" s="62">
        <v>45311</v>
      </c>
      <c r="B921" s="32" t="s">
        <v>2826</v>
      </c>
      <c r="C921" s="18" t="s">
        <v>22</v>
      </c>
      <c r="D921" s="63" t="s">
        <v>1496</v>
      </c>
      <c r="E921" s="50" t="s">
        <v>369</v>
      </c>
      <c r="F921" s="57">
        <v>3000</v>
      </c>
      <c r="G921" s="76"/>
      <c r="H921" s="57">
        <f t="shared" si="53"/>
        <v>3000</v>
      </c>
      <c r="I921" s="50">
        <v>1</v>
      </c>
      <c r="J921" s="57">
        <f t="shared" si="54"/>
        <v>3000</v>
      </c>
      <c r="K921" s="58">
        <f t="shared" si="55"/>
        <v>3300</v>
      </c>
      <c r="L921" s="18" t="s">
        <v>2759</v>
      </c>
      <c r="M921" s="50" t="s">
        <v>2515</v>
      </c>
      <c r="N921" s="50"/>
    </row>
    <row r="922" spans="1:15" ht="21.75" hidden="1" customHeight="1" x14ac:dyDescent="0.4">
      <c r="A922" s="62">
        <v>45312</v>
      </c>
      <c r="B922" s="32" t="s">
        <v>2486</v>
      </c>
      <c r="C922" s="18" t="s">
        <v>22</v>
      </c>
      <c r="D922" s="63" t="s">
        <v>23</v>
      </c>
      <c r="E922" s="50" t="s">
        <v>2508</v>
      </c>
      <c r="F922" s="57">
        <v>13500</v>
      </c>
      <c r="G922" s="76"/>
      <c r="H922" s="57">
        <f t="shared" si="53"/>
        <v>13500</v>
      </c>
      <c r="I922" s="50">
        <v>1</v>
      </c>
      <c r="J922" s="57">
        <f t="shared" si="54"/>
        <v>13500</v>
      </c>
      <c r="K922" s="58">
        <f t="shared" si="55"/>
        <v>14850</v>
      </c>
      <c r="L922" s="18" t="s">
        <v>25</v>
      </c>
      <c r="M922" s="50" t="s">
        <v>2377</v>
      </c>
      <c r="N922" s="50"/>
    </row>
    <row r="923" spans="1:15" ht="21.75" hidden="1" customHeight="1" x14ac:dyDescent="0.4">
      <c r="A923" s="62">
        <v>45312</v>
      </c>
      <c r="B923" s="32" t="s">
        <v>2486</v>
      </c>
      <c r="C923" s="18" t="s">
        <v>2756</v>
      </c>
      <c r="D923" s="63" t="s">
        <v>328</v>
      </c>
      <c r="E923" s="50" t="s">
        <v>2827</v>
      </c>
      <c r="F923" s="57">
        <v>63000</v>
      </c>
      <c r="G923" s="76">
        <v>-12600</v>
      </c>
      <c r="H923" s="57">
        <f t="shared" si="53"/>
        <v>50400</v>
      </c>
      <c r="I923" s="50">
        <v>1</v>
      </c>
      <c r="J923" s="57">
        <f t="shared" si="54"/>
        <v>50400</v>
      </c>
      <c r="K923" s="58">
        <f t="shared" si="55"/>
        <v>55440</v>
      </c>
      <c r="L923" s="18" t="s">
        <v>34</v>
      </c>
      <c r="M923" s="50"/>
      <c r="N923" s="50" t="s">
        <v>2867</v>
      </c>
    </row>
    <row r="924" spans="1:15" ht="21.75" hidden="1" customHeight="1" x14ac:dyDescent="0.4">
      <c r="A924" s="62">
        <v>45312</v>
      </c>
      <c r="B924" s="32" t="s">
        <v>2486</v>
      </c>
      <c r="C924" s="18" t="s">
        <v>2756</v>
      </c>
      <c r="D924" s="63" t="s">
        <v>2788</v>
      </c>
      <c r="E924" s="50" t="s">
        <v>2828</v>
      </c>
      <c r="F924" s="57">
        <v>65000</v>
      </c>
      <c r="G924" s="76">
        <v>-9750</v>
      </c>
      <c r="H924" s="57">
        <f t="shared" si="53"/>
        <v>55250</v>
      </c>
      <c r="I924" s="50">
        <v>1</v>
      </c>
      <c r="J924" s="57">
        <f t="shared" si="54"/>
        <v>55250</v>
      </c>
      <c r="K924" s="58">
        <f t="shared" si="55"/>
        <v>60775</v>
      </c>
      <c r="L924" s="18" t="s">
        <v>34</v>
      </c>
      <c r="M924" s="50"/>
      <c r="N924" s="50" t="s">
        <v>2867</v>
      </c>
    </row>
    <row r="925" spans="1:15" ht="21.75" hidden="1" customHeight="1" x14ac:dyDescent="0.4">
      <c r="A925" s="62">
        <v>45312</v>
      </c>
      <c r="B925" s="32" t="s">
        <v>2486</v>
      </c>
      <c r="C925" s="18" t="s">
        <v>2756</v>
      </c>
      <c r="D925" s="63" t="s">
        <v>332</v>
      </c>
      <c r="E925" s="50" t="s">
        <v>2829</v>
      </c>
      <c r="F925" s="57">
        <v>1400</v>
      </c>
      <c r="G925" s="76"/>
      <c r="H925" s="57">
        <f t="shared" si="53"/>
        <v>1400</v>
      </c>
      <c r="I925" s="50">
        <v>1</v>
      </c>
      <c r="J925" s="57">
        <f t="shared" si="54"/>
        <v>1400</v>
      </c>
      <c r="K925" s="58">
        <f t="shared" si="55"/>
        <v>1540</v>
      </c>
      <c r="L925" s="18" t="s">
        <v>34</v>
      </c>
      <c r="M925" s="50"/>
      <c r="N925" s="50" t="s">
        <v>2867</v>
      </c>
    </row>
    <row r="926" spans="1:15" ht="21.75" hidden="1" customHeight="1" x14ac:dyDescent="0.4">
      <c r="A926" s="62">
        <v>45312</v>
      </c>
      <c r="B926" s="32" t="s">
        <v>2486</v>
      </c>
      <c r="C926" s="185" t="s">
        <v>2791</v>
      </c>
      <c r="D926" s="63"/>
      <c r="E926" s="50" t="s">
        <v>2792</v>
      </c>
      <c r="F926" s="57">
        <v>-13500</v>
      </c>
      <c r="G926" s="76"/>
      <c r="H926" s="57">
        <f t="shared" si="53"/>
        <v>-13500</v>
      </c>
      <c r="I926" s="50">
        <v>1</v>
      </c>
      <c r="J926" s="57">
        <f t="shared" si="54"/>
        <v>-13500</v>
      </c>
      <c r="K926" s="58">
        <f t="shared" si="55"/>
        <v>-14850</v>
      </c>
      <c r="L926" s="18" t="s">
        <v>34</v>
      </c>
      <c r="M926" s="50" t="s">
        <v>2830</v>
      </c>
      <c r="N926" s="50" t="s">
        <v>2867</v>
      </c>
    </row>
    <row r="927" spans="1:15" ht="21.75" hidden="1" customHeight="1" x14ac:dyDescent="0.4">
      <c r="A927" s="62">
        <v>45312</v>
      </c>
      <c r="B927" s="32" t="s">
        <v>2780</v>
      </c>
      <c r="C927" s="18" t="s">
        <v>27</v>
      </c>
      <c r="D927" s="63" t="s">
        <v>28</v>
      </c>
      <c r="E927" s="50" t="s">
        <v>2808</v>
      </c>
      <c r="F927" s="186">
        <v>5000</v>
      </c>
      <c r="G927" s="187"/>
      <c r="H927" s="186">
        <f t="shared" si="53"/>
        <v>5000</v>
      </c>
      <c r="I927" s="159">
        <v>1</v>
      </c>
      <c r="J927" s="186">
        <f t="shared" si="54"/>
        <v>5000</v>
      </c>
      <c r="K927" s="188">
        <f t="shared" si="55"/>
        <v>5500</v>
      </c>
      <c r="L927" s="18" t="s">
        <v>25</v>
      </c>
      <c r="M927" s="50"/>
      <c r="N927" s="50"/>
      <c r="O927" s="189" t="s">
        <v>2869</v>
      </c>
    </row>
    <row r="928" spans="1:15" ht="21.75" hidden="1" customHeight="1" x14ac:dyDescent="0.4">
      <c r="A928" s="62">
        <v>45312</v>
      </c>
      <c r="B928" s="32" t="s">
        <v>2719</v>
      </c>
      <c r="C928" s="18" t="s">
        <v>2756</v>
      </c>
      <c r="D928" s="63" t="s">
        <v>2831</v>
      </c>
      <c r="E928" s="50" t="s">
        <v>2832</v>
      </c>
      <c r="F928" s="57">
        <v>5000</v>
      </c>
      <c r="G928" s="76">
        <v>-2350</v>
      </c>
      <c r="H928" s="57">
        <f t="shared" si="53"/>
        <v>2650</v>
      </c>
      <c r="I928" s="50">
        <v>1</v>
      </c>
      <c r="J928" s="57">
        <f t="shared" si="54"/>
        <v>2650</v>
      </c>
      <c r="K928" s="58">
        <f t="shared" si="55"/>
        <v>2915</v>
      </c>
      <c r="L928" s="18" t="s">
        <v>2759</v>
      </c>
      <c r="M928" s="50"/>
      <c r="N928" s="50"/>
    </row>
    <row r="929" spans="1:15" ht="21.75" hidden="1" customHeight="1" x14ac:dyDescent="0.4">
      <c r="A929" s="190">
        <v>45312</v>
      </c>
      <c r="B929" s="191" t="s">
        <v>2872</v>
      </c>
      <c r="C929" s="192" t="s">
        <v>17</v>
      </c>
      <c r="D929" s="193" t="s">
        <v>2873</v>
      </c>
      <c r="E929" s="159" t="s">
        <v>2876</v>
      </c>
      <c r="F929" s="186">
        <v>70000</v>
      </c>
      <c r="G929" s="187">
        <v>-40000</v>
      </c>
      <c r="H929" s="186">
        <f t="shared" si="53"/>
        <v>30000</v>
      </c>
      <c r="I929" s="159">
        <v>1</v>
      </c>
      <c r="J929" s="186">
        <f t="shared" ref="J929:J930" si="56">SUM(H929*I929)</f>
        <v>30000</v>
      </c>
      <c r="K929" s="188">
        <f t="shared" ref="K929:K930" si="57">ROUNDDOWN(J929*1.1,0)</f>
        <v>33000</v>
      </c>
      <c r="L929" s="192" t="s">
        <v>34</v>
      </c>
      <c r="M929" s="89" t="s">
        <v>2871</v>
      </c>
      <c r="N929" s="50"/>
      <c r="O929" s="189" t="s">
        <v>2877</v>
      </c>
    </row>
    <row r="930" spans="1:15" ht="21.75" hidden="1" customHeight="1" x14ac:dyDescent="0.4">
      <c r="A930" s="190">
        <v>45312</v>
      </c>
      <c r="B930" s="191" t="s">
        <v>2872</v>
      </c>
      <c r="C930" s="192" t="s">
        <v>17</v>
      </c>
      <c r="D930" s="193" t="s">
        <v>328</v>
      </c>
      <c r="E930" s="159" t="s">
        <v>2874</v>
      </c>
      <c r="F930" s="186">
        <v>58000</v>
      </c>
      <c r="G930" s="187">
        <v>-11600</v>
      </c>
      <c r="H930" s="186">
        <f t="shared" si="53"/>
        <v>46400</v>
      </c>
      <c r="I930" s="159">
        <v>2</v>
      </c>
      <c r="J930" s="186">
        <f t="shared" si="56"/>
        <v>92800</v>
      </c>
      <c r="K930" s="188">
        <f t="shared" si="57"/>
        <v>102080</v>
      </c>
      <c r="L930" s="192" t="s">
        <v>34</v>
      </c>
      <c r="M930" s="89" t="s">
        <v>2871</v>
      </c>
      <c r="N930" s="50"/>
      <c r="O930" s="189" t="s">
        <v>2877</v>
      </c>
    </row>
    <row r="931" spans="1:15" ht="21.75" hidden="1" customHeight="1" x14ac:dyDescent="0.4">
      <c r="A931" s="190">
        <v>45312</v>
      </c>
      <c r="B931" s="191" t="s">
        <v>2872</v>
      </c>
      <c r="C931" s="192" t="s">
        <v>17</v>
      </c>
      <c r="D931" s="193" t="s">
        <v>332</v>
      </c>
      <c r="E931" s="159" t="s">
        <v>2875</v>
      </c>
      <c r="F931" s="186">
        <v>1800</v>
      </c>
      <c r="G931" s="187"/>
      <c r="H931" s="186">
        <f t="shared" ref="H931" si="58">SUM(F931:G931)</f>
        <v>1800</v>
      </c>
      <c r="I931" s="159">
        <v>2</v>
      </c>
      <c r="J931" s="186">
        <f t="shared" ref="J931" si="59">SUM(H931*I931)</f>
        <v>3600</v>
      </c>
      <c r="K931" s="188">
        <f t="shared" ref="K931" si="60">ROUNDDOWN(J931*1.1,0)</f>
        <v>3960</v>
      </c>
      <c r="L931" s="192" t="s">
        <v>34</v>
      </c>
      <c r="M931" s="89" t="s">
        <v>2871</v>
      </c>
      <c r="N931" s="50"/>
      <c r="O931" s="189" t="s">
        <v>2877</v>
      </c>
    </row>
    <row r="932" spans="1:15" ht="21.75" hidden="1" customHeight="1" x14ac:dyDescent="0.4">
      <c r="A932" s="62">
        <v>45313</v>
      </c>
      <c r="B932" s="32" t="s">
        <v>2833</v>
      </c>
      <c r="C932" s="18" t="s">
        <v>27</v>
      </c>
      <c r="D932" s="63" t="s">
        <v>28</v>
      </c>
      <c r="E932" s="50" t="s">
        <v>2739</v>
      </c>
      <c r="F932" s="57">
        <v>2000</v>
      </c>
      <c r="G932" s="76"/>
      <c r="H932" s="57">
        <f t="shared" si="53"/>
        <v>2000</v>
      </c>
      <c r="I932" s="50">
        <v>1</v>
      </c>
      <c r="J932" s="57">
        <f t="shared" si="54"/>
        <v>2000</v>
      </c>
      <c r="K932" s="58">
        <f t="shared" si="55"/>
        <v>2200</v>
      </c>
      <c r="L932" s="18" t="s">
        <v>2759</v>
      </c>
      <c r="M932" s="50"/>
      <c r="N932" s="50"/>
    </row>
    <row r="933" spans="1:15" ht="21.75" hidden="1" customHeight="1" x14ac:dyDescent="0.4">
      <c r="A933" s="62">
        <v>45313</v>
      </c>
      <c r="B933" s="32" t="s">
        <v>2834</v>
      </c>
      <c r="C933" s="18" t="s">
        <v>27</v>
      </c>
      <c r="D933" s="63" t="s">
        <v>28</v>
      </c>
      <c r="E933" s="50" t="s">
        <v>318</v>
      </c>
      <c r="F933" s="57">
        <v>15000</v>
      </c>
      <c r="G933" s="76"/>
      <c r="H933" s="57">
        <f t="shared" si="53"/>
        <v>15000</v>
      </c>
      <c r="I933" s="50">
        <v>1</v>
      </c>
      <c r="J933" s="57">
        <f t="shared" si="54"/>
        <v>15000</v>
      </c>
      <c r="K933" s="58">
        <f t="shared" si="55"/>
        <v>16500</v>
      </c>
      <c r="L933" s="18" t="s">
        <v>25</v>
      </c>
      <c r="M933" s="50"/>
      <c r="N933" s="50"/>
    </row>
    <row r="934" spans="1:15" ht="21.75" hidden="1" customHeight="1" x14ac:dyDescent="0.4">
      <c r="A934" s="62">
        <v>45315</v>
      </c>
      <c r="B934" s="32" t="s">
        <v>2835</v>
      </c>
      <c r="C934" s="18" t="s">
        <v>22</v>
      </c>
      <c r="D934" s="63" t="s">
        <v>1496</v>
      </c>
      <c r="E934" s="50" t="s">
        <v>369</v>
      </c>
      <c r="F934" s="57">
        <v>3000</v>
      </c>
      <c r="G934" s="76"/>
      <c r="H934" s="57">
        <f t="shared" si="53"/>
        <v>3000</v>
      </c>
      <c r="I934" s="50">
        <v>1</v>
      </c>
      <c r="J934" s="57">
        <f t="shared" si="54"/>
        <v>3000</v>
      </c>
      <c r="K934" s="58">
        <f t="shared" si="55"/>
        <v>3300</v>
      </c>
      <c r="L934" s="18" t="s">
        <v>25</v>
      </c>
      <c r="M934" s="50" t="s">
        <v>2515</v>
      </c>
      <c r="N934" s="50"/>
    </row>
    <row r="935" spans="1:15" ht="21.75" hidden="1" customHeight="1" x14ac:dyDescent="0.4">
      <c r="A935" s="62">
        <v>45315</v>
      </c>
      <c r="B935" s="32" t="s">
        <v>2836</v>
      </c>
      <c r="C935" s="18" t="s">
        <v>2756</v>
      </c>
      <c r="D935" s="63" t="s">
        <v>2831</v>
      </c>
      <c r="E935" s="50" t="s">
        <v>2837</v>
      </c>
      <c r="F935" s="57">
        <v>3000</v>
      </c>
      <c r="G935" s="76"/>
      <c r="H935" s="57">
        <f t="shared" si="53"/>
        <v>3000</v>
      </c>
      <c r="I935" s="50">
        <v>1</v>
      </c>
      <c r="J935" s="57">
        <f t="shared" si="54"/>
        <v>3000</v>
      </c>
      <c r="K935" s="58">
        <f t="shared" si="55"/>
        <v>3300</v>
      </c>
      <c r="L935" s="18" t="s">
        <v>2759</v>
      </c>
      <c r="M935" s="50"/>
      <c r="N935" s="50"/>
    </row>
    <row r="936" spans="1:15" ht="21.75" hidden="1" customHeight="1" x14ac:dyDescent="0.4">
      <c r="A936" s="62">
        <v>45315</v>
      </c>
      <c r="B936" s="32" t="s">
        <v>2767</v>
      </c>
      <c r="C936" s="18" t="s">
        <v>2756</v>
      </c>
      <c r="D936" s="63" t="s">
        <v>332</v>
      </c>
      <c r="E936" s="50" t="s">
        <v>2838</v>
      </c>
      <c r="F936" s="57">
        <v>1150</v>
      </c>
      <c r="G936" s="76">
        <v>-115</v>
      </c>
      <c r="H936" s="57">
        <f t="shared" si="53"/>
        <v>1035</v>
      </c>
      <c r="I936" s="50">
        <v>6</v>
      </c>
      <c r="J936" s="57">
        <f t="shared" si="54"/>
        <v>6210</v>
      </c>
      <c r="K936" s="58">
        <f t="shared" si="55"/>
        <v>6831</v>
      </c>
      <c r="L936" s="18" t="s">
        <v>2759</v>
      </c>
      <c r="M936" s="50"/>
      <c r="N936" s="50"/>
    </row>
    <row r="937" spans="1:15" ht="21.75" hidden="1" customHeight="1" x14ac:dyDescent="0.4">
      <c r="A937" s="62">
        <v>45315</v>
      </c>
      <c r="B937" s="32" t="s">
        <v>2839</v>
      </c>
      <c r="C937" s="18" t="s">
        <v>2756</v>
      </c>
      <c r="D937" s="63" t="s">
        <v>332</v>
      </c>
      <c r="E937" s="195" t="s">
        <v>2121</v>
      </c>
      <c r="F937" s="57">
        <v>1800</v>
      </c>
      <c r="G937" s="76">
        <v>-180</v>
      </c>
      <c r="H937" s="57">
        <f t="shared" si="53"/>
        <v>1620</v>
      </c>
      <c r="I937" s="50">
        <v>1</v>
      </c>
      <c r="J937" s="57">
        <f t="shared" si="54"/>
        <v>1620</v>
      </c>
      <c r="K937" s="58">
        <f t="shared" si="55"/>
        <v>1782</v>
      </c>
      <c r="L937" s="18" t="s">
        <v>25</v>
      </c>
      <c r="M937" s="50"/>
      <c r="N937" s="50"/>
    </row>
    <row r="938" spans="1:15" ht="21.75" hidden="1" customHeight="1" x14ac:dyDescent="0.4">
      <c r="A938" s="62">
        <v>45316</v>
      </c>
      <c r="B938" s="32" t="s">
        <v>678</v>
      </c>
      <c r="C938" s="18" t="s">
        <v>2756</v>
      </c>
      <c r="D938" s="63" t="s">
        <v>455</v>
      </c>
      <c r="E938" s="50" t="s">
        <v>2758</v>
      </c>
      <c r="F938" s="57">
        <v>1200</v>
      </c>
      <c r="G938" s="76">
        <v>-120</v>
      </c>
      <c r="H938" s="57">
        <f t="shared" ref="H938:H1001" si="61">SUM(F938:G938)</f>
        <v>1080</v>
      </c>
      <c r="I938" s="50">
        <v>3</v>
      </c>
      <c r="J938" s="57">
        <f t="shared" si="54"/>
        <v>3240</v>
      </c>
      <c r="K938" s="58">
        <f t="shared" si="55"/>
        <v>3564</v>
      </c>
      <c r="L938" s="18" t="s">
        <v>2759</v>
      </c>
      <c r="M938" s="50"/>
      <c r="N938" s="50"/>
    </row>
    <row r="939" spans="1:15" ht="21.75" hidden="1" customHeight="1" x14ac:dyDescent="0.4">
      <c r="A939" s="62">
        <v>45317</v>
      </c>
      <c r="B939" s="194" t="s">
        <v>148</v>
      </c>
      <c r="C939" s="18" t="s">
        <v>27</v>
      </c>
      <c r="D939" s="63" t="s">
        <v>28</v>
      </c>
      <c r="E939" s="50" t="s">
        <v>1897</v>
      </c>
      <c r="F939" s="57">
        <v>17500</v>
      </c>
      <c r="G939" s="76"/>
      <c r="H939" s="57">
        <f t="shared" si="61"/>
        <v>17500</v>
      </c>
      <c r="I939" s="50">
        <v>1</v>
      </c>
      <c r="J939" s="57">
        <f t="shared" si="54"/>
        <v>17500</v>
      </c>
      <c r="K939" s="58">
        <f t="shared" si="55"/>
        <v>19250</v>
      </c>
      <c r="L939" s="18" t="s">
        <v>2759</v>
      </c>
      <c r="M939" s="50"/>
      <c r="N939" s="50"/>
    </row>
    <row r="940" spans="1:15" ht="21.75" hidden="1" customHeight="1" x14ac:dyDescent="0.4">
      <c r="A940" s="62">
        <v>45317</v>
      </c>
      <c r="B940" s="32" t="s">
        <v>2841</v>
      </c>
      <c r="C940" s="18" t="s">
        <v>27</v>
      </c>
      <c r="D940" s="63" t="s">
        <v>28</v>
      </c>
      <c r="E940" s="50" t="s">
        <v>2808</v>
      </c>
      <c r="F940" s="57">
        <v>5000</v>
      </c>
      <c r="G940" s="76"/>
      <c r="H940" s="57">
        <f t="shared" si="61"/>
        <v>5000</v>
      </c>
      <c r="I940" s="50">
        <v>1</v>
      </c>
      <c r="J940" s="57">
        <f t="shared" si="54"/>
        <v>5000</v>
      </c>
      <c r="K940" s="58">
        <f t="shared" si="55"/>
        <v>5500</v>
      </c>
      <c r="L940" s="18" t="s">
        <v>25</v>
      </c>
      <c r="M940" s="50"/>
      <c r="N940" s="50"/>
    </row>
    <row r="941" spans="1:15" ht="21.75" hidden="1" customHeight="1" x14ac:dyDescent="0.4">
      <c r="A941" s="62">
        <v>45318</v>
      </c>
      <c r="B941" s="32" t="s">
        <v>2842</v>
      </c>
      <c r="C941" s="18" t="s">
        <v>22</v>
      </c>
      <c r="D941" s="63" t="s">
        <v>23</v>
      </c>
      <c r="E941" s="50" t="s">
        <v>1941</v>
      </c>
      <c r="F941" s="57">
        <v>15000</v>
      </c>
      <c r="G941" s="76"/>
      <c r="H941" s="57">
        <f t="shared" si="61"/>
        <v>15000</v>
      </c>
      <c r="I941" s="50">
        <v>1</v>
      </c>
      <c r="J941" s="57">
        <f t="shared" si="54"/>
        <v>15000</v>
      </c>
      <c r="K941" s="58">
        <f t="shared" si="55"/>
        <v>16500</v>
      </c>
      <c r="L941" s="18" t="s">
        <v>25</v>
      </c>
      <c r="M941" s="50"/>
      <c r="N941" s="50"/>
    </row>
    <row r="942" spans="1:15" ht="21.75" hidden="1" customHeight="1" x14ac:dyDescent="0.4">
      <c r="A942" s="62">
        <v>45318</v>
      </c>
      <c r="B942" s="32" t="s">
        <v>2843</v>
      </c>
      <c r="C942" s="18" t="s">
        <v>22</v>
      </c>
      <c r="D942" s="63" t="s">
        <v>1496</v>
      </c>
      <c r="E942" s="50" t="s">
        <v>369</v>
      </c>
      <c r="F942" s="57">
        <v>3000</v>
      </c>
      <c r="G942" s="76"/>
      <c r="H942" s="57">
        <f t="shared" si="61"/>
        <v>3000</v>
      </c>
      <c r="I942" s="50">
        <v>1</v>
      </c>
      <c r="J942" s="57">
        <f t="shared" si="54"/>
        <v>3000</v>
      </c>
      <c r="K942" s="58">
        <f t="shared" si="55"/>
        <v>3300</v>
      </c>
      <c r="L942" s="18" t="s">
        <v>25</v>
      </c>
      <c r="M942" s="50" t="s">
        <v>2515</v>
      </c>
      <c r="N942" s="50"/>
    </row>
    <row r="943" spans="1:15" ht="21.75" hidden="1" customHeight="1" x14ac:dyDescent="0.4">
      <c r="A943" s="62">
        <v>45318</v>
      </c>
      <c r="B943" s="32" t="s">
        <v>2842</v>
      </c>
      <c r="C943" s="18" t="s">
        <v>2756</v>
      </c>
      <c r="D943" s="63" t="s">
        <v>328</v>
      </c>
      <c r="E943" s="50" t="s">
        <v>2844</v>
      </c>
      <c r="F943" s="57">
        <v>60000</v>
      </c>
      <c r="G943" s="76">
        <v>-9000</v>
      </c>
      <c r="H943" s="57">
        <f t="shared" si="61"/>
        <v>51000</v>
      </c>
      <c r="I943" s="50">
        <v>1</v>
      </c>
      <c r="J943" s="57">
        <f t="shared" si="54"/>
        <v>51000</v>
      </c>
      <c r="K943" s="58">
        <f t="shared" si="55"/>
        <v>56100</v>
      </c>
      <c r="L943" s="18" t="s">
        <v>34</v>
      </c>
      <c r="M943" s="50"/>
      <c r="N943" s="50" t="s">
        <v>2867</v>
      </c>
    </row>
    <row r="944" spans="1:15" ht="21.75" hidden="1" customHeight="1" x14ac:dyDescent="0.4">
      <c r="A944" s="62">
        <v>45318</v>
      </c>
      <c r="B944" s="32" t="s">
        <v>2842</v>
      </c>
      <c r="C944" s="18" t="s">
        <v>2756</v>
      </c>
      <c r="D944" s="63" t="s">
        <v>330</v>
      </c>
      <c r="E944" s="50" t="s">
        <v>2845</v>
      </c>
      <c r="F944" s="57">
        <v>3000</v>
      </c>
      <c r="G944" s="76"/>
      <c r="H944" s="57">
        <f t="shared" si="61"/>
        <v>3000</v>
      </c>
      <c r="I944" s="50">
        <v>1</v>
      </c>
      <c r="J944" s="57">
        <f t="shared" si="54"/>
        <v>3000</v>
      </c>
      <c r="K944" s="58">
        <f t="shared" si="55"/>
        <v>3300</v>
      </c>
      <c r="L944" s="18" t="s">
        <v>34</v>
      </c>
      <c r="M944" s="50"/>
      <c r="N944" s="50" t="s">
        <v>2867</v>
      </c>
    </row>
    <row r="945" spans="1:14" ht="21.75" hidden="1" customHeight="1" x14ac:dyDescent="0.4">
      <c r="A945" s="62">
        <v>45318</v>
      </c>
      <c r="B945" s="32" t="s">
        <v>2842</v>
      </c>
      <c r="C945" s="18" t="s">
        <v>2756</v>
      </c>
      <c r="D945" s="63" t="s">
        <v>455</v>
      </c>
      <c r="E945" s="50" t="s">
        <v>2823</v>
      </c>
      <c r="F945" s="57">
        <v>1090</v>
      </c>
      <c r="G945" s="76"/>
      <c r="H945" s="57">
        <f t="shared" si="61"/>
        <v>1090</v>
      </c>
      <c r="I945" s="50">
        <v>1</v>
      </c>
      <c r="J945" s="57">
        <f t="shared" si="54"/>
        <v>1090</v>
      </c>
      <c r="K945" s="58">
        <f t="shared" si="55"/>
        <v>1199</v>
      </c>
      <c r="L945" s="18" t="s">
        <v>34</v>
      </c>
      <c r="M945" s="50" t="s">
        <v>2859</v>
      </c>
      <c r="N945" s="50" t="s">
        <v>2867</v>
      </c>
    </row>
    <row r="946" spans="1:14" ht="21.75" hidden="1" customHeight="1" x14ac:dyDescent="0.4">
      <c r="A946" s="62">
        <v>45318</v>
      </c>
      <c r="B946" s="32" t="s">
        <v>2842</v>
      </c>
      <c r="C946" s="185" t="s">
        <v>2791</v>
      </c>
      <c r="D946" s="63"/>
      <c r="E946" s="50" t="s">
        <v>2792</v>
      </c>
      <c r="F946" s="57">
        <v>-15000</v>
      </c>
      <c r="G946" s="76"/>
      <c r="H946" s="57">
        <f t="shared" si="61"/>
        <v>-15000</v>
      </c>
      <c r="I946" s="50">
        <v>1</v>
      </c>
      <c r="J946" s="57">
        <f t="shared" si="54"/>
        <v>-15000</v>
      </c>
      <c r="K946" s="58">
        <f t="shared" si="55"/>
        <v>-16500</v>
      </c>
      <c r="L946" s="18" t="s">
        <v>34</v>
      </c>
      <c r="M946" s="50" t="s">
        <v>2846</v>
      </c>
      <c r="N946" s="50" t="s">
        <v>2867</v>
      </c>
    </row>
    <row r="947" spans="1:14" ht="21.75" hidden="1" customHeight="1" x14ac:dyDescent="0.4">
      <c r="A947" s="62">
        <v>45318</v>
      </c>
      <c r="B947" s="32" t="s">
        <v>184</v>
      </c>
      <c r="C947" s="18" t="s">
        <v>2774</v>
      </c>
      <c r="D947" s="63" t="s">
        <v>1615</v>
      </c>
      <c r="E947" s="50" t="s">
        <v>2847</v>
      </c>
      <c r="F947" s="57">
        <v>15000</v>
      </c>
      <c r="G947" s="76"/>
      <c r="H947" s="57">
        <f t="shared" si="61"/>
        <v>15000</v>
      </c>
      <c r="I947" s="50">
        <v>1</v>
      </c>
      <c r="J947" s="57">
        <f t="shared" si="54"/>
        <v>15000</v>
      </c>
      <c r="K947" s="58">
        <f t="shared" si="55"/>
        <v>16500</v>
      </c>
      <c r="L947" s="18" t="s">
        <v>25</v>
      </c>
      <c r="M947" s="50" t="s">
        <v>2848</v>
      </c>
      <c r="N947" s="50"/>
    </row>
    <row r="948" spans="1:14" ht="21.75" hidden="1" customHeight="1" x14ac:dyDescent="0.4">
      <c r="A948" s="62">
        <v>45318</v>
      </c>
      <c r="B948" s="32" t="s">
        <v>582</v>
      </c>
      <c r="C948" s="18" t="s">
        <v>2756</v>
      </c>
      <c r="D948" s="63" t="s">
        <v>292</v>
      </c>
      <c r="E948" s="50" t="s">
        <v>2849</v>
      </c>
      <c r="F948" s="57">
        <v>4500</v>
      </c>
      <c r="G948" s="76"/>
      <c r="H948" s="57">
        <f t="shared" si="61"/>
        <v>4500</v>
      </c>
      <c r="I948" s="50">
        <v>2</v>
      </c>
      <c r="J948" s="57">
        <f t="shared" si="54"/>
        <v>9000</v>
      </c>
      <c r="K948" s="58">
        <f t="shared" si="55"/>
        <v>9900</v>
      </c>
      <c r="L948" s="18" t="s">
        <v>2759</v>
      </c>
      <c r="M948" s="50"/>
      <c r="N948" s="50"/>
    </row>
    <row r="949" spans="1:14" ht="21.75" hidden="1" customHeight="1" x14ac:dyDescent="0.4">
      <c r="A949" s="62">
        <v>45318</v>
      </c>
      <c r="B949" s="32" t="s">
        <v>2807</v>
      </c>
      <c r="C949" s="18" t="s">
        <v>27</v>
      </c>
      <c r="D949" s="63" t="s">
        <v>28</v>
      </c>
      <c r="E949" s="50" t="s">
        <v>318</v>
      </c>
      <c r="F949" s="57">
        <v>15000</v>
      </c>
      <c r="G949" s="76"/>
      <c r="H949" s="57">
        <f t="shared" si="61"/>
        <v>15000</v>
      </c>
      <c r="I949" s="50">
        <v>1</v>
      </c>
      <c r="J949" s="57">
        <f t="shared" si="54"/>
        <v>15000</v>
      </c>
      <c r="K949" s="58">
        <f t="shared" si="55"/>
        <v>16500</v>
      </c>
      <c r="L949" s="18" t="s">
        <v>25</v>
      </c>
      <c r="M949" s="50"/>
      <c r="N949" s="50"/>
    </row>
    <row r="950" spans="1:14" ht="21.75" hidden="1" customHeight="1" x14ac:dyDescent="0.4">
      <c r="A950" s="62">
        <v>45318</v>
      </c>
      <c r="B950" s="32" t="s">
        <v>2807</v>
      </c>
      <c r="C950" s="18" t="s">
        <v>27</v>
      </c>
      <c r="D950" s="63" t="s">
        <v>28</v>
      </c>
      <c r="E950" s="50" t="s">
        <v>1897</v>
      </c>
      <c r="F950" s="57">
        <v>17500</v>
      </c>
      <c r="G950" s="76"/>
      <c r="H950" s="57">
        <f t="shared" si="61"/>
        <v>17500</v>
      </c>
      <c r="I950" s="50">
        <v>1</v>
      </c>
      <c r="J950" s="57">
        <f t="shared" si="54"/>
        <v>17500</v>
      </c>
      <c r="K950" s="58">
        <f t="shared" si="55"/>
        <v>19250</v>
      </c>
      <c r="L950" s="18" t="s">
        <v>25</v>
      </c>
      <c r="M950" s="50"/>
      <c r="N950" s="50"/>
    </row>
    <row r="951" spans="1:14" ht="21.75" hidden="1" customHeight="1" x14ac:dyDescent="0.4">
      <c r="A951" s="62">
        <v>45319</v>
      </c>
      <c r="B951" s="32" t="s">
        <v>2850</v>
      </c>
      <c r="C951" s="18" t="s">
        <v>22</v>
      </c>
      <c r="D951" s="63" t="s">
        <v>1496</v>
      </c>
      <c r="E951" s="50" t="s">
        <v>369</v>
      </c>
      <c r="F951" s="57">
        <v>3000</v>
      </c>
      <c r="G951" s="76"/>
      <c r="H951" s="57">
        <f t="shared" si="61"/>
        <v>3000</v>
      </c>
      <c r="I951" s="50">
        <v>1</v>
      </c>
      <c r="J951" s="57">
        <f t="shared" si="54"/>
        <v>3000</v>
      </c>
      <c r="K951" s="58">
        <f t="shared" si="55"/>
        <v>3300</v>
      </c>
      <c r="L951" s="18" t="s">
        <v>25</v>
      </c>
      <c r="M951" s="50" t="s">
        <v>2515</v>
      </c>
      <c r="N951" s="50"/>
    </row>
    <row r="952" spans="1:14" ht="21.75" hidden="1" customHeight="1" x14ac:dyDescent="0.4">
      <c r="A952" s="62">
        <v>45319</v>
      </c>
      <c r="B952" s="32" t="s">
        <v>1910</v>
      </c>
      <c r="C952" s="18" t="s">
        <v>2774</v>
      </c>
      <c r="D952" s="63" t="s">
        <v>1615</v>
      </c>
      <c r="E952" s="50" t="s">
        <v>2847</v>
      </c>
      <c r="F952" s="57">
        <v>15000</v>
      </c>
      <c r="G952" s="76"/>
      <c r="H952" s="57">
        <f t="shared" si="61"/>
        <v>15000</v>
      </c>
      <c r="I952" s="50">
        <v>1</v>
      </c>
      <c r="J952" s="57">
        <f t="shared" si="54"/>
        <v>15000</v>
      </c>
      <c r="K952" s="58">
        <f t="shared" si="55"/>
        <v>16500</v>
      </c>
      <c r="L952" s="18" t="s">
        <v>25</v>
      </c>
      <c r="M952" s="50"/>
      <c r="N952" s="50"/>
    </row>
    <row r="953" spans="1:14" ht="21.75" hidden="1" customHeight="1" x14ac:dyDescent="0.4">
      <c r="A953" s="62">
        <v>45319</v>
      </c>
      <c r="B953" s="32" t="s">
        <v>1910</v>
      </c>
      <c r="C953" s="18" t="s">
        <v>2756</v>
      </c>
      <c r="D953" s="63" t="s">
        <v>292</v>
      </c>
      <c r="E953" s="50" t="s">
        <v>2764</v>
      </c>
      <c r="F953" s="57">
        <v>5500</v>
      </c>
      <c r="G953" s="76"/>
      <c r="H953" s="57">
        <f t="shared" si="61"/>
        <v>5500</v>
      </c>
      <c r="I953" s="50">
        <v>1</v>
      </c>
      <c r="J953" s="57">
        <f t="shared" si="54"/>
        <v>5500</v>
      </c>
      <c r="K953" s="58">
        <f t="shared" si="55"/>
        <v>6050</v>
      </c>
      <c r="L953" s="18" t="s">
        <v>25</v>
      </c>
      <c r="M953" s="50"/>
      <c r="N953" s="50"/>
    </row>
    <row r="954" spans="1:14" ht="21.75" hidden="1" customHeight="1" x14ac:dyDescent="0.4">
      <c r="A954" s="62">
        <v>45319</v>
      </c>
      <c r="B954" s="32" t="s">
        <v>633</v>
      </c>
      <c r="C954" s="18" t="s">
        <v>2774</v>
      </c>
      <c r="D954" s="63" t="s">
        <v>1615</v>
      </c>
      <c r="E954" s="50" t="s">
        <v>2847</v>
      </c>
      <c r="F954" s="57">
        <v>15000</v>
      </c>
      <c r="G954" s="76"/>
      <c r="H954" s="57">
        <f t="shared" si="61"/>
        <v>15000</v>
      </c>
      <c r="I954" s="50">
        <v>1</v>
      </c>
      <c r="J954" s="57">
        <f t="shared" si="54"/>
        <v>15000</v>
      </c>
      <c r="K954" s="58">
        <f t="shared" si="55"/>
        <v>16500</v>
      </c>
      <c r="L954" s="18" t="s">
        <v>25</v>
      </c>
      <c r="M954" s="50"/>
      <c r="N954" s="50"/>
    </row>
    <row r="955" spans="1:14" ht="21.75" hidden="1" customHeight="1" x14ac:dyDescent="0.4">
      <c r="A955" s="62">
        <v>45319</v>
      </c>
      <c r="B955" s="32" t="s">
        <v>2835</v>
      </c>
      <c r="C955" s="18" t="s">
        <v>27</v>
      </c>
      <c r="D955" s="63" t="s">
        <v>28</v>
      </c>
      <c r="E955" s="50" t="s">
        <v>318</v>
      </c>
      <c r="F955" s="57">
        <v>15000</v>
      </c>
      <c r="G955" s="76"/>
      <c r="H955" s="57">
        <f t="shared" si="61"/>
        <v>15000</v>
      </c>
      <c r="I955" s="50">
        <v>1</v>
      </c>
      <c r="J955" s="57">
        <f t="shared" ref="J955:J981" si="62">SUM(H955*I955)</f>
        <v>15000</v>
      </c>
      <c r="K955" s="58">
        <f t="shared" ref="K955:K981" si="63">ROUNDDOWN(J955*1.1,0)</f>
        <v>16500</v>
      </c>
      <c r="L955" s="18" t="s">
        <v>2759</v>
      </c>
      <c r="M955" s="50"/>
      <c r="N955" s="50"/>
    </row>
    <row r="956" spans="1:14" ht="21.75" hidden="1" customHeight="1" x14ac:dyDescent="0.4">
      <c r="A956" s="62">
        <v>45319</v>
      </c>
      <c r="B956" s="32" t="s">
        <v>2835</v>
      </c>
      <c r="C956" s="18" t="s">
        <v>27</v>
      </c>
      <c r="D956" s="63" t="s">
        <v>28</v>
      </c>
      <c r="E956" s="50" t="s">
        <v>2851</v>
      </c>
      <c r="F956" s="57">
        <v>12250</v>
      </c>
      <c r="G956" s="76"/>
      <c r="H956" s="57">
        <f t="shared" si="61"/>
        <v>12250</v>
      </c>
      <c r="I956" s="50">
        <v>1</v>
      </c>
      <c r="J956" s="57">
        <f t="shared" si="62"/>
        <v>12250</v>
      </c>
      <c r="K956" s="58">
        <f t="shared" si="63"/>
        <v>13475</v>
      </c>
      <c r="L956" s="18" t="s">
        <v>2759</v>
      </c>
      <c r="M956" s="50"/>
      <c r="N956" s="50"/>
    </row>
    <row r="957" spans="1:14" ht="21.75" hidden="1" customHeight="1" x14ac:dyDescent="0.4">
      <c r="A957" s="62">
        <v>45319</v>
      </c>
      <c r="B957" s="32" t="s">
        <v>2852</v>
      </c>
      <c r="C957" s="18" t="s">
        <v>2756</v>
      </c>
      <c r="D957" s="63" t="s">
        <v>332</v>
      </c>
      <c r="E957" s="50" t="s">
        <v>2853</v>
      </c>
      <c r="F957" s="57">
        <v>2000</v>
      </c>
      <c r="G957" s="76">
        <v>-200</v>
      </c>
      <c r="H957" s="57">
        <f t="shared" si="61"/>
        <v>1800</v>
      </c>
      <c r="I957" s="50">
        <v>1</v>
      </c>
      <c r="J957" s="57">
        <f t="shared" si="62"/>
        <v>1800</v>
      </c>
      <c r="K957" s="58">
        <f t="shared" si="63"/>
        <v>1980</v>
      </c>
      <c r="L957" s="18" t="s">
        <v>25</v>
      </c>
      <c r="M957" s="50"/>
      <c r="N957" s="50"/>
    </row>
    <row r="958" spans="1:14" ht="21.75" hidden="1" customHeight="1" x14ac:dyDescent="0.4">
      <c r="A958" s="62">
        <v>45320</v>
      </c>
      <c r="B958" s="32" t="s">
        <v>2514</v>
      </c>
      <c r="C958" s="18" t="s">
        <v>27</v>
      </c>
      <c r="D958" s="63" t="s">
        <v>28</v>
      </c>
      <c r="E958" s="50" t="s">
        <v>2808</v>
      </c>
      <c r="F958" s="57">
        <v>5000</v>
      </c>
      <c r="G958" s="76"/>
      <c r="H958" s="57">
        <f t="shared" si="61"/>
        <v>5000</v>
      </c>
      <c r="I958" s="50">
        <v>1</v>
      </c>
      <c r="J958" s="57">
        <f t="shared" si="62"/>
        <v>5000</v>
      </c>
      <c r="K958" s="58">
        <f t="shared" si="63"/>
        <v>5500</v>
      </c>
      <c r="L958" s="18" t="s">
        <v>2759</v>
      </c>
      <c r="M958" s="50"/>
      <c r="N958" s="50"/>
    </row>
    <row r="959" spans="1:14" ht="21.75" hidden="1" customHeight="1" x14ac:dyDescent="0.4">
      <c r="A959" s="62">
        <v>45320</v>
      </c>
      <c r="B959" s="32" t="s">
        <v>2854</v>
      </c>
      <c r="C959" s="18" t="s">
        <v>22</v>
      </c>
      <c r="D959" s="63" t="s">
        <v>1496</v>
      </c>
      <c r="E959" s="50" t="s">
        <v>369</v>
      </c>
      <c r="F959" s="57">
        <v>3000</v>
      </c>
      <c r="G959" s="76"/>
      <c r="H959" s="57">
        <f t="shared" si="61"/>
        <v>3000</v>
      </c>
      <c r="I959" s="50">
        <v>1</v>
      </c>
      <c r="J959" s="57">
        <f t="shared" si="62"/>
        <v>3000</v>
      </c>
      <c r="K959" s="58">
        <f t="shared" si="63"/>
        <v>3300</v>
      </c>
      <c r="L959" s="18" t="s">
        <v>25</v>
      </c>
      <c r="M959" s="50" t="s">
        <v>2515</v>
      </c>
      <c r="N959" s="50"/>
    </row>
    <row r="960" spans="1:14" ht="21.75" hidden="1" customHeight="1" x14ac:dyDescent="0.4">
      <c r="A960" s="62">
        <v>45320</v>
      </c>
      <c r="B960" s="32" t="s">
        <v>2854</v>
      </c>
      <c r="C960" s="18" t="s">
        <v>27</v>
      </c>
      <c r="D960" s="63" t="s">
        <v>28</v>
      </c>
      <c r="E960" s="50" t="s">
        <v>318</v>
      </c>
      <c r="F960" s="57">
        <v>15000</v>
      </c>
      <c r="G960" s="76"/>
      <c r="H960" s="57">
        <f t="shared" si="61"/>
        <v>15000</v>
      </c>
      <c r="I960" s="50">
        <v>1</v>
      </c>
      <c r="J960" s="57">
        <f t="shared" si="62"/>
        <v>15000</v>
      </c>
      <c r="K960" s="58">
        <f t="shared" si="63"/>
        <v>16500</v>
      </c>
      <c r="L960" s="18" t="s">
        <v>25</v>
      </c>
      <c r="M960" s="50"/>
      <c r="N960" s="50"/>
    </row>
    <row r="961" spans="1:15" ht="21.75" hidden="1" customHeight="1" x14ac:dyDescent="0.4">
      <c r="A961" s="62">
        <v>45320</v>
      </c>
      <c r="B961" s="32" t="s">
        <v>2854</v>
      </c>
      <c r="C961" s="18" t="s">
        <v>27</v>
      </c>
      <c r="D961" s="63" t="s">
        <v>28</v>
      </c>
      <c r="E961" s="50" t="s">
        <v>1897</v>
      </c>
      <c r="F961" s="57">
        <v>17500</v>
      </c>
      <c r="G961" s="76"/>
      <c r="H961" s="57">
        <f t="shared" si="61"/>
        <v>17500</v>
      </c>
      <c r="I961" s="50">
        <v>1</v>
      </c>
      <c r="J961" s="57">
        <f t="shared" si="62"/>
        <v>17500</v>
      </c>
      <c r="K961" s="58">
        <f t="shared" si="63"/>
        <v>19250</v>
      </c>
      <c r="L961" s="18" t="s">
        <v>25</v>
      </c>
      <c r="M961" s="50"/>
      <c r="N961" s="50"/>
    </row>
    <row r="962" spans="1:15" ht="21.75" hidden="1" customHeight="1" x14ac:dyDescent="0.4">
      <c r="A962" s="62">
        <v>45322</v>
      </c>
      <c r="B962" s="32" t="s">
        <v>2855</v>
      </c>
      <c r="C962" s="18" t="s">
        <v>22</v>
      </c>
      <c r="D962" s="63" t="s">
        <v>23</v>
      </c>
      <c r="E962" s="50" t="s">
        <v>2508</v>
      </c>
      <c r="F962" s="57">
        <v>13500</v>
      </c>
      <c r="G962" s="76"/>
      <c r="H962" s="57">
        <f t="shared" si="61"/>
        <v>13500</v>
      </c>
      <c r="I962" s="50">
        <v>1</v>
      </c>
      <c r="J962" s="57">
        <f t="shared" si="62"/>
        <v>13500</v>
      </c>
      <c r="K962" s="58">
        <f t="shared" si="63"/>
        <v>14850</v>
      </c>
      <c r="L962" s="18" t="s">
        <v>2759</v>
      </c>
      <c r="M962" s="50" t="s">
        <v>2515</v>
      </c>
      <c r="N962" s="159" t="s">
        <v>2878</v>
      </c>
      <c r="O962" s="189" t="s">
        <v>2870</v>
      </c>
    </row>
    <row r="963" spans="1:15" ht="21.75" hidden="1" customHeight="1" x14ac:dyDescent="0.4">
      <c r="A963" s="62">
        <v>45322</v>
      </c>
      <c r="B963" s="32" t="s">
        <v>2856</v>
      </c>
      <c r="C963" s="18" t="s">
        <v>22</v>
      </c>
      <c r="D963" s="63" t="s">
        <v>23</v>
      </c>
      <c r="E963" s="50" t="s">
        <v>2508</v>
      </c>
      <c r="F963" s="57">
        <v>13500</v>
      </c>
      <c r="G963" s="76"/>
      <c r="H963" s="57">
        <f t="shared" si="61"/>
        <v>13500</v>
      </c>
      <c r="I963" s="50">
        <v>1</v>
      </c>
      <c r="J963" s="57">
        <f t="shared" si="62"/>
        <v>13500</v>
      </c>
      <c r="K963" s="58">
        <f t="shared" si="63"/>
        <v>14850</v>
      </c>
      <c r="L963" s="18" t="s">
        <v>2759</v>
      </c>
      <c r="M963" s="50" t="s">
        <v>2515</v>
      </c>
      <c r="N963" s="159" t="s">
        <v>2878</v>
      </c>
      <c r="O963" s="189" t="s">
        <v>2870</v>
      </c>
    </row>
    <row r="964" spans="1:15" ht="21.75" hidden="1" customHeight="1" x14ac:dyDescent="0.4">
      <c r="A964" s="62">
        <v>45322</v>
      </c>
      <c r="B964" s="32" t="s">
        <v>2857</v>
      </c>
      <c r="C964" s="18" t="s">
        <v>22</v>
      </c>
      <c r="D964" s="63" t="s">
        <v>1496</v>
      </c>
      <c r="E964" s="50" t="s">
        <v>369</v>
      </c>
      <c r="F964" s="57">
        <v>3000</v>
      </c>
      <c r="G964" s="76"/>
      <c r="H964" s="57">
        <f t="shared" si="61"/>
        <v>3000</v>
      </c>
      <c r="I964" s="50">
        <v>1</v>
      </c>
      <c r="J964" s="57">
        <f t="shared" si="62"/>
        <v>3000</v>
      </c>
      <c r="K964" s="58">
        <f t="shared" si="63"/>
        <v>3300</v>
      </c>
      <c r="L964" s="196" t="s">
        <v>25</v>
      </c>
      <c r="M964" s="50" t="s">
        <v>2515</v>
      </c>
      <c r="N964" s="50"/>
    </row>
    <row r="965" spans="1:15" ht="21.75" hidden="1" customHeight="1" x14ac:dyDescent="0.4">
      <c r="A965" s="62">
        <v>45322</v>
      </c>
      <c r="B965" s="32" t="s">
        <v>2141</v>
      </c>
      <c r="C965" s="18" t="s">
        <v>2756</v>
      </c>
      <c r="D965" s="63" t="s">
        <v>332</v>
      </c>
      <c r="E965" s="50" t="s">
        <v>2858</v>
      </c>
      <c r="F965" s="57">
        <v>1090</v>
      </c>
      <c r="G965" s="76">
        <v>-458</v>
      </c>
      <c r="H965" s="57">
        <f t="shared" si="61"/>
        <v>632</v>
      </c>
      <c r="I965" s="50">
        <v>1</v>
      </c>
      <c r="J965" s="57">
        <f t="shared" si="62"/>
        <v>632</v>
      </c>
      <c r="K965" s="58">
        <f t="shared" si="63"/>
        <v>695</v>
      </c>
      <c r="L965" s="18" t="s">
        <v>2759</v>
      </c>
      <c r="M965" s="50"/>
      <c r="N965" s="50"/>
    </row>
    <row r="966" spans="1:15" ht="21.75" hidden="1" customHeight="1" x14ac:dyDescent="0.4">
      <c r="A966" s="62">
        <v>45322</v>
      </c>
      <c r="B966" s="32" t="s">
        <v>2860</v>
      </c>
      <c r="C966" s="18" t="s">
        <v>2861</v>
      </c>
      <c r="D966" s="63" t="s">
        <v>292</v>
      </c>
      <c r="E966" s="50" t="s">
        <v>2862</v>
      </c>
      <c r="F966" s="57">
        <v>5500</v>
      </c>
      <c r="G966" s="76"/>
      <c r="H966" s="57">
        <f t="shared" si="61"/>
        <v>5500</v>
      </c>
      <c r="I966" s="50">
        <v>2</v>
      </c>
      <c r="J966" s="57">
        <f t="shared" si="62"/>
        <v>11000</v>
      </c>
      <c r="K966" s="58">
        <f t="shared" si="63"/>
        <v>12100</v>
      </c>
      <c r="L966" s="18" t="s">
        <v>25</v>
      </c>
      <c r="M966" s="50"/>
      <c r="N966" s="50"/>
    </row>
    <row r="967" spans="1:15" ht="21.75" hidden="1" customHeight="1" thickBot="1" x14ac:dyDescent="0.45">
      <c r="A967" s="151">
        <v>45322</v>
      </c>
      <c r="B967" s="198" t="s">
        <v>2863</v>
      </c>
      <c r="C967" s="138" t="s">
        <v>17</v>
      </c>
      <c r="D967" s="139" t="s">
        <v>455</v>
      </c>
      <c r="E967" s="140" t="s">
        <v>2864</v>
      </c>
      <c r="F967" s="141">
        <v>1090</v>
      </c>
      <c r="G967" s="142">
        <v>-458</v>
      </c>
      <c r="H967" s="141">
        <f t="shared" si="61"/>
        <v>632</v>
      </c>
      <c r="I967" s="140">
        <v>1</v>
      </c>
      <c r="J967" s="141">
        <f t="shared" si="62"/>
        <v>632</v>
      </c>
      <c r="K967" s="200">
        <f t="shared" si="63"/>
        <v>695</v>
      </c>
      <c r="L967" s="138" t="s">
        <v>2865</v>
      </c>
      <c r="M967" s="140"/>
      <c r="N967" s="140"/>
    </row>
    <row r="968" spans="1:15" ht="21.75" hidden="1" customHeight="1" x14ac:dyDescent="0.4">
      <c r="A968" s="197">
        <v>45323</v>
      </c>
      <c r="B968" s="199" t="s">
        <v>2879</v>
      </c>
      <c r="C968" s="60" t="s">
        <v>27</v>
      </c>
      <c r="D968" s="61" t="s">
        <v>28</v>
      </c>
      <c r="E968" s="56" t="s">
        <v>318</v>
      </c>
      <c r="F968" s="99">
        <v>15000</v>
      </c>
      <c r="G968" s="79"/>
      <c r="H968" s="99">
        <f t="shared" si="61"/>
        <v>15000</v>
      </c>
      <c r="I968" s="56">
        <v>1</v>
      </c>
      <c r="J968" s="99">
        <f t="shared" si="62"/>
        <v>15000</v>
      </c>
      <c r="K968" s="100">
        <f t="shared" si="63"/>
        <v>16500</v>
      </c>
      <c r="L968" s="60" t="s">
        <v>25</v>
      </c>
      <c r="M968" s="56"/>
      <c r="N968" s="56"/>
    </row>
    <row r="969" spans="1:15" ht="21.75" hidden="1" customHeight="1" x14ac:dyDescent="0.4">
      <c r="A969" s="62">
        <v>45323</v>
      </c>
      <c r="B969" s="32" t="s">
        <v>2879</v>
      </c>
      <c r="C969" s="18" t="s">
        <v>27</v>
      </c>
      <c r="D969" s="63" t="s">
        <v>28</v>
      </c>
      <c r="E969" s="50" t="s">
        <v>2880</v>
      </c>
      <c r="F969" s="57">
        <v>9187</v>
      </c>
      <c r="G969" s="76"/>
      <c r="H969" s="57">
        <f t="shared" si="61"/>
        <v>9187</v>
      </c>
      <c r="I969" s="50">
        <v>1</v>
      </c>
      <c r="J969" s="57">
        <f t="shared" si="62"/>
        <v>9187</v>
      </c>
      <c r="K969" s="58">
        <f t="shared" si="63"/>
        <v>10105</v>
      </c>
      <c r="L969" s="18" t="s">
        <v>25</v>
      </c>
      <c r="M969" s="50" t="s">
        <v>2881</v>
      </c>
      <c r="N969" s="50"/>
    </row>
    <row r="970" spans="1:15" ht="21.75" hidden="1" customHeight="1" x14ac:dyDescent="0.4">
      <c r="A970" s="62">
        <v>45323</v>
      </c>
      <c r="B970" s="32" t="s">
        <v>2882</v>
      </c>
      <c r="C970" s="18" t="s">
        <v>22</v>
      </c>
      <c r="D970" s="63" t="s">
        <v>23</v>
      </c>
      <c r="E970" s="50" t="s">
        <v>1941</v>
      </c>
      <c r="F970" s="57">
        <v>15000</v>
      </c>
      <c r="G970" s="76">
        <v>-7500</v>
      </c>
      <c r="H970" s="57">
        <f t="shared" si="61"/>
        <v>7500</v>
      </c>
      <c r="I970" s="50">
        <v>1</v>
      </c>
      <c r="J970" s="57">
        <f t="shared" si="62"/>
        <v>7500</v>
      </c>
      <c r="K970" s="58">
        <f t="shared" si="63"/>
        <v>8250</v>
      </c>
      <c r="L970" s="18" t="s">
        <v>25</v>
      </c>
      <c r="M970" s="50" t="s">
        <v>2884</v>
      </c>
      <c r="N970" s="50"/>
    </row>
    <row r="971" spans="1:15" ht="21.75" hidden="1" customHeight="1" x14ac:dyDescent="0.4">
      <c r="A971" s="62">
        <v>45323</v>
      </c>
      <c r="B971" s="32" t="s">
        <v>1541</v>
      </c>
      <c r="C971" s="18" t="s">
        <v>2885</v>
      </c>
      <c r="D971" s="63" t="s">
        <v>426</v>
      </c>
      <c r="E971" s="50" t="s">
        <v>2886</v>
      </c>
      <c r="F971" s="57">
        <v>1700</v>
      </c>
      <c r="G971" s="76">
        <v>-170</v>
      </c>
      <c r="H971" s="57">
        <f t="shared" si="61"/>
        <v>1530</v>
      </c>
      <c r="I971" s="50">
        <v>1</v>
      </c>
      <c r="J971" s="57">
        <f t="shared" si="62"/>
        <v>1530</v>
      </c>
      <c r="K971" s="58">
        <f t="shared" si="63"/>
        <v>1683</v>
      </c>
      <c r="L971" s="18" t="s">
        <v>2887</v>
      </c>
      <c r="M971" s="50"/>
      <c r="N971" s="50"/>
    </row>
    <row r="972" spans="1:15" ht="21.75" hidden="1" customHeight="1" x14ac:dyDescent="0.4">
      <c r="A972" s="62">
        <v>45323</v>
      </c>
      <c r="B972" s="32" t="s">
        <v>2888</v>
      </c>
      <c r="C972" s="18" t="s">
        <v>2885</v>
      </c>
      <c r="D972" s="63" t="s">
        <v>292</v>
      </c>
      <c r="E972" s="50" t="s">
        <v>2889</v>
      </c>
      <c r="F972" s="57">
        <v>5500</v>
      </c>
      <c r="G972" s="76"/>
      <c r="H972" s="57">
        <f t="shared" si="61"/>
        <v>5500</v>
      </c>
      <c r="I972" s="50">
        <v>1</v>
      </c>
      <c r="J972" s="57">
        <f t="shared" si="62"/>
        <v>5500</v>
      </c>
      <c r="K972" s="58">
        <f t="shared" si="63"/>
        <v>6050</v>
      </c>
      <c r="L972" s="18" t="s">
        <v>25</v>
      </c>
      <c r="M972" s="50"/>
      <c r="N972" s="50"/>
    </row>
    <row r="973" spans="1:15" ht="21.75" hidden="1" customHeight="1" x14ac:dyDescent="0.4">
      <c r="A973" s="62">
        <v>45324</v>
      </c>
      <c r="B973" s="32" t="s">
        <v>2857</v>
      </c>
      <c r="C973" s="18" t="s">
        <v>27</v>
      </c>
      <c r="D973" s="63" t="s">
        <v>28</v>
      </c>
      <c r="E973" s="50" t="s">
        <v>318</v>
      </c>
      <c r="F973" s="57">
        <v>15000</v>
      </c>
      <c r="G973" s="76"/>
      <c r="H973" s="57">
        <f t="shared" si="61"/>
        <v>15000</v>
      </c>
      <c r="I973" s="50">
        <v>1</v>
      </c>
      <c r="J973" s="57">
        <f t="shared" si="62"/>
        <v>15000</v>
      </c>
      <c r="K973" s="58">
        <f t="shared" si="63"/>
        <v>16500</v>
      </c>
      <c r="L973" s="18" t="s">
        <v>25</v>
      </c>
      <c r="M973" s="50"/>
      <c r="N973" s="50"/>
    </row>
    <row r="974" spans="1:15" ht="21.75" hidden="1" customHeight="1" x14ac:dyDescent="0.4">
      <c r="A974" s="62">
        <v>45324</v>
      </c>
      <c r="B974" s="32" t="s">
        <v>2857</v>
      </c>
      <c r="C974" s="18" t="s">
        <v>27</v>
      </c>
      <c r="D974" s="63" t="s">
        <v>28</v>
      </c>
      <c r="E974" s="50" t="s">
        <v>2890</v>
      </c>
      <c r="F974" s="57">
        <v>13120</v>
      </c>
      <c r="G974" s="76"/>
      <c r="H974" s="57">
        <f t="shared" si="61"/>
        <v>13120</v>
      </c>
      <c r="I974" s="50">
        <v>1</v>
      </c>
      <c r="J974" s="57">
        <f t="shared" si="62"/>
        <v>13120</v>
      </c>
      <c r="K974" s="58">
        <f t="shared" si="63"/>
        <v>14432</v>
      </c>
      <c r="L974" s="18" t="s">
        <v>25</v>
      </c>
      <c r="M974" s="50"/>
      <c r="N974" s="50"/>
    </row>
    <row r="975" spans="1:15" ht="21.75" hidden="1" customHeight="1" x14ac:dyDescent="0.4">
      <c r="A975" s="62">
        <v>45324</v>
      </c>
      <c r="B975" s="32" t="s">
        <v>2891</v>
      </c>
      <c r="C975" s="18" t="s">
        <v>2892</v>
      </c>
      <c r="D975" s="63" t="s">
        <v>23</v>
      </c>
      <c r="E975" s="50" t="s">
        <v>2883</v>
      </c>
      <c r="F975" s="57">
        <v>15000</v>
      </c>
      <c r="G975" s="76"/>
      <c r="H975" s="57">
        <f t="shared" si="61"/>
        <v>15000</v>
      </c>
      <c r="I975" s="50">
        <v>1</v>
      </c>
      <c r="J975" s="57">
        <f t="shared" si="62"/>
        <v>15000</v>
      </c>
      <c r="K975" s="58">
        <f t="shared" si="63"/>
        <v>16500</v>
      </c>
      <c r="L975" s="18" t="s">
        <v>2887</v>
      </c>
      <c r="M975" s="492" t="s">
        <v>2893</v>
      </c>
      <c r="N975" s="50"/>
    </row>
    <row r="976" spans="1:15" ht="21.75" hidden="1" customHeight="1" x14ac:dyDescent="0.4">
      <c r="A976" s="62">
        <v>45324</v>
      </c>
      <c r="B976" s="32" t="s">
        <v>2894</v>
      </c>
      <c r="C976" s="18" t="s">
        <v>22</v>
      </c>
      <c r="D976" s="63" t="s">
        <v>1496</v>
      </c>
      <c r="E976" s="50" t="s">
        <v>369</v>
      </c>
      <c r="F976" s="57">
        <v>3000</v>
      </c>
      <c r="G976" s="76"/>
      <c r="H976" s="57">
        <f t="shared" si="61"/>
        <v>3000</v>
      </c>
      <c r="I976" s="50">
        <v>1</v>
      </c>
      <c r="J976" s="57">
        <f t="shared" si="62"/>
        <v>3000</v>
      </c>
      <c r="K976" s="58">
        <f t="shared" si="63"/>
        <v>3300</v>
      </c>
      <c r="L976" s="18" t="s">
        <v>2887</v>
      </c>
      <c r="M976" s="494"/>
      <c r="N976" s="50"/>
    </row>
    <row r="977" spans="1:14" ht="21.75" hidden="1" customHeight="1" x14ac:dyDescent="0.4">
      <c r="A977" s="62">
        <v>45324</v>
      </c>
      <c r="B977" s="32" t="s">
        <v>2891</v>
      </c>
      <c r="C977" s="18" t="s">
        <v>2885</v>
      </c>
      <c r="D977" s="63" t="s">
        <v>328</v>
      </c>
      <c r="E977" s="50" t="s">
        <v>2895</v>
      </c>
      <c r="F977" s="57">
        <v>55000</v>
      </c>
      <c r="G977" s="76">
        <v>-11000</v>
      </c>
      <c r="H977" s="57">
        <f t="shared" si="61"/>
        <v>44000</v>
      </c>
      <c r="I977" s="50">
        <v>1</v>
      </c>
      <c r="J977" s="57">
        <f t="shared" si="62"/>
        <v>44000</v>
      </c>
      <c r="K977" s="58">
        <f t="shared" si="63"/>
        <v>48400</v>
      </c>
      <c r="L977" s="18" t="s">
        <v>2887</v>
      </c>
      <c r="M977" s="50"/>
      <c r="N977" s="50" t="s">
        <v>3018</v>
      </c>
    </row>
    <row r="978" spans="1:14" ht="21.75" hidden="1" customHeight="1" x14ac:dyDescent="0.4">
      <c r="A978" s="62">
        <v>45324</v>
      </c>
      <c r="B978" s="32" t="s">
        <v>2891</v>
      </c>
      <c r="C978" s="18" t="s">
        <v>2885</v>
      </c>
      <c r="D978" s="63" t="s">
        <v>330</v>
      </c>
      <c r="E978" s="50" t="s">
        <v>2897</v>
      </c>
      <c r="F978" s="57">
        <v>4000</v>
      </c>
      <c r="G978" s="76"/>
      <c r="H978" s="57">
        <f t="shared" si="61"/>
        <v>4000</v>
      </c>
      <c r="I978" s="50">
        <v>1</v>
      </c>
      <c r="J978" s="57">
        <f t="shared" si="62"/>
        <v>4000</v>
      </c>
      <c r="K978" s="58">
        <f t="shared" si="63"/>
        <v>4400</v>
      </c>
      <c r="L978" s="18" t="s">
        <v>2887</v>
      </c>
      <c r="M978" s="50"/>
      <c r="N978" s="50" t="s">
        <v>3018</v>
      </c>
    </row>
    <row r="979" spans="1:14" ht="21.75" hidden="1" customHeight="1" x14ac:dyDescent="0.4">
      <c r="A979" s="62">
        <v>45324</v>
      </c>
      <c r="B979" s="32" t="s">
        <v>2891</v>
      </c>
      <c r="C979" s="18" t="s">
        <v>2885</v>
      </c>
      <c r="D979" s="63" t="s">
        <v>332</v>
      </c>
      <c r="E979" s="50" t="s">
        <v>2898</v>
      </c>
      <c r="F979" s="57">
        <v>1400</v>
      </c>
      <c r="G979" s="76"/>
      <c r="H979" s="57">
        <f t="shared" si="61"/>
        <v>1400</v>
      </c>
      <c r="I979" s="50">
        <v>1</v>
      </c>
      <c r="J979" s="57">
        <f t="shared" si="62"/>
        <v>1400</v>
      </c>
      <c r="K979" s="58">
        <f t="shared" si="63"/>
        <v>1540</v>
      </c>
      <c r="L979" s="18" t="s">
        <v>2887</v>
      </c>
      <c r="M979" s="50"/>
      <c r="N979" s="50" t="s">
        <v>3018</v>
      </c>
    </row>
    <row r="980" spans="1:14" ht="21.75" hidden="1" customHeight="1" x14ac:dyDescent="0.4">
      <c r="A980" s="62">
        <v>45324</v>
      </c>
      <c r="B980" s="32" t="s">
        <v>2899</v>
      </c>
      <c r="C980" s="18" t="s">
        <v>2892</v>
      </c>
      <c r="D980" s="63" t="s">
        <v>23</v>
      </c>
      <c r="E980" s="50" t="s">
        <v>2883</v>
      </c>
      <c r="F980" s="57">
        <v>15000</v>
      </c>
      <c r="G980" s="76"/>
      <c r="H980" s="57">
        <f t="shared" si="61"/>
        <v>15000</v>
      </c>
      <c r="I980" s="50">
        <v>1</v>
      </c>
      <c r="J980" s="57">
        <f t="shared" si="62"/>
        <v>15000</v>
      </c>
      <c r="K980" s="58">
        <f t="shared" si="63"/>
        <v>16500</v>
      </c>
      <c r="L980" s="18" t="s">
        <v>2887</v>
      </c>
      <c r="M980" s="50"/>
      <c r="N980" s="50"/>
    </row>
    <row r="981" spans="1:14" ht="21.75" hidden="1" customHeight="1" x14ac:dyDescent="0.4">
      <c r="A981" s="62">
        <v>45324</v>
      </c>
      <c r="B981" s="32" t="s">
        <v>2899</v>
      </c>
      <c r="C981" s="18" t="s">
        <v>2885</v>
      </c>
      <c r="D981" s="63" t="s">
        <v>328</v>
      </c>
      <c r="E981" s="50" t="s">
        <v>2900</v>
      </c>
      <c r="F981" s="57">
        <v>44000</v>
      </c>
      <c r="G981" s="76">
        <v>-8800</v>
      </c>
      <c r="H981" s="57">
        <f t="shared" si="61"/>
        <v>35200</v>
      </c>
      <c r="I981" s="50">
        <v>1</v>
      </c>
      <c r="J981" s="57">
        <f t="shared" si="62"/>
        <v>35200</v>
      </c>
      <c r="K981" s="58">
        <f t="shared" si="63"/>
        <v>38720</v>
      </c>
      <c r="L981" s="18" t="s">
        <v>34</v>
      </c>
      <c r="M981" s="50"/>
      <c r="N981" s="50" t="s">
        <v>3019</v>
      </c>
    </row>
    <row r="982" spans="1:14" ht="21.75" hidden="1" customHeight="1" x14ac:dyDescent="0.4">
      <c r="A982" s="62">
        <v>45324</v>
      </c>
      <c r="B982" s="32" t="s">
        <v>2899</v>
      </c>
      <c r="C982" s="18" t="s">
        <v>2885</v>
      </c>
      <c r="D982" s="63" t="s">
        <v>332</v>
      </c>
      <c r="E982" s="50" t="s">
        <v>2901</v>
      </c>
      <c r="F982" s="57">
        <v>1200</v>
      </c>
      <c r="G982" s="76"/>
      <c r="H982" s="57">
        <f t="shared" si="61"/>
        <v>1200</v>
      </c>
      <c r="I982" s="50">
        <v>1</v>
      </c>
      <c r="J982" s="57">
        <f t="shared" ref="J982:J1045" si="64">SUM(H982*I982)</f>
        <v>1200</v>
      </c>
      <c r="K982" s="58">
        <f t="shared" ref="K982:K1045" si="65">ROUNDDOWN(J982*1.1,0)</f>
        <v>1320</v>
      </c>
      <c r="L982" s="18" t="s">
        <v>34</v>
      </c>
      <c r="M982" s="50"/>
      <c r="N982" s="50" t="s">
        <v>3019</v>
      </c>
    </row>
    <row r="983" spans="1:14" ht="21.75" hidden="1" customHeight="1" x14ac:dyDescent="0.4">
      <c r="A983" s="62">
        <v>45324</v>
      </c>
      <c r="B983" s="32" t="s">
        <v>2899</v>
      </c>
      <c r="C983" s="96" t="s">
        <v>2902</v>
      </c>
      <c r="D983" s="63"/>
      <c r="E983" s="50" t="s">
        <v>2903</v>
      </c>
      <c r="F983" s="57">
        <v>-15000</v>
      </c>
      <c r="G983" s="76"/>
      <c r="H983" s="57">
        <f t="shared" si="61"/>
        <v>-15000</v>
      </c>
      <c r="I983" s="50">
        <v>1</v>
      </c>
      <c r="J983" s="57">
        <f t="shared" si="64"/>
        <v>-15000</v>
      </c>
      <c r="K983" s="58">
        <f t="shared" si="65"/>
        <v>-16500</v>
      </c>
      <c r="L983" s="18" t="s">
        <v>34</v>
      </c>
      <c r="M983" s="50" t="s">
        <v>2904</v>
      </c>
      <c r="N983" s="50"/>
    </row>
    <row r="984" spans="1:14" ht="21.75" hidden="1" customHeight="1" x14ac:dyDescent="0.4">
      <c r="A984" s="62">
        <v>45324</v>
      </c>
      <c r="B984" s="32" t="s">
        <v>582</v>
      </c>
      <c r="C984" s="18" t="s">
        <v>2885</v>
      </c>
      <c r="D984" s="63" t="s">
        <v>328</v>
      </c>
      <c r="E984" s="50" t="s">
        <v>2915</v>
      </c>
      <c r="F984" s="57">
        <v>23000</v>
      </c>
      <c r="G984" s="76">
        <v>-11500</v>
      </c>
      <c r="H984" s="57">
        <f t="shared" si="61"/>
        <v>11500</v>
      </c>
      <c r="I984" s="50">
        <v>1</v>
      </c>
      <c r="J984" s="57">
        <f t="shared" si="64"/>
        <v>11500</v>
      </c>
      <c r="K984" s="58">
        <f t="shared" si="65"/>
        <v>12650</v>
      </c>
      <c r="L984" s="18" t="s">
        <v>20</v>
      </c>
      <c r="M984" s="50" t="s">
        <v>2916</v>
      </c>
      <c r="N984" s="50" t="s">
        <v>3018</v>
      </c>
    </row>
    <row r="985" spans="1:14" ht="21.75" hidden="1" customHeight="1" x14ac:dyDescent="0.4">
      <c r="A985" s="62">
        <v>45324</v>
      </c>
      <c r="B985" s="32" t="s">
        <v>582</v>
      </c>
      <c r="C985" s="18" t="s">
        <v>2885</v>
      </c>
      <c r="D985" s="63" t="s">
        <v>328</v>
      </c>
      <c r="E985" s="50" t="s">
        <v>2917</v>
      </c>
      <c r="F985" s="57">
        <v>18000</v>
      </c>
      <c r="G985" s="76">
        <v>-3600</v>
      </c>
      <c r="H985" s="57">
        <f t="shared" si="61"/>
        <v>14400</v>
      </c>
      <c r="I985" s="50">
        <v>2</v>
      </c>
      <c r="J985" s="57">
        <f t="shared" si="64"/>
        <v>28800</v>
      </c>
      <c r="K985" s="58">
        <f t="shared" si="65"/>
        <v>31680</v>
      </c>
      <c r="L985" s="18" t="s">
        <v>20</v>
      </c>
      <c r="M985" s="50"/>
      <c r="N985" s="50" t="s">
        <v>3018</v>
      </c>
    </row>
    <row r="986" spans="1:14" ht="21.75" hidden="1" customHeight="1" x14ac:dyDescent="0.4">
      <c r="A986" s="62">
        <v>45324</v>
      </c>
      <c r="B986" s="32" t="s">
        <v>582</v>
      </c>
      <c r="C986" s="18" t="s">
        <v>2885</v>
      </c>
      <c r="D986" s="63" t="s">
        <v>332</v>
      </c>
      <c r="E986" s="50" t="s">
        <v>2905</v>
      </c>
      <c r="F986" s="57">
        <v>19500</v>
      </c>
      <c r="G986" s="76">
        <v>-1950</v>
      </c>
      <c r="H986" s="57">
        <f t="shared" si="61"/>
        <v>17550</v>
      </c>
      <c r="I986" s="50">
        <v>1</v>
      </c>
      <c r="J986" s="57">
        <f t="shared" si="64"/>
        <v>17550</v>
      </c>
      <c r="K986" s="58">
        <f t="shared" si="65"/>
        <v>19305</v>
      </c>
      <c r="L986" s="18" t="s">
        <v>20</v>
      </c>
      <c r="M986" s="50"/>
      <c r="N986" s="50" t="s">
        <v>3018</v>
      </c>
    </row>
    <row r="987" spans="1:14" ht="21.75" hidden="1" customHeight="1" x14ac:dyDescent="0.4">
      <c r="A987" s="62">
        <v>45324</v>
      </c>
      <c r="B987" s="32" t="s">
        <v>2797</v>
      </c>
      <c r="C987" s="18" t="s">
        <v>2885</v>
      </c>
      <c r="D987" s="63" t="s">
        <v>328</v>
      </c>
      <c r="E987" s="50" t="s">
        <v>2906</v>
      </c>
      <c r="F987" s="57">
        <v>2125</v>
      </c>
      <c r="G987" s="76"/>
      <c r="H987" s="57">
        <f t="shared" si="61"/>
        <v>2125</v>
      </c>
      <c r="I987" s="50">
        <v>6</v>
      </c>
      <c r="J987" s="57">
        <f t="shared" si="64"/>
        <v>12750</v>
      </c>
      <c r="K987" s="58">
        <f t="shared" si="65"/>
        <v>14025</v>
      </c>
      <c r="L987" s="18" t="s">
        <v>34</v>
      </c>
      <c r="M987" s="50"/>
      <c r="N987" s="50"/>
    </row>
    <row r="988" spans="1:14" ht="21.75" hidden="1" customHeight="1" x14ac:dyDescent="0.4">
      <c r="A988" s="62">
        <v>45324</v>
      </c>
      <c r="B988" s="32" t="s">
        <v>2797</v>
      </c>
      <c r="C988" s="18" t="s">
        <v>2885</v>
      </c>
      <c r="D988" s="63" t="s">
        <v>2907</v>
      </c>
      <c r="E988" s="50" t="s">
        <v>2121</v>
      </c>
      <c r="F988" s="57">
        <v>900</v>
      </c>
      <c r="G988" s="76"/>
      <c r="H988" s="57">
        <f t="shared" si="61"/>
        <v>900</v>
      </c>
      <c r="I988" s="50">
        <v>6</v>
      </c>
      <c r="J988" s="57">
        <f t="shared" si="64"/>
        <v>5400</v>
      </c>
      <c r="K988" s="58">
        <f t="shared" si="65"/>
        <v>5940</v>
      </c>
      <c r="L988" s="18" t="s">
        <v>34</v>
      </c>
      <c r="M988" s="50"/>
      <c r="N988" s="50"/>
    </row>
    <row r="989" spans="1:14" ht="21.75" hidden="1" customHeight="1" x14ac:dyDescent="0.4">
      <c r="A989" s="62">
        <v>45324</v>
      </c>
      <c r="B989" s="32" t="s">
        <v>2797</v>
      </c>
      <c r="C989" s="18" t="s">
        <v>2885</v>
      </c>
      <c r="D989" s="63" t="s">
        <v>2907</v>
      </c>
      <c r="E989" s="106" t="s">
        <v>2908</v>
      </c>
      <c r="F989" s="57">
        <v>3250</v>
      </c>
      <c r="G989" s="76"/>
      <c r="H989" s="57">
        <f t="shared" si="61"/>
        <v>3250</v>
      </c>
      <c r="I989" s="50">
        <v>1</v>
      </c>
      <c r="J989" s="57">
        <f t="shared" si="64"/>
        <v>3250</v>
      </c>
      <c r="K989" s="58">
        <f t="shared" si="65"/>
        <v>3575</v>
      </c>
      <c r="L989" s="18" t="s">
        <v>34</v>
      </c>
      <c r="M989" s="50"/>
      <c r="N989" s="50"/>
    </row>
    <row r="990" spans="1:14" ht="21.75" hidden="1" customHeight="1" x14ac:dyDescent="0.4">
      <c r="A990" s="62">
        <v>45325</v>
      </c>
      <c r="B990" s="32" t="s">
        <v>2882</v>
      </c>
      <c r="C990" s="18" t="s">
        <v>2885</v>
      </c>
      <c r="D990" s="63" t="s">
        <v>328</v>
      </c>
      <c r="E990" s="50" t="s">
        <v>2909</v>
      </c>
      <c r="F990" s="57">
        <v>72000</v>
      </c>
      <c r="G990" s="76">
        <v>-14400</v>
      </c>
      <c r="H990" s="57">
        <f t="shared" si="61"/>
        <v>57600</v>
      </c>
      <c r="I990" s="50">
        <v>1</v>
      </c>
      <c r="J990" s="57">
        <f t="shared" si="64"/>
        <v>57600</v>
      </c>
      <c r="K990" s="58">
        <f t="shared" si="65"/>
        <v>63360</v>
      </c>
      <c r="L990" s="18" t="s">
        <v>34</v>
      </c>
      <c r="M990" s="50"/>
      <c r="N990" s="50" t="s">
        <v>3018</v>
      </c>
    </row>
    <row r="991" spans="1:14" ht="21.75" hidden="1" customHeight="1" x14ac:dyDescent="0.4">
      <c r="A991" s="62">
        <v>45325</v>
      </c>
      <c r="B991" s="32" t="s">
        <v>2882</v>
      </c>
      <c r="C991" s="18" t="s">
        <v>2885</v>
      </c>
      <c r="D991" s="63" t="s">
        <v>2617</v>
      </c>
      <c r="E991" s="50" t="s">
        <v>2896</v>
      </c>
      <c r="F991" s="57">
        <v>4000</v>
      </c>
      <c r="G991" s="76"/>
      <c r="H991" s="57">
        <f t="shared" si="61"/>
        <v>4000</v>
      </c>
      <c r="I991" s="50">
        <v>1</v>
      </c>
      <c r="J991" s="57">
        <f t="shared" si="64"/>
        <v>4000</v>
      </c>
      <c r="K991" s="58">
        <f t="shared" si="65"/>
        <v>4400</v>
      </c>
      <c r="L991" s="18" t="s">
        <v>34</v>
      </c>
      <c r="M991" s="50"/>
      <c r="N991" s="50" t="s">
        <v>3018</v>
      </c>
    </row>
    <row r="992" spans="1:14" ht="21.75" hidden="1" customHeight="1" x14ac:dyDescent="0.4">
      <c r="A992" s="62">
        <v>45325</v>
      </c>
      <c r="B992" s="32" t="s">
        <v>2882</v>
      </c>
      <c r="C992" s="18" t="s">
        <v>2885</v>
      </c>
      <c r="D992" s="63" t="s">
        <v>2907</v>
      </c>
      <c r="E992" s="50" t="s">
        <v>2805</v>
      </c>
      <c r="F992" s="57">
        <v>2600</v>
      </c>
      <c r="G992" s="76"/>
      <c r="H992" s="57">
        <f t="shared" si="61"/>
        <v>2600</v>
      </c>
      <c r="I992" s="50">
        <v>1</v>
      </c>
      <c r="J992" s="57">
        <f t="shared" si="64"/>
        <v>2600</v>
      </c>
      <c r="K992" s="58">
        <f t="shared" si="65"/>
        <v>2860</v>
      </c>
      <c r="L992" s="18" t="s">
        <v>34</v>
      </c>
      <c r="M992" s="50"/>
      <c r="N992" s="50" t="s">
        <v>3018</v>
      </c>
    </row>
    <row r="993" spans="1:14" ht="21.75" hidden="1" customHeight="1" x14ac:dyDescent="0.4">
      <c r="A993" s="62">
        <v>45325</v>
      </c>
      <c r="B993" s="32" t="s">
        <v>2910</v>
      </c>
      <c r="C993" s="18" t="s">
        <v>27</v>
      </c>
      <c r="D993" s="63" t="s">
        <v>28</v>
      </c>
      <c r="E993" s="50" t="s">
        <v>318</v>
      </c>
      <c r="F993" s="57">
        <v>15000</v>
      </c>
      <c r="G993" s="76"/>
      <c r="H993" s="57">
        <f t="shared" si="61"/>
        <v>15000</v>
      </c>
      <c r="I993" s="50">
        <v>1</v>
      </c>
      <c r="J993" s="57">
        <f t="shared" si="64"/>
        <v>15000</v>
      </c>
      <c r="K993" s="58">
        <f t="shared" si="65"/>
        <v>16500</v>
      </c>
      <c r="L993" s="18" t="s">
        <v>25</v>
      </c>
      <c r="M993" s="50"/>
      <c r="N993" s="50"/>
    </row>
    <row r="994" spans="1:14" ht="21.75" hidden="1" customHeight="1" x14ac:dyDescent="0.4">
      <c r="A994" s="62">
        <v>45325</v>
      </c>
      <c r="B994" s="32" t="s">
        <v>2910</v>
      </c>
      <c r="C994" s="18" t="s">
        <v>27</v>
      </c>
      <c r="D994" s="63" t="s">
        <v>28</v>
      </c>
      <c r="E994" s="50" t="s">
        <v>2911</v>
      </c>
      <c r="F994" s="57">
        <v>17500</v>
      </c>
      <c r="G994" s="76"/>
      <c r="H994" s="57">
        <f t="shared" si="61"/>
        <v>17500</v>
      </c>
      <c r="I994" s="50">
        <v>1</v>
      </c>
      <c r="J994" s="57">
        <f t="shared" si="64"/>
        <v>17500</v>
      </c>
      <c r="K994" s="58">
        <f t="shared" si="65"/>
        <v>19250</v>
      </c>
      <c r="L994" s="18" t="s">
        <v>25</v>
      </c>
      <c r="M994" s="50"/>
      <c r="N994" s="50"/>
    </row>
    <row r="995" spans="1:14" ht="21.75" hidden="1" customHeight="1" x14ac:dyDescent="0.4">
      <c r="A995" s="62">
        <v>45325</v>
      </c>
      <c r="B995" s="32" t="s">
        <v>2472</v>
      </c>
      <c r="C995" s="18" t="s">
        <v>27</v>
      </c>
      <c r="D995" s="63" t="s">
        <v>28</v>
      </c>
      <c r="E995" s="50" t="s">
        <v>2683</v>
      </c>
      <c r="F995" s="57">
        <v>2000</v>
      </c>
      <c r="G995" s="76"/>
      <c r="H995" s="57">
        <f t="shared" si="61"/>
        <v>2000</v>
      </c>
      <c r="I995" s="50">
        <v>3</v>
      </c>
      <c r="J995" s="57">
        <f t="shared" si="64"/>
        <v>6000</v>
      </c>
      <c r="K995" s="58">
        <f t="shared" si="65"/>
        <v>6600</v>
      </c>
      <c r="L995" s="18" t="s">
        <v>25</v>
      </c>
      <c r="M995" s="50"/>
      <c r="N995" s="50"/>
    </row>
    <row r="996" spans="1:14" ht="21.75" hidden="1" customHeight="1" x14ac:dyDescent="0.4">
      <c r="A996" s="62">
        <v>45325</v>
      </c>
      <c r="B996" s="32" t="s">
        <v>2826</v>
      </c>
      <c r="C996" s="18" t="s">
        <v>27</v>
      </c>
      <c r="D996" s="63" t="s">
        <v>28</v>
      </c>
      <c r="E996" s="50" t="s">
        <v>318</v>
      </c>
      <c r="F996" s="57">
        <v>15000</v>
      </c>
      <c r="G996" s="76"/>
      <c r="H996" s="57">
        <f t="shared" si="61"/>
        <v>15000</v>
      </c>
      <c r="I996" s="50">
        <v>1</v>
      </c>
      <c r="J996" s="57">
        <f t="shared" si="64"/>
        <v>15000</v>
      </c>
      <c r="K996" s="58">
        <f t="shared" si="65"/>
        <v>16500</v>
      </c>
      <c r="L996" s="18" t="s">
        <v>25</v>
      </c>
      <c r="M996" s="50"/>
      <c r="N996" s="50"/>
    </row>
    <row r="997" spans="1:14" ht="21.75" hidden="1" customHeight="1" x14ac:dyDescent="0.4">
      <c r="A997" s="62">
        <v>45325</v>
      </c>
      <c r="B997" s="32" t="s">
        <v>2826</v>
      </c>
      <c r="C997" s="18" t="s">
        <v>27</v>
      </c>
      <c r="D997" s="63" t="s">
        <v>28</v>
      </c>
      <c r="E997" s="50" t="s">
        <v>1897</v>
      </c>
      <c r="F997" s="57">
        <v>17500</v>
      </c>
      <c r="G997" s="76"/>
      <c r="H997" s="57">
        <f t="shared" si="61"/>
        <v>17500</v>
      </c>
      <c r="I997" s="50">
        <v>1</v>
      </c>
      <c r="J997" s="57">
        <f t="shared" si="64"/>
        <v>17500</v>
      </c>
      <c r="K997" s="58">
        <f t="shared" si="65"/>
        <v>19250</v>
      </c>
      <c r="L997" s="18" t="s">
        <v>25</v>
      </c>
      <c r="M997" s="50"/>
      <c r="N997" s="50"/>
    </row>
    <row r="998" spans="1:14" ht="21.75" hidden="1" customHeight="1" x14ac:dyDescent="0.4">
      <c r="A998" s="62">
        <v>45326</v>
      </c>
      <c r="B998" s="32" t="s">
        <v>2363</v>
      </c>
      <c r="C998" s="18" t="s">
        <v>27</v>
      </c>
      <c r="D998" s="63" t="s">
        <v>28</v>
      </c>
      <c r="E998" s="50" t="s">
        <v>1897</v>
      </c>
      <c r="F998" s="57">
        <v>17500</v>
      </c>
      <c r="G998" s="76"/>
      <c r="H998" s="57">
        <f t="shared" si="61"/>
        <v>17500</v>
      </c>
      <c r="I998" s="50">
        <v>1</v>
      </c>
      <c r="J998" s="57">
        <f t="shared" si="64"/>
        <v>17500</v>
      </c>
      <c r="K998" s="58">
        <f t="shared" si="65"/>
        <v>19250</v>
      </c>
      <c r="L998" s="18" t="s">
        <v>20</v>
      </c>
      <c r="M998" s="50"/>
      <c r="N998" s="50"/>
    </row>
    <row r="999" spans="1:14" ht="21.75" hidden="1" customHeight="1" x14ac:dyDescent="0.4">
      <c r="A999" s="62">
        <v>45326</v>
      </c>
      <c r="B999" s="32" t="s">
        <v>2912</v>
      </c>
      <c r="C999" s="18" t="s">
        <v>27</v>
      </c>
      <c r="D999" s="63" t="s">
        <v>28</v>
      </c>
      <c r="E999" s="50" t="s">
        <v>318</v>
      </c>
      <c r="F999" s="57">
        <v>15000</v>
      </c>
      <c r="G999" s="76"/>
      <c r="H999" s="57">
        <f t="shared" si="61"/>
        <v>15000</v>
      </c>
      <c r="I999" s="50">
        <v>1</v>
      </c>
      <c r="J999" s="57">
        <f t="shared" si="64"/>
        <v>15000</v>
      </c>
      <c r="K999" s="58">
        <f t="shared" si="65"/>
        <v>16500</v>
      </c>
      <c r="L999" s="18" t="s">
        <v>25</v>
      </c>
      <c r="M999" s="50"/>
      <c r="N999" s="50"/>
    </row>
    <row r="1000" spans="1:14" ht="21.75" hidden="1" customHeight="1" x14ac:dyDescent="0.4">
      <c r="A1000" s="62">
        <v>45327</v>
      </c>
      <c r="B1000" s="32" t="s">
        <v>2913</v>
      </c>
      <c r="C1000" s="18" t="s">
        <v>2885</v>
      </c>
      <c r="D1000" s="63" t="s">
        <v>332</v>
      </c>
      <c r="E1000" s="50" t="s">
        <v>2914</v>
      </c>
      <c r="F1000" s="57">
        <v>1090</v>
      </c>
      <c r="G1000" s="76">
        <v>-109</v>
      </c>
      <c r="H1000" s="57">
        <f t="shared" si="61"/>
        <v>981</v>
      </c>
      <c r="I1000" s="50">
        <v>1</v>
      </c>
      <c r="J1000" s="57">
        <f t="shared" si="64"/>
        <v>981</v>
      </c>
      <c r="K1000" s="58">
        <f t="shared" si="65"/>
        <v>1079</v>
      </c>
      <c r="L1000" s="18" t="s">
        <v>2887</v>
      </c>
      <c r="M1000" s="50"/>
      <c r="N1000" s="50"/>
    </row>
    <row r="1001" spans="1:14" ht="21.75" hidden="1" customHeight="1" x14ac:dyDescent="0.4">
      <c r="A1001" s="62">
        <v>45327</v>
      </c>
      <c r="B1001" s="32" t="s">
        <v>2760</v>
      </c>
      <c r="C1001" s="18" t="s">
        <v>2885</v>
      </c>
      <c r="D1001" s="63" t="s">
        <v>2918</v>
      </c>
      <c r="E1001" s="50" t="s">
        <v>2918</v>
      </c>
      <c r="F1001" s="57">
        <v>1500</v>
      </c>
      <c r="G1001" s="76">
        <v>-150</v>
      </c>
      <c r="H1001" s="57">
        <f t="shared" si="61"/>
        <v>1350</v>
      </c>
      <c r="I1001" s="50">
        <v>1</v>
      </c>
      <c r="J1001" s="57">
        <f t="shared" si="64"/>
        <v>1350</v>
      </c>
      <c r="K1001" s="58">
        <f t="shared" si="65"/>
        <v>1485</v>
      </c>
      <c r="L1001" s="18" t="s">
        <v>2887</v>
      </c>
      <c r="M1001" s="50"/>
      <c r="N1001" s="50"/>
    </row>
    <row r="1002" spans="1:14" ht="21.75" hidden="1" customHeight="1" x14ac:dyDescent="0.4">
      <c r="A1002" s="62">
        <v>45327</v>
      </c>
      <c r="B1002" s="32" t="s">
        <v>2919</v>
      </c>
      <c r="C1002" s="18" t="s">
        <v>27</v>
      </c>
      <c r="D1002" s="63" t="s">
        <v>28</v>
      </c>
      <c r="E1002" s="50" t="s">
        <v>2739</v>
      </c>
      <c r="F1002" s="57">
        <v>2000</v>
      </c>
      <c r="G1002" s="76"/>
      <c r="H1002" s="57">
        <f t="shared" ref="H1002:H1065" si="66">SUM(F1002:G1002)</f>
        <v>2000</v>
      </c>
      <c r="I1002" s="50">
        <v>1</v>
      </c>
      <c r="J1002" s="57">
        <f t="shared" si="64"/>
        <v>2000</v>
      </c>
      <c r="K1002" s="58">
        <f t="shared" si="65"/>
        <v>2200</v>
      </c>
      <c r="L1002" s="18" t="s">
        <v>25</v>
      </c>
      <c r="M1002" s="50"/>
      <c r="N1002" s="50"/>
    </row>
    <row r="1003" spans="1:14" ht="21.75" hidden="1" customHeight="1" x14ac:dyDescent="0.4">
      <c r="A1003" s="62">
        <v>45327</v>
      </c>
      <c r="B1003" s="32" t="s">
        <v>2920</v>
      </c>
      <c r="C1003" s="18" t="s">
        <v>2885</v>
      </c>
      <c r="D1003" s="63" t="s">
        <v>332</v>
      </c>
      <c r="E1003" s="50" t="s">
        <v>2606</v>
      </c>
      <c r="F1003" s="57">
        <v>1600</v>
      </c>
      <c r="G1003" s="76">
        <v>-160</v>
      </c>
      <c r="H1003" s="57">
        <f t="shared" si="66"/>
        <v>1440</v>
      </c>
      <c r="I1003" s="50">
        <v>1</v>
      </c>
      <c r="J1003" s="57">
        <f t="shared" si="64"/>
        <v>1440</v>
      </c>
      <c r="K1003" s="58">
        <f t="shared" si="65"/>
        <v>1584</v>
      </c>
      <c r="L1003" s="18" t="s">
        <v>25</v>
      </c>
      <c r="M1003" s="50"/>
      <c r="N1003" s="50"/>
    </row>
    <row r="1004" spans="1:14" ht="21.75" hidden="1" customHeight="1" x14ac:dyDescent="0.4">
      <c r="A1004" s="62">
        <v>45330</v>
      </c>
      <c r="B1004" s="32" t="s">
        <v>1671</v>
      </c>
      <c r="C1004" s="18" t="s">
        <v>27</v>
      </c>
      <c r="D1004" s="63" t="s">
        <v>28</v>
      </c>
      <c r="E1004" s="50" t="s">
        <v>2739</v>
      </c>
      <c r="F1004" s="57">
        <v>2000</v>
      </c>
      <c r="G1004" s="76"/>
      <c r="H1004" s="57">
        <f t="shared" si="66"/>
        <v>2000</v>
      </c>
      <c r="I1004" s="50">
        <v>1</v>
      </c>
      <c r="J1004" s="57">
        <f t="shared" si="64"/>
        <v>2000</v>
      </c>
      <c r="K1004" s="58">
        <f t="shared" si="65"/>
        <v>2200</v>
      </c>
      <c r="L1004" s="18" t="s">
        <v>2887</v>
      </c>
      <c r="M1004" s="50"/>
      <c r="N1004" s="50"/>
    </row>
    <row r="1005" spans="1:14" ht="21.75" hidden="1" customHeight="1" x14ac:dyDescent="0.4">
      <c r="A1005" s="62">
        <v>45330</v>
      </c>
      <c r="B1005" s="32" t="s">
        <v>2921</v>
      </c>
      <c r="C1005" s="18" t="s">
        <v>2892</v>
      </c>
      <c r="D1005" s="63" t="s">
        <v>23</v>
      </c>
      <c r="E1005" s="50" t="s">
        <v>2922</v>
      </c>
      <c r="F1005" s="57">
        <v>20000</v>
      </c>
      <c r="G1005" s="76">
        <v>-5000</v>
      </c>
      <c r="H1005" s="57">
        <f t="shared" si="66"/>
        <v>15000</v>
      </c>
      <c r="I1005" s="50">
        <v>1</v>
      </c>
      <c r="J1005" s="57">
        <f t="shared" si="64"/>
        <v>15000</v>
      </c>
      <c r="K1005" s="58">
        <f t="shared" si="65"/>
        <v>16500</v>
      </c>
      <c r="L1005" s="18" t="s">
        <v>25</v>
      </c>
      <c r="M1005" s="50" t="s">
        <v>2923</v>
      </c>
      <c r="N1005" s="50"/>
    </row>
    <row r="1006" spans="1:14" ht="21.75" hidden="1" customHeight="1" x14ac:dyDescent="0.4">
      <c r="A1006" s="62">
        <v>45330</v>
      </c>
      <c r="B1006" s="32" t="s">
        <v>2921</v>
      </c>
      <c r="C1006" s="18" t="s">
        <v>2885</v>
      </c>
      <c r="D1006" s="63" t="s">
        <v>328</v>
      </c>
      <c r="E1006" s="50" t="s">
        <v>2924</v>
      </c>
      <c r="F1006" s="57">
        <v>50000</v>
      </c>
      <c r="G1006" s="76">
        <v>-10000</v>
      </c>
      <c r="H1006" s="57">
        <f t="shared" si="66"/>
        <v>40000</v>
      </c>
      <c r="I1006" s="50">
        <v>3</v>
      </c>
      <c r="J1006" s="57">
        <f t="shared" si="64"/>
        <v>120000</v>
      </c>
      <c r="K1006" s="58">
        <f t="shared" si="65"/>
        <v>132000</v>
      </c>
      <c r="L1006" s="18" t="s">
        <v>34</v>
      </c>
      <c r="M1006" s="50"/>
      <c r="N1006" s="50" t="s">
        <v>3019</v>
      </c>
    </row>
    <row r="1007" spans="1:14" ht="21.75" hidden="1" customHeight="1" x14ac:dyDescent="0.4">
      <c r="A1007" s="62">
        <v>45330</v>
      </c>
      <c r="B1007" s="32" t="s">
        <v>2921</v>
      </c>
      <c r="C1007" s="18" t="s">
        <v>2885</v>
      </c>
      <c r="D1007" s="63" t="s">
        <v>2925</v>
      </c>
      <c r="E1007" s="50" t="s">
        <v>2926</v>
      </c>
      <c r="F1007" s="57">
        <v>45000</v>
      </c>
      <c r="G1007" s="76"/>
      <c r="H1007" s="57">
        <f t="shared" si="66"/>
        <v>45000</v>
      </c>
      <c r="I1007" s="50">
        <v>3</v>
      </c>
      <c r="J1007" s="57">
        <f t="shared" si="64"/>
        <v>135000</v>
      </c>
      <c r="K1007" s="58">
        <f t="shared" si="65"/>
        <v>148500</v>
      </c>
      <c r="L1007" s="18" t="s">
        <v>34</v>
      </c>
      <c r="M1007" s="50"/>
      <c r="N1007" s="50" t="s">
        <v>3019</v>
      </c>
    </row>
    <row r="1008" spans="1:14" ht="21.75" hidden="1" customHeight="1" x14ac:dyDescent="0.4">
      <c r="A1008" s="62">
        <v>45330</v>
      </c>
      <c r="B1008" s="32" t="s">
        <v>2921</v>
      </c>
      <c r="C1008" s="18" t="s">
        <v>2885</v>
      </c>
      <c r="D1008" s="63" t="s">
        <v>455</v>
      </c>
      <c r="E1008" s="50" t="s">
        <v>2927</v>
      </c>
      <c r="F1008" s="57">
        <v>1090</v>
      </c>
      <c r="G1008" s="76"/>
      <c r="H1008" s="57">
        <f t="shared" si="66"/>
        <v>1090</v>
      </c>
      <c r="I1008" s="50">
        <v>3</v>
      </c>
      <c r="J1008" s="57">
        <f t="shared" si="64"/>
        <v>3270</v>
      </c>
      <c r="K1008" s="58">
        <f t="shared" si="65"/>
        <v>3597</v>
      </c>
      <c r="L1008" s="18" t="s">
        <v>34</v>
      </c>
      <c r="M1008" s="50"/>
      <c r="N1008" s="50" t="s">
        <v>3019</v>
      </c>
    </row>
    <row r="1009" spans="1:14" ht="21.75" hidden="1" customHeight="1" x14ac:dyDescent="0.4">
      <c r="A1009" s="62">
        <v>45331</v>
      </c>
      <c r="B1009" s="32" t="s">
        <v>2928</v>
      </c>
      <c r="C1009" s="18" t="s">
        <v>2892</v>
      </c>
      <c r="D1009" s="63" t="s">
        <v>23</v>
      </c>
      <c r="E1009" s="50" t="s">
        <v>2929</v>
      </c>
      <c r="F1009" s="57">
        <v>13500</v>
      </c>
      <c r="G1009" s="76"/>
      <c r="H1009" s="57">
        <f t="shared" si="66"/>
        <v>13500</v>
      </c>
      <c r="I1009" s="50">
        <v>1</v>
      </c>
      <c r="J1009" s="57">
        <f t="shared" si="64"/>
        <v>13500</v>
      </c>
      <c r="K1009" s="58">
        <f t="shared" si="65"/>
        <v>14850</v>
      </c>
      <c r="L1009" s="18" t="s">
        <v>25</v>
      </c>
      <c r="M1009" s="50" t="s">
        <v>2377</v>
      </c>
      <c r="N1009" s="50" t="s">
        <v>3020</v>
      </c>
    </row>
    <row r="1010" spans="1:14" ht="21.75" hidden="1" customHeight="1" x14ac:dyDescent="0.4">
      <c r="A1010" s="62">
        <v>45331</v>
      </c>
      <c r="B1010" s="32" t="s">
        <v>162</v>
      </c>
      <c r="C1010" s="18" t="s">
        <v>27</v>
      </c>
      <c r="D1010" s="63" t="s">
        <v>28</v>
      </c>
      <c r="E1010" s="50" t="s">
        <v>1810</v>
      </c>
      <c r="F1010" s="57">
        <v>2500</v>
      </c>
      <c r="G1010" s="76"/>
      <c r="H1010" s="57">
        <f t="shared" si="66"/>
        <v>2500</v>
      </c>
      <c r="I1010" s="50">
        <v>1</v>
      </c>
      <c r="J1010" s="57">
        <f t="shared" si="64"/>
        <v>2500</v>
      </c>
      <c r="K1010" s="58">
        <f t="shared" si="65"/>
        <v>2750</v>
      </c>
      <c r="L1010" s="18" t="s">
        <v>25</v>
      </c>
      <c r="M1010" s="50"/>
      <c r="N1010" s="50"/>
    </row>
    <row r="1011" spans="1:14" ht="21.75" hidden="1" customHeight="1" x14ac:dyDescent="0.4">
      <c r="A1011" s="62">
        <v>45331</v>
      </c>
      <c r="B1011" s="32" t="s">
        <v>162</v>
      </c>
      <c r="C1011" s="18" t="s">
        <v>27</v>
      </c>
      <c r="D1011" s="63" t="s">
        <v>28</v>
      </c>
      <c r="E1011" s="50" t="s">
        <v>73</v>
      </c>
      <c r="F1011" s="57">
        <v>2000</v>
      </c>
      <c r="G1011" s="76"/>
      <c r="H1011" s="57">
        <f t="shared" si="66"/>
        <v>2000</v>
      </c>
      <c r="I1011" s="50">
        <v>1</v>
      </c>
      <c r="J1011" s="57">
        <f t="shared" si="64"/>
        <v>2000</v>
      </c>
      <c r="K1011" s="58">
        <f t="shared" si="65"/>
        <v>2200</v>
      </c>
      <c r="L1011" s="18" t="s">
        <v>25</v>
      </c>
      <c r="M1011" s="50"/>
      <c r="N1011" s="50"/>
    </row>
    <row r="1012" spans="1:14" ht="21.75" hidden="1" customHeight="1" x14ac:dyDescent="0.4">
      <c r="A1012" s="62">
        <v>45332</v>
      </c>
      <c r="B1012" s="32" t="s">
        <v>2930</v>
      </c>
      <c r="C1012" s="18" t="s">
        <v>2892</v>
      </c>
      <c r="D1012" s="63" t="s">
        <v>23</v>
      </c>
      <c r="E1012" s="50" t="s">
        <v>2883</v>
      </c>
      <c r="F1012" s="57">
        <v>15000</v>
      </c>
      <c r="G1012" s="76"/>
      <c r="H1012" s="57">
        <f t="shared" si="66"/>
        <v>15000</v>
      </c>
      <c r="I1012" s="50">
        <v>1</v>
      </c>
      <c r="J1012" s="57">
        <f t="shared" si="64"/>
        <v>15000</v>
      </c>
      <c r="K1012" s="58">
        <f t="shared" si="65"/>
        <v>16500</v>
      </c>
      <c r="L1012" s="18" t="s">
        <v>25</v>
      </c>
      <c r="M1012" s="50" t="s">
        <v>2515</v>
      </c>
      <c r="N1012" s="50"/>
    </row>
    <row r="1013" spans="1:14" ht="21.75" hidden="1" customHeight="1" x14ac:dyDescent="0.4">
      <c r="A1013" s="62">
        <v>45332</v>
      </c>
      <c r="B1013" s="32" t="s">
        <v>2931</v>
      </c>
      <c r="C1013" s="18" t="s">
        <v>2892</v>
      </c>
      <c r="D1013" s="63" t="s">
        <v>23</v>
      </c>
      <c r="E1013" s="50" t="s">
        <v>2883</v>
      </c>
      <c r="F1013" s="57">
        <v>15000</v>
      </c>
      <c r="G1013" s="76"/>
      <c r="H1013" s="57">
        <f t="shared" si="66"/>
        <v>15000</v>
      </c>
      <c r="I1013" s="50">
        <v>1</v>
      </c>
      <c r="J1013" s="57">
        <f t="shared" si="64"/>
        <v>15000</v>
      </c>
      <c r="K1013" s="58">
        <f t="shared" si="65"/>
        <v>16500</v>
      </c>
      <c r="L1013" s="18" t="s">
        <v>25</v>
      </c>
      <c r="M1013" s="50" t="s">
        <v>2515</v>
      </c>
      <c r="N1013" s="50"/>
    </row>
    <row r="1014" spans="1:14" ht="21.75" hidden="1" customHeight="1" x14ac:dyDescent="0.4">
      <c r="A1014" s="62">
        <v>45332</v>
      </c>
      <c r="B1014" s="32" t="s">
        <v>539</v>
      </c>
      <c r="C1014" s="18" t="s">
        <v>17</v>
      </c>
      <c r="D1014" s="63" t="s">
        <v>332</v>
      </c>
      <c r="E1014" s="50" t="s">
        <v>2932</v>
      </c>
      <c r="F1014" s="57">
        <v>5000</v>
      </c>
      <c r="G1014" s="76"/>
      <c r="H1014" s="57">
        <f t="shared" si="66"/>
        <v>5000</v>
      </c>
      <c r="I1014" s="50">
        <v>1</v>
      </c>
      <c r="J1014" s="57">
        <f t="shared" si="64"/>
        <v>5000</v>
      </c>
      <c r="K1014" s="58">
        <f t="shared" si="65"/>
        <v>5500</v>
      </c>
      <c r="L1014" s="18" t="s">
        <v>25</v>
      </c>
      <c r="M1014" s="50"/>
      <c r="N1014" s="50"/>
    </row>
    <row r="1015" spans="1:14" ht="21.75" hidden="1" customHeight="1" x14ac:dyDescent="0.4">
      <c r="A1015" s="62">
        <v>45332</v>
      </c>
      <c r="B1015" s="32" t="s">
        <v>2931</v>
      </c>
      <c r="C1015" s="18" t="s">
        <v>2885</v>
      </c>
      <c r="D1015" s="63" t="s">
        <v>328</v>
      </c>
      <c r="E1015" s="50" t="s">
        <v>2933</v>
      </c>
      <c r="F1015" s="57">
        <v>60000</v>
      </c>
      <c r="G1015" s="76">
        <v>-9000</v>
      </c>
      <c r="H1015" s="57">
        <f t="shared" si="66"/>
        <v>51000</v>
      </c>
      <c r="I1015" s="50">
        <v>1</v>
      </c>
      <c r="J1015" s="57">
        <f t="shared" si="64"/>
        <v>51000</v>
      </c>
      <c r="K1015" s="58">
        <f t="shared" si="65"/>
        <v>56100</v>
      </c>
      <c r="L1015" s="18" t="s">
        <v>34</v>
      </c>
      <c r="M1015" s="50"/>
      <c r="N1015" s="50" t="s">
        <v>3019</v>
      </c>
    </row>
    <row r="1016" spans="1:14" ht="21.75" hidden="1" customHeight="1" x14ac:dyDescent="0.4">
      <c r="A1016" s="62">
        <v>45332</v>
      </c>
      <c r="B1016" s="32" t="s">
        <v>2931</v>
      </c>
      <c r="C1016" s="18" t="s">
        <v>2885</v>
      </c>
      <c r="D1016" s="63" t="s">
        <v>2907</v>
      </c>
      <c r="E1016" s="50" t="s">
        <v>2927</v>
      </c>
      <c r="F1016" s="57">
        <v>1090</v>
      </c>
      <c r="G1016" s="76"/>
      <c r="H1016" s="57">
        <f t="shared" si="66"/>
        <v>1090</v>
      </c>
      <c r="I1016" s="50">
        <v>1</v>
      </c>
      <c r="J1016" s="57">
        <f t="shared" si="64"/>
        <v>1090</v>
      </c>
      <c r="K1016" s="58">
        <f t="shared" si="65"/>
        <v>1199</v>
      </c>
      <c r="L1016" s="18" t="s">
        <v>34</v>
      </c>
      <c r="M1016" s="50"/>
      <c r="N1016" s="50" t="s">
        <v>3019</v>
      </c>
    </row>
    <row r="1017" spans="1:14" ht="21.75" hidden="1" customHeight="1" x14ac:dyDescent="0.4">
      <c r="A1017" s="62">
        <v>45332</v>
      </c>
      <c r="B1017" s="32" t="s">
        <v>2931</v>
      </c>
      <c r="C1017" s="18" t="s">
        <v>2885</v>
      </c>
      <c r="D1017" s="63" t="s">
        <v>330</v>
      </c>
      <c r="E1017" s="50" t="s">
        <v>339</v>
      </c>
      <c r="F1017" s="57">
        <v>3000</v>
      </c>
      <c r="G1017" s="76"/>
      <c r="H1017" s="57">
        <f t="shared" si="66"/>
        <v>3000</v>
      </c>
      <c r="I1017" s="50">
        <v>1</v>
      </c>
      <c r="J1017" s="57">
        <f t="shared" si="64"/>
        <v>3000</v>
      </c>
      <c r="K1017" s="58">
        <f t="shared" si="65"/>
        <v>3300</v>
      </c>
      <c r="L1017" s="18" t="s">
        <v>34</v>
      </c>
      <c r="M1017" s="50"/>
      <c r="N1017" s="50" t="s">
        <v>3019</v>
      </c>
    </row>
    <row r="1018" spans="1:14" ht="21.75" hidden="1" customHeight="1" x14ac:dyDescent="0.4">
      <c r="A1018" s="62">
        <v>45332</v>
      </c>
      <c r="B1018" s="32" t="s">
        <v>2930</v>
      </c>
      <c r="C1018" s="18" t="s">
        <v>2885</v>
      </c>
      <c r="D1018" s="63" t="s">
        <v>328</v>
      </c>
      <c r="E1018" s="50" t="s">
        <v>2935</v>
      </c>
      <c r="F1018" s="57">
        <v>48000</v>
      </c>
      <c r="G1018" s="76">
        <v>-7200</v>
      </c>
      <c r="H1018" s="57">
        <f t="shared" si="66"/>
        <v>40800</v>
      </c>
      <c r="I1018" s="50">
        <v>1</v>
      </c>
      <c r="J1018" s="57">
        <f t="shared" si="64"/>
        <v>40800</v>
      </c>
      <c r="K1018" s="58">
        <f t="shared" si="65"/>
        <v>44880</v>
      </c>
      <c r="L1018" s="18" t="s">
        <v>34</v>
      </c>
      <c r="M1018" s="50"/>
      <c r="N1018" s="50" t="s">
        <v>3018</v>
      </c>
    </row>
    <row r="1019" spans="1:14" ht="21.75" hidden="1" customHeight="1" x14ac:dyDescent="0.4">
      <c r="A1019" s="62">
        <v>45332</v>
      </c>
      <c r="B1019" s="32" t="s">
        <v>2930</v>
      </c>
      <c r="C1019" s="18" t="s">
        <v>2885</v>
      </c>
      <c r="D1019" s="63" t="s">
        <v>328</v>
      </c>
      <c r="E1019" s="50" t="s">
        <v>2936</v>
      </c>
      <c r="F1019" s="57">
        <v>17000</v>
      </c>
      <c r="G1019" s="76">
        <v>-3400</v>
      </c>
      <c r="H1019" s="57">
        <f t="shared" si="66"/>
        <v>13600</v>
      </c>
      <c r="I1019" s="50">
        <v>1</v>
      </c>
      <c r="J1019" s="57">
        <f t="shared" si="64"/>
        <v>13600</v>
      </c>
      <c r="K1019" s="58">
        <f t="shared" si="65"/>
        <v>14960</v>
      </c>
      <c r="L1019" s="18" t="s">
        <v>34</v>
      </c>
      <c r="M1019" s="50"/>
      <c r="N1019" s="50" t="s">
        <v>3018</v>
      </c>
    </row>
    <row r="1020" spans="1:14" ht="21.75" hidden="1" customHeight="1" x14ac:dyDescent="0.4">
      <c r="A1020" s="62">
        <v>45332</v>
      </c>
      <c r="B1020" s="32" t="s">
        <v>2930</v>
      </c>
      <c r="C1020" s="18" t="s">
        <v>2885</v>
      </c>
      <c r="D1020" s="63" t="s">
        <v>2617</v>
      </c>
      <c r="E1020" s="50" t="s">
        <v>2934</v>
      </c>
      <c r="F1020" s="57">
        <v>3000</v>
      </c>
      <c r="G1020" s="76"/>
      <c r="H1020" s="57">
        <f t="shared" si="66"/>
        <v>3000</v>
      </c>
      <c r="I1020" s="50">
        <v>1</v>
      </c>
      <c r="J1020" s="57">
        <f t="shared" si="64"/>
        <v>3000</v>
      </c>
      <c r="K1020" s="58">
        <f t="shared" si="65"/>
        <v>3300</v>
      </c>
      <c r="L1020" s="18" t="s">
        <v>34</v>
      </c>
      <c r="M1020" s="50"/>
      <c r="N1020" s="50" t="s">
        <v>3018</v>
      </c>
    </row>
    <row r="1021" spans="1:14" ht="21.75" hidden="1" customHeight="1" x14ac:dyDescent="0.4">
      <c r="A1021" s="62">
        <v>45332</v>
      </c>
      <c r="B1021" s="32" t="s">
        <v>2930</v>
      </c>
      <c r="C1021" s="18" t="s">
        <v>2885</v>
      </c>
      <c r="D1021" s="63" t="s">
        <v>2617</v>
      </c>
      <c r="E1021" s="50" t="s">
        <v>2937</v>
      </c>
      <c r="F1021" s="57">
        <v>2800</v>
      </c>
      <c r="G1021" s="76"/>
      <c r="H1021" s="57">
        <f t="shared" si="66"/>
        <v>2800</v>
      </c>
      <c r="I1021" s="50">
        <v>1</v>
      </c>
      <c r="J1021" s="57">
        <f t="shared" si="64"/>
        <v>2800</v>
      </c>
      <c r="K1021" s="58">
        <f t="shared" si="65"/>
        <v>3080</v>
      </c>
      <c r="L1021" s="18" t="s">
        <v>34</v>
      </c>
      <c r="M1021" s="50"/>
      <c r="N1021" s="50" t="s">
        <v>3018</v>
      </c>
    </row>
    <row r="1022" spans="1:14" ht="21.75" hidden="1" customHeight="1" x14ac:dyDescent="0.4">
      <c r="A1022" s="62">
        <v>45332</v>
      </c>
      <c r="B1022" s="32" t="s">
        <v>2930</v>
      </c>
      <c r="C1022" s="18" t="s">
        <v>2885</v>
      </c>
      <c r="D1022" s="63" t="s">
        <v>455</v>
      </c>
      <c r="E1022" s="50" t="s">
        <v>2927</v>
      </c>
      <c r="F1022" s="57">
        <v>1090</v>
      </c>
      <c r="G1022" s="76"/>
      <c r="H1022" s="57">
        <f t="shared" si="66"/>
        <v>1090</v>
      </c>
      <c r="I1022" s="50">
        <v>2</v>
      </c>
      <c r="J1022" s="57">
        <f t="shared" si="64"/>
        <v>2180</v>
      </c>
      <c r="K1022" s="58">
        <f t="shared" si="65"/>
        <v>2398</v>
      </c>
      <c r="L1022" s="18" t="s">
        <v>34</v>
      </c>
      <c r="M1022" s="50"/>
      <c r="N1022" s="50" t="s">
        <v>3018</v>
      </c>
    </row>
    <row r="1023" spans="1:14" ht="21.75" hidden="1" customHeight="1" x14ac:dyDescent="0.4">
      <c r="A1023" s="62">
        <v>45333</v>
      </c>
      <c r="B1023" s="32" t="s">
        <v>2938</v>
      </c>
      <c r="C1023" s="18" t="s">
        <v>22</v>
      </c>
      <c r="D1023" s="63" t="s">
        <v>1496</v>
      </c>
      <c r="E1023" s="50" t="s">
        <v>369</v>
      </c>
      <c r="F1023" s="57">
        <v>3000</v>
      </c>
      <c r="G1023" s="76"/>
      <c r="H1023" s="57">
        <f t="shared" si="66"/>
        <v>3000</v>
      </c>
      <c r="I1023" s="50">
        <v>1</v>
      </c>
      <c r="J1023" s="57">
        <f t="shared" si="64"/>
        <v>3000</v>
      </c>
      <c r="K1023" s="58">
        <f t="shared" si="65"/>
        <v>3300</v>
      </c>
      <c r="L1023" s="18" t="s">
        <v>2887</v>
      </c>
      <c r="M1023" s="50" t="s">
        <v>2515</v>
      </c>
      <c r="N1023" s="50"/>
    </row>
    <row r="1024" spans="1:14" ht="21.75" hidden="1" customHeight="1" x14ac:dyDescent="0.4">
      <c r="A1024" s="62">
        <v>45333</v>
      </c>
      <c r="B1024" s="32" t="s">
        <v>2938</v>
      </c>
      <c r="C1024" s="18" t="s">
        <v>27</v>
      </c>
      <c r="D1024" s="63" t="s">
        <v>28</v>
      </c>
      <c r="E1024" s="50" t="s">
        <v>318</v>
      </c>
      <c r="F1024" s="57">
        <v>15000</v>
      </c>
      <c r="G1024" s="76"/>
      <c r="H1024" s="57">
        <f t="shared" si="66"/>
        <v>15000</v>
      </c>
      <c r="I1024" s="50">
        <v>1</v>
      </c>
      <c r="J1024" s="57">
        <f t="shared" si="64"/>
        <v>15000</v>
      </c>
      <c r="K1024" s="58">
        <f t="shared" si="65"/>
        <v>16500</v>
      </c>
      <c r="L1024" s="18" t="s">
        <v>2887</v>
      </c>
      <c r="M1024" s="50"/>
      <c r="N1024" s="50"/>
    </row>
    <row r="1025" spans="1:14" ht="21.75" hidden="1" customHeight="1" x14ac:dyDescent="0.4">
      <c r="A1025" s="62">
        <v>45333</v>
      </c>
      <c r="B1025" s="32" t="s">
        <v>2938</v>
      </c>
      <c r="C1025" s="18" t="s">
        <v>27</v>
      </c>
      <c r="D1025" s="63" t="s">
        <v>28</v>
      </c>
      <c r="E1025" s="50" t="s">
        <v>2939</v>
      </c>
      <c r="F1025" s="57">
        <v>8750</v>
      </c>
      <c r="G1025" s="76"/>
      <c r="H1025" s="57">
        <f t="shared" si="66"/>
        <v>8750</v>
      </c>
      <c r="I1025" s="50">
        <v>1</v>
      </c>
      <c r="J1025" s="57">
        <f t="shared" si="64"/>
        <v>8750</v>
      </c>
      <c r="K1025" s="58">
        <f t="shared" si="65"/>
        <v>9625</v>
      </c>
      <c r="L1025" s="18" t="s">
        <v>2887</v>
      </c>
      <c r="M1025" s="50"/>
      <c r="N1025" s="50"/>
    </row>
    <row r="1026" spans="1:14" ht="21.75" hidden="1" customHeight="1" x14ac:dyDescent="0.4">
      <c r="A1026" s="62">
        <v>45333</v>
      </c>
      <c r="B1026" s="32" t="s">
        <v>2938</v>
      </c>
      <c r="C1026" s="18" t="s">
        <v>27</v>
      </c>
      <c r="D1026" s="63" t="s">
        <v>28</v>
      </c>
      <c r="E1026" s="50" t="s">
        <v>2911</v>
      </c>
      <c r="F1026" s="57">
        <v>17500</v>
      </c>
      <c r="G1026" s="76"/>
      <c r="H1026" s="57">
        <f t="shared" si="66"/>
        <v>17500</v>
      </c>
      <c r="I1026" s="50">
        <v>1</v>
      </c>
      <c r="J1026" s="57">
        <f t="shared" si="64"/>
        <v>17500</v>
      </c>
      <c r="K1026" s="58">
        <f t="shared" si="65"/>
        <v>19250</v>
      </c>
      <c r="L1026" s="18" t="s">
        <v>2887</v>
      </c>
      <c r="M1026" s="50"/>
      <c r="N1026" s="50"/>
    </row>
    <row r="1027" spans="1:14" ht="21.75" hidden="1" customHeight="1" x14ac:dyDescent="0.4">
      <c r="A1027" s="62">
        <v>45334</v>
      </c>
      <c r="B1027" s="32" t="s">
        <v>2940</v>
      </c>
      <c r="C1027" s="18" t="s">
        <v>22</v>
      </c>
      <c r="D1027" s="63" t="s">
        <v>1496</v>
      </c>
      <c r="E1027" s="50" t="s">
        <v>2422</v>
      </c>
      <c r="F1027" s="57">
        <v>2000</v>
      </c>
      <c r="G1027" s="76"/>
      <c r="H1027" s="57">
        <f t="shared" si="66"/>
        <v>2000</v>
      </c>
      <c r="I1027" s="50">
        <v>1</v>
      </c>
      <c r="J1027" s="57">
        <f t="shared" si="64"/>
        <v>2000</v>
      </c>
      <c r="K1027" s="58">
        <f t="shared" si="65"/>
        <v>2200</v>
      </c>
      <c r="L1027" s="18" t="s">
        <v>2887</v>
      </c>
      <c r="M1027" s="50"/>
      <c r="N1027" s="50"/>
    </row>
    <row r="1028" spans="1:14" ht="21.75" hidden="1" customHeight="1" x14ac:dyDescent="0.4">
      <c r="A1028" s="62">
        <v>45334</v>
      </c>
      <c r="B1028" s="32" t="s">
        <v>2941</v>
      </c>
      <c r="C1028" s="18" t="s">
        <v>22</v>
      </c>
      <c r="D1028" s="63" t="s">
        <v>1496</v>
      </c>
      <c r="E1028" s="50" t="s">
        <v>369</v>
      </c>
      <c r="F1028" s="57">
        <v>3000</v>
      </c>
      <c r="G1028" s="76"/>
      <c r="H1028" s="57">
        <f t="shared" si="66"/>
        <v>3000</v>
      </c>
      <c r="I1028" s="50">
        <v>1</v>
      </c>
      <c r="J1028" s="57">
        <f t="shared" si="64"/>
        <v>3000</v>
      </c>
      <c r="K1028" s="58">
        <f t="shared" si="65"/>
        <v>3300</v>
      </c>
      <c r="L1028" s="18" t="s">
        <v>25</v>
      </c>
      <c r="M1028" s="50" t="s">
        <v>2515</v>
      </c>
      <c r="N1028" s="50"/>
    </row>
    <row r="1029" spans="1:14" ht="21.75" hidden="1" customHeight="1" x14ac:dyDescent="0.4">
      <c r="A1029" s="62">
        <v>45334</v>
      </c>
      <c r="B1029" s="32" t="s">
        <v>2942</v>
      </c>
      <c r="C1029" s="18" t="s">
        <v>22</v>
      </c>
      <c r="D1029" s="63" t="s">
        <v>1496</v>
      </c>
      <c r="E1029" s="50" t="s">
        <v>369</v>
      </c>
      <c r="F1029" s="57">
        <v>3000</v>
      </c>
      <c r="G1029" s="76"/>
      <c r="H1029" s="57">
        <f t="shared" si="66"/>
        <v>3000</v>
      </c>
      <c r="I1029" s="50">
        <v>1</v>
      </c>
      <c r="J1029" s="57">
        <f t="shared" si="64"/>
        <v>3000</v>
      </c>
      <c r="K1029" s="58">
        <f t="shared" si="65"/>
        <v>3300</v>
      </c>
      <c r="L1029" s="18" t="s">
        <v>25</v>
      </c>
      <c r="M1029" s="50" t="s">
        <v>2515</v>
      </c>
      <c r="N1029" s="50"/>
    </row>
    <row r="1030" spans="1:14" ht="21.75" hidden="1" customHeight="1" x14ac:dyDescent="0.4">
      <c r="A1030" s="62">
        <v>45334</v>
      </c>
      <c r="B1030" s="32" t="s">
        <v>2942</v>
      </c>
      <c r="C1030" s="18" t="s">
        <v>27</v>
      </c>
      <c r="D1030" s="63" t="s">
        <v>28</v>
      </c>
      <c r="E1030" s="50" t="s">
        <v>318</v>
      </c>
      <c r="F1030" s="57">
        <v>15000</v>
      </c>
      <c r="G1030" s="76"/>
      <c r="H1030" s="57">
        <f t="shared" si="66"/>
        <v>15000</v>
      </c>
      <c r="I1030" s="50">
        <v>1</v>
      </c>
      <c r="J1030" s="57">
        <f t="shared" si="64"/>
        <v>15000</v>
      </c>
      <c r="K1030" s="58">
        <f t="shared" si="65"/>
        <v>16500</v>
      </c>
      <c r="L1030" s="18" t="s">
        <v>25</v>
      </c>
      <c r="M1030" s="50"/>
      <c r="N1030" s="50"/>
    </row>
    <row r="1031" spans="1:14" ht="21.75" hidden="1" customHeight="1" x14ac:dyDescent="0.4">
      <c r="A1031" s="62">
        <v>45334</v>
      </c>
      <c r="B1031" s="32" t="s">
        <v>2942</v>
      </c>
      <c r="C1031" s="18" t="s">
        <v>27</v>
      </c>
      <c r="D1031" s="63" t="s">
        <v>28</v>
      </c>
      <c r="E1031" s="50" t="s">
        <v>2366</v>
      </c>
      <c r="F1031" s="57">
        <v>8750</v>
      </c>
      <c r="G1031" s="76"/>
      <c r="H1031" s="57">
        <f t="shared" si="66"/>
        <v>8750</v>
      </c>
      <c r="I1031" s="50">
        <v>1</v>
      </c>
      <c r="J1031" s="57">
        <f t="shared" si="64"/>
        <v>8750</v>
      </c>
      <c r="K1031" s="58">
        <f t="shared" si="65"/>
        <v>9625</v>
      </c>
      <c r="L1031" s="18" t="s">
        <v>25</v>
      </c>
      <c r="M1031" s="50"/>
      <c r="N1031" s="50"/>
    </row>
    <row r="1032" spans="1:14" ht="21.75" hidden="1" customHeight="1" x14ac:dyDescent="0.4">
      <c r="A1032" s="62">
        <v>45334</v>
      </c>
      <c r="B1032" s="32" t="s">
        <v>2942</v>
      </c>
      <c r="C1032" s="18" t="s">
        <v>27</v>
      </c>
      <c r="D1032" s="63" t="s">
        <v>28</v>
      </c>
      <c r="E1032" s="50" t="s">
        <v>1897</v>
      </c>
      <c r="F1032" s="57">
        <v>17500</v>
      </c>
      <c r="G1032" s="76"/>
      <c r="H1032" s="57">
        <f t="shared" si="66"/>
        <v>17500</v>
      </c>
      <c r="I1032" s="50">
        <v>1</v>
      </c>
      <c r="J1032" s="57">
        <f t="shared" si="64"/>
        <v>17500</v>
      </c>
      <c r="K1032" s="58">
        <f t="shared" si="65"/>
        <v>19250</v>
      </c>
      <c r="L1032" s="18" t="s">
        <v>25</v>
      </c>
      <c r="M1032" s="50"/>
      <c r="N1032" s="50"/>
    </row>
    <row r="1033" spans="1:14" ht="21.75" hidden="1" customHeight="1" x14ac:dyDescent="0.4">
      <c r="A1033" s="62">
        <v>45334</v>
      </c>
      <c r="B1033" s="32" t="s">
        <v>2943</v>
      </c>
      <c r="C1033" s="18" t="s">
        <v>22</v>
      </c>
      <c r="D1033" s="63" t="s">
        <v>1496</v>
      </c>
      <c r="E1033" s="50" t="s">
        <v>369</v>
      </c>
      <c r="F1033" s="57">
        <v>3000</v>
      </c>
      <c r="G1033" s="76"/>
      <c r="H1033" s="57">
        <f t="shared" si="66"/>
        <v>3000</v>
      </c>
      <c r="I1033" s="50">
        <v>1</v>
      </c>
      <c r="J1033" s="57">
        <f t="shared" si="64"/>
        <v>3000</v>
      </c>
      <c r="K1033" s="58">
        <f t="shared" si="65"/>
        <v>3300</v>
      </c>
      <c r="L1033" s="18" t="s">
        <v>2887</v>
      </c>
      <c r="M1033" s="50" t="s">
        <v>2515</v>
      </c>
      <c r="N1033" s="50"/>
    </row>
    <row r="1034" spans="1:14" ht="21.75" hidden="1" customHeight="1" x14ac:dyDescent="0.4">
      <c r="A1034" s="62">
        <v>45336</v>
      </c>
      <c r="B1034" s="32" t="s">
        <v>2944</v>
      </c>
      <c r="C1034" s="18" t="s">
        <v>2885</v>
      </c>
      <c r="D1034" s="63" t="s">
        <v>292</v>
      </c>
      <c r="E1034" s="50" t="s">
        <v>2945</v>
      </c>
      <c r="F1034" s="57">
        <v>5500</v>
      </c>
      <c r="G1034" s="76"/>
      <c r="H1034" s="57">
        <f t="shared" si="66"/>
        <v>5500</v>
      </c>
      <c r="I1034" s="50">
        <v>2</v>
      </c>
      <c r="J1034" s="57">
        <f t="shared" si="64"/>
        <v>11000</v>
      </c>
      <c r="K1034" s="58">
        <f t="shared" si="65"/>
        <v>12100</v>
      </c>
      <c r="L1034" s="18" t="s">
        <v>25</v>
      </c>
      <c r="M1034" s="50"/>
      <c r="N1034" s="50"/>
    </row>
    <row r="1035" spans="1:14" ht="21.75" hidden="1" customHeight="1" x14ac:dyDescent="0.4">
      <c r="A1035" s="62">
        <v>45336</v>
      </c>
      <c r="B1035" s="32" t="s">
        <v>2913</v>
      </c>
      <c r="C1035" s="18" t="s">
        <v>2885</v>
      </c>
      <c r="D1035" s="63" t="s">
        <v>2946</v>
      </c>
      <c r="E1035" s="50" t="s">
        <v>2947</v>
      </c>
      <c r="F1035" s="57">
        <v>4000</v>
      </c>
      <c r="G1035" s="76"/>
      <c r="H1035" s="57">
        <f t="shared" si="66"/>
        <v>4000</v>
      </c>
      <c r="I1035" s="50">
        <v>1</v>
      </c>
      <c r="J1035" s="57">
        <f t="shared" si="64"/>
        <v>4000</v>
      </c>
      <c r="K1035" s="58">
        <f t="shared" si="65"/>
        <v>4400</v>
      </c>
      <c r="L1035" s="18" t="s">
        <v>2887</v>
      </c>
      <c r="M1035" s="50"/>
      <c r="N1035" s="50"/>
    </row>
    <row r="1036" spans="1:14" ht="21.75" hidden="1" customHeight="1" x14ac:dyDescent="0.4">
      <c r="A1036" s="62">
        <v>45336</v>
      </c>
      <c r="B1036" s="32" t="s">
        <v>905</v>
      </c>
      <c r="C1036" s="18" t="s">
        <v>27</v>
      </c>
      <c r="D1036" s="63" t="s">
        <v>103</v>
      </c>
      <c r="E1036" s="50" t="s">
        <v>2948</v>
      </c>
      <c r="F1036" s="57">
        <v>25000</v>
      </c>
      <c r="G1036" s="76"/>
      <c r="H1036" s="57">
        <f t="shared" si="66"/>
        <v>25000</v>
      </c>
      <c r="I1036" s="50">
        <v>1</v>
      </c>
      <c r="J1036" s="57">
        <f t="shared" si="64"/>
        <v>25000</v>
      </c>
      <c r="K1036" s="58">
        <f t="shared" si="65"/>
        <v>27500</v>
      </c>
      <c r="L1036" s="18" t="s">
        <v>25</v>
      </c>
      <c r="M1036" s="50"/>
      <c r="N1036" s="50"/>
    </row>
    <row r="1037" spans="1:14" ht="21.75" hidden="1" customHeight="1" x14ac:dyDescent="0.4">
      <c r="A1037" s="62">
        <v>45336</v>
      </c>
      <c r="B1037" s="32" t="s">
        <v>2928</v>
      </c>
      <c r="C1037" s="18" t="s">
        <v>2885</v>
      </c>
      <c r="D1037" s="63" t="s">
        <v>328</v>
      </c>
      <c r="E1037" s="50" t="s">
        <v>1409</v>
      </c>
      <c r="F1037" s="57">
        <v>70000</v>
      </c>
      <c r="G1037" s="76">
        <v>-14000</v>
      </c>
      <c r="H1037" s="57">
        <f t="shared" si="66"/>
        <v>56000</v>
      </c>
      <c r="I1037" s="50">
        <v>1</v>
      </c>
      <c r="J1037" s="57">
        <f t="shared" si="64"/>
        <v>56000</v>
      </c>
      <c r="K1037" s="58">
        <f t="shared" si="65"/>
        <v>61600</v>
      </c>
      <c r="L1037" s="18" t="s">
        <v>34</v>
      </c>
      <c r="M1037" s="50"/>
      <c r="N1037" s="50" t="s">
        <v>3020</v>
      </c>
    </row>
    <row r="1038" spans="1:14" ht="21.75" hidden="1" customHeight="1" x14ac:dyDescent="0.4">
      <c r="A1038" s="62">
        <v>45336</v>
      </c>
      <c r="B1038" s="32" t="s">
        <v>2928</v>
      </c>
      <c r="C1038" s="96" t="s">
        <v>2902</v>
      </c>
      <c r="D1038" s="63"/>
      <c r="E1038" s="50" t="s">
        <v>2903</v>
      </c>
      <c r="F1038" s="57">
        <v>-13500</v>
      </c>
      <c r="G1038" s="76"/>
      <c r="H1038" s="57">
        <f t="shared" si="66"/>
        <v>-13500</v>
      </c>
      <c r="I1038" s="50">
        <v>1</v>
      </c>
      <c r="J1038" s="57">
        <f t="shared" si="64"/>
        <v>-13500</v>
      </c>
      <c r="K1038" s="58">
        <f t="shared" si="65"/>
        <v>-14850</v>
      </c>
      <c r="L1038" s="18" t="s">
        <v>34</v>
      </c>
      <c r="M1038" s="50"/>
      <c r="N1038" s="50"/>
    </row>
    <row r="1039" spans="1:14" ht="21.75" hidden="1" customHeight="1" x14ac:dyDescent="0.4">
      <c r="A1039" s="62">
        <v>45336</v>
      </c>
      <c r="B1039" s="32" t="s">
        <v>171</v>
      </c>
      <c r="C1039" s="18" t="s">
        <v>2885</v>
      </c>
      <c r="D1039" s="63" t="s">
        <v>2907</v>
      </c>
      <c r="E1039" s="50" t="s">
        <v>2949</v>
      </c>
      <c r="F1039" s="57">
        <v>1600</v>
      </c>
      <c r="G1039" s="76">
        <v>-160</v>
      </c>
      <c r="H1039" s="57">
        <f t="shared" si="66"/>
        <v>1440</v>
      </c>
      <c r="I1039" s="50">
        <v>1</v>
      </c>
      <c r="J1039" s="57">
        <f t="shared" si="64"/>
        <v>1440</v>
      </c>
      <c r="K1039" s="58">
        <f t="shared" si="65"/>
        <v>1584</v>
      </c>
      <c r="L1039" s="18" t="s">
        <v>25</v>
      </c>
      <c r="M1039" s="50"/>
      <c r="N1039" s="50"/>
    </row>
    <row r="1040" spans="1:14" ht="21.75" hidden="1" customHeight="1" x14ac:dyDescent="0.4">
      <c r="A1040" s="62">
        <v>45336</v>
      </c>
      <c r="B1040" s="32" t="s">
        <v>171</v>
      </c>
      <c r="C1040" s="18" t="s">
        <v>2885</v>
      </c>
      <c r="D1040" s="63" t="s">
        <v>2907</v>
      </c>
      <c r="E1040" s="50" t="s">
        <v>2901</v>
      </c>
      <c r="F1040" s="57">
        <v>1200</v>
      </c>
      <c r="G1040" s="76">
        <v>-120</v>
      </c>
      <c r="H1040" s="57">
        <f t="shared" si="66"/>
        <v>1080</v>
      </c>
      <c r="I1040" s="50">
        <v>1</v>
      </c>
      <c r="J1040" s="57">
        <f t="shared" si="64"/>
        <v>1080</v>
      </c>
      <c r="K1040" s="58">
        <f t="shared" si="65"/>
        <v>1188</v>
      </c>
      <c r="L1040" s="18" t="s">
        <v>25</v>
      </c>
      <c r="M1040" s="50"/>
      <c r="N1040" s="50"/>
    </row>
    <row r="1041" spans="1:14" ht="21.75" hidden="1" customHeight="1" x14ac:dyDescent="0.4">
      <c r="A1041" s="62">
        <v>45336</v>
      </c>
      <c r="B1041" s="32" t="s">
        <v>2797</v>
      </c>
      <c r="C1041" s="18" t="s">
        <v>2885</v>
      </c>
      <c r="D1041" s="63" t="s">
        <v>2907</v>
      </c>
      <c r="E1041" s="50" t="s">
        <v>2840</v>
      </c>
      <c r="F1041" s="57">
        <v>1800</v>
      </c>
      <c r="G1041" s="76">
        <v>-900</v>
      </c>
      <c r="H1041" s="57">
        <f t="shared" si="66"/>
        <v>900</v>
      </c>
      <c r="I1041" s="50">
        <v>1</v>
      </c>
      <c r="J1041" s="57">
        <f t="shared" si="64"/>
        <v>900</v>
      </c>
      <c r="K1041" s="58">
        <f t="shared" si="65"/>
        <v>990</v>
      </c>
      <c r="L1041" s="18" t="s">
        <v>25</v>
      </c>
      <c r="M1041" s="50"/>
      <c r="N1041" s="50"/>
    </row>
    <row r="1042" spans="1:14" ht="21.75" hidden="1" customHeight="1" x14ac:dyDescent="0.4">
      <c r="A1042" s="62">
        <v>45336</v>
      </c>
      <c r="B1042" s="32" t="s">
        <v>2797</v>
      </c>
      <c r="C1042" s="18" t="s">
        <v>2885</v>
      </c>
      <c r="D1042" s="63" t="s">
        <v>292</v>
      </c>
      <c r="E1042" s="50" t="s">
        <v>2945</v>
      </c>
      <c r="F1042" s="57">
        <v>5500</v>
      </c>
      <c r="G1042" s="76">
        <v>-628</v>
      </c>
      <c r="H1042" s="57">
        <f t="shared" si="66"/>
        <v>4872</v>
      </c>
      <c r="I1042" s="50">
        <v>1</v>
      </c>
      <c r="J1042" s="57">
        <f t="shared" si="64"/>
        <v>4872</v>
      </c>
      <c r="K1042" s="58">
        <f t="shared" si="65"/>
        <v>5359</v>
      </c>
      <c r="L1042" s="18" t="s">
        <v>25</v>
      </c>
      <c r="M1042" s="50"/>
      <c r="N1042" s="50"/>
    </row>
    <row r="1043" spans="1:14" ht="21.75" hidden="1" customHeight="1" x14ac:dyDescent="0.4">
      <c r="A1043" s="62">
        <v>45337</v>
      </c>
      <c r="B1043" s="32" t="s">
        <v>2950</v>
      </c>
      <c r="C1043" s="18" t="s">
        <v>22</v>
      </c>
      <c r="D1043" s="63" t="s">
        <v>1496</v>
      </c>
      <c r="E1043" s="50" t="s">
        <v>369</v>
      </c>
      <c r="F1043" s="57">
        <v>3000</v>
      </c>
      <c r="G1043" s="76"/>
      <c r="H1043" s="57">
        <f t="shared" si="66"/>
        <v>3000</v>
      </c>
      <c r="I1043" s="50">
        <v>1</v>
      </c>
      <c r="J1043" s="57">
        <f t="shared" si="64"/>
        <v>3000</v>
      </c>
      <c r="K1043" s="58">
        <f t="shared" si="65"/>
        <v>3300</v>
      </c>
      <c r="L1043" s="18" t="s">
        <v>25</v>
      </c>
      <c r="M1043" s="50" t="s">
        <v>2515</v>
      </c>
      <c r="N1043" s="50"/>
    </row>
    <row r="1044" spans="1:14" ht="21.75" hidden="1" customHeight="1" x14ac:dyDescent="0.4">
      <c r="A1044" s="62">
        <v>45338</v>
      </c>
      <c r="B1044" s="32" t="s">
        <v>2951</v>
      </c>
      <c r="C1044" s="18" t="s">
        <v>2885</v>
      </c>
      <c r="D1044" s="63" t="s">
        <v>328</v>
      </c>
      <c r="E1044" s="50" t="s">
        <v>2952</v>
      </c>
      <c r="F1044" s="57">
        <v>50000</v>
      </c>
      <c r="G1044" s="76">
        <v>-5000</v>
      </c>
      <c r="H1044" s="57">
        <f t="shared" si="66"/>
        <v>45000</v>
      </c>
      <c r="I1044" s="50">
        <v>1</v>
      </c>
      <c r="J1044" s="57">
        <f t="shared" si="64"/>
        <v>45000</v>
      </c>
      <c r="K1044" s="58">
        <f t="shared" si="65"/>
        <v>49500</v>
      </c>
      <c r="L1044" s="18" t="s">
        <v>34</v>
      </c>
      <c r="M1044" s="50"/>
      <c r="N1044" s="50" t="s">
        <v>3020</v>
      </c>
    </row>
    <row r="1045" spans="1:14" ht="21.75" hidden="1" customHeight="1" x14ac:dyDescent="0.4">
      <c r="A1045" s="62">
        <v>45338</v>
      </c>
      <c r="B1045" s="32" t="s">
        <v>2951</v>
      </c>
      <c r="C1045" s="18" t="s">
        <v>2885</v>
      </c>
      <c r="D1045" s="63" t="s">
        <v>2925</v>
      </c>
      <c r="E1045" s="50" t="s">
        <v>2953</v>
      </c>
      <c r="F1045" s="57">
        <v>95000</v>
      </c>
      <c r="G1045" s="76">
        <v>-14250</v>
      </c>
      <c r="H1045" s="57">
        <f t="shared" si="66"/>
        <v>80750</v>
      </c>
      <c r="I1045" s="50">
        <v>1</v>
      </c>
      <c r="J1045" s="57">
        <f t="shared" si="64"/>
        <v>80750</v>
      </c>
      <c r="K1045" s="58">
        <f t="shared" si="65"/>
        <v>88825</v>
      </c>
      <c r="L1045" s="18" t="s">
        <v>34</v>
      </c>
      <c r="M1045" s="50"/>
      <c r="N1045" s="117" t="s">
        <v>3020</v>
      </c>
    </row>
    <row r="1046" spans="1:14" ht="21.75" hidden="1" customHeight="1" x14ac:dyDescent="0.4">
      <c r="A1046" s="62">
        <v>45338</v>
      </c>
      <c r="B1046" s="32" t="s">
        <v>1269</v>
      </c>
      <c r="C1046" s="18" t="s">
        <v>2885</v>
      </c>
      <c r="D1046" s="63" t="s">
        <v>292</v>
      </c>
      <c r="E1046" s="50" t="s">
        <v>2954</v>
      </c>
      <c r="F1046" s="57">
        <v>6300</v>
      </c>
      <c r="G1046" s="76">
        <v>-630</v>
      </c>
      <c r="H1046" s="57">
        <f t="shared" si="66"/>
        <v>5670</v>
      </c>
      <c r="I1046" s="50">
        <v>1</v>
      </c>
      <c r="J1046" s="57">
        <f t="shared" ref="J1046:J1110" si="67">SUM(H1046*I1046)</f>
        <v>5670</v>
      </c>
      <c r="K1046" s="58">
        <f t="shared" ref="K1046:K1110" si="68">ROUNDDOWN(J1046*1.1,0)</f>
        <v>6237</v>
      </c>
      <c r="L1046" s="18" t="s">
        <v>34</v>
      </c>
      <c r="M1046" s="50"/>
      <c r="N1046" s="50"/>
    </row>
    <row r="1047" spans="1:14" ht="21.75" hidden="1" customHeight="1" x14ac:dyDescent="0.4">
      <c r="A1047" s="62">
        <v>45338</v>
      </c>
      <c r="B1047" s="32" t="s">
        <v>1269</v>
      </c>
      <c r="C1047" s="18" t="s">
        <v>2885</v>
      </c>
      <c r="D1047" s="63" t="s">
        <v>292</v>
      </c>
      <c r="E1047" s="50" t="s">
        <v>2955</v>
      </c>
      <c r="F1047" s="57">
        <v>6300</v>
      </c>
      <c r="G1047" s="76">
        <v>-630</v>
      </c>
      <c r="H1047" s="57">
        <f t="shared" si="66"/>
        <v>5670</v>
      </c>
      <c r="I1047" s="50">
        <v>1</v>
      </c>
      <c r="J1047" s="57">
        <f t="shared" si="67"/>
        <v>5670</v>
      </c>
      <c r="K1047" s="58">
        <f t="shared" si="68"/>
        <v>6237</v>
      </c>
      <c r="L1047" s="18" t="s">
        <v>34</v>
      </c>
      <c r="M1047" s="50"/>
      <c r="N1047" s="50"/>
    </row>
    <row r="1048" spans="1:14" ht="21.75" hidden="1" customHeight="1" x14ac:dyDescent="0.4">
      <c r="A1048" s="62">
        <v>45338</v>
      </c>
      <c r="B1048" s="32" t="s">
        <v>139</v>
      </c>
      <c r="C1048" s="18" t="s">
        <v>2885</v>
      </c>
      <c r="D1048" s="63" t="s">
        <v>292</v>
      </c>
      <c r="E1048" s="50" t="s">
        <v>2126</v>
      </c>
      <c r="F1048" s="57">
        <v>5800</v>
      </c>
      <c r="G1048" s="76">
        <v>-580</v>
      </c>
      <c r="H1048" s="57">
        <f t="shared" si="66"/>
        <v>5220</v>
      </c>
      <c r="I1048" s="50">
        <v>1</v>
      </c>
      <c r="J1048" s="57">
        <f t="shared" si="67"/>
        <v>5220</v>
      </c>
      <c r="K1048" s="58">
        <f t="shared" si="68"/>
        <v>5742</v>
      </c>
      <c r="L1048" s="18" t="s">
        <v>25</v>
      </c>
      <c r="M1048" s="50"/>
      <c r="N1048" s="50"/>
    </row>
    <row r="1049" spans="1:14" ht="21.75" hidden="1" customHeight="1" x14ac:dyDescent="0.4">
      <c r="A1049" s="62">
        <v>45338</v>
      </c>
      <c r="B1049" s="32" t="s">
        <v>727</v>
      </c>
      <c r="C1049" s="18" t="s">
        <v>2956</v>
      </c>
      <c r="D1049" s="63" t="s">
        <v>330</v>
      </c>
      <c r="E1049" s="50" t="s">
        <v>2957</v>
      </c>
      <c r="F1049" s="57">
        <v>5000</v>
      </c>
      <c r="G1049" s="76"/>
      <c r="H1049" s="57">
        <f t="shared" si="66"/>
        <v>5000</v>
      </c>
      <c r="I1049" s="50">
        <v>2</v>
      </c>
      <c r="J1049" s="57">
        <f t="shared" si="67"/>
        <v>10000</v>
      </c>
      <c r="K1049" s="58">
        <f t="shared" si="68"/>
        <v>11000</v>
      </c>
      <c r="L1049" s="18" t="s">
        <v>34</v>
      </c>
      <c r="M1049" s="50"/>
      <c r="N1049" s="50"/>
    </row>
    <row r="1050" spans="1:14" ht="21.75" hidden="1" customHeight="1" x14ac:dyDescent="0.4">
      <c r="A1050" s="62">
        <v>45339</v>
      </c>
      <c r="B1050" s="32" t="s">
        <v>2958</v>
      </c>
      <c r="C1050" s="18" t="s">
        <v>2892</v>
      </c>
      <c r="D1050" s="63" t="s">
        <v>23</v>
      </c>
      <c r="E1050" s="50" t="s">
        <v>2883</v>
      </c>
      <c r="F1050" s="57">
        <v>15000</v>
      </c>
      <c r="G1050" s="76"/>
      <c r="H1050" s="57">
        <f t="shared" si="66"/>
        <v>15000</v>
      </c>
      <c r="I1050" s="50">
        <v>1</v>
      </c>
      <c r="J1050" s="57">
        <f t="shared" si="67"/>
        <v>15000</v>
      </c>
      <c r="K1050" s="58">
        <f t="shared" si="68"/>
        <v>16500</v>
      </c>
      <c r="L1050" s="18" t="s">
        <v>25</v>
      </c>
      <c r="M1050" s="50" t="s">
        <v>2515</v>
      </c>
    </row>
    <row r="1051" spans="1:14" ht="21.75" hidden="1" customHeight="1" x14ac:dyDescent="0.4">
      <c r="A1051" s="62">
        <v>45339</v>
      </c>
      <c r="B1051" s="32" t="s">
        <v>2959</v>
      </c>
      <c r="C1051" s="18" t="s">
        <v>2892</v>
      </c>
      <c r="D1051" s="63" t="s">
        <v>23</v>
      </c>
      <c r="E1051" s="50" t="s">
        <v>2883</v>
      </c>
      <c r="F1051" s="57">
        <v>15000</v>
      </c>
      <c r="G1051" s="76"/>
      <c r="H1051" s="57">
        <f t="shared" si="66"/>
        <v>15000</v>
      </c>
      <c r="I1051" s="50">
        <v>1</v>
      </c>
      <c r="J1051" s="57">
        <f t="shared" si="67"/>
        <v>15000</v>
      </c>
      <c r="K1051" s="58">
        <f t="shared" si="68"/>
        <v>16500</v>
      </c>
      <c r="L1051" s="18" t="s">
        <v>25</v>
      </c>
      <c r="M1051" s="50" t="s">
        <v>2515</v>
      </c>
    </row>
    <row r="1052" spans="1:14" ht="21.75" hidden="1" customHeight="1" x14ac:dyDescent="0.4">
      <c r="A1052" s="62">
        <v>45340</v>
      </c>
      <c r="B1052" s="32" t="s">
        <v>1292</v>
      </c>
      <c r="C1052" s="18" t="s">
        <v>2956</v>
      </c>
      <c r="D1052" s="63" t="s">
        <v>332</v>
      </c>
      <c r="E1052" s="50" t="s">
        <v>2960</v>
      </c>
      <c r="F1052" s="57">
        <v>1090</v>
      </c>
      <c r="G1052" s="76">
        <v>-109</v>
      </c>
      <c r="H1052" s="57">
        <f t="shared" si="66"/>
        <v>981</v>
      </c>
      <c r="I1052" s="50">
        <v>6</v>
      </c>
      <c r="J1052" s="57">
        <f t="shared" si="67"/>
        <v>5886</v>
      </c>
      <c r="K1052" s="58">
        <f t="shared" si="68"/>
        <v>6474</v>
      </c>
      <c r="L1052" s="18" t="s">
        <v>25</v>
      </c>
      <c r="M1052" s="50"/>
      <c r="N1052" s="50"/>
    </row>
    <row r="1053" spans="1:14" ht="21.75" hidden="1" customHeight="1" x14ac:dyDescent="0.4">
      <c r="A1053" s="62">
        <v>45340</v>
      </c>
      <c r="B1053" s="32" t="s">
        <v>1292</v>
      </c>
      <c r="C1053" s="18" t="s">
        <v>2956</v>
      </c>
      <c r="D1053" s="63" t="s">
        <v>328</v>
      </c>
      <c r="E1053" s="50" t="s">
        <v>2961</v>
      </c>
      <c r="F1053" s="57">
        <v>5100</v>
      </c>
      <c r="G1053" s="76">
        <v>-510</v>
      </c>
      <c r="H1053" s="57">
        <f t="shared" si="66"/>
        <v>4590</v>
      </c>
      <c r="I1053" s="50">
        <v>1</v>
      </c>
      <c r="J1053" s="57">
        <f t="shared" si="67"/>
        <v>4590</v>
      </c>
      <c r="K1053" s="58">
        <f t="shared" si="68"/>
        <v>5049</v>
      </c>
      <c r="L1053" s="18" t="s">
        <v>25</v>
      </c>
      <c r="M1053" s="50"/>
      <c r="N1053" s="50"/>
    </row>
    <row r="1054" spans="1:14" ht="21.75" hidden="1" customHeight="1" x14ac:dyDescent="0.4">
      <c r="A1054" s="62">
        <v>45340</v>
      </c>
      <c r="B1054" s="32" t="s">
        <v>2962</v>
      </c>
      <c r="C1054" s="18" t="s">
        <v>22</v>
      </c>
      <c r="D1054" s="63" t="s">
        <v>1496</v>
      </c>
      <c r="E1054" s="50" t="s">
        <v>369</v>
      </c>
      <c r="F1054" s="57">
        <v>3000</v>
      </c>
      <c r="G1054" s="76"/>
      <c r="H1054" s="57">
        <f t="shared" si="66"/>
        <v>3000</v>
      </c>
      <c r="I1054" s="50">
        <v>1</v>
      </c>
      <c r="J1054" s="57">
        <f t="shared" si="67"/>
        <v>3000</v>
      </c>
      <c r="K1054" s="58">
        <f t="shared" si="68"/>
        <v>3300</v>
      </c>
      <c r="L1054" s="18" t="s">
        <v>2963</v>
      </c>
      <c r="M1054" s="50" t="s">
        <v>2515</v>
      </c>
    </row>
    <row r="1055" spans="1:14" ht="21.75" hidden="1" customHeight="1" x14ac:dyDescent="0.4">
      <c r="A1055" s="62">
        <v>45340</v>
      </c>
      <c r="B1055" s="32" t="s">
        <v>2950</v>
      </c>
      <c r="C1055" s="18" t="s">
        <v>27</v>
      </c>
      <c r="D1055" s="63" t="s">
        <v>28</v>
      </c>
      <c r="E1055" s="50" t="s">
        <v>318</v>
      </c>
      <c r="F1055" s="57">
        <v>15000</v>
      </c>
      <c r="G1055" s="76"/>
      <c r="H1055" s="57">
        <f t="shared" si="66"/>
        <v>15000</v>
      </c>
      <c r="I1055" s="50">
        <v>1</v>
      </c>
      <c r="J1055" s="57">
        <f t="shared" si="67"/>
        <v>15000</v>
      </c>
      <c r="K1055" s="58">
        <f t="shared" si="68"/>
        <v>16500</v>
      </c>
      <c r="L1055" s="18" t="s">
        <v>25</v>
      </c>
      <c r="M1055" s="50"/>
    </row>
    <row r="1056" spans="1:14" ht="21.75" hidden="1" customHeight="1" x14ac:dyDescent="0.4">
      <c r="A1056" s="62">
        <v>45340</v>
      </c>
      <c r="B1056" s="32" t="s">
        <v>2950</v>
      </c>
      <c r="C1056" s="18" t="s">
        <v>27</v>
      </c>
      <c r="D1056" s="63" t="s">
        <v>28</v>
      </c>
      <c r="E1056" s="50" t="s">
        <v>2964</v>
      </c>
      <c r="F1056" s="57">
        <v>17500</v>
      </c>
      <c r="G1056" s="76"/>
      <c r="H1056" s="57">
        <f t="shared" si="66"/>
        <v>17500</v>
      </c>
      <c r="I1056" s="50">
        <v>1</v>
      </c>
      <c r="J1056" s="57">
        <f t="shared" si="67"/>
        <v>17500</v>
      </c>
      <c r="K1056" s="58">
        <f t="shared" si="68"/>
        <v>19250</v>
      </c>
      <c r="L1056" s="18" t="s">
        <v>25</v>
      </c>
      <c r="M1056" s="50"/>
    </row>
    <row r="1057" spans="1:14" ht="21.75" hidden="1" customHeight="1" x14ac:dyDescent="0.4">
      <c r="A1057" s="62">
        <v>45340</v>
      </c>
      <c r="B1057" s="32" t="s">
        <v>2965</v>
      </c>
      <c r="C1057" s="18" t="s">
        <v>2956</v>
      </c>
      <c r="D1057" s="63" t="s">
        <v>328</v>
      </c>
      <c r="E1057" s="50" t="s">
        <v>2966</v>
      </c>
      <c r="F1057" s="57">
        <v>10000</v>
      </c>
      <c r="G1057" s="76"/>
      <c r="H1057" s="57">
        <f t="shared" si="66"/>
        <v>10000</v>
      </c>
      <c r="I1057" s="50">
        <v>1</v>
      </c>
      <c r="J1057" s="57">
        <f t="shared" si="67"/>
        <v>10000</v>
      </c>
      <c r="K1057" s="58">
        <f t="shared" si="68"/>
        <v>11000</v>
      </c>
      <c r="L1057" s="18" t="s">
        <v>2963</v>
      </c>
      <c r="M1057" s="50"/>
      <c r="N1057" s="50"/>
    </row>
    <row r="1058" spans="1:14" ht="21.75" hidden="1" customHeight="1" x14ac:dyDescent="0.4">
      <c r="A1058" s="62">
        <v>45340</v>
      </c>
      <c r="B1058" s="32" t="s">
        <v>2965</v>
      </c>
      <c r="C1058" s="18" t="s">
        <v>2956</v>
      </c>
      <c r="D1058" s="63" t="s">
        <v>2967</v>
      </c>
      <c r="E1058" s="50" t="s">
        <v>2968</v>
      </c>
      <c r="F1058" s="57">
        <v>3500</v>
      </c>
      <c r="G1058" s="76">
        <v>-1750</v>
      </c>
      <c r="H1058" s="57">
        <f t="shared" si="66"/>
        <v>1750</v>
      </c>
      <c r="I1058" s="50">
        <v>1</v>
      </c>
      <c r="J1058" s="57">
        <f t="shared" si="67"/>
        <v>1750</v>
      </c>
      <c r="K1058" s="58">
        <f t="shared" si="68"/>
        <v>1925</v>
      </c>
      <c r="L1058" s="18" t="s">
        <v>2963</v>
      </c>
      <c r="M1058" s="50"/>
      <c r="N1058" s="50"/>
    </row>
    <row r="1059" spans="1:14" ht="21.75" hidden="1" customHeight="1" x14ac:dyDescent="0.4">
      <c r="A1059" s="62">
        <v>45341</v>
      </c>
      <c r="B1059" s="32" t="s">
        <v>171</v>
      </c>
      <c r="C1059" s="18" t="s">
        <v>2956</v>
      </c>
      <c r="D1059" s="63" t="s">
        <v>292</v>
      </c>
      <c r="E1059" s="50" t="s">
        <v>2969</v>
      </c>
      <c r="F1059" s="57">
        <v>5500</v>
      </c>
      <c r="G1059" s="76"/>
      <c r="H1059" s="57">
        <f t="shared" si="66"/>
        <v>5500</v>
      </c>
      <c r="I1059" s="50">
        <v>1</v>
      </c>
      <c r="J1059" s="57">
        <f t="shared" si="67"/>
        <v>5500</v>
      </c>
      <c r="K1059" s="58">
        <f t="shared" si="68"/>
        <v>6050</v>
      </c>
      <c r="L1059" s="18" t="s">
        <v>25</v>
      </c>
      <c r="M1059" s="50"/>
      <c r="N1059" s="50"/>
    </row>
    <row r="1060" spans="1:14" ht="21.75" hidden="1" customHeight="1" x14ac:dyDescent="0.4">
      <c r="A1060" s="62">
        <v>45343</v>
      </c>
      <c r="B1060" s="32" t="s">
        <v>2970</v>
      </c>
      <c r="C1060" s="18" t="s">
        <v>22</v>
      </c>
      <c r="D1060" s="63" t="s">
        <v>1496</v>
      </c>
      <c r="E1060" s="50" t="s">
        <v>2971</v>
      </c>
      <c r="F1060" s="57">
        <v>7500</v>
      </c>
      <c r="G1060" s="76"/>
      <c r="H1060" s="57">
        <f t="shared" si="66"/>
        <v>7500</v>
      </c>
      <c r="I1060" s="50">
        <v>1</v>
      </c>
      <c r="J1060" s="57">
        <f t="shared" si="67"/>
        <v>7500</v>
      </c>
      <c r="K1060" s="58">
        <f t="shared" si="68"/>
        <v>8250</v>
      </c>
      <c r="L1060" s="18" t="s">
        <v>2963</v>
      </c>
      <c r="M1060" s="50" t="s">
        <v>2515</v>
      </c>
    </row>
    <row r="1061" spans="1:14" ht="21.75" hidden="1" customHeight="1" x14ac:dyDescent="0.4">
      <c r="A1061" s="62">
        <v>45343</v>
      </c>
      <c r="B1061" s="32" t="s">
        <v>2972</v>
      </c>
      <c r="C1061" s="18" t="s">
        <v>22</v>
      </c>
      <c r="D1061" s="63" t="s">
        <v>1496</v>
      </c>
      <c r="E1061" s="50" t="s">
        <v>369</v>
      </c>
      <c r="F1061" s="57">
        <v>3000</v>
      </c>
      <c r="G1061" s="76"/>
      <c r="H1061" s="57">
        <f t="shared" si="66"/>
        <v>3000</v>
      </c>
      <c r="I1061" s="50">
        <v>1</v>
      </c>
      <c r="J1061" s="57">
        <f t="shared" si="67"/>
        <v>3000</v>
      </c>
      <c r="K1061" s="58">
        <f t="shared" si="68"/>
        <v>3300</v>
      </c>
      <c r="L1061" s="18" t="s">
        <v>2963</v>
      </c>
      <c r="M1061" s="50" t="s">
        <v>2515</v>
      </c>
    </row>
    <row r="1062" spans="1:14" ht="21.75" hidden="1" customHeight="1" x14ac:dyDescent="0.4">
      <c r="A1062" s="62">
        <v>45343</v>
      </c>
      <c r="B1062" s="32" t="s">
        <v>2973</v>
      </c>
      <c r="C1062" s="18" t="s">
        <v>17</v>
      </c>
      <c r="D1062" s="63" t="s">
        <v>455</v>
      </c>
      <c r="E1062" s="50" t="s">
        <v>2619</v>
      </c>
      <c r="F1062" s="57">
        <v>1090</v>
      </c>
      <c r="G1062" s="76">
        <v>-109</v>
      </c>
      <c r="H1062" s="57">
        <f t="shared" si="66"/>
        <v>981</v>
      </c>
      <c r="I1062" s="50">
        <v>1</v>
      </c>
      <c r="J1062" s="57">
        <f t="shared" si="67"/>
        <v>981</v>
      </c>
      <c r="K1062" s="58">
        <f t="shared" si="68"/>
        <v>1079</v>
      </c>
      <c r="L1062" s="18" t="s">
        <v>25</v>
      </c>
      <c r="M1062" s="50"/>
      <c r="N1062" s="50"/>
    </row>
    <row r="1063" spans="1:14" ht="21.75" hidden="1" customHeight="1" x14ac:dyDescent="0.4">
      <c r="A1063" s="62">
        <v>45343</v>
      </c>
      <c r="B1063" s="32" t="s">
        <v>2972</v>
      </c>
      <c r="C1063" s="18" t="s">
        <v>27</v>
      </c>
      <c r="D1063" s="63" t="s">
        <v>28</v>
      </c>
      <c r="E1063" s="50" t="s">
        <v>318</v>
      </c>
      <c r="F1063" s="57">
        <v>15000</v>
      </c>
      <c r="G1063" s="76"/>
      <c r="H1063" s="57">
        <f t="shared" si="66"/>
        <v>15000</v>
      </c>
      <c r="I1063" s="50">
        <v>1</v>
      </c>
      <c r="J1063" s="57">
        <f t="shared" si="67"/>
        <v>15000</v>
      </c>
      <c r="K1063" s="58">
        <f t="shared" si="68"/>
        <v>16500</v>
      </c>
      <c r="L1063" s="18" t="s">
        <v>2963</v>
      </c>
      <c r="M1063" s="50"/>
    </row>
    <row r="1064" spans="1:14" ht="21.75" hidden="1" customHeight="1" x14ac:dyDescent="0.4">
      <c r="A1064" s="62">
        <v>45343</v>
      </c>
      <c r="B1064" s="32" t="s">
        <v>2972</v>
      </c>
      <c r="C1064" s="18" t="s">
        <v>27</v>
      </c>
      <c r="D1064" s="63" t="s">
        <v>28</v>
      </c>
      <c r="E1064" s="50" t="s">
        <v>2974</v>
      </c>
      <c r="F1064" s="57">
        <v>4370</v>
      </c>
      <c r="G1064" s="76"/>
      <c r="H1064" s="57">
        <f t="shared" si="66"/>
        <v>4370</v>
      </c>
      <c r="I1064" s="50">
        <v>1</v>
      </c>
      <c r="J1064" s="57">
        <f t="shared" si="67"/>
        <v>4370</v>
      </c>
      <c r="K1064" s="58">
        <f t="shared" si="68"/>
        <v>4807</v>
      </c>
      <c r="L1064" s="18" t="s">
        <v>2963</v>
      </c>
      <c r="M1064" s="50"/>
    </row>
    <row r="1065" spans="1:14" ht="21.75" hidden="1" customHeight="1" x14ac:dyDescent="0.4">
      <c r="A1065" s="62">
        <v>45343</v>
      </c>
      <c r="B1065" s="32" t="s">
        <v>2972</v>
      </c>
      <c r="C1065" s="18" t="s">
        <v>27</v>
      </c>
      <c r="D1065" s="63" t="s">
        <v>28</v>
      </c>
      <c r="E1065" s="50" t="s">
        <v>2964</v>
      </c>
      <c r="F1065" s="57">
        <v>17500</v>
      </c>
      <c r="G1065" s="76"/>
      <c r="H1065" s="57">
        <f t="shared" si="66"/>
        <v>17500</v>
      </c>
      <c r="I1065" s="50">
        <v>1</v>
      </c>
      <c r="J1065" s="57">
        <f t="shared" si="67"/>
        <v>17500</v>
      </c>
      <c r="K1065" s="58">
        <f t="shared" si="68"/>
        <v>19250</v>
      </c>
      <c r="L1065" s="18" t="s">
        <v>2963</v>
      </c>
      <c r="M1065" s="50"/>
    </row>
    <row r="1066" spans="1:14" ht="21.75" hidden="1" customHeight="1" x14ac:dyDescent="0.4">
      <c r="A1066" s="62">
        <v>45343</v>
      </c>
      <c r="B1066" s="32" t="s">
        <v>2975</v>
      </c>
      <c r="C1066" s="18" t="s">
        <v>2956</v>
      </c>
      <c r="D1066" s="63" t="s">
        <v>332</v>
      </c>
      <c r="E1066" s="50" t="s">
        <v>2976</v>
      </c>
      <c r="F1066" s="57">
        <v>1600</v>
      </c>
      <c r="G1066" s="76">
        <v>-160</v>
      </c>
      <c r="H1066" s="57">
        <f t="shared" ref="H1066:H1132" si="69">SUM(F1066:G1066)</f>
        <v>1440</v>
      </c>
      <c r="I1066" s="50">
        <v>3</v>
      </c>
      <c r="J1066" s="57">
        <f t="shared" si="67"/>
        <v>4320</v>
      </c>
      <c r="K1066" s="58">
        <f t="shared" si="68"/>
        <v>4752</v>
      </c>
      <c r="L1066" s="18" t="s">
        <v>2963</v>
      </c>
      <c r="M1066" s="50"/>
      <c r="N1066" s="50"/>
    </row>
    <row r="1067" spans="1:14" ht="21.75" hidden="1" customHeight="1" x14ac:dyDescent="0.4">
      <c r="A1067" s="62">
        <v>45343</v>
      </c>
      <c r="B1067" s="32" t="s">
        <v>2975</v>
      </c>
      <c r="C1067" s="18" t="s">
        <v>2956</v>
      </c>
      <c r="D1067" s="63" t="s">
        <v>332</v>
      </c>
      <c r="E1067" s="50" t="s">
        <v>2977</v>
      </c>
      <c r="F1067" s="57">
        <v>1600</v>
      </c>
      <c r="G1067" s="76">
        <v>-160</v>
      </c>
      <c r="H1067" s="57">
        <f t="shared" si="69"/>
        <v>1440</v>
      </c>
      <c r="I1067" s="50">
        <v>2</v>
      </c>
      <c r="J1067" s="57">
        <f t="shared" si="67"/>
        <v>2880</v>
      </c>
      <c r="K1067" s="58">
        <f t="shared" si="68"/>
        <v>3168</v>
      </c>
      <c r="L1067" s="18" t="s">
        <v>2963</v>
      </c>
      <c r="M1067" s="50"/>
      <c r="N1067" s="50"/>
    </row>
    <row r="1068" spans="1:14" ht="21.75" hidden="1" customHeight="1" x14ac:dyDescent="0.4">
      <c r="A1068" s="62">
        <v>45344</v>
      </c>
      <c r="B1068" s="32" t="s">
        <v>2978</v>
      </c>
      <c r="C1068" s="18" t="s">
        <v>2892</v>
      </c>
      <c r="D1068" s="63" t="s">
        <v>23</v>
      </c>
      <c r="E1068" s="50" t="s">
        <v>2883</v>
      </c>
      <c r="F1068" s="57">
        <v>15000</v>
      </c>
      <c r="G1068" s="76">
        <v>-7500</v>
      </c>
      <c r="H1068" s="57">
        <f t="shared" si="69"/>
        <v>7500</v>
      </c>
      <c r="I1068" s="50">
        <v>1</v>
      </c>
      <c r="J1068" s="57">
        <f t="shared" si="67"/>
        <v>7500</v>
      </c>
      <c r="K1068" s="58">
        <f t="shared" si="68"/>
        <v>8250</v>
      </c>
      <c r="L1068" s="18" t="s">
        <v>2963</v>
      </c>
      <c r="M1068" s="50" t="s">
        <v>2515</v>
      </c>
    </row>
    <row r="1069" spans="1:14" ht="21.75" hidden="1" customHeight="1" x14ac:dyDescent="0.4">
      <c r="A1069" s="62">
        <v>45344</v>
      </c>
      <c r="B1069" s="32" t="s">
        <v>2978</v>
      </c>
      <c r="C1069" s="18" t="s">
        <v>2956</v>
      </c>
      <c r="D1069" s="63" t="s">
        <v>328</v>
      </c>
      <c r="E1069" s="50" t="s">
        <v>1409</v>
      </c>
      <c r="F1069" s="57">
        <v>70000</v>
      </c>
      <c r="G1069" s="76">
        <v>-14000</v>
      </c>
      <c r="H1069" s="57">
        <f t="shared" si="69"/>
        <v>56000</v>
      </c>
      <c r="I1069" s="50">
        <v>1</v>
      </c>
      <c r="J1069" s="57">
        <f t="shared" si="67"/>
        <v>56000</v>
      </c>
      <c r="K1069" s="58">
        <f t="shared" si="68"/>
        <v>61600</v>
      </c>
      <c r="L1069" s="18" t="s">
        <v>34</v>
      </c>
      <c r="M1069" s="50"/>
      <c r="N1069" s="50" t="s">
        <v>3018</v>
      </c>
    </row>
    <row r="1070" spans="1:14" ht="21.75" hidden="1" customHeight="1" x14ac:dyDescent="0.4">
      <c r="A1070" s="62">
        <v>45344</v>
      </c>
      <c r="B1070" s="32" t="s">
        <v>2978</v>
      </c>
      <c r="C1070" s="18" t="s">
        <v>2956</v>
      </c>
      <c r="D1070" s="63" t="s">
        <v>2979</v>
      </c>
      <c r="E1070" s="50" t="s">
        <v>2980</v>
      </c>
      <c r="F1070" s="57">
        <v>65000</v>
      </c>
      <c r="G1070" s="76">
        <v>-13000</v>
      </c>
      <c r="H1070" s="57">
        <f t="shared" si="69"/>
        <v>52000</v>
      </c>
      <c r="I1070" s="50">
        <v>1</v>
      </c>
      <c r="J1070" s="57">
        <f t="shared" si="67"/>
        <v>52000</v>
      </c>
      <c r="K1070" s="58">
        <f t="shared" si="68"/>
        <v>57200</v>
      </c>
      <c r="L1070" s="18" t="s">
        <v>34</v>
      </c>
      <c r="M1070" s="50"/>
      <c r="N1070" s="50" t="s">
        <v>3018</v>
      </c>
    </row>
    <row r="1071" spans="1:14" ht="21.75" hidden="1" customHeight="1" x14ac:dyDescent="0.4">
      <c r="A1071" s="62">
        <v>45344</v>
      </c>
      <c r="B1071" s="32" t="s">
        <v>2978</v>
      </c>
      <c r="C1071" s="18" t="s">
        <v>2956</v>
      </c>
      <c r="D1071" s="63" t="s">
        <v>2967</v>
      </c>
      <c r="E1071" s="50" t="s">
        <v>1793</v>
      </c>
      <c r="F1071" s="57">
        <v>1650</v>
      </c>
      <c r="G1071" s="76"/>
      <c r="H1071" s="57">
        <f t="shared" si="69"/>
        <v>1650</v>
      </c>
      <c r="I1071" s="50">
        <v>1</v>
      </c>
      <c r="J1071" s="57">
        <f t="shared" si="67"/>
        <v>1650</v>
      </c>
      <c r="K1071" s="58">
        <f t="shared" si="68"/>
        <v>1815</v>
      </c>
      <c r="L1071" s="18" t="s">
        <v>34</v>
      </c>
      <c r="M1071" s="50"/>
      <c r="N1071" s="50" t="s">
        <v>3018</v>
      </c>
    </row>
    <row r="1072" spans="1:14" ht="21.75" hidden="1" customHeight="1" x14ac:dyDescent="0.4">
      <c r="A1072" s="62">
        <v>45345</v>
      </c>
      <c r="B1072" s="32" t="s">
        <v>2981</v>
      </c>
      <c r="C1072" s="18" t="s">
        <v>22</v>
      </c>
      <c r="D1072" s="63" t="s">
        <v>1496</v>
      </c>
      <c r="E1072" s="50" t="s">
        <v>369</v>
      </c>
      <c r="F1072" s="57">
        <v>3000</v>
      </c>
      <c r="G1072" s="76"/>
      <c r="H1072" s="57">
        <f t="shared" si="69"/>
        <v>3000</v>
      </c>
      <c r="I1072" s="50">
        <v>1</v>
      </c>
      <c r="J1072" s="57">
        <f t="shared" si="67"/>
        <v>3000</v>
      </c>
      <c r="K1072" s="58">
        <f t="shared" si="68"/>
        <v>3300</v>
      </c>
      <c r="L1072" s="18" t="s">
        <v>2982</v>
      </c>
      <c r="M1072" s="50" t="s">
        <v>2515</v>
      </c>
    </row>
    <row r="1073" spans="1:14" ht="21.75" hidden="1" customHeight="1" x14ac:dyDescent="0.4">
      <c r="A1073" s="62">
        <v>45345</v>
      </c>
      <c r="B1073" s="32" t="s">
        <v>2983</v>
      </c>
      <c r="C1073" s="18" t="s">
        <v>2892</v>
      </c>
      <c r="D1073" s="63" t="s">
        <v>23</v>
      </c>
      <c r="E1073" s="50" t="s">
        <v>2883</v>
      </c>
      <c r="F1073" s="57">
        <v>15000</v>
      </c>
      <c r="G1073" s="76">
        <v>-5000</v>
      </c>
      <c r="H1073" s="57">
        <f t="shared" si="69"/>
        <v>10000</v>
      </c>
      <c r="I1073" s="50">
        <v>1</v>
      </c>
      <c r="J1073" s="57">
        <f t="shared" si="67"/>
        <v>10000</v>
      </c>
      <c r="K1073" s="58">
        <f t="shared" si="68"/>
        <v>11000</v>
      </c>
      <c r="L1073" s="18" t="s">
        <v>25</v>
      </c>
      <c r="M1073" s="50" t="s">
        <v>2984</v>
      </c>
    </row>
    <row r="1074" spans="1:14" ht="21.75" hidden="1" customHeight="1" x14ac:dyDescent="0.4">
      <c r="A1074" s="62">
        <v>45346</v>
      </c>
      <c r="B1074" s="32" t="s">
        <v>2505</v>
      </c>
      <c r="C1074" s="18" t="s">
        <v>2892</v>
      </c>
      <c r="D1074" s="63" t="s">
        <v>23</v>
      </c>
      <c r="E1074" s="50" t="s">
        <v>2985</v>
      </c>
      <c r="F1074" s="57">
        <v>10000</v>
      </c>
      <c r="G1074" s="76"/>
      <c r="H1074" s="57">
        <f t="shared" si="69"/>
        <v>10000</v>
      </c>
      <c r="I1074" s="50">
        <v>1</v>
      </c>
      <c r="J1074" s="57">
        <f t="shared" si="67"/>
        <v>10000</v>
      </c>
      <c r="K1074" s="58">
        <f t="shared" si="68"/>
        <v>11000</v>
      </c>
      <c r="L1074" s="18" t="s">
        <v>25</v>
      </c>
      <c r="M1074" s="50"/>
    </row>
    <row r="1075" spans="1:14" ht="21.75" hidden="1" customHeight="1" x14ac:dyDescent="0.4">
      <c r="A1075" s="62">
        <v>45346</v>
      </c>
      <c r="B1075" s="32" t="s">
        <v>2986</v>
      </c>
      <c r="C1075" s="18" t="s">
        <v>22</v>
      </c>
      <c r="D1075" s="63" t="s">
        <v>1496</v>
      </c>
      <c r="E1075" s="50" t="s">
        <v>369</v>
      </c>
      <c r="F1075" s="57">
        <v>3000</v>
      </c>
      <c r="G1075" s="76"/>
      <c r="H1075" s="57">
        <f t="shared" si="69"/>
        <v>3000</v>
      </c>
      <c r="I1075" s="50">
        <v>1</v>
      </c>
      <c r="J1075" s="57">
        <f t="shared" si="67"/>
        <v>3000</v>
      </c>
      <c r="K1075" s="58">
        <f t="shared" si="68"/>
        <v>3300</v>
      </c>
      <c r="L1075" s="18" t="s">
        <v>2982</v>
      </c>
      <c r="M1075" s="50" t="s">
        <v>2515</v>
      </c>
    </row>
    <row r="1076" spans="1:14" ht="21.75" hidden="1" customHeight="1" x14ac:dyDescent="0.4">
      <c r="A1076" s="62">
        <v>45346</v>
      </c>
      <c r="B1076" s="32" t="s">
        <v>2987</v>
      </c>
      <c r="C1076" s="18" t="s">
        <v>22</v>
      </c>
      <c r="D1076" s="63" t="s">
        <v>1496</v>
      </c>
      <c r="E1076" s="50" t="s">
        <v>369</v>
      </c>
      <c r="F1076" s="57">
        <v>3000</v>
      </c>
      <c r="G1076" s="76"/>
      <c r="H1076" s="57">
        <f t="shared" si="69"/>
        <v>3000</v>
      </c>
      <c r="I1076" s="50">
        <v>1</v>
      </c>
      <c r="J1076" s="57">
        <f t="shared" si="67"/>
        <v>3000</v>
      </c>
      <c r="K1076" s="58">
        <f t="shared" si="68"/>
        <v>3300</v>
      </c>
      <c r="L1076" s="18" t="s">
        <v>2982</v>
      </c>
      <c r="M1076" s="50" t="s">
        <v>2515</v>
      </c>
    </row>
    <row r="1077" spans="1:14" ht="21.75" hidden="1" customHeight="1" x14ac:dyDescent="0.4">
      <c r="A1077" s="62">
        <v>45346</v>
      </c>
      <c r="B1077" s="32" t="s">
        <v>2988</v>
      </c>
      <c r="C1077" s="18" t="s">
        <v>27</v>
      </c>
      <c r="D1077" s="63" t="s">
        <v>28</v>
      </c>
      <c r="E1077" s="50" t="s">
        <v>318</v>
      </c>
      <c r="F1077" s="57">
        <v>15000</v>
      </c>
      <c r="G1077" s="76"/>
      <c r="H1077" s="57">
        <f t="shared" si="69"/>
        <v>15000</v>
      </c>
      <c r="I1077" s="50">
        <v>1</v>
      </c>
      <c r="J1077" s="57">
        <f t="shared" si="67"/>
        <v>15000</v>
      </c>
      <c r="K1077" s="58">
        <f t="shared" si="68"/>
        <v>16500</v>
      </c>
      <c r="L1077" s="18" t="s">
        <v>25</v>
      </c>
      <c r="M1077" s="50"/>
    </row>
    <row r="1078" spans="1:14" ht="21.75" hidden="1" customHeight="1" x14ac:dyDescent="0.4">
      <c r="A1078" s="62">
        <v>45346</v>
      </c>
      <c r="B1078" s="32" t="s">
        <v>2988</v>
      </c>
      <c r="C1078" s="18" t="s">
        <v>27</v>
      </c>
      <c r="D1078" s="63" t="s">
        <v>28</v>
      </c>
      <c r="E1078" s="50" t="s">
        <v>1897</v>
      </c>
      <c r="F1078" s="57">
        <v>17500</v>
      </c>
      <c r="G1078" s="76"/>
      <c r="H1078" s="57">
        <f t="shared" si="69"/>
        <v>17500</v>
      </c>
      <c r="I1078" s="50">
        <v>1</v>
      </c>
      <c r="J1078" s="57">
        <f t="shared" si="67"/>
        <v>17500</v>
      </c>
      <c r="K1078" s="58">
        <f t="shared" si="68"/>
        <v>19250</v>
      </c>
      <c r="L1078" s="18" t="s">
        <v>25</v>
      </c>
      <c r="M1078" s="50"/>
    </row>
    <row r="1079" spans="1:14" ht="21.75" hidden="1" customHeight="1" x14ac:dyDescent="0.4">
      <c r="A1079" s="62">
        <v>45346</v>
      </c>
      <c r="B1079" s="32" t="s">
        <v>2989</v>
      </c>
      <c r="C1079" s="18" t="s">
        <v>2990</v>
      </c>
      <c r="D1079" s="63" t="s">
        <v>332</v>
      </c>
      <c r="E1079" s="50" t="s">
        <v>1822</v>
      </c>
      <c r="F1079" s="57">
        <v>2100</v>
      </c>
      <c r="G1079" s="76"/>
      <c r="H1079" s="57">
        <f t="shared" si="69"/>
        <v>2100</v>
      </c>
      <c r="I1079" s="50">
        <v>12</v>
      </c>
      <c r="J1079" s="57">
        <f t="shared" si="67"/>
        <v>25200</v>
      </c>
      <c r="K1079" s="58">
        <f t="shared" si="68"/>
        <v>27720</v>
      </c>
      <c r="L1079" s="18" t="s">
        <v>34</v>
      </c>
      <c r="M1079" s="50"/>
      <c r="N1079" s="50"/>
    </row>
    <row r="1080" spans="1:14" ht="21.75" hidden="1" customHeight="1" x14ac:dyDescent="0.4">
      <c r="A1080" s="62">
        <v>45347</v>
      </c>
      <c r="B1080" s="32" t="s">
        <v>2482</v>
      </c>
      <c r="C1080" s="18" t="s">
        <v>27</v>
      </c>
      <c r="D1080" s="63" t="s">
        <v>28</v>
      </c>
      <c r="E1080" s="50" t="s">
        <v>73</v>
      </c>
      <c r="F1080" s="57">
        <v>2000</v>
      </c>
      <c r="G1080" s="76"/>
      <c r="H1080" s="57">
        <f t="shared" si="69"/>
        <v>2000</v>
      </c>
      <c r="I1080" s="50">
        <v>3</v>
      </c>
      <c r="J1080" s="57">
        <f t="shared" si="67"/>
        <v>6000</v>
      </c>
      <c r="K1080" s="58">
        <f t="shared" si="68"/>
        <v>6600</v>
      </c>
      <c r="L1080" s="18" t="s">
        <v>25</v>
      </c>
      <c r="M1080" s="50"/>
    </row>
    <row r="1081" spans="1:14" ht="21.75" hidden="1" customHeight="1" x14ac:dyDescent="0.4">
      <c r="A1081" s="62">
        <v>45347</v>
      </c>
      <c r="B1081" s="32" t="s">
        <v>2760</v>
      </c>
      <c r="C1081" s="18" t="s">
        <v>2990</v>
      </c>
      <c r="D1081" s="63" t="s">
        <v>2991</v>
      </c>
      <c r="E1081" s="63" t="s">
        <v>2991</v>
      </c>
      <c r="F1081" s="57">
        <v>1500</v>
      </c>
      <c r="G1081" s="76">
        <v>-150</v>
      </c>
      <c r="H1081" s="57">
        <f t="shared" si="69"/>
        <v>1350</v>
      </c>
      <c r="I1081" s="50">
        <v>3</v>
      </c>
      <c r="J1081" s="57">
        <f t="shared" si="67"/>
        <v>4050</v>
      </c>
      <c r="K1081" s="58">
        <f t="shared" si="68"/>
        <v>4455</v>
      </c>
      <c r="L1081" s="18" t="s">
        <v>20</v>
      </c>
      <c r="M1081" s="50"/>
      <c r="N1081" s="50"/>
    </row>
    <row r="1082" spans="1:14" ht="21.75" hidden="1" customHeight="1" x14ac:dyDescent="0.4">
      <c r="A1082" s="62">
        <v>45347</v>
      </c>
      <c r="B1082" s="32" t="s">
        <v>428</v>
      </c>
      <c r="C1082" s="18" t="s">
        <v>2990</v>
      </c>
      <c r="D1082" s="63" t="s">
        <v>455</v>
      </c>
      <c r="E1082" s="50" t="s">
        <v>2994</v>
      </c>
      <c r="F1082" s="57">
        <v>1400</v>
      </c>
      <c r="G1082" s="76">
        <v>-140</v>
      </c>
      <c r="H1082" s="57">
        <f t="shared" si="69"/>
        <v>1260</v>
      </c>
      <c r="I1082" s="50">
        <v>14</v>
      </c>
      <c r="J1082" s="57">
        <f t="shared" si="67"/>
        <v>17640</v>
      </c>
      <c r="K1082" s="58">
        <f t="shared" si="68"/>
        <v>19404</v>
      </c>
      <c r="L1082" s="18" t="s">
        <v>2995</v>
      </c>
      <c r="M1082" s="498" t="s">
        <v>3017</v>
      </c>
      <c r="N1082" s="50"/>
    </row>
    <row r="1083" spans="1:14" ht="21.75" hidden="1" customHeight="1" x14ac:dyDescent="0.4">
      <c r="A1083" s="62">
        <v>45347</v>
      </c>
      <c r="B1083" s="32" t="s">
        <v>428</v>
      </c>
      <c r="C1083" s="18" t="s">
        <v>2990</v>
      </c>
      <c r="D1083" s="63" t="s">
        <v>2992</v>
      </c>
      <c r="E1083" s="50" t="s">
        <v>2993</v>
      </c>
      <c r="F1083" s="57">
        <v>1000</v>
      </c>
      <c r="G1083" s="76"/>
      <c r="H1083" s="57">
        <f t="shared" si="69"/>
        <v>1000</v>
      </c>
      <c r="I1083" s="50">
        <v>1</v>
      </c>
      <c r="J1083" s="57">
        <f t="shared" si="67"/>
        <v>1000</v>
      </c>
      <c r="K1083" s="58">
        <f t="shared" si="68"/>
        <v>1100</v>
      </c>
      <c r="L1083" s="18" t="s">
        <v>2982</v>
      </c>
      <c r="M1083" s="491"/>
      <c r="N1083" s="50"/>
    </row>
    <row r="1084" spans="1:14" ht="21.75" hidden="1" customHeight="1" x14ac:dyDescent="0.4">
      <c r="A1084" s="62">
        <v>45348</v>
      </c>
      <c r="B1084" s="32" t="s">
        <v>2996</v>
      </c>
      <c r="C1084" s="18" t="s">
        <v>22</v>
      </c>
      <c r="D1084" s="63" t="s">
        <v>1496</v>
      </c>
      <c r="E1084" s="50" t="s">
        <v>2422</v>
      </c>
      <c r="F1084" s="57">
        <v>2000</v>
      </c>
      <c r="G1084" s="76"/>
      <c r="H1084" s="57">
        <f t="shared" si="69"/>
        <v>2000</v>
      </c>
      <c r="I1084" s="50">
        <v>1</v>
      </c>
      <c r="J1084" s="57">
        <f t="shared" si="67"/>
        <v>2000</v>
      </c>
      <c r="K1084" s="58">
        <f t="shared" si="68"/>
        <v>2200</v>
      </c>
      <c r="L1084" s="18" t="s">
        <v>2982</v>
      </c>
      <c r="M1084" s="50"/>
    </row>
    <row r="1085" spans="1:14" ht="21.75" hidden="1" customHeight="1" x14ac:dyDescent="0.4">
      <c r="A1085" s="62">
        <v>45348</v>
      </c>
      <c r="B1085" s="32" t="s">
        <v>3000</v>
      </c>
      <c r="C1085" s="18" t="s">
        <v>22</v>
      </c>
      <c r="D1085" s="63" t="s">
        <v>1496</v>
      </c>
      <c r="E1085" s="50" t="s">
        <v>2422</v>
      </c>
      <c r="F1085" s="57">
        <v>2000</v>
      </c>
      <c r="G1085" s="76"/>
      <c r="H1085" s="57">
        <f t="shared" si="69"/>
        <v>2000</v>
      </c>
      <c r="I1085" s="50">
        <v>1</v>
      </c>
      <c r="J1085" s="57">
        <f t="shared" si="67"/>
        <v>2000</v>
      </c>
      <c r="K1085" s="58">
        <f t="shared" si="68"/>
        <v>2200</v>
      </c>
      <c r="L1085" s="18" t="s">
        <v>2982</v>
      </c>
      <c r="M1085" s="50"/>
    </row>
    <row r="1086" spans="1:14" ht="21.75" hidden="1" customHeight="1" x14ac:dyDescent="0.4">
      <c r="A1086" s="62">
        <v>45348</v>
      </c>
      <c r="B1086" s="32" t="s">
        <v>2997</v>
      </c>
      <c r="C1086" s="18" t="s">
        <v>2990</v>
      </c>
      <c r="D1086" s="63" t="s">
        <v>328</v>
      </c>
      <c r="E1086" s="50" t="s">
        <v>2998</v>
      </c>
      <c r="F1086" s="57">
        <v>5100</v>
      </c>
      <c r="G1086" s="76">
        <v>-510</v>
      </c>
      <c r="H1086" s="57">
        <f t="shared" si="69"/>
        <v>4590</v>
      </c>
      <c r="I1086" s="50">
        <v>1</v>
      </c>
      <c r="J1086" s="57">
        <f t="shared" si="67"/>
        <v>4590</v>
      </c>
      <c r="K1086" s="58">
        <f t="shared" si="68"/>
        <v>5049</v>
      </c>
      <c r="L1086" s="18" t="s">
        <v>25</v>
      </c>
      <c r="M1086" s="50"/>
      <c r="N1086" s="50"/>
    </row>
    <row r="1087" spans="1:14" ht="21.75" hidden="1" customHeight="1" x14ac:dyDescent="0.4">
      <c r="A1087" s="62">
        <v>45348</v>
      </c>
      <c r="B1087" s="32" t="s">
        <v>2997</v>
      </c>
      <c r="C1087" s="18" t="s">
        <v>2990</v>
      </c>
      <c r="D1087" s="63" t="s">
        <v>332</v>
      </c>
      <c r="E1087" s="50" t="s">
        <v>2999</v>
      </c>
      <c r="F1087" s="57">
        <v>1200</v>
      </c>
      <c r="G1087" s="76">
        <v>-120</v>
      </c>
      <c r="H1087" s="57">
        <f t="shared" si="69"/>
        <v>1080</v>
      </c>
      <c r="I1087" s="50">
        <v>1</v>
      </c>
      <c r="J1087" s="57">
        <f t="shared" si="67"/>
        <v>1080</v>
      </c>
      <c r="K1087" s="58">
        <f t="shared" si="68"/>
        <v>1188</v>
      </c>
      <c r="L1087" s="18" t="s">
        <v>25</v>
      </c>
      <c r="M1087" s="50"/>
      <c r="N1087" s="50"/>
    </row>
    <row r="1088" spans="1:14" ht="21.75" hidden="1" customHeight="1" x14ac:dyDescent="0.4">
      <c r="A1088" s="62">
        <v>45349</v>
      </c>
      <c r="B1088" s="32" t="s">
        <v>678</v>
      </c>
      <c r="C1088" s="18" t="s">
        <v>2990</v>
      </c>
      <c r="D1088" s="63" t="s">
        <v>330</v>
      </c>
      <c r="E1088" s="50" t="s">
        <v>3001</v>
      </c>
      <c r="F1088" s="57">
        <v>5500</v>
      </c>
      <c r="G1088" s="76"/>
      <c r="H1088" s="57">
        <f t="shared" si="69"/>
        <v>5500</v>
      </c>
      <c r="I1088" s="50">
        <v>1</v>
      </c>
      <c r="J1088" s="57">
        <f t="shared" si="67"/>
        <v>5500</v>
      </c>
      <c r="K1088" s="58">
        <f t="shared" si="68"/>
        <v>6050</v>
      </c>
      <c r="L1088" s="18" t="s">
        <v>2982</v>
      </c>
      <c r="M1088" s="50"/>
      <c r="N1088" s="50"/>
    </row>
    <row r="1089" spans="1:14" ht="21.75" hidden="1" customHeight="1" x14ac:dyDescent="0.4">
      <c r="A1089" s="62">
        <v>45349</v>
      </c>
      <c r="B1089" s="32" t="s">
        <v>678</v>
      </c>
      <c r="C1089" s="18" t="s">
        <v>2990</v>
      </c>
      <c r="D1089" s="63" t="s">
        <v>455</v>
      </c>
      <c r="E1089" s="50" t="s">
        <v>2999</v>
      </c>
      <c r="F1089" s="57">
        <v>1200</v>
      </c>
      <c r="G1089" s="76">
        <v>-120</v>
      </c>
      <c r="H1089" s="57">
        <f t="shared" si="69"/>
        <v>1080</v>
      </c>
      <c r="I1089" s="50">
        <v>1</v>
      </c>
      <c r="J1089" s="57">
        <f t="shared" si="67"/>
        <v>1080</v>
      </c>
      <c r="K1089" s="58">
        <f t="shared" si="68"/>
        <v>1188</v>
      </c>
      <c r="L1089" s="18" t="s">
        <v>2982</v>
      </c>
      <c r="M1089" s="50"/>
      <c r="N1089" s="50"/>
    </row>
    <row r="1090" spans="1:14" ht="21.75" hidden="1" customHeight="1" x14ac:dyDescent="0.4">
      <c r="A1090" s="62">
        <v>45349</v>
      </c>
      <c r="B1090" s="32" t="s">
        <v>148</v>
      </c>
      <c r="C1090" s="18" t="s">
        <v>27</v>
      </c>
      <c r="D1090" s="63" t="s">
        <v>28</v>
      </c>
      <c r="E1090" s="50" t="s">
        <v>1897</v>
      </c>
      <c r="F1090" s="57">
        <v>17500</v>
      </c>
      <c r="G1090" s="76"/>
      <c r="H1090" s="57">
        <f t="shared" si="69"/>
        <v>17500</v>
      </c>
      <c r="I1090" s="50">
        <v>1</v>
      </c>
      <c r="J1090" s="57">
        <f t="shared" si="67"/>
        <v>17500</v>
      </c>
      <c r="K1090" s="58">
        <f t="shared" si="68"/>
        <v>19250</v>
      </c>
      <c r="L1090" s="18" t="s">
        <v>2982</v>
      </c>
      <c r="M1090" s="50"/>
    </row>
    <row r="1091" spans="1:14" ht="21.75" hidden="1" customHeight="1" x14ac:dyDescent="0.4">
      <c r="A1091" s="62">
        <v>45350</v>
      </c>
      <c r="B1091" s="32" t="s">
        <v>3002</v>
      </c>
      <c r="C1091" s="18" t="s">
        <v>22</v>
      </c>
      <c r="D1091" s="63" t="s">
        <v>1496</v>
      </c>
      <c r="E1091" s="50" t="s">
        <v>369</v>
      </c>
      <c r="F1091" s="57">
        <v>3000</v>
      </c>
      <c r="G1091" s="76"/>
      <c r="H1091" s="57">
        <f t="shared" si="69"/>
        <v>3000</v>
      </c>
      <c r="I1091" s="50">
        <v>1</v>
      </c>
      <c r="J1091" s="57">
        <f t="shared" si="67"/>
        <v>3000</v>
      </c>
      <c r="K1091" s="58">
        <f t="shared" si="68"/>
        <v>3300</v>
      </c>
      <c r="L1091" s="18" t="s">
        <v>25</v>
      </c>
      <c r="M1091" s="50" t="s">
        <v>2515</v>
      </c>
    </row>
    <row r="1092" spans="1:14" ht="21.75" hidden="1" customHeight="1" x14ac:dyDescent="0.4">
      <c r="A1092" s="62">
        <v>45350</v>
      </c>
      <c r="B1092" s="32" t="s">
        <v>3003</v>
      </c>
      <c r="C1092" s="18" t="s">
        <v>2892</v>
      </c>
      <c r="D1092" s="63" t="s">
        <v>23</v>
      </c>
      <c r="E1092" s="50" t="s">
        <v>2883</v>
      </c>
      <c r="F1092" s="57">
        <v>15000</v>
      </c>
      <c r="G1092" s="76"/>
      <c r="H1092" s="57">
        <f t="shared" si="69"/>
        <v>15000</v>
      </c>
      <c r="I1092" s="50">
        <v>1</v>
      </c>
      <c r="J1092" s="57">
        <f t="shared" si="67"/>
        <v>15000</v>
      </c>
      <c r="K1092" s="58">
        <f t="shared" si="68"/>
        <v>16500</v>
      </c>
      <c r="L1092" s="18" t="s">
        <v>3004</v>
      </c>
      <c r="M1092" s="50" t="s">
        <v>2515</v>
      </c>
    </row>
    <row r="1093" spans="1:14" ht="21.75" hidden="1" customHeight="1" x14ac:dyDescent="0.4">
      <c r="A1093" s="62">
        <v>45350</v>
      </c>
      <c r="B1093" s="32" t="s">
        <v>3003</v>
      </c>
      <c r="C1093" s="18" t="s">
        <v>3005</v>
      </c>
      <c r="D1093" s="63" t="s">
        <v>328</v>
      </c>
      <c r="E1093" s="50" t="s">
        <v>3006</v>
      </c>
      <c r="F1093" s="57">
        <v>70000</v>
      </c>
      <c r="G1093" s="76">
        <v>-14000</v>
      </c>
      <c r="H1093" s="57">
        <f t="shared" si="69"/>
        <v>56000</v>
      </c>
      <c r="I1093" s="50">
        <v>1</v>
      </c>
      <c r="J1093" s="57">
        <f t="shared" si="67"/>
        <v>56000</v>
      </c>
      <c r="K1093" s="58">
        <f t="shared" si="68"/>
        <v>61600</v>
      </c>
      <c r="L1093" s="18" t="s">
        <v>34</v>
      </c>
      <c r="M1093" s="50"/>
      <c r="N1093" s="50" t="s">
        <v>3018</v>
      </c>
    </row>
    <row r="1094" spans="1:14" ht="21.75" hidden="1" customHeight="1" x14ac:dyDescent="0.4">
      <c r="A1094" s="62">
        <v>45350</v>
      </c>
      <c r="B1094" s="32" t="s">
        <v>3003</v>
      </c>
      <c r="C1094" s="18" t="s">
        <v>3005</v>
      </c>
      <c r="D1094" s="63" t="s">
        <v>332</v>
      </c>
      <c r="E1094" s="50" t="s">
        <v>3007</v>
      </c>
      <c r="F1094" s="57">
        <v>1500</v>
      </c>
      <c r="G1094" s="76"/>
      <c r="H1094" s="57">
        <f t="shared" si="69"/>
        <v>1500</v>
      </c>
      <c r="I1094" s="50">
        <v>1</v>
      </c>
      <c r="J1094" s="57">
        <f t="shared" si="67"/>
        <v>1500</v>
      </c>
      <c r="K1094" s="58">
        <f t="shared" si="68"/>
        <v>1650</v>
      </c>
      <c r="L1094" s="18" t="s">
        <v>34</v>
      </c>
      <c r="M1094" s="50"/>
      <c r="N1094" s="50" t="s">
        <v>3018</v>
      </c>
    </row>
    <row r="1095" spans="1:14" ht="21.75" hidden="1" customHeight="1" x14ac:dyDescent="0.4">
      <c r="A1095" s="62">
        <v>45350</v>
      </c>
      <c r="B1095" s="32" t="s">
        <v>3003</v>
      </c>
      <c r="C1095" s="18" t="s">
        <v>3008</v>
      </c>
      <c r="D1095" s="63"/>
      <c r="E1095" s="50" t="s">
        <v>3009</v>
      </c>
      <c r="F1095" s="57">
        <v>-5000</v>
      </c>
      <c r="G1095" s="76"/>
      <c r="H1095" s="57">
        <f t="shared" si="69"/>
        <v>-5000</v>
      </c>
      <c r="I1095" s="50">
        <v>1</v>
      </c>
      <c r="J1095" s="57">
        <f t="shared" si="67"/>
        <v>-5000</v>
      </c>
      <c r="K1095" s="58">
        <f t="shared" si="68"/>
        <v>-5500</v>
      </c>
      <c r="L1095" s="18" t="s">
        <v>34</v>
      </c>
      <c r="M1095" s="50"/>
    </row>
    <row r="1096" spans="1:14" ht="21.75" hidden="1" customHeight="1" x14ac:dyDescent="0.4">
      <c r="A1096" s="62">
        <v>45350</v>
      </c>
      <c r="B1096" s="32" t="s">
        <v>2972</v>
      </c>
      <c r="C1096" s="18" t="s">
        <v>2892</v>
      </c>
      <c r="D1096" s="63" t="s">
        <v>23</v>
      </c>
      <c r="E1096" s="50" t="s">
        <v>2985</v>
      </c>
      <c r="F1096" s="57">
        <v>10000</v>
      </c>
      <c r="G1096" s="76"/>
      <c r="H1096" s="57">
        <f t="shared" si="69"/>
        <v>10000</v>
      </c>
      <c r="I1096" s="50">
        <v>1</v>
      </c>
      <c r="J1096" s="57">
        <f t="shared" si="67"/>
        <v>10000</v>
      </c>
      <c r="K1096" s="58">
        <f t="shared" si="68"/>
        <v>11000</v>
      </c>
      <c r="L1096" s="18" t="s">
        <v>3004</v>
      </c>
      <c r="M1096" s="50"/>
    </row>
    <row r="1097" spans="1:14" ht="21.75" hidden="1" customHeight="1" x14ac:dyDescent="0.4">
      <c r="A1097" s="62">
        <v>45351</v>
      </c>
      <c r="B1097" s="32" t="s">
        <v>678</v>
      </c>
      <c r="C1097" s="18" t="s">
        <v>3005</v>
      </c>
      <c r="D1097" s="63" t="s">
        <v>332</v>
      </c>
      <c r="E1097" s="50" t="s">
        <v>3010</v>
      </c>
      <c r="F1097" s="57">
        <v>1800</v>
      </c>
      <c r="G1097" s="76">
        <v>-180</v>
      </c>
      <c r="H1097" s="57">
        <f t="shared" si="69"/>
        <v>1620</v>
      </c>
      <c r="I1097" s="50">
        <v>2</v>
      </c>
      <c r="J1097" s="57">
        <f t="shared" si="67"/>
        <v>3240</v>
      </c>
      <c r="K1097" s="58">
        <f t="shared" si="68"/>
        <v>3564</v>
      </c>
      <c r="L1097" s="18" t="s">
        <v>3004</v>
      </c>
      <c r="M1097" s="50"/>
      <c r="N1097" s="50"/>
    </row>
    <row r="1098" spans="1:14" ht="21.75" hidden="1" customHeight="1" x14ac:dyDescent="0.4">
      <c r="A1098" s="62">
        <v>45351</v>
      </c>
      <c r="B1098" s="32" t="s">
        <v>3011</v>
      </c>
      <c r="C1098" s="18" t="s">
        <v>3005</v>
      </c>
      <c r="D1098" s="63" t="s">
        <v>292</v>
      </c>
      <c r="E1098" s="50" t="s">
        <v>2575</v>
      </c>
      <c r="F1098" s="57">
        <v>5800</v>
      </c>
      <c r="G1098" s="76">
        <v>-1450</v>
      </c>
      <c r="H1098" s="57">
        <f t="shared" si="69"/>
        <v>4350</v>
      </c>
      <c r="I1098" s="50">
        <v>1</v>
      </c>
      <c r="J1098" s="57">
        <f t="shared" si="67"/>
        <v>4350</v>
      </c>
      <c r="K1098" s="58">
        <f t="shared" si="68"/>
        <v>4785</v>
      </c>
      <c r="L1098" s="18" t="s">
        <v>25</v>
      </c>
      <c r="M1098" s="50"/>
      <c r="N1098" s="50"/>
    </row>
    <row r="1099" spans="1:14" ht="21.75" hidden="1" customHeight="1" x14ac:dyDescent="0.4">
      <c r="A1099" s="62">
        <v>45351</v>
      </c>
      <c r="B1099" s="32" t="s">
        <v>3011</v>
      </c>
      <c r="C1099" s="18" t="s">
        <v>3005</v>
      </c>
      <c r="D1099" s="63" t="s">
        <v>332</v>
      </c>
      <c r="E1099" s="50" t="s">
        <v>3012</v>
      </c>
      <c r="F1099" s="57">
        <v>1400</v>
      </c>
      <c r="G1099" s="76">
        <v>-700</v>
      </c>
      <c r="H1099" s="57">
        <f t="shared" si="69"/>
        <v>700</v>
      </c>
      <c r="I1099" s="50">
        <v>2</v>
      </c>
      <c r="J1099" s="57">
        <f t="shared" si="67"/>
        <v>1400</v>
      </c>
      <c r="K1099" s="58">
        <f t="shared" si="68"/>
        <v>1540</v>
      </c>
      <c r="L1099" s="18" t="s">
        <v>25</v>
      </c>
      <c r="M1099" s="50"/>
      <c r="N1099" s="50"/>
    </row>
    <row r="1100" spans="1:14" ht="21.75" hidden="1" customHeight="1" x14ac:dyDescent="0.4">
      <c r="A1100" s="62">
        <v>45351</v>
      </c>
      <c r="B1100" s="32" t="s">
        <v>3011</v>
      </c>
      <c r="C1100" s="18" t="s">
        <v>3005</v>
      </c>
      <c r="D1100" s="63" t="s">
        <v>426</v>
      </c>
      <c r="E1100" s="50" t="s">
        <v>3013</v>
      </c>
      <c r="F1100" s="57">
        <v>1700</v>
      </c>
      <c r="G1100" s="76">
        <v>-680</v>
      </c>
      <c r="H1100" s="57">
        <f t="shared" si="69"/>
        <v>1020</v>
      </c>
      <c r="I1100" s="50">
        <v>1</v>
      </c>
      <c r="J1100" s="57">
        <f t="shared" si="67"/>
        <v>1020</v>
      </c>
      <c r="K1100" s="58">
        <f t="shared" si="68"/>
        <v>1122</v>
      </c>
      <c r="L1100" s="18" t="s">
        <v>25</v>
      </c>
      <c r="M1100" s="50"/>
      <c r="N1100" s="50"/>
    </row>
    <row r="1101" spans="1:14" ht="21.75" hidden="1" customHeight="1" x14ac:dyDescent="0.4">
      <c r="A1101" s="62">
        <v>45351</v>
      </c>
      <c r="B1101" s="32" t="s">
        <v>3014</v>
      </c>
      <c r="C1101" s="18" t="s">
        <v>3005</v>
      </c>
      <c r="D1101" s="63" t="s">
        <v>292</v>
      </c>
      <c r="E1101" s="50" t="s">
        <v>3015</v>
      </c>
      <c r="F1101" s="57">
        <v>5500</v>
      </c>
      <c r="G1101" s="76"/>
      <c r="H1101" s="57">
        <f t="shared" si="69"/>
        <v>5500</v>
      </c>
      <c r="I1101" s="50">
        <v>2</v>
      </c>
      <c r="J1101" s="57">
        <f t="shared" si="67"/>
        <v>11000</v>
      </c>
      <c r="K1101" s="58">
        <f t="shared" si="68"/>
        <v>12100</v>
      </c>
      <c r="L1101" s="18" t="s">
        <v>25</v>
      </c>
      <c r="M1101" s="50"/>
      <c r="N1101" s="50"/>
    </row>
    <row r="1102" spans="1:14" ht="21.75" hidden="1" customHeight="1" thickBot="1" x14ac:dyDescent="0.45">
      <c r="A1102" s="201">
        <v>45351</v>
      </c>
      <c r="B1102" s="137" t="s">
        <v>179</v>
      </c>
      <c r="C1102" s="138" t="s">
        <v>3005</v>
      </c>
      <c r="D1102" s="139" t="s">
        <v>332</v>
      </c>
      <c r="E1102" s="140" t="s">
        <v>3016</v>
      </c>
      <c r="F1102" s="141">
        <v>1600</v>
      </c>
      <c r="G1102" s="142">
        <v>-160</v>
      </c>
      <c r="H1102" s="141">
        <f t="shared" si="69"/>
        <v>1440</v>
      </c>
      <c r="I1102" s="140">
        <v>1</v>
      </c>
      <c r="J1102" s="141">
        <f t="shared" si="67"/>
        <v>1440</v>
      </c>
      <c r="K1102" s="200">
        <f t="shared" si="68"/>
        <v>1584</v>
      </c>
      <c r="L1102" s="138" t="s">
        <v>3004</v>
      </c>
      <c r="M1102" s="140"/>
      <c r="N1102" s="50"/>
    </row>
    <row r="1103" spans="1:14" ht="21.75" hidden="1" customHeight="1" x14ac:dyDescent="0.4">
      <c r="A1103" s="59">
        <v>45352</v>
      </c>
      <c r="B1103" s="82" t="s">
        <v>3021</v>
      </c>
      <c r="C1103" s="60" t="s">
        <v>27</v>
      </c>
      <c r="D1103" s="61" t="s">
        <v>28</v>
      </c>
      <c r="E1103" s="56" t="s">
        <v>318</v>
      </c>
      <c r="F1103" s="99">
        <v>15000</v>
      </c>
      <c r="G1103" s="79"/>
      <c r="H1103" s="99">
        <f t="shared" si="69"/>
        <v>15000</v>
      </c>
      <c r="I1103" s="56">
        <v>1</v>
      </c>
      <c r="J1103" s="99">
        <f t="shared" si="67"/>
        <v>15000</v>
      </c>
      <c r="K1103" s="100">
        <f t="shared" si="68"/>
        <v>16500</v>
      </c>
      <c r="L1103" s="60" t="s">
        <v>3022</v>
      </c>
      <c r="M1103" s="56"/>
    </row>
    <row r="1104" spans="1:14" ht="21.75" hidden="1" customHeight="1" x14ac:dyDescent="0.4">
      <c r="A1104" s="59">
        <v>45352</v>
      </c>
      <c r="B1104" s="82" t="s">
        <v>3021</v>
      </c>
      <c r="C1104" s="18" t="s">
        <v>27</v>
      </c>
      <c r="D1104" s="63" t="s">
        <v>28</v>
      </c>
      <c r="E1104" s="50" t="s">
        <v>1897</v>
      </c>
      <c r="F1104" s="57">
        <v>17500</v>
      </c>
      <c r="G1104" s="76"/>
      <c r="H1104" s="57">
        <f t="shared" si="69"/>
        <v>17500</v>
      </c>
      <c r="I1104" s="50">
        <v>1</v>
      </c>
      <c r="J1104" s="57">
        <f t="shared" si="67"/>
        <v>17500</v>
      </c>
      <c r="K1104" s="58">
        <f t="shared" si="68"/>
        <v>19250</v>
      </c>
      <c r="L1104" s="18" t="s">
        <v>3022</v>
      </c>
      <c r="M1104" s="50"/>
    </row>
    <row r="1105" spans="1:14" ht="21.75" hidden="1" customHeight="1" x14ac:dyDescent="0.4">
      <c r="A1105" s="59">
        <v>45352</v>
      </c>
      <c r="B1105" s="32" t="s">
        <v>3023</v>
      </c>
      <c r="C1105" s="18" t="s">
        <v>27</v>
      </c>
      <c r="D1105" s="63" t="s">
        <v>28</v>
      </c>
      <c r="E1105" s="50" t="s">
        <v>318</v>
      </c>
      <c r="F1105" s="57">
        <v>15000</v>
      </c>
      <c r="G1105" s="76">
        <v>-2000</v>
      </c>
      <c r="H1105" s="57">
        <f t="shared" si="69"/>
        <v>13000</v>
      </c>
      <c r="I1105" s="50">
        <v>1</v>
      </c>
      <c r="J1105" s="57">
        <f t="shared" si="67"/>
        <v>13000</v>
      </c>
      <c r="K1105" s="58">
        <f t="shared" si="68"/>
        <v>14300</v>
      </c>
      <c r="L1105" s="18" t="s">
        <v>25</v>
      </c>
      <c r="M1105" s="50" t="s">
        <v>3024</v>
      </c>
    </row>
    <row r="1106" spans="1:14" ht="21.75" hidden="1" customHeight="1" x14ac:dyDescent="0.4">
      <c r="A1106" s="59">
        <v>45352</v>
      </c>
      <c r="B1106" s="32" t="s">
        <v>3023</v>
      </c>
      <c r="C1106" s="18" t="s">
        <v>27</v>
      </c>
      <c r="D1106" s="63" t="s">
        <v>28</v>
      </c>
      <c r="E1106" s="50" t="s">
        <v>1897</v>
      </c>
      <c r="F1106" s="57">
        <v>17500</v>
      </c>
      <c r="G1106" s="76"/>
      <c r="H1106" s="57">
        <f t="shared" si="69"/>
        <v>17500</v>
      </c>
      <c r="I1106" s="50">
        <v>1</v>
      </c>
      <c r="J1106" s="57">
        <f t="shared" si="67"/>
        <v>17500</v>
      </c>
      <c r="K1106" s="58">
        <f t="shared" si="68"/>
        <v>19250</v>
      </c>
      <c r="L1106" s="18" t="s">
        <v>25</v>
      </c>
      <c r="M1106" s="50"/>
    </row>
    <row r="1107" spans="1:14" ht="21.75" hidden="1" customHeight="1" x14ac:dyDescent="0.4">
      <c r="A1107" s="59">
        <v>45352</v>
      </c>
      <c r="B1107" s="32" t="s">
        <v>3025</v>
      </c>
      <c r="C1107" s="18" t="s">
        <v>3026</v>
      </c>
      <c r="D1107" s="63" t="s">
        <v>328</v>
      </c>
      <c r="E1107" s="50" t="s">
        <v>3027</v>
      </c>
      <c r="F1107" s="57">
        <v>55000</v>
      </c>
      <c r="G1107" s="76">
        <v>-11000</v>
      </c>
      <c r="H1107" s="57">
        <f t="shared" si="69"/>
        <v>44000</v>
      </c>
      <c r="I1107" s="50">
        <v>1</v>
      </c>
      <c r="J1107" s="57">
        <f t="shared" si="67"/>
        <v>44000</v>
      </c>
      <c r="K1107" s="58">
        <f t="shared" si="68"/>
        <v>48400</v>
      </c>
      <c r="L1107" s="18" t="s">
        <v>34</v>
      </c>
      <c r="M1107" s="50"/>
      <c r="N1107" s="50" t="s">
        <v>1608</v>
      </c>
    </row>
    <row r="1108" spans="1:14" ht="21.75" hidden="1" customHeight="1" x14ac:dyDescent="0.4">
      <c r="A1108" s="59">
        <v>45352</v>
      </c>
      <c r="B1108" s="32" t="s">
        <v>3025</v>
      </c>
      <c r="C1108" s="18" t="s">
        <v>3026</v>
      </c>
      <c r="D1108" s="63" t="s">
        <v>332</v>
      </c>
      <c r="E1108" s="50" t="s">
        <v>2796</v>
      </c>
      <c r="F1108" s="57">
        <v>2500</v>
      </c>
      <c r="G1108" s="76"/>
      <c r="H1108" s="57">
        <f t="shared" si="69"/>
        <v>2500</v>
      </c>
      <c r="I1108" s="50">
        <v>1</v>
      </c>
      <c r="J1108" s="57">
        <f t="shared" si="67"/>
        <v>2500</v>
      </c>
      <c r="K1108" s="58">
        <f t="shared" si="68"/>
        <v>2750</v>
      </c>
      <c r="L1108" s="18" t="s">
        <v>34</v>
      </c>
      <c r="M1108" s="50"/>
      <c r="N1108" s="50" t="s">
        <v>1608</v>
      </c>
    </row>
    <row r="1109" spans="1:14" ht="21.75" hidden="1" customHeight="1" x14ac:dyDescent="0.4">
      <c r="A1109" s="59">
        <v>45352</v>
      </c>
      <c r="B1109" s="32" t="s">
        <v>3025</v>
      </c>
      <c r="C1109" s="18" t="s">
        <v>2892</v>
      </c>
      <c r="D1109" s="63" t="s">
        <v>23</v>
      </c>
      <c r="E1109" s="50" t="s">
        <v>3028</v>
      </c>
      <c r="F1109" s="57">
        <v>15000</v>
      </c>
      <c r="G1109" s="76">
        <v>-5000</v>
      </c>
      <c r="H1109" s="57">
        <f t="shared" si="69"/>
        <v>10000</v>
      </c>
      <c r="I1109" s="50">
        <v>1</v>
      </c>
      <c r="J1109" s="57">
        <f t="shared" si="67"/>
        <v>10000</v>
      </c>
      <c r="K1109" s="58">
        <f t="shared" si="68"/>
        <v>11000</v>
      </c>
      <c r="L1109" s="18" t="s">
        <v>34</v>
      </c>
      <c r="M1109" s="50"/>
      <c r="N1109" s="50"/>
    </row>
    <row r="1110" spans="1:14" ht="21.75" hidden="1" customHeight="1" x14ac:dyDescent="0.4">
      <c r="A1110" s="59">
        <v>45352</v>
      </c>
      <c r="B1110" s="32" t="s">
        <v>3031</v>
      </c>
      <c r="C1110" s="18" t="s">
        <v>3026</v>
      </c>
      <c r="D1110" s="63" t="s">
        <v>332</v>
      </c>
      <c r="E1110" s="50" t="s">
        <v>3030</v>
      </c>
      <c r="F1110" s="57">
        <v>2400</v>
      </c>
      <c r="G1110" s="76"/>
      <c r="H1110" s="57">
        <f t="shared" si="69"/>
        <v>2400</v>
      </c>
      <c r="I1110" s="50">
        <v>1</v>
      </c>
      <c r="J1110" s="57">
        <f t="shared" si="67"/>
        <v>2400</v>
      </c>
      <c r="K1110" s="58">
        <f t="shared" si="68"/>
        <v>2640</v>
      </c>
      <c r="L1110" s="18" t="s">
        <v>34</v>
      </c>
      <c r="M1110" s="50"/>
      <c r="N1110" s="50" t="s">
        <v>1608</v>
      </c>
    </row>
    <row r="1111" spans="1:14" ht="21.75" hidden="1" customHeight="1" x14ac:dyDescent="0.4">
      <c r="A1111" s="59">
        <v>45352</v>
      </c>
      <c r="B1111" s="32" t="s">
        <v>3031</v>
      </c>
      <c r="C1111" s="18" t="s">
        <v>3026</v>
      </c>
      <c r="D1111" s="63" t="s">
        <v>32</v>
      </c>
      <c r="E1111" s="50" t="s">
        <v>3029</v>
      </c>
      <c r="F1111" s="57">
        <v>55000</v>
      </c>
      <c r="G1111" s="76">
        <v>-11000</v>
      </c>
      <c r="H1111" s="57">
        <f t="shared" si="69"/>
        <v>44000</v>
      </c>
      <c r="I1111" s="50">
        <v>1</v>
      </c>
      <c r="J1111" s="57">
        <f t="shared" ref="J1111:J1177" si="70">SUM(H1111*I1111)</f>
        <v>44000</v>
      </c>
      <c r="K1111" s="58">
        <f t="shared" ref="K1111:K1177" si="71">ROUNDDOWN(J1111*1.1,0)</f>
        <v>48400</v>
      </c>
      <c r="L1111" s="18" t="s">
        <v>34</v>
      </c>
      <c r="M1111" s="50"/>
      <c r="N1111" s="50" t="s">
        <v>1608</v>
      </c>
    </row>
    <row r="1112" spans="1:14" ht="21.75" hidden="1" customHeight="1" x14ac:dyDescent="0.4">
      <c r="A1112" s="59">
        <v>45352</v>
      </c>
      <c r="B1112" s="32" t="s">
        <v>3031</v>
      </c>
      <c r="C1112" s="96" t="s">
        <v>198</v>
      </c>
      <c r="D1112" s="63"/>
      <c r="E1112" s="50" t="s">
        <v>2491</v>
      </c>
      <c r="F1112" s="57">
        <v>-20000</v>
      </c>
      <c r="G1112" s="76"/>
      <c r="H1112" s="57">
        <f t="shared" si="69"/>
        <v>-20000</v>
      </c>
      <c r="I1112" s="50">
        <v>1</v>
      </c>
      <c r="J1112" s="57">
        <f t="shared" si="70"/>
        <v>-20000</v>
      </c>
      <c r="K1112" s="58">
        <f t="shared" si="71"/>
        <v>-22000</v>
      </c>
      <c r="L1112" s="18" t="s">
        <v>34</v>
      </c>
      <c r="M1112" s="50"/>
      <c r="N1112" s="50" t="s">
        <v>1608</v>
      </c>
    </row>
    <row r="1113" spans="1:14" ht="21.75" hidden="1" customHeight="1" x14ac:dyDescent="0.4">
      <c r="A1113" s="59">
        <v>45352</v>
      </c>
      <c r="B1113" s="32" t="s">
        <v>2719</v>
      </c>
      <c r="C1113" s="18" t="s">
        <v>3026</v>
      </c>
      <c r="D1113" s="63" t="s">
        <v>332</v>
      </c>
      <c r="E1113" s="50" t="s">
        <v>2805</v>
      </c>
      <c r="F1113" s="57">
        <v>2600</v>
      </c>
      <c r="G1113" s="76">
        <v>-1450</v>
      </c>
      <c r="H1113" s="57">
        <f t="shared" si="69"/>
        <v>1150</v>
      </c>
      <c r="I1113" s="50">
        <v>1</v>
      </c>
      <c r="J1113" s="57">
        <f t="shared" si="70"/>
        <v>1150</v>
      </c>
      <c r="K1113" s="58">
        <f t="shared" si="71"/>
        <v>1265</v>
      </c>
      <c r="L1113" s="18" t="s">
        <v>3022</v>
      </c>
      <c r="M1113" s="50"/>
    </row>
    <row r="1114" spans="1:14" ht="21.75" hidden="1" customHeight="1" x14ac:dyDescent="0.4">
      <c r="A1114" s="59">
        <v>45353</v>
      </c>
      <c r="B1114" s="32" t="s">
        <v>3032</v>
      </c>
      <c r="C1114" s="18" t="s">
        <v>3033</v>
      </c>
      <c r="D1114" s="63" t="s">
        <v>292</v>
      </c>
      <c r="E1114" s="50" t="s">
        <v>3034</v>
      </c>
      <c r="F1114" s="57">
        <v>5500</v>
      </c>
      <c r="G1114" s="76"/>
      <c r="H1114" s="57">
        <f t="shared" si="69"/>
        <v>5500</v>
      </c>
      <c r="I1114" s="50">
        <v>1</v>
      </c>
      <c r="J1114" s="57">
        <f t="shared" si="70"/>
        <v>5500</v>
      </c>
      <c r="K1114" s="58">
        <f t="shared" si="71"/>
        <v>6050</v>
      </c>
      <c r="L1114" s="18" t="s">
        <v>25</v>
      </c>
      <c r="M1114" s="50"/>
    </row>
    <row r="1115" spans="1:14" ht="21.75" hidden="1" customHeight="1" x14ac:dyDescent="0.4">
      <c r="A1115" s="59">
        <v>45353</v>
      </c>
      <c r="B1115" s="32" t="s">
        <v>2363</v>
      </c>
      <c r="C1115" s="18" t="s">
        <v>27</v>
      </c>
      <c r="D1115" s="63" t="s">
        <v>28</v>
      </c>
      <c r="E1115" s="50" t="s">
        <v>1897</v>
      </c>
      <c r="F1115" s="57">
        <v>17500</v>
      </c>
      <c r="G1115" s="76"/>
      <c r="H1115" s="57">
        <f t="shared" si="69"/>
        <v>17500</v>
      </c>
      <c r="I1115" s="50">
        <v>1</v>
      </c>
      <c r="J1115" s="57">
        <f t="shared" si="70"/>
        <v>17500</v>
      </c>
      <c r="K1115" s="58">
        <f t="shared" si="71"/>
        <v>19250</v>
      </c>
      <c r="L1115" s="18" t="s">
        <v>3035</v>
      </c>
      <c r="M1115" s="50"/>
    </row>
    <row r="1116" spans="1:14" ht="21.75" hidden="1" customHeight="1" x14ac:dyDescent="0.4">
      <c r="A1116" s="59">
        <v>45353</v>
      </c>
      <c r="B1116" s="32" t="s">
        <v>2986</v>
      </c>
      <c r="C1116" s="18" t="s">
        <v>27</v>
      </c>
      <c r="D1116" s="63" t="s">
        <v>28</v>
      </c>
      <c r="E1116" s="50" t="s">
        <v>318</v>
      </c>
      <c r="F1116" s="57">
        <v>15000</v>
      </c>
      <c r="G1116" s="76"/>
      <c r="H1116" s="57">
        <f t="shared" si="69"/>
        <v>15000</v>
      </c>
      <c r="I1116" s="50">
        <v>1</v>
      </c>
      <c r="J1116" s="57">
        <f t="shared" si="70"/>
        <v>15000</v>
      </c>
      <c r="K1116" s="58">
        <f t="shared" si="71"/>
        <v>16500</v>
      </c>
      <c r="L1116" s="18" t="s">
        <v>25</v>
      </c>
      <c r="M1116" s="50"/>
    </row>
    <row r="1117" spans="1:14" ht="21.75" hidden="1" customHeight="1" x14ac:dyDescent="0.4">
      <c r="A1117" s="59">
        <v>45353</v>
      </c>
      <c r="B1117" s="32" t="s">
        <v>3032</v>
      </c>
      <c r="C1117" s="18" t="s">
        <v>3033</v>
      </c>
      <c r="D1117" s="63" t="s">
        <v>332</v>
      </c>
      <c r="E1117" s="50" t="s">
        <v>3038</v>
      </c>
      <c r="F1117" s="57">
        <v>1400</v>
      </c>
      <c r="G1117" s="76">
        <v>-140</v>
      </c>
      <c r="H1117" s="57">
        <f t="shared" si="69"/>
        <v>1260</v>
      </c>
      <c r="I1117" s="50">
        <v>3</v>
      </c>
      <c r="J1117" s="57">
        <f t="shared" si="70"/>
        <v>3780</v>
      </c>
      <c r="K1117" s="58">
        <f t="shared" si="71"/>
        <v>4158</v>
      </c>
      <c r="L1117" s="18" t="s">
        <v>25</v>
      </c>
      <c r="M1117" s="50"/>
    </row>
    <row r="1118" spans="1:14" ht="21.75" hidden="1" customHeight="1" x14ac:dyDescent="0.4">
      <c r="A1118" s="59">
        <v>45353</v>
      </c>
      <c r="B1118" s="32" t="s">
        <v>844</v>
      </c>
      <c r="C1118" s="18" t="s">
        <v>22</v>
      </c>
      <c r="D1118" s="63" t="s">
        <v>1615</v>
      </c>
      <c r="E1118" s="50" t="s">
        <v>3036</v>
      </c>
      <c r="F1118" s="57">
        <v>15000</v>
      </c>
      <c r="G1118" s="76"/>
      <c r="H1118" s="57">
        <f t="shared" si="69"/>
        <v>15000</v>
      </c>
      <c r="I1118" s="50">
        <v>1</v>
      </c>
      <c r="J1118" s="57">
        <f t="shared" si="70"/>
        <v>15000</v>
      </c>
      <c r="K1118" s="58">
        <f t="shared" si="71"/>
        <v>16500</v>
      </c>
      <c r="L1118" s="18" t="s">
        <v>25</v>
      </c>
      <c r="M1118" s="50"/>
    </row>
    <row r="1119" spans="1:14" ht="21.75" hidden="1" customHeight="1" x14ac:dyDescent="0.4">
      <c r="A1119" s="59">
        <v>45353</v>
      </c>
      <c r="B1119" s="32" t="s">
        <v>2151</v>
      </c>
      <c r="C1119" s="18" t="s">
        <v>3033</v>
      </c>
      <c r="D1119" s="63" t="s">
        <v>332</v>
      </c>
      <c r="E1119" s="50" t="s">
        <v>3037</v>
      </c>
      <c r="F1119" s="57">
        <v>1760</v>
      </c>
      <c r="G1119" s="76">
        <v>-176</v>
      </c>
      <c r="H1119" s="57">
        <f t="shared" si="69"/>
        <v>1584</v>
      </c>
      <c r="I1119" s="50">
        <v>1</v>
      </c>
      <c r="J1119" s="57">
        <f t="shared" si="70"/>
        <v>1584</v>
      </c>
      <c r="K1119" s="58">
        <f t="shared" si="71"/>
        <v>1742</v>
      </c>
      <c r="L1119" s="18" t="s">
        <v>20</v>
      </c>
      <c r="M1119" s="50"/>
    </row>
    <row r="1120" spans="1:14" ht="21.75" hidden="1" customHeight="1" x14ac:dyDescent="0.4">
      <c r="A1120" s="59">
        <v>45353</v>
      </c>
      <c r="B1120" s="32" t="s">
        <v>2151</v>
      </c>
      <c r="C1120" s="18" t="s">
        <v>3033</v>
      </c>
      <c r="D1120" s="63" t="s">
        <v>332</v>
      </c>
      <c r="E1120" s="50" t="s">
        <v>3039</v>
      </c>
      <c r="F1120" s="57">
        <v>1090</v>
      </c>
      <c r="G1120" s="76">
        <v>-109</v>
      </c>
      <c r="H1120" s="57">
        <f t="shared" si="69"/>
        <v>981</v>
      </c>
      <c r="I1120" s="50">
        <v>1</v>
      </c>
      <c r="J1120" s="57">
        <f t="shared" si="70"/>
        <v>981</v>
      </c>
      <c r="K1120" s="58">
        <f t="shared" si="71"/>
        <v>1079</v>
      </c>
      <c r="L1120" s="18" t="s">
        <v>20</v>
      </c>
      <c r="M1120" s="50"/>
    </row>
    <row r="1121" spans="1:14" ht="21.75" hidden="1" customHeight="1" x14ac:dyDescent="0.4">
      <c r="A1121" s="59">
        <v>45353</v>
      </c>
      <c r="B1121" s="32" t="s">
        <v>2662</v>
      </c>
      <c r="C1121" s="18" t="s">
        <v>3033</v>
      </c>
      <c r="D1121" s="63" t="s">
        <v>292</v>
      </c>
      <c r="E1121" s="50" t="s">
        <v>3040</v>
      </c>
      <c r="F1121" s="57">
        <v>6300</v>
      </c>
      <c r="G1121" s="76">
        <v>-630</v>
      </c>
      <c r="H1121" s="57">
        <f t="shared" si="69"/>
        <v>5670</v>
      </c>
      <c r="I1121" s="50">
        <v>1</v>
      </c>
      <c r="J1121" s="57">
        <f t="shared" si="70"/>
        <v>5670</v>
      </c>
      <c r="K1121" s="58">
        <f t="shared" si="71"/>
        <v>6237</v>
      </c>
      <c r="L1121" s="18" t="s">
        <v>3035</v>
      </c>
      <c r="M1121" s="50"/>
    </row>
    <row r="1122" spans="1:14" ht="21.75" hidden="1" customHeight="1" x14ac:dyDescent="0.4">
      <c r="A1122" s="59">
        <v>45354</v>
      </c>
      <c r="B1122" s="32" t="s">
        <v>2972</v>
      </c>
      <c r="C1122" s="18" t="s">
        <v>3033</v>
      </c>
      <c r="D1122" s="63" t="s">
        <v>328</v>
      </c>
      <c r="E1122" s="50" t="s">
        <v>1409</v>
      </c>
      <c r="F1122" s="57">
        <v>70000</v>
      </c>
      <c r="G1122" s="76">
        <v>-21000</v>
      </c>
      <c r="H1122" s="57">
        <f t="shared" si="69"/>
        <v>49000</v>
      </c>
      <c r="I1122" s="50">
        <v>1</v>
      </c>
      <c r="J1122" s="57">
        <f t="shared" si="70"/>
        <v>49000</v>
      </c>
      <c r="K1122" s="58">
        <f t="shared" si="71"/>
        <v>53900</v>
      </c>
      <c r="L1122" s="18" t="s">
        <v>34</v>
      </c>
      <c r="M1122" s="50"/>
      <c r="N1122" s="52" t="s">
        <v>3178</v>
      </c>
    </row>
    <row r="1123" spans="1:14" ht="21.75" hidden="1" customHeight="1" x14ac:dyDescent="0.4">
      <c r="A1123" s="59">
        <v>45354</v>
      </c>
      <c r="B1123" s="32" t="s">
        <v>2972</v>
      </c>
      <c r="C1123" s="18" t="s">
        <v>3033</v>
      </c>
      <c r="D1123" s="63" t="s">
        <v>3041</v>
      </c>
      <c r="E1123" s="50" t="s">
        <v>3042</v>
      </c>
      <c r="F1123" s="57">
        <v>75000</v>
      </c>
      <c r="G1123" s="76">
        <v>-7500</v>
      </c>
      <c r="H1123" s="57">
        <f t="shared" si="69"/>
        <v>67500</v>
      </c>
      <c r="I1123" s="50">
        <v>1</v>
      </c>
      <c r="J1123" s="57">
        <f t="shared" si="70"/>
        <v>67500</v>
      </c>
      <c r="K1123" s="58">
        <f t="shared" si="71"/>
        <v>74250</v>
      </c>
      <c r="L1123" s="18" t="s">
        <v>34</v>
      </c>
      <c r="M1123" s="50"/>
      <c r="N1123" s="52" t="s">
        <v>3178</v>
      </c>
    </row>
    <row r="1124" spans="1:14" ht="21.75" hidden="1" customHeight="1" x14ac:dyDescent="0.4">
      <c r="A1124" s="59">
        <v>45354</v>
      </c>
      <c r="B1124" s="32" t="s">
        <v>2972</v>
      </c>
      <c r="C1124" s="18" t="s">
        <v>3033</v>
      </c>
      <c r="D1124" s="63" t="s">
        <v>332</v>
      </c>
      <c r="E1124" s="50" t="s">
        <v>3043</v>
      </c>
      <c r="F1124" s="57">
        <v>1650</v>
      </c>
      <c r="G1124" s="76">
        <v>-165</v>
      </c>
      <c r="H1124" s="57">
        <f t="shared" si="69"/>
        <v>1485</v>
      </c>
      <c r="I1124" s="50">
        <v>1</v>
      </c>
      <c r="J1124" s="57">
        <f t="shared" si="70"/>
        <v>1485</v>
      </c>
      <c r="K1124" s="58">
        <f t="shared" si="71"/>
        <v>1633</v>
      </c>
      <c r="L1124" s="18" t="s">
        <v>34</v>
      </c>
      <c r="M1124" s="50"/>
      <c r="N1124" s="52" t="s">
        <v>3178</v>
      </c>
    </row>
    <row r="1125" spans="1:14" ht="21.75" hidden="1" customHeight="1" x14ac:dyDescent="0.4">
      <c r="A1125" s="59">
        <v>45354</v>
      </c>
      <c r="B1125" s="32" t="s">
        <v>2972</v>
      </c>
      <c r="C1125" s="18" t="s">
        <v>3033</v>
      </c>
      <c r="D1125" s="63" t="s">
        <v>292</v>
      </c>
      <c r="E1125" s="50" t="s">
        <v>2955</v>
      </c>
      <c r="F1125" s="57">
        <v>6300</v>
      </c>
      <c r="G1125" s="76">
        <v>-630</v>
      </c>
      <c r="H1125" s="57">
        <f t="shared" si="69"/>
        <v>5670</v>
      </c>
      <c r="I1125" s="50">
        <v>1</v>
      </c>
      <c r="J1125" s="57">
        <f t="shared" si="70"/>
        <v>5670</v>
      </c>
      <c r="K1125" s="58">
        <f t="shared" si="71"/>
        <v>6237</v>
      </c>
      <c r="L1125" s="18" t="s">
        <v>25</v>
      </c>
      <c r="M1125" s="50"/>
    </row>
    <row r="1126" spans="1:14" ht="21.75" hidden="1" customHeight="1" x14ac:dyDescent="0.4">
      <c r="A1126" s="59">
        <v>45354</v>
      </c>
      <c r="B1126" s="32" t="s">
        <v>3044</v>
      </c>
      <c r="C1126" s="18" t="s">
        <v>2892</v>
      </c>
      <c r="D1126" s="63" t="s">
        <v>23</v>
      </c>
      <c r="E1126" s="50" t="s">
        <v>2883</v>
      </c>
      <c r="F1126" s="57">
        <v>15000</v>
      </c>
      <c r="G1126" s="76"/>
      <c r="H1126" s="57">
        <f t="shared" si="69"/>
        <v>15000</v>
      </c>
      <c r="I1126" s="50">
        <v>1</v>
      </c>
      <c r="J1126" s="57">
        <f t="shared" si="70"/>
        <v>15000</v>
      </c>
      <c r="K1126" s="58">
        <f t="shared" si="71"/>
        <v>16500</v>
      </c>
      <c r="L1126" s="18" t="s">
        <v>25</v>
      </c>
      <c r="M1126" s="50"/>
    </row>
    <row r="1127" spans="1:14" ht="21.75" hidden="1" customHeight="1" x14ac:dyDescent="0.4">
      <c r="A1127" s="59">
        <v>45355</v>
      </c>
      <c r="B1127" s="32" t="s">
        <v>3179</v>
      </c>
      <c r="C1127" s="18" t="s">
        <v>2892</v>
      </c>
      <c r="D1127" s="63" t="s">
        <v>23</v>
      </c>
      <c r="E1127" s="50" t="s">
        <v>2883</v>
      </c>
      <c r="F1127" s="57">
        <v>15000</v>
      </c>
      <c r="G1127" s="76">
        <v>-15000</v>
      </c>
      <c r="H1127" s="57">
        <f t="shared" si="69"/>
        <v>0</v>
      </c>
      <c r="I1127" s="50">
        <v>1</v>
      </c>
      <c r="J1127" s="57">
        <f t="shared" si="70"/>
        <v>0</v>
      </c>
      <c r="K1127" s="58">
        <f t="shared" si="71"/>
        <v>0</v>
      </c>
      <c r="L1127" s="18"/>
      <c r="M1127" s="50"/>
    </row>
    <row r="1128" spans="1:14" ht="21.75" hidden="1" customHeight="1" x14ac:dyDescent="0.4">
      <c r="A1128" s="59">
        <v>45356</v>
      </c>
      <c r="B1128" s="32" t="s">
        <v>3045</v>
      </c>
      <c r="C1128" s="18" t="s">
        <v>2892</v>
      </c>
      <c r="D1128" s="63" t="s">
        <v>23</v>
      </c>
      <c r="E1128" s="50" t="s">
        <v>2883</v>
      </c>
      <c r="F1128" s="57">
        <v>15000</v>
      </c>
      <c r="G1128" s="76">
        <v>-15000</v>
      </c>
      <c r="H1128" s="57">
        <f t="shared" si="69"/>
        <v>0</v>
      </c>
      <c r="I1128" s="50">
        <v>1</v>
      </c>
      <c r="J1128" s="57">
        <f t="shared" si="70"/>
        <v>0</v>
      </c>
      <c r="K1128" s="58">
        <f t="shared" si="71"/>
        <v>0</v>
      </c>
      <c r="L1128" s="18"/>
      <c r="M1128" s="50"/>
    </row>
    <row r="1129" spans="1:14" ht="21.75" hidden="1" customHeight="1" x14ac:dyDescent="0.4">
      <c r="A1129" s="59">
        <v>45354</v>
      </c>
      <c r="B1129" s="32" t="s">
        <v>3045</v>
      </c>
      <c r="C1129" s="18" t="s">
        <v>3033</v>
      </c>
      <c r="D1129" s="63" t="s">
        <v>328</v>
      </c>
      <c r="E1129" s="50" t="s">
        <v>3046</v>
      </c>
      <c r="F1129" s="57">
        <v>50000</v>
      </c>
      <c r="G1129" s="76">
        <v>-10000</v>
      </c>
      <c r="H1129" s="57">
        <f t="shared" si="69"/>
        <v>40000</v>
      </c>
      <c r="I1129" s="50">
        <v>1</v>
      </c>
      <c r="J1129" s="57">
        <f t="shared" si="70"/>
        <v>40000</v>
      </c>
      <c r="K1129" s="58">
        <f t="shared" si="71"/>
        <v>44000</v>
      </c>
      <c r="L1129" s="18" t="s">
        <v>34</v>
      </c>
      <c r="M1129" s="50"/>
      <c r="N1129" s="50" t="s">
        <v>3176</v>
      </c>
    </row>
    <row r="1130" spans="1:14" ht="21.75" hidden="1" customHeight="1" x14ac:dyDescent="0.4">
      <c r="A1130" s="59">
        <v>45354</v>
      </c>
      <c r="B1130" s="32" t="s">
        <v>3045</v>
      </c>
      <c r="C1130" s="18" t="s">
        <v>3033</v>
      </c>
      <c r="D1130" s="63" t="s">
        <v>328</v>
      </c>
      <c r="E1130" s="50" t="s">
        <v>3047</v>
      </c>
      <c r="F1130" s="57">
        <v>20000</v>
      </c>
      <c r="G1130" s="76">
        <v>-4000</v>
      </c>
      <c r="H1130" s="57">
        <f t="shared" si="69"/>
        <v>16000</v>
      </c>
      <c r="I1130" s="50">
        <v>1</v>
      </c>
      <c r="J1130" s="57">
        <f t="shared" si="70"/>
        <v>16000</v>
      </c>
      <c r="K1130" s="58">
        <f t="shared" si="71"/>
        <v>17600</v>
      </c>
      <c r="L1130" s="18" t="s">
        <v>34</v>
      </c>
      <c r="M1130" s="50"/>
      <c r="N1130" s="50" t="s">
        <v>3176</v>
      </c>
    </row>
    <row r="1131" spans="1:14" ht="21.75" hidden="1" customHeight="1" x14ac:dyDescent="0.4">
      <c r="A1131" s="59">
        <v>45354</v>
      </c>
      <c r="B1131" s="32" t="s">
        <v>3045</v>
      </c>
      <c r="C1131" s="18" t="s">
        <v>3033</v>
      </c>
      <c r="D1131" s="63" t="s">
        <v>332</v>
      </c>
      <c r="E1131" s="50" t="s">
        <v>3048</v>
      </c>
      <c r="F1131" s="57">
        <v>1650</v>
      </c>
      <c r="G1131" s="76"/>
      <c r="H1131" s="57">
        <f t="shared" si="69"/>
        <v>1650</v>
      </c>
      <c r="I1131" s="50">
        <v>1</v>
      </c>
      <c r="J1131" s="57">
        <f t="shared" si="70"/>
        <v>1650</v>
      </c>
      <c r="K1131" s="58">
        <f t="shared" si="71"/>
        <v>1815</v>
      </c>
      <c r="L1131" s="18" t="s">
        <v>34</v>
      </c>
      <c r="M1131" s="50"/>
      <c r="N1131" s="50" t="s">
        <v>3176</v>
      </c>
    </row>
    <row r="1132" spans="1:14" ht="21.75" hidden="1" customHeight="1" x14ac:dyDescent="0.4">
      <c r="A1132" s="59">
        <v>45354</v>
      </c>
      <c r="B1132" s="32" t="s">
        <v>3045</v>
      </c>
      <c r="C1132" s="18" t="s">
        <v>3033</v>
      </c>
      <c r="D1132" s="63" t="s">
        <v>292</v>
      </c>
      <c r="E1132" s="50" t="s">
        <v>3049</v>
      </c>
      <c r="F1132" s="57">
        <v>5500</v>
      </c>
      <c r="G1132" s="76"/>
      <c r="H1132" s="57">
        <f t="shared" si="69"/>
        <v>5500</v>
      </c>
      <c r="I1132" s="50">
        <v>1</v>
      </c>
      <c r="J1132" s="57">
        <f t="shared" si="70"/>
        <v>5500</v>
      </c>
      <c r="K1132" s="58">
        <f t="shared" si="71"/>
        <v>6050</v>
      </c>
      <c r="L1132" s="18" t="s">
        <v>34</v>
      </c>
      <c r="M1132" s="50"/>
    </row>
    <row r="1133" spans="1:14" ht="21.75" hidden="1" customHeight="1" x14ac:dyDescent="0.4">
      <c r="A1133" s="59">
        <v>45354</v>
      </c>
      <c r="B1133" s="32" t="s">
        <v>3045</v>
      </c>
      <c r="C1133" s="18" t="s">
        <v>3033</v>
      </c>
      <c r="D1133" s="63" t="s">
        <v>292</v>
      </c>
      <c r="E1133" s="50" t="s">
        <v>3049</v>
      </c>
      <c r="F1133" s="57">
        <v>5500</v>
      </c>
      <c r="G1133" s="76"/>
      <c r="H1133" s="57">
        <f t="shared" ref="H1133:H1197" si="72">SUM(F1133:G1133)</f>
        <v>5500</v>
      </c>
      <c r="I1133" s="50">
        <v>1</v>
      </c>
      <c r="J1133" s="57">
        <f t="shared" si="70"/>
        <v>5500</v>
      </c>
      <c r="K1133" s="58">
        <f t="shared" si="71"/>
        <v>6050</v>
      </c>
      <c r="L1133" s="18" t="s">
        <v>3035</v>
      </c>
      <c r="M1133" s="50"/>
    </row>
    <row r="1134" spans="1:14" ht="21.75" hidden="1" customHeight="1" x14ac:dyDescent="0.4">
      <c r="A1134" s="59">
        <v>45355</v>
      </c>
      <c r="B1134" s="32" t="s">
        <v>2505</v>
      </c>
      <c r="C1134" s="18" t="s">
        <v>3033</v>
      </c>
      <c r="D1134" s="63" t="s">
        <v>328</v>
      </c>
      <c r="E1134" s="50" t="s">
        <v>3050</v>
      </c>
      <c r="F1134" s="57">
        <v>50000</v>
      </c>
      <c r="G1134" s="76">
        <v>-15000</v>
      </c>
      <c r="H1134" s="57">
        <f t="shared" si="72"/>
        <v>35000</v>
      </c>
      <c r="I1134" s="50">
        <v>1</v>
      </c>
      <c r="J1134" s="57">
        <f t="shared" si="70"/>
        <v>35000</v>
      </c>
      <c r="K1134" s="58">
        <f t="shared" si="71"/>
        <v>38500</v>
      </c>
      <c r="L1134" s="18" t="s">
        <v>34</v>
      </c>
      <c r="M1134" s="50"/>
      <c r="N1134" s="52" t="s">
        <v>3176</v>
      </c>
    </row>
    <row r="1135" spans="1:14" ht="21.75" hidden="1" customHeight="1" x14ac:dyDescent="0.4">
      <c r="A1135" s="59">
        <v>45355</v>
      </c>
      <c r="B1135" s="32" t="s">
        <v>2505</v>
      </c>
      <c r="C1135" s="18" t="s">
        <v>3033</v>
      </c>
      <c r="D1135" s="63" t="s">
        <v>330</v>
      </c>
      <c r="E1135" s="50" t="s">
        <v>3051</v>
      </c>
      <c r="F1135" s="57">
        <v>4000</v>
      </c>
      <c r="G1135" s="76"/>
      <c r="H1135" s="57">
        <f t="shared" si="72"/>
        <v>4000</v>
      </c>
      <c r="I1135" s="50">
        <v>1</v>
      </c>
      <c r="J1135" s="57">
        <f t="shared" si="70"/>
        <v>4000</v>
      </c>
      <c r="K1135" s="58">
        <f t="shared" si="71"/>
        <v>4400</v>
      </c>
      <c r="L1135" s="18" t="s">
        <v>34</v>
      </c>
      <c r="M1135" s="50"/>
      <c r="N1135" s="52" t="s">
        <v>3176</v>
      </c>
    </row>
    <row r="1136" spans="1:14" ht="21.75" hidden="1" customHeight="1" x14ac:dyDescent="0.4">
      <c r="A1136" s="59">
        <v>45355</v>
      </c>
      <c r="B1136" s="32" t="s">
        <v>2505</v>
      </c>
      <c r="C1136" s="18" t="s">
        <v>3033</v>
      </c>
      <c r="D1136" s="63" t="s">
        <v>332</v>
      </c>
      <c r="E1136" s="50" t="s">
        <v>3053</v>
      </c>
      <c r="F1136" s="57">
        <v>1200</v>
      </c>
      <c r="G1136" s="76">
        <v>-120</v>
      </c>
      <c r="H1136" s="57">
        <f t="shared" si="72"/>
        <v>1080</v>
      </c>
      <c r="I1136" s="50">
        <v>1</v>
      </c>
      <c r="J1136" s="57">
        <f t="shared" si="70"/>
        <v>1080</v>
      </c>
      <c r="K1136" s="58">
        <f t="shared" si="71"/>
        <v>1188</v>
      </c>
      <c r="L1136" s="18" t="s">
        <v>34</v>
      </c>
      <c r="M1136" s="50"/>
      <c r="N1136" s="52" t="s">
        <v>3176</v>
      </c>
    </row>
    <row r="1137" spans="1:14" ht="21.75" hidden="1" customHeight="1" x14ac:dyDescent="0.4">
      <c r="A1137" s="59">
        <v>45355</v>
      </c>
      <c r="B1137" s="32" t="s">
        <v>2505</v>
      </c>
      <c r="C1137" s="18" t="s">
        <v>3033</v>
      </c>
      <c r="D1137" s="63" t="s">
        <v>426</v>
      </c>
      <c r="E1137" s="50" t="s">
        <v>3052</v>
      </c>
      <c r="F1137" s="57">
        <v>1700</v>
      </c>
      <c r="G1137" s="76">
        <v>-170</v>
      </c>
      <c r="H1137" s="57">
        <f t="shared" si="72"/>
        <v>1530</v>
      </c>
      <c r="I1137" s="50">
        <v>1</v>
      </c>
      <c r="J1137" s="57">
        <f t="shared" si="70"/>
        <v>1530</v>
      </c>
      <c r="K1137" s="58">
        <f t="shared" si="71"/>
        <v>1683</v>
      </c>
      <c r="L1137" s="18" t="s">
        <v>34</v>
      </c>
      <c r="M1137" s="50"/>
    </row>
    <row r="1138" spans="1:14" ht="21.75" hidden="1" customHeight="1" x14ac:dyDescent="0.4">
      <c r="A1138" s="59">
        <v>45355</v>
      </c>
      <c r="B1138" s="32" t="s">
        <v>3032</v>
      </c>
      <c r="C1138" s="18" t="s">
        <v>3033</v>
      </c>
      <c r="D1138" s="63" t="s">
        <v>292</v>
      </c>
      <c r="E1138" s="50" t="s">
        <v>3049</v>
      </c>
      <c r="F1138" s="57">
        <v>5500</v>
      </c>
      <c r="G1138" s="76"/>
      <c r="H1138" s="57">
        <f t="shared" si="72"/>
        <v>5500</v>
      </c>
      <c r="I1138" s="50">
        <v>1</v>
      </c>
      <c r="J1138" s="57">
        <f t="shared" si="70"/>
        <v>5500</v>
      </c>
      <c r="K1138" s="58">
        <f t="shared" si="71"/>
        <v>6050</v>
      </c>
      <c r="L1138" s="18" t="s">
        <v>25</v>
      </c>
      <c r="M1138" s="50"/>
    </row>
    <row r="1139" spans="1:14" ht="21.75" hidden="1" customHeight="1" x14ac:dyDescent="0.4">
      <c r="A1139" s="59">
        <v>45355</v>
      </c>
      <c r="B1139" s="32" t="s">
        <v>3032</v>
      </c>
      <c r="C1139" s="18" t="s">
        <v>3033</v>
      </c>
      <c r="D1139" s="63" t="s">
        <v>426</v>
      </c>
      <c r="E1139" s="50" t="s">
        <v>3054</v>
      </c>
      <c r="F1139" s="57">
        <v>1700</v>
      </c>
      <c r="G1139" s="76">
        <v>-170</v>
      </c>
      <c r="H1139" s="57">
        <f t="shared" si="72"/>
        <v>1530</v>
      </c>
      <c r="I1139" s="50">
        <v>1</v>
      </c>
      <c r="J1139" s="57">
        <f t="shared" si="70"/>
        <v>1530</v>
      </c>
      <c r="K1139" s="58">
        <f t="shared" si="71"/>
        <v>1683</v>
      </c>
      <c r="L1139" s="18" t="s">
        <v>25</v>
      </c>
      <c r="M1139" s="50"/>
    </row>
    <row r="1140" spans="1:14" ht="21.75" hidden="1" customHeight="1" x14ac:dyDescent="0.4">
      <c r="A1140" s="62">
        <v>45357</v>
      </c>
      <c r="B1140" s="32" t="s">
        <v>3055</v>
      </c>
      <c r="C1140" s="18" t="s">
        <v>22</v>
      </c>
      <c r="D1140" s="63" t="s">
        <v>1496</v>
      </c>
      <c r="E1140" s="50" t="s">
        <v>369</v>
      </c>
      <c r="F1140" s="57">
        <v>3000</v>
      </c>
      <c r="G1140" s="76"/>
      <c r="H1140" s="57">
        <f t="shared" si="72"/>
        <v>3000</v>
      </c>
      <c r="I1140" s="50">
        <v>1</v>
      </c>
      <c r="J1140" s="57">
        <f t="shared" si="70"/>
        <v>3000</v>
      </c>
      <c r="K1140" s="58">
        <f t="shared" si="71"/>
        <v>3300</v>
      </c>
      <c r="L1140" s="18" t="s">
        <v>25</v>
      </c>
      <c r="M1140" s="50" t="s">
        <v>2515</v>
      </c>
    </row>
    <row r="1141" spans="1:14" ht="21.75" hidden="1" customHeight="1" x14ac:dyDescent="0.4">
      <c r="A1141" s="62">
        <v>45357</v>
      </c>
      <c r="B1141" s="32" t="s">
        <v>3055</v>
      </c>
      <c r="C1141" s="18" t="s">
        <v>27</v>
      </c>
      <c r="D1141" s="63" t="s">
        <v>28</v>
      </c>
      <c r="E1141" s="50" t="s">
        <v>318</v>
      </c>
      <c r="F1141" s="57">
        <v>15000</v>
      </c>
      <c r="G1141" s="76"/>
      <c r="H1141" s="57">
        <f t="shared" si="72"/>
        <v>15000</v>
      </c>
      <c r="I1141" s="50">
        <v>1</v>
      </c>
      <c r="J1141" s="57">
        <f t="shared" si="70"/>
        <v>15000</v>
      </c>
      <c r="K1141" s="58">
        <f t="shared" si="71"/>
        <v>16500</v>
      </c>
      <c r="L1141" s="18" t="s">
        <v>25</v>
      </c>
      <c r="M1141" s="50"/>
    </row>
    <row r="1142" spans="1:14" ht="21.75" hidden="1" customHeight="1" x14ac:dyDescent="0.4">
      <c r="A1142" s="62">
        <v>45357</v>
      </c>
      <c r="B1142" s="32" t="s">
        <v>3055</v>
      </c>
      <c r="C1142" s="18" t="s">
        <v>27</v>
      </c>
      <c r="D1142" s="63" t="s">
        <v>28</v>
      </c>
      <c r="E1142" s="50" t="s">
        <v>3056</v>
      </c>
      <c r="F1142" s="57">
        <v>13120</v>
      </c>
      <c r="G1142" s="76"/>
      <c r="H1142" s="57">
        <f t="shared" si="72"/>
        <v>13120</v>
      </c>
      <c r="I1142" s="50">
        <v>1</v>
      </c>
      <c r="J1142" s="57">
        <f t="shared" si="70"/>
        <v>13120</v>
      </c>
      <c r="K1142" s="58">
        <f t="shared" si="71"/>
        <v>14432</v>
      </c>
      <c r="L1142" s="18" t="s">
        <v>25</v>
      </c>
      <c r="M1142" s="50"/>
    </row>
    <row r="1143" spans="1:14" ht="21.75" hidden="1" customHeight="1" x14ac:dyDescent="0.4">
      <c r="A1143" s="62">
        <v>45357</v>
      </c>
      <c r="B1143" s="32" t="s">
        <v>3055</v>
      </c>
      <c r="C1143" s="18" t="s">
        <v>17</v>
      </c>
      <c r="D1143" s="63" t="s">
        <v>55</v>
      </c>
      <c r="E1143" s="50" t="s">
        <v>3057</v>
      </c>
      <c r="F1143" s="57">
        <v>5500</v>
      </c>
      <c r="G1143" s="76"/>
      <c r="H1143" s="57">
        <f t="shared" si="72"/>
        <v>5500</v>
      </c>
      <c r="I1143" s="50">
        <v>1</v>
      </c>
      <c r="J1143" s="57">
        <f t="shared" si="70"/>
        <v>5500</v>
      </c>
      <c r="K1143" s="58">
        <f t="shared" si="71"/>
        <v>6050</v>
      </c>
      <c r="L1143" s="18" t="s">
        <v>25</v>
      </c>
      <c r="M1143" s="50"/>
    </row>
    <row r="1144" spans="1:14" ht="21.75" hidden="1" customHeight="1" x14ac:dyDescent="0.4">
      <c r="A1144" s="62">
        <v>45357</v>
      </c>
      <c r="B1144" s="32" t="s">
        <v>3058</v>
      </c>
      <c r="C1144" s="18" t="s">
        <v>2892</v>
      </c>
      <c r="D1144" s="63" t="s">
        <v>23</v>
      </c>
      <c r="E1144" s="50" t="s">
        <v>2883</v>
      </c>
      <c r="F1144" s="57">
        <v>15000</v>
      </c>
      <c r="G1144" s="76"/>
      <c r="H1144" s="57">
        <f t="shared" si="72"/>
        <v>15000</v>
      </c>
      <c r="I1144" s="50">
        <v>1</v>
      </c>
      <c r="J1144" s="57">
        <f t="shared" si="70"/>
        <v>15000</v>
      </c>
      <c r="K1144" s="58">
        <f t="shared" si="71"/>
        <v>16500</v>
      </c>
      <c r="L1144" s="18" t="s">
        <v>3059</v>
      </c>
      <c r="M1144" s="50" t="s">
        <v>2515</v>
      </c>
    </row>
    <row r="1145" spans="1:14" ht="21.75" hidden="1" customHeight="1" x14ac:dyDescent="0.4">
      <c r="A1145" s="62">
        <v>45358</v>
      </c>
      <c r="B1145" s="32" t="s">
        <v>3060</v>
      </c>
      <c r="C1145" s="18" t="s">
        <v>2892</v>
      </c>
      <c r="D1145" s="63" t="s">
        <v>23</v>
      </c>
      <c r="E1145" s="50" t="s">
        <v>2883</v>
      </c>
      <c r="F1145" s="57">
        <v>15000</v>
      </c>
      <c r="G1145" s="76">
        <v>-7500</v>
      </c>
      <c r="H1145" s="57">
        <f t="shared" si="72"/>
        <v>7500</v>
      </c>
      <c r="I1145" s="50">
        <v>1</v>
      </c>
      <c r="J1145" s="57">
        <f t="shared" si="70"/>
        <v>7500</v>
      </c>
      <c r="K1145" s="58">
        <f t="shared" si="71"/>
        <v>8250</v>
      </c>
      <c r="L1145" s="18" t="s">
        <v>25</v>
      </c>
      <c r="M1145" s="50"/>
    </row>
    <row r="1146" spans="1:14" ht="21.75" hidden="1" customHeight="1" x14ac:dyDescent="0.4">
      <c r="A1146" s="62">
        <v>45358</v>
      </c>
      <c r="B1146" s="32" t="s">
        <v>3061</v>
      </c>
      <c r="C1146" s="18" t="s">
        <v>22</v>
      </c>
      <c r="D1146" s="63" t="s">
        <v>1496</v>
      </c>
      <c r="E1146" s="50" t="s">
        <v>369</v>
      </c>
      <c r="F1146" s="57">
        <v>3000</v>
      </c>
      <c r="G1146" s="76"/>
      <c r="H1146" s="57">
        <f t="shared" si="72"/>
        <v>3000</v>
      </c>
      <c r="I1146" s="50">
        <v>1</v>
      </c>
      <c r="J1146" s="57">
        <f t="shared" si="70"/>
        <v>3000</v>
      </c>
      <c r="K1146" s="58">
        <f t="shared" si="71"/>
        <v>3300</v>
      </c>
      <c r="L1146" s="18" t="s">
        <v>3059</v>
      </c>
      <c r="M1146" s="50" t="s">
        <v>2515</v>
      </c>
    </row>
    <row r="1147" spans="1:14" ht="21.75" hidden="1" customHeight="1" x14ac:dyDescent="0.4">
      <c r="A1147" s="62">
        <v>45358</v>
      </c>
      <c r="B1147" s="32" t="s">
        <v>3060</v>
      </c>
      <c r="C1147" s="18" t="s">
        <v>3062</v>
      </c>
      <c r="D1147" s="63" t="s">
        <v>328</v>
      </c>
      <c r="E1147" s="50" t="s">
        <v>3063</v>
      </c>
      <c r="F1147" s="57">
        <v>40000</v>
      </c>
      <c r="G1147" s="76">
        <v>-8000</v>
      </c>
      <c r="H1147" s="57">
        <f t="shared" si="72"/>
        <v>32000</v>
      </c>
      <c r="I1147" s="50">
        <v>1</v>
      </c>
      <c r="J1147" s="57">
        <f t="shared" si="70"/>
        <v>32000</v>
      </c>
      <c r="K1147" s="58">
        <f t="shared" si="71"/>
        <v>35200</v>
      </c>
      <c r="L1147" s="18" t="s">
        <v>34</v>
      </c>
      <c r="M1147" s="50"/>
      <c r="N1147" s="52" t="s">
        <v>3177</v>
      </c>
    </row>
    <row r="1148" spans="1:14" ht="21.75" hidden="1" customHeight="1" x14ac:dyDescent="0.4">
      <c r="A1148" s="62">
        <v>45358</v>
      </c>
      <c r="B1148" s="32" t="s">
        <v>3060</v>
      </c>
      <c r="C1148" s="18" t="s">
        <v>3062</v>
      </c>
      <c r="D1148" s="63" t="s">
        <v>332</v>
      </c>
      <c r="E1148" s="50" t="s">
        <v>3064</v>
      </c>
      <c r="F1148" s="57">
        <v>1090</v>
      </c>
      <c r="G1148" s="76"/>
      <c r="H1148" s="57">
        <f t="shared" si="72"/>
        <v>1090</v>
      </c>
      <c r="I1148" s="50">
        <v>1</v>
      </c>
      <c r="J1148" s="57">
        <f t="shared" si="70"/>
        <v>1090</v>
      </c>
      <c r="K1148" s="58">
        <f t="shared" si="71"/>
        <v>1199</v>
      </c>
      <c r="L1148" s="18" t="s">
        <v>34</v>
      </c>
      <c r="M1148" s="50"/>
      <c r="N1148" s="52" t="s">
        <v>3177</v>
      </c>
    </row>
    <row r="1149" spans="1:14" ht="21.75" hidden="1" customHeight="1" x14ac:dyDescent="0.4">
      <c r="A1149" s="62">
        <v>45358</v>
      </c>
      <c r="B1149" s="32" t="s">
        <v>3065</v>
      </c>
      <c r="C1149" s="18" t="s">
        <v>2892</v>
      </c>
      <c r="D1149" s="63" t="s">
        <v>23</v>
      </c>
      <c r="E1149" s="50" t="s">
        <v>2883</v>
      </c>
      <c r="F1149" s="57">
        <v>15000</v>
      </c>
      <c r="G1149" s="76">
        <v>-5000</v>
      </c>
      <c r="H1149" s="57">
        <f t="shared" si="72"/>
        <v>10000</v>
      </c>
      <c r="I1149" s="50">
        <v>1</v>
      </c>
      <c r="J1149" s="57">
        <f t="shared" si="70"/>
        <v>10000</v>
      </c>
      <c r="K1149" s="58">
        <f t="shared" si="71"/>
        <v>11000</v>
      </c>
      <c r="L1149" s="18" t="s">
        <v>3059</v>
      </c>
      <c r="M1149" s="50"/>
    </row>
    <row r="1150" spans="1:14" ht="21.75" hidden="1" customHeight="1" x14ac:dyDescent="0.4">
      <c r="A1150" s="62">
        <v>45358</v>
      </c>
      <c r="B1150" s="32" t="s">
        <v>3065</v>
      </c>
      <c r="C1150" s="18" t="s">
        <v>3062</v>
      </c>
      <c r="D1150" s="63" t="s">
        <v>328</v>
      </c>
      <c r="E1150" s="50" t="s">
        <v>2909</v>
      </c>
      <c r="F1150" s="57">
        <v>72000</v>
      </c>
      <c r="G1150" s="76">
        <v>-14400</v>
      </c>
      <c r="H1150" s="57">
        <f t="shared" si="72"/>
        <v>57600</v>
      </c>
      <c r="I1150" s="50">
        <v>1</v>
      </c>
      <c r="J1150" s="57">
        <f t="shared" si="70"/>
        <v>57600</v>
      </c>
      <c r="K1150" s="58">
        <f t="shared" si="71"/>
        <v>63360</v>
      </c>
      <c r="L1150" s="18" t="s">
        <v>34</v>
      </c>
      <c r="M1150" s="50"/>
      <c r="N1150" s="52" t="s">
        <v>3176</v>
      </c>
    </row>
    <row r="1151" spans="1:14" ht="21.75" hidden="1" customHeight="1" x14ac:dyDescent="0.4">
      <c r="A1151" s="62">
        <v>45358</v>
      </c>
      <c r="B1151" s="32" t="s">
        <v>3065</v>
      </c>
      <c r="C1151" s="18" t="s">
        <v>3062</v>
      </c>
      <c r="D1151" s="63" t="s">
        <v>332</v>
      </c>
      <c r="E1151" s="50" t="s">
        <v>3066</v>
      </c>
      <c r="F1151" s="57">
        <v>2400</v>
      </c>
      <c r="G1151" s="76"/>
      <c r="H1151" s="57">
        <f t="shared" si="72"/>
        <v>2400</v>
      </c>
      <c r="I1151" s="50">
        <v>1</v>
      </c>
      <c r="J1151" s="57">
        <f t="shared" si="70"/>
        <v>2400</v>
      </c>
      <c r="K1151" s="58">
        <f t="shared" si="71"/>
        <v>2640</v>
      </c>
      <c r="L1151" s="18" t="s">
        <v>34</v>
      </c>
      <c r="M1151" s="50"/>
      <c r="N1151" s="52" t="s">
        <v>3176</v>
      </c>
    </row>
    <row r="1152" spans="1:14" ht="21.75" hidden="1" customHeight="1" x14ac:dyDescent="0.4">
      <c r="A1152" s="62">
        <v>45358</v>
      </c>
      <c r="B1152" s="32" t="s">
        <v>3065</v>
      </c>
      <c r="C1152" s="96" t="s">
        <v>3067</v>
      </c>
      <c r="D1152" s="63"/>
      <c r="E1152" s="50" t="s">
        <v>2491</v>
      </c>
      <c r="F1152" s="57">
        <v>-10000</v>
      </c>
      <c r="G1152" s="76"/>
      <c r="H1152" s="57">
        <f t="shared" si="72"/>
        <v>-10000</v>
      </c>
      <c r="I1152" s="50">
        <v>1</v>
      </c>
      <c r="J1152" s="57">
        <f t="shared" si="70"/>
        <v>-10000</v>
      </c>
      <c r="K1152" s="58">
        <f t="shared" si="71"/>
        <v>-11000</v>
      </c>
      <c r="L1152" s="18" t="s">
        <v>34</v>
      </c>
      <c r="M1152" s="50"/>
      <c r="N1152" s="52" t="s">
        <v>3176</v>
      </c>
    </row>
    <row r="1153" spans="1:13" ht="21.75" hidden="1" customHeight="1" x14ac:dyDescent="0.4">
      <c r="A1153" s="62">
        <v>45358</v>
      </c>
      <c r="B1153" s="32" t="s">
        <v>3068</v>
      </c>
      <c r="C1153" s="18" t="s">
        <v>3062</v>
      </c>
      <c r="D1153" s="63" t="s">
        <v>455</v>
      </c>
      <c r="E1153" s="50" t="s">
        <v>3069</v>
      </c>
      <c r="F1153" s="57">
        <v>1090</v>
      </c>
      <c r="G1153" s="76">
        <v>-109</v>
      </c>
      <c r="H1153" s="57">
        <f t="shared" si="72"/>
        <v>981</v>
      </c>
      <c r="I1153" s="50">
        <v>1</v>
      </c>
      <c r="J1153" s="57">
        <f t="shared" si="70"/>
        <v>981</v>
      </c>
      <c r="K1153" s="58">
        <f t="shared" si="71"/>
        <v>1079</v>
      </c>
      <c r="L1153" s="18" t="s">
        <v>25</v>
      </c>
      <c r="M1153" s="50"/>
    </row>
    <row r="1154" spans="1:13" ht="21.75" hidden="1" customHeight="1" x14ac:dyDescent="0.4">
      <c r="A1154" s="62">
        <v>45359</v>
      </c>
      <c r="B1154" s="32" t="s">
        <v>3070</v>
      </c>
      <c r="C1154" s="18" t="s">
        <v>3062</v>
      </c>
      <c r="D1154" s="63" t="s">
        <v>3071</v>
      </c>
      <c r="E1154" s="50" t="s">
        <v>3072</v>
      </c>
      <c r="F1154" s="57">
        <v>87000</v>
      </c>
      <c r="G1154" s="76">
        <v>-32190</v>
      </c>
      <c r="H1154" s="57">
        <f t="shared" si="72"/>
        <v>54810</v>
      </c>
      <c r="I1154" s="50">
        <v>1</v>
      </c>
      <c r="J1154" s="57">
        <f t="shared" si="70"/>
        <v>54810</v>
      </c>
      <c r="K1154" s="58">
        <f t="shared" si="71"/>
        <v>60291</v>
      </c>
      <c r="L1154" s="18" t="s">
        <v>3059</v>
      </c>
      <c r="M1154" s="50"/>
    </row>
    <row r="1155" spans="1:13" ht="21.75" hidden="1" customHeight="1" x14ac:dyDescent="0.4">
      <c r="A1155" s="62">
        <v>45359</v>
      </c>
      <c r="B1155" s="32" t="s">
        <v>3073</v>
      </c>
      <c r="C1155" s="18" t="s">
        <v>17</v>
      </c>
      <c r="D1155" s="63" t="s">
        <v>292</v>
      </c>
      <c r="E1155" s="50" t="s">
        <v>3075</v>
      </c>
      <c r="F1155" s="57">
        <v>5500</v>
      </c>
      <c r="G1155" s="76"/>
      <c r="H1155" s="57">
        <f t="shared" si="72"/>
        <v>5500</v>
      </c>
      <c r="I1155" s="50">
        <v>1</v>
      </c>
      <c r="J1155" s="57">
        <f t="shared" si="70"/>
        <v>5500</v>
      </c>
      <c r="K1155" s="58">
        <f t="shared" si="71"/>
        <v>6050</v>
      </c>
      <c r="L1155" s="18" t="s">
        <v>25</v>
      </c>
      <c r="M1155" s="50"/>
    </row>
    <row r="1156" spans="1:13" ht="21.75" hidden="1" customHeight="1" x14ac:dyDescent="0.4">
      <c r="A1156" s="62">
        <v>45359</v>
      </c>
      <c r="B1156" s="32" t="s">
        <v>1269</v>
      </c>
      <c r="C1156" s="18" t="s">
        <v>3062</v>
      </c>
      <c r="D1156" s="63" t="s">
        <v>332</v>
      </c>
      <c r="E1156" s="50" t="s">
        <v>3076</v>
      </c>
      <c r="F1156" s="57">
        <v>1760</v>
      </c>
      <c r="G1156" s="76">
        <v>-176</v>
      </c>
      <c r="H1156" s="57">
        <f t="shared" si="72"/>
        <v>1584</v>
      </c>
      <c r="I1156" s="50">
        <v>2</v>
      </c>
      <c r="J1156" s="57">
        <f t="shared" si="70"/>
        <v>3168</v>
      </c>
      <c r="K1156" s="58">
        <f t="shared" si="71"/>
        <v>3484</v>
      </c>
      <c r="L1156" s="18" t="s">
        <v>25</v>
      </c>
      <c r="M1156" s="50"/>
    </row>
    <row r="1157" spans="1:13" ht="21.75" hidden="1" customHeight="1" x14ac:dyDescent="0.4">
      <c r="A1157" s="62">
        <v>45359</v>
      </c>
      <c r="B1157" s="32" t="s">
        <v>3055</v>
      </c>
      <c r="C1157" s="18" t="s">
        <v>17</v>
      </c>
      <c r="D1157" s="63" t="s">
        <v>332</v>
      </c>
      <c r="E1157" s="50" t="s">
        <v>3077</v>
      </c>
      <c r="F1157" s="57">
        <v>3500</v>
      </c>
      <c r="G1157" s="76"/>
      <c r="H1157" s="57">
        <f t="shared" si="72"/>
        <v>3500</v>
      </c>
      <c r="I1157" s="50">
        <v>1</v>
      </c>
      <c r="J1157" s="57">
        <f t="shared" si="70"/>
        <v>3500</v>
      </c>
      <c r="K1157" s="58">
        <f t="shared" si="71"/>
        <v>3850</v>
      </c>
      <c r="L1157" s="18" t="s">
        <v>3059</v>
      </c>
      <c r="M1157" s="50"/>
    </row>
    <row r="1158" spans="1:13" ht="21.75" hidden="1" customHeight="1" x14ac:dyDescent="0.4">
      <c r="A1158" s="62">
        <v>45359</v>
      </c>
      <c r="B1158" s="32" t="s">
        <v>554</v>
      </c>
      <c r="C1158" s="18" t="s">
        <v>27</v>
      </c>
      <c r="D1158" s="63" t="s">
        <v>28</v>
      </c>
      <c r="E1158" s="50" t="s">
        <v>73</v>
      </c>
      <c r="F1158" s="57">
        <v>2000</v>
      </c>
      <c r="G1158" s="76"/>
      <c r="H1158" s="57">
        <f t="shared" si="72"/>
        <v>2000</v>
      </c>
      <c r="I1158" s="50">
        <v>1</v>
      </c>
      <c r="J1158" s="57">
        <f t="shared" si="70"/>
        <v>2000</v>
      </c>
      <c r="K1158" s="58">
        <f t="shared" si="71"/>
        <v>2200</v>
      </c>
      <c r="L1158" s="18" t="s">
        <v>3059</v>
      </c>
      <c r="M1158" s="50"/>
    </row>
    <row r="1159" spans="1:13" ht="21.75" hidden="1" customHeight="1" x14ac:dyDescent="0.4">
      <c r="A1159" s="62">
        <v>45360</v>
      </c>
      <c r="B1159" s="32" t="s">
        <v>3078</v>
      </c>
      <c r="C1159" s="18" t="s">
        <v>27</v>
      </c>
      <c r="D1159" s="63" t="s">
        <v>28</v>
      </c>
      <c r="E1159" s="50" t="s">
        <v>3079</v>
      </c>
      <c r="F1159" s="57">
        <v>17500</v>
      </c>
      <c r="G1159" s="76"/>
      <c r="H1159" s="57">
        <f t="shared" si="72"/>
        <v>17500</v>
      </c>
      <c r="I1159" s="50">
        <v>1</v>
      </c>
      <c r="J1159" s="57">
        <f t="shared" si="70"/>
        <v>17500</v>
      </c>
      <c r="K1159" s="58">
        <f t="shared" si="71"/>
        <v>19250</v>
      </c>
      <c r="L1159" s="18" t="s">
        <v>3059</v>
      </c>
      <c r="M1159" s="50"/>
    </row>
    <row r="1160" spans="1:13" ht="21.75" hidden="1" customHeight="1" x14ac:dyDescent="0.4">
      <c r="A1160" s="62">
        <v>45360</v>
      </c>
      <c r="B1160" s="32" t="s">
        <v>3080</v>
      </c>
      <c r="C1160" s="18" t="s">
        <v>22</v>
      </c>
      <c r="D1160" s="63" t="s">
        <v>1615</v>
      </c>
      <c r="E1160" s="50" t="s">
        <v>3081</v>
      </c>
      <c r="F1160" s="57">
        <v>15000</v>
      </c>
      <c r="G1160" s="76"/>
      <c r="H1160" s="57">
        <f t="shared" si="72"/>
        <v>15000</v>
      </c>
      <c r="I1160" s="50">
        <v>1</v>
      </c>
      <c r="J1160" s="57">
        <f t="shared" si="70"/>
        <v>15000</v>
      </c>
      <c r="K1160" s="58">
        <f t="shared" si="71"/>
        <v>16500</v>
      </c>
      <c r="L1160" s="18" t="s">
        <v>25</v>
      </c>
      <c r="M1160" s="50"/>
    </row>
    <row r="1161" spans="1:13" ht="21.75" hidden="1" customHeight="1" x14ac:dyDescent="0.4">
      <c r="A1161" s="62">
        <v>45360</v>
      </c>
      <c r="B1161" s="32" t="s">
        <v>3082</v>
      </c>
      <c r="C1161" s="18" t="s">
        <v>22</v>
      </c>
      <c r="D1161" s="63" t="s">
        <v>1496</v>
      </c>
      <c r="E1161" s="50" t="s">
        <v>369</v>
      </c>
      <c r="F1161" s="57">
        <v>3000</v>
      </c>
      <c r="G1161" s="76"/>
      <c r="H1161" s="57">
        <f t="shared" si="72"/>
        <v>3000</v>
      </c>
      <c r="I1161" s="50">
        <v>1</v>
      </c>
      <c r="J1161" s="57">
        <f t="shared" si="70"/>
        <v>3000</v>
      </c>
      <c r="K1161" s="58">
        <f t="shared" si="71"/>
        <v>3300</v>
      </c>
      <c r="L1161" s="18" t="s">
        <v>25</v>
      </c>
      <c r="M1161" s="50" t="s">
        <v>3199</v>
      </c>
    </row>
    <row r="1162" spans="1:13" ht="21.75" hidden="1" customHeight="1" x14ac:dyDescent="0.4">
      <c r="A1162" s="62">
        <v>45360</v>
      </c>
      <c r="B1162" s="32" t="s">
        <v>3082</v>
      </c>
      <c r="C1162" s="18" t="s">
        <v>27</v>
      </c>
      <c r="D1162" s="63" t="s">
        <v>28</v>
      </c>
      <c r="E1162" s="50" t="s">
        <v>318</v>
      </c>
      <c r="F1162" s="57">
        <v>15000</v>
      </c>
      <c r="G1162" s="76"/>
      <c r="H1162" s="57">
        <f t="shared" si="72"/>
        <v>15000</v>
      </c>
      <c r="I1162" s="50">
        <v>1</v>
      </c>
      <c r="J1162" s="57">
        <f t="shared" si="70"/>
        <v>15000</v>
      </c>
      <c r="K1162" s="58">
        <f t="shared" si="71"/>
        <v>16500</v>
      </c>
      <c r="L1162" s="18" t="s">
        <v>25</v>
      </c>
      <c r="M1162" s="50"/>
    </row>
    <row r="1163" spans="1:13" ht="21.75" hidden="1" customHeight="1" x14ac:dyDescent="0.4">
      <c r="A1163" s="62">
        <v>45360</v>
      </c>
      <c r="B1163" s="32" t="s">
        <v>3082</v>
      </c>
      <c r="C1163" s="18" t="s">
        <v>27</v>
      </c>
      <c r="D1163" s="63" t="s">
        <v>103</v>
      </c>
      <c r="E1163" s="50" t="s">
        <v>217</v>
      </c>
      <c r="F1163" s="57">
        <v>25000</v>
      </c>
      <c r="G1163" s="76"/>
      <c r="H1163" s="57">
        <f t="shared" si="72"/>
        <v>25000</v>
      </c>
      <c r="I1163" s="50">
        <v>1</v>
      </c>
      <c r="J1163" s="57">
        <f t="shared" si="70"/>
        <v>25000</v>
      </c>
      <c r="K1163" s="58">
        <f t="shared" si="71"/>
        <v>27500</v>
      </c>
      <c r="L1163" s="18" t="s">
        <v>25</v>
      </c>
      <c r="M1163" s="50"/>
    </row>
    <row r="1164" spans="1:13" ht="21.75" hidden="1" customHeight="1" x14ac:dyDescent="0.4">
      <c r="A1164" s="62">
        <v>45360</v>
      </c>
      <c r="B1164" s="32" t="s">
        <v>3083</v>
      </c>
      <c r="C1164" s="18" t="s">
        <v>22</v>
      </c>
      <c r="D1164" s="63" t="s">
        <v>1496</v>
      </c>
      <c r="E1164" s="50" t="s">
        <v>3084</v>
      </c>
      <c r="F1164" s="57">
        <v>7500</v>
      </c>
      <c r="G1164" s="76"/>
      <c r="H1164" s="57">
        <f t="shared" si="72"/>
        <v>7500</v>
      </c>
      <c r="I1164" s="50">
        <v>1</v>
      </c>
      <c r="J1164" s="57">
        <f t="shared" si="70"/>
        <v>7500</v>
      </c>
      <c r="K1164" s="58">
        <f t="shared" si="71"/>
        <v>8250</v>
      </c>
      <c r="L1164" s="18" t="s">
        <v>25</v>
      </c>
      <c r="M1164" s="50"/>
    </row>
    <row r="1165" spans="1:13" ht="21.75" hidden="1" customHeight="1" x14ac:dyDescent="0.4">
      <c r="A1165" s="62">
        <v>45360</v>
      </c>
      <c r="B1165" s="32" t="s">
        <v>3085</v>
      </c>
      <c r="C1165" s="18" t="s">
        <v>27</v>
      </c>
      <c r="D1165" s="63" t="s">
        <v>28</v>
      </c>
      <c r="E1165" s="50" t="s">
        <v>73</v>
      </c>
      <c r="F1165" s="57">
        <v>2000</v>
      </c>
      <c r="G1165" s="76"/>
      <c r="H1165" s="57">
        <f t="shared" si="72"/>
        <v>2000</v>
      </c>
      <c r="I1165" s="50">
        <v>1</v>
      </c>
      <c r="J1165" s="57">
        <f t="shared" si="70"/>
        <v>2000</v>
      </c>
      <c r="K1165" s="58">
        <f t="shared" si="71"/>
        <v>2200</v>
      </c>
      <c r="L1165" s="18" t="s">
        <v>3059</v>
      </c>
      <c r="M1165" s="50"/>
    </row>
    <row r="1166" spans="1:13" ht="21.75" hidden="1" customHeight="1" x14ac:dyDescent="0.4">
      <c r="A1166" s="62">
        <v>45360</v>
      </c>
      <c r="B1166" s="32" t="s">
        <v>162</v>
      </c>
      <c r="C1166" s="18" t="s">
        <v>27</v>
      </c>
      <c r="D1166" s="63" t="s">
        <v>28</v>
      </c>
      <c r="E1166" s="50" t="s">
        <v>1810</v>
      </c>
      <c r="F1166" s="57">
        <v>2500</v>
      </c>
      <c r="G1166" s="76"/>
      <c r="H1166" s="57">
        <f t="shared" si="72"/>
        <v>2500</v>
      </c>
      <c r="I1166" s="50">
        <v>1</v>
      </c>
      <c r="J1166" s="57">
        <f t="shared" si="70"/>
        <v>2500</v>
      </c>
      <c r="K1166" s="58">
        <f t="shared" si="71"/>
        <v>2750</v>
      </c>
      <c r="L1166" s="18" t="s">
        <v>25</v>
      </c>
      <c r="M1166" s="50"/>
    </row>
    <row r="1167" spans="1:13" ht="21.75" hidden="1" customHeight="1" x14ac:dyDescent="0.4">
      <c r="A1167" s="62">
        <v>45360</v>
      </c>
      <c r="B1167" s="32" t="s">
        <v>162</v>
      </c>
      <c r="C1167" s="18" t="s">
        <v>27</v>
      </c>
      <c r="D1167" s="63" t="s">
        <v>28</v>
      </c>
      <c r="E1167" s="50" t="s">
        <v>73</v>
      </c>
      <c r="F1167" s="57">
        <v>2000</v>
      </c>
      <c r="G1167" s="76"/>
      <c r="H1167" s="57">
        <f t="shared" si="72"/>
        <v>2000</v>
      </c>
      <c r="I1167" s="50">
        <v>1</v>
      </c>
      <c r="J1167" s="57">
        <f t="shared" si="70"/>
        <v>2000</v>
      </c>
      <c r="K1167" s="58">
        <f t="shared" si="71"/>
        <v>2200</v>
      </c>
      <c r="L1167" s="18" t="s">
        <v>25</v>
      </c>
      <c r="M1167" s="50"/>
    </row>
    <row r="1168" spans="1:13" ht="21.75" hidden="1" customHeight="1" x14ac:dyDescent="0.4">
      <c r="A1168" s="62">
        <v>45361</v>
      </c>
      <c r="B1168" s="32" t="s">
        <v>3086</v>
      </c>
      <c r="C1168" s="18" t="s">
        <v>3062</v>
      </c>
      <c r="D1168" s="63" t="s">
        <v>328</v>
      </c>
      <c r="E1168" s="50" t="s">
        <v>3087</v>
      </c>
      <c r="F1168" s="57">
        <v>2850</v>
      </c>
      <c r="G1168" s="76"/>
      <c r="H1168" s="57">
        <f t="shared" si="72"/>
        <v>2850</v>
      </c>
      <c r="I1168" s="50">
        <v>3</v>
      </c>
      <c r="J1168" s="57">
        <f t="shared" si="70"/>
        <v>8550</v>
      </c>
      <c r="K1168" s="58">
        <f t="shared" si="71"/>
        <v>9405</v>
      </c>
      <c r="L1168" s="18" t="s">
        <v>25</v>
      </c>
      <c r="M1168" s="50"/>
    </row>
    <row r="1169" spans="1:14" ht="21.75" hidden="1" customHeight="1" x14ac:dyDescent="0.4">
      <c r="A1169" s="62">
        <v>45361</v>
      </c>
      <c r="B1169" s="32" t="s">
        <v>3088</v>
      </c>
      <c r="C1169" s="18" t="s">
        <v>27</v>
      </c>
      <c r="D1169" s="63" t="s">
        <v>28</v>
      </c>
      <c r="E1169" s="50" t="s">
        <v>318</v>
      </c>
      <c r="F1169" s="57">
        <v>15000</v>
      </c>
      <c r="G1169" s="76"/>
      <c r="H1169" s="57">
        <f t="shared" si="72"/>
        <v>15000</v>
      </c>
      <c r="I1169" s="50">
        <v>1</v>
      </c>
      <c r="J1169" s="57">
        <f t="shared" si="70"/>
        <v>15000</v>
      </c>
      <c r="K1169" s="58">
        <f t="shared" si="71"/>
        <v>16500</v>
      </c>
      <c r="L1169" s="18" t="s">
        <v>25</v>
      </c>
      <c r="M1169" s="50"/>
    </row>
    <row r="1170" spans="1:14" ht="21.75" hidden="1" customHeight="1" x14ac:dyDescent="0.4">
      <c r="A1170" s="62">
        <v>45361</v>
      </c>
      <c r="B1170" s="32" t="s">
        <v>428</v>
      </c>
      <c r="C1170" s="18" t="s">
        <v>3062</v>
      </c>
      <c r="D1170" s="63" t="s">
        <v>328</v>
      </c>
      <c r="E1170" s="50" t="s">
        <v>2998</v>
      </c>
      <c r="F1170" s="57">
        <v>5100</v>
      </c>
      <c r="G1170" s="76">
        <v>-510</v>
      </c>
      <c r="H1170" s="57">
        <f t="shared" si="72"/>
        <v>4590</v>
      </c>
      <c r="I1170" s="50">
        <v>6</v>
      </c>
      <c r="J1170" s="57">
        <f t="shared" si="70"/>
        <v>27540</v>
      </c>
      <c r="K1170" s="58">
        <f t="shared" si="71"/>
        <v>30294</v>
      </c>
      <c r="L1170" s="18" t="s">
        <v>25</v>
      </c>
      <c r="M1170" s="50"/>
    </row>
    <row r="1171" spans="1:14" ht="21.75" hidden="1" customHeight="1" x14ac:dyDescent="0.4">
      <c r="A1171" s="62">
        <v>45362</v>
      </c>
      <c r="B1171" s="32" t="s">
        <v>3089</v>
      </c>
      <c r="C1171" s="18" t="s">
        <v>3062</v>
      </c>
      <c r="D1171" s="63" t="s">
        <v>328</v>
      </c>
      <c r="E1171" s="50" t="s">
        <v>3090</v>
      </c>
      <c r="F1171" s="57">
        <v>40000</v>
      </c>
      <c r="G1171" s="76">
        <v>-12000</v>
      </c>
      <c r="H1171" s="57">
        <f t="shared" si="72"/>
        <v>28000</v>
      </c>
      <c r="I1171" s="50">
        <v>2</v>
      </c>
      <c r="J1171" s="57">
        <f t="shared" si="70"/>
        <v>56000</v>
      </c>
      <c r="K1171" s="58">
        <f t="shared" si="71"/>
        <v>61600</v>
      </c>
      <c r="L1171" s="18" t="s">
        <v>3059</v>
      </c>
      <c r="M1171" s="50"/>
      <c r="N1171" s="52" t="s">
        <v>3177</v>
      </c>
    </row>
    <row r="1172" spans="1:14" ht="21.75" hidden="1" customHeight="1" x14ac:dyDescent="0.4">
      <c r="A1172" s="62">
        <v>45362</v>
      </c>
      <c r="B1172" s="32" t="s">
        <v>3089</v>
      </c>
      <c r="C1172" s="18" t="s">
        <v>3062</v>
      </c>
      <c r="D1172" s="63" t="s">
        <v>330</v>
      </c>
      <c r="E1172" s="50" t="s">
        <v>3091</v>
      </c>
      <c r="F1172" s="57">
        <v>5500</v>
      </c>
      <c r="G1172" s="76"/>
      <c r="H1172" s="57">
        <f t="shared" si="72"/>
        <v>5500</v>
      </c>
      <c r="I1172" s="50">
        <v>1</v>
      </c>
      <c r="J1172" s="57">
        <f t="shared" si="70"/>
        <v>5500</v>
      </c>
      <c r="K1172" s="58">
        <f t="shared" si="71"/>
        <v>6050</v>
      </c>
      <c r="L1172" s="18" t="s">
        <v>3059</v>
      </c>
      <c r="M1172" s="50"/>
      <c r="N1172" s="52" t="s">
        <v>3177</v>
      </c>
    </row>
    <row r="1173" spans="1:14" ht="21.75" hidden="1" customHeight="1" x14ac:dyDescent="0.4">
      <c r="A1173" s="62">
        <v>45362</v>
      </c>
      <c r="B1173" s="32" t="s">
        <v>3089</v>
      </c>
      <c r="C1173" s="18" t="s">
        <v>3062</v>
      </c>
      <c r="D1173" s="63" t="s">
        <v>330</v>
      </c>
      <c r="E1173" s="50" t="s">
        <v>3092</v>
      </c>
      <c r="F1173" s="57">
        <v>5000</v>
      </c>
      <c r="G1173" s="76"/>
      <c r="H1173" s="57">
        <f t="shared" si="72"/>
        <v>5000</v>
      </c>
      <c r="I1173" s="50">
        <v>1</v>
      </c>
      <c r="J1173" s="57">
        <f t="shared" si="70"/>
        <v>5000</v>
      </c>
      <c r="K1173" s="58">
        <f t="shared" si="71"/>
        <v>5500</v>
      </c>
      <c r="L1173" s="18" t="s">
        <v>3059</v>
      </c>
      <c r="M1173" s="50"/>
      <c r="N1173" s="52" t="s">
        <v>3177</v>
      </c>
    </row>
    <row r="1174" spans="1:14" ht="21.75" hidden="1" customHeight="1" x14ac:dyDescent="0.4">
      <c r="A1174" s="62">
        <v>45362</v>
      </c>
      <c r="B1174" s="32" t="s">
        <v>3093</v>
      </c>
      <c r="C1174" s="18" t="s">
        <v>22</v>
      </c>
      <c r="D1174" s="63" t="s">
        <v>1496</v>
      </c>
      <c r="E1174" s="50" t="s">
        <v>369</v>
      </c>
      <c r="F1174" s="57">
        <v>3000</v>
      </c>
      <c r="G1174" s="76"/>
      <c r="H1174" s="57">
        <f t="shared" si="72"/>
        <v>3000</v>
      </c>
      <c r="I1174" s="50">
        <v>1</v>
      </c>
      <c r="J1174" s="57">
        <f t="shared" si="70"/>
        <v>3000</v>
      </c>
      <c r="K1174" s="58">
        <f t="shared" si="71"/>
        <v>3300</v>
      </c>
      <c r="L1174" s="18" t="s">
        <v>3059</v>
      </c>
      <c r="M1174" s="50" t="s">
        <v>2515</v>
      </c>
    </row>
    <row r="1175" spans="1:14" ht="21.75" hidden="1" customHeight="1" x14ac:dyDescent="0.4">
      <c r="A1175" s="62">
        <v>45362</v>
      </c>
      <c r="B1175" s="32" t="s">
        <v>3093</v>
      </c>
      <c r="C1175" s="18" t="s">
        <v>27</v>
      </c>
      <c r="D1175" s="63" t="s">
        <v>28</v>
      </c>
      <c r="E1175" s="50" t="s">
        <v>318</v>
      </c>
      <c r="F1175" s="57">
        <v>15000</v>
      </c>
      <c r="G1175" s="76"/>
      <c r="H1175" s="57">
        <f t="shared" si="72"/>
        <v>15000</v>
      </c>
      <c r="I1175" s="50">
        <v>1</v>
      </c>
      <c r="J1175" s="57">
        <f t="shared" si="70"/>
        <v>15000</v>
      </c>
      <c r="K1175" s="58">
        <f t="shared" si="71"/>
        <v>16500</v>
      </c>
      <c r="L1175" s="18" t="s">
        <v>25</v>
      </c>
      <c r="M1175" s="50"/>
    </row>
    <row r="1176" spans="1:14" ht="21.75" hidden="1" customHeight="1" x14ac:dyDescent="0.4">
      <c r="A1176" s="62">
        <v>45362</v>
      </c>
      <c r="B1176" s="32" t="s">
        <v>3093</v>
      </c>
      <c r="C1176" s="18" t="s">
        <v>27</v>
      </c>
      <c r="D1176" s="63" t="s">
        <v>28</v>
      </c>
      <c r="E1176" s="50" t="s">
        <v>3094</v>
      </c>
      <c r="F1176" s="57">
        <v>8750</v>
      </c>
      <c r="G1176" s="76"/>
      <c r="H1176" s="57">
        <f t="shared" si="72"/>
        <v>8750</v>
      </c>
      <c r="I1176" s="50">
        <v>1</v>
      </c>
      <c r="J1176" s="57">
        <f t="shared" si="70"/>
        <v>8750</v>
      </c>
      <c r="K1176" s="58">
        <f t="shared" si="71"/>
        <v>9625</v>
      </c>
      <c r="L1176" s="18" t="s">
        <v>25</v>
      </c>
      <c r="M1176" s="50"/>
    </row>
    <row r="1177" spans="1:14" ht="21.75" hidden="1" customHeight="1" x14ac:dyDescent="0.4">
      <c r="A1177" s="62">
        <v>45362</v>
      </c>
      <c r="B1177" s="32" t="s">
        <v>3093</v>
      </c>
      <c r="C1177" s="18" t="s">
        <v>27</v>
      </c>
      <c r="D1177" s="63" t="s">
        <v>28</v>
      </c>
      <c r="E1177" s="50" t="s">
        <v>3079</v>
      </c>
      <c r="F1177" s="57">
        <v>17500</v>
      </c>
      <c r="G1177" s="76"/>
      <c r="H1177" s="57">
        <f t="shared" si="72"/>
        <v>17500</v>
      </c>
      <c r="I1177" s="50">
        <v>1</v>
      </c>
      <c r="J1177" s="57">
        <f t="shared" si="70"/>
        <v>17500</v>
      </c>
      <c r="K1177" s="58">
        <f t="shared" si="71"/>
        <v>19250</v>
      </c>
      <c r="L1177" s="18" t="s">
        <v>25</v>
      </c>
      <c r="M1177" s="50"/>
    </row>
    <row r="1178" spans="1:14" ht="21.75" hidden="1" customHeight="1" x14ac:dyDescent="0.4">
      <c r="A1178" s="62">
        <v>45364</v>
      </c>
      <c r="B1178" s="32" t="s">
        <v>3095</v>
      </c>
      <c r="C1178" s="18" t="s">
        <v>22</v>
      </c>
      <c r="D1178" s="63" t="s">
        <v>1496</v>
      </c>
      <c r="E1178" s="50" t="s">
        <v>369</v>
      </c>
      <c r="F1178" s="57">
        <v>3000</v>
      </c>
      <c r="G1178" s="76"/>
      <c r="H1178" s="57">
        <f t="shared" si="72"/>
        <v>3000</v>
      </c>
      <c r="I1178" s="50">
        <v>1</v>
      </c>
      <c r="J1178" s="57">
        <f t="shared" ref="J1178:J1241" si="73">SUM(H1178*I1178)</f>
        <v>3000</v>
      </c>
      <c r="K1178" s="58">
        <f t="shared" ref="K1178:K1241" si="74">ROUNDDOWN(J1178*1.1,0)</f>
        <v>3300</v>
      </c>
      <c r="L1178" s="18" t="s">
        <v>25</v>
      </c>
      <c r="M1178" s="50" t="s">
        <v>3103</v>
      </c>
    </row>
    <row r="1179" spans="1:14" ht="21.75" hidden="1" customHeight="1" x14ac:dyDescent="0.4">
      <c r="A1179" s="62">
        <v>45364</v>
      </c>
      <c r="B1179" s="32" t="s">
        <v>3061</v>
      </c>
      <c r="C1179" s="18" t="s">
        <v>27</v>
      </c>
      <c r="D1179" s="63" t="s">
        <v>28</v>
      </c>
      <c r="E1179" s="50" t="s">
        <v>318</v>
      </c>
      <c r="F1179" s="57">
        <v>15000</v>
      </c>
      <c r="G1179" s="76"/>
      <c r="H1179" s="57">
        <f t="shared" si="72"/>
        <v>15000</v>
      </c>
      <c r="I1179" s="50">
        <v>1</v>
      </c>
      <c r="J1179" s="57">
        <f t="shared" si="73"/>
        <v>15000</v>
      </c>
      <c r="K1179" s="58">
        <f t="shared" si="74"/>
        <v>16500</v>
      </c>
      <c r="L1179" s="18" t="s">
        <v>3059</v>
      </c>
      <c r="M1179" s="50"/>
    </row>
    <row r="1180" spans="1:14" ht="21.75" hidden="1" customHeight="1" x14ac:dyDescent="0.4">
      <c r="A1180" s="62">
        <v>45364</v>
      </c>
      <c r="B1180" s="32" t="s">
        <v>3061</v>
      </c>
      <c r="C1180" s="18" t="s">
        <v>27</v>
      </c>
      <c r="D1180" s="63" t="s">
        <v>28</v>
      </c>
      <c r="E1180" s="50" t="s">
        <v>3096</v>
      </c>
      <c r="F1180" s="57">
        <v>8500</v>
      </c>
      <c r="G1180" s="76"/>
      <c r="H1180" s="57">
        <f t="shared" si="72"/>
        <v>8500</v>
      </c>
      <c r="I1180" s="50">
        <v>1</v>
      </c>
      <c r="J1180" s="57">
        <f t="shared" si="73"/>
        <v>8500</v>
      </c>
      <c r="K1180" s="58">
        <f t="shared" si="74"/>
        <v>9350</v>
      </c>
      <c r="L1180" s="18" t="s">
        <v>3059</v>
      </c>
      <c r="M1180" s="50"/>
    </row>
    <row r="1181" spans="1:14" ht="21.75" hidden="1" customHeight="1" x14ac:dyDescent="0.4">
      <c r="A1181" s="62">
        <v>45364</v>
      </c>
      <c r="B1181" s="32" t="s">
        <v>3095</v>
      </c>
      <c r="C1181" s="18" t="s">
        <v>27</v>
      </c>
      <c r="D1181" s="63" t="s">
        <v>28</v>
      </c>
      <c r="E1181" s="50" t="s">
        <v>318</v>
      </c>
      <c r="F1181" s="57">
        <v>15000</v>
      </c>
      <c r="G1181" s="76"/>
      <c r="H1181" s="57">
        <f t="shared" si="72"/>
        <v>15000</v>
      </c>
      <c r="I1181" s="50">
        <v>1</v>
      </c>
      <c r="J1181" s="57">
        <f t="shared" si="73"/>
        <v>15000</v>
      </c>
      <c r="K1181" s="58">
        <f t="shared" si="74"/>
        <v>16500</v>
      </c>
      <c r="L1181" s="18" t="s">
        <v>25</v>
      </c>
      <c r="M1181" s="50"/>
    </row>
    <row r="1182" spans="1:14" ht="21.75" hidden="1" customHeight="1" x14ac:dyDescent="0.4">
      <c r="A1182" s="62">
        <v>45364</v>
      </c>
      <c r="B1182" s="32" t="s">
        <v>3095</v>
      </c>
      <c r="C1182" s="18" t="s">
        <v>27</v>
      </c>
      <c r="D1182" s="63" t="s">
        <v>28</v>
      </c>
      <c r="E1182" s="50" t="s">
        <v>3079</v>
      </c>
      <c r="F1182" s="57">
        <v>17500</v>
      </c>
      <c r="G1182" s="76"/>
      <c r="H1182" s="57">
        <f t="shared" si="72"/>
        <v>17500</v>
      </c>
      <c r="I1182" s="50">
        <v>1</v>
      </c>
      <c r="J1182" s="57">
        <f t="shared" si="73"/>
        <v>17500</v>
      </c>
      <c r="K1182" s="58">
        <f t="shared" si="74"/>
        <v>19250</v>
      </c>
      <c r="L1182" s="18" t="s">
        <v>25</v>
      </c>
      <c r="M1182" s="50"/>
    </row>
    <row r="1183" spans="1:14" ht="21.75" hidden="1" customHeight="1" x14ac:dyDescent="0.4">
      <c r="A1183" s="62">
        <v>45364</v>
      </c>
      <c r="B1183" s="32" t="s">
        <v>3095</v>
      </c>
      <c r="C1183" s="18" t="s">
        <v>27</v>
      </c>
      <c r="D1183" s="63" t="s">
        <v>28</v>
      </c>
      <c r="E1183" s="50" t="s">
        <v>3094</v>
      </c>
      <c r="F1183" s="57">
        <v>8750</v>
      </c>
      <c r="G1183" s="76"/>
      <c r="H1183" s="57">
        <f t="shared" si="72"/>
        <v>8750</v>
      </c>
      <c r="I1183" s="50">
        <v>1</v>
      </c>
      <c r="J1183" s="57">
        <f t="shared" si="73"/>
        <v>8750</v>
      </c>
      <c r="K1183" s="58">
        <f t="shared" si="74"/>
        <v>9625</v>
      </c>
      <c r="L1183" s="18" t="s">
        <v>25</v>
      </c>
      <c r="M1183" s="50"/>
    </row>
    <row r="1184" spans="1:14" ht="21.75" hidden="1" customHeight="1" x14ac:dyDescent="0.4">
      <c r="A1184" s="62">
        <v>45364</v>
      </c>
      <c r="B1184" s="32" t="s">
        <v>3097</v>
      </c>
      <c r="C1184" s="18" t="s">
        <v>2892</v>
      </c>
      <c r="D1184" s="63" t="s">
        <v>23</v>
      </c>
      <c r="E1184" s="50" t="s">
        <v>2883</v>
      </c>
      <c r="F1184" s="57">
        <v>15000</v>
      </c>
      <c r="G1184" s="76">
        <v>-5000</v>
      </c>
      <c r="H1184" s="57">
        <f t="shared" si="72"/>
        <v>10000</v>
      </c>
      <c r="I1184" s="50">
        <v>1</v>
      </c>
      <c r="J1184" s="57">
        <f t="shared" si="73"/>
        <v>10000</v>
      </c>
      <c r="K1184" s="58">
        <f t="shared" si="74"/>
        <v>11000</v>
      </c>
      <c r="L1184" s="18" t="s">
        <v>3059</v>
      </c>
      <c r="M1184" s="50"/>
    </row>
    <row r="1185" spans="1:14" ht="21.75" hidden="1" customHeight="1" x14ac:dyDescent="0.4">
      <c r="A1185" s="62">
        <v>45364</v>
      </c>
      <c r="B1185" s="32" t="s">
        <v>3097</v>
      </c>
      <c r="C1185" s="18" t="s">
        <v>3062</v>
      </c>
      <c r="D1185" s="63" t="s">
        <v>328</v>
      </c>
      <c r="E1185" s="50" t="s">
        <v>2434</v>
      </c>
      <c r="F1185" s="57">
        <v>45000</v>
      </c>
      <c r="G1185" s="76">
        <v>-9000</v>
      </c>
      <c r="H1185" s="57">
        <f t="shared" si="72"/>
        <v>36000</v>
      </c>
      <c r="I1185" s="50">
        <v>4</v>
      </c>
      <c r="J1185" s="57">
        <f t="shared" si="73"/>
        <v>144000</v>
      </c>
      <c r="K1185" s="58">
        <f t="shared" si="74"/>
        <v>158400</v>
      </c>
      <c r="L1185" s="18" t="s">
        <v>34</v>
      </c>
      <c r="M1185" s="50"/>
      <c r="N1185" s="52" t="s">
        <v>3176</v>
      </c>
    </row>
    <row r="1186" spans="1:14" ht="21.75" hidden="1" customHeight="1" x14ac:dyDescent="0.4">
      <c r="A1186" s="62">
        <v>45364</v>
      </c>
      <c r="B1186" s="32" t="s">
        <v>3097</v>
      </c>
      <c r="C1186" s="18" t="s">
        <v>3062</v>
      </c>
      <c r="D1186" s="63" t="s">
        <v>332</v>
      </c>
      <c r="E1186" s="50" t="s">
        <v>3099</v>
      </c>
      <c r="F1186" s="57">
        <v>1500</v>
      </c>
      <c r="G1186" s="76"/>
      <c r="H1186" s="57">
        <f t="shared" si="72"/>
        <v>1500</v>
      </c>
      <c r="I1186" s="50">
        <v>4</v>
      </c>
      <c r="J1186" s="57">
        <f t="shared" si="73"/>
        <v>6000</v>
      </c>
      <c r="K1186" s="58">
        <f t="shared" si="74"/>
        <v>6600</v>
      </c>
      <c r="L1186" s="18" t="s">
        <v>34</v>
      </c>
      <c r="M1186" s="50"/>
      <c r="N1186" s="52" t="s">
        <v>3176</v>
      </c>
    </row>
    <row r="1187" spans="1:14" ht="21.75" hidden="1" customHeight="1" x14ac:dyDescent="0.4">
      <c r="A1187" s="62">
        <v>45364</v>
      </c>
      <c r="B1187" s="32" t="s">
        <v>3097</v>
      </c>
      <c r="C1187" s="96" t="s">
        <v>3067</v>
      </c>
      <c r="D1187" s="63"/>
      <c r="E1187" s="50" t="s">
        <v>2491</v>
      </c>
      <c r="F1187" s="57">
        <v>-10000</v>
      </c>
      <c r="G1187" s="76"/>
      <c r="H1187" s="57">
        <f t="shared" si="72"/>
        <v>-10000</v>
      </c>
      <c r="I1187" s="50">
        <v>1</v>
      </c>
      <c r="J1187" s="57">
        <f t="shared" si="73"/>
        <v>-10000</v>
      </c>
      <c r="K1187" s="58">
        <f t="shared" si="74"/>
        <v>-11000</v>
      </c>
      <c r="L1187" s="18" t="s">
        <v>34</v>
      </c>
      <c r="M1187" s="50"/>
    </row>
    <row r="1188" spans="1:14" ht="21.75" hidden="1" customHeight="1" x14ac:dyDescent="0.4">
      <c r="A1188" s="62">
        <v>45364</v>
      </c>
      <c r="B1188" s="32" t="s">
        <v>3198</v>
      </c>
      <c r="C1188" s="18" t="s">
        <v>3062</v>
      </c>
      <c r="D1188" s="63" t="s">
        <v>455</v>
      </c>
      <c r="E1188" s="50" t="s">
        <v>3098</v>
      </c>
      <c r="F1188" s="57">
        <v>1500</v>
      </c>
      <c r="G1188" s="76">
        <v>-150</v>
      </c>
      <c r="H1188" s="57">
        <f t="shared" si="72"/>
        <v>1350</v>
      </c>
      <c r="I1188" s="50">
        <v>1</v>
      </c>
      <c r="J1188" s="57">
        <f t="shared" si="73"/>
        <v>1350</v>
      </c>
      <c r="K1188" s="58">
        <f t="shared" si="74"/>
        <v>1485</v>
      </c>
      <c r="L1188" s="18" t="s">
        <v>3059</v>
      </c>
      <c r="M1188" s="50"/>
    </row>
    <row r="1189" spans="1:14" ht="21.75" hidden="1" customHeight="1" x14ac:dyDescent="0.4">
      <c r="A1189" s="62">
        <v>45364</v>
      </c>
      <c r="B1189" s="32" t="s">
        <v>3100</v>
      </c>
      <c r="C1189" s="18" t="s">
        <v>3062</v>
      </c>
      <c r="D1189" s="63" t="s">
        <v>3074</v>
      </c>
      <c r="E1189" s="50" t="s">
        <v>3075</v>
      </c>
      <c r="F1189" s="57">
        <v>4872</v>
      </c>
      <c r="G1189" s="76"/>
      <c r="H1189" s="57">
        <f t="shared" si="72"/>
        <v>4872</v>
      </c>
      <c r="I1189" s="50">
        <v>1</v>
      </c>
      <c r="J1189" s="57">
        <f t="shared" si="73"/>
        <v>4872</v>
      </c>
      <c r="K1189" s="58">
        <f t="shared" si="74"/>
        <v>5359</v>
      </c>
      <c r="L1189" s="18" t="s">
        <v>25</v>
      </c>
      <c r="M1189" s="50"/>
    </row>
    <row r="1190" spans="1:14" ht="21.75" hidden="1" customHeight="1" x14ac:dyDescent="0.4">
      <c r="A1190" s="62">
        <v>45365</v>
      </c>
      <c r="B1190" s="32" t="s">
        <v>3101</v>
      </c>
      <c r="C1190" s="18" t="s">
        <v>2892</v>
      </c>
      <c r="D1190" s="63" t="s">
        <v>23</v>
      </c>
      <c r="E1190" s="50" t="s">
        <v>3102</v>
      </c>
      <c r="F1190" s="57">
        <v>18000</v>
      </c>
      <c r="G1190" s="76"/>
      <c r="H1190" s="57">
        <f t="shared" si="72"/>
        <v>18000</v>
      </c>
      <c r="I1190" s="50">
        <v>1</v>
      </c>
      <c r="J1190" s="57">
        <f t="shared" si="73"/>
        <v>18000</v>
      </c>
      <c r="K1190" s="58">
        <f t="shared" si="74"/>
        <v>19800</v>
      </c>
      <c r="L1190" s="18" t="s">
        <v>25</v>
      </c>
      <c r="M1190" s="50" t="s">
        <v>3104</v>
      </c>
    </row>
    <row r="1191" spans="1:14" ht="21.75" hidden="1" customHeight="1" x14ac:dyDescent="0.4">
      <c r="A1191" s="62">
        <v>45365</v>
      </c>
      <c r="B1191" s="32" t="s">
        <v>3083</v>
      </c>
      <c r="C1191" s="18" t="s">
        <v>27</v>
      </c>
      <c r="D1191" s="63" t="s">
        <v>28</v>
      </c>
      <c r="E1191" s="50" t="s">
        <v>318</v>
      </c>
      <c r="F1191" s="57">
        <v>15000</v>
      </c>
      <c r="G1191" s="76"/>
      <c r="H1191" s="57">
        <f t="shared" si="72"/>
        <v>15000</v>
      </c>
      <c r="I1191" s="50">
        <v>1</v>
      </c>
      <c r="J1191" s="57">
        <f t="shared" si="73"/>
        <v>15000</v>
      </c>
      <c r="K1191" s="58">
        <f t="shared" si="74"/>
        <v>16500</v>
      </c>
      <c r="L1191" s="18" t="s">
        <v>25</v>
      </c>
      <c r="M1191" s="50"/>
    </row>
    <row r="1192" spans="1:14" ht="21.75" hidden="1" customHeight="1" x14ac:dyDescent="0.4">
      <c r="A1192" s="62">
        <v>45365</v>
      </c>
      <c r="B1192" s="32" t="s">
        <v>3083</v>
      </c>
      <c r="C1192" s="18" t="s">
        <v>27</v>
      </c>
      <c r="D1192" s="63" t="s">
        <v>28</v>
      </c>
      <c r="E1192" s="50" t="s">
        <v>3056</v>
      </c>
      <c r="F1192" s="57">
        <v>13120</v>
      </c>
      <c r="G1192" s="76"/>
      <c r="H1192" s="57">
        <f t="shared" si="72"/>
        <v>13120</v>
      </c>
      <c r="I1192" s="50">
        <v>1</v>
      </c>
      <c r="J1192" s="57">
        <f t="shared" si="73"/>
        <v>13120</v>
      </c>
      <c r="K1192" s="58">
        <f t="shared" si="74"/>
        <v>14432</v>
      </c>
      <c r="L1192" s="18" t="s">
        <v>25</v>
      </c>
      <c r="M1192" s="50"/>
    </row>
    <row r="1193" spans="1:14" ht="21.75" hidden="1" customHeight="1" x14ac:dyDescent="0.4">
      <c r="A1193" s="62">
        <v>45365</v>
      </c>
      <c r="B1193" s="32" t="s">
        <v>3083</v>
      </c>
      <c r="C1193" s="18" t="s">
        <v>27</v>
      </c>
      <c r="D1193" s="63" t="s">
        <v>28</v>
      </c>
      <c r="E1193" s="50" t="s">
        <v>3079</v>
      </c>
      <c r="F1193" s="57">
        <v>17500</v>
      </c>
      <c r="G1193" s="76"/>
      <c r="H1193" s="57">
        <f t="shared" si="72"/>
        <v>17500</v>
      </c>
      <c r="I1193" s="50">
        <v>1</v>
      </c>
      <c r="J1193" s="57">
        <f t="shared" si="73"/>
        <v>17500</v>
      </c>
      <c r="K1193" s="58">
        <f t="shared" si="74"/>
        <v>19250</v>
      </c>
      <c r="L1193" s="18" t="s">
        <v>25</v>
      </c>
      <c r="M1193" s="50"/>
    </row>
    <row r="1194" spans="1:14" ht="21.75" hidden="1" customHeight="1" x14ac:dyDescent="0.4">
      <c r="A1194" s="62">
        <v>45365</v>
      </c>
      <c r="B1194" s="32" t="s">
        <v>3105</v>
      </c>
      <c r="C1194" s="18" t="s">
        <v>3062</v>
      </c>
      <c r="D1194" s="63" t="s">
        <v>292</v>
      </c>
      <c r="E1194" s="50" t="s">
        <v>3106</v>
      </c>
      <c r="F1194" s="57">
        <v>6300</v>
      </c>
      <c r="G1194" s="76">
        <v>-630</v>
      </c>
      <c r="H1194" s="57">
        <f t="shared" si="72"/>
        <v>5670</v>
      </c>
      <c r="I1194" s="50">
        <v>1</v>
      </c>
      <c r="J1194" s="57">
        <f t="shared" si="73"/>
        <v>5670</v>
      </c>
      <c r="K1194" s="58">
        <f t="shared" si="74"/>
        <v>6237</v>
      </c>
      <c r="L1194" s="18" t="s">
        <v>25</v>
      </c>
      <c r="M1194" s="50"/>
    </row>
    <row r="1195" spans="1:14" ht="21.75" hidden="1" customHeight="1" x14ac:dyDescent="0.4">
      <c r="A1195" s="62">
        <v>45365</v>
      </c>
      <c r="B1195" s="32" t="s">
        <v>2169</v>
      </c>
      <c r="C1195" s="18" t="s">
        <v>27</v>
      </c>
      <c r="D1195" s="63" t="s">
        <v>28</v>
      </c>
      <c r="E1195" s="50" t="s">
        <v>3107</v>
      </c>
      <c r="F1195" s="57">
        <v>17500</v>
      </c>
      <c r="G1195" s="76"/>
      <c r="H1195" s="57">
        <f t="shared" si="72"/>
        <v>17500</v>
      </c>
      <c r="I1195" s="50">
        <v>2</v>
      </c>
      <c r="J1195" s="57">
        <f t="shared" si="73"/>
        <v>35000</v>
      </c>
      <c r="K1195" s="58">
        <f t="shared" si="74"/>
        <v>38500</v>
      </c>
      <c r="L1195" s="18" t="s">
        <v>25</v>
      </c>
      <c r="M1195" s="50"/>
    </row>
    <row r="1196" spans="1:14" ht="21.75" hidden="1" customHeight="1" x14ac:dyDescent="0.4">
      <c r="A1196" s="62">
        <v>45366</v>
      </c>
      <c r="B1196" s="32" t="s">
        <v>3108</v>
      </c>
      <c r="C1196" s="18" t="s">
        <v>3062</v>
      </c>
      <c r="D1196" s="63" t="s">
        <v>328</v>
      </c>
      <c r="E1196" s="50" t="s">
        <v>3109</v>
      </c>
      <c r="F1196" s="57">
        <v>40000</v>
      </c>
      <c r="G1196" s="76">
        <v>-8000</v>
      </c>
      <c r="H1196" s="57">
        <f t="shared" si="72"/>
        <v>32000</v>
      </c>
      <c r="I1196" s="50">
        <v>2</v>
      </c>
      <c r="J1196" s="57">
        <f t="shared" si="73"/>
        <v>64000</v>
      </c>
      <c r="K1196" s="58">
        <f t="shared" si="74"/>
        <v>70400</v>
      </c>
      <c r="L1196" s="18" t="s">
        <v>34</v>
      </c>
      <c r="M1196" s="50"/>
      <c r="N1196" s="52" t="s">
        <v>3176</v>
      </c>
    </row>
    <row r="1197" spans="1:14" ht="21.75" hidden="1" customHeight="1" x14ac:dyDescent="0.4">
      <c r="A1197" s="62">
        <v>45366</v>
      </c>
      <c r="B1197" s="32" t="s">
        <v>3108</v>
      </c>
      <c r="C1197" s="18" t="s">
        <v>3062</v>
      </c>
      <c r="D1197" s="63" t="s">
        <v>328</v>
      </c>
      <c r="E1197" s="50" t="s">
        <v>3110</v>
      </c>
      <c r="F1197" s="57">
        <v>40000</v>
      </c>
      <c r="G1197" s="76">
        <v>-8000</v>
      </c>
      <c r="H1197" s="57">
        <f t="shared" si="72"/>
        <v>32000</v>
      </c>
      <c r="I1197" s="50">
        <v>1</v>
      </c>
      <c r="J1197" s="57">
        <f t="shared" si="73"/>
        <v>32000</v>
      </c>
      <c r="K1197" s="58">
        <f t="shared" si="74"/>
        <v>35200</v>
      </c>
      <c r="L1197" s="18" t="s">
        <v>34</v>
      </c>
      <c r="M1197" s="50"/>
      <c r="N1197" s="52" t="s">
        <v>3176</v>
      </c>
    </row>
    <row r="1198" spans="1:14" ht="21.75" hidden="1" customHeight="1" x14ac:dyDescent="0.4">
      <c r="A1198" s="62">
        <v>45366</v>
      </c>
      <c r="B1198" s="32" t="s">
        <v>3108</v>
      </c>
      <c r="C1198" s="18" t="s">
        <v>2892</v>
      </c>
      <c r="D1198" s="63" t="s">
        <v>23</v>
      </c>
      <c r="E1198" s="50" t="s">
        <v>2883</v>
      </c>
      <c r="F1198" s="57">
        <v>15000</v>
      </c>
      <c r="G1198" s="76">
        <v>-10000</v>
      </c>
      <c r="H1198" s="57">
        <f t="shared" ref="H1198:H1261" si="75">SUM(F1198:G1198)</f>
        <v>5000</v>
      </c>
      <c r="I1198" s="50">
        <v>1</v>
      </c>
      <c r="J1198" s="57">
        <f t="shared" si="73"/>
        <v>5000</v>
      </c>
      <c r="K1198" s="58">
        <f t="shared" si="74"/>
        <v>5500</v>
      </c>
      <c r="L1198" s="18" t="s">
        <v>34</v>
      </c>
      <c r="M1198" s="159" t="s">
        <v>3208</v>
      </c>
    </row>
    <row r="1199" spans="1:14" ht="21.75" hidden="1" customHeight="1" x14ac:dyDescent="0.4">
      <c r="A1199" s="62">
        <v>45366</v>
      </c>
      <c r="B1199" s="32" t="s">
        <v>3108</v>
      </c>
      <c r="C1199" s="18" t="s">
        <v>3062</v>
      </c>
      <c r="D1199" s="63" t="s">
        <v>330</v>
      </c>
      <c r="E1199" s="50" t="s">
        <v>3111</v>
      </c>
      <c r="F1199" s="57">
        <v>5000</v>
      </c>
      <c r="G1199" s="76"/>
      <c r="H1199" s="57">
        <f t="shared" si="75"/>
        <v>5000</v>
      </c>
      <c r="I1199" s="50">
        <v>1</v>
      </c>
      <c r="J1199" s="57">
        <f t="shared" si="73"/>
        <v>5000</v>
      </c>
      <c r="K1199" s="58">
        <f t="shared" si="74"/>
        <v>5500</v>
      </c>
      <c r="L1199" s="18" t="s">
        <v>25</v>
      </c>
      <c r="M1199" s="50"/>
      <c r="N1199" s="52" t="s">
        <v>3176</v>
      </c>
    </row>
    <row r="1200" spans="1:14" ht="21.75" hidden="1" customHeight="1" x14ac:dyDescent="0.4">
      <c r="A1200" s="62">
        <v>45366</v>
      </c>
      <c r="B1200" s="32" t="s">
        <v>3108</v>
      </c>
      <c r="C1200" s="18" t="s">
        <v>3062</v>
      </c>
      <c r="D1200" s="63" t="s">
        <v>330</v>
      </c>
      <c r="E1200" s="50" t="s">
        <v>3092</v>
      </c>
      <c r="F1200" s="57">
        <v>5000</v>
      </c>
      <c r="G1200" s="76"/>
      <c r="H1200" s="57">
        <f t="shared" si="75"/>
        <v>5000</v>
      </c>
      <c r="I1200" s="50">
        <v>2</v>
      </c>
      <c r="J1200" s="57">
        <f t="shared" si="73"/>
        <v>10000</v>
      </c>
      <c r="K1200" s="58">
        <f t="shared" si="74"/>
        <v>11000</v>
      </c>
      <c r="L1200" s="18" t="s">
        <v>25</v>
      </c>
      <c r="M1200" s="50"/>
      <c r="N1200" s="52" t="s">
        <v>3176</v>
      </c>
    </row>
    <row r="1201" spans="1:14" ht="21.75" hidden="1" customHeight="1" x14ac:dyDescent="0.4">
      <c r="A1201" s="62">
        <v>45366</v>
      </c>
      <c r="B1201" s="32" t="s">
        <v>179</v>
      </c>
      <c r="C1201" s="18" t="s">
        <v>2892</v>
      </c>
      <c r="D1201" s="63" t="s">
        <v>23</v>
      </c>
      <c r="E1201" s="50" t="s">
        <v>2883</v>
      </c>
      <c r="F1201" s="57">
        <v>10000</v>
      </c>
      <c r="G1201" s="76"/>
      <c r="H1201" s="57">
        <f t="shared" si="75"/>
        <v>10000</v>
      </c>
      <c r="I1201" s="50">
        <v>1</v>
      </c>
      <c r="J1201" s="57">
        <f t="shared" si="73"/>
        <v>10000</v>
      </c>
      <c r="K1201" s="58">
        <f t="shared" si="74"/>
        <v>11000</v>
      </c>
      <c r="L1201" s="18" t="s">
        <v>3059</v>
      </c>
      <c r="M1201" s="50"/>
    </row>
    <row r="1202" spans="1:14" ht="21.75" hidden="1" customHeight="1" x14ac:dyDescent="0.4">
      <c r="A1202" s="62">
        <v>45366</v>
      </c>
      <c r="B1202" s="32" t="s">
        <v>179</v>
      </c>
      <c r="C1202" s="18" t="s">
        <v>3062</v>
      </c>
      <c r="D1202" s="63" t="s">
        <v>328</v>
      </c>
      <c r="E1202" s="50" t="s">
        <v>3112</v>
      </c>
      <c r="F1202" s="57">
        <v>60000</v>
      </c>
      <c r="G1202" s="76">
        <v>-18000</v>
      </c>
      <c r="H1202" s="57">
        <f t="shared" si="75"/>
        <v>42000</v>
      </c>
      <c r="I1202" s="50">
        <v>1</v>
      </c>
      <c r="J1202" s="57">
        <f t="shared" si="73"/>
        <v>42000</v>
      </c>
      <c r="K1202" s="58">
        <f t="shared" si="74"/>
        <v>46200</v>
      </c>
      <c r="L1202" s="18" t="s">
        <v>3059</v>
      </c>
      <c r="M1202" s="50"/>
      <c r="N1202" s="52" t="s">
        <v>3178</v>
      </c>
    </row>
    <row r="1203" spans="1:14" ht="21.75" hidden="1" customHeight="1" x14ac:dyDescent="0.4">
      <c r="A1203" s="62">
        <v>45366</v>
      </c>
      <c r="B1203" s="32" t="s">
        <v>179</v>
      </c>
      <c r="C1203" s="18" t="s">
        <v>3062</v>
      </c>
      <c r="D1203" s="63" t="s">
        <v>3114</v>
      </c>
      <c r="E1203" s="50" t="s">
        <v>3113</v>
      </c>
      <c r="F1203" s="57">
        <v>1600</v>
      </c>
      <c r="G1203" s="76">
        <v>-160</v>
      </c>
      <c r="H1203" s="57">
        <f t="shared" si="75"/>
        <v>1440</v>
      </c>
      <c r="I1203" s="50">
        <v>2</v>
      </c>
      <c r="J1203" s="57">
        <f t="shared" si="73"/>
        <v>2880</v>
      </c>
      <c r="K1203" s="58">
        <f t="shared" si="74"/>
        <v>3168</v>
      </c>
      <c r="L1203" s="18" t="s">
        <v>3059</v>
      </c>
      <c r="M1203" s="50"/>
      <c r="N1203" s="52" t="s">
        <v>3178</v>
      </c>
    </row>
    <row r="1204" spans="1:14" ht="21.75" hidden="1" customHeight="1" x14ac:dyDescent="0.4">
      <c r="A1204" s="62">
        <v>45366</v>
      </c>
      <c r="B1204" s="32" t="s">
        <v>179</v>
      </c>
      <c r="C1204" s="96" t="s">
        <v>3067</v>
      </c>
      <c r="D1204" s="63"/>
      <c r="E1204" s="50" t="s">
        <v>2491</v>
      </c>
      <c r="F1204" s="57">
        <v>-10000</v>
      </c>
      <c r="G1204" s="76"/>
      <c r="H1204" s="57">
        <f t="shared" si="75"/>
        <v>-10000</v>
      </c>
      <c r="I1204" s="50">
        <v>1</v>
      </c>
      <c r="J1204" s="57">
        <f t="shared" si="73"/>
        <v>-10000</v>
      </c>
      <c r="K1204" s="58">
        <f t="shared" si="74"/>
        <v>-11000</v>
      </c>
      <c r="L1204" s="18" t="s">
        <v>3059</v>
      </c>
      <c r="M1204" s="50"/>
    </row>
    <row r="1205" spans="1:14" ht="21.75" hidden="1" customHeight="1" x14ac:dyDescent="0.4">
      <c r="A1205" s="62">
        <v>45367</v>
      </c>
      <c r="B1205" s="32" t="s">
        <v>3115</v>
      </c>
      <c r="C1205" s="18" t="s">
        <v>22</v>
      </c>
      <c r="D1205" s="63" t="s">
        <v>1496</v>
      </c>
      <c r="E1205" s="50" t="s">
        <v>2422</v>
      </c>
      <c r="F1205" s="57">
        <v>2000</v>
      </c>
      <c r="G1205" s="76"/>
      <c r="H1205" s="57">
        <f t="shared" si="75"/>
        <v>2000</v>
      </c>
      <c r="I1205" s="50">
        <v>1</v>
      </c>
      <c r="J1205" s="57">
        <f t="shared" si="73"/>
        <v>2000</v>
      </c>
      <c r="K1205" s="58">
        <f t="shared" si="74"/>
        <v>2200</v>
      </c>
      <c r="L1205" s="18" t="s">
        <v>25</v>
      </c>
      <c r="M1205" s="50"/>
    </row>
    <row r="1206" spans="1:14" ht="21.75" hidden="1" customHeight="1" x14ac:dyDescent="0.4">
      <c r="A1206" s="62">
        <v>45367</v>
      </c>
      <c r="B1206" s="32" t="s">
        <v>2525</v>
      </c>
      <c r="C1206" s="18" t="s">
        <v>27</v>
      </c>
      <c r="D1206" s="63" t="s">
        <v>28</v>
      </c>
      <c r="E1206" s="50" t="s">
        <v>73</v>
      </c>
      <c r="F1206" s="57">
        <v>2000</v>
      </c>
      <c r="G1206" s="76"/>
      <c r="H1206" s="57">
        <f t="shared" si="75"/>
        <v>2000</v>
      </c>
      <c r="I1206" s="50">
        <v>1</v>
      </c>
      <c r="J1206" s="57">
        <f t="shared" si="73"/>
        <v>2000</v>
      </c>
      <c r="K1206" s="58">
        <f t="shared" si="74"/>
        <v>2200</v>
      </c>
      <c r="L1206" s="18" t="s">
        <v>25</v>
      </c>
      <c r="M1206" s="50"/>
    </row>
    <row r="1207" spans="1:14" ht="21.75" hidden="1" customHeight="1" x14ac:dyDescent="0.4">
      <c r="A1207" s="62">
        <v>45368</v>
      </c>
      <c r="B1207" s="32" t="s">
        <v>3116</v>
      </c>
      <c r="C1207" s="18" t="s">
        <v>2892</v>
      </c>
      <c r="D1207" s="63" t="s">
        <v>23</v>
      </c>
      <c r="E1207" s="50" t="s">
        <v>2883</v>
      </c>
      <c r="F1207" s="57">
        <v>15000</v>
      </c>
      <c r="G1207" s="76"/>
      <c r="H1207" s="57">
        <f t="shared" si="75"/>
        <v>15000</v>
      </c>
      <c r="I1207" s="50">
        <v>1</v>
      </c>
      <c r="J1207" s="57">
        <f t="shared" si="73"/>
        <v>15000</v>
      </c>
      <c r="K1207" s="58">
        <f t="shared" si="74"/>
        <v>16500</v>
      </c>
      <c r="L1207" s="18" t="s">
        <v>25</v>
      </c>
      <c r="M1207" s="50" t="s">
        <v>2515</v>
      </c>
    </row>
    <row r="1208" spans="1:14" ht="21.75" hidden="1" customHeight="1" x14ac:dyDescent="0.4">
      <c r="A1208" s="62">
        <v>45369</v>
      </c>
      <c r="B1208" s="32" t="s">
        <v>3117</v>
      </c>
      <c r="C1208" s="18" t="s">
        <v>22</v>
      </c>
      <c r="D1208" s="63" t="s">
        <v>1496</v>
      </c>
      <c r="E1208" s="50" t="s">
        <v>369</v>
      </c>
      <c r="F1208" s="57">
        <v>3000</v>
      </c>
      <c r="G1208" s="76"/>
      <c r="H1208" s="57">
        <f t="shared" si="75"/>
        <v>3000</v>
      </c>
      <c r="I1208" s="50">
        <v>1</v>
      </c>
      <c r="J1208" s="57">
        <f t="shared" si="73"/>
        <v>3000</v>
      </c>
      <c r="K1208" s="58">
        <f t="shared" si="74"/>
        <v>3300</v>
      </c>
      <c r="L1208" s="18" t="s">
        <v>3059</v>
      </c>
      <c r="M1208" s="50" t="s">
        <v>2515</v>
      </c>
    </row>
    <row r="1209" spans="1:14" ht="21.75" hidden="1" customHeight="1" x14ac:dyDescent="0.4">
      <c r="A1209" s="62">
        <v>45369</v>
      </c>
      <c r="B1209" s="32" t="s">
        <v>3118</v>
      </c>
      <c r="C1209" s="18" t="s">
        <v>3062</v>
      </c>
      <c r="D1209" s="63" t="s">
        <v>3074</v>
      </c>
      <c r="E1209" s="50" t="s">
        <v>3119</v>
      </c>
      <c r="F1209" s="57">
        <v>5500</v>
      </c>
      <c r="G1209" s="76">
        <v>-628</v>
      </c>
      <c r="H1209" s="57">
        <f t="shared" si="75"/>
        <v>4872</v>
      </c>
      <c r="I1209" s="50">
        <v>1</v>
      </c>
      <c r="J1209" s="57">
        <f t="shared" si="73"/>
        <v>4872</v>
      </c>
      <c r="K1209" s="58">
        <f t="shared" si="74"/>
        <v>5359</v>
      </c>
      <c r="L1209" s="18" t="s">
        <v>25</v>
      </c>
      <c r="M1209" s="50"/>
    </row>
    <row r="1210" spans="1:14" ht="21.75" hidden="1" customHeight="1" x14ac:dyDescent="0.4">
      <c r="A1210" s="62">
        <v>45372</v>
      </c>
      <c r="B1210" s="32" t="s">
        <v>3120</v>
      </c>
      <c r="C1210" s="18" t="s">
        <v>3062</v>
      </c>
      <c r="D1210" s="63" t="s">
        <v>332</v>
      </c>
      <c r="E1210" s="50" t="s">
        <v>3121</v>
      </c>
      <c r="F1210" s="57">
        <v>1200</v>
      </c>
      <c r="G1210" s="76">
        <v>-120</v>
      </c>
      <c r="H1210" s="57">
        <f t="shared" si="75"/>
        <v>1080</v>
      </c>
      <c r="I1210" s="50">
        <v>1</v>
      </c>
      <c r="J1210" s="57">
        <f t="shared" si="73"/>
        <v>1080</v>
      </c>
      <c r="K1210" s="58">
        <f t="shared" si="74"/>
        <v>1188</v>
      </c>
      <c r="L1210" s="18" t="s">
        <v>3059</v>
      </c>
      <c r="M1210" s="50"/>
    </row>
    <row r="1211" spans="1:14" ht="42" hidden="1" customHeight="1" x14ac:dyDescent="0.4">
      <c r="A1211" s="62">
        <v>45372</v>
      </c>
      <c r="B1211" s="32" t="s">
        <v>3122</v>
      </c>
      <c r="C1211" s="18" t="s">
        <v>2892</v>
      </c>
      <c r="D1211" s="63" t="s">
        <v>23</v>
      </c>
      <c r="E1211" s="159" t="s">
        <v>3210</v>
      </c>
      <c r="F1211" s="57">
        <v>18000</v>
      </c>
      <c r="G1211" s="76"/>
      <c r="H1211" s="57">
        <f t="shared" si="75"/>
        <v>18000</v>
      </c>
      <c r="I1211" s="50">
        <v>1</v>
      </c>
      <c r="J1211" s="57">
        <f t="shared" si="73"/>
        <v>18000</v>
      </c>
      <c r="K1211" s="58">
        <f t="shared" si="74"/>
        <v>19800</v>
      </c>
      <c r="L1211" s="18" t="s">
        <v>25</v>
      </c>
      <c r="M1211" s="202" t="s">
        <v>3209</v>
      </c>
    </row>
    <row r="1212" spans="1:14" ht="21.75" hidden="1" customHeight="1" x14ac:dyDescent="0.4">
      <c r="A1212" s="62">
        <v>45372</v>
      </c>
      <c r="B1212" s="32" t="s">
        <v>3123</v>
      </c>
      <c r="C1212" s="18" t="s">
        <v>3062</v>
      </c>
      <c r="D1212" s="63" t="s">
        <v>283</v>
      </c>
      <c r="E1212" s="50" t="s">
        <v>3124</v>
      </c>
      <c r="F1212" s="57">
        <v>6540</v>
      </c>
      <c r="G1212" s="76"/>
      <c r="H1212" s="57">
        <f t="shared" si="75"/>
        <v>6540</v>
      </c>
      <c r="I1212" s="50">
        <v>1</v>
      </c>
      <c r="J1212" s="57">
        <f t="shared" si="73"/>
        <v>6540</v>
      </c>
      <c r="K1212" s="58">
        <f t="shared" si="74"/>
        <v>7194</v>
      </c>
      <c r="L1212" s="18" t="s">
        <v>3059</v>
      </c>
      <c r="M1212" s="50"/>
    </row>
    <row r="1213" spans="1:14" ht="21.75" hidden="1" customHeight="1" x14ac:dyDescent="0.4">
      <c r="A1213" s="62">
        <v>45372</v>
      </c>
      <c r="B1213" s="32" t="s">
        <v>3122</v>
      </c>
      <c r="C1213" s="18" t="s">
        <v>3062</v>
      </c>
      <c r="D1213" s="63" t="s">
        <v>328</v>
      </c>
      <c r="E1213" s="50" t="s">
        <v>3125</v>
      </c>
      <c r="F1213" s="57">
        <v>72000</v>
      </c>
      <c r="G1213" s="76">
        <v>-14400</v>
      </c>
      <c r="H1213" s="57">
        <f t="shared" si="75"/>
        <v>57600</v>
      </c>
      <c r="I1213" s="50">
        <v>3</v>
      </c>
      <c r="J1213" s="57">
        <f t="shared" si="73"/>
        <v>172800</v>
      </c>
      <c r="K1213" s="58">
        <f t="shared" si="74"/>
        <v>190080</v>
      </c>
      <c r="L1213" s="18" t="s">
        <v>34</v>
      </c>
      <c r="M1213" s="50"/>
      <c r="N1213" s="52" t="s">
        <v>3178</v>
      </c>
    </row>
    <row r="1214" spans="1:14" ht="21.75" hidden="1" customHeight="1" x14ac:dyDescent="0.4">
      <c r="A1214" s="62">
        <v>45372</v>
      </c>
      <c r="B1214" s="32" t="s">
        <v>3122</v>
      </c>
      <c r="C1214" s="18" t="s">
        <v>3062</v>
      </c>
      <c r="D1214" s="63" t="s">
        <v>328</v>
      </c>
      <c r="E1214" s="50" t="s">
        <v>2488</v>
      </c>
      <c r="F1214" s="57">
        <v>33000</v>
      </c>
      <c r="G1214" s="76">
        <v>-6600</v>
      </c>
      <c r="H1214" s="57">
        <f t="shared" si="75"/>
        <v>26400</v>
      </c>
      <c r="I1214" s="50">
        <v>2</v>
      </c>
      <c r="J1214" s="57">
        <f t="shared" si="73"/>
        <v>52800</v>
      </c>
      <c r="K1214" s="58">
        <f t="shared" si="74"/>
        <v>58080</v>
      </c>
      <c r="L1214" s="18" t="s">
        <v>34</v>
      </c>
      <c r="M1214" s="50"/>
      <c r="N1214" s="52" t="s">
        <v>3178</v>
      </c>
    </row>
    <row r="1215" spans="1:14" ht="21.75" hidden="1" customHeight="1" x14ac:dyDescent="0.4">
      <c r="A1215" s="62">
        <v>45372</v>
      </c>
      <c r="B1215" s="32" t="s">
        <v>3122</v>
      </c>
      <c r="C1215" s="18" t="s">
        <v>3062</v>
      </c>
      <c r="D1215" s="63" t="s">
        <v>3071</v>
      </c>
      <c r="E1215" s="124" t="s">
        <v>3126</v>
      </c>
      <c r="F1215" s="57">
        <v>88000</v>
      </c>
      <c r="G1215" s="76">
        <v>-8800</v>
      </c>
      <c r="H1215" s="57">
        <f t="shared" si="75"/>
        <v>79200</v>
      </c>
      <c r="I1215" s="50">
        <v>1</v>
      </c>
      <c r="J1215" s="57">
        <f t="shared" si="73"/>
        <v>79200</v>
      </c>
      <c r="K1215" s="58">
        <f t="shared" si="74"/>
        <v>87120</v>
      </c>
      <c r="L1215" s="18" t="s">
        <v>34</v>
      </c>
      <c r="M1215" s="50"/>
      <c r="N1215" s="52" t="s">
        <v>3178</v>
      </c>
    </row>
    <row r="1216" spans="1:14" ht="21.75" hidden="1" customHeight="1" x14ac:dyDescent="0.4">
      <c r="A1216" s="62">
        <v>45372</v>
      </c>
      <c r="B1216" s="32" t="s">
        <v>3122</v>
      </c>
      <c r="C1216" s="18" t="s">
        <v>3062</v>
      </c>
      <c r="D1216" s="63" t="s">
        <v>3071</v>
      </c>
      <c r="E1216" s="124" t="s">
        <v>3127</v>
      </c>
      <c r="F1216" s="57">
        <v>55000</v>
      </c>
      <c r="G1216" s="76">
        <v>-2750</v>
      </c>
      <c r="H1216" s="57">
        <f t="shared" si="75"/>
        <v>52250</v>
      </c>
      <c r="I1216" s="50">
        <v>2</v>
      </c>
      <c r="J1216" s="57">
        <f t="shared" si="73"/>
        <v>104500</v>
      </c>
      <c r="K1216" s="58">
        <f t="shared" si="74"/>
        <v>114950</v>
      </c>
      <c r="L1216" s="18" t="s">
        <v>34</v>
      </c>
      <c r="M1216" s="50"/>
      <c r="N1216" s="52" t="s">
        <v>3178</v>
      </c>
    </row>
    <row r="1217" spans="1:14" ht="21.75" hidden="1" customHeight="1" x14ac:dyDescent="0.4">
      <c r="A1217" s="62">
        <v>45372</v>
      </c>
      <c r="B1217" s="32" t="s">
        <v>3122</v>
      </c>
      <c r="C1217" s="18" t="s">
        <v>3062</v>
      </c>
      <c r="D1217" s="63" t="s">
        <v>332</v>
      </c>
      <c r="E1217" s="50" t="s">
        <v>3128</v>
      </c>
      <c r="F1217" s="57">
        <v>19500</v>
      </c>
      <c r="G1217" s="76"/>
      <c r="H1217" s="57">
        <f t="shared" si="75"/>
        <v>19500</v>
      </c>
      <c r="I1217" s="50">
        <v>1</v>
      </c>
      <c r="J1217" s="57">
        <f t="shared" si="73"/>
        <v>19500</v>
      </c>
      <c r="K1217" s="58">
        <f t="shared" si="74"/>
        <v>21450</v>
      </c>
      <c r="L1217" s="18" t="s">
        <v>34</v>
      </c>
      <c r="M1217" s="50"/>
      <c r="N1217" s="52" t="s">
        <v>3178</v>
      </c>
    </row>
    <row r="1218" spans="1:14" ht="21.75" hidden="1" customHeight="1" x14ac:dyDescent="0.4">
      <c r="A1218" s="62">
        <v>45372</v>
      </c>
      <c r="B1218" s="32" t="s">
        <v>3129</v>
      </c>
      <c r="C1218" s="18" t="s">
        <v>3062</v>
      </c>
      <c r="D1218" s="63" t="s">
        <v>332</v>
      </c>
      <c r="E1218" s="50" t="s">
        <v>3130</v>
      </c>
      <c r="F1218" s="57">
        <v>1140</v>
      </c>
      <c r="G1218" s="76"/>
      <c r="H1218" s="57">
        <f t="shared" si="75"/>
        <v>1140</v>
      </c>
      <c r="I1218" s="50">
        <v>10</v>
      </c>
      <c r="J1218" s="57">
        <f t="shared" si="73"/>
        <v>11400</v>
      </c>
      <c r="K1218" s="58">
        <f t="shared" si="74"/>
        <v>12540</v>
      </c>
      <c r="L1218" s="18" t="s">
        <v>34</v>
      </c>
      <c r="M1218" s="50"/>
    </row>
    <row r="1219" spans="1:14" ht="21.75" hidden="1" customHeight="1" x14ac:dyDescent="0.4">
      <c r="A1219" s="62">
        <v>45373</v>
      </c>
      <c r="B1219" s="32" t="s">
        <v>3131</v>
      </c>
      <c r="C1219" s="18" t="s">
        <v>3062</v>
      </c>
      <c r="D1219" s="63" t="s">
        <v>332</v>
      </c>
      <c r="E1219" s="50" t="s">
        <v>3132</v>
      </c>
      <c r="F1219" s="57">
        <v>2400</v>
      </c>
      <c r="G1219" s="76"/>
      <c r="H1219" s="57">
        <f t="shared" si="75"/>
        <v>2400</v>
      </c>
      <c r="I1219" s="50">
        <v>6</v>
      </c>
      <c r="J1219" s="57">
        <f t="shared" si="73"/>
        <v>14400</v>
      </c>
      <c r="K1219" s="58">
        <f t="shared" si="74"/>
        <v>15840</v>
      </c>
      <c r="L1219" s="18" t="s">
        <v>3059</v>
      </c>
      <c r="M1219" s="50"/>
    </row>
    <row r="1220" spans="1:14" ht="21.75" hidden="1" customHeight="1" x14ac:dyDescent="0.4">
      <c r="A1220" s="62">
        <v>45373</v>
      </c>
      <c r="B1220" s="32" t="s">
        <v>3131</v>
      </c>
      <c r="C1220" s="18" t="s">
        <v>3062</v>
      </c>
      <c r="D1220" s="63" t="s">
        <v>3133</v>
      </c>
      <c r="E1220" s="50" t="s">
        <v>2417</v>
      </c>
      <c r="F1220" s="57">
        <v>500</v>
      </c>
      <c r="G1220" s="76"/>
      <c r="H1220" s="57">
        <f t="shared" si="75"/>
        <v>500</v>
      </c>
      <c r="I1220" s="50">
        <v>6</v>
      </c>
      <c r="J1220" s="57">
        <f t="shared" si="73"/>
        <v>3000</v>
      </c>
      <c r="K1220" s="58">
        <f t="shared" si="74"/>
        <v>3300</v>
      </c>
      <c r="L1220" s="18" t="s">
        <v>3059</v>
      </c>
      <c r="M1220" s="50"/>
    </row>
    <row r="1221" spans="1:14" ht="21.75" hidden="1" customHeight="1" x14ac:dyDescent="0.4">
      <c r="A1221" s="62">
        <v>45373</v>
      </c>
      <c r="B1221" s="32" t="s">
        <v>3134</v>
      </c>
      <c r="C1221" s="18" t="s">
        <v>3062</v>
      </c>
      <c r="D1221" s="63" t="s">
        <v>3074</v>
      </c>
      <c r="E1221" s="50" t="s">
        <v>3135</v>
      </c>
      <c r="F1221" s="57">
        <v>4000</v>
      </c>
      <c r="G1221" s="76">
        <v>-400</v>
      </c>
      <c r="H1221" s="57">
        <f t="shared" si="75"/>
        <v>3600</v>
      </c>
      <c r="I1221" s="50">
        <v>1</v>
      </c>
      <c r="J1221" s="57">
        <f t="shared" si="73"/>
        <v>3600</v>
      </c>
      <c r="K1221" s="58">
        <f t="shared" si="74"/>
        <v>3960</v>
      </c>
      <c r="L1221" s="18" t="s">
        <v>3059</v>
      </c>
      <c r="M1221" s="50"/>
    </row>
    <row r="1222" spans="1:14" ht="21.75" hidden="1" customHeight="1" x14ac:dyDescent="0.4">
      <c r="A1222" s="62">
        <v>45373</v>
      </c>
      <c r="B1222" s="32" t="s">
        <v>3136</v>
      </c>
      <c r="C1222" s="18" t="s">
        <v>3137</v>
      </c>
      <c r="D1222" s="63" t="s">
        <v>292</v>
      </c>
      <c r="E1222" s="50" t="s">
        <v>3138</v>
      </c>
      <c r="F1222" s="57">
        <v>5700</v>
      </c>
      <c r="G1222" s="76"/>
      <c r="H1222" s="57">
        <f t="shared" si="75"/>
        <v>5700</v>
      </c>
      <c r="I1222" s="50">
        <v>1</v>
      </c>
      <c r="J1222" s="57">
        <f t="shared" si="73"/>
        <v>5700</v>
      </c>
      <c r="K1222" s="58">
        <f t="shared" si="74"/>
        <v>6270</v>
      </c>
      <c r="L1222" s="18" t="s">
        <v>3139</v>
      </c>
      <c r="M1222" s="50"/>
    </row>
    <row r="1223" spans="1:14" ht="21.75" hidden="1" customHeight="1" x14ac:dyDescent="0.4">
      <c r="A1223" s="62">
        <v>45374</v>
      </c>
      <c r="B1223" s="32" t="s">
        <v>3140</v>
      </c>
      <c r="C1223" s="18" t="s">
        <v>22</v>
      </c>
      <c r="D1223" s="63" t="s">
        <v>1496</v>
      </c>
      <c r="E1223" s="50" t="s">
        <v>369</v>
      </c>
      <c r="F1223" s="57">
        <v>3000</v>
      </c>
      <c r="G1223" s="76"/>
      <c r="H1223" s="57">
        <f t="shared" si="75"/>
        <v>3000</v>
      </c>
      <c r="I1223" s="50">
        <v>1</v>
      </c>
      <c r="J1223" s="57">
        <f t="shared" si="73"/>
        <v>3000</v>
      </c>
      <c r="K1223" s="58">
        <f t="shared" si="74"/>
        <v>3300</v>
      </c>
      <c r="L1223" s="18" t="s">
        <v>3139</v>
      </c>
      <c r="M1223" s="50"/>
    </row>
    <row r="1224" spans="1:14" ht="21.75" hidden="1" customHeight="1" x14ac:dyDescent="0.4">
      <c r="A1224" s="62">
        <v>45374</v>
      </c>
      <c r="B1224" s="32" t="s">
        <v>3141</v>
      </c>
      <c r="C1224" s="18" t="s">
        <v>22</v>
      </c>
      <c r="D1224" s="63" t="s">
        <v>1496</v>
      </c>
      <c r="E1224" s="50" t="s">
        <v>955</v>
      </c>
      <c r="F1224" s="57">
        <v>7500</v>
      </c>
      <c r="G1224" s="76"/>
      <c r="H1224" s="57">
        <f t="shared" si="75"/>
        <v>7500</v>
      </c>
      <c r="I1224" s="50">
        <v>1</v>
      </c>
      <c r="J1224" s="57">
        <f t="shared" si="73"/>
        <v>7500</v>
      </c>
      <c r="K1224" s="58">
        <f t="shared" si="74"/>
        <v>8250</v>
      </c>
      <c r="L1224" s="18" t="s">
        <v>25</v>
      </c>
      <c r="M1224" s="50" t="s">
        <v>2515</v>
      </c>
    </row>
    <row r="1225" spans="1:14" ht="21.75" hidden="1" customHeight="1" x14ac:dyDescent="0.4">
      <c r="A1225" s="62">
        <v>45375</v>
      </c>
      <c r="B1225" s="32" t="s">
        <v>3142</v>
      </c>
      <c r="C1225" s="18" t="s">
        <v>17</v>
      </c>
      <c r="D1225" s="63" t="s">
        <v>3143</v>
      </c>
      <c r="E1225" s="50" t="s">
        <v>3144</v>
      </c>
      <c r="F1225" s="57">
        <v>95000</v>
      </c>
      <c r="G1225" s="76">
        <v>-14250</v>
      </c>
      <c r="H1225" s="57">
        <f t="shared" si="75"/>
        <v>80750</v>
      </c>
      <c r="I1225" s="50">
        <v>1</v>
      </c>
      <c r="J1225" s="57">
        <f t="shared" si="73"/>
        <v>80750</v>
      </c>
      <c r="K1225" s="58">
        <f t="shared" si="74"/>
        <v>88825</v>
      </c>
      <c r="L1225" s="18" t="s">
        <v>34</v>
      </c>
      <c r="M1225" s="50"/>
      <c r="N1225" s="52" t="s">
        <v>3211</v>
      </c>
    </row>
    <row r="1226" spans="1:14" ht="21.75" hidden="1" customHeight="1" x14ac:dyDescent="0.4">
      <c r="A1226" s="62">
        <v>45375</v>
      </c>
      <c r="B1226" s="32" t="s">
        <v>3145</v>
      </c>
      <c r="C1226" s="18" t="s">
        <v>2892</v>
      </c>
      <c r="D1226" s="63" t="s">
        <v>23</v>
      </c>
      <c r="E1226" s="50" t="s">
        <v>2883</v>
      </c>
      <c r="F1226" s="57">
        <v>15000</v>
      </c>
      <c r="G1226" s="76"/>
      <c r="H1226" s="57">
        <f t="shared" si="75"/>
        <v>15000</v>
      </c>
      <c r="I1226" s="50">
        <v>1</v>
      </c>
      <c r="J1226" s="57">
        <f t="shared" si="73"/>
        <v>15000</v>
      </c>
      <c r="K1226" s="58">
        <f t="shared" si="74"/>
        <v>16500</v>
      </c>
      <c r="L1226" s="18" t="s">
        <v>25</v>
      </c>
      <c r="M1226" s="50"/>
    </row>
    <row r="1227" spans="1:14" ht="21.75" hidden="1" customHeight="1" x14ac:dyDescent="0.4">
      <c r="A1227" s="62">
        <v>45375</v>
      </c>
      <c r="B1227" s="32" t="s">
        <v>2986</v>
      </c>
      <c r="C1227" s="18" t="s">
        <v>3137</v>
      </c>
      <c r="D1227" s="63" t="s">
        <v>426</v>
      </c>
      <c r="E1227" s="50" t="s">
        <v>1576</v>
      </c>
      <c r="F1227" s="57">
        <v>1700</v>
      </c>
      <c r="G1227" s="76">
        <v>-170</v>
      </c>
      <c r="H1227" s="57">
        <f t="shared" si="75"/>
        <v>1530</v>
      </c>
      <c r="I1227" s="50">
        <v>1</v>
      </c>
      <c r="J1227" s="57">
        <f t="shared" si="73"/>
        <v>1530</v>
      </c>
      <c r="K1227" s="58">
        <f t="shared" si="74"/>
        <v>1683</v>
      </c>
      <c r="L1227" s="18" t="s">
        <v>3139</v>
      </c>
      <c r="M1227" s="50"/>
    </row>
    <row r="1228" spans="1:14" ht="21.75" hidden="1" customHeight="1" x14ac:dyDescent="0.4">
      <c r="A1228" s="62">
        <v>45375</v>
      </c>
      <c r="B1228" s="32" t="s">
        <v>3145</v>
      </c>
      <c r="C1228" s="18" t="s">
        <v>3137</v>
      </c>
      <c r="D1228" s="63" t="s">
        <v>328</v>
      </c>
      <c r="E1228" s="50" t="s">
        <v>3146</v>
      </c>
      <c r="F1228" s="57">
        <v>55000</v>
      </c>
      <c r="G1228" s="76">
        <v>-11000</v>
      </c>
      <c r="H1228" s="57">
        <f t="shared" si="75"/>
        <v>44000</v>
      </c>
      <c r="I1228" s="50">
        <v>1</v>
      </c>
      <c r="J1228" s="57">
        <f t="shared" si="73"/>
        <v>44000</v>
      </c>
      <c r="K1228" s="58">
        <f t="shared" si="74"/>
        <v>48400</v>
      </c>
      <c r="L1228" s="18" t="s">
        <v>34</v>
      </c>
      <c r="M1228" s="50"/>
      <c r="N1228" s="52" t="s">
        <v>3176</v>
      </c>
    </row>
    <row r="1229" spans="1:14" ht="21.75" hidden="1" customHeight="1" x14ac:dyDescent="0.4">
      <c r="A1229" s="62">
        <v>45375</v>
      </c>
      <c r="B1229" s="32" t="s">
        <v>3145</v>
      </c>
      <c r="C1229" s="18" t="s">
        <v>3137</v>
      </c>
      <c r="D1229" s="63" t="s">
        <v>3143</v>
      </c>
      <c r="E1229" s="50" t="s">
        <v>3147</v>
      </c>
      <c r="F1229" s="57">
        <v>85000</v>
      </c>
      <c r="G1229" s="76">
        <v>-8500</v>
      </c>
      <c r="H1229" s="57">
        <f t="shared" si="75"/>
        <v>76500</v>
      </c>
      <c r="I1229" s="50">
        <v>1</v>
      </c>
      <c r="J1229" s="57">
        <f t="shared" si="73"/>
        <v>76500</v>
      </c>
      <c r="K1229" s="58">
        <f t="shared" si="74"/>
        <v>84150</v>
      </c>
      <c r="L1229" s="18" t="s">
        <v>34</v>
      </c>
      <c r="M1229" s="50"/>
      <c r="N1229" s="52" t="s">
        <v>3176</v>
      </c>
    </row>
    <row r="1230" spans="1:14" ht="21.75" hidden="1" customHeight="1" x14ac:dyDescent="0.4">
      <c r="A1230" s="62">
        <v>45375</v>
      </c>
      <c r="B1230" s="32" t="s">
        <v>3145</v>
      </c>
      <c r="C1230" s="18" t="s">
        <v>3137</v>
      </c>
      <c r="D1230" s="63" t="s">
        <v>332</v>
      </c>
      <c r="E1230" s="50" t="s">
        <v>2712</v>
      </c>
      <c r="F1230" s="57">
        <v>1090</v>
      </c>
      <c r="G1230" s="76"/>
      <c r="H1230" s="57">
        <f t="shared" si="75"/>
        <v>1090</v>
      </c>
      <c r="I1230" s="50">
        <v>1</v>
      </c>
      <c r="J1230" s="57">
        <f t="shared" si="73"/>
        <v>1090</v>
      </c>
      <c r="K1230" s="58">
        <f t="shared" si="74"/>
        <v>1199</v>
      </c>
      <c r="L1230" s="18" t="s">
        <v>34</v>
      </c>
      <c r="M1230" s="50"/>
      <c r="N1230" s="52" t="s">
        <v>3176</v>
      </c>
    </row>
    <row r="1231" spans="1:14" ht="21.75" hidden="1" customHeight="1" x14ac:dyDescent="0.4">
      <c r="A1231" s="62">
        <v>45376</v>
      </c>
      <c r="B1231" s="32" t="s">
        <v>3148</v>
      </c>
      <c r="C1231" s="18" t="s">
        <v>2892</v>
      </c>
      <c r="D1231" s="63" t="s">
        <v>23</v>
      </c>
      <c r="E1231" s="50" t="s">
        <v>3149</v>
      </c>
      <c r="F1231" s="57">
        <v>10000</v>
      </c>
      <c r="G1231" s="76"/>
      <c r="H1231" s="57">
        <f t="shared" si="75"/>
        <v>10000</v>
      </c>
      <c r="I1231" s="50">
        <v>1</v>
      </c>
      <c r="J1231" s="57">
        <f t="shared" si="73"/>
        <v>10000</v>
      </c>
      <c r="K1231" s="58">
        <f t="shared" si="74"/>
        <v>11000</v>
      </c>
      <c r="L1231" s="18" t="s">
        <v>3139</v>
      </c>
      <c r="M1231" s="50"/>
    </row>
    <row r="1232" spans="1:14" ht="21.75" hidden="1" customHeight="1" x14ac:dyDescent="0.4">
      <c r="A1232" s="62">
        <v>45376</v>
      </c>
      <c r="B1232" s="32" t="s">
        <v>3150</v>
      </c>
      <c r="C1232" s="18" t="s">
        <v>3137</v>
      </c>
      <c r="D1232" s="63" t="s">
        <v>292</v>
      </c>
      <c r="E1232" s="50" t="s">
        <v>3151</v>
      </c>
      <c r="F1232" s="57">
        <v>5500</v>
      </c>
      <c r="G1232" s="76"/>
      <c r="H1232" s="57">
        <f t="shared" si="75"/>
        <v>5500</v>
      </c>
      <c r="I1232" s="50">
        <v>1</v>
      </c>
      <c r="J1232" s="57">
        <f t="shared" si="73"/>
        <v>5500</v>
      </c>
      <c r="K1232" s="58">
        <f t="shared" si="74"/>
        <v>6050</v>
      </c>
      <c r="L1232" s="18" t="s">
        <v>25</v>
      </c>
      <c r="M1232" s="50"/>
    </row>
    <row r="1233" spans="1:14" ht="21.75" hidden="1" customHeight="1" x14ac:dyDescent="0.4">
      <c r="A1233" s="62">
        <v>45376</v>
      </c>
      <c r="B1233" s="32" t="s">
        <v>2423</v>
      </c>
      <c r="C1233" s="18" t="s">
        <v>3137</v>
      </c>
      <c r="D1233" s="63" t="s">
        <v>330</v>
      </c>
      <c r="E1233" s="50" t="s">
        <v>3152</v>
      </c>
      <c r="F1233" s="57">
        <v>5000</v>
      </c>
      <c r="G1233" s="76"/>
      <c r="H1233" s="57">
        <f t="shared" si="75"/>
        <v>5000</v>
      </c>
      <c r="I1233" s="50">
        <v>1</v>
      </c>
      <c r="J1233" s="57">
        <f t="shared" si="73"/>
        <v>5000</v>
      </c>
      <c r="K1233" s="58">
        <f t="shared" si="74"/>
        <v>5500</v>
      </c>
      <c r="L1233" s="18" t="s">
        <v>25</v>
      </c>
      <c r="M1233" s="50"/>
    </row>
    <row r="1234" spans="1:14" ht="21.75" hidden="1" customHeight="1" x14ac:dyDescent="0.4">
      <c r="A1234" s="62">
        <v>45377</v>
      </c>
      <c r="B1234" s="32" t="s">
        <v>3153</v>
      </c>
      <c r="C1234" s="18" t="s">
        <v>2892</v>
      </c>
      <c r="D1234" s="63" t="s">
        <v>23</v>
      </c>
      <c r="E1234" s="50" t="s">
        <v>2883</v>
      </c>
      <c r="F1234" s="57">
        <v>15000</v>
      </c>
      <c r="G1234" s="76"/>
      <c r="H1234" s="57">
        <f t="shared" si="75"/>
        <v>15000</v>
      </c>
      <c r="I1234" s="50">
        <v>1</v>
      </c>
      <c r="J1234" s="57">
        <f t="shared" si="73"/>
        <v>15000</v>
      </c>
      <c r="K1234" s="58">
        <f t="shared" si="74"/>
        <v>16500</v>
      </c>
      <c r="L1234" s="18" t="s">
        <v>25</v>
      </c>
      <c r="M1234" s="50" t="s">
        <v>2515</v>
      </c>
    </row>
    <row r="1235" spans="1:14" ht="21.75" hidden="1" customHeight="1" x14ac:dyDescent="0.4">
      <c r="A1235" s="62">
        <v>45377</v>
      </c>
      <c r="B1235" s="32" t="s">
        <v>3153</v>
      </c>
      <c r="C1235" s="18" t="s">
        <v>3137</v>
      </c>
      <c r="D1235" s="63" t="s">
        <v>328</v>
      </c>
      <c r="E1235" s="50" t="s">
        <v>3154</v>
      </c>
      <c r="F1235" s="57">
        <v>50000</v>
      </c>
      <c r="G1235" s="76">
        <v>-10000</v>
      </c>
      <c r="H1235" s="57">
        <f t="shared" si="75"/>
        <v>40000</v>
      </c>
      <c r="I1235" s="50">
        <v>1</v>
      </c>
      <c r="J1235" s="57">
        <f t="shared" si="73"/>
        <v>40000</v>
      </c>
      <c r="K1235" s="58">
        <f t="shared" si="74"/>
        <v>44000</v>
      </c>
      <c r="L1235" s="18" t="s">
        <v>34</v>
      </c>
      <c r="M1235" s="50"/>
      <c r="N1235" s="52" t="s">
        <v>3176</v>
      </c>
    </row>
    <row r="1236" spans="1:14" ht="21.75" hidden="1" customHeight="1" x14ac:dyDescent="0.4">
      <c r="A1236" s="62">
        <v>45377</v>
      </c>
      <c r="B1236" s="32" t="s">
        <v>3153</v>
      </c>
      <c r="C1236" s="18" t="s">
        <v>3137</v>
      </c>
      <c r="D1236" s="63" t="s">
        <v>332</v>
      </c>
      <c r="E1236" s="50" t="s">
        <v>3155</v>
      </c>
      <c r="F1236" s="57">
        <v>2500</v>
      </c>
      <c r="G1236" s="76"/>
      <c r="H1236" s="57">
        <f t="shared" si="75"/>
        <v>2500</v>
      </c>
      <c r="I1236" s="50">
        <v>1</v>
      </c>
      <c r="J1236" s="57">
        <f t="shared" si="73"/>
        <v>2500</v>
      </c>
      <c r="K1236" s="58">
        <f t="shared" si="74"/>
        <v>2750</v>
      </c>
      <c r="L1236" s="18" t="s">
        <v>34</v>
      </c>
      <c r="M1236" s="50"/>
      <c r="N1236" s="52" t="s">
        <v>3176</v>
      </c>
    </row>
    <row r="1237" spans="1:14" ht="21.75" hidden="1" customHeight="1" x14ac:dyDescent="0.4">
      <c r="A1237" s="62">
        <v>45377</v>
      </c>
      <c r="B1237" s="32" t="s">
        <v>3156</v>
      </c>
      <c r="C1237" s="18" t="s">
        <v>3137</v>
      </c>
      <c r="D1237" s="63" t="s">
        <v>3143</v>
      </c>
      <c r="E1237" s="124" t="s">
        <v>3157</v>
      </c>
      <c r="F1237" s="57">
        <v>88000</v>
      </c>
      <c r="G1237" s="76">
        <v>-13200</v>
      </c>
      <c r="H1237" s="57">
        <f t="shared" si="75"/>
        <v>74800</v>
      </c>
      <c r="I1237" s="50">
        <v>1</v>
      </c>
      <c r="J1237" s="57">
        <f t="shared" si="73"/>
        <v>74800</v>
      </c>
      <c r="K1237" s="58">
        <f t="shared" si="74"/>
        <v>82280</v>
      </c>
      <c r="L1237" s="18" t="s">
        <v>34</v>
      </c>
      <c r="M1237" s="50"/>
      <c r="N1237" s="52" t="s">
        <v>1557</v>
      </c>
    </row>
    <row r="1238" spans="1:14" ht="21.75" hidden="1" customHeight="1" x14ac:dyDescent="0.4">
      <c r="A1238" s="62">
        <v>45378</v>
      </c>
      <c r="B1238" s="32" t="s">
        <v>3159</v>
      </c>
      <c r="C1238" s="18" t="s">
        <v>2892</v>
      </c>
      <c r="D1238" s="63" t="s">
        <v>23</v>
      </c>
      <c r="E1238" s="50" t="s">
        <v>3158</v>
      </c>
      <c r="F1238" s="57">
        <v>20000</v>
      </c>
      <c r="G1238" s="76"/>
      <c r="H1238" s="57">
        <f t="shared" si="75"/>
        <v>20000</v>
      </c>
      <c r="I1238" s="50">
        <v>1</v>
      </c>
      <c r="J1238" s="57">
        <f t="shared" si="73"/>
        <v>20000</v>
      </c>
      <c r="K1238" s="58">
        <f t="shared" si="74"/>
        <v>22000</v>
      </c>
      <c r="L1238" s="18" t="s">
        <v>3139</v>
      </c>
      <c r="M1238" s="50" t="s">
        <v>2515</v>
      </c>
    </row>
    <row r="1239" spans="1:14" ht="21.75" hidden="1" customHeight="1" x14ac:dyDescent="0.4">
      <c r="A1239" s="62">
        <v>45378</v>
      </c>
      <c r="B1239" s="32" t="s">
        <v>171</v>
      </c>
      <c r="C1239" s="18" t="s">
        <v>3137</v>
      </c>
      <c r="D1239" s="63" t="s">
        <v>332</v>
      </c>
      <c r="E1239" s="50" t="s">
        <v>3160</v>
      </c>
      <c r="F1239" s="57">
        <v>1200</v>
      </c>
      <c r="G1239" s="76">
        <v>-120</v>
      </c>
      <c r="H1239" s="57">
        <f t="shared" si="75"/>
        <v>1080</v>
      </c>
      <c r="I1239" s="50">
        <v>1</v>
      </c>
      <c r="J1239" s="57">
        <f t="shared" si="73"/>
        <v>1080</v>
      </c>
      <c r="K1239" s="58">
        <f t="shared" si="74"/>
        <v>1188</v>
      </c>
      <c r="L1239" s="18" t="s">
        <v>25</v>
      </c>
      <c r="M1239" s="50"/>
    </row>
    <row r="1240" spans="1:14" ht="21.75" hidden="1" customHeight="1" x14ac:dyDescent="0.4">
      <c r="A1240" s="62">
        <v>45378</v>
      </c>
      <c r="B1240" s="32" t="s">
        <v>171</v>
      </c>
      <c r="C1240" s="18" t="s">
        <v>3137</v>
      </c>
      <c r="D1240" s="63" t="s">
        <v>332</v>
      </c>
      <c r="E1240" s="50" t="s">
        <v>3161</v>
      </c>
      <c r="F1240" s="57">
        <v>1600</v>
      </c>
      <c r="G1240" s="76">
        <v>-160</v>
      </c>
      <c r="H1240" s="57">
        <f t="shared" si="75"/>
        <v>1440</v>
      </c>
      <c r="I1240" s="50">
        <v>1</v>
      </c>
      <c r="J1240" s="57">
        <f t="shared" si="73"/>
        <v>1440</v>
      </c>
      <c r="K1240" s="58">
        <f t="shared" si="74"/>
        <v>1584</v>
      </c>
      <c r="L1240" s="18" t="s">
        <v>25</v>
      </c>
      <c r="M1240" s="50"/>
    </row>
    <row r="1241" spans="1:14" ht="21.75" hidden="1" customHeight="1" x14ac:dyDescent="0.4">
      <c r="A1241" s="62">
        <v>45378</v>
      </c>
      <c r="B1241" s="32" t="s">
        <v>148</v>
      </c>
      <c r="C1241" s="18" t="s">
        <v>27</v>
      </c>
      <c r="D1241" s="63" t="s">
        <v>28</v>
      </c>
      <c r="E1241" s="50" t="s">
        <v>1897</v>
      </c>
      <c r="F1241" s="57">
        <v>17500</v>
      </c>
      <c r="G1241" s="76"/>
      <c r="H1241" s="57">
        <f t="shared" si="75"/>
        <v>17500</v>
      </c>
      <c r="I1241" s="50">
        <v>1</v>
      </c>
      <c r="J1241" s="57">
        <f t="shared" si="73"/>
        <v>17500</v>
      </c>
      <c r="K1241" s="58">
        <f t="shared" si="74"/>
        <v>19250</v>
      </c>
      <c r="L1241" s="18" t="s">
        <v>3139</v>
      </c>
      <c r="M1241" s="50"/>
    </row>
    <row r="1242" spans="1:14" ht="21.75" hidden="1" customHeight="1" x14ac:dyDescent="0.4">
      <c r="A1242" s="62">
        <v>45378</v>
      </c>
      <c r="B1242" s="32" t="s">
        <v>539</v>
      </c>
      <c r="C1242" s="18" t="s">
        <v>3137</v>
      </c>
      <c r="D1242" s="63" t="s">
        <v>328</v>
      </c>
      <c r="E1242" s="50" t="s">
        <v>3162</v>
      </c>
      <c r="F1242" s="57">
        <v>48000</v>
      </c>
      <c r="G1242" s="76">
        <v>-4800</v>
      </c>
      <c r="H1242" s="57">
        <f t="shared" si="75"/>
        <v>43200</v>
      </c>
      <c r="I1242" s="50">
        <v>1</v>
      </c>
      <c r="J1242" s="57">
        <f t="shared" ref="J1242:J1307" si="76">SUM(H1242*I1242)</f>
        <v>43200</v>
      </c>
      <c r="K1242" s="58">
        <f t="shared" ref="K1242:K1307" si="77">ROUNDDOWN(J1242*1.1,0)</f>
        <v>47520</v>
      </c>
      <c r="L1242" s="18" t="s">
        <v>34</v>
      </c>
      <c r="M1242" s="50"/>
      <c r="N1242" s="52" t="s">
        <v>3178</v>
      </c>
    </row>
    <row r="1243" spans="1:14" ht="21.75" hidden="1" customHeight="1" x14ac:dyDescent="0.4">
      <c r="A1243" s="62">
        <v>45378</v>
      </c>
      <c r="B1243" s="32" t="s">
        <v>539</v>
      </c>
      <c r="C1243" s="18" t="s">
        <v>3137</v>
      </c>
      <c r="D1243" s="63" t="s">
        <v>332</v>
      </c>
      <c r="E1243" s="50" t="s">
        <v>3163</v>
      </c>
      <c r="F1243" s="57">
        <v>1500</v>
      </c>
      <c r="G1243" s="76">
        <v>-150</v>
      </c>
      <c r="H1243" s="57">
        <f t="shared" si="75"/>
        <v>1350</v>
      </c>
      <c r="I1243" s="50">
        <v>12</v>
      </c>
      <c r="J1243" s="57">
        <f t="shared" si="76"/>
        <v>16200</v>
      </c>
      <c r="K1243" s="58">
        <f t="shared" si="77"/>
        <v>17820</v>
      </c>
      <c r="L1243" s="18" t="s">
        <v>34</v>
      </c>
      <c r="M1243" s="50"/>
      <c r="N1243" s="52" t="s">
        <v>3178</v>
      </c>
    </row>
    <row r="1244" spans="1:14" ht="21.75" hidden="1" customHeight="1" x14ac:dyDescent="0.4">
      <c r="A1244" s="62">
        <v>45378</v>
      </c>
      <c r="B1244" s="32" t="s">
        <v>3148</v>
      </c>
      <c r="C1244" s="18" t="s">
        <v>3137</v>
      </c>
      <c r="D1244" s="63" t="s">
        <v>328</v>
      </c>
      <c r="E1244" s="50" t="s">
        <v>3164</v>
      </c>
      <c r="F1244" s="57">
        <v>64000</v>
      </c>
      <c r="G1244" s="76">
        <v>-19200</v>
      </c>
      <c r="H1244" s="57">
        <f t="shared" si="75"/>
        <v>44800</v>
      </c>
      <c r="I1244" s="50">
        <v>1</v>
      </c>
      <c r="J1244" s="57">
        <f t="shared" si="76"/>
        <v>44800</v>
      </c>
      <c r="K1244" s="58">
        <f t="shared" si="77"/>
        <v>49280</v>
      </c>
      <c r="L1244" s="18" t="s">
        <v>3139</v>
      </c>
      <c r="M1244" s="50"/>
      <c r="N1244" s="52" t="s">
        <v>3176</v>
      </c>
    </row>
    <row r="1245" spans="1:14" ht="21.75" hidden="1" customHeight="1" x14ac:dyDescent="0.4">
      <c r="A1245" s="62">
        <v>45378</v>
      </c>
      <c r="B1245" s="32" t="s">
        <v>3148</v>
      </c>
      <c r="C1245" s="18" t="s">
        <v>3137</v>
      </c>
      <c r="D1245" s="63" t="s">
        <v>3143</v>
      </c>
      <c r="E1245" s="106" t="s">
        <v>3165</v>
      </c>
      <c r="F1245" s="57">
        <v>88000</v>
      </c>
      <c r="G1245" s="76">
        <v>-13200</v>
      </c>
      <c r="H1245" s="57">
        <f t="shared" si="75"/>
        <v>74800</v>
      </c>
      <c r="I1245" s="50">
        <v>1</v>
      </c>
      <c r="J1245" s="57">
        <f t="shared" si="76"/>
        <v>74800</v>
      </c>
      <c r="K1245" s="58">
        <f t="shared" si="77"/>
        <v>82280</v>
      </c>
      <c r="L1245" s="18" t="s">
        <v>3139</v>
      </c>
      <c r="M1245" s="50"/>
      <c r="N1245" s="52" t="s">
        <v>3176</v>
      </c>
    </row>
    <row r="1246" spans="1:14" ht="21.75" hidden="1" customHeight="1" x14ac:dyDescent="0.4">
      <c r="A1246" s="62">
        <v>45379</v>
      </c>
      <c r="B1246" s="32" t="s">
        <v>2332</v>
      </c>
      <c r="C1246" s="18" t="s">
        <v>27</v>
      </c>
      <c r="D1246" s="63" t="s">
        <v>28</v>
      </c>
      <c r="E1246" s="50" t="s">
        <v>1897</v>
      </c>
      <c r="F1246" s="57">
        <v>17500</v>
      </c>
      <c r="G1246" s="76"/>
      <c r="H1246" s="57">
        <f t="shared" si="75"/>
        <v>17500</v>
      </c>
      <c r="I1246" s="50">
        <v>1</v>
      </c>
      <c r="J1246" s="57">
        <f t="shared" si="76"/>
        <v>17500</v>
      </c>
      <c r="K1246" s="58">
        <f t="shared" si="77"/>
        <v>19250</v>
      </c>
      <c r="L1246" s="18" t="s">
        <v>25</v>
      </c>
      <c r="M1246" s="50"/>
    </row>
    <row r="1247" spans="1:14" ht="21.75" hidden="1" customHeight="1" x14ac:dyDescent="0.4">
      <c r="A1247" s="62">
        <v>45379</v>
      </c>
      <c r="B1247" s="32" t="s">
        <v>2972</v>
      </c>
      <c r="C1247" s="18" t="s">
        <v>27</v>
      </c>
      <c r="D1247" s="63" t="s">
        <v>28</v>
      </c>
      <c r="E1247" s="50" t="s">
        <v>73</v>
      </c>
      <c r="F1247" s="57">
        <v>2000</v>
      </c>
      <c r="G1247" s="76"/>
      <c r="H1247" s="57">
        <f t="shared" si="75"/>
        <v>2000</v>
      </c>
      <c r="I1247" s="50">
        <v>1</v>
      </c>
      <c r="J1247" s="57">
        <f t="shared" si="76"/>
        <v>2000</v>
      </c>
      <c r="K1247" s="58">
        <f t="shared" si="77"/>
        <v>2200</v>
      </c>
      <c r="L1247" s="18" t="s">
        <v>3139</v>
      </c>
      <c r="M1247" s="50"/>
    </row>
    <row r="1248" spans="1:14" ht="21.75" hidden="1" customHeight="1" x14ac:dyDescent="0.4">
      <c r="A1248" s="62">
        <v>45379</v>
      </c>
      <c r="B1248" s="32" t="s">
        <v>2363</v>
      </c>
      <c r="C1248" s="18" t="s">
        <v>27</v>
      </c>
      <c r="D1248" s="63" t="s">
        <v>28</v>
      </c>
      <c r="E1248" s="50" t="s">
        <v>1897</v>
      </c>
      <c r="F1248" s="57">
        <v>17500</v>
      </c>
      <c r="G1248" s="76"/>
      <c r="H1248" s="57">
        <f t="shared" si="75"/>
        <v>17500</v>
      </c>
      <c r="I1248" s="50">
        <v>1</v>
      </c>
      <c r="J1248" s="57">
        <f t="shared" si="76"/>
        <v>17500</v>
      </c>
      <c r="K1248" s="58">
        <f t="shared" si="77"/>
        <v>19250</v>
      </c>
      <c r="L1248" s="18" t="s">
        <v>3139</v>
      </c>
      <c r="M1248" s="50"/>
    </row>
    <row r="1249" spans="1:14" ht="21.75" hidden="1" customHeight="1" x14ac:dyDescent="0.4">
      <c r="A1249" s="62">
        <v>45380</v>
      </c>
      <c r="B1249" s="32" t="s">
        <v>3166</v>
      </c>
      <c r="C1249" s="18" t="s">
        <v>3167</v>
      </c>
      <c r="D1249" s="63" t="s">
        <v>1442</v>
      </c>
      <c r="E1249" s="50" t="s">
        <v>3168</v>
      </c>
      <c r="F1249" s="57">
        <v>26000</v>
      </c>
      <c r="G1249" s="76">
        <v>-2600</v>
      </c>
      <c r="H1249" s="57">
        <f t="shared" si="75"/>
        <v>23400</v>
      </c>
      <c r="I1249" s="50">
        <v>1</v>
      </c>
      <c r="J1249" s="57">
        <f t="shared" si="76"/>
        <v>23400</v>
      </c>
      <c r="K1249" s="58">
        <f t="shared" si="77"/>
        <v>25740</v>
      </c>
      <c r="L1249" s="18" t="s">
        <v>34</v>
      </c>
      <c r="M1249" s="50"/>
      <c r="N1249" s="52" t="s">
        <v>3178</v>
      </c>
    </row>
    <row r="1250" spans="1:14" ht="21.75" hidden="1" customHeight="1" x14ac:dyDescent="0.4">
      <c r="A1250" s="62">
        <v>45380</v>
      </c>
      <c r="B1250" s="32" t="s">
        <v>3166</v>
      </c>
      <c r="C1250" s="18" t="s">
        <v>3167</v>
      </c>
      <c r="D1250" s="63" t="s">
        <v>328</v>
      </c>
      <c r="E1250" s="50" t="s">
        <v>3169</v>
      </c>
      <c r="F1250" s="57">
        <v>5700</v>
      </c>
      <c r="G1250" s="76">
        <v>-570</v>
      </c>
      <c r="H1250" s="57">
        <f t="shared" si="75"/>
        <v>5130</v>
      </c>
      <c r="I1250" s="50">
        <v>1</v>
      </c>
      <c r="J1250" s="57">
        <f t="shared" si="76"/>
        <v>5130</v>
      </c>
      <c r="K1250" s="58">
        <f t="shared" si="77"/>
        <v>5643</v>
      </c>
      <c r="L1250" s="18" t="s">
        <v>34</v>
      </c>
      <c r="M1250" s="50"/>
      <c r="N1250" s="52" t="s">
        <v>3178</v>
      </c>
    </row>
    <row r="1251" spans="1:14" ht="21.75" hidden="1" customHeight="1" x14ac:dyDescent="0.4">
      <c r="A1251" s="62">
        <v>45380</v>
      </c>
      <c r="B1251" s="32" t="s">
        <v>3166</v>
      </c>
      <c r="C1251" s="18" t="s">
        <v>3167</v>
      </c>
      <c r="D1251" s="63" t="s">
        <v>332</v>
      </c>
      <c r="E1251" s="50" t="s">
        <v>3170</v>
      </c>
      <c r="F1251" s="57">
        <v>1400</v>
      </c>
      <c r="G1251" s="76">
        <v>-140</v>
      </c>
      <c r="H1251" s="57">
        <f t="shared" si="75"/>
        <v>1260</v>
      </c>
      <c r="I1251" s="50">
        <v>1</v>
      </c>
      <c r="J1251" s="57">
        <f t="shared" si="76"/>
        <v>1260</v>
      </c>
      <c r="K1251" s="58">
        <f t="shared" si="77"/>
        <v>1386</v>
      </c>
      <c r="L1251" s="18" t="s">
        <v>34</v>
      </c>
      <c r="M1251" s="50"/>
      <c r="N1251" s="52" t="s">
        <v>3178</v>
      </c>
    </row>
    <row r="1252" spans="1:14" ht="21.75" hidden="1" customHeight="1" x14ac:dyDescent="0.4">
      <c r="A1252" s="62">
        <v>45380</v>
      </c>
      <c r="B1252" s="32" t="s">
        <v>3166</v>
      </c>
      <c r="C1252" s="18" t="s">
        <v>3167</v>
      </c>
      <c r="D1252" s="63" t="s">
        <v>292</v>
      </c>
      <c r="E1252" s="50" t="s">
        <v>3171</v>
      </c>
      <c r="F1252" s="57">
        <v>5500</v>
      </c>
      <c r="G1252" s="76"/>
      <c r="H1252" s="57">
        <f t="shared" si="75"/>
        <v>5500</v>
      </c>
      <c r="I1252" s="50">
        <v>1</v>
      </c>
      <c r="J1252" s="57">
        <f t="shared" si="76"/>
        <v>5500</v>
      </c>
      <c r="K1252" s="58">
        <f t="shared" si="77"/>
        <v>6050</v>
      </c>
      <c r="L1252" s="18" t="s">
        <v>34</v>
      </c>
      <c r="M1252" s="50"/>
    </row>
    <row r="1253" spans="1:14" ht="21.75" hidden="1" customHeight="1" x14ac:dyDescent="0.4">
      <c r="A1253" s="62">
        <v>45380</v>
      </c>
      <c r="B1253" s="32" t="s">
        <v>1563</v>
      </c>
      <c r="C1253" s="18" t="s">
        <v>3167</v>
      </c>
      <c r="D1253" s="63" t="s">
        <v>328</v>
      </c>
      <c r="E1253" s="50" t="s">
        <v>3172</v>
      </c>
      <c r="F1253" s="57">
        <v>72000</v>
      </c>
      <c r="G1253" s="76">
        <v>-36000</v>
      </c>
      <c r="H1253" s="57">
        <f t="shared" si="75"/>
        <v>36000</v>
      </c>
      <c r="I1253" s="50">
        <v>1</v>
      </c>
      <c r="J1253" s="57">
        <f t="shared" si="76"/>
        <v>36000</v>
      </c>
      <c r="K1253" s="58">
        <f t="shared" si="77"/>
        <v>39600</v>
      </c>
      <c r="L1253" s="18" t="s">
        <v>34</v>
      </c>
      <c r="M1253" s="50"/>
    </row>
    <row r="1254" spans="1:14" ht="21.75" hidden="1" customHeight="1" x14ac:dyDescent="0.4">
      <c r="A1254" s="62">
        <v>45380</v>
      </c>
      <c r="B1254" s="32" t="s">
        <v>1563</v>
      </c>
      <c r="C1254" s="18" t="s">
        <v>3167</v>
      </c>
      <c r="D1254" s="63" t="s">
        <v>332</v>
      </c>
      <c r="E1254" s="50" t="s">
        <v>3173</v>
      </c>
      <c r="F1254" s="57">
        <v>1090</v>
      </c>
      <c r="G1254" s="76">
        <v>-458</v>
      </c>
      <c r="H1254" s="57">
        <f t="shared" si="75"/>
        <v>632</v>
      </c>
      <c r="I1254" s="50">
        <v>1</v>
      </c>
      <c r="J1254" s="57">
        <f t="shared" si="76"/>
        <v>632</v>
      </c>
      <c r="K1254" s="58">
        <f t="shared" si="77"/>
        <v>695</v>
      </c>
      <c r="L1254" s="18" t="s">
        <v>34</v>
      </c>
      <c r="M1254" s="50"/>
    </row>
    <row r="1255" spans="1:14" ht="21.75" hidden="1" customHeight="1" x14ac:dyDescent="0.4">
      <c r="A1255" s="62">
        <v>45380</v>
      </c>
      <c r="B1255" s="32" t="s">
        <v>1563</v>
      </c>
      <c r="C1255" s="18" t="s">
        <v>3167</v>
      </c>
      <c r="D1255" s="63" t="s">
        <v>332</v>
      </c>
      <c r="E1255" s="50" t="s">
        <v>3173</v>
      </c>
      <c r="F1255" s="57">
        <v>1090</v>
      </c>
      <c r="G1255" s="76"/>
      <c r="H1255" s="57">
        <f t="shared" si="75"/>
        <v>1090</v>
      </c>
      <c r="I1255" s="50">
        <v>1</v>
      </c>
      <c r="J1255" s="57">
        <f t="shared" si="76"/>
        <v>1090</v>
      </c>
      <c r="K1255" s="58">
        <f t="shared" si="77"/>
        <v>1199</v>
      </c>
      <c r="L1255" s="18" t="s">
        <v>34</v>
      </c>
      <c r="M1255" s="50"/>
    </row>
    <row r="1256" spans="1:14" ht="21.75" hidden="1" customHeight="1" x14ac:dyDescent="0.4">
      <c r="A1256" s="62">
        <v>45380</v>
      </c>
      <c r="B1256" s="32" t="s">
        <v>1563</v>
      </c>
      <c r="C1256" s="18" t="s">
        <v>3167</v>
      </c>
      <c r="D1256" s="63" t="s">
        <v>330</v>
      </c>
      <c r="E1256" s="50" t="s">
        <v>3174</v>
      </c>
      <c r="F1256" s="57">
        <v>5000</v>
      </c>
      <c r="G1256" s="76">
        <v>-2500</v>
      </c>
      <c r="H1256" s="57">
        <f t="shared" si="75"/>
        <v>2500</v>
      </c>
      <c r="I1256" s="50">
        <v>1</v>
      </c>
      <c r="J1256" s="57">
        <f t="shared" si="76"/>
        <v>2500</v>
      </c>
      <c r="K1256" s="58">
        <f t="shared" si="77"/>
        <v>2750</v>
      </c>
      <c r="L1256" s="18" t="s">
        <v>34</v>
      </c>
      <c r="M1256" s="50"/>
    </row>
    <row r="1257" spans="1:14" ht="21.75" hidden="1" customHeight="1" x14ac:dyDescent="0.4">
      <c r="A1257" s="62">
        <v>45380</v>
      </c>
      <c r="B1257" s="32" t="s">
        <v>1563</v>
      </c>
      <c r="C1257" s="18" t="s">
        <v>3167</v>
      </c>
      <c r="D1257" s="63" t="s">
        <v>292</v>
      </c>
      <c r="E1257" s="50" t="s">
        <v>3175</v>
      </c>
      <c r="F1257" s="57">
        <v>5500</v>
      </c>
      <c r="G1257" s="76">
        <v>-628</v>
      </c>
      <c r="H1257" s="57">
        <f t="shared" si="75"/>
        <v>4872</v>
      </c>
      <c r="I1257" s="50">
        <v>1</v>
      </c>
      <c r="J1257" s="57">
        <f t="shared" si="76"/>
        <v>4872</v>
      </c>
      <c r="K1257" s="58">
        <f t="shared" si="77"/>
        <v>5359</v>
      </c>
      <c r="L1257" s="18" t="s">
        <v>34</v>
      </c>
      <c r="M1257" s="50"/>
    </row>
    <row r="1258" spans="1:14" ht="21.75" hidden="1" customHeight="1" x14ac:dyDescent="0.4">
      <c r="A1258" s="62">
        <v>45381</v>
      </c>
      <c r="B1258" s="32" t="s">
        <v>405</v>
      </c>
      <c r="C1258" s="18" t="s">
        <v>3180</v>
      </c>
      <c r="D1258" s="63" t="s">
        <v>662</v>
      </c>
      <c r="E1258" s="50" t="s">
        <v>3181</v>
      </c>
      <c r="F1258" s="57">
        <v>1500</v>
      </c>
      <c r="G1258" s="76"/>
      <c r="H1258" s="57">
        <f t="shared" si="75"/>
        <v>1500</v>
      </c>
      <c r="I1258" s="50">
        <v>1</v>
      </c>
      <c r="J1258" s="57">
        <f t="shared" si="76"/>
        <v>1500</v>
      </c>
      <c r="K1258" s="58">
        <f t="shared" si="77"/>
        <v>1650</v>
      </c>
      <c r="L1258" s="18" t="s">
        <v>3182</v>
      </c>
      <c r="M1258" s="50"/>
    </row>
    <row r="1259" spans="1:14" ht="21.75" hidden="1" customHeight="1" x14ac:dyDescent="0.4">
      <c r="A1259" s="62">
        <v>45381</v>
      </c>
      <c r="B1259" s="32" t="s">
        <v>1541</v>
      </c>
      <c r="C1259" s="18" t="s">
        <v>3180</v>
      </c>
      <c r="D1259" s="63" t="s">
        <v>292</v>
      </c>
      <c r="E1259" s="50" t="s">
        <v>3183</v>
      </c>
      <c r="F1259" s="57">
        <v>4000</v>
      </c>
      <c r="G1259" s="76">
        <v>-400</v>
      </c>
      <c r="H1259" s="57">
        <f t="shared" si="75"/>
        <v>3600</v>
      </c>
      <c r="I1259" s="50">
        <v>1</v>
      </c>
      <c r="J1259" s="57">
        <f t="shared" si="76"/>
        <v>3600</v>
      </c>
      <c r="K1259" s="58">
        <f t="shared" si="77"/>
        <v>3960</v>
      </c>
      <c r="L1259" s="18" t="s">
        <v>25</v>
      </c>
      <c r="M1259" s="50"/>
    </row>
    <row r="1260" spans="1:14" ht="21.75" hidden="1" customHeight="1" x14ac:dyDescent="0.4">
      <c r="A1260" s="62">
        <v>45381</v>
      </c>
      <c r="B1260" s="32" t="s">
        <v>3197</v>
      </c>
      <c r="C1260" s="18" t="s">
        <v>3180</v>
      </c>
      <c r="D1260" s="63" t="s">
        <v>332</v>
      </c>
      <c r="E1260" s="50" t="s">
        <v>3184</v>
      </c>
      <c r="F1260" s="57">
        <v>1760</v>
      </c>
      <c r="G1260" s="76"/>
      <c r="H1260" s="57">
        <f t="shared" si="75"/>
        <v>1760</v>
      </c>
      <c r="I1260" s="50">
        <v>1</v>
      </c>
      <c r="J1260" s="57">
        <f t="shared" si="76"/>
        <v>1760</v>
      </c>
      <c r="K1260" s="58">
        <f t="shared" si="77"/>
        <v>1936</v>
      </c>
      <c r="L1260" s="18" t="s">
        <v>3182</v>
      </c>
      <c r="M1260" s="50"/>
    </row>
    <row r="1261" spans="1:14" ht="21.75" hidden="1" customHeight="1" x14ac:dyDescent="0.4">
      <c r="A1261" s="62">
        <v>45381</v>
      </c>
      <c r="B1261" s="32" t="s">
        <v>3185</v>
      </c>
      <c r="C1261" s="18" t="s">
        <v>3180</v>
      </c>
      <c r="D1261" s="63" t="s">
        <v>332</v>
      </c>
      <c r="E1261" s="50" t="s">
        <v>3186</v>
      </c>
      <c r="F1261" s="57">
        <v>2250</v>
      </c>
      <c r="G1261" s="76">
        <v>-225</v>
      </c>
      <c r="H1261" s="57">
        <f t="shared" si="75"/>
        <v>2025</v>
      </c>
      <c r="I1261" s="50">
        <v>1</v>
      </c>
      <c r="J1261" s="57">
        <f t="shared" si="76"/>
        <v>2025</v>
      </c>
      <c r="K1261" s="58">
        <f t="shared" si="77"/>
        <v>2227</v>
      </c>
      <c r="L1261" s="18" t="s">
        <v>3182</v>
      </c>
      <c r="M1261" s="50"/>
    </row>
    <row r="1262" spans="1:14" ht="21.75" hidden="1" customHeight="1" x14ac:dyDescent="0.4">
      <c r="A1262" s="62">
        <v>45381</v>
      </c>
      <c r="B1262" s="32" t="s">
        <v>3185</v>
      </c>
      <c r="C1262" s="18" t="s">
        <v>3180</v>
      </c>
      <c r="D1262" s="63" t="s">
        <v>283</v>
      </c>
      <c r="E1262" s="50" t="s">
        <v>3187</v>
      </c>
      <c r="F1262" s="57">
        <v>12000</v>
      </c>
      <c r="G1262" s="76">
        <v>-1200</v>
      </c>
      <c r="H1262" s="57">
        <f t="shared" ref="H1262:H1328" si="78">SUM(F1262:G1262)</f>
        <v>10800</v>
      </c>
      <c r="I1262" s="50">
        <v>1</v>
      </c>
      <c r="J1262" s="57">
        <f t="shared" si="76"/>
        <v>10800</v>
      </c>
      <c r="K1262" s="58">
        <f t="shared" si="77"/>
        <v>11880</v>
      </c>
      <c r="L1262" s="18" t="s">
        <v>3182</v>
      </c>
      <c r="M1262" s="50"/>
    </row>
    <row r="1263" spans="1:14" ht="21.75" hidden="1" customHeight="1" x14ac:dyDescent="0.4">
      <c r="A1263" s="62">
        <v>45382</v>
      </c>
      <c r="B1263" s="32" t="s">
        <v>1924</v>
      </c>
      <c r="C1263" s="18" t="s">
        <v>3188</v>
      </c>
      <c r="D1263" s="63" t="s">
        <v>3189</v>
      </c>
      <c r="E1263" s="50" t="s">
        <v>3190</v>
      </c>
      <c r="F1263" s="57">
        <v>95000</v>
      </c>
      <c r="G1263" s="76">
        <v>-14250</v>
      </c>
      <c r="H1263" s="57">
        <f t="shared" si="78"/>
        <v>80750</v>
      </c>
      <c r="I1263" s="50">
        <v>1</v>
      </c>
      <c r="J1263" s="57">
        <f t="shared" si="76"/>
        <v>80750</v>
      </c>
      <c r="K1263" s="58">
        <f t="shared" si="77"/>
        <v>88825</v>
      </c>
      <c r="L1263" s="18" t="s">
        <v>34</v>
      </c>
      <c r="M1263" s="50"/>
      <c r="N1263" s="52" t="s">
        <v>3196</v>
      </c>
    </row>
    <row r="1264" spans="1:14" ht="21.75" hidden="1" customHeight="1" x14ac:dyDescent="0.4">
      <c r="A1264" s="62">
        <v>45382</v>
      </c>
      <c r="B1264" s="32" t="s">
        <v>190</v>
      </c>
      <c r="C1264" s="18" t="s">
        <v>2892</v>
      </c>
      <c r="D1264" s="63" t="s">
        <v>23</v>
      </c>
      <c r="E1264" s="50" t="s">
        <v>3191</v>
      </c>
      <c r="F1264" s="57">
        <v>10000</v>
      </c>
      <c r="G1264" s="76"/>
      <c r="H1264" s="57">
        <f t="shared" si="78"/>
        <v>10000</v>
      </c>
      <c r="I1264" s="50">
        <v>1</v>
      </c>
      <c r="J1264" s="57">
        <f t="shared" si="76"/>
        <v>10000</v>
      </c>
      <c r="K1264" s="58">
        <f t="shared" si="77"/>
        <v>11000</v>
      </c>
      <c r="L1264" s="18" t="s">
        <v>25</v>
      </c>
      <c r="M1264" s="50"/>
    </row>
    <row r="1265" spans="1:14" ht="21.75" hidden="1" customHeight="1" x14ac:dyDescent="0.4">
      <c r="A1265" s="62">
        <v>45382</v>
      </c>
      <c r="B1265" s="32" t="s">
        <v>190</v>
      </c>
      <c r="C1265" s="18" t="s">
        <v>3192</v>
      </c>
      <c r="D1265" s="63" t="s">
        <v>328</v>
      </c>
      <c r="E1265" s="50" t="s">
        <v>3193</v>
      </c>
      <c r="F1265" s="57">
        <v>80000</v>
      </c>
      <c r="G1265" s="76">
        <v>-24000</v>
      </c>
      <c r="H1265" s="57">
        <f t="shared" si="78"/>
        <v>56000</v>
      </c>
      <c r="I1265" s="50">
        <v>1</v>
      </c>
      <c r="J1265" s="57">
        <f t="shared" si="76"/>
        <v>56000</v>
      </c>
      <c r="K1265" s="58">
        <f t="shared" si="77"/>
        <v>61600</v>
      </c>
      <c r="L1265" s="18" t="s">
        <v>34</v>
      </c>
      <c r="M1265" s="50"/>
      <c r="N1265" s="52" t="s">
        <v>3195</v>
      </c>
    </row>
    <row r="1266" spans="1:14" ht="21.75" hidden="1" customHeight="1" thickBot="1" x14ac:dyDescent="0.45">
      <c r="A1266" s="150">
        <v>45382</v>
      </c>
      <c r="B1266" s="107" t="s">
        <v>190</v>
      </c>
      <c r="C1266" s="108" t="s">
        <v>3192</v>
      </c>
      <c r="D1266" s="109" t="s">
        <v>332</v>
      </c>
      <c r="E1266" s="110" t="s">
        <v>3194</v>
      </c>
      <c r="F1266" s="111">
        <v>1500</v>
      </c>
      <c r="G1266" s="112">
        <v>-150</v>
      </c>
      <c r="H1266" s="111">
        <f t="shared" si="78"/>
        <v>1350</v>
      </c>
      <c r="I1266" s="110">
        <v>1</v>
      </c>
      <c r="J1266" s="111">
        <f t="shared" si="76"/>
        <v>1350</v>
      </c>
      <c r="K1266" s="113">
        <f t="shared" si="77"/>
        <v>1485</v>
      </c>
      <c r="L1266" s="108" t="s">
        <v>34</v>
      </c>
      <c r="M1266" s="110"/>
      <c r="N1266" s="165" t="s">
        <v>3195</v>
      </c>
    </row>
    <row r="1267" spans="1:14" ht="21.75" hidden="1" customHeight="1" x14ac:dyDescent="0.4">
      <c r="A1267" s="59">
        <v>45383</v>
      </c>
      <c r="B1267" s="82" t="s">
        <v>3200</v>
      </c>
      <c r="C1267" s="60" t="s">
        <v>2892</v>
      </c>
      <c r="D1267" s="61" t="s">
        <v>23</v>
      </c>
      <c r="E1267" s="56" t="s">
        <v>3201</v>
      </c>
      <c r="F1267" s="99">
        <v>20000</v>
      </c>
      <c r="G1267" s="79"/>
      <c r="H1267" s="99">
        <f t="shared" si="78"/>
        <v>20000</v>
      </c>
      <c r="I1267" s="56">
        <v>1</v>
      </c>
      <c r="J1267" s="99">
        <f t="shared" si="76"/>
        <v>20000</v>
      </c>
      <c r="K1267" s="100">
        <f t="shared" si="77"/>
        <v>22000</v>
      </c>
      <c r="L1267" s="60" t="s">
        <v>3202</v>
      </c>
      <c r="M1267" s="56" t="s">
        <v>2515</v>
      </c>
    </row>
    <row r="1268" spans="1:14" ht="21.75" hidden="1" customHeight="1" x14ac:dyDescent="0.4">
      <c r="A1268" s="62">
        <v>45383</v>
      </c>
      <c r="B1268" s="32" t="s">
        <v>3200</v>
      </c>
      <c r="C1268" s="18" t="s">
        <v>3203</v>
      </c>
      <c r="D1268" s="63" t="s">
        <v>328</v>
      </c>
      <c r="E1268" s="50" t="s">
        <v>3204</v>
      </c>
      <c r="F1268" s="57">
        <v>55000</v>
      </c>
      <c r="G1268" s="76">
        <v>-11000</v>
      </c>
      <c r="H1268" s="57">
        <f t="shared" si="78"/>
        <v>44000</v>
      </c>
      <c r="I1268" s="50">
        <v>1</v>
      </c>
      <c r="J1268" s="57">
        <f t="shared" si="76"/>
        <v>44000</v>
      </c>
      <c r="K1268" s="58">
        <f t="shared" si="77"/>
        <v>48400</v>
      </c>
      <c r="L1268" s="18" t="s">
        <v>34</v>
      </c>
      <c r="M1268" s="50"/>
      <c r="N1268" s="52" t="s">
        <v>3206</v>
      </c>
    </row>
    <row r="1269" spans="1:14" ht="21.75" hidden="1" customHeight="1" x14ac:dyDescent="0.4">
      <c r="A1269" s="62">
        <v>45383</v>
      </c>
      <c r="B1269" s="32" t="s">
        <v>3200</v>
      </c>
      <c r="C1269" s="18" t="s">
        <v>17</v>
      </c>
      <c r="D1269" s="63" t="s">
        <v>330</v>
      </c>
      <c r="E1269" s="50" t="s">
        <v>3207</v>
      </c>
      <c r="F1269" s="57">
        <v>5000</v>
      </c>
      <c r="G1269" s="76"/>
      <c r="H1269" s="57">
        <f t="shared" si="78"/>
        <v>5000</v>
      </c>
      <c r="I1269" s="50">
        <v>1</v>
      </c>
      <c r="J1269" s="57">
        <f t="shared" si="76"/>
        <v>5000</v>
      </c>
      <c r="K1269" s="58">
        <f t="shared" si="77"/>
        <v>5500</v>
      </c>
      <c r="L1269" s="18" t="s">
        <v>34</v>
      </c>
      <c r="M1269" s="50"/>
      <c r="N1269" s="52" t="s">
        <v>2141</v>
      </c>
    </row>
    <row r="1270" spans="1:14" ht="21.75" hidden="1" customHeight="1" x14ac:dyDescent="0.4">
      <c r="A1270" s="62">
        <v>45383</v>
      </c>
      <c r="B1270" s="32" t="s">
        <v>3200</v>
      </c>
      <c r="C1270" s="18" t="s">
        <v>3203</v>
      </c>
      <c r="D1270" s="63" t="s">
        <v>332</v>
      </c>
      <c r="E1270" s="50" t="s">
        <v>3205</v>
      </c>
      <c r="F1270" s="57">
        <v>1200</v>
      </c>
      <c r="G1270" s="76"/>
      <c r="H1270" s="57">
        <f t="shared" si="78"/>
        <v>1200</v>
      </c>
      <c r="I1270" s="50">
        <v>1</v>
      </c>
      <c r="J1270" s="57">
        <f t="shared" si="76"/>
        <v>1200</v>
      </c>
      <c r="K1270" s="58">
        <f t="shared" si="77"/>
        <v>1320</v>
      </c>
      <c r="L1270" s="18" t="s">
        <v>34</v>
      </c>
      <c r="M1270" s="50"/>
      <c r="N1270" s="52" t="s">
        <v>3206</v>
      </c>
    </row>
    <row r="1271" spans="1:14" ht="21.75" hidden="1" customHeight="1" x14ac:dyDescent="0.4">
      <c r="A1271" s="62">
        <v>45383</v>
      </c>
      <c r="B1271" s="32" t="s">
        <v>3212</v>
      </c>
      <c r="C1271" s="18" t="s">
        <v>27</v>
      </c>
      <c r="D1271" s="63" t="s">
        <v>28</v>
      </c>
      <c r="E1271" s="50" t="s">
        <v>318</v>
      </c>
      <c r="F1271" s="57">
        <v>15000</v>
      </c>
      <c r="G1271" s="76"/>
      <c r="H1271" s="57">
        <f t="shared" si="78"/>
        <v>15000</v>
      </c>
      <c r="I1271" s="50">
        <v>1</v>
      </c>
      <c r="J1271" s="57">
        <f t="shared" si="76"/>
        <v>15000</v>
      </c>
      <c r="K1271" s="58">
        <f t="shared" si="77"/>
        <v>16500</v>
      </c>
      <c r="L1271" s="18" t="s">
        <v>3213</v>
      </c>
      <c r="M1271" s="50"/>
    </row>
    <row r="1272" spans="1:14" ht="21.75" hidden="1" customHeight="1" x14ac:dyDescent="0.4">
      <c r="A1272" s="62">
        <v>45383</v>
      </c>
      <c r="B1272" s="32" t="s">
        <v>3214</v>
      </c>
      <c r="C1272" s="18" t="s">
        <v>27</v>
      </c>
      <c r="D1272" s="63" t="s">
        <v>28</v>
      </c>
      <c r="E1272" s="50" t="s">
        <v>1897</v>
      </c>
      <c r="F1272" s="57">
        <v>17500</v>
      </c>
      <c r="G1272" s="76"/>
      <c r="H1272" s="57">
        <f t="shared" si="78"/>
        <v>17500</v>
      </c>
      <c r="I1272" s="50">
        <v>1</v>
      </c>
      <c r="J1272" s="57">
        <f t="shared" si="76"/>
        <v>17500</v>
      </c>
      <c r="K1272" s="58">
        <f t="shared" si="77"/>
        <v>19250</v>
      </c>
      <c r="L1272" s="18" t="s">
        <v>3213</v>
      </c>
      <c r="M1272" s="50"/>
    </row>
    <row r="1273" spans="1:14" ht="21.75" hidden="1" customHeight="1" x14ac:dyDescent="0.4">
      <c r="A1273" s="62">
        <v>45385</v>
      </c>
      <c r="B1273" s="32" t="s">
        <v>3215</v>
      </c>
      <c r="C1273" s="18" t="s">
        <v>2892</v>
      </c>
      <c r="D1273" s="63" t="s">
        <v>23</v>
      </c>
      <c r="E1273" s="50" t="s">
        <v>3216</v>
      </c>
      <c r="F1273" s="57">
        <v>20000</v>
      </c>
      <c r="G1273" s="76"/>
      <c r="H1273" s="57">
        <f t="shared" si="78"/>
        <v>20000</v>
      </c>
      <c r="I1273" s="50">
        <v>1</v>
      </c>
      <c r="J1273" s="57">
        <f t="shared" si="76"/>
        <v>20000</v>
      </c>
      <c r="K1273" s="58">
        <f t="shared" si="77"/>
        <v>22000</v>
      </c>
      <c r="L1273" s="18" t="s">
        <v>25</v>
      </c>
      <c r="M1273" s="50" t="s">
        <v>2515</v>
      </c>
    </row>
    <row r="1274" spans="1:14" ht="21.75" hidden="1" customHeight="1" x14ac:dyDescent="0.4">
      <c r="A1274" s="62">
        <v>45385</v>
      </c>
      <c r="B1274" s="32" t="s">
        <v>3215</v>
      </c>
      <c r="C1274" s="18" t="s">
        <v>3217</v>
      </c>
      <c r="D1274" s="63" t="s">
        <v>328</v>
      </c>
      <c r="E1274" s="50" t="s">
        <v>3218</v>
      </c>
      <c r="F1274" s="57">
        <v>70000</v>
      </c>
      <c r="G1274" s="76">
        <v>-14000</v>
      </c>
      <c r="H1274" s="57">
        <f t="shared" si="78"/>
        <v>56000</v>
      </c>
      <c r="I1274" s="50">
        <v>1</v>
      </c>
      <c r="J1274" s="57">
        <f t="shared" si="76"/>
        <v>56000</v>
      </c>
      <c r="K1274" s="58">
        <f t="shared" si="77"/>
        <v>61600</v>
      </c>
      <c r="L1274" s="18" t="s">
        <v>34</v>
      </c>
      <c r="M1274" s="50"/>
      <c r="N1274" s="52" t="s">
        <v>2141</v>
      </c>
    </row>
    <row r="1275" spans="1:14" ht="21.75" hidden="1" customHeight="1" x14ac:dyDescent="0.4">
      <c r="A1275" s="62">
        <v>45385</v>
      </c>
      <c r="B1275" s="32" t="s">
        <v>3215</v>
      </c>
      <c r="C1275" s="18" t="s">
        <v>3217</v>
      </c>
      <c r="D1275" s="63" t="s">
        <v>328</v>
      </c>
      <c r="E1275" s="50" t="s">
        <v>3219</v>
      </c>
      <c r="F1275" s="57">
        <v>45000</v>
      </c>
      <c r="G1275" s="76">
        <v>-9000</v>
      </c>
      <c r="H1275" s="57">
        <f t="shared" si="78"/>
        <v>36000</v>
      </c>
      <c r="I1275" s="50">
        <v>1</v>
      </c>
      <c r="J1275" s="57">
        <f t="shared" si="76"/>
        <v>36000</v>
      </c>
      <c r="K1275" s="58">
        <f t="shared" si="77"/>
        <v>39600</v>
      </c>
      <c r="L1275" s="18" t="s">
        <v>34</v>
      </c>
      <c r="M1275" s="50"/>
      <c r="N1275" s="52" t="s">
        <v>2141</v>
      </c>
    </row>
    <row r="1276" spans="1:14" ht="21.75" hidden="1" customHeight="1" x14ac:dyDescent="0.4">
      <c r="A1276" s="62">
        <v>45385</v>
      </c>
      <c r="B1276" s="32" t="s">
        <v>3215</v>
      </c>
      <c r="C1276" s="18" t="s">
        <v>3217</v>
      </c>
      <c r="D1276" s="63" t="s">
        <v>332</v>
      </c>
      <c r="E1276" s="50" t="s">
        <v>3221</v>
      </c>
      <c r="F1276" s="57">
        <v>2400</v>
      </c>
      <c r="G1276" s="76"/>
      <c r="H1276" s="57">
        <f t="shared" si="78"/>
        <v>2400</v>
      </c>
      <c r="I1276" s="50">
        <v>2</v>
      </c>
      <c r="J1276" s="57">
        <f t="shared" si="76"/>
        <v>4800</v>
      </c>
      <c r="K1276" s="58">
        <f t="shared" si="77"/>
        <v>5280</v>
      </c>
      <c r="L1276" s="18" t="s">
        <v>34</v>
      </c>
      <c r="M1276" s="50"/>
      <c r="N1276" s="52" t="s">
        <v>2141</v>
      </c>
    </row>
    <row r="1277" spans="1:14" ht="21.75" hidden="1" customHeight="1" x14ac:dyDescent="0.4">
      <c r="A1277" s="62">
        <v>45385</v>
      </c>
      <c r="B1277" s="32" t="s">
        <v>3222</v>
      </c>
      <c r="C1277" s="18" t="s">
        <v>2892</v>
      </c>
      <c r="D1277" s="63" t="s">
        <v>23</v>
      </c>
      <c r="E1277" s="50" t="s">
        <v>3216</v>
      </c>
      <c r="F1277" s="57">
        <v>20000</v>
      </c>
      <c r="G1277" s="76"/>
      <c r="H1277" s="57">
        <f t="shared" si="78"/>
        <v>20000</v>
      </c>
      <c r="I1277" s="50">
        <v>1</v>
      </c>
      <c r="J1277" s="57">
        <f t="shared" si="76"/>
        <v>20000</v>
      </c>
      <c r="K1277" s="58">
        <f t="shared" si="77"/>
        <v>22000</v>
      </c>
      <c r="L1277" s="18" t="s">
        <v>25</v>
      </c>
      <c r="M1277" s="50" t="s">
        <v>2515</v>
      </c>
    </row>
    <row r="1278" spans="1:14" ht="21.75" hidden="1" customHeight="1" x14ac:dyDescent="0.4">
      <c r="A1278" s="62">
        <v>45385</v>
      </c>
      <c r="B1278" s="32" t="s">
        <v>171</v>
      </c>
      <c r="C1278" s="18" t="s">
        <v>3217</v>
      </c>
      <c r="D1278" s="63" t="s">
        <v>292</v>
      </c>
      <c r="E1278" s="50" t="s">
        <v>3223</v>
      </c>
      <c r="F1278" s="57">
        <v>5500</v>
      </c>
      <c r="G1278" s="76"/>
      <c r="H1278" s="57">
        <f t="shared" si="78"/>
        <v>5500</v>
      </c>
      <c r="I1278" s="50">
        <v>1</v>
      </c>
      <c r="J1278" s="57">
        <f t="shared" si="76"/>
        <v>5500</v>
      </c>
      <c r="K1278" s="58">
        <f t="shared" si="77"/>
        <v>6050</v>
      </c>
      <c r="L1278" s="18" t="s">
        <v>25</v>
      </c>
      <c r="M1278" s="50"/>
    </row>
    <row r="1279" spans="1:14" ht="21.75" hidden="1" customHeight="1" x14ac:dyDescent="0.4">
      <c r="A1279" s="62">
        <v>45385</v>
      </c>
      <c r="B1279" s="32" t="s">
        <v>3222</v>
      </c>
      <c r="C1279" s="18" t="s">
        <v>3217</v>
      </c>
      <c r="D1279" s="63" t="s">
        <v>328</v>
      </c>
      <c r="E1279" s="50" t="s">
        <v>3224</v>
      </c>
      <c r="F1279" s="57">
        <v>70000</v>
      </c>
      <c r="G1279" s="76">
        <v>-14000</v>
      </c>
      <c r="H1279" s="57">
        <f t="shared" si="78"/>
        <v>56000</v>
      </c>
      <c r="I1279" s="50">
        <v>1</v>
      </c>
      <c r="J1279" s="57">
        <f t="shared" si="76"/>
        <v>56000</v>
      </c>
      <c r="K1279" s="58">
        <f t="shared" si="77"/>
        <v>61600</v>
      </c>
      <c r="L1279" s="18" t="s">
        <v>34</v>
      </c>
      <c r="M1279" s="50"/>
      <c r="N1279" s="52" t="s">
        <v>3230</v>
      </c>
    </row>
    <row r="1280" spans="1:14" ht="21.75" hidden="1" customHeight="1" x14ac:dyDescent="0.4">
      <c r="A1280" s="62">
        <v>45385</v>
      </c>
      <c r="B1280" s="32" t="s">
        <v>3222</v>
      </c>
      <c r="C1280" s="18" t="s">
        <v>3217</v>
      </c>
      <c r="D1280" s="63" t="s">
        <v>328</v>
      </c>
      <c r="E1280" s="50" t="s">
        <v>3225</v>
      </c>
      <c r="F1280" s="57">
        <v>45000</v>
      </c>
      <c r="G1280" s="76">
        <v>-9000</v>
      </c>
      <c r="H1280" s="57">
        <f t="shared" si="78"/>
        <v>36000</v>
      </c>
      <c r="I1280" s="50">
        <v>1</v>
      </c>
      <c r="J1280" s="57">
        <f t="shared" si="76"/>
        <v>36000</v>
      </c>
      <c r="K1280" s="58">
        <f t="shared" si="77"/>
        <v>39600</v>
      </c>
      <c r="L1280" s="18" t="s">
        <v>34</v>
      </c>
      <c r="M1280" s="50"/>
      <c r="N1280" s="52" t="s">
        <v>3230</v>
      </c>
    </row>
    <row r="1281" spans="1:14" ht="21.75" hidden="1" customHeight="1" x14ac:dyDescent="0.4">
      <c r="A1281" s="62">
        <v>45385</v>
      </c>
      <c r="B1281" s="32" t="s">
        <v>3222</v>
      </c>
      <c r="C1281" s="18" t="s">
        <v>3217</v>
      </c>
      <c r="D1281" s="63" t="s">
        <v>328</v>
      </c>
      <c r="E1281" s="50" t="s">
        <v>3226</v>
      </c>
      <c r="F1281" s="57">
        <v>33000</v>
      </c>
      <c r="G1281" s="76">
        <v>-6600</v>
      </c>
      <c r="H1281" s="57">
        <f t="shared" si="78"/>
        <v>26400</v>
      </c>
      <c r="I1281" s="50">
        <v>1</v>
      </c>
      <c r="J1281" s="57">
        <f t="shared" si="76"/>
        <v>26400</v>
      </c>
      <c r="K1281" s="58">
        <f t="shared" si="77"/>
        <v>29040</v>
      </c>
      <c r="L1281" s="18" t="s">
        <v>34</v>
      </c>
      <c r="M1281" s="50"/>
      <c r="N1281" s="52" t="s">
        <v>3230</v>
      </c>
    </row>
    <row r="1282" spans="1:14" ht="21.75" hidden="1" customHeight="1" x14ac:dyDescent="0.4">
      <c r="A1282" s="62">
        <v>45385</v>
      </c>
      <c r="B1282" s="32" t="s">
        <v>3222</v>
      </c>
      <c r="C1282" s="18" t="s">
        <v>3217</v>
      </c>
      <c r="D1282" s="63" t="s">
        <v>3227</v>
      </c>
      <c r="E1282" s="50" t="s">
        <v>3126</v>
      </c>
      <c r="F1282" s="57">
        <v>88000</v>
      </c>
      <c r="G1282" s="76">
        <v>-8800</v>
      </c>
      <c r="H1282" s="57">
        <f t="shared" si="78"/>
        <v>79200</v>
      </c>
      <c r="I1282" s="50">
        <v>1</v>
      </c>
      <c r="J1282" s="57">
        <f t="shared" si="76"/>
        <v>79200</v>
      </c>
      <c r="K1282" s="58">
        <f t="shared" si="77"/>
        <v>87120</v>
      </c>
      <c r="L1282" s="18" t="s">
        <v>34</v>
      </c>
      <c r="M1282" s="50"/>
      <c r="N1282" s="52" t="s">
        <v>3230</v>
      </c>
    </row>
    <row r="1283" spans="1:14" ht="21.75" hidden="1" customHeight="1" x14ac:dyDescent="0.4">
      <c r="A1283" s="62">
        <v>45385</v>
      </c>
      <c r="B1283" s="32" t="s">
        <v>3222</v>
      </c>
      <c r="C1283" s="18" t="s">
        <v>3217</v>
      </c>
      <c r="D1283" s="63" t="s">
        <v>332</v>
      </c>
      <c r="E1283" s="50" t="s">
        <v>3232</v>
      </c>
      <c r="F1283" s="57">
        <v>1200</v>
      </c>
      <c r="G1283" s="76"/>
      <c r="H1283" s="57">
        <f t="shared" si="78"/>
        <v>1200</v>
      </c>
      <c r="I1283" s="50">
        <v>3</v>
      </c>
      <c r="J1283" s="57">
        <f t="shared" si="76"/>
        <v>3600</v>
      </c>
      <c r="K1283" s="58">
        <f t="shared" si="77"/>
        <v>3960</v>
      </c>
      <c r="L1283" s="18" t="s">
        <v>34</v>
      </c>
      <c r="M1283" s="50"/>
      <c r="N1283" s="52" t="s">
        <v>3230</v>
      </c>
    </row>
    <row r="1284" spans="1:14" ht="21.75" hidden="1" customHeight="1" x14ac:dyDescent="0.4">
      <c r="A1284" s="62">
        <v>45385</v>
      </c>
      <c r="B1284" s="32" t="s">
        <v>3222</v>
      </c>
      <c r="C1284" s="18" t="s">
        <v>3217</v>
      </c>
      <c r="D1284" s="63" t="s">
        <v>330</v>
      </c>
      <c r="E1284" s="50" t="s">
        <v>3228</v>
      </c>
      <c r="F1284" s="57">
        <v>5000</v>
      </c>
      <c r="G1284" s="76"/>
      <c r="H1284" s="57">
        <f t="shared" si="78"/>
        <v>5000</v>
      </c>
      <c r="I1284" s="50">
        <v>1</v>
      </c>
      <c r="J1284" s="57">
        <f t="shared" si="76"/>
        <v>5000</v>
      </c>
      <c r="K1284" s="58">
        <f t="shared" si="77"/>
        <v>5500</v>
      </c>
      <c r="L1284" s="18" t="s">
        <v>34</v>
      </c>
      <c r="M1284" s="50"/>
      <c r="N1284" s="52" t="s">
        <v>3230</v>
      </c>
    </row>
    <row r="1285" spans="1:14" ht="21.75" hidden="1" customHeight="1" x14ac:dyDescent="0.4">
      <c r="A1285" s="62">
        <v>45385</v>
      </c>
      <c r="B1285" s="32" t="s">
        <v>3222</v>
      </c>
      <c r="C1285" s="18" t="s">
        <v>3217</v>
      </c>
      <c r="D1285" s="63" t="s">
        <v>330</v>
      </c>
      <c r="E1285" s="50" t="s">
        <v>3229</v>
      </c>
      <c r="F1285" s="57">
        <v>5390</v>
      </c>
      <c r="G1285" s="76"/>
      <c r="H1285" s="57">
        <f t="shared" si="78"/>
        <v>5390</v>
      </c>
      <c r="I1285" s="50">
        <v>1</v>
      </c>
      <c r="J1285" s="57">
        <f t="shared" si="76"/>
        <v>5390</v>
      </c>
      <c r="K1285" s="58">
        <f t="shared" si="77"/>
        <v>5929</v>
      </c>
      <c r="L1285" s="18" t="s">
        <v>34</v>
      </c>
      <c r="M1285" s="50"/>
      <c r="N1285" s="52" t="s">
        <v>3230</v>
      </c>
    </row>
    <row r="1286" spans="1:14" ht="21.75" hidden="1" customHeight="1" x14ac:dyDescent="0.4">
      <c r="A1286" s="62">
        <v>45386</v>
      </c>
      <c r="B1286" s="32" t="s">
        <v>3231</v>
      </c>
      <c r="C1286" s="18" t="s">
        <v>3217</v>
      </c>
      <c r="D1286" s="63" t="s">
        <v>332</v>
      </c>
      <c r="E1286" s="50" t="s">
        <v>3233</v>
      </c>
      <c r="F1286" s="57">
        <v>1200</v>
      </c>
      <c r="G1286" s="76">
        <v>-120</v>
      </c>
      <c r="H1286" s="57">
        <f t="shared" si="78"/>
        <v>1080</v>
      </c>
      <c r="I1286" s="50">
        <v>1</v>
      </c>
      <c r="J1286" s="57">
        <f t="shared" si="76"/>
        <v>1080</v>
      </c>
      <c r="K1286" s="58">
        <f t="shared" si="77"/>
        <v>1188</v>
      </c>
      <c r="L1286" s="18" t="s">
        <v>25</v>
      </c>
      <c r="M1286" s="50"/>
    </row>
    <row r="1287" spans="1:14" ht="21.75" hidden="1" customHeight="1" x14ac:dyDescent="0.4">
      <c r="A1287" s="62">
        <v>45386</v>
      </c>
      <c r="B1287" s="32" t="s">
        <v>2951</v>
      </c>
      <c r="C1287" s="18" t="s">
        <v>22</v>
      </c>
      <c r="D1287" s="63" t="s">
        <v>1496</v>
      </c>
      <c r="E1287" s="50" t="s">
        <v>1813</v>
      </c>
      <c r="F1287" s="57">
        <v>4500</v>
      </c>
      <c r="G1287" s="76"/>
      <c r="H1287" s="57">
        <f t="shared" si="78"/>
        <v>4500</v>
      </c>
      <c r="I1287" s="50">
        <v>1</v>
      </c>
      <c r="J1287" s="57">
        <f t="shared" si="76"/>
        <v>4500</v>
      </c>
      <c r="K1287" s="58">
        <f t="shared" si="77"/>
        <v>4950</v>
      </c>
      <c r="L1287" s="18" t="s">
        <v>3213</v>
      </c>
      <c r="M1287" s="50"/>
    </row>
    <row r="1288" spans="1:14" ht="21.75" hidden="1" customHeight="1" x14ac:dyDescent="0.4">
      <c r="A1288" s="62">
        <v>45386</v>
      </c>
      <c r="B1288" s="32" t="s">
        <v>179</v>
      </c>
      <c r="C1288" s="18" t="s">
        <v>17</v>
      </c>
      <c r="D1288" s="63" t="s">
        <v>455</v>
      </c>
      <c r="E1288" s="50" t="s">
        <v>3113</v>
      </c>
      <c r="F1288" s="57">
        <v>1700</v>
      </c>
      <c r="G1288" s="76">
        <v>-170</v>
      </c>
      <c r="H1288" s="57">
        <f t="shared" si="78"/>
        <v>1530</v>
      </c>
      <c r="I1288" s="50">
        <v>2</v>
      </c>
      <c r="J1288" s="57">
        <f t="shared" si="76"/>
        <v>3060</v>
      </c>
      <c r="K1288" s="58">
        <f t="shared" si="77"/>
        <v>3366</v>
      </c>
      <c r="L1288" s="18" t="s">
        <v>3213</v>
      </c>
      <c r="M1288" s="50"/>
    </row>
    <row r="1289" spans="1:14" ht="21.75" hidden="1" customHeight="1" x14ac:dyDescent="0.4">
      <c r="A1289" s="62">
        <v>45387</v>
      </c>
      <c r="B1289" s="32" t="s">
        <v>3234</v>
      </c>
      <c r="C1289" s="18" t="s">
        <v>2892</v>
      </c>
      <c r="D1289" s="63" t="s">
        <v>23</v>
      </c>
      <c r="E1289" s="50" t="s">
        <v>3261</v>
      </c>
      <c r="F1289" s="57">
        <v>15000</v>
      </c>
      <c r="G1289" s="76"/>
      <c r="H1289" s="57">
        <f t="shared" si="78"/>
        <v>15000</v>
      </c>
      <c r="I1289" s="50">
        <v>1</v>
      </c>
      <c r="J1289" s="57">
        <f t="shared" si="76"/>
        <v>15000</v>
      </c>
      <c r="K1289" s="58">
        <f t="shared" si="77"/>
        <v>16500</v>
      </c>
      <c r="L1289" s="18" t="s">
        <v>25</v>
      </c>
      <c r="M1289" s="50" t="s">
        <v>2515</v>
      </c>
    </row>
    <row r="1290" spans="1:14" ht="21.75" hidden="1" customHeight="1" x14ac:dyDescent="0.4">
      <c r="A1290" s="62">
        <v>45387</v>
      </c>
      <c r="B1290" s="32" t="s">
        <v>3234</v>
      </c>
      <c r="C1290" s="18" t="s">
        <v>3217</v>
      </c>
      <c r="D1290" s="63" t="s">
        <v>328</v>
      </c>
      <c r="E1290" s="50" t="s">
        <v>3235</v>
      </c>
      <c r="F1290" s="57">
        <v>55000</v>
      </c>
      <c r="G1290" s="76">
        <v>-11000</v>
      </c>
      <c r="H1290" s="57">
        <f t="shared" si="78"/>
        <v>44000</v>
      </c>
      <c r="I1290" s="50">
        <v>1</v>
      </c>
      <c r="J1290" s="57">
        <f t="shared" si="76"/>
        <v>44000</v>
      </c>
      <c r="K1290" s="58">
        <f t="shared" si="77"/>
        <v>48400</v>
      </c>
      <c r="L1290" s="18" t="s">
        <v>34</v>
      </c>
      <c r="M1290" s="50"/>
      <c r="N1290" s="52" t="s">
        <v>3319</v>
      </c>
    </row>
    <row r="1291" spans="1:14" ht="21.75" hidden="1" customHeight="1" x14ac:dyDescent="0.4">
      <c r="A1291" s="62">
        <v>45387</v>
      </c>
      <c r="B1291" s="32" t="s">
        <v>3234</v>
      </c>
      <c r="C1291" s="18" t="s">
        <v>3217</v>
      </c>
      <c r="D1291" s="63" t="s">
        <v>332</v>
      </c>
      <c r="E1291" s="50" t="s">
        <v>3236</v>
      </c>
      <c r="F1291" s="57">
        <v>1500</v>
      </c>
      <c r="G1291" s="76"/>
      <c r="H1291" s="57">
        <f t="shared" si="78"/>
        <v>1500</v>
      </c>
      <c r="I1291" s="50">
        <v>1</v>
      </c>
      <c r="J1291" s="57">
        <f t="shared" si="76"/>
        <v>1500</v>
      </c>
      <c r="K1291" s="58">
        <f t="shared" si="77"/>
        <v>1650</v>
      </c>
      <c r="L1291" s="18" t="s">
        <v>34</v>
      </c>
      <c r="M1291" s="50"/>
      <c r="N1291" s="52" t="s">
        <v>3319</v>
      </c>
    </row>
    <row r="1292" spans="1:14" ht="21.75" hidden="1" customHeight="1" x14ac:dyDescent="0.4">
      <c r="A1292" s="62">
        <v>45387</v>
      </c>
      <c r="B1292" s="32" t="s">
        <v>678</v>
      </c>
      <c r="C1292" s="18" t="s">
        <v>3217</v>
      </c>
      <c r="D1292" s="63" t="s">
        <v>332</v>
      </c>
      <c r="E1292" s="50" t="s">
        <v>3238</v>
      </c>
      <c r="F1292" s="57">
        <v>1800</v>
      </c>
      <c r="G1292" s="76">
        <v>-180</v>
      </c>
      <c r="H1292" s="57">
        <f t="shared" si="78"/>
        <v>1620</v>
      </c>
      <c r="I1292" s="50">
        <v>1</v>
      </c>
      <c r="J1292" s="57">
        <f t="shared" si="76"/>
        <v>1620</v>
      </c>
      <c r="K1292" s="58">
        <f t="shared" si="77"/>
        <v>1782</v>
      </c>
      <c r="L1292" s="18" t="s">
        <v>3213</v>
      </c>
      <c r="M1292" s="50"/>
    </row>
    <row r="1293" spans="1:14" ht="21.75" hidden="1" customHeight="1" x14ac:dyDescent="0.4">
      <c r="A1293" s="62">
        <v>45388</v>
      </c>
      <c r="B1293" s="32" t="s">
        <v>3239</v>
      </c>
      <c r="C1293" s="18" t="s">
        <v>22</v>
      </c>
      <c r="D1293" s="63" t="s">
        <v>1496</v>
      </c>
      <c r="E1293" s="50" t="s">
        <v>369</v>
      </c>
      <c r="F1293" s="57">
        <v>3000</v>
      </c>
      <c r="G1293" s="76"/>
      <c r="H1293" s="57">
        <f t="shared" si="78"/>
        <v>3000</v>
      </c>
      <c r="I1293" s="50">
        <v>1</v>
      </c>
      <c r="J1293" s="57">
        <f t="shared" si="76"/>
        <v>3000</v>
      </c>
      <c r="K1293" s="58">
        <f t="shared" si="77"/>
        <v>3300</v>
      </c>
      <c r="L1293" s="18" t="s">
        <v>3213</v>
      </c>
      <c r="M1293" s="50" t="s">
        <v>2515</v>
      </c>
    </row>
    <row r="1294" spans="1:14" ht="21.75" hidden="1" customHeight="1" x14ac:dyDescent="0.4">
      <c r="A1294" s="62">
        <v>45388</v>
      </c>
      <c r="B1294" s="32" t="s">
        <v>3240</v>
      </c>
      <c r="C1294" s="18" t="s">
        <v>3217</v>
      </c>
      <c r="D1294" s="63" t="s">
        <v>283</v>
      </c>
      <c r="E1294" s="50" t="s">
        <v>3241</v>
      </c>
      <c r="F1294" s="57">
        <v>1800</v>
      </c>
      <c r="G1294" s="76">
        <v>-180</v>
      </c>
      <c r="H1294" s="57">
        <f t="shared" si="78"/>
        <v>1620</v>
      </c>
      <c r="I1294" s="50">
        <v>1</v>
      </c>
      <c r="J1294" s="57">
        <f t="shared" si="76"/>
        <v>1620</v>
      </c>
      <c r="K1294" s="58">
        <f t="shared" si="77"/>
        <v>1782</v>
      </c>
      <c r="L1294" s="18" t="s">
        <v>3213</v>
      </c>
      <c r="M1294" s="50"/>
    </row>
    <row r="1295" spans="1:14" ht="21.75" hidden="1" customHeight="1" x14ac:dyDescent="0.4">
      <c r="A1295" s="62">
        <v>45389</v>
      </c>
      <c r="B1295" s="32" t="s">
        <v>678</v>
      </c>
      <c r="C1295" s="18" t="s">
        <v>3217</v>
      </c>
      <c r="D1295" s="63" t="s">
        <v>455</v>
      </c>
      <c r="E1295" s="50" t="s">
        <v>3237</v>
      </c>
      <c r="F1295" s="57">
        <v>1800</v>
      </c>
      <c r="G1295" s="76">
        <v>-180</v>
      </c>
      <c r="H1295" s="57">
        <f t="shared" si="78"/>
        <v>1620</v>
      </c>
      <c r="I1295" s="50">
        <v>1</v>
      </c>
      <c r="J1295" s="57">
        <f t="shared" si="76"/>
        <v>1620</v>
      </c>
      <c r="K1295" s="58">
        <f t="shared" si="77"/>
        <v>1782</v>
      </c>
      <c r="L1295" s="18" t="s">
        <v>3213</v>
      </c>
      <c r="M1295" s="50"/>
    </row>
    <row r="1296" spans="1:14" ht="21.75" hidden="1" customHeight="1" x14ac:dyDescent="0.4">
      <c r="A1296" s="62">
        <v>45389</v>
      </c>
      <c r="B1296" s="32" t="s">
        <v>3242</v>
      </c>
      <c r="C1296" s="18" t="s">
        <v>27</v>
      </c>
      <c r="D1296" s="63" t="s">
        <v>28</v>
      </c>
      <c r="E1296" s="50" t="s">
        <v>73</v>
      </c>
      <c r="F1296" s="57">
        <v>2000</v>
      </c>
      <c r="G1296" s="76"/>
      <c r="H1296" s="57">
        <f t="shared" si="78"/>
        <v>2000</v>
      </c>
      <c r="I1296" s="50">
        <v>1</v>
      </c>
      <c r="J1296" s="57">
        <f t="shared" si="76"/>
        <v>2000</v>
      </c>
      <c r="K1296" s="58">
        <f t="shared" si="77"/>
        <v>2200</v>
      </c>
      <c r="L1296" s="18" t="s">
        <v>25</v>
      </c>
      <c r="M1296" s="50"/>
    </row>
    <row r="1297" spans="1:13" ht="21.75" hidden="1" customHeight="1" x14ac:dyDescent="0.4">
      <c r="A1297" s="62">
        <v>45389</v>
      </c>
      <c r="B1297" s="32" t="s">
        <v>3242</v>
      </c>
      <c r="C1297" s="18" t="s">
        <v>3217</v>
      </c>
      <c r="D1297" s="63" t="s">
        <v>292</v>
      </c>
      <c r="E1297" s="50" t="s">
        <v>3243</v>
      </c>
      <c r="F1297" s="57">
        <v>5500</v>
      </c>
      <c r="G1297" s="76"/>
      <c r="H1297" s="57">
        <f t="shared" si="78"/>
        <v>5500</v>
      </c>
      <c r="I1297" s="50">
        <v>1</v>
      </c>
      <c r="J1297" s="57">
        <f t="shared" si="76"/>
        <v>5500</v>
      </c>
      <c r="K1297" s="58">
        <f t="shared" si="77"/>
        <v>6050</v>
      </c>
      <c r="L1297" s="18" t="s">
        <v>25</v>
      </c>
      <c r="M1297" s="50"/>
    </row>
    <row r="1298" spans="1:13" ht="21.75" hidden="1" customHeight="1" x14ac:dyDescent="0.4">
      <c r="A1298" s="62">
        <v>45389</v>
      </c>
      <c r="B1298" s="32" t="s">
        <v>1541</v>
      </c>
      <c r="C1298" s="18" t="s">
        <v>3217</v>
      </c>
      <c r="D1298" s="63" t="s">
        <v>455</v>
      </c>
      <c r="E1298" s="50" t="s">
        <v>3220</v>
      </c>
      <c r="F1298" s="57">
        <v>2400</v>
      </c>
      <c r="G1298" s="76">
        <v>-240</v>
      </c>
      <c r="H1298" s="57">
        <f t="shared" si="78"/>
        <v>2160</v>
      </c>
      <c r="I1298" s="50">
        <v>1</v>
      </c>
      <c r="J1298" s="57">
        <f t="shared" si="76"/>
        <v>2160</v>
      </c>
      <c r="K1298" s="58">
        <f t="shared" si="77"/>
        <v>2376</v>
      </c>
      <c r="L1298" s="18" t="s">
        <v>3213</v>
      </c>
      <c r="M1298" s="50"/>
    </row>
    <row r="1299" spans="1:13" ht="21.75" hidden="1" customHeight="1" x14ac:dyDescent="0.4">
      <c r="A1299" s="62">
        <v>45389</v>
      </c>
      <c r="B1299" s="191" t="s">
        <v>3318</v>
      </c>
      <c r="C1299" s="18" t="s">
        <v>27</v>
      </c>
      <c r="D1299" s="63" t="s">
        <v>28</v>
      </c>
      <c r="E1299" s="50" t="s">
        <v>73</v>
      </c>
      <c r="F1299" s="57">
        <v>2000</v>
      </c>
      <c r="G1299" s="76"/>
      <c r="H1299" s="57">
        <f t="shared" si="78"/>
        <v>2000</v>
      </c>
      <c r="I1299" s="50">
        <v>1</v>
      </c>
      <c r="J1299" s="57">
        <f t="shared" si="76"/>
        <v>2000</v>
      </c>
      <c r="K1299" s="58">
        <f t="shared" si="77"/>
        <v>2200</v>
      </c>
      <c r="L1299" s="18" t="s">
        <v>3213</v>
      </c>
      <c r="M1299" s="50"/>
    </row>
    <row r="1300" spans="1:13" ht="21.75" hidden="1" customHeight="1" x14ac:dyDescent="0.4">
      <c r="A1300" s="62">
        <v>45389</v>
      </c>
      <c r="B1300" s="32" t="s">
        <v>3244</v>
      </c>
      <c r="C1300" s="18" t="s">
        <v>2457</v>
      </c>
      <c r="D1300" s="63" t="s">
        <v>1615</v>
      </c>
      <c r="E1300" s="50" t="s">
        <v>3245</v>
      </c>
      <c r="F1300" s="57">
        <v>15000</v>
      </c>
      <c r="G1300" s="76"/>
      <c r="H1300" s="57">
        <f t="shared" si="78"/>
        <v>15000</v>
      </c>
      <c r="I1300" s="50">
        <v>1</v>
      </c>
      <c r="J1300" s="57">
        <f t="shared" si="76"/>
        <v>15000</v>
      </c>
      <c r="K1300" s="58">
        <f t="shared" si="77"/>
        <v>16500</v>
      </c>
      <c r="L1300" s="18" t="s">
        <v>25</v>
      </c>
      <c r="M1300" s="50"/>
    </row>
    <row r="1301" spans="1:13" ht="21.75" hidden="1" customHeight="1" x14ac:dyDescent="0.4">
      <c r="A1301" s="62">
        <v>45390</v>
      </c>
      <c r="B1301" s="32" t="s">
        <v>2833</v>
      </c>
      <c r="C1301" s="18" t="s">
        <v>27</v>
      </c>
      <c r="D1301" s="63" t="s">
        <v>103</v>
      </c>
      <c r="E1301" s="50" t="s">
        <v>217</v>
      </c>
      <c r="F1301" s="57">
        <v>25000</v>
      </c>
      <c r="G1301" s="76"/>
      <c r="H1301" s="57">
        <f t="shared" si="78"/>
        <v>25000</v>
      </c>
      <c r="I1301" s="50">
        <v>1</v>
      </c>
      <c r="J1301" s="57">
        <f t="shared" si="76"/>
        <v>25000</v>
      </c>
      <c r="K1301" s="58">
        <f t="shared" si="77"/>
        <v>27500</v>
      </c>
      <c r="L1301" s="18" t="s">
        <v>3213</v>
      </c>
      <c r="M1301" s="50"/>
    </row>
    <row r="1302" spans="1:13" ht="21.75" hidden="1" customHeight="1" x14ac:dyDescent="0.4">
      <c r="A1302" s="62">
        <v>45390</v>
      </c>
      <c r="B1302" s="32" t="s">
        <v>3239</v>
      </c>
      <c r="C1302" s="18" t="s">
        <v>27</v>
      </c>
      <c r="D1302" s="63" t="s">
        <v>28</v>
      </c>
      <c r="E1302" s="50" t="s">
        <v>318</v>
      </c>
      <c r="F1302" s="57">
        <v>15000</v>
      </c>
      <c r="G1302" s="76"/>
      <c r="H1302" s="57">
        <f t="shared" si="78"/>
        <v>15000</v>
      </c>
      <c r="I1302" s="50">
        <v>1</v>
      </c>
      <c r="J1302" s="57">
        <f t="shared" si="76"/>
        <v>15000</v>
      </c>
      <c r="K1302" s="58">
        <f t="shared" si="77"/>
        <v>16500</v>
      </c>
      <c r="L1302" s="18" t="s">
        <v>25</v>
      </c>
      <c r="M1302" s="50"/>
    </row>
    <row r="1303" spans="1:13" ht="21.75" hidden="1" customHeight="1" x14ac:dyDescent="0.4">
      <c r="A1303" s="62">
        <v>45390</v>
      </c>
      <c r="B1303" s="32" t="s">
        <v>3239</v>
      </c>
      <c r="C1303" s="18" t="s">
        <v>27</v>
      </c>
      <c r="D1303" s="63" t="s">
        <v>28</v>
      </c>
      <c r="E1303" s="50" t="s">
        <v>3246</v>
      </c>
      <c r="F1303" s="57">
        <v>13120</v>
      </c>
      <c r="G1303" s="76"/>
      <c r="H1303" s="57">
        <f t="shared" si="78"/>
        <v>13120</v>
      </c>
      <c r="I1303" s="50">
        <v>1</v>
      </c>
      <c r="J1303" s="57">
        <f t="shared" si="76"/>
        <v>13120</v>
      </c>
      <c r="K1303" s="58">
        <f t="shared" si="77"/>
        <v>14432</v>
      </c>
      <c r="L1303" s="18" t="s">
        <v>25</v>
      </c>
      <c r="M1303" s="50"/>
    </row>
    <row r="1304" spans="1:13" ht="21.75" hidden="1" customHeight="1" x14ac:dyDescent="0.4">
      <c r="A1304" s="62">
        <v>45390</v>
      </c>
      <c r="B1304" s="32" t="s">
        <v>2662</v>
      </c>
      <c r="C1304" s="18" t="s">
        <v>3247</v>
      </c>
      <c r="D1304" s="63" t="s">
        <v>455</v>
      </c>
      <c r="E1304" s="50" t="s">
        <v>3248</v>
      </c>
      <c r="F1304" s="57">
        <v>2400</v>
      </c>
      <c r="G1304" s="76">
        <v>-240</v>
      </c>
      <c r="H1304" s="57">
        <f t="shared" si="78"/>
        <v>2160</v>
      </c>
      <c r="I1304" s="50">
        <v>1</v>
      </c>
      <c r="J1304" s="57">
        <f t="shared" si="76"/>
        <v>2160</v>
      </c>
      <c r="K1304" s="58">
        <f t="shared" si="77"/>
        <v>2376</v>
      </c>
      <c r="L1304" s="18" t="s">
        <v>3249</v>
      </c>
      <c r="M1304" s="50"/>
    </row>
    <row r="1305" spans="1:13" ht="21.75" hidden="1" customHeight="1" x14ac:dyDescent="0.4">
      <c r="A1305" s="62">
        <v>45392</v>
      </c>
      <c r="B1305" s="32" t="s">
        <v>162</v>
      </c>
      <c r="C1305" s="18" t="s">
        <v>27</v>
      </c>
      <c r="D1305" s="63" t="s">
        <v>28</v>
      </c>
      <c r="E1305" s="50" t="s">
        <v>1810</v>
      </c>
      <c r="F1305" s="57">
        <v>2500</v>
      </c>
      <c r="G1305" s="76"/>
      <c r="H1305" s="57">
        <f t="shared" si="78"/>
        <v>2500</v>
      </c>
      <c r="I1305" s="50">
        <v>1</v>
      </c>
      <c r="J1305" s="57">
        <f t="shared" si="76"/>
        <v>2500</v>
      </c>
      <c r="K1305" s="58">
        <f t="shared" si="77"/>
        <v>2750</v>
      </c>
      <c r="L1305" s="18" t="s">
        <v>3249</v>
      </c>
      <c r="M1305" s="50"/>
    </row>
    <row r="1306" spans="1:13" ht="21.75" hidden="1" customHeight="1" x14ac:dyDescent="0.4">
      <c r="A1306" s="62">
        <v>45392</v>
      </c>
      <c r="B1306" s="32" t="s">
        <v>162</v>
      </c>
      <c r="C1306" s="18" t="s">
        <v>27</v>
      </c>
      <c r="D1306" s="63" t="s">
        <v>28</v>
      </c>
      <c r="E1306" s="50" t="s">
        <v>73</v>
      </c>
      <c r="F1306" s="57">
        <v>2000</v>
      </c>
      <c r="G1306" s="76"/>
      <c r="H1306" s="57">
        <f t="shared" si="78"/>
        <v>2000</v>
      </c>
      <c r="I1306" s="50">
        <v>1</v>
      </c>
      <c r="J1306" s="57">
        <f t="shared" si="76"/>
        <v>2000</v>
      </c>
      <c r="K1306" s="58">
        <f t="shared" si="77"/>
        <v>2200</v>
      </c>
      <c r="L1306" s="18" t="s">
        <v>3249</v>
      </c>
      <c r="M1306" s="50"/>
    </row>
    <row r="1307" spans="1:13" ht="21.75" hidden="1" customHeight="1" x14ac:dyDescent="0.4">
      <c r="A1307" s="62">
        <v>45392</v>
      </c>
      <c r="B1307" s="32" t="s">
        <v>678</v>
      </c>
      <c r="C1307" s="18" t="s">
        <v>3247</v>
      </c>
      <c r="D1307" s="63" t="s">
        <v>332</v>
      </c>
      <c r="E1307" s="50" t="s">
        <v>3237</v>
      </c>
      <c r="F1307" s="57">
        <v>1800</v>
      </c>
      <c r="G1307" s="76">
        <v>-180</v>
      </c>
      <c r="H1307" s="57">
        <f t="shared" si="78"/>
        <v>1620</v>
      </c>
      <c r="I1307" s="50">
        <v>1</v>
      </c>
      <c r="J1307" s="57">
        <f t="shared" si="76"/>
        <v>1620</v>
      </c>
      <c r="K1307" s="58">
        <f t="shared" si="77"/>
        <v>1782</v>
      </c>
      <c r="L1307" s="18" t="s">
        <v>3249</v>
      </c>
      <c r="M1307" s="50"/>
    </row>
    <row r="1308" spans="1:13" ht="21.75" hidden="1" customHeight="1" x14ac:dyDescent="0.4">
      <c r="A1308" s="62">
        <v>45392</v>
      </c>
      <c r="B1308" s="32" t="s">
        <v>3212</v>
      </c>
      <c r="C1308" s="18" t="s">
        <v>3247</v>
      </c>
      <c r="D1308" s="63" t="s">
        <v>426</v>
      </c>
      <c r="E1308" s="50" t="s">
        <v>3250</v>
      </c>
      <c r="F1308" s="57">
        <v>1700</v>
      </c>
      <c r="G1308" s="76">
        <v>-170</v>
      </c>
      <c r="H1308" s="57">
        <f t="shared" si="78"/>
        <v>1530</v>
      </c>
      <c r="I1308" s="50">
        <v>1</v>
      </c>
      <c r="J1308" s="57">
        <f t="shared" ref="J1308:J1373" si="79">SUM(H1308*I1308)</f>
        <v>1530</v>
      </c>
      <c r="K1308" s="58">
        <f t="shared" ref="K1308:K1373" si="80">ROUNDDOWN(J1308*1.1,0)</f>
        <v>1683</v>
      </c>
      <c r="L1308" s="18" t="s">
        <v>3249</v>
      </c>
      <c r="M1308" s="50"/>
    </row>
    <row r="1309" spans="1:13" ht="21.75" hidden="1" customHeight="1" x14ac:dyDescent="0.4">
      <c r="A1309" s="62">
        <v>45393</v>
      </c>
      <c r="B1309" s="32" t="s">
        <v>3251</v>
      </c>
      <c r="C1309" s="18" t="s">
        <v>22</v>
      </c>
      <c r="D1309" s="63" t="s">
        <v>1496</v>
      </c>
      <c r="E1309" s="50" t="s">
        <v>2422</v>
      </c>
      <c r="F1309" s="57">
        <v>2000</v>
      </c>
      <c r="G1309" s="76"/>
      <c r="H1309" s="57">
        <f t="shared" si="78"/>
        <v>2000</v>
      </c>
      <c r="I1309" s="50">
        <v>1</v>
      </c>
      <c r="J1309" s="57">
        <f t="shared" si="79"/>
        <v>2000</v>
      </c>
      <c r="K1309" s="58">
        <f t="shared" si="80"/>
        <v>2200</v>
      </c>
      <c r="L1309" s="18" t="s">
        <v>3249</v>
      </c>
      <c r="M1309" s="50"/>
    </row>
    <row r="1310" spans="1:13" ht="21.75" hidden="1" customHeight="1" x14ac:dyDescent="0.4">
      <c r="A1310" s="62">
        <v>45393</v>
      </c>
      <c r="B1310" s="32" t="s">
        <v>428</v>
      </c>
      <c r="C1310" s="18" t="s">
        <v>27</v>
      </c>
      <c r="D1310" s="63" t="s">
        <v>28</v>
      </c>
      <c r="E1310" s="50" t="s">
        <v>1897</v>
      </c>
      <c r="F1310" s="57">
        <v>17500</v>
      </c>
      <c r="G1310" s="76"/>
      <c r="H1310" s="57">
        <f t="shared" si="78"/>
        <v>17500</v>
      </c>
      <c r="I1310" s="50">
        <v>1</v>
      </c>
      <c r="J1310" s="57">
        <f t="shared" si="79"/>
        <v>17500</v>
      </c>
      <c r="K1310" s="58">
        <f t="shared" si="80"/>
        <v>19250</v>
      </c>
      <c r="L1310" s="18" t="s">
        <v>25</v>
      </c>
      <c r="M1310" s="50"/>
    </row>
    <row r="1311" spans="1:13" ht="21.75" hidden="1" customHeight="1" x14ac:dyDescent="0.4">
      <c r="A1311" s="62">
        <v>45394</v>
      </c>
      <c r="B1311" s="32" t="s">
        <v>3252</v>
      </c>
      <c r="C1311" s="18" t="s">
        <v>27</v>
      </c>
      <c r="D1311" s="63" t="s">
        <v>103</v>
      </c>
      <c r="E1311" s="50" t="s">
        <v>217</v>
      </c>
      <c r="F1311" s="57">
        <v>25000</v>
      </c>
      <c r="G1311" s="76"/>
      <c r="H1311" s="57">
        <f t="shared" si="78"/>
        <v>25000</v>
      </c>
      <c r="I1311" s="50">
        <v>1</v>
      </c>
      <c r="J1311" s="57">
        <f t="shared" si="79"/>
        <v>25000</v>
      </c>
      <c r="K1311" s="58">
        <f t="shared" si="80"/>
        <v>27500</v>
      </c>
      <c r="L1311" s="18" t="s">
        <v>3253</v>
      </c>
      <c r="M1311" s="50"/>
    </row>
    <row r="1312" spans="1:13" ht="21.75" hidden="1" customHeight="1" x14ac:dyDescent="0.4">
      <c r="A1312" s="62">
        <v>45394</v>
      </c>
      <c r="B1312" s="32" t="s">
        <v>3254</v>
      </c>
      <c r="C1312" s="18" t="s">
        <v>22</v>
      </c>
      <c r="D1312" s="63" t="s">
        <v>1496</v>
      </c>
      <c r="E1312" s="50" t="s">
        <v>369</v>
      </c>
      <c r="F1312" s="57">
        <v>3000</v>
      </c>
      <c r="G1312" s="76"/>
      <c r="H1312" s="57">
        <f t="shared" si="78"/>
        <v>3000</v>
      </c>
      <c r="I1312" s="50">
        <v>1</v>
      </c>
      <c r="J1312" s="57">
        <f t="shared" si="79"/>
        <v>3000</v>
      </c>
      <c r="K1312" s="58">
        <f t="shared" si="80"/>
        <v>3300</v>
      </c>
      <c r="L1312" s="18" t="s">
        <v>3253</v>
      </c>
      <c r="M1312" s="50" t="s">
        <v>2515</v>
      </c>
    </row>
    <row r="1313" spans="1:14" ht="21.75" hidden="1" customHeight="1" x14ac:dyDescent="0.4">
      <c r="A1313" s="62">
        <v>45394</v>
      </c>
      <c r="B1313" s="32" t="s">
        <v>1541</v>
      </c>
      <c r="C1313" s="18" t="s">
        <v>3255</v>
      </c>
      <c r="D1313" s="63" t="s">
        <v>292</v>
      </c>
      <c r="E1313" s="50" t="s">
        <v>3256</v>
      </c>
      <c r="F1313" s="57">
        <v>4000</v>
      </c>
      <c r="G1313" s="76">
        <v>-400</v>
      </c>
      <c r="H1313" s="57">
        <f t="shared" si="78"/>
        <v>3600</v>
      </c>
      <c r="I1313" s="50">
        <v>2</v>
      </c>
      <c r="J1313" s="57">
        <f t="shared" si="79"/>
        <v>7200</v>
      </c>
      <c r="K1313" s="58">
        <f t="shared" si="80"/>
        <v>7920</v>
      </c>
      <c r="L1313" s="18" t="s">
        <v>3253</v>
      </c>
      <c r="M1313" s="50"/>
    </row>
    <row r="1314" spans="1:14" ht="21.75" hidden="1" customHeight="1" x14ac:dyDescent="0.4">
      <c r="A1314" s="62">
        <v>45395</v>
      </c>
      <c r="B1314" s="32" t="s">
        <v>3257</v>
      </c>
      <c r="C1314" s="18" t="s">
        <v>27</v>
      </c>
      <c r="D1314" s="63" t="s">
        <v>28</v>
      </c>
      <c r="E1314" s="50" t="s">
        <v>73</v>
      </c>
      <c r="F1314" s="57">
        <v>2000</v>
      </c>
      <c r="G1314" s="76"/>
      <c r="H1314" s="57">
        <f t="shared" si="78"/>
        <v>2000</v>
      </c>
      <c r="I1314" s="50">
        <v>1</v>
      </c>
      <c r="J1314" s="57">
        <f t="shared" si="79"/>
        <v>2000</v>
      </c>
      <c r="K1314" s="58">
        <f t="shared" si="80"/>
        <v>2200</v>
      </c>
      <c r="L1314" s="18" t="s">
        <v>25</v>
      </c>
      <c r="M1314" s="50"/>
    </row>
    <row r="1315" spans="1:14" ht="21.75" hidden="1" customHeight="1" x14ac:dyDescent="0.4">
      <c r="A1315" s="62">
        <v>45396</v>
      </c>
      <c r="B1315" s="32" t="s">
        <v>844</v>
      </c>
      <c r="C1315" s="18" t="s">
        <v>3255</v>
      </c>
      <c r="D1315" s="63" t="s">
        <v>332</v>
      </c>
      <c r="E1315" s="50" t="s">
        <v>3258</v>
      </c>
      <c r="F1315" s="57">
        <v>1800</v>
      </c>
      <c r="G1315" s="76">
        <v>-180</v>
      </c>
      <c r="H1315" s="57">
        <f t="shared" si="78"/>
        <v>1620</v>
      </c>
      <c r="I1315" s="50">
        <v>2</v>
      </c>
      <c r="J1315" s="57">
        <f t="shared" si="79"/>
        <v>3240</v>
      </c>
      <c r="K1315" s="58">
        <f t="shared" si="80"/>
        <v>3564</v>
      </c>
      <c r="L1315" s="18" t="s">
        <v>25</v>
      </c>
      <c r="M1315" s="50"/>
    </row>
    <row r="1316" spans="1:14" ht="21.75" hidden="1" customHeight="1" x14ac:dyDescent="0.4">
      <c r="A1316" s="62">
        <v>45396</v>
      </c>
      <c r="B1316" s="32" t="s">
        <v>795</v>
      </c>
      <c r="C1316" s="18" t="s">
        <v>3255</v>
      </c>
      <c r="D1316" s="63" t="s">
        <v>328</v>
      </c>
      <c r="E1316" s="50" t="s">
        <v>3259</v>
      </c>
      <c r="F1316" s="57">
        <v>50000</v>
      </c>
      <c r="G1316" s="76">
        <v>-15000</v>
      </c>
      <c r="H1316" s="57">
        <f t="shared" si="78"/>
        <v>35000</v>
      </c>
      <c r="I1316" s="50">
        <v>1</v>
      </c>
      <c r="J1316" s="57">
        <f t="shared" si="79"/>
        <v>35000</v>
      </c>
      <c r="K1316" s="58">
        <f t="shared" si="80"/>
        <v>38500</v>
      </c>
      <c r="L1316" s="18" t="s">
        <v>34</v>
      </c>
      <c r="M1316" s="50"/>
      <c r="N1316" s="52" t="s">
        <v>3279</v>
      </c>
    </row>
    <row r="1317" spans="1:14" ht="21.75" hidden="1" customHeight="1" x14ac:dyDescent="0.4">
      <c r="A1317" s="62">
        <v>45396</v>
      </c>
      <c r="B1317" s="32" t="s">
        <v>795</v>
      </c>
      <c r="C1317" s="18" t="s">
        <v>3255</v>
      </c>
      <c r="D1317" s="63" t="s">
        <v>328</v>
      </c>
      <c r="E1317" s="50" t="s">
        <v>3260</v>
      </c>
      <c r="F1317" s="57">
        <v>20000</v>
      </c>
      <c r="G1317" s="76">
        <v>-6000</v>
      </c>
      <c r="H1317" s="57">
        <f t="shared" si="78"/>
        <v>14000</v>
      </c>
      <c r="I1317" s="50">
        <v>2</v>
      </c>
      <c r="J1317" s="57">
        <f t="shared" si="79"/>
        <v>28000</v>
      </c>
      <c r="K1317" s="58">
        <f t="shared" si="80"/>
        <v>30800</v>
      </c>
      <c r="L1317" s="18" t="s">
        <v>34</v>
      </c>
      <c r="M1317" s="50"/>
      <c r="N1317" s="52" t="s">
        <v>3279</v>
      </c>
    </row>
    <row r="1318" spans="1:14" ht="21.75" hidden="1" customHeight="1" x14ac:dyDescent="0.4">
      <c r="A1318" s="62">
        <v>45396</v>
      </c>
      <c r="B1318" s="32" t="s">
        <v>795</v>
      </c>
      <c r="C1318" s="18" t="s">
        <v>2892</v>
      </c>
      <c r="D1318" s="63" t="s">
        <v>23</v>
      </c>
      <c r="E1318" s="50" t="s">
        <v>3261</v>
      </c>
      <c r="F1318" s="57">
        <v>10000</v>
      </c>
      <c r="G1318" s="76"/>
      <c r="H1318" s="57">
        <f t="shared" si="78"/>
        <v>10000</v>
      </c>
      <c r="I1318" s="50">
        <v>1</v>
      </c>
      <c r="J1318" s="57">
        <f t="shared" si="79"/>
        <v>10000</v>
      </c>
      <c r="K1318" s="58">
        <f t="shared" si="80"/>
        <v>11000</v>
      </c>
      <c r="L1318" s="18" t="s">
        <v>34</v>
      </c>
      <c r="M1318" s="50"/>
    </row>
    <row r="1319" spans="1:14" ht="21.75" hidden="1" customHeight="1" x14ac:dyDescent="0.4">
      <c r="A1319" s="62">
        <v>45396</v>
      </c>
      <c r="B1319" s="32" t="s">
        <v>795</v>
      </c>
      <c r="C1319" s="96" t="s">
        <v>3262</v>
      </c>
      <c r="D1319" s="63"/>
      <c r="E1319" s="50" t="s">
        <v>3263</v>
      </c>
      <c r="F1319" s="57">
        <v>-10000</v>
      </c>
      <c r="G1319" s="76"/>
      <c r="H1319" s="57">
        <f t="shared" si="78"/>
        <v>-10000</v>
      </c>
      <c r="I1319" s="50">
        <v>1</v>
      </c>
      <c r="J1319" s="57">
        <f t="shared" si="79"/>
        <v>-10000</v>
      </c>
      <c r="K1319" s="58">
        <f t="shared" si="80"/>
        <v>-11000</v>
      </c>
      <c r="L1319" s="18" t="s">
        <v>34</v>
      </c>
      <c r="M1319" s="50"/>
    </row>
    <row r="1320" spans="1:14" ht="21.75" hidden="1" customHeight="1" x14ac:dyDescent="0.4">
      <c r="A1320" s="62">
        <v>45397</v>
      </c>
      <c r="B1320" s="32" t="s">
        <v>1381</v>
      </c>
      <c r="C1320" s="18" t="s">
        <v>3255</v>
      </c>
      <c r="D1320" s="63" t="s">
        <v>332</v>
      </c>
      <c r="E1320" s="50" t="s">
        <v>3264</v>
      </c>
      <c r="F1320" s="57">
        <v>1700</v>
      </c>
      <c r="G1320" s="76">
        <v>-170</v>
      </c>
      <c r="H1320" s="57">
        <f t="shared" si="78"/>
        <v>1530</v>
      </c>
      <c r="I1320" s="50">
        <v>1</v>
      </c>
      <c r="J1320" s="57">
        <f t="shared" si="79"/>
        <v>1530</v>
      </c>
      <c r="K1320" s="58">
        <f t="shared" si="80"/>
        <v>1683</v>
      </c>
      <c r="L1320" s="18" t="s">
        <v>25</v>
      </c>
      <c r="M1320" s="50"/>
    </row>
    <row r="1321" spans="1:14" ht="21.75" hidden="1" customHeight="1" x14ac:dyDescent="0.4">
      <c r="A1321" s="62">
        <v>45397</v>
      </c>
      <c r="B1321" s="32" t="s">
        <v>3265</v>
      </c>
      <c r="C1321" s="18" t="s">
        <v>2457</v>
      </c>
      <c r="D1321" s="63" t="s">
        <v>1615</v>
      </c>
      <c r="E1321" s="50" t="s">
        <v>3245</v>
      </c>
      <c r="F1321" s="57">
        <v>15000</v>
      </c>
      <c r="G1321" s="76"/>
      <c r="H1321" s="57">
        <f t="shared" si="78"/>
        <v>15000</v>
      </c>
      <c r="I1321" s="50">
        <v>1</v>
      </c>
      <c r="J1321" s="57">
        <f t="shared" si="79"/>
        <v>15000</v>
      </c>
      <c r="K1321" s="58">
        <f t="shared" si="80"/>
        <v>16500</v>
      </c>
      <c r="L1321" s="18" t="s">
        <v>25</v>
      </c>
      <c r="M1321" s="50"/>
    </row>
    <row r="1322" spans="1:14" ht="21.75" hidden="1" customHeight="1" x14ac:dyDescent="0.4">
      <c r="A1322" s="62">
        <v>45398</v>
      </c>
      <c r="B1322" s="32" t="s">
        <v>905</v>
      </c>
      <c r="C1322" s="18" t="s">
        <v>2457</v>
      </c>
      <c r="D1322" s="63" t="s">
        <v>1615</v>
      </c>
      <c r="E1322" s="50" t="s">
        <v>3245</v>
      </c>
      <c r="F1322" s="57">
        <v>15000</v>
      </c>
      <c r="G1322" s="76"/>
      <c r="H1322" s="57">
        <f t="shared" si="78"/>
        <v>15000</v>
      </c>
      <c r="I1322" s="50">
        <v>1</v>
      </c>
      <c r="J1322" s="57">
        <f t="shared" si="79"/>
        <v>15000</v>
      </c>
      <c r="K1322" s="58">
        <f t="shared" si="80"/>
        <v>16500</v>
      </c>
      <c r="L1322" s="18" t="s">
        <v>34</v>
      </c>
      <c r="M1322" s="50" t="s">
        <v>3329</v>
      </c>
    </row>
    <row r="1323" spans="1:14" ht="21.75" hidden="1" customHeight="1" x14ac:dyDescent="0.4">
      <c r="A1323" s="62">
        <v>45399</v>
      </c>
      <c r="B1323" s="32" t="s">
        <v>3266</v>
      </c>
      <c r="C1323" s="18" t="s">
        <v>27</v>
      </c>
      <c r="D1323" s="63" t="s">
        <v>28</v>
      </c>
      <c r="E1323" s="50" t="s">
        <v>318</v>
      </c>
      <c r="F1323" s="57">
        <v>15000</v>
      </c>
      <c r="G1323" s="76"/>
      <c r="H1323" s="57">
        <f t="shared" si="78"/>
        <v>15000</v>
      </c>
      <c r="I1323" s="50">
        <v>1</v>
      </c>
      <c r="J1323" s="57">
        <f t="shared" si="79"/>
        <v>15000</v>
      </c>
      <c r="K1323" s="58">
        <f t="shared" si="80"/>
        <v>16500</v>
      </c>
      <c r="L1323" s="18" t="s">
        <v>25</v>
      </c>
      <c r="M1323" s="50"/>
    </row>
    <row r="1324" spans="1:14" ht="21.75" hidden="1" customHeight="1" x14ac:dyDescent="0.4">
      <c r="A1324" s="62">
        <v>45399</v>
      </c>
      <c r="B1324" s="32" t="s">
        <v>3266</v>
      </c>
      <c r="C1324" s="18" t="s">
        <v>27</v>
      </c>
      <c r="D1324" s="63" t="s">
        <v>28</v>
      </c>
      <c r="E1324" s="50" t="s">
        <v>3267</v>
      </c>
      <c r="F1324" s="57">
        <v>55000</v>
      </c>
      <c r="G1324" s="76"/>
      <c r="H1324" s="57">
        <f t="shared" si="78"/>
        <v>55000</v>
      </c>
      <c r="I1324" s="50">
        <v>1</v>
      </c>
      <c r="J1324" s="57">
        <f t="shared" si="79"/>
        <v>55000</v>
      </c>
      <c r="K1324" s="58">
        <f t="shared" si="80"/>
        <v>60500</v>
      </c>
      <c r="L1324" s="18" t="s">
        <v>25</v>
      </c>
      <c r="M1324" s="50"/>
    </row>
    <row r="1325" spans="1:14" ht="21.75" hidden="1" customHeight="1" x14ac:dyDescent="0.4">
      <c r="A1325" s="62">
        <v>45400</v>
      </c>
      <c r="B1325" s="32" t="s">
        <v>844</v>
      </c>
      <c r="C1325" s="18" t="s">
        <v>3255</v>
      </c>
      <c r="D1325" s="63" t="s">
        <v>455</v>
      </c>
      <c r="E1325" s="50" t="s">
        <v>3258</v>
      </c>
      <c r="F1325" s="57">
        <v>1800</v>
      </c>
      <c r="G1325" s="76">
        <v>-180</v>
      </c>
      <c r="H1325" s="57">
        <f t="shared" si="78"/>
        <v>1620</v>
      </c>
      <c r="I1325" s="50">
        <v>1</v>
      </c>
      <c r="J1325" s="57">
        <f t="shared" si="79"/>
        <v>1620</v>
      </c>
      <c r="K1325" s="58">
        <f t="shared" si="80"/>
        <v>1782</v>
      </c>
      <c r="L1325" s="18" t="s">
        <v>25</v>
      </c>
      <c r="M1325" s="50"/>
    </row>
    <row r="1326" spans="1:14" ht="21.75" hidden="1" customHeight="1" x14ac:dyDescent="0.4">
      <c r="A1326" s="62">
        <v>45400</v>
      </c>
      <c r="B1326" s="32" t="s">
        <v>844</v>
      </c>
      <c r="C1326" s="18" t="s">
        <v>3255</v>
      </c>
      <c r="D1326" s="63" t="s">
        <v>292</v>
      </c>
      <c r="E1326" s="50" t="s">
        <v>3268</v>
      </c>
      <c r="F1326" s="57">
        <v>3200</v>
      </c>
      <c r="G1326" s="76">
        <v>-320</v>
      </c>
      <c r="H1326" s="57">
        <f t="shared" si="78"/>
        <v>2880</v>
      </c>
      <c r="I1326" s="50">
        <v>1</v>
      </c>
      <c r="J1326" s="57">
        <f t="shared" si="79"/>
        <v>2880</v>
      </c>
      <c r="K1326" s="58">
        <f t="shared" si="80"/>
        <v>3168</v>
      </c>
      <c r="L1326" s="18" t="s">
        <v>25</v>
      </c>
      <c r="M1326" s="50"/>
    </row>
    <row r="1327" spans="1:14" ht="21.75" hidden="1" customHeight="1" x14ac:dyDescent="0.4">
      <c r="A1327" s="62">
        <v>45400</v>
      </c>
      <c r="B1327" s="32" t="s">
        <v>3269</v>
      </c>
      <c r="C1327" s="18" t="s">
        <v>3255</v>
      </c>
      <c r="D1327" s="63" t="s">
        <v>426</v>
      </c>
      <c r="E1327" s="50" t="s">
        <v>3270</v>
      </c>
      <c r="F1327" s="57">
        <v>1700</v>
      </c>
      <c r="G1327" s="76">
        <v>-170</v>
      </c>
      <c r="H1327" s="57">
        <f t="shared" si="78"/>
        <v>1530</v>
      </c>
      <c r="I1327" s="50">
        <v>2</v>
      </c>
      <c r="J1327" s="57">
        <f t="shared" si="79"/>
        <v>3060</v>
      </c>
      <c r="K1327" s="58">
        <f t="shared" si="80"/>
        <v>3366</v>
      </c>
      <c r="L1327" s="18" t="s">
        <v>25</v>
      </c>
      <c r="M1327" s="50"/>
    </row>
    <row r="1328" spans="1:14" ht="21.75" hidden="1" customHeight="1" x14ac:dyDescent="0.4">
      <c r="A1328" s="62">
        <v>45400</v>
      </c>
      <c r="B1328" s="32" t="s">
        <v>3269</v>
      </c>
      <c r="C1328" s="18" t="s">
        <v>3255</v>
      </c>
      <c r="D1328" s="63" t="s">
        <v>55</v>
      </c>
      <c r="E1328" s="50" t="s">
        <v>3271</v>
      </c>
      <c r="F1328" s="57">
        <v>5500</v>
      </c>
      <c r="G1328" s="76"/>
      <c r="H1328" s="57">
        <f t="shared" si="78"/>
        <v>5500</v>
      </c>
      <c r="I1328" s="50">
        <v>1</v>
      </c>
      <c r="J1328" s="57">
        <f t="shared" si="79"/>
        <v>5500</v>
      </c>
      <c r="K1328" s="58">
        <f t="shared" si="80"/>
        <v>6050</v>
      </c>
      <c r="L1328" s="18" t="s">
        <v>25</v>
      </c>
      <c r="M1328" s="50"/>
    </row>
    <row r="1329" spans="1:13" ht="21.75" hidden="1" customHeight="1" x14ac:dyDescent="0.4">
      <c r="A1329" s="62">
        <v>45400</v>
      </c>
      <c r="B1329" s="32" t="s">
        <v>3272</v>
      </c>
      <c r="C1329" s="18" t="s">
        <v>22</v>
      </c>
      <c r="D1329" s="63" t="s">
        <v>1496</v>
      </c>
      <c r="E1329" s="50" t="s">
        <v>369</v>
      </c>
      <c r="F1329" s="57">
        <v>3000</v>
      </c>
      <c r="G1329" s="76"/>
      <c r="H1329" s="57">
        <f t="shared" ref="H1329:H1392" si="81">SUM(F1329:G1329)</f>
        <v>3000</v>
      </c>
      <c r="I1329" s="50">
        <v>1</v>
      </c>
      <c r="J1329" s="57">
        <f t="shared" si="79"/>
        <v>3000</v>
      </c>
      <c r="K1329" s="58">
        <f t="shared" si="80"/>
        <v>3300</v>
      </c>
      <c r="L1329" s="18" t="s">
        <v>25</v>
      </c>
      <c r="M1329" s="50"/>
    </row>
    <row r="1330" spans="1:13" ht="21.75" hidden="1" customHeight="1" x14ac:dyDescent="0.4">
      <c r="A1330" s="62">
        <v>45400</v>
      </c>
      <c r="B1330" s="32" t="s">
        <v>3273</v>
      </c>
      <c r="C1330" s="18" t="s">
        <v>27</v>
      </c>
      <c r="D1330" s="63" t="s">
        <v>103</v>
      </c>
      <c r="E1330" s="50" t="s">
        <v>3274</v>
      </c>
      <c r="F1330" s="57">
        <v>2500</v>
      </c>
      <c r="G1330" s="76"/>
      <c r="H1330" s="57">
        <f t="shared" si="81"/>
        <v>2500</v>
      </c>
      <c r="I1330" s="50">
        <v>1</v>
      </c>
      <c r="J1330" s="57">
        <f t="shared" si="79"/>
        <v>2500</v>
      </c>
      <c r="K1330" s="58">
        <f t="shared" si="80"/>
        <v>2750</v>
      </c>
      <c r="L1330" s="18" t="s">
        <v>3253</v>
      </c>
      <c r="M1330" s="50"/>
    </row>
    <row r="1331" spans="1:13" ht="21.75" hidden="1" customHeight="1" x14ac:dyDescent="0.4">
      <c r="A1331" s="62">
        <v>45400</v>
      </c>
      <c r="B1331" s="32" t="s">
        <v>3323</v>
      </c>
      <c r="C1331" s="18" t="s">
        <v>3324</v>
      </c>
      <c r="D1331" s="63" t="s">
        <v>328</v>
      </c>
      <c r="E1331" s="50" t="s">
        <v>3325</v>
      </c>
      <c r="F1331" s="57">
        <v>23000</v>
      </c>
      <c r="G1331" s="76">
        <v>-4600</v>
      </c>
      <c r="H1331" s="57">
        <f t="shared" si="81"/>
        <v>18400</v>
      </c>
      <c r="I1331" s="50">
        <v>2</v>
      </c>
      <c r="J1331" s="57">
        <f t="shared" si="79"/>
        <v>36800</v>
      </c>
      <c r="K1331" s="58">
        <f t="shared" si="80"/>
        <v>40480</v>
      </c>
      <c r="L1331" s="18" t="s">
        <v>3326</v>
      </c>
      <c r="M1331" s="50"/>
    </row>
    <row r="1332" spans="1:13" ht="21.75" hidden="1" customHeight="1" x14ac:dyDescent="0.4">
      <c r="A1332" s="62">
        <v>45401</v>
      </c>
      <c r="B1332" s="32" t="s">
        <v>3275</v>
      </c>
      <c r="C1332" s="18" t="s">
        <v>22</v>
      </c>
      <c r="D1332" s="63" t="s">
        <v>1496</v>
      </c>
      <c r="E1332" s="50" t="s">
        <v>369</v>
      </c>
      <c r="F1332" s="57">
        <v>3000</v>
      </c>
      <c r="G1332" s="76"/>
      <c r="H1332" s="57">
        <f t="shared" si="81"/>
        <v>3000</v>
      </c>
      <c r="I1332" s="50">
        <v>1</v>
      </c>
      <c r="J1332" s="57">
        <f t="shared" si="79"/>
        <v>3000</v>
      </c>
      <c r="K1332" s="58">
        <f t="shared" si="80"/>
        <v>3300</v>
      </c>
      <c r="L1332" s="18" t="s">
        <v>25</v>
      </c>
      <c r="M1332" s="50" t="s">
        <v>2515</v>
      </c>
    </row>
    <row r="1333" spans="1:13" ht="21.75" hidden="1" customHeight="1" x14ac:dyDescent="0.4">
      <c r="A1333" s="62">
        <v>45401</v>
      </c>
      <c r="B1333" s="32" t="s">
        <v>3275</v>
      </c>
      <c r="C1333" s="18" t="s">
        <v>27</v>
      </c>
      <c r="D1333" s="63" t="s">
        <v>28</v>
      </c>
      <c r="E1333" s="50" t="s">
        <v>318</v>
      </c>
      <c r="F1333" s="57">
        <v>15000</v>
      </c>
      <c r="G1333" s="76"/>
      <c r="H1333" s="57">
        <f t="shared" si="81"/>
        <v>15000</v>
      </c>
      <c r="I1333" s="50">
        <v>1</v>
      </c>
      <c r="J1333" s="57">
        <f t="shared" si="79"/>
        <v>15000</v>
      </c>
      <c r="K1333" s="58">
        <f t="shared" si="80"/>
        <v>16500</v>
      </c>
      <c r="L1333" s="18" t="s">
        <v>25</v>
      </c>
      <c r="M1333" s="50"/>
    </row>
    <row r="1334" spans="1:13" ht="21.75" hidden="1" customHeight="1" x14ac:dyDescent="0.4">
      <c r="A1334" s="62">
        <v>45401</v>
      </c>
      <c r="B1334" s="32" t="s">
        <v>3275</v>
      </c>
      <c r="C1334" s="18" t="s">
        <v>27</v>
      </c>
      <c r="D1334" s="63" t="s">
        <v>28</v>
      </c>
      <c r="E1334" s="50" t="s">
        <v>3276</v>
      </c>
      <c r="F1334" s="57">
        <v>4370</v>
      </c>
      <c r="G1334" s="76"/>
      <c r="H1334" s="57">
        <f t="shared" si="81"/>
        <v>4370</v>
      </c>
      <c r="I1334" s="50">
        <v>1</v>
      </c>
      <c r="J1334" s="57">
        <f t="shared" si="79"/>
        <v>4370</v>
      </c>
      <c r="K1334" s="58">
        <f t="shared" si="80"/>
        <v>4807</v>
      </c>
      <c r="L1334" s="18" t="s">
        <v>25</v>
      </c>
      <c r="M1334" s="50"/>
    </row>
    <row r="1335" spans="1:13" ht="21.75" hidden="1" customHeight="1" x14ac:dyDescent="0.4">
      <c r="A1335" s="62">
        <v>45401</v>
      </c>
      <c r="B1335" s="32" t="s">
        <v>3275</v>
      </c>
      <c r="C1335" s="18" t="s">
        <v>27</v>
      </c>
      <c r="D1335" s="63" t="s">
        <v>28</v>
      </c>
      <c r="E1335" s="50" t="s">
        <v>3277</v>
      </c>
      <c r="F1335" s="57">
        <v>17500</v>
      </c>
      <c r="G1335" s="76"/>
      <c r="H1335" s="57">
        <f t="shared" si="81"/>
        <v>17500</v>
      </c>
      <c r="I1335" s="50">
        <v>1</v>
      </c>
      <c r="J1335" s="57">
        <f t="shared" si="79"/>
        <v>17500</v>
      </c>
      <c r="K1335" s="58">
        <f t="shared" si="80"/>
        <v>19250</v>
      </c>
      <c r="L1335" s="18" t="s">
        <v>25</v>
      </c>
      <c r="M1335" s="50"/>
    </row>
    <row r="1336" spans="1:13" ht="21.75" hidden="1" customHeight="1" x14ac:dyDescent="0.4">
      <c r="A1336" s="62">
        <v>45402</v>
      </c>
      <c r="B1336" s="32" t="s">
        <v>3278</v>
      </c>
      <c r="C1336" s="18" t="s">
        <v>22</v>
      </c>
      <c r="D1336" s="63" t="s">
        <v>1496</v>
      </c>
      <c r="E1336" s="50" t="s">
        <v>369</v>
      </c>
      <c r="F1336" s="57">
        <v>3000</v>
      </c>
      <c r="G1336" s="76"/>
      <c r="H1336" s="57">
        <f t="shared" si="81"/>
        <v>3000</v>
      </c>
      <c r="I1336" s="50">
        <v>1</v>
      </c>
      <c r="J1336" s="57">
        <f t="shared" si="79"/>
        <v>3000</v>
      </c>
      <c r="K1336" s="58">
        <f t="shared" si="80"/>
        <v>3300</v>
      </c>
      <c r="L1336" s="18" t="s">
        <v>3253</v>
      </c>
      <c r="M1336" s="50" t="s">
        <v>2515</v>
      </c>
    </row>
    <row r="1337" spans="1:13" ht="21.75" hidden="1" customHeight="1" x14ac:dyDescent="0.4">
      <c r="A1337" s="62">
        <v>45402</v>
      </c>
      <c r="B1337" s="32" t="s">
        <v>3280</v>
      </c>
      <c r="C1337" s="18" t="s">
        <v>3255</v>
      </c>
      <c r="D1337" s="63" t="s">
        <v>292</v>
      </c>
      <c r="E1337" s="50" t="s">
        <v>3281</v>
      </c>
      <c r="F1337" s="57">
        <v>6300</v>
      </c>
      <c r="G1337" s="76">
        <v>-1575</v>
      </c>
      <c r="H1337" s="57">
        <f t="shared" si="81"/>
        <v>4725</v>
      </c>
      <c r="I1337" s="50">
        <v>3</v>
      </c>
      <c r="J1337" s="57">
        <f t="shared" si="79"/>
        <v>14175</v>
      </c>
      <c r="K1337" s="58">
        <f t="shared" si="80"/>
        <v>15592</v>
      </c>
      <c r="L1337" s="18" t="s">
        <v>34</v>
      </c>
      <c r="M1337" s="50"/>
    </row>
    <row r="1338" spans="1:13" ht="21.75" hidden="1" customHeight="1" x14ac:dyDescent="0.4">
      <c r="A1338" s="62">
        <v>45403</v>
      </c>
      <c r="B1338" s="32" t="s">
        <v>582</v>
      </c>
      <c r="C1338" s="18" t="s">
        <v>3255</v>
      </c>
      <c r="D1338" s="63" t="s">
        <v>292</v>
      </c>
      <c r="E1338" s="50" t="s">
        <v>3282</v>
      </c>
      <c r="F1338" s="57">
        <v>4000</v>
      </c>
      <c r="G1338" s="76">
        <v>-400</v>
      </c>
      <c r="H1338" s="57">
        <f t="shared" si="81"/>
        <v>3600</v>
      </c>
      <c r="I1338" s="50">
        <v>2</v>
      </c>
      <c r="J1338" s="57">
        <f t="shared" si="79"/>
        <v>7200</v>
      </c>
      <c r="K1338" s="58">
        <f t="shared" si="80"/>
        <v>7920</v>
      </c>
      <c r="L1338" s="18" t="s">
        <v>3253</v>
      </c>
      <c r="M1338" s="50"/>
    </row>
    <row r="1339" spans="1:13" ht="21.75" hidden="1" customHeight="1" x14ac:dyDescent="0.4">
      <c r="A1339" s="62">
        <v>45403</v>
      </c>
      <c r="B1339" s="32" t="s">
        <v>3283</v>
      </c>
      <c r="C1339" s="18" t="s">
        <v>22</v>
      </c>
      <c r="D1339" s="63" t="s">
        <v>1496</v>
      </c>
      <c r="E1339" s="50" t="s">
        <v>3284</v>
      </c>
      <c r="F1339" s="57">
        <v>3000</v>
      </c>
      <c r="G1339" s="76"/>
      <c r="H1339" s="57">
        <f t="shared" si="81"/>
        <v>3000</v>
      </c>
      <c r="I1339" s="50">
        <v>1</v>
      </c>
      <c r="J1339" s="57">
        <f t="shared" si="79"/>
        <v>3000</v>
      </c>
      <c r="K1339" s="58">
        <f t="shared" si="80"/>
        <v>3300</v>
      </c>
      <c r="L1339" s="18" t="s">
        <v>25</v>
      </c>
      <c r="M1339" s="50"/>
    </row>
    <row r="1340" spans="1:13" ht="21.75" hidden="1" customHeight="1" x14ac:dyDescent="0.4">
      <c r="A1340" s="62">
        <v>45404</v>
      </c>
      <c r="B1340" s="32" t="s">
        <v>1828</v>
      </c>
      <c r="C1340" s="18" t="s">
        <v>3255</v>
      </c>
      <c r="D1340" s="63" t="s">
        <v>292</v>
      </c>
      <c r="E1340" s="50" t="s">
        <v>3256</v>
      </c>
      <c r="F1340" s="57">
        <v>4000</v>
      </c>
      <c r="G1340" s="76">
        <v>-400</v>
      </c>
      <c r="H1340" s="57">
        <f t="shared" si="81"/>
        <v>3600</v>
      </c>
      <c r="I1340" s="50">
        <v>1</v>
      </c>
      <c r="J1340" s="57">
        <f t="shared" si="79"/>
        <v>3600</v>
      </c>
      <c r="K1340" s="58">
        <f t="shared" si="80"/>
        <v>3960</v>
      </c>
      <c r="L1340" s="18" t="s">
        <v>34</v>
      </c>
      <c r="M1340" s="50"/>
    </row>
    <row r="1341" spans="1:13" ht="21.75" hidden="1" customHeight="1" x14ac:dyDescent="0.4">
      <c r="A1341" s="62">
        <v>45404</v>
      </c>
      <c r="B1341" s="32" t="s">
        <v>3285</v>
      </c>
      <c r="C1341" s="18" t="s">
        <v>22</v>
      </c>
      <c r="D1341" s="63" t="s">
        <v>1496</v>
      </c>
      <c r="E1341" s="50" t="s">
        <v>369</v>
      </c>
      <c r="F1341" s="57">
        <v>3000</v>
      </c>
      <c r="G1341" s="76"/>
      <c r="H1341" s="57">
        <f t="shared" si="81"/>
        <v>3000</v>
      </c>
      <c r="I1341" s="50">
        <v>1</v>
      </c>
      <c r="J1341" s="57">
        <f t="shared" si="79"/>
        <v>3000</v>
      </c>
      <c r="K1341" s="58">
        <f t="shared" si="80"/>
        <v>3300</v>
      </c>
      <c r="L1341" s="18" t="s">
        <v>25</v>
      </c>
      <c r="M1341" s="50" t="s">
        <v>2515</v>
      </c>
    </row>
    <row r="1342" spans="1:13" ht="21.75" hidden="1" customHeight="1" x14ac:dyDescent="0.4">
      <c r="A1342" s="62">
        <v>45404</v>
      </c>
      <c r="B1342" s="32" t="s">
        <v>3286</v>
      </c>
      <c r="C1342" s="18" t="s">
        <v>2892</v>
      </c>
      <c r="D1342" s="63" t="s">
        <v>23</v>
      </c>
      <c r="E1342" s="50" t="s">
        <v>2883</v>
      </c>
      <c r="F1342" s="57">
        <v>10000</v>
      </c>
      <c r="G1342" s="76"/>
      <c r="H1342" s="57">
        <f t="shared" si="81"/>
        <v>10000</v>
      </c>
      <c r="I1342" s="50">
        <v>1</v>
      </c>
      <c r="J1342" s="57">
        <f t="shared" si="79"/>
        <v>10000</v>
      </c>
      <c r="K1342" s="58">
        <f t="shared" si="80"/>
        <v>11000</v>
      </c>
      <c r="L1342" s="18" t="s">
        <v>3253</v>
      </c>
      <c r="M1342" s="50"/>
    </row>
    <row r="1343" spans="1:13" ht="21.75" hidden="1" customHeight="1" x14ac:dyDescent="0.4">
      <c r="A1343" s="62">
        <v>45405</v>
      </c>
      <c r="B1343" s="32" t="s">
        <v>3287</v>
      </c>
      <c r="C1343" s="18" t="s">
        <v>3255</v>
      </c>
      <c r="D1343" s="63" t="s">
        <v>426</v>
      </c>
      <c r="E1343" s="50" t="s">
        <v>3288</v>
      </c>
      <c r="F1343" s="57">
        <v>1700</v>
      </c>
      <c r="G1343" s="76">
        <v>-680</v>
      </c>
      <c r="H1343" s="57">
        <f t="shared" si="81"/>
        <v>1020</v>
      </c>
      <c r="I1343" s="50">
        <v>1</v>
      </c>
      <c r="J1343" s="57">
        <f t="shared" si="79"/>
        <v>1020</v>
      </c>
      <c r="K1343" s="58">
        <f t="shared" si="80"/>
        <v>1122</v>
      </c>
      <c r="L1343" s="18" t="s">
        <v>3253</v>
      </c>
      <c r="M1343" s="50"/>
    </row>
    <row r="1344" spans="1:13" ht="21.75" hidden="1" customHeight="1" x14ac:dyDescent="0.4">
      <c r="A1344" s="62">
        <v>45405</v>
      </c>
      <c r="B1344" s="32" t="s">
        <v>3287</v>
      </c>
      <c r="C1344" s="18" t="s">
        <v>3255</v>
      </c>
      <c r="D1344" s="63" t="s">
        <v>772</v>
      </c>
      <c r="E1344" s="50" t="s">
        <v>3289</v>
      </c>
      <c r="F1344" s="57">
        <v>1500</v>
      </c>
      <c r="G1344" s="76">
        <v>-590</v>
      </c>
      <c r="H1344" s="57">
        <f t="shared" si="81"/>
        <v>910</v>
      </c>
      <c r="I1344" s="50">
        <v>1</v>
      </c>
      <c r="J1344" s="57">
        <f t="shared" si="79"/>
        <v>910</v>
      </c>
      <c r="K1344" s="58">
        <f t="shared" si="80"/>
        <v>1001</v>
      </c>
      <c r="L1344" s="18" t="s">
        <v>3253</v>
      </c>
      <c r="M1344" s="50"/>
    </row>
    <row r="1345" spans="1:14" ht="21.75" hidden="1" customHeight="1" x14ac:dyDescent="0.4">
      <c r="A1345" s="62">
        <v>45405</v>
      </c>
      <c r="B1345" s="32" t="s">
        <v>179</v>
      </c>
      <c r="C1345" s="18" t="s">
        <v>3255</v>
      </c>
      <c r="D1345" s="63" t="s">
        <v>332</v>
      </c>
      <c r="E1345" s="50" t="s">
        <v>3113</v>
      </c>
      <c r="F1345" s="57">
        <v>1700</v>
      </c>
      <c r="G1345" s="76">
        <v>-170</v>
      </c>
      <c r="H1345" s="57">
        <f t="shared" si="81"/>
        <v>1530</v>
      </c>
      <c r="I1345" s="50">
        <v>1</v>
      </c>
      <c r="J1345" s="57">
        <f t="shared" si="79"/>
        <v>1530</v>
      </c>
      <c r="K1345" s="58">
        <f t="shared" si="80"/>
        <v>1683</v>
      </c>
      <c r="L1345" s="18" t="s">
        <v>3253</v>
      </c>
      <c r="M1345" s="50"/>
    </row>
    <row r="1346" spans="1:14" ht="21.75" hidden="1" customHeight="1" x14ac:dyDescent="0.4">
      <c r="A1346" s="62">
        <v>45405</v>
      </c>
      <c r="B1346" s="32" t="s">
        <v>503</v>
      </c>
      <c r="C1346" s="18" t="s">
        <v>3255</v>
      </c>
      <c r="D1346" s="63" t="s">
        <v>292</v>
      </c>
      <c r="E1346" s="50" t="s">
        <v>3290</v>
      </c>
      <c r="F1346" s="57">
        <v>5500</v>
      </c>
      <c r="G1346" s="76"/>
      <c r="H1346" s="57">
        <f t="shared" si="81"/>
        <v>5500</v>
      </c>
      <c r="I1346" s="50">
        <v>2</v>
      </c>
      <c r="J1346" s="57">
        <f t="shared" si="79"/>
        <v>11000</v>
      </c>
      <c r="K1346" s="58">
        <f t="shared" si="80"/>
        <v>12100</v>
      </c>
      <c r="L1346" s="18" t="s">
        <v>25</v>
      </c>
      <c r="M1346" s="50"/>
    </row>
    <row r="1347" spans="1:14" ht="21.75" hidden="1" customHeight="1" x14ac:dyDescent="0.4">
      <c r="A1347" s="62">
        <v>45406</v>
      </c>
      <c r="B1347" s="32" t="s">
        <v>3291</v>
      </c>
      <c r="C1347" s="18" t="s">
        <v>3255</v>
      </c>
      <c r="D1347" s="63" t="s">
        <v>426</v>
      </c>
      <c r="E1347" s="50" t="s">
        <v>3292</v>
      </c>
      <c r="F1347" s="57">
        <v>1700</v>
      </c>
      <c r="G1347" s="76">
        <v>-170</v>
      </c>
      <c r="H1347" s="57">
        <f t="shared" si="81"/>
        <v>1530</v>
      </c>
      <c r="I1347" s="50">
        <v>1</v>
      </c>
      <c r="J1347" s="57">
        <f t="shared" si="79"/>
        <v>1530</v>
      </c>
      <c r="K1347" s="58">
        <f t="shared" si="80"/>
        <v>1683</v>
      </c>
      <c r="L1347" s="18" t="s">
        <v>25</v>
      </c>
      <c r="M1347" s="50"/>
    </row>
    <row r="1348" spans="1:14" ht="21.75" hidden="1" customHeight="1" x14ac:dyDescent="0.4">
      <c r="A1348" s="62">
        <v>45406</v>
      </c>
      <c r="B1348" s="32" t="s">
        <v>148</v>
      </c>
      <c r="C1348" s="18" t="s">
        <v>27</v>
      </c>
      <c r="D1348" s="63" t="s">
        <v>28</v>
      </c>
      <c r="E1348" s="50" t="s">
        <v>1897</v>
      </c>
      <c r="F1348" s="57">
        <v>17500</v>
      </c>
      <c r="G1348" s="76"/>
      <c r="H1348" s="57">
        <f t="shared" si="81"/>
        <v>17500</v>
      </c>
      <c r="I1348" s="50">
        <v>1</v>
      </c>
      <c r="J1348" s="57">
        <f t="shared" si="79"/>
        <v>17500</v>
      </c>
      <c r="K1348" s="58">
        <f t="shared" si="80"/>
        <v>19250</v>
      </c>
      <c r="L1348" s="18" t="s">
        <v>3253</v>
      </c>
      <c r="M1348" s="50"/>
    </row>
    <row r="1349" spans="1:14" ht="21.75" hidden="1" customHeight="1" x14ac:dyDescent="0.4">
      <c r="A1349" s="62">
        <v>45407</v>
      </c>
      <c r="B1349" s="32" t="s">
        <v>3293</v>
      </c>
      <c r="C1349" s="18" t="s">
        <v>3255</v>
      </c>
      <c r="D1349" s="63" t="s">
        <v>426</v>
      </c>
      <c r="E1349" s="50" t="s">
        <v>834</v>
      </c>
      <c r="F1349" s="57">
        <v>1700</v>
      </c>
      <c r="G1349" s="76">
        <v>-680</v>
      </c>
      <c r="H1349" s="57">
        <f t="shared" si="81"/>
        <v>1020</v>
      </c>
      <c r="I1349" s="50">
        <v>4</v>
      </c>
      <c r="J1349" s="57">
        <f t="shared" si="79"/>
        <v>4080</v>
      </c>
      <c r="K1349" s="58">
        <f t="shared" si="80"/>
        <v>4488</v>
      </c>
      <c r="L1349" s="18" t="s">
        <v>25</v>
      </c>
      <c r="M1349" s="50"/>
    </row>
    <row r="1350" spans="1:14" ht="21.75" hidden="1" customHeight="1" x14ac:dyDescent="0.4">
      <c r="A1350" s="62">
        <v>45407</v>
      </c>
      <c r="B1350" s="32" t="s">
        <v>3294</v>
      </c>
      <c r="C1350" s="18" t="s">
        <v>3255</v>
      </c>
      <c r="D1350" s="63" t="s">
        <v>426</v>
      </c>
      <c r="E1350" s="50" t="s">
        <v>3295</v>
      </c>
      <c r="F1350" s="57">
        <v>1700</v>
      </c>
      <c r="G1350" s="76">
        <v>-170</v>
      </c>
      <c r="H1350" s="57">
        <f t="shared" si="81"/>
        <v>1530</v>
      </c>
      <c r="I1350" s="50">
        <v>1</v>
      </c>
      <c r="J1350" s="57">
        <f t="shared" si="79"/>
        <v>1530</v>
      </c>
      <c r="K1350" s="58">
        <f t="shared" si="80"/>
        <v>1683</v>
      </c>
      <c r="L1350" s="18" t="s">
        <v>25</v>
      </c>
      <c r="M1350" s="50"/>
    </row>
    <row r="1351" spans="1:14" ht="21.75" hidden="1" customHeight="1" x14ac:dyDescent="0.4">
      <c r="A1351" s="62">
        <v>45407</v>
      </c>
      <c r="B1351" s="32" t="s">
        <v>3296</v>
      </c>
      <c r="C1351" s="18" t="s">
        <v>27</v>
      </c>
      <c r="D1351" s="63" t="s">
        <v>28</v>
      </c>
      <c r="E1351" s="50" t="s">
        <v>1897</v>
      </c>
      <c r="F1351" s="57">
        <v>17500</v>
      </c>
      <c r="G1351" s="76"/>
      <c r="H1351" s="57">
        <f t="shared" si="81"/>
        <v>17500</v>
      </c>
      <c r="I1351" s="50">
        <v>1</v>
      </c>
      <c r="J1351" s="57">
        <f t="shared" si="79"/>
        <v>17500</v>
      </c>
      <c r="K1351" s="58">
        <f t="shared" si="80"/>
        <v>19250</v>
      </c>
      <c r="L1351" s="18" t="s">
        <v>25</v>
      </c>
      <c r="M1351" s="50"/>
    </row>
    <row r="1352" spans="1:14" ht="21.75" hidden="1" customHeight="1" x14ac:dyDescent="0.4">
      <c r="A1352" s="62">
        <v>45409</v>
      </c>
      <c r="B1352" s="32" t="s">
        <v>3297</v>
      </c>
      <c r="C1352" s="18" t="s">
        <v>3255</v>
      </c>
      <c r="D1352" s="63" t="s">
        <v>328</v>
      </c>
      <c r="E1352" s="50" t="s">
        <v>3298</v>
      </c>
      <c r="F1352" s="57">
        <v>50000</v>
      </c>
      <c r="G1352" s="76"/>
      <c r="H1352" s="57">
        <f t="shared" si="81"/>
        <v>50000</v>
      </c>
      <c r="I1352" s="50">
        <v>1</v>
      </c>
      <c r="J1352" s="57">
        <f t="shared" si="79"/>
        <v>50000</v>
      </c>
      <c r="K1352" s="58">
        <f t="shared" si="80"/>
        <v>55000</v>
      </c>
      <c r="L1352" s="18" t="s">
        <v>3253</v>
      </c>
      <c r="M1352" s="50" t="s">
        <v>3327</v>
      </c>
      <c r="N1352" s="52" t="s">
        <v>3302</v>
      </c>
    </row>
    <row r="1353" spans="1:14" ht="21.75" hidden="1" customHeight="1" x14ac:dyDescent="0.4">
      <c r="A1353" s="62">
        <v>45409</v>
      </c>
      <c r="B1353" s="32" t="s">
        <v>3297</v>
      </c>
      <c r="C1353" s="18" t="s">
        <v>3255</v>
      </c>
      <c r="D1353" s="63" t="s">
        <v>332</v>
      </c>
      <c r="E1353" s="50" t="s">
        <v>3299</v>
      </c>
      <c r="F1353" s="57">
        <v>1700</v>
      </c>
      <c r="G1353" s="76"/>
      <c r="H1353" s="57">
        <f t="shared" si="81"/>
        <v>1700</v>
      </c>
      <c r="I1353" s="50">
        <v>1</v>
      </c>
      <c r="J1353" s="57">
        <f t="shared" si="79"/>
        <v>1700</v>
      </c>
      <c r="K1353" s="58">
        <f t="shared" si="80"/>
        <v>1870</v>
      </c>
      <c r="L1353" s="18" t="s">
        <v>3253</v>
      </c>
      <c r="M1353" s="50"/>
      <c r="N1353" s="52" t="s">
        <v>3302</v>
      </c>
    </row>
    <row r="1354" spans="1:14" ht="21.75" hidden="1" customHeight="1" x14ac:dyDescent="0.4">
      <c r="A1354" s="62">
        <v>45409</v>
      </c>
      <c r="B1354" s="32" t="s">
        <v>3297</v>
      </c>
      <c r="C1354" s="18" t="s">
        <v>3255</v>
      </c>
      <c r="D1354" s="63" t="s">
        <v>330</v>
      </c>
      <c r="E1354" s="50" t="s">
        <v>3300</v>
      </c>
      <c r="F1354" s="57">
        <v>3000</v>
      </c>
      <c r="G1354" s="76"/>
      <c r="H1354" s="57">
        <f t="shared" si="81"/>
        <v>3000</v>
      </c>
      <c r="I1354" s="50">
        <v>1</v>
      </c>
      <c r="J1354" s="57">
        <f t="shared" si="79"/>
        <v>3000</v>
      </c>
      <c r="K1354" s="58">
        <f t="shared" si="80"/>
        <v>3300</v>
      </c>
      <c r="L1354" s="18" t="s">
        <v>3253</v>
      </c>
      <c r="M1354" s="50"/>
      <c r="N1354" s="52" t="s">
        <v>3302</v>
      </c>
    </row>
    <row r="1355" spans="1:14" ht="21.75" hidden="1" customHeight="1" x14ac:dyDescent="0.4">
      <c r="A1355" s="62">
        <v>45409</v>
      </c>
      <c r="B1355" s="32" t="s">
        <v>3301</v>
      </c>
      <c r="C1355" s="18" t="s">
        <v>2892</v>
      </c>
      <c r="D1355" s="63" t="s">
        <v>23</v>
      </c>
      <c r="E1355" s="50" t="s">
        <v>2883</v>
      </c>
      <c r="F1355" s="57">
        <v>15000</v>
      </c>
      <c r="G1355" s="76"/>
      <c r="H1355" s="57">
        <f t="shared" si="81"/>
        <v>15000</v>
      </c>
      <c r="I1355" s="50">
        <v>1</v>
      </c>
      <c r="J1355" s="57">
        <f t="shared" si="79"/>
        <v>15000</v>
      </c>
      <c r="K1355" s="58">
        <f t="shared" si="80"/>
        <v>16500</v>
      </c>
      <c r="L1355" s="18" t="s">
        <v>25</v>
      </c>
      <c r="M1355" s="50" t="s">
        <v>2515</v>
      </c>
    </row>
    <row r="1356" spans="1:14" ht="21.75" hidden="1" customHeight="1" x14ac:dyDescent="0.4">
      <c r="A1356" s="62">
        <v>45410</v>
      </c>
      <c r="B1356" s="32" t="s">
        <v>3303</v>
      </c>
      <c r="C1356" s="18" t="s">
        <v>2892</v>
      </c>
      <c r="D1356" s="63" t="s">
        <v>23</v>
      </c>
      <c r="E1356" s="50" t="s">
        <v>3304</v>
      </c>
      <c r="F1356" s="57">
        <v>20000</v>
      </c>
      <c r="G1356" s="76"/>
      <c r="H1356" s="57">
        <f t="shared" si="81"/>
        <v>20000</v>
      </c>
      <c r="I1356" s="50">
        <v>1</v>
      </c>
      <c r="J1356" s="57">
        <f t="shared" si="79"/>
        <v>20000</v>
      </c>
      <c r="K1356" s="58">
        <f t="shared" si="80"/>
        <v>22000</v>
      </c>
      <c r="L1356" s="18" t="s">
        <v>25</v>
      </c>
      <c r="M1356" s="50"/>
    </row>
    <row r="1357" spans="1:14" ht="21.75" hidden="1" customHeight="1" x14ac:dyDescent="0.4">
      <c r="A1357" s="62">
        <v>45410</v>
      </c>
      <c r="B1357" s="32" t="s">
        <v>3305</v>
      </c>
      <c r="C1357" s="18" t="s">
        <v>2892</v>
      </c>
      <c r="D1357" s="63" t="s">
        <v>23</v>
      </c>
      <c r="E1357" s="50" t="s">
        <v>2883</v>
      </c>
      <c r="F1357" s="57">
        <v>15000</v>
      </c>
      <c r="G1357" s="76"/>
      <c r="H1357" s="57">
        <f t="shared" si="81"/>
        <v>15000</v>
      </c>
      <c r="I1357" s="50">
        <v>1</v>
      </c>
      <c r="J1357" s="57">
        <f t="shared" si="79"/>
        <v>15000</v>
      </c>
      <c r="K1357" s="58">
        <f t="shared" si="80"/>
        <v>16500</v>
      </c>
      <c r="L1357" s="18" t="s">
        <v>3253</v>
      </c>
      <c r="M1357" s="50" t="s">
        <v>2515</v>
      </c>
    </row>
    <row r="1358" spans="1:14" ht="21.75" hidden="1" customHeight="1" x14ac:dyDescent="0.4">
      <c r="A1358" s="62">
        <v>45410</v>
      </c>
      <c r="B1358" s="32" t="s">
        <v>3306</v>
      </c>
      <c r="C1358" s="18" t="s">
        <v>22</v>
      </c>
      <c r="D1358" s="63" t="s">
        <v>1496</v>
      </c>
      <c r="E1358" s="50" t="s">
        <v>369</v>
      </c>
      <c r="F1358" s="57">
        <v>3000</v>
      </c>
      <c r="G1358" s="76"/>
      <c r="H1358" s="57">
        <f t="shared" si="81"/>
        <v>3000</v>
      </c>
      <c r="I1358" s="50">
        <v>1</v>
      </c>
      <c r="J1358" s="57">
        <f t="shared" si="79"/>
        <v>3000</v>
      </c>
      <c r="K1358" s="58">
        <f t="shared" si="80"/>
        <v>3300</v>
      </c>
      <c r="L1358" s="18" t="s">
        <v>3253</v>
      </c>
      <c r="M1358" s="50"/>
    </row>
    <row r="1359" spans="1:14" ht="21.75" hidden="1" customHeight="1" x14ac:dyDescent="0.4">
      <c r="A1359" s="62">
        <v>45410</v>
      </c>
      <c r="B1359" s="32" t="s">
        <v>2363</v>
      </c>
      <c r="C1359" s="18" t="s">
        <v>27</v>
      </c>
      <c r="D1359" s="63" t="s">
        <v>28</v>
      </c>
      <c r="E1359" s="50" t="s">
        <v>1897</v>
      </c>
      <c r="F1359" s="57">
        <v>17500</v>
      </c>
      <c r="G1359" s="76"/>
      <c r="H1359" s="57">
        <f t="shared" si="81"/>
        <v>17500</v>
      </c>
      <c r="I1359" s="50">
        <v>1</v>
      </c>
      <c r="J1359" s="57">
        <f t="shared" si="79"/>
        <v>17500</v>
      </c>
      <c r="K1359" s="58">
        <f t="shared" si="80"/>
        <v>19250</v>
      </c>
      <c r="L1359" s="18" t="s">
        <v>3253</v>
      </c>
      <c r="M1359" s="50"/>
    </row>
    <row r="1360" spans="1:14" ht="21.75" hidden="1" customHeight="1" x14ac:dyDescent="0.4">
      <c r="A1360" s="62">
        <v>45411</v>
      </c>
      <c r="B1360" s="32" t="s">
        <v>3307</v>
      </c>
      <c r="C1360" s="18" t="s">
        <v>2892</v>
      </c>
      <c r="D1360" s="63" t="s">
        <v>23</v>
      </c>
      <c r="E1360" s="50" t="s">
        <v>2883</v>
      </c>
      <c r="F1360" s="57">
        <v>15000</v>
      </c>
      <c r="G1360" s="76">
        <v>-5000</v>
      </c>
      <c r="H1360" s="57">
        <f t="shared" si="81"/>
        <v>10000</v>
      </c>
      <c r="I1360" s="50">
        <v>1</v>
      </c>
      <c r="J1360" s="57">
        <f t="shared" si="79"/>
        <v>10000</v>
      </c>
      <c r="K1360" s="58">
        <f t="shared" si="80"/>
        <v>11000</v>
      </c>
      <c r="L1360" s="18" t="s">
        <v>34</v>
      </c>
      <c r="M1360" s="492" t="s">
        <v>3328</v>
      </c>
    </row>
    <row r="1361" spans="1:14" ht="21.75" hidden="1" customHeight="1" x14ac:dyDescent="0.4">
      <c r="A1361" s="62">
        <v>45411</v>
      </c>
      <c r="B1361" s="32" t="s">
        <v>3308</v>
      </c>
      <c r="C1361" s="18" t="s">
        <v>2892</v>
      </c>
      <c r="D1361" s="63" t="s">
        <v>23</v>
      </c>
      <c r="E1361" s="50" t="s">
        <v>2883</v>
      </c>
      <c r="F1361" s="57">
        <v>15000</v>
      </c>
      <c r="G1361" s="76">
        <v>-5000</v>
      </c>
      <c r="H1361" s="57">
        <f t="shared" si="81"/>
        <v>10000</v>
      </c>
      <c r="I1361" s="50">
        <v>1</v>
      </c>
      <c r="J1361" s="57">
        <f t="shared" si="79"/>
        <v>10000</v>
      </c>
      <c r="K1361" s="58">
        <f t="shared" si="80"/>
        <v>11000</v>
      </c>
      <c r="L1361" s="18" t="s">
        <v>34</v>
      </c>
      <c r="M1361" s="493"/>
    </row>
    <row r="1362" spans="1:14" ht="21.75" hidden="1" customHeight="1" x14ac:dyDescent="0.4">
      <c r="A1362" s="62">
        <v>45411</v>
      </c>
      <c r="B1362" s="32" t="s">
        <v>3307</v>
      </c>
      <c r="C1362" s="18" t="s">
        <v>3309</v>
      </c>
      <c r="D1362" s="63" t="s">
        <v>328</v>
      </c>
      <c r="E1362" s="50" t="s">
        <v>3310</v>
      </c>
      <c r="F1362" s="57">
        <v>70000</v>
      </c>
      <c r="G1362" s="76">
        <v>-14000</v>
      </c>
      <c r="H1362" s="57">
        <f t="shared" si="81"/>
        <v>56000</v>
      </c>
      <c r="I1362" s="50">
        <v>1</v>
      </c>
      <c r="J1362" s="57">
        <f t="shared" si="79"/>
        <v>56000</v>
      </c>
      <c r="K1362" s="58">
        <f t="shared" si="80"/>
        <v>61600</v>
      </c>
      <c r="L1362" s="18" t="s">
        <v>34</v>
      </c>
      <c r="M1362" s="493"/>
      <c r="N1362" s="52" t="s">
        <v>3313</v>
      </c>
    </row>
    <row r="1363" spans="1:14" ht="21.75" hidden="1" customHeight="1" x14ac:dyDescent="0.4">
      <c r="A1363" s="62">
        <v>45411</v>
      </c>
      <c r="B1363" s="32" t="s">
        <v>3307</v>
      </c>
      <c r="C1363" s="18" t="s">
        <v>3309</v>
      </c>
      <c r="D1363" s="63" t="s">
        <v>3311</v>
      </c>
      <c r="E1363" s="50" t="s">
        <v>3312</v>
      </c>
      <c r="F1363" s="57">
        <v>88000</v>
      </c>
      <c r="G1363" s="76">
        <v>-8800</v>
      </c>
      <c r="H1363" s="57">
        <f t="shared" si="81"/>
        <v>79200</v>
      </c>
      <c r="I1363" s="50">
        <v>1</v>
      </c>
      <c r="J1363" s="57">
        <f t="shared" si="79"/>
        <v>79200</v>
      </c>
      <c r="K1363" s="58">
        <f t="shared" si="80"/>
        <v>87120</v>
      </c>
      <c r="L1363" s="18" t="s">
        <v>34</v>
      </c>
      <c r="M1363" s="493"/>
      <c r="N1363" s="52" t="s">
        <v>3313</v>
      </c>
    </row>
    <row r="1364" spans="1:14" ht="21.75" hidden="1" customHeight="1" x14ac:dyDescent="0.4">
      <c r="A1364" s="62">
        <v>45411</v>
      </c>
      <c r="B1364" s="32" t="s">
        <v>3307</v>
      </c>
      <c r="C1364" s="18" t="s">
        <v>3309</v>
      </c>
      <c r="D1364" s="63" t="s">
        <v>332</v>
      </c>
      <c r="E1364" s="50" t="s">
        <v>3043</v>
      </c>
      <c r="F1364" s="57">
        <v>1750</v>
      </c>
      <c r="G1364" s="76"/>
      <c r="H1364" s="57">
        <f t="shared" si="81"/>
        <v>1750</v>
      </c>
      <c r="I1364" s="50">
        <v>1</v>
      </c>
      <c r="J1364" s="57">
        <f t="shared" si="79"/>
        <v>1750</v>
      </c>
      <c r="K1364" s="58">
        <f t="shared" si="80"/>
        <v>1925</v>
      </c>
      <c r="L1364" s="18" t="s">
        <v>34</v>
      </c>
      <c r="M1364" s="494"/>
      <c r="N1364" s="52" t="s">
        <v>3313</v>
      </c>
    </row>
    <row r="1365" spans="1:14" ht="21.75" hidden="1" customHeight="1" x14ac:dyDescent="0.4">
      <c r="A1365" s="62">
        <v>45411</v>
      </c>
      <c r="B1365" s="32" t="s">
        <v>3314</v>
      </c>
      <c r="C1365" s="18" t="s">
        <v>2457</v>
      </c>
      <c r="D1365" s="63" t="s">
        <v>1615</v>
      </c>
      <c r="E1365" s="50" t="s">
        <v>3315</v>
      </c>
      <c r="F1365" s="57">
        <v>15000</v>
      </c>
      <c r="G1365" s="76"/>
      <c r="H1365" s="57">
        <f t="shared" si="81"/>
        <v>15000</v>
      </c>
      <c r="I1365" s="50">
        <v>1</v>
      </c>
      <c r="J1365" s="57">
        <f t="shared" si="79"/>
        <v>15000</v>
      </c>
      <c r="K1365" s="58">
        <f t="shared" si="80"/>
        <v>16500</v>
      </c>
      <c r="L1365" s="18" t="s">
        <v>3316</v>
      </c>
      <c r="M1365" s="50"/>
    </row>
    <row r="1366" spans="1:14" ht="21.75" hidden="1" customHeight="1" x14ac:dyDescent="0.4">
      <c r="A1366" s="62">
        <v>45411</v>
      </c>
      <c r="B1366" s="32" t="s">
        <v>3317</v>
      </c>
      <c r="C1366" s="18" t="s">
        <v>22</v>
      </c>
      <c r="D1366" s="63" t="s">
        <v>1496</v>
      </c>
      <c r="E1366" s="50" t="s">
        <v>2422</v>
      </c>
      <c r="F1366" s="57">
        <v>2000</v>
      </c>
      <c r="G1366" s="76"/>
      <c r="H1366" s="57">
        <f t="shared" si="81"/>
        <v>2000</v>
      </c>
      <c r="I1366" s="50">
        <v>1</v>
      </c>
      <c r="J1366" s="57">
        <f t="shared" si="79"/>
        <v>2000</v>
      </c>
      <c r="K1366" s="58">
        <f t="shared" si="80"/>
        <v>2200</v>
      </c>
      <c r="L1366" s="18" t="s">
        <v>3316</v>
      </c>
      <c r="M1366" s="50"/>
    </row>
    <row r="1367" spans="1:14" ht="21.75" hidden="1" customHeight="1" thickBot="1" x14ac:dyDescent="0.45">
      <c r="A1367" s="203">
        <v>45412</v>
      </c>
      <c r="B1367" s="204" t="s">
        <v>2719</v>
      </c>
      <c r="C1367" s="205" t="s">
        <v>3320</v>
      </c>
      <c r="D1367" s="206" t="s">
        <v>3321</v>
      </c>
      <c r="E1367" s="207" t="s">
        <v>3322</v>
      </c>
      <c r="F1367" s="208">
        <v>88000</v>
      </c>
      <c r="G1367" s="209">
        <v>-32560</v>
      </c>
      <c r="H1367" s="208">
        <f t="shared" si="81"/>
        <v>55440</v>
      </c>
      <c r="I1367" s="207">
        <v>1</v>
      </c>
      <c r="J1367" s="208">
        <f>H1367*I1367</f>
        <v>55440</v>
      </c>
      <c r="K1367" s="210">
        <f t="shared" si="80"/>
        <v>60984</v>
      </c>
      <c r="L1367" s="205" t="s">
        <v>25</v>
      </c>
      <c r="M1367" s="207"/>
      <c r="N1367" s="211"/>
    </row>
    <row r="1368" spans="1:14" ht="21.75" hidden="1" customHeight="1" x14ac:dyDescent="0.4">
      <c r="A1368" s="59">
        <v>45413</v>
      </c>
      <c r="B1368" s="82" t="s">
        <v>3330</v>
      </c>
      <c r="C1368" s="60" t="s">
        <v>22</v>
      </c>
      <c r="D1368" s="61" t="s">
        <v>1496</v>
      </c>
      <c r="E1368" s="56" t="s">
        <v>369</v>
      </c>
      <c r="F1368" s="99">
        <v>3000</v>
      </c>
      <c r="G1368" s="79"/>
      <c r="H1368" s="99">
        <f t="shared" si="81"/>
        <v>3000</v>
      </c>
      <c r="I1368" s="56">
        <v>1</v>
      </c>
      <c r="J1368" s="99">
        <f t="shared" si="79"/>
        <v>3000</v>
      </c>
      <c r="K1368" s="100">
        <f t="shared" si="80"/>
        <v>3300</v>
      </c>
      <c r="L1368" s="60" t="s">
        <v>25</v>
      </c>
      <c r="M1368" s="56"/>
    </row>
    <row r="1369" spans="1:14" ht="21.75" hidden="1" customHeight="1" x14ac:dyDescent="0.4">
      <c r="A1369" s="59">
        <v>45413</v>
      </c>
      <c r="B1369" s="82" t="s">
        <v>3330</v>
      </c>
      <c r="C1369" s="18" t="s">
        <v>27</v>
      </c>
      <c r="D1369" s="63" t="s">
        <v>28</v>
      </c>
      <c r="E1369" s="50" t="s">
        <v>318</v>
      </c>
      <c r="F1369" s="57">
        <v>15000</v>
      </c>
      <c r="G1369" s="76"/>
      <c r="H1369" s="57">
        <f t="shared" si="81"/>
        <v>15000</v>
      </c>
      <c r="I1369" s="50">
        <v>1</v>
      </c>
      <c r="J1369" s="57">
        <f t="shared" si="79"/>
        <v>15000</v>
      </c>
      <c r="K1369" s="58">
        <f t="shared" si="80"/>
        <v>16500</v>
      </c>
      <c r="L1369" s="60" t="s">
        <v>25</v>
      </c>
      <c r="M1369" s="50"/>
    </row>
    <row r="1370" spans="1:14" ht="21.75" hidden="1" customHeight="1" x14ac:dyDescent="0.4">
      <c r="A1370" s="59">
        <v>45413</v>
      </c>
      <c r="B1370" s="82" t="s">
        <v>3330</v>
      </c>
      <c r="C1370" s="18" t="s">
        <v>27</v>
      </c>
      <c r="D1370" s="63" t="s">
        <v>28</v>
      </c>
      <c r="E1370" s="50" t="s">
        <v>3331</v>
      </c>
      <c r="F1370" s="57">
        <v>13120</v>
      </c>
      <c r="G1370" s="76"/>
      <c r="H1370" s="57">
        <f t="shared" si="81"/>
        <v>13120</v>
      </c>
      <c r="I1370" s="50">
        <v>1</v>
      </c>
      <c r="J1370" s="57">
        <f t="shared" si="79"/>
        <v>13120</v>
      </c>
      <c r="K1370" s="58">
        <f t="shared" si="80"/>
        <v>14432</v>
      </c>
      <c r="L1370" s="60" t="s">
        <v>25</v>
      </c>
      <c r="M1370" s="50"/>
    </row>
    <row r="1371" spans="1:14" ht="21.75" hidden="1" customHeight="1" x14ac:dyDescent="0.4">
      <c r="A1371" s="59">
        <v>45413</v>
      </c>
      <c r="B1371" s="32" t="s">
        <v>1685</v>
      </c>
      <c r="C1371" s="18" t="s">
        <v>3332</v>
      </c>
      <c r="D1371" s="63" t="s">
        <v>332</v>
      </c>
      <c r="E1371" s="50" t="s">
        <v>3333</v>
      </c>
      <c r="F1371" s="57">
        <v>1200</v>
      </c>
      <c r="G1371" s="76">
        <v>-120</v>
      </c>
      <c r="H1371" s="57">
        <f t="shared" si="81"/>
        <v>1080</v>
      </c>
      <c r="I1371" s="50">
        <v>2</v>
      </c>
      <c r="J1371" s="57">
        <f t="shared" si="79"/>
        <v>2160</v>
      </c>
      <c r="K1371" s="58">
        <f t="shared" si="80"/>
        <v>2376</v>
      </c>
      <c r="L1371" s="60" t="s">
        <v>25</v>
      </c>
      <c r="M1371" s="50"/>
    </row>
    <row r="1372" spans="1:14" ht="21.75" hidden="1" customHeight="1" x14ac:dyDescent="0.4">
      <c r="A1372" s="59">
        <v>45414</v>
      </c>
      <c r="B1372" s="32" t="s">
        <v>3306</v>
      </c>
      <c r="C1372" s="18" t="s">
        <v>27</v>
      </c>
      <c r="D1372" s="63" t="s">
        <v>28</v>
      </c>
      <c r="E1372" s="50" t="s">
        <v>318</v>
      </c>
      <c r="F1372" s="57">
        <v>15000</v>
      </c>
      <c r="G1372" s="76"/>
      <c r="H1372" s="57">
        <f t="shared" si="81"/>
        <v>15000</v>
      </c>
      <c r="I1372" s="50">
        <v>1</v>
      </c>
      <c r="J1372" s="57">
        <f t="shared" si="79"/>
        <v>15000</v>
      </c>
      <c r="K1372" s="58">
        <f t="shared" si="80"/>
        <v>16500</v>
      </c>
      <c r="L1372" s="60" t="s">
        <v>25</v>
      </c>
      <c r="M1372" s="50"/>
    </row>
    <row r="1373" spans="1:14" ht="21.75" hidden="1" customHeight="1" x14ac:dyDescent="0.4">
      <c r="A1373" s="59">
        <v>45414</v>
      </c>
      <c r="B1373" s="32" t="s">
        <v>3306</v>
      </c>
      <c r="C1373" s="18" t="s">
        <v>27</v>
      </c>
      <c r="D1373" s="63" t="s">
        <v>28</v>
      </c>
      <c r="E1373" s="50" t="s">
        <v>3096</v>
      </c>
      <c r="F1373" s="57">
        <v>8500</v>
      </c>
      <c r="G1373" s="76"/>
      <c r="H1373" s="57">
        <f t="shared" si="81"/>
        <v>8500</v>
      </c>
      <c r="I1373" s="50">
        <v>1</v>
      </c>
      <c r="J1373" s="57">
        <f t="shared" si="79"/>
        <v>8500</v>
      </c>
      <c r="K1373" s="58">
        <f t="shared" si="80"/>
        <v>9350</v>
      </c>
      <c r="L1373" s="60" t="s">
        <v>25</v>
      </c>
      <c r="M1373" s="50"/>
    </row>
    <row r="1374" spans="1:14" ht="21.75" hidden="1" customHeight="1" x14ac:dyDescent="0.4">
      <c r="A1374" s="59">
        <v>45414</v>
      </c>
      <c r="B1374" s="32" t="s">
        <v>3306</v>
      </c>
      <c r="C1374" s="18" t="s">
        <v>27</v>
      </c>
      <c r="D1374" s="63" t="s">
        <v>28</v>
      </c>
      <c r="E1374" s="50" t="s">
        <v>364</v>
      </c>
      <c r="F1374" s="57">
        <v>25000</v>
      </c>
      <c r="G1374" s="76"/>
      <c r="H1374" s="57">
        <f t="shared" si="81"/>
        <v>25000</v>
      </c>
      <c r="I1374" s="50">
        <v>1</v>
      </c>
      <c r="J1374" s="57">
        <f t="shared" ref="J1374:J1383" si="82">SUM(H1374*I1374)</f>
        <v>25000</v>
      </c>
      <c r="K1374" s="58">
        <f t="shared" ref="K1374:K1383" si="83">ROUNDDOWN(J1374*1.1,0)</f>
        <v>27500</v>
      </c>
      <c r="L1374" s="60" t="s">
        <v>25</v>
      </c>
      <c r="M1374" s="50"/>
    </row>
    <row r="1375" spans="1:14" ht="21.75" hidden="1" customHeight="1" x14ac:dyDescent="0.4">
      <c r="A1375" s="59">
        <v>45414</v>
      </c>
      <c r="B1375" s="32" t="s">
        <v>2794</v>
      </c>
      <c r="C1375" s="18" t="s">
        <v>17</v>
      </c>
      <c r="D1375" s="63" t="s">
        <v>455</v>
      </c>
      <c r="E1375" s="50" t="s">
        <v>2712</v>
      </c>
      <c r="F1375" s="57">
        <v>1200</v>
      </c>
      <c r="G1375" s="76">
        <v>-120</v>
      </c>
      <c r="H1375" s="57">
        <f t="shared" si="81"/>
        <v>1080</v>
      </c>
      <c r="I1375" s="50">
        <v>1</v>
      </c>
      <c r="J1375" s="57">
        <f t="shared" si="82"/>
        <v>1080</v>
      </c>
      <c r="K1375" s="58">
        <f t="shared" si="83"/>
        <v>1188</v>
      </c>
      <c r="L1375" s="60" t="s">
        <v>25</v>
      </c>
      <c r="M1375" s="50"/>
    </row>
    <row r="1376" spans="1:14" ht="21.75" hidden="1" customHeight="1" x14ac:dyDescent="0.4">
      <c r="A1376" s="59">
        <v>45414</v>
      </c>
      <c r="B1376" s="32" t="s">
        <v>1557</v>
      </c>
      <c r="C1376" s="18" t="s">
        <v>17</v>
      </c>
      <c r="D1376" s="63" t="s">
        <v>426</v>
      </c>
      <c r="E1376" s="50" t="s">
        <v>2650</v>
      </c>
      <c r="F1376" s="57">
        <v>1800</v>
      </c>
      <c r="G1376" s="76">
        <v>-720</v>
      </c>
      <c r="H1376" s="57">
        <f t="shared" si="81"/>
        <v>1080</v>
      </c>
      <c r="I1376" s="50">
        <v>5</v>
      </c>
      <c r="J1376" s="57">
        <f t="shared" si="82"/>
        <v>5400</v>
      </c>
      <c r="K1376" s="58">
        <f t="shared" si="83"/>
        <v>5940</v>
      </c>
      <c r="L1376" s="60" t="s">
        <v>25</v>
      </c>
      <c r="M1376" s="50"/>
    </row>
    <row r="1377" spans="1:13" ht="21.75" hidden="1" customHeight="1" x14ac:dyDescent="0.4">
      <c r="A1377" s="59">
        <v>45414</v>
      </c>
      <c r="B1377" s="32" t="s">
        <v>2719</v>
      </c>
      <c r="C1377" s="18" t="s">
        <v>17</v>
      </c>
      <c r="D1377" s="63" t="s">
        <v>426</v>
      </c>
      <c r="E1377" s="50" t="s">
        <v>3334</v>
      </c>
      <c r="F1377" s="57">
        <v>1800</v>
      </c>
      <c r="G1377" s="76">
        <v>-720</v>
      </c>
      <c r="H1377" s="57">
        <f t="shared" si="81"/>
        <v>1080</v>
      </c>
      <c r="I1377" s="50">
        <v>3</v>
      </c>
      <c r="J1377" s="57">
        <f t="shared" si="82"/>
        <v>3240</v>
      </c>
      <c r="K1377" s="58">
        <f t="shared" si="83"/>
        <v>3564</v>
      </c>
      <c r="L1377" s="60" t="s">
        <v>20</v>
      </c>
      <c r="M1377" s="50"/>
    </row>
    <row r="1378" spans="1:13" ht="21.75" hidden="1" customHeight="1" x14ac:dyDescent="0.4">
      <c r="A1378" s="59">
        <v>45414</v>
      </c>
      <c r="B1378" s="32" t="s">
        <v>1455</v>
      </c>
      <c r="C1378" s="18" t="s">
        <v>17</v>
      </c>
      <c r="D1378" s="63" t="s">
        <v>426</v>
      </c>
      <c r="E1378" s="50" t="s">
        <v>3334</v>
      </c>
      <c r="F1378" s="57">
        <v>1800</v>
      </c>
      <c r="G1378" s="76">
        <v>-720</v>
      </c>
      <c r="H1378" s="57">
        <f t="shared" si="81"/>
        <v>1080</v>
      </c>
      <c r="I1378" s="50">
        <v>2</v>
      </c>
      <c r="J1378" s="57">
        <f t="shared" si="82"/>
        <v>2160</v>
      </c>
      <c r="K1378" s="58">
        <f t="shared" si="83"/>
        <v>2376</v>
      </c>
      <c r="L1378" s="60" t="s">
        <v>25</v>
      </c>
      <c r="M1378" s="50"/>
    </row>
    <row r="1379" spans="1:13" ht="21.75" hidden="1" customHeight="1" x14ac:dyDescent="0.4">
      <c r="A1379" s="59">
        <v>45414</v>
      </c>
      <c r="B1379" s="32" t="s">
        <v>3337</v>
      </c>
      <c r="C1379" s="18" t="s">
        <v>17</v>
      </c>
      <c r="D1379" s="63" t="s">
        <v>426</v>
      </c>
      <c r="E1379" s="50" t="s">
        <v>3334</v>
      </c>
      <c r="F1379" s="57">
        <v>1800</v>
      </c>
      <c r="G1379" s="76">
        <v>-720</v>
      </c>
      <c r="H1379" s="57">
        <f t="shared" si="81"/>
        <v>1080</v>
      </c>
      <c r="I1379" s="50">
        <v>5</v>
      </c>
      <c r="J1379" s="57">
        <f t="shared" si="82"/>
        <v>5400</v>
      </c>
      <c r="K1379" s="58">
        <f t="shared" si="83"/>
        <v>5940</v>
      </c>
      <c r="L1379" s="18" t="s">
        <v>34</v>
      </c>
      <c r="M1379" s="50"/>
    </row>
    <row r="1380" spans="1:13" ht="21.75" hidden="1" customHeight="1" x14ac:dyDescent="0.4">
      <c r="A1380" s="59">
        <v>45414</v>
      </c>
      <c r="B1380" s="32" t="s">
        <v>3337</v>
      </c>
      <c r="C1380" s="18" t="s">
        <v>17</v>
      </c>
      <c r="D1380" s="63" t="s">
        <v>292</v>
      </c>
      <c r="E1380" s="50" t="s">
        <v>1693</v>
      </c>
      <c r="F1380" s="57">
        <v>5500</v>
      </c>
      <c r="G1380" s="76">
        <v>-628</v>
      </c>
      <c r="H1380" s="57">
        <f t="shared" si="81"/>
        <v>4872</v>
      </c>
      <c r="I1380" s="50">
        <v>1</v>
      </c>
      <c r="J1380" s="57">
        <f t="shared" si="82"/>
        <v>4872</v>
      </c>
      <c r="K1380" s="58">
        <f t="shared" si="83"/>
        <v>5359</v>
      </c>
      <c r="L1380" s="18" t="s">
        <v>34</v>
      </c>
      <c r="M1380" s="50"/>
    </row>
    <row r="1381" spans="1:13" ht="21.75" hidden="1" customHeight="1" x14ac:dyDescent="0.4">
      <c r="A1381" s="59">
        <v>45415</v>
      </c>
      <c r="B1381" s="32" t="s">
        <v>1257</v>
      </c>
      <c r="C1381" s="18" t="s">
        <v>27</v>
      </c>
      <c r="D1381" s="63" t="s">
        <v>28</v>
      </c>
      <c r="E1381" s="50" t="s">
        <v>3335</v>
      </c>
      <c r="F1381" s="57">
        <v>5000</v>
      </c>
      <c r="G1381" s="76"/>
      <c r="H1381" s="57">
        <f t="shared" si="81"/>
        <v>5000</v>
      </c>
      <c r="I1381" s="50">
        <v>1</v>
      </c>
      <c r="J1381" s="57">
        <f t="shared" si="82"/>
        <v>5000</v>
      </c>
      <c r="K1381" s="58">
        <f t="shared" si="83"/>
        <v>5500</v>
      </c>
      <c r="L1381" s="18" t="s">
        <v>25</v>
      </c>
      <c r="M1381" s="50"/>
    </row>
    <row r="1382" spans="1:13" ht="21.75" hidden="1" customHeight="1" x14ac:dyDescent="0.4">
      <c r="A1382" s="59">
        <v>45415</v>
      </c>
      <c r="B1382" s="32" t="s">
        <v>3336</v>
      </c>
      <c r="C1382" s="18" t="s">
        <v>22</v>
      </c>
      <c r="D1382" s="63" t="s">
        <v>1496</v>
      </c>
      <c r="E1382" s="50" t="s">
        <v>2422</v>
      </c>
      <c r="F1382" s="57">
        <v>2000</v>
      </c>
      <c r="G1382" s="76"/>
      <c r="H1382" s="57">
        <f t="shared" si="81"/>
        <v>2000</v>
      </c>
      <c r="I1382" s="50">
        <v>1</v>
      </c>
      <c r="J1382" s="57">
        <f t="shared" si="82"/>
        <v>2000</v>
      </c>
      <c r="K1382" s="58">
        <f t="shared" si="83"/>
        <v>2200</v>
      </c>
      <c r="L1382" s="18" t="s">
        <v>20</v>
      </c>
      <c r="M1382" s="50"/>
    </row>
    <row r="1383" spans="1:13" ht="21.75" hidden="1" customHeight="1" x14ac:dyDescent="0.4">
      <c r="A1383" s="59">
        <v>45415</v>
      </c>
      <c r="B1383" s="32" t="s">
        <v>1608</v>
      </c>
      <c r="C1383" s="18" t="s">
        <v>17</v>
      </c>
      <c r="D1383" s="63" t="s">
        <v>18</v>
      </c>
      <c r="E1383" s="50" t="s">
        <v>3334</v>
      </c>
      <c r="F1383" s="57">
        <v>1800</v>
      </c>
      <c r="G1383" s="76">
        <v>-720</v>
      </c>
      <c r="H1383" s="57">
        <f t="shared" si="81"/>
        <v>1080</v>
      </c>
      <c r="I1383" s="50">
        <v>5</v>
      </c>
      <c r="J1383" s="57">
        <f t="shared" si="82"/>
        <v>5400</v>
      </c>
      <c r="K1383" s="58">
        <f t="shared" si="83"/>
        <v>5940</v>
      </c>
      <c r="L1383" s="18" t="s">
        <v>25</v>
      </c>
      <c r="M1383" s="50"/>
    </row>
    <row r="1384" spans="1:13" ht="21.75" hidden="1" customHeight="1" x14ac:dyDescent="0.4">
      <c r="A1384" s="59">
        <v>45415</v>
      </c>
      <c r="B1384" s="32" t="s">
        <v>3285</v>
      </c>
      <c r="C1384" s="18" t="s">
        <v>27</v>
      </c>
      <c r="D1384" s="63" t="s">
        <v>28</v>
      </c>
      <c r="E1384" s="50" t="s">
        <v>318</v>
      </c>
      <c r="F1384" s="57">
        <v>15000</v>
      </c>
      <c r="G1384" s="76"/>
      <c r="H1384" s="57">
        <f t="shared" si="81"/>
        <v>15000</v>
      </c>
      <c r="I1384" s="50">
        <v>1</v>
      </c>
      <c r="J1384" s="57">
        <f t="shared" ref="J1384:J1451" si="84">SUM(H1384*I1384)</f>
        <v>15000</v>
      </c>
      <c r="K1384" s="58">
        <f t="shared" ref="K1384:K1451" si="85">ROUNDDOWN(J1384*1.1,0)</f>
        <v>16500</v>
      </c>
      <c r="L1384" s="18" t="s">
        <v>25</v>
      </c>
      <c r="M1384" s="50"/>
    </row>
    <row r="1385" spans="1:13" ht="21.75" hidden="1" customHeight="1" x14ac:dyDescent="0.4">
      <c r="A1385" s="59">
        <v>45415</v>
      </c>
      <c r="B1385" s="32" t="s">
        <v>2169</v>
      </c>
      <c r="C1385" s="18" t="s">
        <v>17</v>
      </c>
      <c r="D1385" s="63" t="s">
        <v>332</v>
      </c>
      <c r="E1385" s="50" t="s">
        <v>3338</v>
      </c>
      <c r="F1385" s="57">
        <v>1200</v>
      </c>
      <c r="G1385" s="76">
        <v>-120</v>
      </c>
      <c r="H1385" s="57">
        <f t="shared" si="81"/>
        <v>1080</v>
      </c>
      <c r="I1385" s="50">
        <v>1</v>
      </c>
      <c r="J1385" s="57">
        <f t="shared" si="84"/>
        <v>1080</v>
      </c>
      <c r="K1385" s="58">
        <f t="shared" si="85"/>
        <v>1188</v>
      </c>
      <c r="L1385" s="18" t="s">
        <v>20</v>
      </c>
      <c r="M1385" s="50"/>
    </row>
    <row r="1386" spans="1:13" ht="21.75" hidden="1" customHeight="1" x14ac:dyDescent="0.4">
      <c r="A1386" s="59">
        <v>45416</v>
      </c>
      <c r="B1386" s="32" t="s">
        <v>3339</v>
      </c>
      <c r="C1386" s="18" t="s">
        <v>27</v>
      </c>
      <c r="D1386" s="63" t="s">
        <v>28</v>
      </c>
      <c r="E1386" s="50" t="s">
        <v>73</v>
      </c>
      <c r="F1386" s="57">
        <v>2000</v>
      </c>
      <c r="G1386" s="76"/>
      <c r="H1386" s="57">
        <f t="shared" si="81"/>
        <v>2000</v>
      </c>
      <c r="I1386" s="50">
        <v>2</v>
      </c>
      <c r="J1386" s="57">
        <f t="shared" si="84"/>
        <v>4000</v>
      </c>
      <c r="K1386" s="58">
        <f t="shared" si="85"/>
        <v>4400</v>
      </c>
      <c r="L1386" s="18" t="s">
        <v>20</v>
      </c>
      <c r="M1386" s="50"/>
    </row>
    <row r="1387" spans="1:13" ht="21.75" hidden="1" customHeight="1" x14ac:dyDescent="0.4">
      <c r="A1387" s="59">
        <v>45416</v>
      </c>
      <c r="B1387" s="32" t="s">
        <v>1100</v>
      </c>
      <c r="C1387" s="18" t="s">
        <v>17</v>
      </c>
      <c r="D1387" s="63" t="s">
        <v>18</v>
      </c>
      <c r="E1387" s="50" t="s">
        <v>3340</v>
      </c>
      <c r="F1387" s="57">
        <v>1800</v>
      </c>
      <c r="G1387" s="76">
        <v>-180</v>
      </c>
      <c r="H1387" s="57">
        <f t="shared" si="81"/>
        <v>1620</v>
      </c>
      <c r="I1387" s="50">
        <v>1</v>
      </c>
      <c r="J1387" s="57">
        <f t="shared" si="84"/>
        <v>1620</v>
      </c>
      <c r="K1387" s="58">
        <f t="shared" si="85"/>
        <v>1782</v>
      </c>
      <c r="L1387" s="18" t="s">
        <v>25</v>
      </c>
      <c r="M1387" s="50"/>
    </row>
    <row r="1388" spans="1:13" ht="21.75" hidden="1" customHeight="1" x14ac:dyDescent="0.4">
      <c r="A1388" s="59">
        <v>45416</v>
      </c>
      <c r="B1388" s="32" t="s">
        <v>3341</v>
      </c>
      <c r="C1388" s="18" t="s">
        <v>22</v>
      </c>
      <c r="D1388" s="63" t="s">
        <v>1496</v>
      </c>
      <c r="E1388" s="50" t="s">
        <v>369</v>
      </c>
      <c r="F1388" s="57">
        <v>3000</v>
      </c>
      <c r="G1388" s="76"/>
      <c r="H1388" s="57">
        <f t="shared" si="81"/>
        <v>3000</v>
      </c>
      <c r="I1388" s="50">
        <v>1</v>
      </c>
      <c r="J1388" s="57">
        <f t="shared" si="84"/>
        <v>3000</v>
      </c>
      <c r="K1388" s="58">
        <f t="shared" si="85"/>
        <v>3300</v>
      </c>
      <c r="L1388" s="18" t="s">
        <v>25</v>
      </c>
      <c r="M1388" s="50"/>
    </row>
    <row r="1389" spans="1:13" ht="21.75" hidden="1" customHeight="1" x14ac:dyDescent="0.4">
      <c r="A1389" s="59">
        <v>45416</v>
      </c>
      <c r="B1389" s="32" t="s">
        <v>3342</v>
      </c>
      <c r="C1389" s="18" t="s">
        <v>27</v>
      </c>
      <c r="D1389" s="63" t="s">
        <v>28</v>
      </c>
      <c r="E1389" s="50" t="s">
        <v>3343</v>
      </c>
      <c r="F1389" s="57">
        <v>18000</v>
      </c>
      <c r="G1389" s="76"/>
      <c r="H1389" s="57">
        <f t="shared" si="81"/>
        <v>18000</v>
      </c>
      <c r="I1389" s="50">
        <v>1</v>
      </c>
      <c r="J1389" s="57">
        <f t="shared" si="84"/>
        <v>18000</v>
      </c>
      <c r="K1389" s="58">
        <f t="shared" si="85"/>
        <v>19800</v>
      </c>
      <c r="L1389" s="18" t="s">
        <v>20</v>
      </c>
      <c r="M1389" s="50"/>
    </row>
    <row r="1390" spans="1:13" ht="21.75" hidden="1" customHeight="1" x14ac:dyDescent="0.4">
      <c r="A1390" s="59">
        <v>45416</v>
      </c>
      <c r="B1390" s="32" t="s">
        <v>3341</v>
      </c>
      <c r="C1390" s="18" t="s">
        <v>27</v>
      </c>
      <c r="D1390" s="63" t="s">
        <v>28</v>
      </c>
      <c r="E1390" s="50" t="s">
        <v>318</v>
      </c>
      <c r="F1390" s="57">
        <v>15000</v>
      </c>
      <c r="G1390" s="76"/>
      <c r="H1390" s="57">
        <f t="shared" si="81"/>
        <v>15000</v>
      </c>
      <c r="I1390" s="50">
        <v>1</v>
      </c>
      <c r="J1390" s="57">
        <f t="shared" si="84"/>
        <v>15000</v>
      </c>
      <c r="K1390" s="58">
        <f t="shared" si="85"/>
        <v>16500</v>
      </c>
      <c r="L1390" s="18" t="s">
        <v>25</v>
      </c>
      <c r="M1390" s="50"/>
    </row>
    <row r="1391" spans="1:13" ht="21.75" hidden="1" customHeight="1" x14ac:dyDescent="0.4">
      <c r="A1391" s="59">
        <v>45416</v>
      </c>
      <c r="B1391" s="32" t="s">
        <v>3341</v>
      </c>
      <c r="C1391" s="18" t="s">
        <v>27</v>
      </c>
      <c r="D1391" s="63" t="s">
        <v>28</v>
      </c>
      <c r="E1391" s="50" t="s">
        <v>2087</v>
      </c>
      <c r="F1391" s="57">
        <v>13120</v>
      </c>
      <c r="G1391" s="76"/>
      <c r="H1391" s="57">
        <f t="shared" si="81"/>
        <v>13120</v>
      </c>
      <c r="I1391" s="50">
        <v>1</v>
      </c>
      <c r="J1391" s="57">
        <f t="shared" si="84"/>
        <v>13120</v>
      </c>
      <c r="K1391" s="58">
        <f t="shared" si="85"/>
        <v>14432</v>
      </c>
      <c r="L1391" s="18" t="s">
        <v>25</v>
      </c>
      <c r="M1391" s="50"/>
    </row>
    <row r="1392" spans="1:13" ht="21.75" hidden="1" customHeight="1" x14ac:dyDescent="0.4">
      <c r="A1392" s="59">
        <v>45416</v>
      </c>
      <c r="B1392" s="32" t="s">
        <v>3344</v>
      </c>
      <c r="C1392" s="18" t="s">
        <v>17</v>
      </c>
      <c r="D1392" s="63" t="s">
        <v>332</v>
      </c>
      <c r="E1392" s="50" t="s">
        <v>3345</v>
      </c>
      <c r="F1392" s="57">
        <v>1200</v>
      </c>
      <c r="G1392" s="76">
        <v>-120</v>
      </c>
      <c r="H1392" s="57">
        <f t="shared" si="81"/>
        <v>1080</v>
      </c>
      <c r="I1392" s="50">
        <v>1</v>
      </c>
      <c r="J1392" s="57">
        <f t="shared" si="84"/>
        <v>1080</v>
      </c>
      <c r="K1392" s="58">
        <f t="shared" si="85"/>
        <v>1188</v>
      </c>
      <c r="L1392" s="18" t="s">
        <v>25</v>
      </c>
      <c r="M1392" s="50"/>
    </row>
    <row r="1393" spans="1:15" ht="21.75" hidden="1" customHeight="1" x14ac:dyDescent="0.4">
      <c r="A1393" s="59">
        <v>45416</v>
      </c>
      <c r="B1393" s="32" t="s">
        <v>839</v>
      </c>
      <c r="C1393" s="18" t="s">
        <v>17</v>
      </c>
      <c r="D1393" s="63" t="s">
        <v>332</v>
      </c>
      <c r="E1393" s="50" t="s">
        <v>3043</v>
      </c>
      <c r="F1393" s="57">
        <v>1750</v>
      </c>
      <c r="G1393" s="76">
        <v>-175</v>
      </c>
      <c r="H1393" s="57">
        <f t="shared" ref="H1393:H1462" si="86">SUM(F1393:G1393)</f>
        <v>1575</v>
      </c>
      <c r="I1393" s="50">
        <v>1</v>
      </c>
      <c r="J1393" s="57">
        <f t="shared" si="84"/>
        <v>1575</v>
      </c>
      <c r="K1393" s="58">
        <f t="shared" si="85"/>
        <v>1732</v>
      </c>
      <c r="L1393" s="18" t="s">
        <v>25</v>
      </c>
      <c r="M1393" s="50"/>
    </row>
    <row r="1394" spans="1:15" ht="21.75" hidden="1" customHeight="1" x14ac:dyDescent="0.4">
      <c r="A1394" s="59">
        <v>45417</v>
      </c>
      <c r="B1394" s="32" t="s">
        <v>241</v>
      </c>
      <c r="C1394" s="18" t="s">
        <v>22</v>
      </c>
      <c r="D1394" s="63" t="s">
        <v>955</v>
      </c>
      <c r="E1394" s="50" t="s">
        <v>461</v>
      </c>
      <c r="F1394" s="57">
        <v>8000</v>
      </c>
      <c r="G1394" s="76"/>
      <c r="H1394" s="57">
        <f t="shared" si="86"/>
        <v>8000</v>
      </c>
      <c r="I1394" s="50">
        <v>1</v>
      </c>
      <c r="J1394" s="57">
        <f t="shared" si="84"/>
        <v>8000</v>
      </c>
      <c r="K1394" s="58">
        <f t="shared" si="85"/>
        <v>8800</v>
      </c>
      <c r="L1394" s="18" t="s">
        <v>34</v>
      </c>
      <c r="M1394" s="50"/>
    </row>
    <row r="1395" spans="1:15" ht="21.75" hidden="1" customHeight="1" x14ac:dyDescent="0.4">
      <c r="A1395" s="59">
        <v>45417</v>
      </c>
      <c r="B1395" s="32" t="s">
        <v>241</v>
      </c>
      <c r="C1395" s="18" t="s">
        <v>17</v>
      </c>
      <c r="D1395" s="63" t="s">
        <v>576</v>
      </c>
      <c r="E1395" s="124" t="s">
        <v>3365</v>
      </c>
      <c r="F1395" s="57">
        <v>88000</v>
      </c>
      <c r="G1395" s="76">
        <v>-8800</v>
      </c>
      <c r="H1395" s="57">
        <f t="shared" si="86"/>
        <v>79200</v>
      </c>
      <c r="I1395" s="50">
        <v>1</v>
      </c>
      <c r="J1395" s="57">
        <f t="shared" si="84"/>
        <v>79200</v>
      </c>
      <c r="K1395" s="58">
        <f t="shared" si="85"/>
        <v>87120</v>
      </c>
      <c r="L1395" s="18" t="s">
        <v>34</v>
      </c>
      <c r="M1395" s="50"/>
      <c r="N1395" s="52" t="s">
        <v>1608</v>
      </c>
    </row>
    <row r="1396" spans="1:15" ht="21.75" hidden="1" customHeight="1" x14ac:dyDescent="0.4">
      <c r="A1396" s="59">
        <v>45417</v>
      </c>
      <c r="B1396" s="32" t="s">
        <v>241</v>
      </c>
      <c r="C1396" s="18" t="s">
        <v>17</v>
      </c>
      <c r="D1396" s="63" t="s">
        <v>455</v>
      </c>
      <c r="E1396" s="50" t="s">
        <v>2619</v>
      </c>
      <c r="F1396" s="57">
        <v>1200</v>
      </c>
      <c r="G1396" s="76"/>
      <c r="H1396" s="57">
        <f t="shared" si="86"/>
        <v>1200</v>
      </c>
      <c r="I1396" s="50">
        <v>1</v>
      </c>
      <c r="J1396" s="57">
        <f t="shared" si="84"/>
        <v>1200</v>
      </c>
      <c r="K1396" s="58">
        <f t="shared" si="85"/>
        <v>1320</v>
      </c>
      <c r="L1396" s="18" t="s">
        <v>34</v>
      </c>
      <c r="M1396" s="50"/>
      <c r="N1396" s="52" t="s">
        <v>1608</v>
      </c>
    </row>
    <row r="1397" spans="1:15" ht="21.75" hidden="1" customHeight="1" x14ac:dyDescent="0.4">
      <c r="A1397" s="59">
        <v>45417</v>
      </c>
      <c r="B1397" s="32" t="s">
        <v>817</v>
      </c>
      <c r="C1397" s="18" t="s">
        <v>2457</v>
      </c>
      <c r="D1397" s="63" t="s">
        <v>1615</v>
      </c>
      <c r="E1397" s="50" t="s">
        <v>3315</v>
      </c>
      <c r="F1397" s="57">
        <v>15000</v>
      </c>
      <c r="G1397" s="76"/>
      <c r="H1397" s="57">
        <f t="shared" si="86"/>
        <v>15000</v>
      </c>
      <c r="I1397" s="50">
        <v>1</v>
      </c>
      <c r="J1397" s="57">
        <f t="shared" si="84"/>
        <v>15000</v>
      </c>
      <c r="K1397" s="58">
        <f t="shared" si="85"/>
        <v>16500</v>
      </c>
      <c r="L1397" s="18" t="s">
        <v>25</v>
      </c>
      <c r="M1397" s="50"/>
    </row>
    <row r="1398" spans="1:15" ht="21.75" hidden="1" customHeight="1" x14ac:dyDescent="0.4">
      <c r="A1398" s="59">
        <v>45417</v>
      </c>
      <c r="B1398" s="32" t="s">
        <v>190</v>
      </c>
      <c r="C1398" s="18" t="s">
        <v>27</v>
      </c>
      <c r="D1398" s="63" t="s">
        <v>28</v>
      </c>
      <c r="E1398" s="50" t="s">
        <v>3348</v>
      </c>
      <c r="F1398" s="57">
        <v>17500</v>
      </c>
      <c r="G1398" s="76"/>
      <c r="H1398" s="57">
        <f t="shared" si="86"/>
        <v>17500</v>
      </c>
      <c r="I1398" s="50">
        <v>1</v>
      </c>
      <c r="J1398" s="57">
        <f t="shared" si="84"/>
        <v>17500</v>
      </c>
      <c r="K1398" s="58">
        <f t="shared" si="85"/>
        <v>19250</v>
      </c>
      <c r="L1398" s="18" t="s">
        <v>25</v>
      </c>
      <c r="M1398" s="50"/>
    </row>
    <row r="1399" spans="1:15" ht="21.75" hidden="1" customHeight="1" x14ac:dyDescent="0.4">
      <c r="A1399" s="59">
        <v>45418</v>
      </c>
      <c r="B1399" s="32" t="s">
        <v>3346</v>
      </c>
      <c r="C1399" s="18" t="s">
        <v>22</v>
      </c>
      <c r="D1399" s="63" t="s">
        <v>955</v>
      </c>
      <c r="E1399" s="50" t="s">
        <v>1496</v>
      </c>
      <c r="F1399" s="57">
        <v>7500</v>
      </c>
      <c r="G1399" s="76"/>
      <c r="H1399" s="57">
        <f t="shared" si="86"/>
        <v>7500</v>
      </c>
      <c r="I1399" s="50">
        <v>1</v>
      </c>
      <c r="J1399" s="57">
        <f t="shared" si="84"/>
        <v>7500</v>
      </c>
      <c r="K1399" s="58">
        <f t="shared" si="85"/>
        <v>8250</v>
      </c>
      <c r="L1399" s="18" t="s">
        <v>20</v>
      </c>
      <c r="M1399" s="50"/>
    </row>
    <row r="1400" spans="1:15" ht="21.75" hidden="1" customHeight="1" x14ac:dyDescent="0.4">
      <c r="A1400" s="59">
        <v>45418</v>
      </c>
      <c r="B1400" s="32" t="s">
        <v>2854</v>
      </c>
      <c r="C1400" s="18" t="s">
        <v>27</v>
      </c>
      <c r="D1400" s="63" t="s">
        <v>28</v>
      </c>
      <c r="E1400" s="50" t="s">
        <v>73</v>
      </c>
      <c r="F1400" s="57">
        <v>2000</v>
      </c>
      <c r="G1400" s="76"/>
      <c r="H1400" s="57">
        <f t="shared" si="86"/>
        <v>2000</v>
      </c>
      <c r="I1400" s="50">
        <v>1</v>
      </c>
      <c r="J1400" s="57">
        <f t="shared" si="84"/>
        <v>2000</v>
      </c>
      <c r="K1400" s="58">
        <f t="shared" si="85"/>
        <v>2200</v>
      </c>
      <c r="L1400" s="18" t="s">
        <v>25</v>
      </c>
      <c r="M1400" s="50"/>
    </row>
    <row r="1401" spans="1:15" ht="21.75" hidden="1" customHeight="1" x14ac:dyDescent="0.4">
      <c r="A1401" s="59">
        <v>45418</v>
      </c>
      <c r="B1401" s="32" t="s">
        <v>3023</v>
      </c>
      <c r="C1401" s="18" t="s">
        <v>17</v>
      </c>
      <c r="D1401" s="63" t="s">
        <v>700</v>
      </c>
      <c r="E1401" s="50" t="s">
        <v>3347</v>
      </c>
      <c r="F1401" s="57">
        <v>3500</v>
      </c>
      <c r="G1401" s="76"/>
      <c r="H1401" s="57">
        <f t="shared" si="86"/>
        <v>3500</v>
      </c>
      <c r="I1401" s="50">
        <v>1</v>
      </c>
      <c r="J1401" s="57">
        <f t="shared" si="84"/>
        <v>3500</v>
      </c>
      <c r="K1401" s="58">
        <f t="shared" si="85"/>
        <v>3850</v>
      </c>
      <c r="L1401" s="18" t="s">
        <v>20</v>
      </c>
      <c r="M1401" s="50"/>
    </row>
    <row r="1402" spans="1:15" ht="21.75" hidden="1" customHeight="1" x14ac:dyDescent="0.4">
      <c r="A1402" s="62">
        <v>45420</v>
      </c>
      <c r="B1402" s="32" t="s">
        <v>2682</v>
      </c>
      <c r="C1402" s="18" t="s">
        <v>27</v>
      </c>
      <c r="D1402" s="63" t="s">
        <v>28</v>
      </c>
      <c r="E1402" s="50" t="s">
        <v>3349</v>
      </c>
      <c r="F1402" s="57">
        <v>9800</v>
      </c>
      <c r="G1402" s="76"/>
      <c r="H1402" s="57">
        <f t="shared" si="86"/>
        <v>9800</v>
      </c>
      <c r="I1402" s="50">
        <v>2</v>
      </c>
      <c r="J1402" s="57">
        <f t="shared" si="84"/>
        <v>19600</v>
      </c>
      <c r="K1402" s="58">
        <f t="shared" si="85"/>
        <v>21560</v>
      </c>
      <c r="L1402" s="18" t="s">
        <v>25</v>
      </c>
      <c r="M1402" s="50"/>
    </row>
    <row r="1403" spans="1:15" ht="21.75" hidden="1" customHeight="1" x14ac:dyDescent="0.4">
      <c r="A1403" s="62">
        <v>45420</v>
      </c>
      <c r="B1403" s="32" t="s">
        <v>1589</v>
      </c>
      <c r="C1403" s="18" t="s">
        <v>27</v>
      </c>
      <c r="D1403" s="63" t="s">
        <v>28</v>
      </c>
      <c r="E1403" s="50" t="s">
        <v>73</v>
      </c>
      <c r="F1403" s="57">
        <v>2000</v>
      </c>
      <c r="G1403" s="76"/>
      <c r="H1403" s="57">
        <f t="shared" si="86"/>
        <v>2000</v>
      </c>
      <c r="I1403" s="50">
        <v>1</v>
      </c>
      <c r="J1403" s="57">
        <f t="shared" si="84"/>
        <v>2000</v>
      </c>
      <c r="K1403" s="58">
        <f t="shared" si="85"/>
        <v>2200</v>
      </c>
      <c r="L1403" s="18" t="s">
        <v>20</v>
      </c>
      <c r="M1403" s="50"/>
    </row>
    <row r="1404" spans="1:15" ht="21.75" hidden="1" customHeight="1" x14ac:dyDescent="0.4">
      <c r="A1404" s="62">
        <v>45421</v>
      </c>
      <c r="B1404" s="32" t="s">
        <v>839</v>
      </c>
      <c r="C1404" s="18" t="s">
        <v>2457</v>
      </c>
      <c r="D1404" s="63" t="s">
        <v>2630</v>
      </c>
      <c r="E1404" s="50" t="s">
        <v>821</v>
      </c>
      <c r="F1404" s="57">
        <v>1000</v>
      </c>
      <c r="G1404" s="76"/>
      <c r="H1404" s="57">
        <f t="shared" si="86"/>
        <v>1000</v>
      </c>
      <c r="I1404" s="50">
        <v>1</v>
      </c>
      <c r="J1404" s="57">
        <f t="shared" si="84"/>
        <v>1000</v>
      </c>
      <c r="K1404" s="58">
        <f t="shared" si="85"/>
        <v>1100</v>
      </c>
      <c r="L1404" s="18" t="s">
        <v>20</v>
      </c>
      <c r="M1404" s="50"/>
    </row>
    <row r="1405" spans="1:15" ht="21.75" hidden="1" customHeight="1" x14ac:dyDescent="0.4">
      <c r="A1405" s="62">
        <v>45421</v>
      </c>
      <c r="B1405" s="32" t="s">
        <v>865</v>
      </c>
      <c r="C1405" s="18" t="s">
        <v>27</v>
      </c>
      <c r="D1405" s="63" t="s">
        <v>28</v>
      </c>
      <c r="E1405" s="50" t="s">
        <v>73</v>
      </c>
      <c r="F1405" s="57">
        <v>2000</v>
      </c>
      <c r="G1405" s="76"/>
      <c r="H1405" s="57">
        <f t="shared" si="86"/>
        <v>2000</v>
      </c>
      <c r="I1405" s="50">
        <v>1</v>
      </c>
      <c r="J1405" s="57">
        <f t="shared" si="84"/>
        <v>2000</v>
      </c>
      <c r="K1405" s="58">
        <f t="shared" si="85"/>
        <v>2200</v>
      </c>
      <c r="L1405" s="18" t="s">
        <v>25</v>
      </c>
      <c r="M1405" s="50"/>
    </row>
    <row r="1406" spans="1:15" s="35" customFormat="1" ht="21.75" hidden="1" customHeight="1" x14ac:dyDescent="0.4">
      <c r="A1406" s="190">
        <v>45421</v>
      </c>
      <c r="B1406" s="191" t="s">
        <v>2741</v>
      </c>
      <c r="C1406" s="192" t="s">
        <v>17</v>
      </c>
      <c r="D1406" s="193" t="s">
        <v>332</v>
      </c>
      <c r="E1406" s="159" t="s">
        <v>3350</v>
      </c>
      <c r="F1406" s="186">
        <v>199</v>
      </c>
      <c r="G1406" s="187"/>
      <c r="H1406" s="186">
        <f t="shared" si="86"/>
        <v>199</v>
      </c>
      <c r="I1406" s="159">
        <v>1</v>
      </c>
      <c r="J1406" s="186">
        <f t="shared" si="84"/>
        <v>199</v>
      </c>
      <c r="K1406" s="188">
        <f t="shared" si="85"/>
        <v>218</v>
      </c>
      <c r="L1406" s="192" t="s">
        <v>20</v>
      </c>
      <c r="M1406" s="159"/>
      <c r="N1406" s="189"/>
      <c r="O1406" s="189"/>
    </row>
    <row r="1407" spans="1:15" ht="21.75" hidden="1" customHeight="1" x14ac:dyDescent="0.4">
      <c r="A1407" s="62">
        <v>45421</v>
      </c>
      <c r="B1407" s="32" t="s">
        <v>3351</v>
      </c>
      <c r="C1407" s="18" t="s">
        <v>27</v>
      </c>
      <c r="D1407" s="63" t="s">
        <v>28</v>
      </c>
      <c r="E1407" s="50" t="s">
        <v>73</v>
      </c>
      <c r="F1407" s="57">
        <v>2000</v>
      </c>
      <c r="G1407" s="76"/>
      <c r="H1407" s="57">
        <f t="shared" si="86"/>
        <v>2000</v>
      </c>
      <c r="I1407" s="50">
        <v>3</v>
      </c>
      <c r="J1407" s="57">
        <f t="shared" si="84"/>
        <v>6000</v>
      </c>
      <c r="K1407" s="58">
        <f t="shared" si="85"/>
        <v>6600</v>
      </c>
      <c r="L1407" s="18" t="s">
        <v>25</v>
      </c>
      <c r="M1407" s="50"/>
    </row>
    <row r="1408" spans="1:15" ht="21.75" hidden="1" customHeight="1" x14ac:dyDescent="0.4">
      <c r="A1408" s="62">
        <v>45421</v>
      </c>
      <c r="B1408" s="32" t="s">
        <v>3352</v>
      </c>
      <c r="C1408" s="18" t="s">
        <v>22</v>
      </c>
      <c r="D1408" s="63" t="s">
        <v>1496</v>
      </c>
      <c r="E1408" s="50" t="s">
        <v>369</v>
      </c>
      <c r="F1408" s="57">
        <v>3000</v>
      </c>
      <c r="G1408" s="76"/>
      <c r="H1408" s="57">
        <f t="shared" si="86"/>
        <v>3000</v>
      </c>
      <c r="I1408" s="50">
        <v>1</v>
      </c>
      <c r="J1408" s="57">
        <f t="shared" si="84"/>
        <v>3000</v>
      </c>
      <c r="K1408" s="58">
        <f t="shared" si="85"/>
        <v>3300</v>
      </c>
      <c r="L1408" s="18" t="s">
        <v>25</v>
      </c>
      <c r="M1408" s="50"/>
    </row>
    <row r="1409" spans="1:14" ht="21.75" hidden="1" customHeight="1" x14ac:dyDescent="0.4">
      <c r="A1409" s="62">
        <v>45421</v>
      </c>
      <c r="B1409" s="32" t="s">
        <v>2741</v>
      </c>
      <c r="C1409" s="18" t="s">
        <v>27</v>
      </c>
      <c r="D1409" s="63" t="s">
        <v>28</v>
      </c>
      <c r="E1409" s="50" t="s">
        <v>73</v>
      </c>
      <c r="F1409" s="57">
        <v>2000</v>
      </c>
      <c r="G1409" s="76"/>
      <c r="H1409" s="57">
        <f t="shared" si="86"/>
        <v>2000</v>
      </c>
      <c r="I1409" s="50">
        <v>1</v>
      </c>
      <c r="J1409" s="57">
        <f t="shared" si="84"/>
        <v>2000</v>
      </c>
      <c r="K1409" s="58">
        <f t="shared" si="85"/>
        <v>2200</v>
      </c>
      <c r="L1409" s="18" t="s">
        <v>20</v>
      </c>
      <c r="M1409" s="50"/>
    </row>
    <row r="1410" spans="1:14" ht="21.75" hidden="1" customHeight="1" x14ac:dyDescent="0.4">
      <c r="A1410" s="62">
        <v>45421</v>
      </c>
      <c r="B1410" s="32" t="s">
        <v>3303</v>
      </c>
      <c r="C1410" s="18" t="s">
        <v>17</v>
      </c>
      <c r="D1410" s="63" t="s">
        <v>328</v>
      </c>
      <c r="E1410" s="50" t="s">
        <v>3378</v>
      </c>
      <c r="F1410" s="57">
        <v>55000</v>
      </c>
      <c r="G1410" s="76">
        <v>-11000</v>
      </c>
      <c r="H1410" s="57">
        <f t="shared" si="86"/>
        <v>44000</v>
      </c>
      <c r="I1410" s="50">
        <v>1</v>
      </c>
      <c r="J1410" s="57">
        <f t="shared" si="84"/>
        <v>44000</v>
      </c>
      <c r="K1410" s="58">
        <f t="shared" si="85"/>
        <v>48400</v>
      </c>
      <c r="L1410" s="18" t="s">
        <v>1921</v>
      </c>
      <c r="M1410" s="50"/>
      <c r="N1410" s="52" t="s">
        <v>1608</v>
      </c>
    </row>
    <row r="1411" spans="1:14" ht="21.75" hidden="1" customHeight="1" x14ac:dyDescent="0.4">
      <c r="A1411" s="62">
        <v>45421</v>
      </c>
      <c r="B1411" s="32" t="s">
        <v>3303</v>
      </c>
      <c r="C1411" s="18" t="s">
        <v>17</v>
      </c>
      <c r="D1411" s="63" t="s">
        <v>328</v>
      </c>
      <c r="E1411" s="124" t="s">
        <v>3377</v>
      </c>
      <c r="F1411" s="57">
        <v>35000</v>
      </c>
      <c r="G1411" s="76">
        <v>-17500</v>
      </c>
      <c r="H1411" s="57">
        <f t="shared" si="86"/>
        <v>17500</v>
      </c>
      <c r="I1411" s="50">
        <v>1</v>
      </c>
      <c r="J1411" s="57">
        <f t="shared" ref="J1411:J1417" si="87">SUM(H1411*I1411)</f>
        <v>17500</v>
      </c>
      <c r="K1411" s="58">
        <f t="shared" ref="K1411:K1417" si="88">ROUNDDOWN(J1411*1.1,0)</f>
        <v>19250</v>
      </c>
      <c r="L1411" s="18" t="s">
        <v>1921</v>
      </c>
      <c r="M1411" s="50"/>
      <c r="N1411" s="52" t="s">
        <v>1608</v>
      </c>
    </row>
    <row r="1412" spans="1:14" ht="21.75" hidden="1" customHeight="1" x14ac:dyDescent="0.4">
      <c r="A1412" s="62">
        <v>45421</v>
      </c>
      <c r="B1412" s="32" t="s">
        <v>3303</v>
      </c>
      <c r="C1412" s="18" t="s">
        <v>17</v>
      </c>
      <c r="D1412" s="63" t="s">
        <v>328</v>
      </c>
      <c r="E1412" s="50" t="s">
        <v>3379</v>
      </c>
      <c r="F1412" s="57">
        <v>23000</v>
      </c>
      <c r="G1412" s="76">
        <v>-4600</v>
      </c>
      <c r="H1412" s="57">
        <f t="shared" si="86"/>
        <v>18400</v>
      </c>
      <c r="I1412" s="50">
        <v>1</v>
      </c>
      <c r="J1412" s="57">
        <f t="shared" si="87"/>
        <v>18400</v>
      </c>
      <c r="K1412" s="58">
        <f t="shared" si="88"/>
        <v>20240</v>
      </c>
      <c r="L1412" s="18" t="s">
        <v>1921</v>
      </c>
      <c r="M1412" s="50"/>
      <c r="N1412" s="52" t="s">
        <v>1608</v>
      </c>
    </row>
    <row r="1413" spans="1:14" ht="21.75" hidden="1" customHeight="1" x14ac:dyDescent="0.4">
      <c r="A1413" s="62">
        <v>45421</v>
      </c>
      <c r="B1413" s="32" t="s">
        <v>3303</v>
      </c>
      <c r="C1413" s="18" t="s">
        <v>17</v>
      </c>
      <c r="D1413" s="63" t="s">
        <v>328</v>
      </c>
      <c r="E1413" s="50" t="s">
        <v>3380</v>
      </c>
      <c r="F1413" s="57">
        <v>23000</v>
      </c>
      <c r="G1413" s="76">
        <v>-4600</v>
      </c>
      <c r="H1413" s="57">
        <f t="shared" si="86"/>
        <v>18400</v>
      </c>
      <c r="I1413" s="50">
        <v>1</v>
      </c>
      <c r="J1413" s="57">
        <f t="shared" si="87"/>
        <v>18400</v>
      </c>
      <c r="K1413" s="58">
        <f t="shared" si="88"/>
        <v>20240</v>
      </c>
      <c r="L1413" s="18" t="s">
        <v>1921</v>
      </c>
      <c r="M1413" s="50"/>
      <c r="N1413" s="52" t="s">
        <v>1608</v>
      </c>
    </row>
    <row r="1414" spans="1:14" ht="21.75" hidden="1" customHeight="1" x14ac:dyDescent="0.4">
      <c r="A1414" s="62">
        <v>45421</v>
      </c>
      <c r="B1414" s="32" t="s">
        <v>3303</v>
      </c>
      <c r="C1414" s="18" t="s">
        <v>17</v>
      </c>
      <c r="D1414" s="63" t="s">
        <v>455</v>
      </c>
      <c r="E1414" s="50" t="s">
        <v>2619</v>
      </c>
      <c r="F1414" s="57">
        <v>1200</v>
      </c>
      <c r="G1414" s="76"/>
      <c r="H1414" s="57">
        <f t="shared" si="86"/>
        <v>1200</v>
      </c>
      <c r="I1414" s="50">
        <v>4</v>
      </c>
      <c r="J1414" s="57">
        <f t="shared" si="87"/>
        <v>4800</v>
      </c>
      <c r="K1414" s="58">
        <f t="shared" si="88"/>
        <v>5280</v>
      </c>
      <c r="L1414" s="18" t="s">
        <v>1921</v>
      </c>
      <c r="M1414" s="50"/>
      <c r="N1414" s="52" t="s">
        <v>1608</v>
      </c>
    </row>
    <row r="1415" spans="1:14" ht="21.75" hidden="1" customHeight="1" x14ac:dyDescent="0.4">
      <c r="A1415" s="62">
        <v>45421</v>
      </c>
      <c r="B1415" s="32" t="s">
        <v>3382</v>
      </c>
      <c r="C1415" s="18" t="s">
        <v>17</v>
      </c>
      <c r="D1415" s="63" t="s">
        <v>328</v>
      </c>
      <c r="E1415" s="50" t="s">
        <v>1409</v>
      </c>
      <c r="F1415" s="57">
        <v>70000</v>
      </c>
      <c r="G1415" s="76">
        <v>-14000</v>
      </c>
      <c r="H1415" s="57">
        <f t="shared" si="86"/>
        <v>56000</v>
      </c>
      <c r="I1415" s="50">
        <v>1</v>
      </c>
      <c r="J1415" s="57">
        <f t="shared" si="87"/>
        <v>56000</v>
      </c>
      <c r="K1415" s="58">
        <f t="shared" si="88"/>
        <v>61600</v>
      </c>
      <c r="L1415" s="18" t="s">
        <v>1921</v>
      </c>
      <c r="M1415" s="50"/>
      <c r="N1415" s="52" t="s">
        <v>1608</v>
      </c>
    </row>
    <row r="1416" spans="1:14" ht="21.75" hidden="1" customHeight="1" x14ac:dyDescent="0.4">
      <c r="A1416" s="62">
        <v>45421</v>
      </c>
      <c r="B1416" s="32" t="s">
        <v>3382</v>
      </c>
      <c r="C1416" s="18" t="s">
        <v>17</v>
      </c>
      <c r="D1416" s="63" t="s">
        <v>455</v>
      </c>
      <c r="E1416" s="50" t="s">
        <v>2619</v>
      </c>
      <c r="F1416" s="57">
        <v>1200</v>
      </c>
      <c r="G1416" s="76"/>
      <c r="H1416" s="57">
        <f t="shared" si="86"/>
        <v>1200</v>
      </c>
      <c r="I1416" s="50">
        <v>1</v>
      </c>
      <c r="J1416" s="57">
        <f t="shared" si="87"/>
        <v>1200</v>
      </c>
      <c r="K1416" s="58">
        <f t="shared" si="88"/>
        <v>1320</v>
      </c>
      <c r="L1416" s="18" t="s">
        <v>1921</v>
      </c>
      <c r="M1416" s="50"/>
      <c r="N1416" s="52" t="s">
        <v>1608</v>
      </c>
    </row>
    <row r="1417" spans="1:14" ht="21.75" hidden="1" customHeight="1" x14ac:dyDescent="0.4">
      <c r="A1417" s="62">
        <v>45422</v>
      </c>
      <c r="B1417" s="32" t="s">
        <v>2951</v>
      </c>
      <c r="C1417" s="18" t="s">
        <v>22</v>
      </c>
      <c r="D1417" s="63" t="s">
        <v>1496</v>
      </c>
      <c r="E1417" s="50" t="s">
        <v>1813</v>
      </c>
      <c r="F1417" s="57">
        <v>4500</v>
      </c>
      <c r="G1417" s="76"/>
      <c r="H1417" s="57">
        <f t="shared" si="86"/>
        <v>4500</v>
      </c>
      <c r="I1417" s="50">
        <v>1</v>
      </c>
      <c r="J1417" s="57">
        <f t="shared" si="87"/>
        <v>4500</v>
      </c>
      <c r="K1417" s="58">
        <f t="shared" si="88"/>
        <v>4950</v>
      </c>
      <c r="L1417" s="18" t="s">
        <v>20</v>
      </c>
      <c r="M1417" s="50"/>
    </row>
    <row r="1418" spans="1:14" ht="21.75" hidden="1" customHeight="1" x14ac:dyDescent="0.4">
      <c r="A1418" s="62">
        <v>45422</v>
      </c>
      <c r="B1418" s="32" t="s">
        <v>678</v>
      </c>
      <c r="C1418" s="18" t="s">
        <v>17</v>
      </c>
      <c r="D1418" s="63" t="s">
        <v>332</v>
      </c>
      <c r="E1418" s="50" t="s">
        <v>3353</v>
      </c>
      <c r="F1418" s="57">
        <v>1800</v>
      </c>
      <c r="G1418" s="76">
        <v>-180</v>
      </c>
      <c r="H1418" s="57">
        <f t="shared" si="86"/>
        <v>1620</v>
      </c>
      <c r="I1418" s="50">
        <v>1</v>
      </c>
      <c r="J1418" s="57">
        <f t="shared" si="84"/>
        <v>1620</v>
      </c>
      <c r="K1418" s="58">
        <f t="shared" si="85"/>
        <v>1782</v>
      </c>
      <c r="L1418" s="18" t="s">
        <v>20</v>
      </c>
      <c r="M1418" s="50"/>
    </row>
    <row r="1419" spans="1:14" ht="21.75" hidden="1" customHeight="1" x14ac:dyDescent="0.4">
      <c r="A1419" s="62">
        <v>45422</v>
      </c>
      <c r="B1419" s="32" t="s">
        <v>162</v>
      </c>
      <c r="C1419" s="18" t="s">
        <v>27</v>
      </c>
      <c r="D1419" s="63" t="s">
        <v>28</v>
      </c>
      <c r="E1419" s="50" t="s">
        <v>1810</v>
      </c>
      <c r="F1419" s="57">
        <v>2500</v>
      </c>
      <c r="G1419" s="76"/>
      <c r="H1419" s="57">
        <f t="shared" si="86"/>
        <v>2500</v>
      </c>
      <c r="I1419" s="50">
        <v>1</v>
      </c>
      <c r="J1419" s="57">
        <f t="shared" si="84"/>
        <v>2500</v>
      </c>
      <c r="K1419" s="58">
        <f t="shared" si="85"/>
        <v>2750</v>
      </c>
      <c r="L1419" s="18" t="s">
        <v>25</v>
      </c>
      <c r="M1419" s="50"/>
    </row>
    <row r="1420" spans="1:14" ht="21.75" hidden="1" customHeight="1" x14ac:dyDescent="0.4">
      <c r="A1420" s="62">
        <v>45422</v>
      </c>
      <c r="B1420" s="32" t="s">
        <v>162</v>
      </c>
      <c r="C1420" s="18" t="s">
        <v>27</v>
      </c>
      <c r="D1420" s="63" t="s">
        <v>28</v>
      </c>
      <c r="E1420" s="50" t="s">
        <v>73</v>
      </c>
      <c r="F1420" s="57">
        <v>2000</v>
      </c>
      <c r="G1420" s="76"/>
      <c r="H1420" s="57">
        <f t="shared" si="86"/>
        <v>2000</v>
      </c>
      <c r="I1420" s="50">
        <v>1</v>
      </c>
      <c r="J1420" s="57">
        <f t="shared" si="84"/>
        <v>2000</v>
      </c>
      <c r="K1420" s="58">
        <f t="shared" si="85"/>
        <v>2200</v>
      </c>
      <c r="L1420" s="18" t="s">
        <v>25</v>
      </c>
      <c r="M1420" s="50"/>
    </row>
    <row r="1421" spans="1:14" ht="21.75" hidden="1" customHeight="1" x14ac:dyDescent="0.4">
      <c r="A1421" s="62">
        <v>45422</v>
      </c>
      <c r="B1421" s="32" t="s">
        <v>179</v>
      </c>
      <c r="C1421" s="18" t="s">
        <v>17</v>
      </c>
      <c r="D1421" s="63" t="s">
        <v>328</v>
      </c>
      <c r="E1421" s="50" t="s">
        <v>2585</v>
      </c>
      <c r="F1421" s="57">
        <v>23000</v>
      </c>
      <c r="G1421" s="76">
        <v>-6900</v>
      </c>
      <c r="H1421" s="57">
        <f t="shared" si="86"/>
        <v>16100</v>
      </c>
      <c r="I1421" s="50">
        <v>1</v>
      </c>
      <c r="J1421" s="57">
        <f t="shared" si="84"/>
        <v>16100</v>
      </c>
      <c r="K1421" s="58">
        <f t="shared" si="85"/>
        <v>17710</v>
      </c>
      <c r="L1421" s="18" t="s">
        <v>20</v>
      </c>
      <c r="M1421" s="50"/>
      <c r="N1421" s="52" t="s">
        <v>1557</v>
      </c>
    </row>
    <row r="1422" spans="1:14" ht="21.75" hidden="1" customHeight="1" x14ac:dyDescent="0.4">
      <c r="A1422" s="62">
        <v>45422</v>
      </c>
      <c r="B1422" s="32" t="s">
        <v>179</v>
      </c>
      <c r="C1422" s="18" t="s">
        <v>2892</v>
      </c>
      <c r="D1422" s="63" t="s">
        <v>23</v>
      </c>
      <c r="E1422" s="50" t="s">
        <v>2883</v>
      </c>
      <c r="F1422" s="57">
        <v>10000</v>
      </c>
      <c r="G1422" s="76"/>
      <c r="H1422" s="57">
        <f t="shared" si="86"/>
        <v>10000</v>
      </c>
      <c r="I1422" s="50">
        <v>1</v>
      </c>
      <c r="J1422" s="57">
        <f t="shared" si="84"/>
        <v>10000</v>
      </c>
      <c r="K1422" s="58">
        <f t="shared" si="85"/>
        <v>11000</v>
      </c>
      <c r="L1422" s="18" t="s">
        <v>20</v>
      </c>
      <c r="M1422" s="50"/>
    </row>
    <row r="1423" spans="1:14" ht="21.75" hidden="1" customHeight="1" x14ac:dyDescent="0.4">
      <c r="A1423" s="62">
        <v>45422</v>
      </c>
      <c r="B1423" s="32" t="s">
        <v>179</v>
      </c>
      <c r="C1423" s="18" t="s">
        <v>17</v>
      </c>
      <c r="D1423" s="63" t="s">
        <v>455</v>
      </c>
      <c r="E1423" s="50" t="s">
        <v>3113</v>
      </c>
      <c r="F1423" s="57">
        <v>1700</v>
      </c>
      <c r="G1423" s="76">
        <v>-170</v>
      </c>
      <c r="H1423" s="57">
        <f t="shared" si="86"/>
        <v>1530</v>
      </c>
      <c r="I1423" s="50">
        <v>1</v>
      </c>
      <c r="J1423" s="57">
        <f t="shared" si="84"/>
        <v>1530</v>
      </c>
      <c r="K1423" s="58">
        <f t="shared" si="85"/>
        <v>1683</v>
      </c>
      <c r="L1423" s="18" t="s">
        <v>20</v>
      </c>
      <c r="M1423" s="50"/>
      <c r="N1423" s="52" t="s">
        <v>1557</v>
      </c>
    </row>
    <row r="1424" spans="1:14" ht="21.75" hidden="1" customHeight="1" x14ac:dyDescent="0.4">
      <c r="A1424" s="62">
        <v>45422</v>
      </c>
      <c r="B1424" s="32" t="s">
        <v>179</v>
      </c>
      <c r="C1424" s="18" t="s">
        <v>17</v>
      </c>
      <c r="D1424" s="63" t="s">
        <v>18</v>
      </c>
      <c r="E1424" s="50" t="s">
        <v>3340</v>
      </c>
      <c r="F1424" s="57">
        <v>1800</v>
      </c>
      <c r="G1424" s="76">
        <v>-180</v>
      </c>
      <c r="H1424" s="57">
        <f t="shared" si="86"/>
        <v>1620</v>
      </c>
      <c r="I1424" s="50">
        <v>2</v>
      </c>
      <c r="J1424" s="57">
        <f t="shared" si="84"/>
        <v>3240</v>
      </c>
      <c r="K1424" s="58">
        <f t="shared" si="85"/>
        <v>3564</v>
      </c>
      <c r="L1424" s="18" t="s">
        <v>20</v>
      </c>
      <c r="M1424" s="50"/>
    </row>
    <row r="1425" spans="1:14" ht="21.75" hidden="1" customHeight="1" x14ac:dyDescent="0.4">
      <c r="A1425" s="62">
        <v>45422</v>
      </c>
      <c r="B1425" s="32" t="s">
        <v>179</v>
      </c>
      <c r="C1425" s="96" t="s">
        <v>198</v>
      </c>
      <c r="D1425" s="63"/>
      <c r="E1425" s="50" t="s">
        <v>2792</v>
      </c>
      <c r="F1425" s="57">
        <v>-10000</v>
      </c>
      <c r="G1425" s="76"/>
      <c r="H1425" s="57">
        <f t="shared" si="86"/>
        <v>-10000</v>
      </c>
      <c r="I1425" s="50">
        <v>1</v>
      </c>
      <c r="J1425" s="57">
        <f t="shared" si="84"/>
        <v>-10000</v>
      </c>
      <c r="K1425" s="58">
        <f t="shared" si="85"/>
        <v>-11000</v>
      </c>
      <c r="L1425" s="18" t="s">
        <v>20</v>
      </c>
      <c r="M1425" s="50"/>
    </row>
    <row r="1426" spans="1:14" ht="21.75" hidden="1" customHeight="1" x14ac:dyDescent="0.4">
      <c r="A1426" s="62">
        <v>45422</v>
      </c>
      <c r="B1426" s="32" t="s">
        <v>644</v>
      </c>
      <c r="C1426" s="18" t="s">
        <v>17</v>
      </c>
      <c r="D1426" s="63" t="s">
        <v>292</v>
      </c>
      <c r="E1426" s="50" t="s">
        <v>3135</v>
      </c>
      <c r="F1426" s="57">
        <v>4000</v>
      </c>
      <c r="G1426" s="76">
        <v>-400</v>
      </c>
      <c r="H1426" s="57">
        <f t="shared" si="86"/>
        <v>3600</v>
      </c>
      <c r="I1426" s="50">
        <v>1</v>
      </c>
      <c r="J1426" s="57">
        <f t="shared" si="84"/>
        <v>3600</v>
      </c>
      <c r="K1426" s="58">
        <f t="shared" si="85"/>
        <v>3960</v>
      </c>
      <c r="L1426" s="18" t="s">
        <v>25</v>
      </c>
      <c r="M1426" s="50"/>
    </row>
    <row r="1427" spans="1:14" ht="21.75" hidden="1" customHeight="1" x14ac:dyDescent="0.4">
      <c r="A1427" s="62">
        <v>45422</v>
      </c>
      <c r="B1427" s="32" t="s">
        <v>148</v>
      </c>
      <c r="C1427" s="18" t="s">
        <v>17</v>
      </c>
      <c r="D1427" s="63" t="s">
        <v>292</v>
      </c>
      <c r="E1427" s="50" t="s">
        <v>3135</v>
      </c>
      <c r="F1427" s="57">
        <v>4000</v>
      </c>
      <c r="G1427" s="76">
        <v>-400</v>
      </c>
      <c r="H1427" s="57">
        <f t="shared" si="86"/>
        <v>3600</v>
      </c>
      <c r="I1427" s="50">
        <v>1</v>
      </c>
      <c r="J1427" s="57">
        <f t="shared" si="84"/>
        <v>3600</v>
      </c>
      <c r="K1427" s="58">
        <f t="shared" si="85"/>
        <v>3960</v>
      </c>
      <c r="L1427" s="18" t="s">
        <v>20</v>
      </c>
      <c r="M1427" s="50"/>
    </row>
    <row r="1428" spans="1:14" ht="21.75" hidden="1" customHeight="1" x14ac:dyDescent="0.4">
      <c r="A1428" s="62">
        <v>45423</v>
      </c>
      <c r="B1428" s="32" t="s">
        <v>1828</v>
      </c>
      <c r="C1428" s="18" t="s">
        <v>17</v>
      </c>
      <c r="D1428" s="63" t="s">
        <v>18</v>
      </c>
      <c r="E1428" s="50" t="s">
        <v>3354</v>
      </c>
      <c r="F1428" s="57">
        <v>1800</v>
      </c>
      <c r="G1428" s="76">
        <v>-180</v>
      </c>
      <c r="H1428" s="57">
        <f t="shared" si="86"/>
        <v>1620</v>
      </c>
      <c r="I1428" s="50">
        <v>2</v>
      </c>
      <c r="J1428" s="57">
        <f t="shared" si="84"/>
        <v>3240</v>
      </c>
      <c r="K1428" s="58">
        <f t="shared" si="85"/>
        <v>3564</v>
      </c>
      <c r="L1428" s="18" t="s">
        <v>25</v>
      </c>
      <c r="M1428" s="50"/>
    </row>
    <row r="1429" spans="1:14" ht="21.75" hidden="1" customHeight="1" x14ac:dyDescent="0.4">
      <c r="A1429" s="62">
        <v>45424</v>
      </c>
      <c r="B1429" s="32" t="s">
        <v>3355</v>
      </c>
      <c r="C1429" s="18" t="s">
        <v>2892</v>
      </c>
      <c r="D1429" s="63" t="s">
        <v>23</v>
      </c>
      <c r="E1429" s="50" t="s">
        <v>2883</v>
      </c>
      <c r="F1429" s="57">
        <v>15000</v>
      </c>
      <c r="G1429" s="76"/>
      <c r="H1429" s="57">
        <f t="shared" si="86"/>
        <v>15000</v>
      </c>
      <c r="I1429" s="50">
        <v>1</v>
      </c>
      <c r="J1429" s="57">
        <f t="shared" si="84"/>
        <v>15000</v>
      </c>
      <c r="K1429" s="58">
        <f t="shared" si="85"/>
        <v>16500</v>
      </c>
      <c r="L1429" s="18" t="s">
        <v>25</v>
      </c>
      <c r="M1429" s="50" t="s">
        <v>2515</v>
      </c>
    </row>
    <row r="1430" spans="1:14" ht="21.75" hidden="1" customHeight="1" x14ac:dyDescent="0.4">
      <c r="A1430" s="62">
        <v>45424</v>
      </c>
      <c r="B1430" s="32" t="s">
        <v>162</v>
      </c>
      <c r="C1430" s="18" t="s">
        <v>17</v>
      </c>
      <c r="D1430" s="63" t="s">
        <v>845</v>
      </c>
      <c r="E1430" s="50" t="s">
        <v>3356</v>
      </c>
      <c r="F1430" s="57">
        <v>1000</v>
      </c>
      <c r="G1430" s="76"/>
      <c r="H1430" s="57">
        <f t="shared" si="86"/>
        <v>1000</v>
      </c>
      <c r="I1430" s="50">
        <v>1</v>
      </c>
      <c r="J1430" s="57">
        <f t="shared" si="84"/>
        <v>1000</v>
      </c>
      <c r="K1430" s="58">
        <f t="shared" si="85"/>
        <v>1100</v>
      </c>
      <c r="L1430" s="18" t="s">
        <v>25</v>
      </c>
      <c r="M1430" s="50"/>
    </row>
    <row r="1431" spans="1:14" ht="21.75" hidden="1" customHeight="1" x14ac:dyDescent="0.4">
      <c r="A1431" s="62">
        <v>45424</v>
      </c>
      <c r="B1431" s="32" t="s">
        <v>162</v>
      </c>
      <c r="C1431" s="18" t="s">
        <v>17</v>
      </c>
      <c r="D1431" s="63" t="s">
        <v>292</v>
      </c>
      <c r="E1431" s="50" t="s">
        <v>3357</v>
      </c>
      <c r="F1431" s="57">
        <v>3200</v>
      </c>
      <c r="G1431" s="76">
        <v>-320</v>
      </c>
      <c r="H1431" s="57">
        <f t="shared" si="86"/>
        <v>2880</v>
      </c>
      <c r="I1431" s="50">
        <v>1</v>
      </c>
      <c r="J1431" s="57">
        <f t="shared" si="84"/>
        <v>2880</v>
      </c>
      <c r="K1431" s="58">
        <f t="shared" si="85"/>
        <v>3168</v>
      </c>
      <c r="L1431" s="18" t="s">
        <v>25</v>
      </c>
      <c r="M1431" s="50"/>
    </row>
    <row r="1432" spans="1:14" ht="21.75" hidden="1" customHeight="1" x14ac:dyDescent="0.4">
      <c r="A1432" s="62">
        <v>45424</v>
      </c>
      <c r="B1432" s="32" t="s">
        <v>3352</v>
      </c>
      <c r="C1432" s="18" t="s">
        <v>27</v>
      </c>
      <c r="D1432" s="63" t="s">
        <v>28</v>
      </c>
      <c r="E1432" s="50" t="s">
        <v>318</v>
      </c>
      <c r="F1432" s="57">
        <v>15000</v>
      </c>
      <c r="G1432" s="76"/>
      <c r="H1432" s="57">
        <f t="shared" si="86"/>
        <v>15000</v>
      </c>
      <c r="I1432" s="50">
        <v>1</v>
      </c>
      <c r="J1432" s="57">
        <f t="shared" si="84"/>
        <v>15000</v>
      </c>
      <c r="K1432" s="58">
        <f t="shared" si="85"/>
        <v>16500</v>
      </c>
      <c r="L1432" s="18" t="s">
        <v>25</v>
      </c>
      <c r="M1432" s="50"/>
    </row>
    <row r="1433" spans="1:14" ht="21.75" hidden="1" customHeight="1" x14ac:dyDescent="0.4">
      <c r="A1433" s="62">
        <v>45424</v>
      </c>
      <c r="B1433" s="32" t="s">
        <v>3352</v>
      </c>
      <c r="C1433" s="18" t="s">
        <v>27</v>
      </c>
      <c r="D1433" s="63" t="s">
        <v>28</v>
      </c>
      <c r="E1433" s="50" t="s">
        <v>1816</v>
      </c>
      <c r="F1433" s="57">
        <v>8750</v>
      </c>
      <c r="G1433" s="76"/>
      <c r="H1433" s="57">
        <f t="shared" si="86"/>
        <v>8750</v>
      </c>
      <c r="I1433" s="50">
        <v>1</v>
      </c>
      <c r="J1433" s="57">
        <f t="shared" si="84"/>
        <v>8750</v>
      </c>
      <c r="K1433" s="58">
        <f t="shared" si="85"/>
        <v>9625</v>
      </c>
      <c r="L1433" s="18" t="s">
        <v>25</v>
      </c>
      <c r="M1433" s="50"/>
    </row>
    <row r="1434" spans="1:14" ht="21.75" hidden="1" customHeight="1" x14ac:dyDescent="0.4">
      <c r="A1434" s="62">
        <v>45424</v>
      </c>
      <c r="B1434" s="32" t="s">
        <v>3352</v>
      </c>
      <c r="C1434" s="18" t="s">
        <v>27</v>
      </c>
      <c r="D1434" s="63" t="s">
        <v>28</v>
      </c>
      <c r="E1434" s="50" t="s">
        <v>1833</v>
      </c>
      <c r="F1434" s="57">
        <v>17500</v>
      </c>
      <c r="G1434" s="76"/>
      <c r="H1434" s="57">
        <f t="shared" si="86"/>
        <v>17500</v>
      </c>
      <c r="I1434" s="50">
        <v>1</v>
      </c>
      <c r="J1434" s="57">
        <f t="shared" si="84"/>
        <v>17500</v>
      </c>
      <c r="K1434" s="58">
        <f t="shared" si="85"/>
        <v>19250</v>
      </c>
      <c r="L1434" s="18" t="s">
        <v>25</v>
      </c>
      <c r="M1434" s="50"/>
    </row>
    <row r="1435" spans="1:14" ht="21.75" hidden="1" customHeight="1" x14ac:dyDescent="0.4">
      <c r="A1435" s="62">
        <v>45424</v>
      </c>
      <c r="B1435" s="32" t="s">
        <v>3358</v>
      </c>
      <c r="C1435" s="18" t="s">
        <v>2892</v>
      </c>
      <c r="D1435" s="63" t="s">
        <v>23</v>
      </c>
      <c r="E1435" s="50" t="s">
        <v>2883</v>
      </c>
      <c r="F1435" s="57">
        <v>15000</v>
      </c>
      <c r="G1435" s="76"/>
      <c r="H1435" s="57">
        <f t="shared" si="86"/>
        <v>15000</v>
      </c>
      <c r="I1435" s="50">
        <v>1</v>
      </c>
      <c r="J1435" s="57">
        <f t="shared" si="84"/>
        <v>15000</v>
      </c>
      <c r="K1435" s="58">
        <f t="shared" si="85"/>
        <v>16500</v>
      </c>
      <c r="L1435" s="18" t="s">
        <v>20</v>
      </c>
      <c r="M1435" s="50" t="s">
        <v>2515</v>
      </c>
    </row>
    <row r="1436" spans="1:14" ht="21.75" hidden="1" customHeight="1" x14ac:dyDescent="0.4">
      <c r="A1436" s="62">
        <v>45424</v>
      </c>
      <c r="B1436" s="32" t="s">
        <v>3358</v>
      </c>
      <c r="C1436" s="18" t="s">
        <v>17</v>
      </c>
      <c r="D1436" s="63" t="s">
        <v>328</v>
      </c>
      <c r="E1436" s="50" t="s">
        <v>1688</v>
      </c>
      <c r="F1436" s="57">
        <v>50000</v>
      </c>
      <c r="G1436" s="76">
        <v>-10000</v>
      </c>
      <c r="H1436" s="57">
        <f t="shared" si="86"/>
        <v>40000</v>
      </c>
      <c r="I1436" s="50">
        <v>1</v>
      </c>
      <c r="J1436" s="57">
        <f t="shared" si="84"/>
        <v>40000</v>
      </c>
      <c r="K1436" s="58">
        <f t="shared" si="85"/>
        <v>44000</v>
      </c>
      <c r="L1436" s="18" t="s">
        <v>34</v>
      </c>
      <c r="M1436" s="50"/>
      <c r="N1436" s="52" t="s">
        <v>1557</v>
      </c>
    </row>
    <row r="1437" spans="1:14" ht="21.75" hidden="1" customHeight="1" x14ac:dyDescent="0.4">
      <c r="A1437" s="62">
        <v>45424</v>
      </c>
      <c r="B1437" s="32" t="s">
        <v>3358</v>
      </c>
      <c r="C1437" s="18" t="s">
        <v>17</v>
      </c>
      <c r="D1437" s="63" t="s">
        <v>330</v>
      </c>
      <c r="E1437" s="50" t="s">
        <v>2074</v>
      </c>
      <c r="F1437" s="57">
        <v>5500</v>
      </c>
      <c r="G1437" s="76"/>
      <c r="H1437" s="57">
        <f t="shared" si="86"/>
        <v>5500</v>
      </c>
      <c r="I1437" s="50">
        <v>1</v>
      </c>
      <c r="J1437" s="57">
        <f t="shared" si="84"/>
        <v>5500</v>
      </c>
      <c r="K1437" s="58">
        <f t="shared" si="85"/>
        <v>6050</v>
      </c>
      <c r="L1437" s="18" t="s">
        <v>34</v>
      </c>
      <c r="M1437" s="50"/>
      <c r="N1437" s="52" t="s">
        <v>1557</v>
      </c>
    </row>
    <row r="1438" spans="1:14" ht="21.75" hidden="1" customHeight="1" x14ac:dyDescent="0.4">
      <c r="A1438" s="62">
        <v>45424</v>
      </c>
      <c r="B1438" s="32" t="s">
        <v>3358</v>
      </c>
      <c r="C1438" s="18" t="s">
        <v>17</v>
      </c>
      <c r="D1438" s="63" t="s">
        <v>332</v>
      </c>
      <c r="E1438" s="50" t="s">
        <v>3163</v>
      </c>
      <c r="F1438" s="57">
        <v>1200</v>
      </c>
      <c r="G1438" s="76"/>
      <c r="H1438" s="57">
        <f t="shared" si="86"/>
        <v>1200</v>
      </c>
      <c r="I1438" s="50">
        <v>1</v>
      </c>
      <c r="J1438" s="57">
        <f t="shared" si="84"/>
        <v>1200</v>
      </c>
      <c r="K1438" s="58">
        <f t="shared" si="85"/>
        <v>1320</v>
      </c>
      <c r="L1438" s="18" t="s">
        <v>34</v>
      </c>
      <c r="M1438" s="50"/>
      <c r="N1438" s="52" t="s">
        <v>1557</v>
      </c>
    </row>
    <row r="1439" spans="1:14" ht="21.75" hidden="1" customHeight="1" x14ac:dyDescent="0.4">
      <c r="A1439" s="62">
        <v>45425</v>
      </c>
      <c r="B1439" s="32" t="s">
        <v>1685</v>
      </c>
      <c r="C1439" s="18" t="s">
        <v>17</v>
      </c>
      <c r="D1439" s="63" t="s">
        <v>18</v>
      </c>
      <c r="E1439" s="50" t="s">
        <v>994</v>
      </c>
      <c r="F1439" s="57">
        <v>1800</v>
      </c>
      <c r="G1439" s="76">
        <v>-180</v>
      </c>
      <c r="H1439" s="57">
        <f t="shared" si="86"/>
        <v>1620</v>
      </c>
      <c r="I1439" s="50">
        <v>1</v>
      </c>
      <c r="J1439" s="57">
        <f t="shared" si="84"/>
        <v>1620</v>
      </c>
      <c r="K1439" s="157">
        <f t="shared" si="85"/>
        <v>1782</v>
      </c>
      <c r="L1439" s="18" t="s">
        <v>20</v>
      </c>
      <c r="M1439" s="50"/>
    </row>
    <row r="1440" spans="1:14" ht="21.75" hidden="1" customHeight="1" x14ac:dyDescent="0.4">
      <c r="A1440" s="62">
        <v>45425</v>
      </c>
      <c r="B1440" s="32" t="s">
        <v>139</v>
      </c>
      <c r="C1440" s="18" t="s">
        <v>17</v>
      </c>
      <c r="D1440" s="63" t="s">
        <v>55</v>
      </c>
      <c r="E1440" s="50" t="s">
        <v>2310</v>
      </c>
      <c r="F1440" s="57">
        <v>5800</v>
      </c>
      <c r="G1440" s="76">
        <v>-580</v>
      </c>
      <c r="H1440" s="57">
        <f t="shared" si="86"/>
        <v>5220</v>
      </c>
      <c r="I1440" s="50">
        <v>1</v>
      </c>
      <c r="J1440" s="57">
        <f t="shared" si="84"/>
        <v>5220</v>
      </c>
      <c r="K1440" s="58">
        <f t="shared" si="85"/>
        <v>5742</v>
      </c>
      <c r="L1440" s="18" t="s">
        <v>25</v>
      </c>
      <c r="M1440" s="50"/>
    </row>
    <row r="1441" spans="1:14" ht="21.75" hidden="1" customHeight="1" x14ac:dyDescent="0.4">
      <c r="A1441" s="62">
        <v>45425</v>
      </c>
      <c r="B1441" s="32" t="s">
        <v>539</v>
      </c>
      <c r="C1441" s="18" t="s">
        <v>17</v>
      </c>
      <c r="D1441" s="63" t="s">
        <v>332</v>
      </c>
      <c r="E1441" s="50" t="s">
        <v>2547</v>
      </c>
      <c r="F1441" s="57">
        <v>1200</v>
      </c>
      <c r="G1441" s="76">
        <v>-120</v>
      </c>
      <c r="H1441" s="57">
        <f t="shared" si="86"/>
        <v>1080</v>
      </c>
      <c r="I1441" s="50">
        <v>1</v>
      </c>
      <c r="J1441" s="57">
        <f t="shared" si="84"/>
        <v>1080</v>
      </c>
      <c r="K1441" s="58">
        <f t="shared" si="85"/>
        <v>1188</v>
      </c>
      <c r="L1441" s="18" t="s">
        <v>25</v>
      </c>
      <c r="M1441" s="50"/>
    </row>
    <row r="1442" spans="1:14" ht="21.75" hidden="1" customHeight="1" x14ac:dyDescent="0.4">
      <c r="A1442" s="62">
        <v>45427</v>
      </c>
      <c r="B1442" s="32" t="s">
        <v>3360</v>
      </c>
      <c r="C1442" s="18" t="s">
        <v>22</v>
      </c>
      <c r="D1442" s="63" t="s">
        <v>1496</v>
      </c>
      <c r="E1442" s="50" t="s">
        <v>2422</v>
      </c>
      <c r="F1442" s="57">
        <v>2000</v>
      </c>
      <c r="G1442" s="76"/>
      <c r="H1442" s="57">
        <f t="shared" si="86"/>
        <v>2000</v>
      </c>
      <c r="I1442" s="50">
        <v>1</v>
      </c>
      <c r="J1442" s="57">
        <f t="shared" si="84"/>
        <v>2000</v>
      </c>
      <c r="K1442" s="58">
        <f t="shared" si="85"/>
        <v>2200</v>
      </c>
      <c r="L1442" s="18" t="s">
        <v>25</v>
      </c>
      <c r="M1442" s="50"/>
    </row>
    <row r="1443" spans="1:14" ht="21.75" hidden="1" customHeight="1" x14ac:dyDescent="0.4">
      <c r="A1443" s="62">
        <v>45427</v>
      </c>
      <c r="B1443" s="32" t="s">
        <v>844</v>
      </c>
      <c r="C1443" s="18" t="s">
        <v>17</v>
      </c>
      <c r="D1443" s="63" t="s">
        <v>455</v>
      </c>
      <c r="E1443" s="50" t="s">
        <v>3258</v>
      </c>
      <c r="F1443" s="57">
        <v>1800</v>
      </c>
      <c r="G1443" s="76">
        <v>-180</v>
      </c>
      <c r="H1443" s="57">
        <f t="shared" si="86"/>
        <v>1620</v>
      </c>
      <c r="I1443" s="50">
        <v>3</v>
      </c>
      <c r="J1443" s="57">
        <f t="shared" si="84"/>
        <v>4860</v>
      </c>
      <c r="K1443" s="58">
        <f t="shared" si="85"/>
        <v>5346</v>
      </c>
      <c r="L1443" s="18" t="s">
        <v>25</v>
      </c>
      <c r="M1443" s="50"/>
    </row>
    <row r="1444" spans="1:14" ht="21.75" hidden="1" customHeight="1" x14ac:dyDescent="0.4">
      <c r="A1444" s="62">
        <v>45427</v>
      </c>
      <c r="B1444" s="32" t="s">
        <v>3361</v>
      </c>
      <c r="C1444" s="18" t="s">
        <v>17</v>
      </c>
      <c r="D1444" s="63" t="s">
        <v>328</v>
      </c>
      <c r="E1444" s="50" t="s">
        <v>988</v>
      </c>
      <c r="F1444" s="57">
        <v>50000</v>
      </c>
      <c r="G1444" s="76">
        <v>-15000</v>
      </c>
      <c r="H1444" s="57">
        <f t="shared" si="86"/>
        <v>35000</v>
      </c>
      <c r="I1444" s="50">
        <v>1</v>
      </c>
      <c r="J1444" s="57">
        <f t="shared" si="84"/>
        <v>35000</v>
      </c>
      <c r="K1444" s="58">
        <f t="shared" si="85"/>
        <v>38500</v>
      </c>
      <c r="L1444" s="18" t="s">
        <v>20</v>
      </c>
      <c r="M1444" s="50"/>
      <c r="N1444" s="52" t="s">
        <v>1557</v>
      </c>
    </row>
    <row r="1445" spans="1:14" ht="21.75" hidden="1" customHeight="1" x14ac:dyDescent="0.4">
      <c r="A1445" s="62">
        <v>45427</v>
      </c>
      <c r="B1445" s="32" t="s">
        <v>3361</v>
      </c>
      <c r="C1445" s="18" t="s">
        <v>2892</v>
      </c>
      <c r="D1445" s="63" t="s">
        <v>23</v>
      </c>
      <c r="E1445" s="50" t="s">
        <v>2883</v>
      </c>
      <c r="F1445" s="57">
        <v>10000</v>
      </c>
      <c r="G1445" s="76"/>
      <c r="H1445" s="57">
        <f t="shared" si="86"/>
        <v>10000</v>
      </c>
      <c r="I1445" s="50">
        <v>1</v>
      </c>
      <c r="J1445" s="57">
        <f t="shared" si="84"/>
        <v>10000</v>
      </c>
      <c r="K1445" s="58">
        <f t="shared" si="85"/>
        <v>11000</v>
      </c>
      <c r="L1445" s="18" t="s">
        <v>20</v>
      </c>
      <c r="M1445" s="50"/>
    </row>
    <row r="1446" spans="1:14" ht="21.75" hidden="1" customHeight="1" x14ac:dyDescent="0.4">
      <c r="A1446" s="62">
        <v>45427</v>
      </c>
      <c r="B1446" s="32" t="s">
        <v>3361</v>
      </c>
      <c r="C1446" s="18" t="s">
        <v>17</v>
      </c>
      <c r="D1446" s="63" t="s">
        <v>455</v>
      </c>
      <c r="E1446" s="50" t="s">
        <v>2712</v>
      </c>
      <c r="F1446" s="57">
        <v>1200</v>
      </c>
      <c r="G1446" s="76">
        <v>-120</v>
      </c>
      <c r="H1446" s="57">
        <f t="shared" si="86"/>
        <v>1080</v>
      </c>
      <c r="I1446" s="50">
        <v>1</v>
      </c>
      <c r="J1446" s="57">
        <f t="shared" si="84"/>
        <v>1080</v>
      </c>
      <c r="K1446" s="58">
        <f t="shared" si="85"/>
        <v>1188</v>
      </c>
      <c r="L1446" s="18" t="s">
        <v>20</v>
      </c>
      <c r="M1446" s="50"/>
      <c r="N1446" s="52" t="s">
        <v>1557</v>
      </c>
    </row>
    <row r="1447" spans="1:14" ht="21.75" hidden="1" customHeight="1" x14ac:dyDescent="0.4">
      <c r="A1447" s="62">
        <v>45428</v>
      </c>
      <c r="B1447" s="32" t="s">
        <v>3362</v>
      </c>
      <c r="C1447" s="18" t="s">
        <v>2892</v>
      </c>
      <c r="D1447" s="63" t="s">
        <v>23</v>
      </c>
      <c r="E1447" s="50" t="s">
        <v>2883</v>
      </c>
      <c r="F1447" s="57">
        <v>15000</v>
      </c>
      <c r="G1447" s="76"/>
      <c r="H1447" s="57">
        <f t="shared" si="86"/>
        <v>15000</v>
      </c>
      <c r="I1447" s="50">
        <v>1</v>
      </c>
      <c r="J1447" s="57">
        <f t="shared" si="84"/>
        <v>15000</v>
      </c>
      <c r="K1447" s="58">
        <f t="shared" si="85"/>
        <v>16500</v>
      </c>
      <c r="L1447" s="18" t="s">
        <v>25</v>
      </c>
      <c r="M1447" s="50" t="s">
        <v>2515</v>
      </c>
    </row>
    <row r="1448" spans="1:14" ht="21.75" hidden="1" customHeight="1" x14ac:dyDescent="0.4">
      <c r="A1448" s="62">
        <v>45428</v>
      </c>
      <c r="B1448" s="32" t="s">
        <v>844</v>
      </c>
      <c r="C1448" s="18" t="s">
        <v>17</v>
      </c>
      <c r="D1448" s="63" t="s">
        <v>455</v>
      </c>
      <c r="E1448" s="50" t="s">
        <v>3258</v>
      </c>
      <c r="F1448" s="57">
        <v>1800</v>
      </c>
      <c r="G1448" s="76">
        <v>-180</v>
      </c>
      <c r="H1448" s="57">
        <f t="shared" si="86"/>
        <v>1620</v>
      </c>
      <c r="I1448" s="50">
        <v>4</v>
      </c>
      <c r="J1448" s="57">
        <f t="shared" si="84"/>
        <v>6480</v>
      </c>
      <c r="K1448" s="58">
        <f t="shared" si="85"/>
        <v>7128</v>
      </c>
      <c r="L1448" s="18" t="s">
        <v>25</v>
      </c>
      <c r="M1448" s="50"/>
    </row>
    <row r="1449" spans="1:14" ht="21.75" hidden="1" customHeight="1" x14ac:dyDescent="0.4">
      <c r="A1449" s="62">
        <v>45428</v>
      </c>
      <c r="B1449" s="32" t="s">
        <v>3363</v>
      </c>
      <c r="C1449" s="18" t="s">
        <v>2892</v>
      </c>
      <c r="D1449" s="63" t="s">
        <v>23</v>
      </c>
      <c r="E1449" s="50" t="s">
        <v>2883</v>
      </c>
      <c r="F1449" s="57">
        <v>15000</v>
      </c>
      <c r="G1449" s="76">
        <v>-5000</v>
      </c>
      <c r="H1449" s="57">
        <f t="shared" si="86"/>
        <v>10000</v>
      </c>
      <c r="I1449" s="50">
        <v>1</v>
      </c>
      <c r="J1449" s="57">
        <f t="shared" si="84"/>
        <v>10000</v>
      </c>
      <c r="K1449" s="58">
        <f t="shared" si="85"/>
        <v>11000</v>
      </c>
      <c r="L1449" s="18" t="s">
        <v>20</v>
      </c>
      <c r="M1449" s="50"/>
    </row>
    <row r="1450" spans="1:14" ht="21.75" hidden="1" customHeight="1" x14ac:dyDescent="0.4">
      <c r="A1450" s="62">
        <v>45428</v>
      </c>
      <c r="B1450" s="32" t="s">
        <v>3363</v>
      </c>
      <c r="C1450" s="18" t="s">
        <v>17</v>
      </c>
      <c r="D1450" s="63" t="s">
        <v>328</v>
      </c>
      <c r="E1450" s="50" t="s">
        <v>3381</v>
      </c>
      <c r="F1450" s="57">
        <v>55000</v>
      </c>
      <c r="G1450" s="76">
        <v>-27500</v>
      </c>
      <c r="H1450" s="57">
        <f t="shared" si="86"/>
        <v>27500</v>
      </c>
      <c r="I1450" s="50">
        <v>1</v>
      </c>
      <c r="J1450" s="57">
        <f t="shared" si="84"/>
        <v>27500</v>
      </c>
      <c r="K1450" s="58">
        <f t="shared" si="85"/>
        <v>30250</v>
      </c>
      <c r="L1450" s="18" t="s">
        <v>20</v>
      </c>
      <c r="M1450" s="50"/>
      <c r="N1450" s="52" t="s">
        <v>1557</v>
      </c>
    </row>
    <row r="1451" spans="1:14" ht="21.75" hidden="1" customHeight="1" x14ac:dyDescent="0.4">
      <c r="A1451" s="62">
        <v>45428</v>
      </c>
      <c r="B1451" s="32" t="s">
        <v>3363</v>
      </c>
      <c r="C1451" s="18" t="s">
        <v>17</v>
      </c>
      <c r="D1451" s="63" t="s">
        <v>330</v>
      </c>
      <c r="E1451" s="50" t="s">
        <v>790</v>
      </c>
      <c r="F1451" s="57">
        <v>5000</v>
      </c>
      <c r="G1451" s="76"/>
      <c r="H1451" s="57">
        <f t="shared" si="86"/>
        <v>5000</v>
      </c>
      <c r="I1451" s="50">
        <v>1</v>
      </c>
      <c r="J1451" s="57">
        <f t="shared" si="84"/>
        <v>5000</v>
      </c>
      <c r="K1451" s="58">
        <f t="shared" si="85"/>
        <v>5500</v>
      </c>
      <c r="L1451" s="18" t="s">
        <v>20</v>
      </c>
      <c r="M1451" s="50"/>
      <c r="N1451" s="52" t="s">
        <v>1557</v>
      </c>
    </row>
    <row r="1452" spans="1:14" ht="21.75" hidden="1" customHeight="1" x14ac:dyDescent="0.4">
      <c r="A1452" s="62">
        <v>45428</v>
      </c>
      <c r="B1452" s="32" t="s">
        <v>3363</v>
      </c>
      <c r="C1452" s="18" t="s">
        <v>17</v>
      </c>
      <c r="D1452" s="63" t="s">
        <v>332</v>
      </c>
      <c r="E1452" s="50" t="s">
        <v>2805</v>
      </c>
      <c r="F1452" s="57">
        <v>2600</v>
      </c>
      <c r="G1452" s="76"/>
      <c r="H1452" s="57">
        <f t="shared" si="86"/>
        <v>2600</v>
      </c>
      <c r="I1452" s="50">
        <v>1</v>
      </c>
      <c r="J1452" s="57">
        <f t="shared" ref="J1452:J1514" si="89">SUM(H1452*I1452)</f>
        <v>2600</v>
      </c>
      <c r="K1452" s="58">
        <f t="shared" ref="K1452:K1514" si="90">ROUNDDOWN(J1452*1.1,0)</f>
        <v>2860</v>
      </c>
      <c r="L1452" s="18" t="s">
        <v>20</v>
      </c>
      <c r="M1452" s="50"/>
      <c r="N1452" s="52" t="s">
        <v>1557</v>
      </c>
    </row>
    <row r="1453" spans="1:14" ht="21.75" hidden="1" customHeight="1" x14ac:dyDescent="0.4">
      <c r="A1453" s="62">
        <v>45428</v>
      </c>
      <c r="B1453" s="32" t="s">
        <v>3363</v>
      </c>
      <c r="C1453" s="18" t="s">
        <v>17</v>
      </c>
      <c r="D1453" s="63" t="s">
        <v>662</v>
      </c>
      <c r="E1453" s="63" t="s">
        <v>662</v>
      </c>
      <c r="F1453" s="57">
        <v>1500</v>
      </c>
      <c r="G1453" s="76"/>
      <c r="H1453" s="57">
        <f t="shared" si="86"/>
        <v>1500</v>
      </c>
      <c r="I1453" s="50">
        <v>1</v>
      </c>
      <c r="J1453" s="57">
        <f t="shared" si="89"/>
        <v>1500</v>
      </c>
      <c r="K1453" s="58">
        <f t="shared" si="90"/>
        <v>1650</v>
      </c>
      <c r="L1453" s="18" t="s">
        <v>20</v>
      </c>
      <c r="M1453" s="50"/>
    </row>
    <row r="1454" spans="1:14" ht="21.75" hidden="1" customHeight="1" x14ac:dyDescent="0.4">
      <c r="A1454" s="62">
        <v>45428</v>
      </c>
      <c r="B1454" s="32" t="s">
        <v>3364</v>
      </c>
      <c r="C1454" s="18" t="s">
        <v>22</v>
      </c>
      <c r="D1454" s="63" t="s">
        <v>1496</v>
      </c>
      <c r="E1454" s="50" t="s">
        <v>369</v>
      </c>
      <c r="F1454" s="57">
        <v>3000</v>
      </c>
      <c r="G1454" s="76"/>
      <c r="H1454" s="57">
        <f t="shared" si="86"/>
        <v>3000</v>
      </c>
      <c r="I1454" s="50">
        <v>1</v>
      </c>
      <c r="J1454" s="57">
        <f t="shared" si="89"/>
        <v>3000</v>
      </c>
      <c r="K1454" s="58">
        <f t="shared" si="90"/>
        <v>3300</v>
      </c>
      <c r="L1454" s="18" t="s">
        <v>25</v>
      </c>
      <c r="M1454" s="50" t="s">
        <v>2515</v>
      </c>
    </row>
    <row r="1455" spans="1:14" ht="21.75" hidden="1" customHeight="1" x14ac:dyDescent="0.4">
      <c r="A1455" s="62">
        <v>45428</v>
      </c>
      <c r="B1455" s="32" t="s">
        <v>179</v>
      </c>
      <c r="C1455" s="18" t="s">
        <v>17</v>
      </c>
      <c r="D1455" s="63" t="s">
        <v>455</v>
      </c>
      <c r="E1455" s="50" t="s">
        <v>3113</v>
      </c>
      <c r="F1455" s="57">
        <v>1700</v>
      </c>
      <c r="G1455" s="76">
        <v>-170</v>
      </c>
      <c r="H1455" s="57">
        <f t="shared" si="86"/>
        <v>1530</v>
      </c>
      <c r="I1455" s="50">
        <v>1</v>
      </c>
      <c r="J1455" s="57">
        <f t="shared" si="89"/>
        <v>1530</v>
      </c>
      <c r="K1455" s="58">
        <f t="shared" si="90"/>
        <v>1683</v>
      </c>
      <c r="L1455" s="18" t="s">
        <v>20</v>
      </c>
      <c r="M1455" s="50"/>
    </row>
    <row r="1456" spans="1:14" ht="21.75" hidden="1" customHeight="1" x14ac:dyDescent="0.4">
      <c r="A1456" s="62">
        <v>45428</v>
      </c>
      <c r="B1456" s="32" t="s">
        <v>3358</v>
      </c>
      <c r="C1456" s="18" t="s">
        <v>17</v>
      </c>
      <c r="D1456" s="63" t="s">
        <v>32</v>
      </c>
      <c r="E1456" s="50" t="s">
        <v>3359</v>
      </c>
      <c r="F1456" s="57">
        <v>50000</v>
      </c>
      <c r="G1456" s="76">
        <v>-10000</v>
      </c>
      <c r="H1456" s="57">
        <f t="shared" si="86"/>
        <v>40000</v>
      </c>
      <c r="I1456" s="50">
        <v>1</v>
      </c>
      <c r="J1456" s="57">
        <f t="shared" si="89"/>
        <v>40000</v>
      </c>
      <c r="K1456" s="58">
        <f t="shared" si="90"/>
        <v>44000</v>
      </c>
      <c r="L1456" s="18" t="s">
        <v>34</v>
      </c>
      <c r="M1456" s="50"/>
      <c r="N1456" s="52" t="s">
        <v>1557</v>
      </c>
    </row>
    <row r="1457" spans="1:14" ht="21.75" hidden="1" customHeight="1" x14ac:dyDescent="0.4">
      <c r="A1457" s="62">
        <v>45428</v>
      </c>
      <c r="B1457" s="32" t="s">
        <v>3358</v>
      </c>
      <c r="C1457" s="18" t="s">
        <v>17</v>
      </c>
      <c r="D1457" s="63" t="s">
        <v>455</v>
      </c>
      <c r="E1457" s="50" t="s">
        <v>3163</v>
      </c>
      <c r="F1457" s="57">
        <v>1200</v>
      </c>
      <c r="G1457" s="76"/>
      <c r="H1457" s="57">
        <f t="shared" si="86"/>
        <v>1200</v>
      </c>
      <c r="I1457" s="50">
        <v>1</v>
      </c>
      <c r="J1457" s="57">
        <f t="shared" si="89"/>
        <v>1200</v>
      </c>
      <c r="K1457" s="58">
        <f t="shared" si="90"/>
        <v>1320</v>
      </c>
      <c r="L1457" s="18" t="s">
        <v>34</v>
      </c>
      <c r="M1457" s="50"/>
      <c r="N1457" s="52" t="s">
        <v>1557</v>
      </c>
    </row>
    <row r="1458" spans="1:14" ht="21.75" hidden="1" customHeight="1" x14ac:dyDescent="0.4">
      <c r="A1458" s="62">
        <v>45428</v>
      </c>
      <c r="B1458" s="32" t="s">
        <v>187</v>
      </c>
      <c r="C1458" s="18" t="s">
        <v>17</v>
      </c>
      <c r="D1458" s="63" t="s">
        <v>576</v>
      </c>
      <c r="E1458" s="124" t="s">
        <v>3126</v>
      </c>
      <c r="F1458" s="57">
        <v>88000</v>
      </c>
      <c r="G1458" s="76">
        <v>-8800</v>
      </c>
      <c r="H1458" s="57">
        <f t="shared" si="86"/>
        <v>79200</v>
      </c>
      <c r="I1458" s="50">
        <v>1</v>
      </c>
      <c r="J1458" s="57">
        <f t="shared" si="89"/>
        <v>79200</v>
      </c>
      <c r="K1458" s="58">
        <f t="shared" si="90"/>
        <v>87120</v>
      </c>
      <c r="L1458" s="18" t="s">
        <v>34</v>
      </c>
      <c r="M1458" s="50"/>
      <c r="N1458" s="52" t="s">
        <v>1557</v>
      </c>
    </row>
    <row r="1459" spans="1:14" ht="21.75" hidden="1" customHeight="1" x14ac:dyDescent="0.4">
      <c r="A1459" s="62">
        <v>45428</v>
      </c>
      <c r="B1459" s="32" t="s">
        <v>187</v>
      </c>
      <c r="C1459" s="18" t="s">
        <v>17</v>
      </c>
      <c r="D1459" s="63" t="s">
        <v>576</v>
      </c>
      <c r="E1459" s="50" t="s">
        <v>3072</v>
      </c>
      <c r="F1459" s="57">
        <v>87000</v>
      </c>
      <c r="G1459" s="76">
        <v>-13050</v>
      </c>
      <c r="H1459" s="57">
        <f t="shared" si="86"/>
        <v>73950</v>
      </c>
      <c r="I1459" s="50">
        <v>1</v>
      </c>
      <c r="J1459" s="57">
        <f t="shared" si="89"/>
        <v>73950</v>
      </c>
      <c r="K1459" s="58">
        <f t="shared" si="90"/>
        <v>81345</v>
      </c>
      <c r="L1459" s="18" t="s">
        <v>34</v>
      </c>
      <c r="M1459" s="50"/>
      <c r="N1459" s="52" t="s">
        <v>1557</v>
      </c>
    </row>
    <row r="1460" spans="1:14" ht="21.75" hidden="1" customHeight="1" x14ac:dyDescent="0.4">
      <c r="A1460" s="62">
        <v>45428</v>
      </c>
      <c r="B1460" s="32" t="s">
        <v>187</v>
      </c>
      <c r="C1460" s="18" t="s">
        <v>17</v>
      </c>
      <c r="D1460" s="63" t="s">
        <v>328</v>
      </c>
      <c r="E1460" s="50" t="s">
        <v>3366</v>
      </c>
      <c r="F1460" s="57">
        <v>63000</v>
      </c>
      <c r="G1460" s="76">
        <v>-9450</v>
      </c>
      <c r="H1460" s="57">
        <f t="shared" si="86"/>
        <v>53550</v>
      </c>
      <c r="I1460" s="50">
        <v>1</v>
      </c>
      <c r="J1460" s="57">
        <f t="shared" si="89"/>
        <v>53550</v>
      </c>
      <c r="K1460" s="58">
        <f t="shared" si="90"/>
        <v>58905</v>
      </c>
      <c r="L1460" s="18" t="s">
        <v>34</v>
      </c>
      <c r="M1460" s="50"/>
      <c r="N1460" s="52" t="s">
        <v>1557</v>
      </c>
    </row>
    <row r="1461" spans="1:14" ht="21.75" hidden="1" customHeight="1" x14ac:dyDescent="0.4">
      <c r="A1461" s="62">
        <v>45429</v>
      </c>
      <c r="B1461" s="32" t="s">
        <v>3367</v>
      </c>
      <c r="C1461" s="18" t="s">
        <v>2892</v>
      </c>
      <c r="D1461" s="63" t="s">
        <v>23</v>
      </c>
      <c r="E1461" s="50" t="s">
        <v>2922</v>
      </c>
      <c r="F1461" s="57">
        <v>20000</v>
      </c>
      <c r="G1461" s="76"/>
      <c r="H1461" s="57">
        <f t="shared" si="86"/>
        <v>20000</v>
      </c>
      <c r="I1461" s="50">
        <v>1</v>
      </c>
      <c r="J1461" s="57">
        <f t="shared" si="89"/>
        <v>20000</v>
      </c>
      <c r="K1461" s="58">
        <f t="shared" si="90"/>
        <v>22000</v>
      </c>
      <c r="L1461" s="18" t="s">
        <v>25</v>
      </c>
      <c r="M1461" s="50" t="s">
        <v>2515</v>
      </c>
    </row>
    <row r="1462" spans="1:14" ht="21.75" hidden="1" customHeight="1" x14ac:dyDescent="0.4">
      <c r="A1462" s="62">
        <v>45429</v>
      </c>
      <c r="B1462" s="32" t="s">
        <v>3023</v>
      </c>
      <c r="C1462" s="18" t="s">
        <v>2457</v>
      </c>
      <c r="D1462" s="63" t="s">
        <v>2630</v>
      </c>
      <c r="E1462" s="50" t="s">
        <v>821</v>
      </c>
      <c r="F1462" s="57">
        <v>1000</v>
      </c>
      <c r="G1462" s="76"/>
      <c r="H1462" s="57">
        <f t="shared" si="86"/>
        <v>1000</v>
      </c>
      <c r="I1462" s="50">
        <v>1</v>
      </c>
      <c r="J1462" s="57">
        <f t="shared" si="89"/>
        <v>1000</v>
      </c>
      <c r="K1462" s="58">
        <f t="shared" si="90"/>
        <v>1100</v>
      </c>
      <c r="L1462" s="18" t="s">
        <v>20</v>
      </c>
      <c r="M1462" s="50"/>
    </row>
    <row r="1463" spans="1:14" ht="21.75" hidden="1" customHeight="1" x14ac:dyDescent="0.4">
      <c r="A1463" s="62">
        <v>45430</v>
      </c>
      <c r="B1463" s="32" t="s">
        <v>3368</v>
      </c>
      <c r="C1463" s="18" t="s">
        <v>2892</v>
      </c>
      <c r="D1463" s="63" t="s">
        <v>23</v>
      </c>
      <c r="E1463" s="50" t="s">
        <v>2883</v>
      </c>
      <c r="F1463" s="57">
        <v>15000</v>
      </c>
      <c r="G1463" s="76"/>
      <c r="H1463" s="57">
        <f t="shared" ref="H1463:H1526" si="91">SUM(F1463:G1463)</f>
        <v>15000</v>
      </c>
      <c r="I1463" s="50">
        <v>1</v>
      </c>
      <c r="J1463" s="57">
        <f t="shared" si="89"/>
        <v>15000</v>
      </c>
      <c r="K1463" s="58">
        <f t="shared" si="90"/>
        <v>16500</v>
      </c>
      <c r="L1463" s="18" t="s">
        <v>25</v>
      </c>
      <c r="M1463" s="50" t="s">
        <v>2515</v>
      </c>
    </row>
    <row r="1464" spans="1:14" ht="21.75" hidden="1" customHeight="1" x14ac:dyDescent="0.4">
      <c r="A1464" s="62">
        <v>45430</v>
      </c>
      <c r="B1464" s="32" t="s">
        <v>593</v>
      </c>
      <c r="C1464" s="18" t="s">
        <v>2892</v>
      </c>
      <c r="D1464" s="63" t="s">
        <v>23</v>
      </c>
      <c r="E1464" s="50" t="s">
        <v>2883</v>
      </c>
      <c r="F1464" s="57">
        <v>10000</v>
      </c>
      <c r="G1464" s="76">
        <v>-10000</v>
      </c>
      <c r="H1464" s="57">
        <f t="shared" si="91"/>
        <v>0</v>
      </c>
      <c r="I1464" s="50">
        <v>1</v>
      </c>
      <c r="J1464" s="57">
        <f t="shared" si="89"/>
        <v>0</v>
      </c>
      <c r="K1464" s="58">
        <f t="shared" si="90"/>
        <v>0</v>
      </c>
      <c r="L1464" s="18" t="s">
        <v>25</v>
      </c>
      <c r="M1464" s="490" t="s">
        <v>3369</v>
      </c>
    </row>
    <row r="1465" spans="1:14" ht="21.75" hidden="1" customHeight="1" x14ac:dyDescent="0.4">
      <c r="A1465" s="62">
        <v>45430</v>
      </c>
      <c r="B1465" s="32" t="s">
        <v>593</v>
      </c>
      <c r="C1465" s="18" t="s">
        <v>17</v>
      </c>
      <c r="D1465" s="63" t="s">
        <v>328</v>
      </c>
      <c r="E1465" s="50" t="s">
        <v>1205</v>
      </c>
      <c r="F1465" s="57">
        <v>60000</v>
      </c>
      <c r="G1465" s="76">
        <v>-60000</v>
      </c>
      <c r="H1465" s="57">
        <f t="shared" si="91"/>
        <v>0</v>
      </c>
      <c r="I1465" s="50">
        <v>1</v>
      </c>
      <c r="J1465" s="57">
        <f t="shared" si="89"/>
        <v>0</v>
      </c>
      <c r="K1465" s="58">
        <f t="shared" si="90"/>
        <v>0</v>
      </c>
      <c r="L1465" s="18" t="s">
        <v>25</v>
      </c>
      <c r="M1465" s="491"/>
      <c r="N1465" s="52" t="s">
        <v>1608</v>
      </c>
    </row>
    <row r="1466" spans="1:14" ht="21.75" hidden="1" customHeight="1" x14ac:dyDescent="0.4">
      <c r="A1466" s="62">
        <v>45430</v>
      </c>
      <c r="B1466" s="32" t="s">
        <v>593</v>
      </c>
      <c r="C1466" s="18" t="s">
        <v>17</v>
      </c>
      <c r="D1466" s="63" t="s">
        <v>332</v>
      </c>
      <c r="E1466" s="50" t="s">
        <v>3236</v>
      </c>
      <c r="F1466" s="57">
        <v>1500</v>
      </c>
      <c r="G1466" s="76">
        <v>-150</v>
      </c>
      <c r="H1466" s="57">
        <f t="shared" si="91"/>
        <v>1350</v>
      </c>
      <c r="I1466" s="50">
        <v>1</v>
      </c>
      <c r="J1466" s="57">
        <f t="shared" si="89"/>
        <v>1350</v>
      </c>
      <c r="K1466" s="58">
        <f t="shared" si="90"/>
        <v>1485</v>
      </c>
      <c r="L1466" s="18" t="s">
        <v>25</v>
      </c>
      <c r="M1466" s="50"/>
      <c r="N1466" s="52" t="s">
        <v>1608</v>
      </c>
    </row>
    <row r="1467" spans="1:14" ht="21.75" hidden="1" customHeight="1" x14ac:dyDescent="0.4">
      <c r="A1467" s="62">
        <v>45430</v>
      </c>
      <c r="B1467" s="32" t="s">
        <v>3368</v>
      </c>
      <c r="C1467" s="18" t="s">
        <v>17</v>
      </c>
      <c r="D1467" s="63" t="s">
        <v>328</v>
      </c>
      <c r="E1467" s="50" t="s">
        <v>3370</v>
      </c>
      <c r="F1467" s="57">
        <v>72000</v>
      </c>
      <c r="G1467" s="76">
        <v>-14400</v>
      </c>
      <c r="H1467" s="57">
        <f t="shared" si="91"/>
        <v>57600</v>
      </c>
      <c r="I1467" s="50">
        <v>1</v>
      </c>
      <c r="J1467" s="57">
        <f t="shared" si="89"/>
        <v>57600</v>
      </c>
      <c r="K1467" s="58">
        <f t="shared" si="90"/>
        <v>63360</v>
      </c>
      <c r="L1467" s="18" t="s">
        <v>34</v>
      </c>
      <c r="M1467" s="50"/>
      <c r="N1467" s="52" t="s">
        <v>1557</v>
      </c>
    </row>
    <row r="1468" spans="1:14" ht="21.75" hidden="1" customHeight="1" x14ac:dyDescent="0.4">
      <c r="A1468" s="62">
        <v>45430</v>
      </c>
      <c r="B1468" s="32" t="s">
        <v>3368</v>
      </c>
      <c r="C1468" s="18" t="s">
        <v>17</v>
      </c>
      <c r="D1468" s="63" t="s">
        <v>455</v>
      </c>
      <c r="E1468" s="50" t="s">
        <v>2659</v>
      </c>
      <c r="F1468" s="57">
        <v>1200</v>
      </c>
      <c r="G1468" s="76"/>
      <c r="H1468" s="57">
        <f t="shared" si="91"/>
        <v>1200</v>
      </c>
      <c r="I1468" s="50">
        <v>1</v>
      </c>
      <c r="J1468" s="57">
        <f t="shared" si="89"/>
        <v>1200</v>
      </c>
      <c r="K1468" s="58">
        <f t="shared" si="90"/>
        <v>1320</v>
      </c>
      <c r="L1468" s="18" t="s">
        <v>34</v>
      </c>
      <c r="M1468" s="50"/>
      <c r="N1468" s="52" t="s">
        <v>1557</v>
      </c>
    </row>
    <row r="1469" spans="1:14" ht="21.75" hidden="1" customHeight="1" x14ac:dyDescent="0.4">
      <c r="A1469" s="62">
        <v>45430</v>
      </c>
      <c r="B1469" s="32" t="s">
        <v>346</v>
      </c>
      <c r="C1469" s="18" t="s">
        <v>2457</v>
      </c>
      <c r="D1469" s="63" t="s">
        <v>2630</v>
      </c>
      <c r="E1469" s="50" t="s">
        <v>821</v>
      </c>
      <c r="F1469" s="57">
        <v>1000</v>
      </c>
      <c r="G1469" s="76"/>
      <c r="H1469" s="57">
        <f t="shared" si="91"/>
        <v>1000</v>
      </c>
      <c r="I1469" s="50">
        <v>1</v>
      </c>
      <c r="J1469" s="57">
        <f t="shared" si="89"/>
        <v>1000</v>
      </c>
      <c r="K1469" s="58">
        <f t="shared" si="90"/>
        <v>1100</v>
      </c>
      <c r="L1469" s="18" t="s">
        <v>20</v>
      </c>
      <c r="M1469" s="50"/>
    </row>
    <row r="1470" spans="1:14" ht="21.75" hidden="1" customHeight="1" x14ac:dyDescent="0.4">
      <c r="A1470" s="62">
        <v>45431</v>
      </c>
      <c r="B1470" s="32" t="s">
        <v>580</v>
      </c>
      <c r="C1470" s="18" t="s">
        <v>17</v>
      </c>
      <c r="D1470" s="63" t="s">
        <v>332</v>
      </c>
      <c r="E1470" s="50" t="s">
        <v>3371</v>
      </c>
      <c r="F1470" s="57">
        <v>1800</v>
      </c>
      <c r="G1470" s="76"/>
      <c r="H1470" s="57">
        <f t="shared" si="91"/>
        <v>1800</v>
      </c>
      <c r="I1470" s="50">
        <v>13</v>
      </c>
      <c r="J1470" s="57">
        <f t="shared" si="89"/>
        <v>23400</v>
      </c>
      <c r="K1470" s="58">
        <f t="shared" si="90"/>
        <v>25740</v>
      </c>
      <c r="L1470" s="18" t="s">
        <v>1057</v>
      </c>
      <c r="M1470" s="50" t="s">
        <v>3369</v>
      </c>
    </row>
    <row r="1471" spans="1:14" ht="21.75" hidden="1" customHeight="1" x14ac:dyDescent="0.4">
      <c r="A1471" s="62">
        <v>45432</v>
      </c>
      <c r="B1471" s="32" t="s">
        <v>3372</v>
      </c>
      <c r="C1471" s="18" t="s">
        <v>22</v>
      </c>
      <c r="D1471" s="63" t="s">
        <v>1496</v>
      </c>
      <c r="E1471" s="50" t="s">
        <v>369</v>
      </c>
      <c r="F1471" s="57">
        <v>3000</v>
      </c>
      <c r="G1471" s="76"/>
      <c r="H1471" s="57">
        <f t="shared" si="91"/>
        <v>3000</v>
      </c>
      <c r="I1471" s="50">
        <v>1</v>
      </c>
      <c r="J1471" s="57">
        <f t="shared" si="89"/>
        <v>3000</v>
      </c>
      <c r="K1471" s="58">
        <f t="shared" si="90"/>
        <v>3300</v>
      </c>
      <c r="L1471" s="18" t="s">
        <v>20</v>
      </c>
      <c r="M1471" s="50" t="s">
        <v>2515</v>
      </c>
    </row>
    <row r="1472" spans="1:14" ht="21.75" hidden="1" customHeight="1" x14ac:dyDescent="0.4">
      <c r="A1472" s="62">
        <v>45432</v>
      </c>
      <c r="B1472" s="32" t="s">
        <v>3372</v>
      </c>
      <c r="C1472" s="18" t="s">
        <v>27</v>
      </c>
      <c r="D1472" s="63" t="s">
        <v>28</v>
      </c>
      <c r="E1472" s="50" t="s">
        <v>318</v>
      </c>
      <c r="F1472" s="57">
        <v>15000</v>
      </c>
      <c r="G1472" s="76"/>
      <c r="H1472" s="57">
        <f t="shared" si="91"/>
        <v>15000</v>
      </c>
      <c r="I1472" s="50">
        <v>1</v>
      </c>
      <c r="J1472" s="57">
        <f t="shared" si="89"/>
        <v>15000</v>
      </c>
      <c r="K1472" s="58">
        <f t="shared" si="90"/>
        <v>16500</v>
      </c>
      <c r="L1472" s="18" t="s">
        <v>25</v>
      </c>
      <c r="M1472" s="50"/>
    </row>
    <row r="1473" spans="1:14" ht="21.75" hidden="1" customHeight="1" x14ac:dyDescent="0.4">
      <c r="A1473" s="62">
        <v>45432</v>
      </c>
      <c r="B1473" s="32" t="s">
        <v>3372</v>
      </c>
      <c r="C1473" s="18" t="s">
        <v>27</v>
      </c>
      <c r="D1473" s="63" t="s">
        <v>28</v>
      </c>
      <c r="E1473" s="50" t="s">
        <v>1996</v>
      </c>
      <c r="F1473" s="57">
        <v>4370</v>
      </c>
      <c r="G1473" s="76"/>
      <c r="H1473" s="57">
        <f t="shared" si="91"/>
        <v>4370</v>
      </c>
      <c r="I1473" s="50">
        <v>1</v>
      </c>
      <c r="J1473" s="57">
        <f t="shared" si="89"/>
        <v>4370</v>
      </c>
      <c r="K1473" s="58">
        <f t="shared" si="90"/>
        <v>4807</v>
      </c>
      <c r="L1473" s="18" t="s">
        <v>25</v>
      </c>
      <c r="M1473" s="50"/>
    </row>
    <row r="1474" spans="1:14" ht="21.75" hidden="1" customHeight="1" x14ac:dyDescent="0.4">
      <c r="A1474" s="62">
        <v>45432</v>
      </c>
      <c r="B1474" s="32" t="s">
        <v>3372</v>
      </c>
      <c r="C1474" s="18" t="s">
        <v>27</v>
      </c>
      <c r="D1474" s="63" t="s">
        <v>28</v>
      </c>
      <c r="E1474" s="50" t="s">
        <v>1897</v>
      </c>
      <c r="F1474" s="57">
        <v>17500</v>
      </c>
      <c r="G1474" s="76"/>
      <c r="H1474" s="57">
        <f t="shared" si="91"/>
        <v>17500</v>
      </c>
      <c r="I1474" s="50">
        <v>1</v>
      </c>
      <c r="J1474" s="57">
        <f t="shared" si="89"/>
        <v>17500</v>
      </c>
      <c r="K1474" s="58">
        <f t="shared" si="90"/>
        <v>19250</v>
      </c>
      <c r="L1474" s="18" t="s">
        <v>25</v>
      </c>
      <c r="M1474" s="50"/>
    </row>
    <row r="1475" spans="1:14" ht="21.75" hidden="1" customHeight="1" x14ac:dyDescent="0.4">
      <c r="A1475" s="62">
        <v>45434</v>
      </c>
      <c r="B1475" s="32" t="s">
        <v>1774</v>
      </c>
      <c r="C1475" s="18" t="s">
        <v>3373</v>
      </c>
      <c r="D1475" s="63" t="s">
        <v>2631</v>
      </c>
      <c r="E1475" s="50" t="s">
        <v>3374</v>
      </c>
      <c r="F1475" s="57">
        <v>2273</v>
      </c>
      <c r="G1475" s="76"/>
      <c r="H1475" s="57">
        <f t="shared" si="91"/>
        <v>2273</v>
      </c>
      <c r="I1475" s="50">
        <v>42</v>
      </c>
      <c r="J1475" s="57">
        <f t="shared" si="89"/>
        <v>95466</v>
      </c>
      <c r="K1475" s="58">
        <v>10500</v>
      </c>
      <c r="L1475" s="18" t="s">
        <v>20</v>
      </c>
      <c r="M1475" s="50"/>
    </row>
    <row r="1476" spans="1:14" ht="21.75" hidden="1" customHeight="1" x14ac:dyDescent="0.4">
      <c r="A1476" s="62">
        <v>45434</v>
      </c>
      <c r="B1476" s="32" t="s">
        <v>3375</v>
      </c>
      <c r="C1476" s="18" t="s">
        <v>2892</v>
      </c>
      <c r="D1476" s="63" t="s">
        <v>23</v>
      </c>
      <c r="E1476" s="50" t="s">
        <v>2883</v>
      </c>
      <c r="F1476" s="57">
        <v>15000</v>
      </c>
      <c r="G1476" s="76"/>
      <c r="H1476" s="57">
        <f t="shared" si="91"/>
        <v>15000</v>
      </c>
      <c r="I1476" s="50">
        <v>1</v>
      </c>
      <c r="J1476" s="57">
        <f t="shared" si="89"/>
        <v>15000</v>
      </c>
      <c r="K1476" s="58">
        <f t="shared" si="90"/>
        <v>16500</v>
      </c>
      <c r="L1476" s="18" t="s">
        <v>25</v>
      </c>
      <c r="M1476" s="50" t="s">
        <v>2515</v>
      </c>
    </row>
    <row r="1477" spans="1:14" ht="21.75" hidden="1" customHeight="1" x14ac:dyDescent="0.4">
      <c r="A1477" s="62">
        <v>45434</v>
      </c>
      <c r="B1477" s="32" t="s">
        <v>3375</v>
      </c>
      <c r="C1477" s="18" t="s">
        <v>17</v>
      </c>
      <c r="D1477" s="63" t="s">
        <v>328</v>
      </c>
      <c r="E1477" s="50" t="s">
        <v>2478</v>
      </c>
      <c r="F1477" s="57">
        <v>72000</v>
      </c>
      <c r="G1477" s="76">
        <v>-14400</v>
      </c>
      <c r="H1477" s="57">
        <f t="shared" si="91"/>
        <v>57600</v>
      </c>
      <c r="I1477" s="50">
        <v>1</v>
      </c>
      <c r="J1477" s="57">
        <f t="shared" si="89"/>
        <v>57600</v>
      </c>
      <c r="K1477" s="58">
        <f t="shared" si="90"/>
        <v>63360</v>
      </c>
      <c r="L1477" s="18" t="s">
        <v>34</v>
      </c>
      <c r="M1477" s="50"/>
      <c r="N1477" s="52" t="s">
        <v>2141</v>
      </c>
    </row>
    <row r="1478" spans="1:14" ht="21.75" hidden="1" customHeight="1" x14ac:dyDescent="0.4">
      <c r="A1478" s="62">
        <v>45434</v>
      </c>
      <c r="B1478" s="32" t="s">
        <v>3375</v>
      </c>
      <c r="C1478" s="18" t="s">
        <v>17</v>
      </c>
      <c r="D1478" s="63" t="s">
        <v>330</v>
      </c>
      <c r="E1478" s="50" t="s">
        <v>557</v>
      </c>
      <c r="F1478" s="57">
        <v>5000</v>
      </c>
      <c r="G1478" s="76"/>
      <c r="H1478" s="57">
        <f t="shared" si="91"/>
        <v>5000</v>
      </c>
      <c r="I1478" s="50">
        <v>1</v>
      </c>
      <c r="J1478" s="57">
        <f t="shared" si="89"/>
        <v>5000</v>
      </c>
      <c r="K1478" s="58">
        <f t="shared" si="90"/>
        <v>5500</v>
      </c>
      <c r="L1478" s="18" t="s">
        <v>34</v>
      </c>
      <c r="M1478" s="50"/>
      <c r="N1478" s="52" t="s">
        <v>2141</v>
      </c>
    </row>
    <row r="1479" spans="1:14" ht="21.75" hidden="1" customHeight="1" x14ac:dyDescent="0.4">
      <c r="A1479" s="62">
        <v>45434</v>
      </c>
      <c r="B1479" s="32" t="s">
        <v>3375</v>
      </c>
      <c r="C1479" s="18" t="s">
        <v>17</v>
      </c>
      <c r="D1479" s="63" t="s">
        <v>455</v>
      </c>
      <c r="E1479" s="50" t="s">
        <v>2640</v>
      </c>
      <c r="F1479" s="57">
        <v>1200</v>
      </c>
      <c r="G1479" s="76"/>
      <c r="H1479" s="57">
        <f t="shared" si="91"/>
        <v>1200</v>
      </c>
      <c r="I1479" s="50">
        <v>1</v>
      </c>
      <c r="J1479" s="57">
        <f t="shared" si="89"/>
        <v>1200</v>
      </c>
      <c r="K1479" s="58">
        <f t="shared" si="90"/>
        <v>1320</v>
      </c>
      <c r="L1479" s="18" t="s">
        <v>34</v>
      </c>
      <c r="M1479" s="50"/>
      <c r="N1479" s="52" t="s">
        <v>2141</v>
      </c>
    </row>
    <row r="1480" spans="1:14" ht="21.75" hidden="1" customHeight="1" x14ac:dyDescent="0.4">
      <c r="A1480" s="62">
        <v>45434</v>
      </c>
      <c r="B1480" s="32" t="s">
        <v>1541</v>
      </c>
      <c r="C1480" s="18" t="s">
        <v>17</v>
      </c>
      <c r="D1480" s="63" t="s">
        <v>332</v>
      </c>
      <c r="E1480" s="50" t="s">
        <v>3376</v>
      </c>
      <c r="F1480" s="57">
        <v>2400</v>
      </c>
      <c r="G1480" s="76">
        <v>-240</v>
      </c>
      <c r="H1480" s="57">
        <f t="shared" si="91"/>
        <v>2160</v>
      </c>
      <c r="I1480" s="50">
        <v>1</v>
      </c>
      <c r="J1480" s="57">
        <f t="shared" si="89"/>
        <v>2160</v>
      </c>
      <c r="K1480" s="58">
        <f t="shared" si="90"/>
        <v>2376</v>
      </c>
      <c r="L1480" s="18" t="s">
        <v>25</v>
      </c>
      <c r="M1480" s="50"/>
    </row>
    <row r="1481" spans="1:14" ht="21.75" hidden="1" customHeight="1" x14ac:dyDescent="0.4">
      <c r="A1481" s="62">
        <v>45435</v>
      </c>
      <c r="B1481" s="32" t="s">
        <v>148</v>
      </c>
      <c r="C1481" s="18" t="s">
        <v>27</v>
      </c>
      <c r="D1481" s="63" t="s">
        <v>28</v>
      </c>
      <c r="E1481" s="50" t="s">
        <v>1897</v>
      </c>
      <c r="F1481" s="57">
        <v>17500</v>
      </c>
      <c r="G1481" s="76"/>
      <c r="H1481" s="57">
        <f t="shared" si="91"/>
        <v>17500</v>
      </c>
      <c r="I1481" s="50">
        <v>1</v>
      </c>
      <c r="J1481" s="57">
        <f t="shared" si="89"/>
        <v>17500</v>
      </c>
      <c r="K1481" s="58">
        <f t="shared" si="90"/>
        <v>19250</v>
      </c>
      <c r="L1481" s="18" t="s">
        <v>20</v>
      </c>
      <c r="M1481" s="50"/>
    </row>
    <row r="1482" spans="1:14" ht="21.75" hidden="1" customHeight="1" x14ac:dyDescent="0.4">
      <c r="A1482" s="62">
        <v>45436</v>
      </c>
      <c r="B1482" s="32" t="s">
        <v>3212</v>
      </c>
      <c r="C1482" s="18" t="s">
        <v>17</v>
      </c>
      <c r="D1482" s="63" t="s">
        <v>332</v>
      </c>
      <c r="E1482" s="50" t="s">
        <v>3383</v>
      </c>
      <c r="F1482" s="57">
        <v>1700</v>
      </c>
      <c r="G1482" s="76">
        <v>-170</v>
      </c>
      <c r="H1482" s="57">
        <f t="shared" si="91"/>
        <v>1530</v>
      </c>
      <c r="I1482" s="50">
        <v>1</v>
      </c>
      <c r="J1482" s="57">
        <f t="shared" si="89"/>
        <v>1530</v>
      </c>
      <c r="K1482" s="58">
        <f t="shared" si="90"/>
        <v>1683</v>
      </c>
      <c r="L1482" s="18" t="s">
        <v>20</v>
      </c>
      <c r="M1482" s="50"/>
    </row>
    <row r="1483" spans="1:14" ht="21.75" hidden="1" customHeight="1" x14ac:dyDescent="0.4">
      <c r="A1483" s="62">
        <v>45437</v>
      </c>
      <c r="B1483" s="32" t="s">
        <v>346</v>
      </c>
      <c r="C1483" s="18" t="s">
        <v>17</v>
      </c>
      <c r="D1483" s="63" t="s">
        <v>332</v>
      </c>
      <c r="E1483" s="50" t="s">
        <v>3384</v>
      </c>
      <c r="F1483" s="57">
        <v>1500</v>
      </c>
      <c r="G1483" s="76"/>
      <c r="H1483" s="57">
        <f t="shared" si="91"/>
        <v>1500</v>
      </c>
      <c r="I1483" s="50">
        <v>1</v>
      </c>
      <c r="J1483" s="57">
        <f t="shared" si="89"/>
        <v>1500</v>
      </c>
      <c r="K1483" s="157">
        <f t="shared" si="90"/>
        <v>1650</v>
      </c>
      <c r="L1483" s="18" t="s">
        <v>25</v>
      </c>
      <c r="M1483" s="50"/>
    </row>
    <row r="1484" spans="1:14" ht="21.75" hidden="1" customHeight="1" x14ac:dyDescent="0.4">
      <c r="A1484" s="62">
        <v>45437</v>
      </c>
      <c r="B1484" s="32" t="s">
        <v>2799</v>
      </c>
      <c r="C1484" s="18" t="s">
        <v>17</v>
      </c>
      <c r="D1484" s="63" t="s">
        <v>332</v>
      </c>
      <c r="E1484" s="50" t="s">
        <v>2659</v>
      </c>
      <c r="F1484" s="57">
        <v>1200</v>
      </c>
      <c r="G1484" s="76">
        <v>-120</v>
      </c>
      <c r="H1484" s="57">
        <f t="shared" si="91"/>
        <v>1080</v>
      </c>
      <c r="I1484" s="50">
        <v>1</v>
      </c>
      <c r="J1484" s="57">
        <f t="shared" si="89"/>
        <v>1080</v>
      </c>
      <c r="K1484" s="58">
        <f t="shared" si="90"/>
        <v>1188</v>
      </c>
      <c r="L1484" s="18" t="s">
        <v>25</v>
      </c>
      <c r="M1484" s="50"/>
    </row>
    <row r="1485" spans="1:14" ht="21.75" hidden="1" customHeight="1" x14ac:dyDescent="0.4">
      <c r="A1485" s="62">
        <v>45437</v>
      </c>
      <c r="B1485" s="32" t="s">
        <v>2363</v>
      </c>
      <c r="C1485" s="18" t="s">
        <v>27</v>
      </c>
      <c r="D1485" s="63" t="s">
        <v>28</v>
      </c>
      <c r="E1485" s="50" t="s">
        <v>1897</v>
      </c>
      <c r="F1485" s="57">
        <v>17500</v>
      </c>
      <c r="G1485" s="76"/>
      <c r="H1485" s="57">
        <f t="shared" si="91"/>
        <v>17500</v>
      </c>
      <c r="I1485" s="50">
        <v>1</v>
      </c>
      <c r="J1485" s="57">
        <f t="shared" si="89"/>
        <v>17500</v>
      </c>
      <c r="K1485" s="58">
        <f t="shared" si="90"/>
        <v>19250</v>
      </c>
      <c r="L1485" s="18" t="s">
        <v>20</v>
      </c>
      <c r="M1485" s="50"/>
    </row>
    <row r="1486" spans="1:14" ht="21.75" hidden="1" customHeight="1" x14ac:dyDescent="0.4">
      <c r="A1486" s="62">
        <v>45437</v>
      </c>
      <c r="B1486" s="32" t="s">
        <v>3385</v>
      </c>
      <c r="C1486" s="18" t="s">
        <v>27</v>
      </c>
      <c r="D1486" s="63" t="s">
        <v>28</v>
      </c>
      <c r="E1486" s="50" t="s">
        <v>1897</v>
      </c>
      <c r="F1486" s="57">
        <v>17500</v>
      </c>
      <c r="G1486" s="76"/>
      <c r="H1486" s="57">
        <f t="shared" si="91"/>
        <v>17500</v>
      </c>
      <c r="I1486" s="50">
        <v>1</v>
      </c>
      <c r="J1486" s="57">
        <f t="shared" si="89"/>
        <v>17500</v>
      </c>
      <c r="K1486" s="58">
        <f t="shared" si="90"/>
        <v>19250</v>
      </c>
      <c r="L1486" s="18" t="s">
        <v>34</v>
      </c>
      <c r="M1486" s="50"/>
    </row>
    <row r="1487" spans="1:14" ht="21.75" hidden="1" customHeight="1" x14ac:dyDescent="0.4">
      <c r="A1487" s="62">
        <v>45437</v>
      </c>
      <c r="B1487" s="32" t="s">
        <v>3385</v>
      </c>
      <c r="C1487" s="18" t="s">
        <v>27</v>
      </c>
      <c r="D1487" s="63" t="s">
        <v>28</v>
      </c>
      <c r="E1487" s="50" t="s">
        <v>2202</v>
      </c>
      <c r="F1487" s="57">
        <v>12250</v>
      </c>
      <c r="G1487" s="76"/>
      <c r="H1487" s="57">
        <f t="shared" si="91"/>
        <v>12250</v>
      </c>
      <c r="I1487" s="50">
        <v>1</v>
      </c>
      <c r="J1487" s="57">
        <f t="shared" si="89"/>
        <v>12250</v>
      </c>
      <c r="K1487" s="58">
        <f t="shared" si="90"/>
        <v>13475</v>
      </c>
      <c r="L1487" s="18" t="s">
        <v>34</v>
      </c>
      <c r="M1487" s="50"/>
    </row>
    <row r="1488" spans="1:14" ht="21.75" hidden="1" customHeight="1" x14ac:dyDescent="0.4">
      <c r="A1488" s="62">
        <v>45437</v>
      </c>
      <c r="B1488" s="32" t="s">
        <v>3385</v>
      </c>
      <c r="C1488" s="18" t="s">
        <v>17</v>
      </c>
      <c r="D1488" s="63" t="s">
        <v>700</v>
      </c>
      <c r="E1488" s="50" t="s">
        <v>3386</v>
      </c>
      <c r="F1488" s="57">
        <v>5000</v>
      </c>
      <c r="G1488" s="76"/>
      <c r="H1488" s="57">
        <f t="shared" si="91"/>
        <v>5000</v>
      </c>
      <c r="I1488" s="50">
        <v>1</v>
      </c>
      <c r="J1488" s="57">
        <f t="shared" si="89"/>
        <v>5000</v>
      </c>
      <c r="K1488" s="58">
        <f t="shared" si="90"/>
        <v>5500</v>
      </c>
      <c r="L1488" s="18" t="s">
        <v>34</v>
      </c>
      <c r="M1488" s="50"/>
    </row>
    <row r="1489" spans="1:14" ht="21.75" hidden="1" customHeight="1" x14ac:dyDescent="0.4">
      <c r="A1489" s="62">
        <v>45438</v>
      </c>
      <c r="B1489" s="32" t="s">
        <v>2522</v>
      </c>
      <c r="C1489" s="18" t="s">
        <v>17</v>
      </c>
      <c r="D1489" s="63" t="s">
        <v>292</v>
      </c>
      <c r="E1489" s="50" t="s">
        <v>3135</v>
      </c>
      <c r="F1489" s="57">
        <v>4000</v>
      </c>
      <c r="G1489" s="76">
        <v>-400</v>
      </c>
      <c r="H1489" s="57">
        <f t="shared" si="91"/>
        <v>3600</v>
      </c>
      <c r="I1489" s="50">
        <v>1</v>
      </c>
      <c r="J1489" s="57">
        <f t="shared" si="89"/>
        <v>3600</v>
      </c>
      <c r="K1489" s="58">
        <f t="shared" si="90"/>
        <v>3960</v>
      </c>
      <c r="L1489" s="18" t="s">
        <v>1057</v>
      </c>
      <c r="M1489" s="487" t="s">
        <v>3389</v>
      </c>
    </row>
    <row r="1490" spans="1:14" ht="21.75" hidden="1" customHeight="1" x14ac:dyDescent="0.4">
      <c r="A1490" s="62">
        <v>45438</v>
      </c>
      <c r="B1490" s="32" t="s">
        <v>2522</v>
      </c>
      <c r="C1490" s="18" t="s">
        <v>17</v>
      </c>
      <c r="D1490" s="63" t="s">
        <v>292</v>
      </c>
      <c r="E1490" s="50" t="s">
        <v>3387</v>
      </c>
      <c r="F1490" s="57">
        <v>5500</v>
      </c>
      <c r="G1490" s="76"/>
      <c r="H1490" s="57">
        <f t="shared" si="91"/>
        <v>5500</v>
      </c>
      <c r="I1490" s="50">
        <v>1</v>
      </c>
      <c r="J1490" s="57">
        <f t="shared" si="89"/>
        <v>5500</v>
      </c>
      <c r="K1490" s="58">
        <f t="shared" si="90"/>
        <v>6050</v>
      </c>
      <c r="L1490" s="18" t="s">
        <v>1057</v>
      </c>
      <c r="M1490" s="488"/>
    </row>
    <row r="1491" spans="1:14" ht="21.75" hidden="1" customHeight="1" x14ac:dyDescent="0.4">
      <c r="A1491" s="62">
        <v>45438</v>
      </c>
      <c r="B1491" s="32" t="s">
        <v>2522</v>
      </c>
      <c r="C1491" s="18" t="s">
        <v>17</v>
      </c>
      <c r="D1491" s="63" t="s">
        <v>845</v>
      </c>
      <c r="E1491" s="50" t="s">
        <v>3388</v>
      </c>
      <c r="F1491" s="57">
        <v>1000</v>
      </c>
      <c r="G1491" s="76"/>
      <c r="H1491" s="57">
        <f t="shared" si="91"/>
        <v>1000</v>
      </c>
      <c r="I1491" s="50">
        <v>1</v>
      </c>
      <c r="J1491" s="57">
        <f t="shared" si="89"/>
        <v>1000</v>
      </c>
      <c r="K1491" s="58">
        <f t="shared" si="90"/>
        <v>1100</v>
      </c>
      <c r="L1491" s="18" t="s">
        <v>1057</v>
      </c>
      <c r="M1491" s="489"/>
    </row>
    <row r="1492" spans="1:14" ht="21.75" hidden="1" customHeight="1" x14ac:dyDescent="0.4">
      <c r="A1492" s="62">
        <v>45438</v>
      </c>
      <c r="B1492" s="32" t="s">
        <v>554</v>
      </c>
      <c r="C1492" s="18" t="s">
        <v>27</v>
      </c>
      <c r="D1492" s="63" t="s">
        <v>28</v>
      </c>
      <c r="E1492" s="50" t="s">
        <v>73</v>
      </c>
      <c r="F1492" s="57">
        <v>2000</v>
      </c>
      <c r="G1492" s="76"/>
      <c r="H1492" s="57">
        <f t="shared" si="91"/>
        <v>2000</v>
      </c>
      <c r="I1492" s="50">
        <v>2</v>
      </c>
      <c r="J1492" s="57">
        <f t="shared" si="89"/>
        <v>4000</v>
      </c>
      <c r="K1492" s="58">
        <f t="shared" si="90"/>
        <v>4400</v>
      </c>
      <c r="L1492" s="18" t="s">
        <v>20</v>
      </c>
      <c r="M1492" s="50"/>
    </row>
    <row r="1493" spans="1:14" ht="21.75" hidden="1" customHeight="1" x14ac:dyDescent="0.4">
      <c r="A1493" s="62">
        <v>45439</v>
      </c>
      <c r="B1493" s="32" t="s">
        <v>3390</v>
      </c>
      <c r="C1493" s="18" t="s">
        <v>2892</v>
      </c>
      <c r="D1493" s="63" t="s">
        <v>23</v>
      </c>
      <c r="E1493" s="50" t="s">
        <v>2883</v>
      </c>
      <c r="F1493" s="57">
        <v>15000</v>
      </c>
      <c r="G1493" s="76"/>
      <c r="H1493" s="57">
        <f t="shared" si="91"/>
        <v>15000</v>
      </c>
      <c r="I1493" s="50">
        <v>1</v>
      </c>
      <c r="J1493" s="57">
        <f t="shared" si="89"/>
        <v>15000</v>
      </c>
      <c r="K1493" s="58">
        <f t="shared" si="90"/>
        <v>16500</v>
      </c>
      <c r="L1493" s="18" t="s">
        <v>25</v>
      </c>
      <c r="M1493" s="50"/>
    </row>
    <row r="1494" spans="1:14" ht="21.75" hidden="1" customHeight="1" x14ac:dyDescent="0.4">
      <c r="A1494" s="62">
        <v>45439</v>
      </c>
      <c r="B1494" s="32" t="s">
        <v>171</v>
      </c>
      <c r="C1494" s="18" t="s">
        <v>17</v>
      </c>
      <c r="D1494" s="63" t="s">
        <v>576</v>
      </c>
      <c r="E1494" s="50" t="s">
        <v>3391</v>
      </c>
      <c r="F1494" s="57">
        <v>80000</v>
      </c>
      <c r="G1494" s="76">
        <v>-8000</v>
      </c>
      <c r="H1494" s="57">
        <f t="shared" si="91"/>
        <v>72000</v>
      </c>
      <c r="I1494" s="50">
        <v>1</v>
      </c>
      <c r="J1494" s="57">
        <f t="shared" si="89"/>
        <v>72000</v>
      </c>
      <c r="K1494" s="58">
        <f t="shared" si="90"/>
        <v>79200</v>
      </c>
      <c r="L1494" s="18" t="s">
        <v>20</v>
      </c>
      <c r="M1494" s="50"/>
      <c r="N1494" s="52" t="s">
        <v>1608</v>
      </c>
    </row>
    <row r="1495" spans="1:14" ht="21.75" hidden="1" customHeight="1" x14ac:dyDescent="0.4">
      <c r="A1495" s="62">
        <v>45439</v>
      </c>
      <c r="B1495" s="32" t="s">
        <v>148</v>
      </c>
      <c r="C1495" s="18" t="s">
        <v>17</v>
      </c>
      <c r="D1495" s="63" t="s">
        <v>292</v>
      </c>
      <c r="E1495" s="50" t="s">
        <v>3357</v>
      </c>
      <c r="F1495" s="57">
        <v>3200</v>
      </c>
      <c r="G1495" s="76">
        <v>-320</v>
      </c>
      <c r="H1495" s="57">
        <f t="shared" si="91"/>
        <v>2880</v>
      </c>
      <c r="I1495" s="50">
        <v>1</v>
      </c>
      <c r="J1495" s="57">
        <f t="shared" si="89"/>
        <v>2880</v>
      </c>
      <c r="K1495" s="58">
        <f t="shared" si="90"/>
        <v>3168</v>
      </c>
      <c r="L1495" s="18" t="s">
        <v>20</v>
      </c>
      <c r="M1495" s="50"/>
    </row>
    <row r="1496" spans="1:14" ht="21.75" hidden="1" customHeight="1" x14ac:dyDescent="0.4">
      <c r="A1496" s="62">
        <v>45440</v>
      </c>
      <c r="B1496" s="32" t="s">
        <v>1836</v>
      </c>
      <c r="C1496" s="18" t="s">
        <v>17</v>
      </c>
      <c r="D1496" s="63" t="s">
        <v>328</v>
      </c>
      <c r="E1496" s="50" t="s">
        <v>3392</v>
      </c>
      <c r="F1496" s="57">
        <v>18000</v>
      </c>
      <c r="G1496" s="76">
        <v>-8100</v>
      </c>
      <c r="H1496" s="57">
        <f t="shared" si="91"/>
        <v>9900</v>
      </c>
      <c r="I1496" s="50">
        <v>3</v>
      </c>
      <c r="J1496" s="57">
        <f t="shared" si="89"/>
        <v>29700</v>
      </c>
      <c r="K1496" s="58">
        <f t="shared" si="90"/>
        <v>32670</v>
      </c>
      <c r="L1496" s="18" t="s">
        <v>25</v>
      </c>
      <c r="M1496" s="50"/>
    </row>
    <row r="1497" spans="1:14" ht="21.75" hidden="1" customHeight="1" x14ac:dyDescent="0.4">
      <c r="A1497" s="62">
        <v>45440</v>
      </c>
      <c r="B1497" s="32" t="s">
        <v>1836</v>
      </c>
      <c r="C1497" s="18" t="s">
        <v>17</v>
      </c>
      <c r="D1497" s="63" t="s">
        <v>55</v>
      </c>
      <c r="E1497" s="50" t="s">
        <v>3357</v>
      </c>
      <c r="F1497" s="57">
        <v>3200</v>
      </c>
      <c r="G1497" s="76">
        <v>-800</v>
      </c>
      <c r="H1497" s="57">
        <f t="shared" si="91"/>
        <v>2400</v>
      </c>
      <c r="I1497" s="50">
        <v>1</v>
      </c>
      <c r="J1497" s="57">
        <f t="shared" si="89"/>
        <v>2400</v>
      </c>
      <c r="K1497" s="58">
        <f t="shared" si="90"/>
        <v>2640</v>
      </c>
      <c r="L1497" s="18" t="s">
        <v>25</v>
      </c>
      <c r="M1497" s="50"/>
    </row>
    <row r="1498" spans="1:14" ht="21.75" hidden="1" customHeight="1" x14ac:dyDescent="0.4">
      <c r="A1498" s="62">
        <v>45440</v>
      </c>
      <c r="B1498" s="32" t="s">
        <v>1836</v>
      </c>
      <c r="C1498" s="18" t="s">
        <v>17</v>
      </c>
      <c r="D1498" s="63" t="s">
        <v>426</v>
      </c>
      <c r="E1498" s="50" t="s">
        <v>834</v>
      </c>
      <c r="F1498" s="57">
        <v>1800</v>
      </c>
      <c r="G1498" s="76">
        <v>-720</v>
      </c>
      <c r="H1498" s="57">
        <f t="shared" si="91"/>
        <v>1080</v>
      </c>
      <c r="I1498" s="50">
        <v>3</v>
      </c>
      <c r="J1498" s="57">
        <f t="shared" si="89"/>
        <v>3240</v>
      </c>
      <c r="K1498" s="58">
        <f t="shared" si="90"/>
        <v>3564</v>
      </c>
      <c r="L1498" s="18" t="s">
        <v>25</v>
      </c>
      <c r="M1498" s="50"/>
    </row>
    <row r="1499" spans="1:14" ht="21.75" hidden="1" customHeight="1" x14ac:dyDescent="0.4">
      <c r="A1499" s="62">
        <v>45440</v>
      </c>
      <c r="B1499" s="32" t="s">
        <v>1694</v>
      </c>
      <c r="C1499" s="18" t="s">
        <v>17</v>
      </c>
      <c r="D1499" s="63" t="s">
        <v>1442</v>
      </c>
      <c r="E1499" s="50" t="s">
        <v>3393</v>
      </c>
      <c r="F1499" s="57">
        <v>145800</v>
      </c>
      <c r="G1499" s="76">
        <v>-58320</v>
      </c>
      <c r="H1499" s="57">
        <f t="shared" si="91"/>
        <v>87480</v>
      </c>
      <c r="I1499" s="50">
        <v>1</v>
      </c>
      <c r="J1499" s="57">
        <f t="shared" si="89"/>
        <v>87480</v>
      </c>
      <c r="K1499" s="58">
        <f t="shared" si="90"/>
        <v>96228</v>
      </c>
      <c r="L1499" s="18" t="s">
        <v>34</v>
      </c>
      <c r="M1499" s="50"/>
    </row>
    <row r="1500" spans="1:14" ht="21.75" hidden="1" customHeight="1" x14ac:dyDescent="0.4">
      <c r="A1500" s="62">
        <v>45440</v>
      </c>
      <c r="B1500" s="32" t="s">
        <v>1269</v>
      </c>
      <c r="C1500" s="18" t="s">
        <v>17</v>
      </c>
      <c r="D1500" s="63" t="s">
        <v>292</v>
      </c>
      <c r="E1500" s="50" t="s">
        <v>3394</v>
      </c>
      <c r="F1500" s="57">
        <v>5500</v>
      </c>
      <c r="G1500" s="76"/>
      <c r="H1500" s="57">
        <f t="shared" si="91"/>
        <v>5500</v>
      </c>
      <c r="I1500" s="50">
        <v>2</v>
      </c>
      <c r="J1500" s="57">
        <f t="shared" si="89"/>
        <v>11000</v>
      </c>
      <c r="K1500" s="58">
        <f t="shared" si="90"/>
        <v>12100</v>
      </c>
      <c r="L1500" s="18" t="s">
        <v>34</v>
      </c>
      <c r="M1500" s="50"/>
    </row>
    <row r="1501" spans="1:14" ht="21.75" hidden="1" customHeight="1" x14ac:dyDescent="0.4">
      <c r="A1501" s="62">
        <v>45441</v>
      </c>
      <c r="B1501" s="32" t="s">
        <v>3395</v>
      </c>
      <c r="C1501" s="18" t="s">
        <v>22</v>
      </c>
      <c r="D1501" s="63" t="s">
        <v>1496</v>
      </c>
      <c r="E1501" s="50" t="s">
        <v>369</v>
      </c>
      <c r="F1501" s="57">
        <v>3000</v>
      </c>
      <c r="G1501" s="76"/>
      <c r="H1501" s="57">
        <f t="shared" si="91"/>
        <v>3000</v>
      </c>
      <c r="I1501" s="50">
        <v>1</v>
      </c>
      <c r="J1501" s="57">
        <f t="shared" si="89"/>
        <v>3000</v>
      </c>
      <c r="K1501" s="58">
        <f t="shared" si="90"/>
        <v>3300</v>
      </c>
      <c r="L1501" s="18" t="s">
        <v>25</v>
      </c>
      <c r="M1501" s="50" t="s">
        <v>2515</v>
      </c>
    </row>
    <row r="1502" spans="1:14" ht="21.75" hidden="1" customHeight="1" x14ac:dyDescent="0.4">
      <c r="A1502" s="62">
        <v>45441</v>
      </c>
      <c r="B1502" s="32" t="s">
        <v>3395</v>
      </c>
      <c r="C1502" s="18" t="s">
        <v>27</v>
      </c>
      <c r="D1502" s="63" t="s">
        <v>28</v>
      </c>
      <c r="E1502" s="50" t="s">
        <v>318</v>
      </c>
      <c r="F1502" s="57">
        <v>15000</v>
      </c>
      <c r="G1502" s="76"/>
      <c r="H1502" s="57">
        <f t="shared" si="91"/>
        <v>15000</v>
      </c>
      <c r="I1502" s="50">
        <v>1</v>
      </c>
      <c r="J1502" s="57">
        <f t="shared" si="89"/>
        <v>15000</v>
      </c>
      <c r="K1502" s="58">
        <f t="shared" si="90"/>
        <v>16500</v>
      </c>
      <c r="L1502" s="18" t="s">
        <v>25</v>
      </c>
      <c r="M1502" s="50"/>
    </row>
    <row r="1503" spans="1:14" ht="21.75" hidden="1" customHeight="1" x14ac:dyDescent="0.4">
      <c r="A1503" s="62">
        <v>45441</v>
      </c>
      <c r="B1503" s="32" t="s">
        <v>3395</v>
      </c>
      <c r="C1503" s="18" t="s">
        <v>27</v>
      </c>
      <c r="D1503" s="63" t="s">
        <v>28</v>
      </c>
      <c r="E1503" s="50" t="s">
        <v>1833</v>
      </c>
      <c r="F1503" s="57">
        <v>17500</v>
      </c>
      <c r="G1503" s="76"/>
      <c r="H1503" s="57">
        <f t="shared" si="91"/>
        <v>17500</v>
      </c>
      <c r="I1503" s="50">
        <v>1</v>
      </c>
      <c r="J1503" s="57">
        <f t="shared" si="89"/>
        <v>17500</v>
      </c>
      <c r="K1503" s="58">
        <f t="shared" si="90"/>
        <v>19250</v>
      </c>
      <c r="L1503" s="18" t="s">
        <v>25</v>
      </c>
      <c r="M1503" s="50"/>
    </row>
    <row r="1504" spans="1:14" ht="21.75" hidden="1" customHeight="1" x14ac:dyDescent="0.4">
      <c r="A1504" s="62">
        <v>45441</v>
      </c>
      <c r="B1504" s="32" t="s">
        <v>1455</v>
      </c>
      <c r="C1504" s="18" t="s">
        <v>17</v>
      </c>
      <c r="D1504" s="63" t="s">
        <v>292</v>
      </c>
      <c r="E1504" s="50" t="s">
        <v>2849</v>
      </c>
      <c r="F1504" s="57">
        <v>6300</v>
      </c>
      <c r="G1504" s="76">
        <v>-1575</v>
      </c>
      <c r="H1504" s="57">
        <f t="shared" si="91"/>
        <v>4725</v>
      </c>
      <c r="I1504" s="50">
        <v>1</v>
      </c>
      <c r="J1504" s="57">
        <f t="shared" si="89"/>
        <v>4725</v>
      </c>
      <c r="K1504" s="58">
        <f t="shared" si="90"/>
        <v>5197</v>
      </c>
      <c r="L1504" s="18" t="s">
        <v>20</v>
      </c>
      <c r="M1504" s="50"/>
    </row>
    <row r="1505" spans="1:13" ht="21.75" hidden="1" customHeight="1" x14ac:dyDescent="0.4">
      <c r="A1505" s="62">
        <v>45442</v>
      </c>
      <c r="B1505" s="32" t="s">
        <v>1861</v>
      </c>
      <c r="C1505" s="18" t="s">
        <v>2457</v>
      </c>
      <c r="D1505" s="63" t="s">
        <v>1615</v>
      </c>
      <c r="E1505" s="50" t="s">
        <v>3396</v>
      </c>
      <c r="F1505" s="57">
        <v>15000</v>
      </c>
      <c r="G1505" s="76">
        <v>-3000</v>
      </c>
      <c r="H1505" s="57">
        <f t="shared" si="91"/>
        <v>12000</v>
      </c>
      <c r="I1505" s="50">
        <v>1</v>
      </c>
      <c r="J1505" s="57">
        <f t="shared" si="89"/>
        <v>12000</v>
      </c>
      <c r="K1505" s="58">
        <f t="shared" si="90"/>
        <v>13200</v>
      </c>
      <c r="L1505" s="18" t="s">
        <v>20</v>
      </c>
      <c r="M1505" s="50"/>
    </row>
    <row r="1506" spans="1:13" ht="21.75" hidden="1" customHeight="1" x14ac:dyDescent="0.4">
      <c r="A1506" s="62">
        <v>45443</v>
      </c>
      <c r="B1506" s="32" t="s">
        <v>984</v>
      </c>
      <c r="C1506" s="18" t="s">
        <v>17</v>
      </c>
      <c r="D1506" s="63" t="s">
        <v>292</v>
      </c>
      <c r="E1506" s="50" t="s">
        <v>2849</v>
      </c>
      <c r="F1506" s="57">
        <v>6300</v>
      </c>
      <c r="G1506" s="76">
        <v>-630</v>
      </c>
      <c r="H1506" s="57">
        <f t="shared" si="91"/>
        <v>5670</v>
      </c>
      <c r="I1506" s="50">
        <v>2</v>
      </c>
      <c r="J1506" s="57">
        <f t="shared" si="89"/>
        <v>11340</v>
      </c>
      <c r="K1506" s="58">
        <f t="shared" si="90"/>
        <v>12474</v>
      </c>
      <c r="L1506" s="18" t="s">
        <v>25</v>
      </c>
      <c r="M1506" s="50"/>
    </row>
    <row r="1507" spans="1:13" ht="21.75" hidden="1" customHeight="1" x14ac:dyDescent="0.4">
      <c r="A1507" s="62">
        <v>45443</v>
      </c>
      <c r="B1507" s="32" t="s">
        <v>984</v>
      </c>
      <c r="C1507" s="18" t="s">
        <v>17</v>
      </c>
      <c r="D1507" s="63" t="s">
        <v>292</v>
      </c>
      <c r="E1507" s="50" t="s">
        <v>3397</v>
      </c>
      <c r="F1507" s="57">
        <v>6300</v>
      </c>
      <c r="G1507" s="76">
        <v>-630</v>
      </c>
      <c r="H1507" s="57">
        <f t="shared" si="91"/>
        <v>5670</v>
      </c>
      <c r="I1507" s="50">
        <v>2</v>
      </c>
      <c r="J1507" s="57">
        <f t="shared" si="89"/>
        <v>11340</v>
      </c>
      <c r="K1507" s="58">
        <f t="shared" si="90"/>
        <v>12474</v>
      </c>
      <c r="L1507" s="18" t="s">
        <v>25</v>
      </c>
      <c r="M1507" s="50"/>
    </row>
    <row r="1508" spans="1:13" ht="21.75" hidden="1" customHeight="1" x14ac:dyDescent="0.4">
      <c r="A1508" s="62">
        <v>45443</v>
      </c>
      <c r="B1508" s="32" t="s">
        <v>171</v>
      </c>
      <c r="C1508" s="18" t="s">
        <v>17</v>
      </c>
      <c r="D1508" s="63" t="s">
        <v>332</v>
      </c>
      <c r="E1508" s="50" t="s">
        <v>3398</v>
      </c>
      <c r="F1508" s="57">
        <v>1600</v>
      </c>
      <c r="G1508" s="76">
        <v>-160</v>
      </c>
      <c r="H1508" s="57">
        <f t="shared" si="91"/>
        <v>1440</v>
      </c>
      <c r="I1508" s="50">
        <v>3</v>
      </c>
      <c r="J1508" s="57">
        <f t="shared" si="89"/>
        <v>4320</v>
      </c>
      <c r="K1508" s="58">
        <f t="shared" si="90"/>
        <v>4752</v>
      </c>
      <c r="L1508" s="18" t="s">
        <v>34</v>
      </c>
      <c r="M1508" s="50"/>
    </row>
    <row r="1509" spans="1:13" ht="21.75" hidden="1" customHeight="1" x14ac:dyDescent="0.4">
      <c r="A1509" s="212">
        <v>45443</v>
      </c>
      <c r="B1509" s="213" t="s">
        <v>171</v>
      </c>
      <c r="C1509" s="214" t="s">
        <v>17</v>
      </c>
      <c r="D1509" s="215" t="s">
        <v>292</v>
      </c>
      <c r="E1509" s="216" t="s">
        <v>3387</v>
      </c>
      <c r="F1509" s="217">
        <v>5500</v>
      </c>
      <c r="G1509" s="218"/>
      <c r="H1509" s="217">
        <f t="shared" si="91"/>
        <v>5500</v>
      </c>
      <c r="I1509" s="216">
        <v>2</v>
      </c>
      <c r="J1509" s="217">
        <f t="shared" si="89"/>
        <v>11000</v>
      </c>
      <c r="K1509" s="219">
        <f t="shared" si="90"/>
        <v>12100</v>
      </c>
      <c r="L1509" s="214" t="s">
        <v>34</v>
      </c>
      <c r="M1509" s="216"/>
    </row>
    <row r="1510" spans="1:13" ht="21.75" hidden="1" customHeight="1" x14ac:dyDescent="0.4">
      <c r="A1510" s="59"/>
      <c r="B1510" s="82"/>
      <c r="C1510" s="60"/>
      <c r="D1510" s="61"/>
      <c r="E1510" s="56"/>
      <c r="F1510" s="99"/>
      <c r="G1510" s="79"/>
      <c r="H1510" s="99">
        <f t="shared" si="91"/>
        <v>0</v>
      </c>
      <c r="I1510" s="56"/>
      <c r="J1510" s="99">
        <f t="shared" si="89"/>
        <v>0</v>
      </c>
      <c r="K1510" s="100">
        <f t="shared" si="90"/>
        <v>0</v>
      </c>
      <c r="L1510" s="60"/>
      <c r="M1510" s="56"/>
    </row>
    <row r="1511" spans="1:13" ht="21.75" hidden="1" customHeight="1" x14ac:dyDescent="0.4">
      <c r="A1511" s="62"/>
      <c r="B1511" s="32"/>
      <c r="C1511" s="18"/>
      <c r="D1511" s="63"/>
      <c r="E1511" s="50"/>
      <c r="F1511" s="57"/>
      <c r="G1511" s="76"/>
      <c r="H1511" s="57">
        <f t="shared" si="91"/>
        <v>0</v>
      </c>
      <c r="I1511" s="50"/>
      <c r="J1511" s="57">
        <f t="shared" si="89"/>
        <v>0</v>
      </c>
      <c r="K1511" s="58">
        <f t="shared" si="90"/>
        <v>0</v>
      </c>
      <c r="L1511" s="18"/>
      <c r="M1511" s="50"/>
    </row>
    <row r="1512" spans="1:13" ht="21.75" hidden="1" customHeight="1" x14ac:dyDescent="0.4">
      <c r="A1512" s="62"/>
      <c r="B1512" s="32"/>
      <c r="C1512" s="18"/>
      <c r="D1512" s="63"/>
      <c r="E1512" s="50"/>
      <c r="F1512" s="57"/>
      <c r="G1512" s="76"/>
      <c r="H1512" s="57">
        <f t="shared" si="91"/>
        <v>0</v>
      </c>
      <c r="I1512" s="50"/>
      <c r="J1512" s="57">
        <f t="shared" si="89"/>
        <v>0</v>
      </c>
      <c r="K1512" s="58">
        <f t="shared" si="90"/>
        <v>0</v>
      </c>
      <c r="L1512" s="18"/>
      <c r="M1512" s="50"/>
    </row>
    <row r="1513" spans="1:13" ht="21.75" hidden="1" customHeight="1" x14ac:dyDescent="0.4">
      <c r="A1513" s="62"/>
      <c r="B1513" s="32"/>
      <c r="C1513" s="18"/>
      <c r="D1513" s="63"/>
      <c r="E1513" s="50"/>
      <c r="F1513" s="57"/>
      <c r="G1513" s="76"/>
      <c r="H1513" s="57">
        <f t="shared" si="91"/>
        <v>0</v>
      </c>
      <c r="I1513" s="50"/>
      <c r="J1513" s="57">
        <f t="shared" si="89"/>
        <v>0</v>
      </c>
      <c r="K1513" s="58">
        <f t="shared" si="90"/>
        <v>0</v>
      </c>
      <c r="L1513" s="18"/>
      <c r="M1513" s="50"/>
    </row>
    <row r="1514" spans="1:13" ht="21.75" hidden="1" customHeight="1" x14ac:dyDescent="0.4">
      <c r="A1514" s="62"/>
      <c r="B1514" s="32"/>
      <c r="C1514" s="18"/>
      <c r="D1514" s="63"/>
      <c r="E1514" s="50"/>
      <c r="F1514" s="57"/>
      <c r="G1514" s="76"/>
      <c r="H1514" s="57">
        <f t="shared" si="91"/>
        <v>0</v>
      </c>
      <c r="I1514" s="50"/>
      <c r="J1514" s="57">
        <f t="shared" si="89"/>
        <v>0</v>
      </c>
      <c r="K1514" s="58">
        <f t="shared" si="90"/>
        <v>0</v>
      </c>
      <c r="L1514" s="18"/>
      <c r="M1514" s="50"/>
    </row>
    <row r="1515" spans="1:13" ht="21.75" hidden="1" customHeight="1" x14ac:dyDescent="0.4">
      <c r="A1515" s="62"/>
      <c r="B1515" s="32"/>
      <c r="C1515" s="18"/>
      <c r="D1515" s="63"/>
      <c r="E1515" s="50"/>
      <c r="F1515" s="57"/>
      <c r="G1515" s="76"/>
      <c r="H1515" s="57">
        <f t="shared" si="91"/>
        <v>0</v>
      </c>
      <c r="I1515" s="50"/>
      <c r="J1515" s="57">
        <f t="shared" ref="J1515:J1543" si="92">SUM(H1515*I1515)</f>
        <v>0</v>
      </c>
      <c r="K1515" s="58">
        <f t="shared" ref="K1515:K1543" si="93">ROUNDDOWN(J1515*1.1,0)</f>
        <v>0</v>
      </c>
      <c r="L1515" s="18"/>
      <c r="M1515" s="50"/>
    </row>
    <row r="1516" spans="1:13" ht="21.75" hidden="1" customHeight="1" x14ac:dyDescent="0.4">
      <c r="A1516" s="62"/>
      <c r="B1516" s="32"/>
      <c r="C1516" s="18"/>
      <c r="D1516" s="63"/>
      <c r="E1516" s="50"/>
      <c r="F1516" s="57"/>
      <c r="G1516" s="76"/>
      <c r="H1516" s="57">
        <f t="shared" si="91"/>
        <v>0</v>
      </c>
      <c r="I1516" s="50"/>
      <c r="J1516" s="57">
        <f t="shared" si="92"/>
        <v>0</v>
      </c>
      <c r="K1516" s="58">
        <f t="shared" si="93"/>
        <v>0</v>
      </c>
      <c r="L1516" s="18"/>
      <c r="M1516" s="50"/>
    </row>
    <row r="1517" spans="1:13" ht="21.75" hidden="1" customHeight="1" x14ac:dyDescent="0.4">
      <c r="A1517" s="62"/>
      <c r="B1517" s="32"/>
      <c r="C1517" s="18"/>
      <c r="D1517" s="63"/>
      <c r="E1517" s="50"/>
      <c r="F1517" s="57"/>
      <c r="G1517" s="76"/>
      <c r="H1517" s="57">
        <f t="shared" si="91"/>
        <v>0</v>
      </c>
      <c r="I1517" s="50"/>
      <c r="J1517" s="57">
        <f t="shared" si="92"/>
        <v>0</v>
      </c>
      <c r="K1517" s="58">
        <f t="shared" si="93"/>
        <v>0</v>
      </c>
      <c r="L1517" s="18"/>
      <c r="M1517" s="50"/>
    </row>
    <row r="1518" spans="1:13" ht="21.75" hidden="1" customHeight="1" x14ac:dyDescent="0.4">
      <c r="A1518" s="62"/>
      <c r="B1518" s="32"/>
      <c r="C1518" s="18"/>
      <c r="D1518" s="63"/>
      <c r="E1518" s="50"/>
      <c r="F1518" s="57"/>
      <c r="G1518" s="76"/>
      <c r="H1518" s="57">
        <f t="shared" si="91"/>
        <v>0</v>
      </c>
      <c r="I1518" s="50"/>
      <c r="J1518" s="57">
        <f t="shared" si="92"/>
        <v>0</v>
      </c>
      <c r="K1518" s="58">
        <f t="shared" si="93"/>
        <v>0</v>
      </c>
      <c r="L1518" s="18"/>
      <c r="M1518" s="50"/>
    </row>
    <row r="1519" spans="1:13" ht="21.75" hidden="1" customHeight="1" x14ac:dyDescent="0.4">
      <c r="A1519" s="62"/>
      <c r="B1519" s="32"/>
      <c r="C1519" s="18"/>
      <c r="D1519" s="63"/>
      <c r="E1519" s="50"/>
      <c r="F1519" s="57"/>
      <c r="G1519" s="76"/>
      <c r="H1519" s="57">
        <f t="shared" si="91"/>
        <v>0</v>
      </c>
      <c r="I1519" s="50"/>
      <c r="J1519" s="57">
        <f t="shared" si="92"/>
        <v>0</v>
      </c>
      <c r="K1519" s="58">
        <f t="shared" si="93"/>
        <v>0</v>
      </c>
      <c r="L1519" s="18"/>
      <c r="M1519" s="50"/>
    </row>
    <row r="1520" spans="1:13" ht="21.75" hidden="1" customHeight="1" x14ac:dyDescent="0.4">
      <c r="A1520" s="62"/>
      <c r="B1520" s="32"/>
      <c r="C1520" s="18"/>
      <c r="D1520" s="63"/>
      <c r="E1520" s="50"/>
      <c r="F1520" s="57"/>
      <c r="G1520" s="76"/>
      <c r="H1520" s="57">
        <f t="shared" si="91"/>
        <v>0</v>
      </c>
      <c r="I1520" s="50"/>
      <c r="J1520" s="57">
        <f t="shared" si="92"/>
        <v>0</v>
      </c>
      <c r="K1520" s="58">
        <f t="shared" si="93"/>
        <v>0</v>
      </c>
      <c r="L1520" s="18"/>
      <c r="M1520" s="50"/>
    </row>
    <row r="1521" spans="1:13" ht="21.75" hidden="1" customHeight="1" x14ac:dyDescent="0.4">
      <c r="A1521" s="62"/>
      <c r="B1521" s="32"/>
      <c r="C1521" s="18"/>
      <c r="D1521" s="63"/>
      <c r="E1521" s="50"/>
      <c r="F1521" s="57"/>
      <c r="G1521" s="76"/>
      <c r="H1521" s="57">
        <f t="shared" si="91"/>
        <v>0</v>
      </c>
      <c r="I1521" s="50"/>
      <c r="J1521" s="57">
        <f t="shared" si="92"/>
        <v>0</v>
      </c>
      <c r="K1521" s="58">
        <f t="shared" si="93"/>
        <v>0</v>
      </c>
      <c r="L1521" s="18"/>
      <c r="M1521" s="50"/>
    </row>
    <row r="1522" spans="1:13" ht="21.75" hidden="1" customHeight="1" x14ac:dyDescent="0.4">
      <c r="A1522" s="62"/>
      <c r="B1522" s="32"/>
      <c r="C1522" s="18"/>
      <c r="D1522" s="63"/>
      <c r="E1522" s="50"/>
      <c r="F1522" s="57"/>
      <c r="G1522" s="76"/>
      <c r="H1522" s="57">
        <f t="shared" si="91"/>
        <v>0</v>
      </c>
      <c r="I1522" s="50"/>
      <c r="J1522" s="57">
        <f t="shared" si="92"/>
        <v>0</v>
      </c>
      <c r="K1522" s="58">
        <f t="shared" si="93"/>
        <v>0</v>
      </c>
      <c r="L1522" s="18"/>
      <c r="M1522" s="50"/>
    </row>
    <row r="1523" spans="1:13" ht="21.75" hidden="1" customHeight="1" x14ac:dyDescent="0.4">
      <c r="A1523" s="62"/>
      <c r="B1523" s="32"/>
      <c r="C1523" s="18"/>
      <c r="D1523" s="63"/>
      <c r="E1523" s="50"/>
      <c r="F1523" s="57"/>
      <c r="G1523" s="76"/>
      <c r="H1523" s="57">
        <f t="shared" si="91"/>
        <v>0</v>
      </c>
      <c r="I1523" s="50"/>
      <c r="J1523" s="57">
        <f t="shared" si="92"/>
        <v>0</v>
      </c>
      <c r="K1523" s="58">
        <f t="shared" si="93"/>
        <v>0</v>
      </c>
      <c r="L1523" s="18"/>
      <c r="M1523" s="50"/>
    </row>
    <row r="1524" spans="1:13" ht="21.75" hidden="1" customHeight="1" x14ac:dyDescent="0.4">
      <c r="A1524" s="62"/>
      <c r="B1524" s="32"/>
      <c r="C1524" s="18"/>
      <c r="D1524" s="63"/>
      <c r="E1524" s="50"/>
      <c r="F1524" s="57"/>
      <c r="G1524" s="76"/>
      <c r="H1524" s="57">
        <f t="shared" si="91"/>
        <v>0</v>
      </c>
      <c r="I1524" s="50"/>
      <c r="J1524" s="57">
        <f t="shared" si="92"/>
        <v>0</v>
      </c>
      <c r="K1524" s="58">
        <f t="shared" si="93"/>
        <v>0</v>
      </c>
      <c r="L1524" s="18"/>
      <c r="M1524" s="50"/>
    </row>
    <row r="1525" spans="1:13" ht="21.75" hidden="1" customHeight="1" x14ac:dyDescent="0.4">
      <c r="A1525" s="62"/>
      <c r="B1525" s="32"/>
      <c r="C1525" s="18"/>
      <c r="D1525" s="63"/>
      <c r="E1525" s="50"/>
      <c r="F1525" s="57"/>
      <c r="G1525" s="76"/>
      <c r="H1525" s="57">
        <f t="shared" si="91"/>
        <v>0</v>
      </c>
      <c r="I1525" s="50"/>
      <c r="J1525" s="57">
        <f t="shared" si="92"/>
        <v>0</v>
      </c>
      <c r="K1525" s="58">
        <f t="shared" si="93"/>
        <v>0</v>
      </c>
      <c r="L1525" s="18"/>
      <c r="M1525" s="50"/>
    </row>
    <row r="1526" spans="1:13" ht="21.75" hidden="1" customHeight="1" x14ac:dyDescent="0.4">
      <c r="A1526" s="62"/>
      <c r="B1526" s="32"/>
      <c r="C1526" s="18"/>
      <c r="D1526" s="63"/>
      <c r="E1526" s="50"/>
      <c r="F1526" s="57"/>
      <c r="G1526" s="76"/>
      <c r="H1526" s="57">
        <f t="shared" si="91"/>
        <v>0</v>
      </c>
      <c r="I1526" s="50"/>
      <c r="J1526" s="57">
        <f t="shared" si="92"/>
        <v>0</v>
      </c>
      <c r="K1526" s="58">
        <f t="shared" si="93"/>
        <v>0</v>
      </c>
      <c r="L1526" s="18"/>
      <c r="M1526" s="50"/>
    </row>
    <row r="1527" spans="1:13" ht="21.75" hidden="1" customHeight="1" x14ac:dyDescent="0.4">
      <c r="A1527" s="62"/>
      <c r="B1527" s="32"/>
      <c r="C1527" s="18"/>
      <c r="D1527" s="63"/>
      <c r="E1527" s="50"/>
      <c r="F1527" s="57"/>
      <c r="G1527" s="76"/>
      <c r="H1527" s="57">
        <f t="shared" ref="H1527:H1543" si="94">SUM(F1527:G1527)</f>
        <v>0</v>
      </c>
      <c r="I1527" s="50"/>
      <c r="J1527" s="57">
        <f t="shared" si="92"/>
        <v>0</v>
      </c>
      <c r="K1527" s="58">
        <f t="shared" si="93"/>
        <v>0</v>
      </c>
      <c r="L1527" s="18"/>
      <c r="M1527" s="50"/>
    </row>
    <row r="1528" spans="1:13" ht="21.75" hidden="1" customHeight="1" x14ac:dyDescent="0.4">
      <c r="A1528" s="62"/>
      <c r="B1528" s="32"/>
      <c r="C1528" s="18"/>
      <c r="D1528" s="63"/>
      <c r="E1528" s="50"/>
      <c r="F1528" s="57"/>
      <c r="G1528" s="76"/>
      <c r="H1528" s="57">
        <f t="shared" si="94"/>
        <v>0</v>
      </c>
      <c r="I1528" s="50"/>
      <c r="J1528" s="57">
        <f t="shared" si="92"/>
        <v>0</v>
      </c>
      <c r="K1528" s="58">
        <f t="shared" si="93"/>
        <v>0</v>
      </c>
      <c r="L1528" s="18"/>
      <c r="M1528" s="50"/>
    </row>
    <row r="1529" spans="1:13" ht="21.75" hidden="1" customHeight="1" x14ac:dyDescent="0.4">
      <c r="A1529" s="62"/>
      <c r="B1529" s="32"/>
      <c r="C1529" s="18"/>
      <c r="D1529" s="63"/>
      <c r="E1529" s="50"/>
      <c r="F1529" s="57"/>
      <c r="G1529" s="76"/>
      <c r="H1529" s="57">
        <f t="shared" si="94"/>
        <v>0</v>
      </c>
      <c r="I1529" s="50"/>
      <c r="J1529" s="57">
        <f t="shared" si="92"/>
        <v>0</v>
      </c>
      <c r="K1529" s="58">
        <f t="shared" si="93"/>
        <v>0</v>
      </c>
      <c r="L1529" s="18"/>
      <c r="M1529" s="50"/>
    </row>
    <row r="1530" spans="1:13" ht="21.75" hidden="1" customHeight="1" x14ac:dyDescent="0.4">
      <c r="A1530" s="62"/>
      <c r="B1530" s="32"/>
      <c r="C1530" s="18"/>
      <c r="D1530" s="63"/>
      <c r="E1530" s="50"/>
      <c r="F1530" s="57"/>
      <c r="G1530" s="76"/>
      <c r="H1530" s="57">
        <f t="shared" si="94"/>
        <v>0</v>
      </c>
      <c r="I1530" s="50"/>
      <c r="J1530" s="57">
        <f t="shared" si="92"/>
        <v>0</v>
      </c>
      <c r="K1530" s="58">
        <f t="shared" si="93"/>
        <v>0</v>
      </c>
      <c r="L1530" s="18"/>
      <c r="M1530" s="50"/>
    </row>
    <row r="1531" spans="1:13" ht="21.75" hidden="1" customHeight="1" x14ac:dyDescent="0.4">
      <c r="A1531" s="62"/>
      <c r="B1531" s="32"/>
      <c r="C1531" s="18"/>
      <c r="D1531" s="63"/>
      <c r="E1531" s="50"/>
      <c r="F1531" s="57"/>
      <c r="G1531" s="76"/>
      <c r="H1531" s="57">
        <f t="shared" si="94"/>
        <v>0</v>
      </c>
      <c r="I1531" s="50"/>
      <c r="J1531" s="57">
        <f t="shared" si="92"/>
        <v>0</v>
      </c>
      <c r="K1531" s="58">
        <f t="shared" si="93"/>
        <v>0</v>
      </c>
      <c r="L1531" s="18"/>
      <c r="M1531" s="50"/>
    </row>
    <row r="1532" spans="1:13" ht="21.75" hidden="1" customHeight="1" x14ac:dyDescent="0.4">
      <c r="A1532" s="62"/>
      <c r="B1532" s="32"/>
      <c r="C1532" s="18"/>
      <c r="D1532" s="63"/>
      <c r="E1532" s="50"/>
      <c r="F1532" s="57"/>
      <c r="G1532" s="76"/>
      <c r="H1532" s="57">
        <f t="shared" si="94"/>
        <v>0</v>
      </c>
      <c r="I1532" s="50"/>
      <c r="J1532" s="57">
        <f t="shared" si="92"/>
        <v>0</v>
      </c>
      <c r="K1532" s="58">
        <f t="shared" si="93"/>
        <v>0</v>
      </c>
      <c r="L1532" s="18"/>
      <c r="M1532" s="50"/>
    </row>
    <row r="1533" spans="1:13" ht="21.75" hidden="1" customHeight="1" x14ac:dyDescent="0.4">
      <c r="A1533" s="62"/>
      <c r="B1533" s="32"/>
      <c r="C1533" s="18"/>
      <c r="D1533" s="63"/>
      <c r="E1533" s="50"/>
      <c r="F1533" s="57"/>
      <c r="G1533" s="76"/>
      <c r="H1533" s="57">
        <f t="shared" si="94"/>
        <v>0</v>
      </c>
      <c r="I1533" s="50"/>
      <c r="J1533" s="57">
        <f t="shared" si="92"/>
        <v>0</v>
      </c>
      <c r="K1533" s="58">
        <f t="shared" si="93"/>
        <v>0</v>
      </c>
      <c r="L1533" s="18"/>
      <c r="M1533" s="50"/>
    </row>
    <row r="1534" spans="1:13" ht="21.75" hidden="1" customHeight="1" x14ac:dyDescent="0.4">
      <c r="A1534" s="62"/>
      <c r="B1534" s="32"/>
      <c r="C1534" s="18"/>
      <c r="D1534" s="63"/>
      <c r="E1534" s="50"/>
      <c r="F1534" s="57"/>
      <c r="G1534" s="76"/>
      <c r="H1534" s="57">
        <f t="shared" si="94"/>
        <v>0</v>
      </c>
      <c r="I1534" s="50"/>
      <c r="J1534" s="57">
        <f t="shared" si="92"/>
        <v>0</v>
      </c>
      <c r="K1534" s="58">
        <f t="shared" si="93"/>
        <v>0</v>
      </c>
      <c r="L1534" s="18"/>
      <c r="M1534" s="50"/>
    </row>
    <row r="1535" spans="1:13" ht="21.75" hidden="1" customHeight="1" x14ac:dyDescent="0.4">
      <c r="A1535" s="62"/>
      <c r="B1535" s="32"/>
      <c r="C1535" s="18"/>
      <c r="D1535" s="63"/>
      <c r="E1535" s="50"/>
      <c r="F1535" s="57"/>
      <c r="G1535" s="76"/>
      <c r="H1535" s="57">
        <f t="shared" si="94"/>
        <v>0</v>
      </c>
      <c r="I1535" s="50"/>
      <c r="J1535" s="57">
        <f t="shared" si="92"/>
        <v>0</v>
      </c>
      <c r="K1535" s="58">
        <f t="shared" si="93"/>
        <v>0</v>
      </c>
      <c r="L1535" s="18"/>
      <c r="M1535" s="50"/>
    </row>
    <row r="1536" spans="1:13" ht="21.75" hidden="1" customHeight="1" x14ac:dyDescent="0.4">
      <c r="A1536" s="62"/>
      <c r="B1536" s="32"/>
      <c r="C1536" s="18"/>
      <c r="D1536" s="63"/>
      <c r="E1536" s="50"/>
      <c r="F1536" s="57"/>
      <c r="G1536" s="76"/>
      <c r="H1536" s="57">
        <f t="shared" si="94"/>
        <v>0</v>
      </c>
      <c r="I1536" s="50"/>
      <c r="J1536" s="57">
        <f t="shared" si="92"/>
        <v>0</v>
      </c>
      <c r="K1536" s="58">
        <f t="shared" si="93"/>
        <v>0</v>
      </c>
      <c r="L1536" s="18"/>
      <c r="M1536" s="50"/>
    </row>
    <row r="1537" spans="1:13" ht="21.75" hidden="1" customHeight="1" x14ac:dyDescent="0.4">
      <c r="A1537" s="62"/>
      <c r="B1537" s="32"/>
      <c r="C1537" s="18"/>
      <c r="D1537" s="63"/>
      <c r="E1537" s="50"/>
      <c r="F1537" s="57"/>
      <c r="G1537" s="76"/>
      <c r="H1537" s="57">
        <f t="shared" si="94"/>
        <v>0</v>
      </c>
      <c r="I1537" s="50"/>
      <c r="J1537" s="57">
        <f t="shared" si="92"/>
        <v>0</v>
      </c>
      <c r="K1537" s="58">
        <f t="shared" si="93"/>
        <v>0</v>
      </c>
      <c r="L1537" s="18"/>
      <c r="M1537" s="50"/>
    </row>
    <row r="1538" spans="1:13" ht="21.75" hidden="1" customHeight="1" x14ac:dyDescent="0.4">
      <c r="A1538" s="62"/>
      <c r="B1538" s="32"/>
      <c r="C1538" s="18"/>
      <c r="D1538" s="63"/>
      <c r="E1538" s="50"/>
      <c r="F1538" s="57"/>
      <c r="G1538" s="76"/>
      <c r="H1538" s="57">
        <f t="shared" si="94"/>
        <v>0</v>
      </c>
      <c r="I1538" s="50"/>
      <c r="J1538" s="57">
        <f t="shared" si="92"/>
        <v>0</v>
      </c>
      <c r="K1538" s="58">
        <f t="shared" si="93"/>
        <v>0</v>
      </c>
      <c r="L1538" s="18"/>
      <c r="M1538" s="50"/>
    </row>
    <row r="1539" spans="1:13" ht="21.75" hidden="1" customHeight="1" x14ac:dyDescent="0.4">
      <c r="A1539" s="62"/>
      <c r="B1539" s="32"/>
      <c r="C1539" s="18"/>
      <c r="D1539" s="63"/>
      <c r="E1539" s="50"/>
      <c r="F1539" s="57"/>
      <c r="G1539" s="76"/>
      <c r="H1539" s="57">
        <f t="shared" si="94"/>
        <v>0</v>
      </c>
      <c r="I1539" s="50"/>
      <c r="J1539" s="57">
        <f t="shared" si="92"/>
        <v>0</v>
      </c>
      <c r="K1539" s="58">
        <f t="shared" si="93"/>
        <v>0</v>
      </c>
      <c r="L1539" s="18"/>
      <c r="M1539" s="50"/>
    </row>
    <row r="1540" spans="1:13" ht="21.75" hidden="1" customHeight="1" x14ac:dyDescent="0.4">
      <c r="A1540" s="62"/>
      <c r="B1540" s="32"/>
      <c r="C1540" s="18"/>
      <c r="D1540" s="63"/>
      <c r="E1540" s="50"/>
      <c r="F1540" s="57"/>
      <c r="G1540" s="76"/>
      <c r="H1540" s="57">
        <f t="shared" si="94"/>
        <v>0</v>
      </c>
      <c r="I1540" s="50"/>
      <c r="J1540" s="57">
        <f t="shared" si="92"/>
        <v>0</v>
      </c>
      <c r="K1540" s="58">
        <f t="shared" si="93"/>
        <v>0</v>
      </c>
      <c r="L1540" s="18"/>
      <c r="M1540" s="50"/>
    </row>
    <row r="1541" spans="1:13" ht="21.75" hidden="1" customHeight="1" x14ac:dyDescent="0.4">
      <c r="A1541" s="62"/>
      <c r="B1541" s="32"/>
      <c r="C1541" s="18"/>
      <c r="D1541" s="63"/>
      <c r="E1541" s="50"/>
      <c r="F1541" s="57"/>
      <c r="G1541" s="76"/>
      <c r="H1541" s="57">
        <f t="shared" si="94"/>
        <v>0</v>
      </c>
      <c r="I1541" s="50"/>
      <c r="J1541" s="57">
        <f t="shared" si="92"/>
        <v>0</v>
      </c>
      <c r="K1541" s="58">
        <f t="shared" si="93"/>
        <v>0</v>
      </c>
      <c r="L1541" s="18"/>
      <c r="M1541" s="50"/>
    </row>
    <row r="1542" spans="1:13" ht="21.75" hidden="1" customHeight="1" x14ac:dyDescent="0.4">
      <c r="A1542" s="62"/>
      <c r="B1542" s="32"/>
      <c r="C1542" s="18"/>
      <c r="D1542" s="63"/>
      <c r="E1542" s="50"/>
      <c r="F1542" s="57"/>
      <c r="G1542" s="76"/>
      <c r="H1542" s="57">
        <f t="shared" si="94"/>
        <v>0</v>
      </c>
      <c r="I1542" s="50"/>
      <c r="J1542" s="57">
        <f t="shared" si="92"/>
        <v>0</v>
      </c>
      <c r="K1542" s="58">
        <f t="shared" si="93"/>
        <v>0</v>
      </c>
      <c r="L1542" s="18"/>
      <c r="M1542" s="50"/>
    </row>
    <row r="1543" spans="1:13" ht="21.75" hidden="1" customHeight="1" x14ac:dyDescent="0.4">
      <c r="A1543" s="62"/>
      <c r="B1543" s="32"/>
      <c r="C1543" s="18"/>
      <c r="D1543" s="63"/>
      <c r="E1543" s="50"/>
      <c r="F1543" s="57"/>
      <c r="G1543" s="76"/>
      <c r="H1543" s="57">
        <f t="shared" si="94"/>
        <v>0</v>
      </c>
      <c r="I1543" s="50"/>
      <c r="J1543" s="57">
        <f t="shared" si="92"/>
        <v>0</v>
      </c>
      <c r="K1543" s="58">
        <f t="shared" si="93"/>
        <v>0</v>
      </c>
      <c r="L1543" s="18"/>
      <c r="M1543" s="50"/>
    </row>
  </sheetData>
  <autoFilter ref="A1:Z1543" xr:uid="{00000000-0009-0000-0000-000001000000}">
    <filterColumn colId="3">
      <filters>
        <filter val="キャディーバック"/>
        <filter val="ヘッドカバー"/>
      </filters>
    </filterColumn>
  </autoFilter>
  <mergeCells count="18">
    <mergeCell ref="M1489:M1491"/>
    <mergeCell ref="M234:M235"/>
    <mergeCell ref="M332:M338"/>
    <mergeCell ref="M340:M342"/>
    <mergeCell ref="M359:M360"/>
    <mergeCell ref="M361:M364"/>
    <mergeCell ref="M417:M418"/>
    <mergeCell ref="M436:M439"/>
    <mergeCell ref="M1082:M1083"/>
    <mergeCell ref="M975:M976"/>
    <mergeCell ref="M706:M707"/>
    <mergeCell ref="M470:M471"/>
    <mergeCell ref="M537:M538"/>
    <mergeCell ref="K812:K823"/>
    <mergeCell ref="L812:L823"/>
    <mergeCell ref="M812:M823"/>
    <mergeCell ref="M1464:M1465"/>
    <mergeCell ref="M1360:M1364"/>
  </mergeCells>
  <phoneticPr fontId="4"/>
  <pageMargins left="0.7" right="0.7" top="0.75" bottom="0.75" header="0.3" footer="0.3"/>
  <pageSetup paperSize="9" orientation="portrait" horizontalDpi="4294967293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6" tint="0.59999389629810485"/>
  </sheetPr>
  <dimension ref="A1:AC1752"/>
  <sheetViews>
    <sheetView zoomScale="85" zoomScaleNormal="85" workbookViewId="0">
      <pane ySplit="1" topLeftCell="A1319" activePane="bottomLeft" state="frozen"/>
      <selection pane="bottomLeft" activeCell="L1" sqref="L1:L1048576"/>
    </sheetView>
  </sheetViews>
  <sheetFormatPr defaultColWidth="8.125" defaultRowHeight="21.75" customHeight="1" x14ac:dyDescent="0.4"/>
  <cols>
    <col min="1" max="1" width="12.75" style="154" bestFit="1" customWidth="1"/>
    <col min="2" max="2" width="14.25" style="37" customWidth="1"/>
    <col min="3" max="3" width="17.875" style="37" bestFit="1" customWidth="1"/>
    <col min="4" max="4" width="10" style="67" bestFit="1" customWidth="1"/>
    <col min="5" max="5" width="21.625" style="93" bestFit="1" customWidth="1"/>
    <col min="6" max="6" width="21.25" style="93" customWidth="1"/>
    <col min="7" max="7" width="47.625" style="52" bestFit="1" customWidth="1"/>
    <col min="8" max="8" width="10" style="90" bestFit="1" customWidth="1"/>
    <col min="9" max="9" width="11.75" style="269" bestFit="1" customWidth="1"/>
    <col min="10" max="10" width="10" style="90" bestFit="1" customWidth="1"/>
    <col min="11" max="11" width="7.625" style="52" bestFit="1" customWidth="1"/>
    <col min="12" max="12" width="10" style="90" bestFit="1" customWidth="1"/>
    <col min="13" max="13" width="10" style="235" bestFit="1" customWidth="1"/>
    <col min="14" max="14" width="15.25" style="67" bestFit="1" customWidth="1"/>
    <col min="15" max="15" width="77.5" style="52" bestFit="1" customWidth="1"/>
    <col min="16" max="16" width="13.5" style="52" bestFit="1" customWidth="1"/>
    <col min="17" max="21" width="47.625" style="52" customWidth="1"/>
    <col min="22" max="22" width="0.625" style="2" customWidth="1"/>
    <col min="23" max="23" width="11.625" style="39" bestFit="1" customWidth="1"/>
    <col min="24" max="24" width="11.75" style="38" bestFit="1" customWidth="1"/>
    <col min="25" max="27" width="10" style="38" bestFit="1" customWidth="1"/>
    <col min="28" max="28" width="15" style="2" bestFit="1" customWidth="1"/>
    <col min="29" max="16384" width="8.125" style="2"/>
  </cols>
  <sheetData>
    <row r="1" spans="1:27" ht="21.75" customHeight="1" x14ac:dyDescent="0.4">
      <c r="A1" s="144" t="s">
        <v>0</v>
      </c>
      <c r="B1" s="1" t="s">
        <v>1</v>
      </c>
      <c r="C1" s="1" t="s">
        <v>4289</v>
      </c>
      <c r="D1" s="64" t="s">
        <v>2</v>
      </c>
      <c r="E1" s="84" t="s">
        <v>3542</v>
      </c>
      <c r="F1" s="84" t="s">
        <v>3541</v>
      </c>
      <c r="G1" s="64" t="s">
        <v>4</v>
      </c>
      <c r="H1" s="85" t="s">
        <v>5</v>
      </c>
      <c r="I1" s="263" t="s">
        <v>6</v>
      </c>
      <c r="J1" s="85" t="s">
        <v>7</v>
      </c>
      <c r="K1" s="94" t="s">
        <v>8</v>
      </c>
      <c r="L1" s="85" t="s">
        <v>9</v>
      </c>
      <c r="M1" s="229" t="s">
        <v>10</v>
      </c>
      <c r="N1" s="64" t="s">
        <v>11</v>
      </c>
      <c r="O1" s="64" t="s">
        <v>12</v>
      </c>
      <c r="P1" s="161" t="s">
        <v>4410</v>
      </c>
      <c r="Q1" s="161"/>
      <c r="R1" s="161"/>
      <c r="S1" s="161"/>
      <c r="T1" s="161"/>
      <c r="U1" s="161"/>
      <c r="W1" s="3" t="s">
        <v>13</v>
      </c>
      <c r="X1" s="4" t="s">
        <v>14</v>
      </c>
      <c r="Y1" s="4" t="s">
        <v>8</v>
      </c>
      <c r="Z1" s="4" t="s">
        <v>9</v>
      </c>
      <c r="AA1" s="5" t="s">
        <v>15</v>
      </c>
    </row>
    <row r="2" spans="1:27" ht="21.75" customHeight="1" x14ac:dyDescent="0.4">
      <c r="A2" s="59">
        <v>45444</v>
      </c>
      <c r="B2" s="82" t="s">
        <v>678</v>
      </c>
      <c r="C2" s="82"/>
      <c r="D2" s="60" t="s">
        <v>17</v>
      </c>
      <c r="E2" s="61" t="s">
        <v>332</v>
      </c>
      <c r="F2" s="61" t="s">
        <v>3550</v>
      </c>
      <c r="G2" s="220" t="s">
        <v>3571</v>
      </c>
      <c r="H2" s="99">
        <v>1800</v>
      </c>
      <c r="I2" s="264">
        <v>-180</v>
      </c>
      <c r="J2" s="99">
        <f t="shared" ref="J2:J19" si="0">SUM(H2:I2)</f>
        <v>1620</v>
      </c>
      <c r="K2" s="56">
        <v>3</v>
      </c>
      <c r="L2" s="99">
        <f t="shared" ref="L2:L25" si="1">SUM(J2*K2)</f>
        <v>4860</v>
      </c>
      <c r="M2" s="230">
        <f t="shared" ref="M2:M33" si="2">ROUNDDOWN(L2*1.1,0)</f>
        <v>5346</v>
      </c>
      <c r="N2" s="60" t="s">
        <v>20</v>
      </c>
      <c r="O2" s="56"/>
      <c r="W2" s="31"/>
      <c r="X2" s="33"/>
      <c r="Y2" s="33"/>
      <c r="Z2" s="33"/>
      <c r="AA2" s="33"/>
    </row>
    <row r="3" spans="1:27" ht="21.75" customHeight="1" x14ac:dyDescent="0.4">
      <c r="A3" s="59">
        <v>45444</v>
      </c>
      <c r="B3" s="32" t="s">
        <v>1836</v>
      </c>
      <c r="C3" s="32"/>
      <c r="D3" s="18" t="s">
        <v>17</v>
      </c>
      <c r="E3" s="63" t="s">
        <v>845</v>
      </c>
      <c r="F3" s="63"/>
      <c r="G3" s="50" t="s">
        <v>3399</v>
      </c>
      <c r="H3" s="57">
        <v>1000</v>
      </c>
      <c r="I3" s="227">
        <v>-400</v>
      </c>
      <c r="J3" s="57">
        <f t="shared" si="0"/>
        <v>600</v>
      </c>
      <c r="K3" s="50">
        <v>1</v>
      </c>
      <c r="L3" s="57">
        <f t="shared" si="1"/>
        <v>600</v>
      </c>
      <c r="M3" s="228">
        <f t="shared" si="2"/>
        <v>660</v>
      </c>
      <c r="N3" s="18" t="s">
        <v>20</v>
      </c>
      <c r="O3" s="50"/>
      <c r="W3" s="31"/>
      <c r="X3" s="33"/>
      <c r="Y3" s="33"/>
      <c r="Z3" s="33"/>
      <c r="AA3" s="33"/>
    </row>
    <row r="4" spans="1:27" ht="21.75" customHeight="1" x14ac:dyDescent="0.4">
      <c r="A4" s="59">
        <v>45444</v>
      </c>
      <c r="B4" s="32" t="s">
        <v>503</v>
      </c>
      <c r="C4" s="32"/>
      <c r="D4" s="18" t="s">
        <v>17</v>
      </c>
      <c r="E4" s="63" t="s">
        <v>328</v>
      </c>
      <c r="F4" s="63" t="s">
        <v>3595</v>
      </c>
      <c r="G4" s="50" t="s">
        <v>3608</v>
      </c>
      <c r="H4" s="57">
        <v>40000</v>
      </c>
      <c r="I4" s="227">
        <v>-12000</v>
      </c>
      <c r="J4" s="57">
        <f t="shared" si="0"/>
        <v>28000</v>
      </c>
      <c r="K4" s="50">
        <v>1</v>
      </c>
      <c r="L4" s="57">
        <f t="shared" si="1"/>
        <v>28000</v>
      </c>
      <c r="M4" s="228">
        <f t="shared" si="2"/>
        <v>30800</v>
      </c>
      <c r="N4" s="18" t="s">
        <v>34</v>
      </c>
      <c r="O4" s="50"/>
      <c r="P4" s="52" t="s">
        <v>1557</v>
      </c>
      <c r="W4" s="31"/>
      <c r="X4" s="33"/>
      <c r="Y4" s="33"/>
      <c r="Z4" s="33"/>
      <c r="AA4" s="33"/>
    </row>
    <row r="5" spans="1:27" ht="21.75" customHeight="1" x14ac:dyDescent="0.4">
      <c r="A5" s="59">
        <v>45444</v>
      </c>
      <c r="B5" s="32" t="s">
        <v>503</v>
      </c>
      <c r="C5" s="32"/>
      <c r="D5" s="18" t="s">
        <v>17</v>
      </c>
      <c r="E5" s="63" t="s">
        <v>330</v>
      </c>
      <c r="F5" s="63" t="s">
        <v>3543</v>
      </c>
      <c r="G5" s="50" t="s">
        <v>3400</v>
      </c>
      <c r="H5" s="57">
        <v>5500</v>
      </c>
      <c r="I5" s="227"/>
      <c r="J5" s="57">
        <f t="shared" si="0"/>
        <v>5500</v>
      </c>
      <c r="K5" s="50">
        <v>1</v>
      </c>
      <c r="L5" s="57">
        <f t="shared" si="1"/>
        <v>5500</v>
      </c>
      <c r="M5" s="228">
        <f t="shared" si="2"/>
        <v>6050</v>
      </c>
      <c r="N5" s="18" t="s">
        <v>34</v>
      </c>
      <c r="O5" s="50"/>
      <c r="P5" s="52" t="s">
        <v>1557</v>
      </c>
      <c r="W5" s="31"/>
      <c r="X5" s="33"/>
      <c r="Y5" s="33"/>
      <c r="Z5" s="33"/>
      <c r="AA5" s="33"/>
    </row>
    <row r="6" spans="1:27" ht="21.75" customHeight="1" x14ac:dyDescent="0.4">
      <c r="A6" s="59">
        <v>45444</v>
      </c>
      <c r="B6" s="32" t="s">
        <v>503</v>
      </c>
      <c r="C6" s="32"/>
      <c r="D6" s="18" t="s">
        <v>17</v>
      </c>
      <c r="E6" s="63" t="s">
        <v>332</v>
      </c>
      <c r="F6" s="63" t="s">
        <v>3553</v>
      </c>
      <c r="G6" s="50" t="s">
        <v>3420</v>
      </c>
      <c r="H6" s="57">
        <v>1800</v>
      </c>
      <c r="I6" s="227">
        <v>-180</v>
      </c>
      <c r="J6" s="57">
        <f t="shared" si="0"/>
        <v>1620</v>
      </c>
      <c r="K6" s="50">
        <v>1</v>
      </c>
      <c r="L6" s="57">
        <f t="shared" si="1"/>
        <v>1620</v>
      </c>
      <c r="M6" s="228">
        <f t="shared" si="2"/>
        <v>1782</v>
      </c>
      <c r="N6" s="18" t="s">
        <v>34</v>
      </c>
      <c r="O6" s="50"/>
      <c r="P6" s="52" t="s">
        <v>1557</v>
      </c>
      <c r="W6" s="31"/>
      <c r="X6" s="33"/>
      <c r="Y6" s="33"/>
      <c r="Z6" s="33"/>
      <c r="AA6" s="33"/>
    </row>
    <row r="7" spans="1:27" ht="21.75" customHeight="1" x14ac:dyDescent="0.4">
      <c r="A7" s="59">
        <v>45444</v>
      </c>
      <c r="B7" s="32" t="s">
        <v>503</v>
      </c>
      <c r="C7" s="32"/>
      <c r="D7" s="96" t="s">
        <v>198</v>
      </c>
      <c r="E7" s="63"/>
      <c r="F7" s="63"/>
      <c r="G7" s="50" t="s">
        <v>3432</v>
      </c>
      <c r="H7" s="57">
        <v>-10000</v>
      </c>
      <c r="I7" s="227"/>
      <c r="J7" s="57">
        <f t="shared" si="0"/>
        <v>-10000</v>
      </c>
      <c r="K7" s="50">
        <v>1</v>
      </c>
      <c r="L7" s="57">
        <f t="shared" ref="L7" si="3">SUM(J7*K7)</f>
        <v>-10000</v>
      </c>
      <c r="M7" s="228">
        <f t="shared" ref="M7" si="4">ROUNDDOWN(L7*1.1,0)</f>
        <v>-11000</v>
      </c>
      <c r="N7" s="18" t="s">
        <v>34</v>
      </c>
      <c r="O7" s="50" t="s">
        <v>3431</v>
      </c>
      <c r="W7" s="31"/>
      <c r="X7" s="33"/>
      <c r="Y7" s="33"/>
      <c r="Z7" s="33"/>
      <c r="AA7" s="33"/>
    </row>
    <row r="8" spans="1:27" ht="21.75" customHeight="1" x14ac:dyDescent="0.4">
      <c r="A8" s="59">
        <v>45444</v>
      </c>
      <c r="B8" s="32" t="s">
        <v>179</v>
      </c>
      <c r="C8" s="32"/>
      <c r="D8" s="18" t="s">
        <v>17</v>
      </c>
      <c r="E8" s="63" t="s">
        <v>332</v>
      </c>
      <c r="F8" s="63" t="s">
        <v>3554</v>
      </c>
      <c r="G8" s="50" t="s">
        <v>3563</v>
      </c>
      <c r="H8" s="57">
        <v>2600</v>
      </c>
      <c r="I8" s="227">
        <v>-260</v>
      </c>
      <c r="J8" s="57">
        <f t="shared" si="0"/>
        <v>2340</v>
      </c>
      <c r="K8" s="50">
        <v>1</v>
      </c>
      <c r="L8" s="57">
        <f t="shared" si="1"/>
        <v>2340</v>
      </c>
      <c r="M8" s="228">
        <f t="shared" si="2"/>
        <v>2574</v>
      </c>
      <c r="N8" s="18" t="s">
        <v>20</v>
      </c>
      <c r="O8" s="50"/>
      <c r="W8" s="31"/>
      <c r="X8" s="33"/>
      <c r="Y8" s="33"/>
      <c r="Z8" s="33"/>
      <c r="AA8" s="33"/>
    </row>
    <row r="9" spans="1:27" ht="21.75" customHeight="1" x14ac:dyDescent="0.4">
      <c r="A9" s="59">
        <v>45444</v>
      </c>
      <c r="B9" s="32" t="s">
        <v>1608</v>
      </c>
      <c r="C9" s="32"/>
      <c r="D9" s="18" t="s">
        <v>17</v>
      </c>
      <c r="E9" s="63" t="s">
        <v>292</v>
      </c>
      <c r="F9" s="63" t="s">
        <v>3547</v>
      </c>
      <c r="G9" s="50" t="s">
        <v>3643</v>
      </c>
      <c r="H9" s="57">
        <v>5500</v>
      </c>
      <c r="I9" s="227">
        <v>-628</v>
      </c>
      <c r="J9" s="57">
        <f t="shared" si="0"/>
        <v>4872</v>
      </c>
      <c r="K9" s="50">
        <v>1</v>
      </c>
      <c r="L9" s="57">
        <f t="shared" si="1"/>
        <v>4872</v>
      </c>
      <c r="M9" s="228">
        <f t="shared" si="2"/>
        <v>5359</v>
      </c>
      <c r="N9" s="18" t="s">
        <v>25</v>
      </c>
      <c r="O9" s="50"/>
      <c r="W9" s="31"/>
      <c r="X9" s="33"/>
      <c r="Y9" s="33"/>
      <c r="Z9" s="33"/>
      <c r="AA9" s="33"/>
    </row>
    <row r="10" spans="1:27" ht="21.75" customHeight="1" x14ac:dyDescent="0.4">
      <c r="A10" s="59">
        <v>45444</v>
      </c>
      <c r="B10" s="32" t="s">
        <v>3401</v>
      </c>
      <c r="C10" s="32"/>
      <c r="D10" s="18" t="s">
        <v>2892</v>
      </c>
      <c r="E10" s="63" t="s">
        <v>23</v>
      </c>
      <c r="F10" s="63"/>
      <c r="G10" s="50" t="s">
        <v>2883</v>
      </c>
      <c r="H10" s="57">
        <v>15000</v>
      </c>
      <c r="I10" s="227">
        <v>-7500</v>
      </c>
      <c r="J10" s="57">
        <f t="shared" si="0"/>
        <v>7500</v>
      </c>
      <c r="K10" s="50">
        <v>1</v>
      </c>
      <c r="L10" s="57">
        <f t="shared" si="1"/>
        <v>7500</v>
      </c>
      <c r="M10" s="228">
        <f t="shared" si="2"/>
        <v>8250</v>
      </c>
      <c r="N10" s="18" t="s">
        <v>25</v>
      </c>
      <c r="O10" s="50" t="s">
        <v>3402</v>
      </c>
      <c r="W10" s="31"/>
      <c r="X10" s="33"/>
      <c r="Y10" s="33"/>
      <c r="Z10" s="33"/>
      <c r="AA10" s="33"/>
    </row>
    <row r="11" spans="1:27" ht="21.75" customHeight="1" x14ac:dyDescent="0.4">
      <c r="A11" s="59">
        <v>45444</v>
      </c>
      <c r="B11" s="32" t="s">
        <v>3401</v>
      </c>
      <c r="C11" s="32"/>
      <c r="D11" s="18" t="s">
        <v>17</v>
      </c>
      <c r="E11" s="63" t="s">
        <v>332</v>
      </c>
      <c r="F11" s="63" t="s">
        <v>3553</v>
      </c>
      <c r="G11" s="50" t="s">
        <v>3581</v>
      </c>
      <c r="H11" s="57">
        <v>1400</v>
      </c>
      <c r="I11" s="227"/>
      <c r="J11" s="57">
        <f t="shared" si="0"/>
        <v>1400</v>
      </c>
      <c r="K11" s="50">
        <v>2</v>
      </c>
      <c r="L11" s="57">
        <f t="shared" si="1"/>
        <v>2800</v>
      </c>
      <c r="M11" s="228">
        <f t="shared" si="2"/>
        <v>3080</v>
      </c>
      <c r="N11" s="18" t="s">
        <v>20</v>
      </c>
      <c r="O11" s="50"/>
      <c r="W11" s="31"/>
      <c r="X11" s="33"/>
      <c r="Y11" s="33"/>
      <c r="Z11" s="33"/>
      <c r="AA11" s="33"/>
    </row>
    <row r="12" spans="1:27" ht="21.75" customHeight="1" x14ac:dyDescent="0.4">
      <c r="A12" s="59">
        <v>45444</v>
      </c>
      <c r="B12" s="32" t="s">
        <v>1924</v>
      </c>
      <c r="C12" s="32"/>
      <c r="D12" s="18" t="s">
        <v>17</v>
      </c>
      <c r="E12" s="63" t="s">
        <v>292</v>
      </c>
      <c r="F12" s="63" t="s">
        <v>3547</v>
      </c>
      <c r="G12" s="50" t="s">
        <v>3643</v>
      </c>
      <c r="H12" s="57">
        <v>5500</v>
      </c>
      <c r="I12" s="227"/>
      <c r="J12" s="57">
        <f t="shared" si="0"/>
        <v>5500</v>
      </c>
      <c r="K12" s="50">
        <v>1</v>
      </c>
      <c r="L12" s="57">
        <f t="shared" si="1"/>
        <v>5500</v>
      </c>
      <c r="M12" s="228">
        <f t="shared" si="2"/>
        <v>6050</v>
      </c>
      <c r="N12" s="18" t="s">
        <v>25</v>
      </c>
      <c r="O12" s="50"/>
      <c r="W12" s="31"/>
      <c r="X12" s="33"/>
      <c r="Y12" s="33"/>
      <c r="Z12" s="33"/>
      <c r="AA12" s="33"/>
    </row>
    <row r="13" spans="1:27" ht="21.75" customHeight="1" x14ac:dyDescent="0.4">
      <c r="A13" s="59">
        <v>45445</v>
      </c>
      <c r="B13" s="32" t="s">
        <v>3403</v>
      </c>
      <c r="C13" s="32"/>
      <c r="D13" s="18" t="s">
        <v>2892</v>
      </c>
      <c r="E13" s="63" t="s">
        <v>23</v>
      </c>
      <c r="F13" s="63"/>
      <c r="G13" s="50" t="s">
        <v>2883</v>
      </c>
      <c r="H13" s="57">
        <v>15000</v>
      </c>
      <c r="I13" s="227">
        <v>-5000</v>
      </c>
      <c r="J13" s="57">
        <f t="shared" si="0"/>
        <v>10000</v>
      </c>
      <c r="K13" s="50">
        <v>1</v>
      </c>
      <c r="L13" s="57">
        <f t="shared" si="1"/>
        <v>10000</v>
      </c>
      <c r="M13" s="228">
        <f t="shared" si="2"/>
        <v>11000</v>
      </c>
      <c r="N13" s="18" t="s">
        <v>20</v>
      </c>
      <c r="O13" s="50" t="s">
        <v>3404</v>
      </c>
      <c r="W13" s="31"/>
      <c r="X13" s="33"/>
      <c r="Y13" s="33"/>
      <c r="Z13" s="33"/>
      <c r="AA13" s="33"/>
    </row>
    <row r="14" spans="1:27" ht="21.75" customHeight="1" x14ac:dyDescent="0.4">
      <c r="A14" s="59">
        <v>45445</v>
      </c>
      <c r="B14" s="32" t="s">
        <v>3405</v>
      </c>
      <c r="C14" s="32"/>
      <c r="D14" s="18" t="s">
        <v>17</v>
      </c>
      <c r="E14" s="63" t="s">
        <v>332</v>
      </c>
      <c r="F14" s="63" t="s">
        <v>3551</v>
      </c>
      <c r="G14" s="50" t="s">
        <v>3563</v>
      </c>
      <c r="H14" s="57">
        <v>2600</v>
      </c>
      <c r="I14" s="227">
        <v>-260</v>
      </c>
      <c r="J14" s="57">
        <f t="shared" si="0"/>
        <v>2340</v>
      </c>
      <c r="K14" s="50">
        <v>1</v>
      </c>
      <c r="L14" s="57">
        <f t="shared" si="1"/>
        <v>2340</v>
      </c>
      <c r="M14" s="228">
        <f t="shared" si="2"/>
        <v>2574</v>
      </c>
      <c r="N14" s="18" t="s">
        <v>25</v>
      </c>
      <c r="O14" s="50"/>
      <c r="W14" s="31"/>
      <c r="X14" s="33"/>
      <c r="Y14" s="33"/>
      <c r="Z14" s="33"/>
      <c r="AA14" s="33"/>
    </row>
    <row r="15" spans="1:27" ht="21.75" customHeight="1" x14ac:dyDescent="0.4">
      <c r="A15" s="59">
        <v>45445</v>
      </c>
      <c r="B15" s="32" t="s">
        <v>3406</v>
      </c>
      <c r="C15" s="32"/>
      <c r="D15" s="18" t="s">
        <v>2892</v>
      </c>
      <c r="E15" s="63" t="s">
        <v>23</v>
      </c>
      <c r="F15" s="63"/>
      <c r="G15" s="50" t="s">
        <v>2922</v>
      </c>
      <c r="H15" s="57">
        <v>20000</v>
      </c>
      <c r="I15" s="227"/>
      <c r="J15" s="57">
        <f t="shared" si="0"/>
        <v>20000</v>
      </c>
      <c r="K15" s="50">
        <v>1</v>
      </c>
      <c r="L15" s="57">
        <f t="shared" si="1"/>
        <v>20000</v>
      </c>
      <c r="M15" s="228">
        <f t="shared" si="2"/>
        <v>22000</v>
      </c>
      <c r="N15" s="18" t="s">
        <v>25</v>
      </c>
      <c r="O15" s="50" t="s">
        <v>1954</v>
      </c>
      <c r="W15" s="31"/>
      <c r="X15" s="33"/>
      <c r="Y15" s="33"/>
      <c r="Z15" s="33"/>
      <c r="AA15" s="33"/>
    </row>
    <row r="16" spans="1:27" ht="21.75" customHeight="1" x14ac:dyDescent="0.4">
      <c r="A16" s="59">
        <v>45445</v>
      </c>
      <c r="B16" s="32" t="s">
        <v>3407</v>
      </c>
      <c r="C16" s="32"/>
      <c r="D16" s="18" t="s">
        <v>22</v>
      </c>
      <c r="E16" s="63" t="s">
        <v>1496</v>
      </c>
      <c r="F16" s="63"/>
      <c r="G16" s="50" t="s">
        <v>369</v>
      </c>
      <c r="H16" s="57">
        <v>3000</v>
      </c>
      <c r="I16" s="227"/>
      <c r="J16" s="57">
        <f t="shared" si="0"/>
        <v>3000</v>
      </c>
      <c r="K16" s="50">
        <v>1</v>
      </c>
      <c r="L16" s="57">
        <f t="shared" si="1"/>
        <v>3000</v>
      </c>
      <c r="M16" s="228">
        <f t="shared" si="2"/>
        <v>3300</v>
      </c>
      <c r="N16" s="18" t="s">
        <v>25</v>
      </c>
      <c r="O16" s="50" t="s">
        <v>1954</v>
      </c>
      <c r="W16" s="31"/>
      <c r="X16" s="33"/>
      <c r="Y16" s="33"/>
      <c r="Z16" s="33"/>
      <c r="AA16" s="33"/>
    </row>
    <row r="17" spans="1:16" ht="21.75" customHeight="1" x14ac:dyDescent="0.4">
      <c r="A17" s="59">
        <v>45445</v>
      </c>
      <c r="B17" s="32" t="s">
        <v>3406</v>
      </c>
      <c r="C17" s="32"/>
      <c r="D17" s="18" t="s">
        <v>17</v>
      </c>
      <c r="E17" s="63" t="s">
        <v>328</v>
      </c>
      <c r="F17" s="63" t="s">
        <v>3596</v>
      </c>
      <c r="G17" s="50" t="s">
        <v>3614</v>
      </c>
      <c r="H17" s="57">
        <v>50000</v>
      </c>
      <c r="I17" s="227">
        <v>-10000</v>
      </c>
      <c r="J17" s="57">
        <f t="shared" si="0"/>
        <v>40000</v>
      </c>
      <c r="K17" s="50">
        <v>1</v>
      </c>
      <c r="L17" s="57">
        <f t="shared" si="1"/>
        <v>40000</v>
      </c>
      <c r="M17" s="228">
        <f t="shared" si="2"/>
        <v>44000</v>
      </c>
      <c r="N17" s="18" t="s">
        <v>34</v>
      </c>
      <c r="O17" s="50"/>
      <c r="P17" s="52" t="s">
        <v>1608</v>
      </c>
    </row>
    <row r="18" spans="1:16" ht="21.75" customHeight="1" x14ac:dyDescent="0.4">
      <c r="A18" s="59">
        <v>45445</v>
      </c>
      <c r="B18" s="32" t="s">
        <v>3406</v>
      </c>
      <c r="C18" s="32"/>
      <c r="D18" s="18" t="s">
        <v>17</v>
      </c>
      <c r="E18" s="63" t="s">
        <v>330</v>
      </c>
      <c r="F18" s="63" t="s">
        <v>3627</v>
      </c>
      <c r="G18" s="50" t="s">
        <v>790</v>
      </c>
      <c r="H18" s="57">
        <v>5000</v>
      </c>
      <c r="I18" s="227"/>
      <c r="J18" s="57">
        <f t="shared" si="0"/>
        <v>5000</v>
      </c>
      <c r="K18" s="50">
        <v>1</v>
      </c>
      <c r="L18" s="57">
        <f t="shared" si="1"/>
        <v>5000</v>
      </c>
      <c r="M18" s="228">
        <f t="shared" si="2"/>
        <v>5500</v>
      </c>
      <c r="N18" s="18" t="s">
        <v>34</v>
      </c>
      <c r="O18" s="50"/>
      <c r="P18" s="52" t="s">
        <v>1608</v>
      </c>
    </row>
    <row r="19" spans="1:16" ht="21.75" customHeight="1" x14ac:dyDescent="0.4">
      <c r="A19" s="59">
        <v>45446</v>
      </c>
      <c r="B19" s="32" t="s">
        <v>3408</v>
      </c>
      <c r="C19" s="32"/>
      <c r="D19" s="18" t="s">
        <v>2892</v>
      </c>
      <c r="E19" s="63" t="s">
        <v>23</v>
      </c>
      <c r="F19" s="63"/>
      <c r="G19" s="50" t="s">
        <v>2883</v>
      </c>
      <c r="H19" s="57">
        <v>15000</v>
      </c>
      <c r="I19" s="227"/>
      <c r="J19" s="57">
        <f t="shared" si="0"/>
        <v>15000</v>
      </c>
      <c r="K19" s="50">
        <v>1</v>
      </c>
      <c r="L19" s="57">
        <f t="shared" si="1"/>
        <v>15000</v>
      </c>
      <c r="M19" s="228">
        <f t="shared" si="2"/>
        <v>16500</v>
      </c>
      <c r="N19" s="18" t="s">
        <v>20</v>
      </c>
      <c r="O19" s="50" t="s">
        <v>1954</v>
      </c>
    </row>
    <row r="20" spans="1:16" ht="21.75" customHeight="1" x14ac:dyDescent="0.4">
      <c r="A20" s="59">
        <v>45446</v>
      </c>
      <c r="B20" s="32" t="s">
        <v>3408</v>
      </c>
      <c r="C20" s="32"/>
      <c r="D20" s="18" t="s">
        <v>17</v>
      </c>
      <c r="E20" s="63" t="s">
        <v>328</v>
      </c>
      <c r="F20" s="63" t="s">
        <v>33</v>
      </c>
      <c r="G20" s="50" t="s">
        <v>3615</v>
      </c>
      <c r="H20" s="57">
        <v>50000</v>
      </c>
      <c r="I20" s="227">
        <v>-10000</v>
      </c>
      <c r="J20" s="57">
        <f t="shared" ref="J20:J84" si="5">SUM(H20:I20)</f>
        <v>40000</v>
      </c>
      <c r="K20" s="50">
        <v>1</v>
      </c>
      <c r="L20" s="57">
        <f t="shared" si="1"/>
        <v>40000</v>
      </c>
      <c r="M20" s="228">
        <f t="shared" si="2"/>
        <v>44000</v>
      </c>
      <c r="N20" s="18" t="s">
        <v>34</v>
      </c>
      <c r="O20" s="50"/>
      <c r="P20" s="52" t="s">
        <v>2141</v>
      </c>
    </row>
    <row r="21" spans="1:16" ht="21.75" customHeight="1" x14ac:dyDescent="0.4">
      <c r="A21" s="59">
        <v>45446</v>
      </c>
      <c r="B21" s="32" t="s">
        <v>3408</v>
      </c>
      <c r="C21" s="32"/>
      <c r="D21" s="18" t="s">
        <v>17</v>
      </c>
      <c r="E21" s="63" t="s">
        <v>455</v>
      </c>
      <c r="F21" s="63" t="s">
        <v>3555</v>
      </c>
      <c r="G21" s="50" t="s">
        <v>3557</v>
      </c>
      <c r="H21" s="57">
        <v>1200</v>
      </c>
      <c r="I21" s="227"/>
      <c r="J21" s="57">
        <f t="shared" si="5"/>
        <v>1200</v>
      </c>
      <c r="K21" s="50">
        <v>1</v>
      </c>
      <c r="L21" s="57">
        <f t="shared" si="1"/>
        <v>1200</v>
      </c>
      <c r="M21" s="228">
        <f t="shared" si="2"/>
        <v>1320</v>
      </c>
      <c r="N21" s="18" t="s">
        <v>34</v>
      </c>
      <c r="O21" s="50"/>
      <c r="P21" s="52" t="s">
        <v>2141</v>
      </c>
    </row>
    <row r="22" spans="1:16" ht="21.75" customHeight="1" x14ac:dyDescent="0.4">
      <c r="A22" s="62">
        <v>45448</v>
      </c>
      <c r="B22" s="32" t="s">
        <v>3409</v>
      </c>
      <c r="C22" s="32"/>
      <c r="D22" s="18" t="s">
        <v>22</v>
      </c>
      <c r="E22" s="63" t="s">
        <v>1496</v>
      </c>
      <c r="F22" s="63"/>
      <c r="G22" s="50" t="s">
        <v>369</v>
      </c>
      <c r="H22" s="57">
        <v>3000</v>
      </c>
      <c r="I22" s="227"/>
      <c r="J22" s="57">
        <f t="shared" si="5"/>
        <v>3000</v>
      </c>
      <c r="K22" s="50">
        <v>1</v>
      </c>
      <c r="L22" s="57">
        <f t="shared" si="1"/>
        <v>3000</v>
      </c>
      <c r="M22" s="228">
        <f t="shared" si="2"/>
        <v>3300</v>
      </c>
      <c r="N22" s="18" t="s">
        <v>20</v>
      </c>
      <c r="O22" s="50" t="s">
        <v>1954</v>
      </c>
    </row>
    <row r="23" spans="1:16" ht="21.75" customHeight="1" x14ac:dyDescent="0.4">
      <c r="A23" s="62">
        <v>45448</v>
      </c>
      <c r="B23" s="32" t="s">
        <v>3410</v>
      </c>
      <c r="C23" s="32"/>
      <c r="D23" s="18" t="s">
        <v>2892</v>
      </c>
      <c r="E23" s="63" t="s">
        <v>23</v>
      </c>
      <c r="F23" s="63"/>
      <c r="G23" s="50" t="s">
        <v>2883</v>
      </c>
      <c r="H23" s="57">
        <v>15000</v>
      </c>
      <c r="I23" s="227"/>
      <c r="J23" s="57">
        <f t="shared" si="5"/>
        <v>15000</v>
      </c>
      <c r="K23" s="50">
        <v>1</v>
      </c>
      <c r="L23" s="57">
        <f t="shared" si="1"/>
        <v>15000</v>
      </c>
      <c r="M23" s="228">
        <f t="shared" si="2"/>
        <v>16500</v>
      </c>
      <c r="N23" s="18" t="s">
        <v>20</v>
      </c>
      <c r="O23" s="50"/>
    </row>
    <row r="24" spans="1:16" s="35" customFormat="1" ht="21.75" customHeight="1" x14ac:dyDescent="0.4">
      <c r="A24" s="190">
        <v>45449</v>
      </c>
      <c r="B24" s="191" t="s">
        <v>3467</v>
      </c>
      <c r="C24" s="191"/>
      <c r="D24" s="192" t="s">
        <v>2457</v>
      </c>
      <c r="E24" s="193" t="s">
        <v>1615</v>
      </c>
      <c r="F24" s="193"/>
      <c r="G24" s="159" t="s">
        <v>3396</v>
      </c>
      <c r="H24" s="186">
        <v>15000</v>
      </c>
      <c r="I24" s="265">
        <v>-3000</v>
      </c>
      <c r="J24" s="186">
        <f t="shared" si="5"/>
        <v>12000</v>
      </c>
      <c r="K24" s="159">
        <v>1</v>
      </c>
      <c r="L24" s="186">
        <f t="shared" si="1"/>
        <v>12000</v>
      </c>
      <c r="M24" s="231">
        <f t="shared" si="2"/>
        <v>13200</v>
      </c>
      <c r="N24" s="192" t="s">
        <v>34</v>
      </c>
      <c r="O24" s="159" t="s">
        <v>3431</v>
      </c>
      <c r="P24" s="189"/>
    </row>
    <row r="25" spans="1:16" ht="21.75" customHeight="1" x14ac:dyDescent="0.4">
      <c r="A25" s="62">
        <v>45449</v>
      </c>
      <c r="B25" s="32" t="s">
        <v>3411</v>
      </c>
      <c r="C25" s="32"/>
      <c r="D25" s="18" t="s">
        <v>22</v>
      </c>
      <c r="E25" s="63" t="s">
        <v>1496</v>
      </c>
      <c r="F25" s="63"/>
      <c r="G25" s="50" t="s">
        <v>2422</v>
      </c>
      <c r="H25" s="57">
        <v>2000</v>
      </c>
      <c r="I25" s="227"/>
      <c r="J25" s="57">
        <f t="shared" si="5"/>
        <v>2000</v>
      </c>
      <c r="K25" s="50">
        <v>1</v>
      </c>
      <c r="L25" s="57">
        <f t="shared" si="1"/>
        <v>2000</v>
      </c>
      <c r="M25" s="228">
        <f t="shared" si="2"/>
        <v>2200</v>
      </c>
      <c r="N25" s="18" t="s">
        <v>25</v>
      </c>
      <c r="O25" s="50"/>
    </row>
    <row r="26" spans="1:16" ht="21.75" customHeight="1" x14ac:dyDescent="0.4">
      <c r="A26" s="62">
        <v>45449</v>
      </c>
      <c r="B26" s="32" t="s">
        <v>3412</v>
      </c>
      <c r="C26" s="32"/>
      <c r="D26" s="18" t="s">
        <v>27</v>
      </c>
      <c r="E26" s="63" t="s">
        <v>28</v>
      </c>
      <c r="F26" s="63"/>
      <c r="G26" s="50" t="s">
        <v>1897</v>
      </c>
      <c r="H26" s="57">
        <v>17500</v>
      </c>
      <c r="I26" s="227"/>
      <c r="J26" s="57">
        <f t="shared" si="5"/>
        <v>17500</v>
      </c>
      <c r="K26" s="50">
        <v>1</v>
      </c>
      <c r="L26" s="57">
        <f t="shared" ref="L26:L89" si="6">SUM(J26*K26)</f>
        <v>17500</v>
      </c>
      <c r="M26" s="228">
        <f t="shared" si="2"/>
        <v>19250</v>
      </c>
      <c r="N26" s="18" t="s">
        <v>25</v>
      </c>
      <c r="O26" s="50"/>
    </row>
    <row r="27" spans="1:16" ht="21.75" customHeight="1" x14ac:dyDescent="0.4">
      <c r="A27" s="62">
        <v>45449</v>
      </c>
      <c r="B27" s="32" t="s">
        <v>1077</v>
      </c>
      <c r="C27" s="32"/>
      <c r="D27" s="18" t="s">
        <v>17</v>
      </c>
      <c r="E27" s="63" t="s">
        <v>845</v>
      </c>
      <c r="F27" s="63"/>
      <c r="G27" s="50" t="s">
        <v>3399</v>
      </c>
      <c r="H27" s="57">
        <v>1000</v>
      </c>
      <c r="I27" s="227"/>
      <c r="J27" s="57">
        <f t="shared" si="5"/>
        <v>1000</v>
      </c>
      <c r="K27" s="50">
        <v>1</v>
      </c>
      <c r="L27" s="57">
        <f t="shared" si="6"/>
        <v>1000</v>
      </c>
      <c r="M27" s="228">
        <f t="shared" si="2"/>
        <v>1100</v>
      </c>
      <c r="N27" s="18" t="s">
        <v>20</v>
      </c>
      <c r="O27" s="50"/>
    </row>
    <row r="28" spans="1:16" ht="21.75" customHeight="1" x14ac:dyDescent="0.4">
      <c r="A28" s="62">
        <v>45449</v>
      </c>
      <c r="B28" s="32" t="s">
        <v>1077</v>
      </c>
      <c r="C28" s="32"/>
      <c r="D28" s="18" t="s">
        <v>17</v>
      </c>
      <c r="E28" s="63" t="s">
        <v>845</v>
      </c>
      <c r="F28" s="63"/>
      <c r="G28" s="50" t="s">
        <v>3413</v>
      </c>
      <c r="H28" s="57">
        <v>1000</v>
      </c>
      <c r="I28" s="227"/>
      <c r="J28" s="57">
        <f t="shared" si="5"/>
        <v>1000</v>
      </c>
      <c r="K28" s="50">
        <v>1</v>
      </c>
      <c r="L28" s="57">
        <f t="shared" si="6"/>
        <v>1000</v>
      </c>
      <c r="M28" s="228">
        <f t="shared" si="2"/>
        <v>1100</v>
      </c>
      <c r="N28" s="18" t="s">
        <v>20</v>
      </c>
      <c r="O28" s="50"/>
    </row>
    <row r="29" spans="1:16" ht="21.75" customHeight="1" x14ac:dyDescent="0.4">
      <c r="A29" s="62">
        <v>45449</v>
      </c>
      <c r="B29" s="32" t="s">
        <v>3414</v>
      </c>
      <c r="C29" s="32"/>
      <c r="D29" s="18" t="s">
        <v>22</v>
      </c>
      <c r="E29" s="63" t="s">
        <v>1496</v>
      </c>
      <c r="F29" s="63"/>
      <c r="G29" s="50" t="s">
        <v>369</v>
      </c>
      <c r="H29" s="57">
        <v>3000</v>
      </c>
      <c r="I29" s="227"/>
      <c r="J29" s="57">
        <f t="shared" si="5"/>
        <v>3000</v>
      </c>
      <c r="K29" s="50">
        <v>1</v>
      </c>
      <c r="L29" s="57">
        <f t="shared" si="6"/>
        <v>3000</v>
      </c>
      <c r="M29" s="228">
        <f t="shared" si="2"/>
        <v>3300</v>
      </c>
      <c r="N29" s="18" t="s">
        <v>20</v>
      </c>
      <c r="O29" s="50" t="s">
        <v>1954</v>
      </c>
    </row>
    <row r="30" spans="1:16" ht="21.75" customHeight="1" x14ac:dyDescent="0.4">
      <c r="A30" s="62">
        <v>45450</v>
      </c>
      <c r="B30" s="32" t="s">
        <v>3415</v>
      </c>
      <c r="C30" s="32"/>
      <c r="D30" s="18" t="s">
        <v>22</v>
      </c>
      <c r="E30" s="63" t="s">
        <v>1496</v>
      </c>
      <c r="F30" s="63"/>
      <c r="G30" s="50" t="s">
        <v>369</v>
      </c>
      <c r="H30" s="57">
        <v>3000</v>
      </c>
      <c r="I30" s="227"/>
      <c r="J30" s="57">
        <f t="shared" si="5"/>
        <v>3000</v>
      </c>
      <c r="K30" s="50">
        <v>1</v>
      </c>
      <c r="L30" s="57">
        <f t="shared" si="6"/>
        <v>3000</v>
      </c>
      <c r="M30" s="228">
        <f t="shared" si="2"/>
        <v>3300</v>
      </c>
      <c r="N30" s="18" t="s">
        <v>1057</v>
      </c>
      <c r="O30" s="50" t="s">
        <v>3416</v>
      </c>
    </row>
    <row r="31" spans="1:16" ht="21.75" customHeight="1" x14ac:dyDescent="0.4">
      <c r="A31" s="62">
        <v>45450</v>
      </c>
      <c r="B31" s="32" t="s">
        <v>3415</v>
      </c>
      <c r="C31" s="32"/>
      <c r="D31" s="18" t="s">
        <v>27</v>
      </c>
      <c r="E31" s="63" t="s">
        <v>28</v>
      </c>
      <c r="F31" s="63"/>
      <c r="G31" s="50" t="s">
        <v>318</v>
      </c>
      <c r="H31" s="57">
        <v>15000</v>
      </c>
      <c r="I31" s="227"/>
      <c r="J31" s="57">
        <f t="shared" si="5"/>
        <v>15000</v>
      </c>
      <c r="K31" s="50">
        <v>1</v>
      </c>
      <c r="L31" s="57">
        <f t="shared" si="6"/>
        <v>15000</v>
      </c>
      <c r="M31" s="228">
        <f t="shared" si="2"/>
        <v>16500</v>
      </c>
      <c r="N31" s="18" t="s">
        <v>25</v>
      </c>
      <c r="O31" s="50"/>
    </row>
    <row r="32" spans="1:16" ht="21.75" customHeight="1" x14ac:dyDescent="0.4">
      <c r="A32" s="62">
        <v>45450</v>
      </c>
      <c r="B32" s="32" t="s">
        <v>3417</v>
      </c>
      <c r="C32" s="32"/>
      <c r="D32" s="18" t="s">
        <v>17</v>
      </c>
      <c r="E32" s="63" t="s">
        <v>332</v>
      </c>
      <c r="F32" s="63" t="s">
        <v>3552</v>
      </c>
      <c r="G32" s="50" t="s">
        <v>3582</v>
      </c>
      <c r="H32" s="57">
        <v>1800</v>
      </c>
      <c r="I32" s="227">
        <v>-180</v>
      </c>
      <c r="J32" s="57">
        <f t="shared" si="5"/>
        <v>1620</v>
      </c>
      <c r="K32" s="50">
        <v>2</v>
      </c>
      <c r="L32" s="57">
        <f t="shared" si="6"/>
        <v>3240</v>
      </c>
      <c r="M32" s="228">
        <f t="shared" si="2"/>
        <v>3564</v>
      </c>
      <c r="N32" s="18" t="s">
        <v>25</v>
      </c>
      <c r="O32" s="50"/>
    </row>
    <row r="33" spans="1:15" ht="21.75" customHeight="1" x14ac:dyDescent="0.4">
      <c r="A33" s="62">
        <v>45450</v>
      </c>
      <c r="B33" s="32" t="s">
        <v>3418</v>
      </c>
      <c r="C33" s="32"/>
      <c r="D33" s="18" t="s">
        <v>17</v>
      </c>
      <c r="E33" s="63" t="s">
        <v>328</v>
      </c>
      <c r="F33" s="63" t="s">
        <v>33</v>
      </c>
      <c r="G33" s="50" t="s">
        <v>3616</v>
      </c>
      <c r="H33" s="57">
        <v>50000</v>
      </c>
      <c r="I33" s="227">
        <v>-27500</v>
      </c>
      <c r="J33" s="57">
        <f t="shared" si="5"/>
        <v>22500</v>
      </c>
      <c r="K33" s="50">
        <v>1</v>
      </c>
      <c r="L33" s="57">
        <f t="shared" si="6"/>
        <v>22500</v>
      </c>
      <c r="M33" s="228">
        <f t="shared" si="2"/>
        <v>24750</v>
      </c>
      <c r="N33" s="18" t="s">
        <v>34</v>
      </c>
      <c r="O33" s="50"/>
    </row>
    <row r="34" spans="1:15" ht="21.75" customHeight="1" x14ac:dyDescent="0.4">
      <c r="A34" s="62">
        <v>45450</v>
      </c>
      <c r="B34" s="32" t="s">
        <v>3418</v>
      </c>
      <c r="C34" s="32"/>
      <c r="D34" s="18" t="s">
        <v>17</v>
      </c>
      <c r="E34" s="63" t="s">
        <v>455</v>
      </c>
      <c r="F34" s="63" t="s">
        <v>3551</v>
      </c>
      <c r="G34" s="50" t="s">
        <v>3564</v>
      </c>
      <c r="H34" s="57">
        <v>2600</v>
      </c>
      <c r="I34" s="227">
        <v>-1040</v>
      </c>
      <c r="J34" s="57">
        <f t="shared" si="5"/>
        <v>1560</v>
      </c>
      <c r="K34" s="50">
        <v>1</v>
      </c>
      <c r="L34" s="57">
        <f t="shared" si="6"/>
        <v>1560</v>
      </c>
      <c r="M34" s="228">
        <f t="shared" ref="M34:M97" si="7">ROUNDDOWN(L34*1.1,0)</f>
        <v>1716</v>
      </c>
      <c r="N34" s="18" t="s">
        <v>34</v>
      </c>
      <c r="O34" s="50"/>
    </row>
    <row r="35" spans="1:15" ht="21.75" customHeight="1" x14ac:dyDescent="0.4">
      <c r="A35" s="62">
        <v>45450</v>
      </c>
      <c r="B35" s="32" t="s">
        <v>3117</v>
      </c>
      <c r="C35" s="32"/>
      <c r="D35" s="18" t="s">
        <v>17</v>
      </c>
      <c r="E35" s="63" t="s">
        <v>426</v>
      </c>
      <c r="F35" s="63" t="s">
        <v>3584</v>
      </c>
      <c r="G35" s="50" t="s">
        <v>3592</v>
      </c>
      <c r="H35" s="57">
        <v>1800</v>
      </c>
      <c r="I35" s="227">
        <v>-180</v>
      </c>
      <c r="J35" s="57">
        <f t="shared" si="5"/>
        <v>1620</v>
      </c>
      <c r="K35" s="50">
        <v>1</v>
      </c>
      <c r="L35" s="57">
        <f t="shared" si="6"/>
        <v>1620</v>
      </c>
      <c r="M35" s="228">
        <f t="shared" si="7"/>
        <v>1782</v>
      </c>
      <c r="N35" s="18" t="s">
        <v>20</v>
      </c>
      <c r="O35" s="50"/>
    </row>
    <row r="36" spans="1:15" ht="21.75" customHeight="1" x14ac:dyDescent="0.4">
      <c r="A36" s="62">
        <v>45450</v>
      </c>
      <c r="B36" s="32" t="s">
        <v>503</v>
      </c>
      <c r="C36" s="32"/>
      <c r="D36" s="18" t="s">
        <v>17</v>
      </c>
      <c r="E36" s="63" t="s">
        <v>332</v>
      </c>
      <c r="F36" s="63" t="s">
        <v>3552</v>
      </c>
      <c r="G36" s="50" t="s">
        <v>3419</v>
      </c>
      <c r="H36" s="57">
        <v>1800</v>
      </c>
      <c r="I36" s="227">
        <v>-180</v>
      </c>
      <c r="J36" s="57">
        <f t="shared" si="5"/>
        <v>1620</v>
      </c>
      <c r="K36" s="50">
        <v>7</v>
      </c>
      <c r="L36" s="57">
        <f t="shared" si="6"/>
        <v>11340</v>
      </c>
      <c r="M36" s="228">
        <f t="shared" si="7"/>
        <v>12474</v>
      </c>
      <c r="N36" s="18" t="s">
        <v>34</v>
      </c>
      <c r="O36" s="50"/>
    </row>
    <row r="37" spans="1:15" ht="21.75" customHeight="1" x14ac:dyDescent="0.4">
      <c r="A37" s="62">
        <v>45450</v>
      </c>
      <c r="B37" s="32" t="s">
        <v>503</v>
      </c>
      <c r="C37" s="32"/>
      <c r="D37" s="18" t="s">
        <v>17</v>
      </c>
      <c r="E37" s="63" t="s">
        <v>455</v>
      </c>
      <c r="F37" s="63" t="s">
        <v>3552</v>
      </c>
      <c r="G37" s="50" t="s">
        <v>3420</v>
      </c>
      <c r="H37" s="57">
        <v>1800</v>
      </c>
      <c r="I37" s="227">
        <v>-180</v>
      </c>
      <c r="J37" s="57">
        <f t="shared" si="5"/>
        <v>1620</v>
      </c>
      <c r="K37" s="50">
        <v>6</v>
      </c>
      <c r="L37" s="57">
        <f t="shared" si="6"/>
        <v>9720</v>
      </c>
      <c r="M37" s="228">
        <f t="shared" si="7"/>
        <v>10692</v>
      </c>
      <c r="N37" s="18" t="s">
        <v>34</v>
      </c>
      <c r="O37" s="50"/>
    </row>
    <row r="38" spans="1:15" ht="21.75" customHeight="1" x14ac:dyDescent="0.4">
      <c r="A38" s="62">
        <v>45451</v>
      </c>
      <c r="B38" s="32" t="s">
        <v>1258</v>
      </c>
      <c r="C38" s="32"/>
      <c r="D38" s="18" t="s">
        <v>27</v>
      </c>
      <c r="E38" s="63" t="s">
        <v>28</v>
      </c>
      <c r="F38" s="63"/>
      <c r="G38" s="50" t="s">
        <v>73</v>
      </c>
      <c r="H38" s="57">
        <v>2000</v>
      </c>
      <c r="I38" s="227"/>
      <c r="J38" s="57">
        <f t="shared" si="5"/>
        <v>2000</v>
      </c>
      <c r="K38" s="50">
        <v>1</v>
      </c>
      <c r="L38" s="57">
        <f t="shared" si="6"/>
        <v>2000</v>
      </c>
      <c r="M38" s="228">
        <f t="shared" si="7"/>
        <v>2200</v>
      </c>
      <c r="N38" s="18" t="s">
        <v>25</v>
      </c>
      <c r="O38" s="50"/>
    </row>
    <row r="39" spans="1:15" ht="21.75" customHeight="1" x14ac:dyDescent="0.4">
      <c r="A39" s="62">
        <v>45451</v>
      </c>
      <c r="B39" s="32" t="s">
        <v>3421</v>
      </c>
      <c r="C39" s="32"/>
      <c r="D39" s="18" t="s">
        <v>27</v>
      </c>
      <c r="E39" s="63" t="s">
        <v>28</v>
      </c>
      <c r="F39" s="63"/>
      <c r="G39" s="50" t="s">
        <v>73</v>
      </c>
      <c r="H39" s="57">
        <v>2000</v>
      </c>
      <c r="I39" s="227"/>
      <c r="J39" s="57">
        <f t="shared" si="5"/>
        <v>2000</v>
      </c>
      <c r="K39" s="50">
        <v>2</v>
      </c>
      <c r="L39" s="57">
        <f t="shared" si="6"/>
        <v>4000</v>
      </c>
      <c r="M39" s="228">
        <f t="shared" si="7"/>
        <v>4400</v>
      </c>
      <c r="N39" s="18" t="s">
        <v>20</v>
      </c>
      <c r="O39" s="50"/>
    </row>
    <row r="40" spans="1:15" ht="21.75" customHeight="1" x14ac:dyDescent="0.4">
      <c r="A40" s="62">
        <v>45451</v>
      </c>
      <c r="B40" s="32" t="s">
        <v>2088</v>
      </c>
      <c r="C40" s="32"/>
      <c r="D40" s="18" t="s">
        <v>17</v>
      </c>
      <c r="E40" s="63" t="s">
        <v>2205</v>
      </c>
      <c r="F40" s="63"/>
      <c r="G40" s="50" t="s">
        <v>3423</v>
      </c>
      <c r="H40" s="57">
        <v>5000</v>
      </c>
      <c r="I40" s="227"/>
      <c r="J40" s="57">
        <f t="shared" si="5"/>
        <v>5000</v>
      </c>
      <c r="K40" s="50">
        <v>1</v>
      </c>
      <c r="L40" s="57">
        <f t="shared" si="6"/>
        <v>5000</v>
      </c>
      <c r="M40" s="228">
        <f t="shared" si="7"/>
        <v>5500</v>
      </c>
      <c r="N40" s="18" t="s">
        <v>25</v>
      </c>
      <c r="O40" s="50"/>
    </row>
    <row r="41" spans="1:15" ht="21.75" customHeight="1" x14ac:dyDescent="0.4">
      <c r="A41" s="62">
        <v>45451</v>
      </c>
      <c r="B41" s="32" t="s">
        <v>3424</v>
      </c>
      <c r="C41" s="32"/>
      <c r="D41" s="18" t="s">
        <v>17</v>
      </c>
      <c r="E41" s="63" t="s">
        <v>18</v>
      </c>
      <c r="F41" s="63" t="s">
        <v>3584</v>
      </c>
      <c r="G41" s="50" t="s">
        <v>3593</v>
      </c>
      <c r="H41" s="57">
        <v>1800</v>
      </c>
      <c r="I41" s="227">
        <v>-180</v>
      </c>
      <c r="J41" s="57">
        <f t="shared" si="5"/>
        <v>1620</v>
      </c>
      <c r="K41" s="50">
        <v>1</v>
      </c>
      <c r="L41" s="57">
        <f t="shared" si="6"/>
        <v>1620</v>
      </c>
      <c r="M41" s="228">
        <f t="shared" si="7"/>
        <v>1782</v>
      </c>
      <c r="N41" s="18" t="s">
        <v>25</v>
      </c>
      <c r="O41" s="50"/>
    </row>
    <row r="42" spans="1:15" ht="21.75" customHeight="1" x14ac:dyDescent="0.4">
      <c r="A42" s="62">
        <v>45451</v>
      </c>
      <c r="B42" s="32" t="s">
        <v>1910</v>
      </c>
      <c r="C42" s="32"/>
      <c r="D42" s="18" t="s">
        <v>17</v>
      </c>
      <c r="E42" s="63" t="s">
        <v>292</v>
      </c>
      <c r="F42" s="63" t="s">
        <v>3547</v>
      </c>
      <c r="G42" s="50" t="s">
        <v>3644</v>
      </c>
      <c r="H42" s="57">
        <v>5500</v>
      </c>
      <c r="I42" s="227"/>
      <c r="J42" s="57">
        <f t="shared" si="5"/>
        <v>5500</v>
      </c>
      <c r="K42" s="50">
        <v>1</v>
      </c>
      <c r="L42" s="57">
        <f t="shared" si="6"/>
        <v>5500</v>
      </c>
      <c r="M42" s="228">
        <f t="shared" si="7"/>
        <v>6050</v>
      </c>
      <c r="N42" s="18" t="s">
        <v>25</v>
      </c>
      <c r="O42" s="50"/>
    </row>
    <row r="43" spans="1:15" ht="45" customHeight="1" x14ac:dyDescent="0.4">
      <c r="A43" s="62">
        <v>45451</v>
      </c>
      <c r="B43" s="32" t="s">
        <v>3425</v>
      </c>
      <c r="C43" s="32"/>
      <c r="D43" s="18" t="s">
        <v>17</v>
      </c>
      <c r="E43" s="63" t="s">
        <v>292</v>
      </c>
      <c r="F43" s="63" t="s">
        <v>3547</v>
      </c>
      <c r="G43" s="50" t="s">
        <v>3644</v>
      </c>
      <c r="H43" s="57">
        <v>5500</v>
      </c>
      <c r="I43" s="227"/>
      <c r="J43" s="57">
        <f t="shared" si="5"/>
        <v>5500</v>
      </c>
      <c r="K43" s="50">
        <v>1</v>
      </c>
      <c r="L43" s="57">
        <f t="shared" si="6"/>
        <v>5500</v>
      </c>
      <c r="M43" s="228">
        <f t="shared" si="7"/>
        <v>6050</v>
      </c>
      <c r="N43" s="18" t="s">
        <v>1057</v>
      </c>
      <c r="O43" s="160" t="s">
        <v>3426</v>
      </c>
    </row>
    <row r="44" spans="1:15" ht="21.75" customHeight="1" x14ac:dyDescent="0.4">
      <c r="A44" s="62">
        <v>45452</v>
      </c>
      <c r="B44" s="32" t="s">
        <v>162</v>
      </c>
      <c r="C44" s="32"/>
      <c r="D44" s="18" t="s">
        <v>27</v>
      </c>
      <c r="E44" s="63" t="s">
        <v>28</v>
      </c>
      <c r="F44" s="63"/>
      <c r="G44" s="50" t="s">
        <v>1810</v>
      </c>
      <c r="H44" s="57">
        <v>2500</v>
      </c>
      <c r="I44" s="227"/>
      <c r="J44" s="57">
        <f t="shared" si="5"/>
        <v>2500</v>
      </c>
      <c r="K44" s="50">
        <v>1</v>
      </c>
      <c r="L44" s="57">
        <f t="shared" si="6"/>
        <v>2500</v>
      </c>
      <c r="M44" s="228">
        <f t="shared" si="7"/>
        <v>2750</v>
      </c>
      <c r="N44" s="18" t="s">
        <v>25</v>
      </c>
      <c r="O44" s="50"/>
    </row>
    <row r="45" spans="1:15" ht="21.75" customHeight="1" x14ac:dyDescent="0.4">
      <c r="A45" s="62">
        <v>45452</v>
      </c>
      <c r="B45" s="32" t="s">
        <v>162</v>
      </c>
      <c r="C45" s="32"/>
      <c r="D45" s="18" t="s">
        <v>27</v>
      </c>
      <c r="E45" s="63" t="s">
        <v>28</v>
      </c>
      <c r="F45" s="63"/>
      <c r="G45" s="50" t="s">
        <v>73</v>
      </c>
      <c r="H45" s="57">
        <v>2000</v>
      </c>
      <c r="I45" s="227"/>
      <c r="J45" s="57">
        <f t="shared" si="5"/>
        <v>2000</v>
      </c>
      <c r="K45" s="50">
        <v>1</v>
      </c>
      <c r="L45" s="57">
        <f t="shared" si="6"/>
        <v>2000</v>
      </c>
      <c r="M45" s="228">
        <f t="shared" si="7"/>
        <v>2200</v>
      </c>
      <c r="N45" s="18" t="s">
        <v>25</v>
      </c>
      <c r="O45" s="50"/>
    </row>
    <row r="46" spans="1:15" ht="21.75" customHeight="1" x14ac:dyDescent="0.4">
      <c r="A46" s="62">
        <v>45452</v>
      </c>
      <c r="B46" s="32" t="s">
        <v>984</v>
      </c>
      <c r="C46" s="32"/>
      <c r="D46" s="18" t="s">
        <v>17</v>
      </c>
      <c r="E46" s="63" t="s">
        <v>18</v>
      </c>
      <c r="F46" s="63" t="s">
        <v>3584</v>
      </c>
      <c r="G46" s="50" t="s">
        <v>3594</v>
      </c>
      <c r="H46" s="57">
        <v>1800</v>
      </c>
      <c r="I46" s="227">
        <v>-180</v>
      </c>
      <c r="J46" s="57">
        <f t="shared" si="5"/>
        <v>1620</v>
      </c>
      <c r="K46" s="50">
        <v>1</v>
      </c>
      <c r="L46" s="57">
        <f t="shared" si="6"/>
        <v>1620</v>
      </c>
      <c r="M46" s="228">
        <f t="shared" si="7"/>
        <v>1782</v>
      </c>
      <c r="N46" s="18" t="s">
        <v>25</v>
      </c>
      <c r="O46" s="50"/>
    </row>
    <row r="47" spans="1:15" ht="21.75" customHeight="1" x14ac:dyDescent="0.4">
      <c r="A47" s="62">
        <v>45452</v>
      </c>
      <c r="B47" s="32" t="s">
        <v>984</v>
      </c>
      <c r="C47" s="32"/>
      <c r="D47" s="18" t="s">
        <v>17</v>
      </c>
      <c r="E47" s="63" t="s">
        <v>332</v>
      </c>
      <c r="F47" s="63" t="s">
        <v>3555</v>
      </c>
      <c r="G47" s="50" t="s">
        <v>3558</v>
      </c>
      <c r="H47" s="57">
        <v>1750</v>
      </c>
      <c r="I47" s="227">
        <v>-175</v>
      </c>
      <c r="J47" s="57">
        <f t="shared" si="5"/>
        <v>1575</v>
      </c>
      <c r="K47" s="50">
        <v>1</v>
      </c>
      <c r="L47" s="57">
        <f t="shared" si="6"/>
        <v>1575</v>
      </c>
      <c r="M47" s="228">
        <f t="shared" si="7"/>
        <v>1732</v>
      </c>
      <c r="N47" s="18" t="s">
        <v>25</v>
      </c>
      <c r="O47" s="50"/>
    </row>
    <row r="48" spans="1:15" ht="21.75" customHeight="1" x14ac:dyDescent="0.4">
      <c r="A48" s="62">
        <v>45452</v>
      </c>
      <c r="B48" s="32" t="s">
        <v>582</v>
      </c>
      <c r="C48" s="32"/>
      <c r="D48" s="18" t="s">
        <v>17</v>
      </c>
      <c r="E48" s="63" t="s">
        <v>3422</v>
      </c>
      <c r="F48" s="63"/>
      <c r="G48" s="50" t="s">
        <v>3423</v>
      </c>
      <c r="H48" s="57">
        <v>5000</v>
      </c>
      <c r="I48" s="227"/>
      <c r="J48" s="57">
        <f t="shared" si="5"/>
        <v>5000</v>
      </c>
      <c r="K48" s="50">
        <v>1</v>
      </c>
      <c r="L48" s="57">
        <f t="shared" si="6"/>
        <v>5000</v>
      </c>
      <c r="M48" s="228">
        <f t="shared" si="7"/>
        <v>5500</v>
      </c>
      <c r="N48" s="18" t="s">
        <v>20</v>
      </c>
      <c r="O48" s="50"/>
    </row>
    <row r="49" spans="1:16" ht="21.75" customHeight="1" x14ac:dyDescent="0.4">
      <c r="A49" s="62">
        <v>45452</v>
      </c>
      <c r="B49" s="32" t="s">
        <v>3427</v>
      </c>
      <c r="C49" s="32"/>
      <c r="D49" s="18" t="s">
        <v>17</v>
      </c>
      <c r="E49" s="63" t="s">
        <v>328</v>
      </c>
      <c r="F49" s="63" t="s">
        <v>3595</v>
      </c>
      <c r="G49" s="50" t="s">
        <v>3609</v>
      </c>
      <c r="H49" s="57">
        <v>50000</v>
      </c>
      <c r="I49" s="227">
        <v>-15000</v>
      </c>
      <c r="J49" s="57">
        <f t="shared" si="5"/>
        <v>35000</v>
      </c>
      <c r="K49" s="50">
        <v>3</v>
      </c>
      <c r="L49" s="57">
        <f t="shared" si="6"/>
        <v>105000</v>
      </c>
      <c r="M49" s="228">
        <f t="shared" si="7"/>
        <v>115500</v>
      </c>
      <c r="N49" s="18" t="s">
        <v>34</v>
      </c>
      <c r="O49" s="50"/>
      <c r="P49" s="52" t="s">
        <v>1608</v>
      </c>
    </row>
    <row r="50" spans="1:16" ht="21.75" customHeight="1" x14ac:dyDescent="0.4">
      <c r="A50" s="62">
        <v>45452</v>
      </c>
      <c r="B50" s="32" t="s">
        <v>3427</v>
      </c>
      <c r="C50" s="32"/>
      <c r="D50" s="18" t="s">
        <v>17</v>
      </c>
      <c r="E50" s="63" t="s">
        <v>328</v>
      </c>
      <c r="F50" s="63" t="s">
        <v>3595</v>
      </c>
      <c r="G50" s="50" t="s">
        <v>3610</v>
      </c>
      <c r="H50" s="57">
        <v>50000</v>
      </c>
      <c r="I50" s="227">
        <v>-15000</v>
      </c>
      <c r="J50" s="57">
        <f t="shared" si="5"/>
        <v>35000</v>
      </c>
      <c r="K50" s="50">
        <v>1</v>
      </c>
      <c r="L50" s="57">
        <f t="shared" si="6"/>
        <v>35000</v>
      </c>
      <c r="M50" s="228">
        <f t="shared" si="7"/>
        <v>38500</v>
      </c>
      <c r="N50" s="18" t="s">
        <v>34</v>
      </c>
      <c r="O50" s="50"/>
      <c r="P50" s="52" t="s">
        <v>1608</v>
      </c>
    </row>
    <row r="51" spans="1:16" ht="21.75" customHeight="1" x14ac:dyDescent="0.4">
      <c r="A51" s="62">
        <v>45452</v>
      </c>
      <c r="B51" s="32" t="s">
        <v>3427</v>
      </c>
      <c r="C51" s="32"/>
      <c r="D51" s="18" t="s">
        <v>17</v>
      </c>
      <c r="E51" s="63" t="s">
        <v>576</v>
      </c>
      <c r="F51" s="63" t="s">
        <v>3543</v>
      </c>
      <c r="G51" s="50" t="s">
        <v>3633</v>
      </c>
      <c r="H51" s="57">
        <v>90000</v>
      </c>
      <c r="I51" s="227">
        <v>-13500</v>
      </c>
      <c r="J51" s="57">
        <f t="shared" si="5"/>
        <v>76500</v>
      </c>
      <c r="K51" s="50">
        <v>1</v>
      </c>
      <c r="L51" s="57">
        <f t="shared" si="6"/>
        <v>76500</v>
      </c>
      <c r="M51" s="228">
        <f t="shared" si="7"/>
        <v>84150</v>
      </c>
      <c r="N51" s="18" t="s">
        <v>34</v>
      </c>
      <c r="O51" s="50"/>
      <c r="P51" s="52" t="s">
        <v>1608</v>
      </c>
    </row>
    <row r="52" spans="1:16" ht="21.75" customHeight="1" x14ac:dyDescent="0.4">
      <c r="A52" s="62">
        <v>45452</v>
      </c>
      <c r="B52" s="32" t="s">
        <v>3427</v>
      </c>
      <c r="C52" s="32"/>
      <c r="D52" s="18" t="s">
        <v>17</v>
      </c>
      <c r="E52" s="63" t="s">
        <v>576</v>
      </c>
      <c r="F52" s="63" t="s">
        <v>3543</v>
      </c>
      <c r="G52" s="50" t="s">
        <v>3634</v>
      </c>
      <c r="H52" s="57">
        <v>55000</v>
      </c>
      <c r="I52" s="227">
        <v>-8250</v>
      </c>
      <c r="J52" s="57">
        <f t="shared" si="5"/>
        <v>46750</v>
      </c>
      <c r="K52" s="50">
        <v>1</v>
      </c>
      <c r="L52" s="57">
        <f t="shared" si="6"/>
        <v>46750</v>
      </c>
      <c r="M52" s="228">
        <f t="shared" si="7"/>
        <v>51425</v>
      </c>
      <c r="N52" s="18" t="s">
        <v>34</v>
      </c>
      <c r="O52" s="50"/>
      <c r="P52" s="52" t="s">
        <v>1608</v>
      </c>
    </row>
    <row r="53" spans="1:16" ht="21.75" customHeight="1" x14ac:dyDescent="0.4">
      <c r="A53" s="62">
        <v>45452</v>
      </c>
      <c r="B53" s="32" t="s">
        <v>3427</v>
      </c>
      <c r="C53" s="32"/>
      <c r="D53" s="18" t="s">
        <v>17</v>
      </c>
      <c r="E53" s="63" t="s">
        <v>576</v>
      </c>
      <c r="F53" s="63" t="s">
        <v>3543</v>
      </c>
      <c r="G53" s="50" t="s">
        <v>3635</v>
      </c>
      <c r="H53" s="57">
        <v>55000</v>
      </c>
      <c r="I53" s="227">
        <v>-8250</v>
      </c>
      <c r="J53" s="57">
        <f t="shared" si="5"/>
        <v>46750</v>
      </c>
      <c r="K53" s="50">
        <v>1</v>
      </c>
      <c r="L53" s="57">
        <f t="shared" si="6"/>
        <v>46750</v>
      </c>
      <c r="M53" s="228">
        <f t="shared" si="7"/>
        <v>51425</v>
      </c>
      <c r="N53" s="18" t="s">
        <v>34</v>
      </c>
      <c r="O53" s="50"/>
      <c r="P53" s="52" t="s">
        <v>1608</v>
      </c>
    </row>
    <row r="54" spans="1:16" ht="21.75" customHeight="1" x14ac:dyDescent="0.4">
      <c r="A54" s="62">
        <v>45452</v>
      </c>
      <c r="B54" s="32" t="s">
        <v>3427</v>
      </c>
      <c r="C54" s="32"/>
      <c r="D54" s="18" t="s">
        <v>17</v>
      </c>
      <c r="E54" s="63" t="s">
        <v>576</v>
      </c>
      <c r="F54" s="63" t="s">
        <v>3543</v>
      </c>
      <c r="G54" s="50" t="s">
        <v>3636</v>
      </c>
      <c r="H54" s="57">
        <v>55000</v>
      </c>
      <c r="I54" s="227">
        <v>-8250</v>
      </c>
      <c r="J54" s="57">
        <f t="shared" si="5"/>
        <v>46750</v>
      </c>
      <c r="K54" s="50">
        <v>1</v>
      </c>
      <c r="L54" s="57">
        <f t="shared" si="6"/>
        <v>46750</v>
      </c>
      <c r="M54" s="228">
        <f t="shared" si="7"/>
        <v>51425</v>
      </c>
      <c r="N54" s="18" t="s">
        <v>34</v>
      </c>
      <c r="O54" s="50"/>
      <c r="P54" s="52" t="s">
        <v>1608</v>
      </c>
    </row>
    <row r="55" spans="1:16" ht="21.75" customHeight="1" x14ac:dyDescent="0.4">
      <c r="A55" s="62">
        <v>45452</v>
      </c>
      <c r="B55" s="32" t="s">
        <v>3427</v>
      </c>
      <c r="C55" s="32"/>
      <c r="D55" s="18" t="s">
        <v>2892</v>
      </c>
      <c r="E55" s="63" t="s">
        <v>23</v>
      </c>
      <c r="F55" s="63"/>
      <c r="G55" s="50" t="s">
        <v>2883</v>
      </c>
      <c r="H55" s="57">
        <v>10000</v>
      </c>
      <c r="I55" s="227"/>
      <c r="J55" s="57">
        <f t="shared" si="5"/>
        <v>10000</v>
      </c>
      <c r="K55" s="50">
        <v>1</v>
      </c>
      <c r="L55" s="57">
        <f t="shared" si="6"/>
        <v>10000</v>
      </c>
      <c r="M55" s="228">
        <f t="shared" si="7"/>
        <v>11000</v>
      </c>
      <c r="N55" s="18" t="s">
        <v>34</v>
      </c>
      <c r="O55" s="50"/>
    </row>
    <row r="56" spans="1:16" ht="21.75" customHeight="1" x14ac:dyDescent="0.4">
      <c r="A56" s="62">
        <v>45452</v>
      </c>
      <c r="B56" s="32" t="s">
        <v>1541</v>
      </c>
      <c r="C56" s="32"/>
      <c r="D56" s="18" t="s">
        <v>27</v>
      </c>
      <c r="E56" s="63" t="s">
        <v>28</v>
      </c>
      <c r="F56" s="63"/>
      <c r="G56" s="50" t="s">
        <v>73</v>
      </c>
      <c r="H56" s="57">
        <v>2000</v>
      </c>
      <c r="I56" s="227"/>
      <c r="J56" s="57">
        <f t="shared" si="5"/>
        <v>2000</v>
      </c>
      <c r="K56" s="50">
        <v>3</v>
      </c>
      <c r="L56" s="57">
        <f t="shared" si="6"/>
        <v>6000</v>
      </c>
      <c r="M56" s="228">
        <f t="shared" si="7"/>
        <v>6600</v>
      </c>
      <c r="N56" s="18" t="s">
        <v>25</v>
      </c>
      <c r="O56" s="50"/>
    </row>
    <row r="57" spans="1:16" ht="21.75" customHeight="1" x14ac:dyDescent="0.4">
      <c r="A57" s="62">
        <v>45452</v>
      </c>
      <c r="B57" s="32" t="s">
        <v>1541</v>
      </c>
      <c r="C57" s="32"/>
      <c r="D57" s="18" t="s">
        <v>17</v>
      </c>
      <c r="E57" s="63" t="s">
        <v>292</v>
      </c>
      <c r="F57" s="63" t="s">
        <v>3547</v>
      </c>
      <c r="G57" s="50" t="s">
        <v>3645</v>
      </c>
      <c r="H57" s="57">
        <v>4000</v>
      </c>
      <c r="I57" s="227">
        <v>-400</v>
      </c>
      <c r="J57" s="57">
        <f t="shared" si="5"/>
        <v>3600</v>
      </c>
      <c r="K57" s="50">
        <v>1</v>
      </c>
      <c r="L57" s="57">
        <f t="shared" si="6"/>
        <v>3600</v>
      </c>
      <c r="M57" s="228">
        <f t="shared" si="7"/>
        <v>3960</v>
      </c>
      <c r="N57" s="18" t="s">
        <v>25</v>
      </c>
      <c r="O57" s="50"/>
    </row>
    <row r="58" spans="1:16" ht="21.75" customHeight="1" x14ac:dyDescent="0.4">
      <c r="A58" s="62">
        <v>45452</v>
      </c>
      <c r="B58" s="32" t="s">
        <v>905</v>
      </c>
      <c r="C58" s="32"/>
      <c r="D58" s="18" t="s">
        <v>27</v>
      </c>
      <c r="E58" s="63" t="s">
        <v>103</v>
      </c>
      <c r="F58" s="63"/>
      <c r="G58" s="50" t="s">
        <v>217</v>
      </c>
      <c r="H58" s="57">
        <v>25000</v>
      </c>
      <c r="I58" s="227"/>
      <c r="J58" s="57">
        <f t="shared" si="5"/>
        <v>25000</v>
      </c>
      <c r="K58" s="50">
        <v>1</v>
      </c>
      <c r="L58" s="57">
        <f t="shared" si="6"/>
        <v>25000</v>
      </c>
      <c r="M58" s="228">
        <f t="shared" si="7"/>
        <v>27500</v>
      </c>
      <c r="N58" s="18" t="s">
        <v>25</v>
      </c>
      <c r="O58" s="50"/>
    </row>
    <row r="59" spans="1:16" ht="21.75" customHeight="1" x14ac:dyDescent="0.4">
      <c r="A59" s="62">
        <v>45452</v>
      </c>
      <c r="B59" s="32" t="s">
        <v>3428</v>
      </c>
      <c r="C59" s="32"/>
      <c r="D59" s="18" t="s">
        <v>22</v>
      </c>
      <c r="E59" s="63" t="s">
        <v>1496</v>
      </c>
      <c r="F59" s="63"/>
      <c r="G59" s="50" t="s">
        <v>369</v>
      </c>
      <c r="H59" s="57">
        <v>3000</v>
      </c>
      <c r="I59" s="227"/>
      <c r="J59" s="57">
        <f t="shared" si="5"/>
        <v>3000</v>
      </c>
      <c r="K59" s="50">
        <v>1</v>
      </c>
      <c r="L59" s="57">
        <f t="shared" si="6"/>
        <v>3000</v>
      </c>
      <c r="M59" s="228">
        <f t="shared" si="7"/>
        <v>3300</v>
      </c>
      <c r="N59" s="18" t="s">
        <v>25</v>
      </c>
      <c r="O59" s="50" t="s">
        <v>1954</v>
      </c>
    </row>
    <row r="60" spans="1:16" ht="21.75" customHeight="1" x14ac:dyDescent="0.4">
      <c r="A60" s="62">
        <v>45452</v>
      </c>
      <c r="B60" s="32" t="s">
        <v>3428</v>
      </c>
      <c r="C60" s="32"/>
      <c r="D60" s="18" t="s">
        <v>27</v>
      </c>
      <c r="E60" s="63" t="s">
        <v>28</v>
      </c>
      <c r="F60" s="63"/>
      <c r="G60" s="50" t="s">
        <v>318</v>
      </c>
      <c r="H60" s="57">
        <v>15000</v>
      </c>
      <c r="I60" s="227"/>
      <c r="J60" s="57">
        <f t="shared" si="5"/>
        <v>15000</v>
      </c>
      <c r="K60" s="50">
        <v>1</v>
      </c>
      <c r="L60" s="57">
        <f t="shared" si="6"/>
        <v>15000</v>
      </c>
      <c r="M60" s="228">
        <f t="shared" si="7"/>
        <v>16500</v>
      </c>
      <c r="N60" s="18" t="s">
        <v>25</v>
      </c>
      <c r="O60" s="50"/>
    </row>
    <row r="61" spans="1:16" ht="21.75" customHeight="1" x14ac:dyDescent="0.4">
      <c r="A61" s="62">
        <v>45452</v>
      </c>
      <c r="B61" s="32" t="s">
        <v>3428</v>
      </c>
      <c r="C61" s="32"/>
      <c r="D61" s="18" t="s">
        <v>27</v>
      </c>
      <c r="E61" s="63" t="s">
        <v>28</v>
      </c>
      <c r="F61" s="63"/>
      <c r="G61" s="50" t="s">
        <v>3429</v>
      </c>
      <c r="H61" s="57">
        <v>11250</v>
      </c>
      <c r="I61" s="227"/>
      <c r="J61" s="57">
        <f t="shared" si="5"/>
        <v>11250</v>
      </c>
      <c r="K61" s="50">
        <v>1</v>
      </c>
      <c r="L61" s="57">
        <f t="shared" si="6"/>
        <v>11250</v>
      </c>
      <c r="M61" s="228">
        <f t="shared" si="7"/>
        <v>12375</v>
      </c>
      <c r="N61" s="18" t="s">
        <v>25</v>
      </c>
      <c r="O61" s="50"/>
    </row>
    <row r="62" spans="1:16" ht="21.75" customHeight="1" x14ac:dyDescent="0.4">
      <c r="A62" s="62">
        <v>45453</v>
      </c>
      <c r="B62" s="32" t="s">
        <v>3430</v>
      </c>
      <c r="C62" s="32"/>
      <c r="D62" s="18" t="s">
        <v>17</v>
      </c>
      <c r="E62" s="63" t="s">
        <v>332</v>
      </c>
      <c r="F62" s="63" t="s">
        <v>3549</v>
      </c>
      <c r="G62" s="50" t="s">
        <v>3572</v>
      </c>
      <c r="H62" s="57">
        <v>1800</v>
      </c>
      <c r="I62" s="227">
        <v>-180</v>
      </c>
      <c r="J62" s="57">
        <f t="shared" si="5"/>
        <v>1620</v>
      </c>
      <c r="K62" s="50">
        <v>1</v>
      </c>
      <c r="L62" s="57">
        <f t="shared" si="6"/>
        <v>1620</v>
      </c>
      <c r="M62" s="228">
        <f t="shared" si="7"/>
        <v>1782</v>
      </c>
      <c r="N62" s="18" t="s">
        <v>34</v>
      </c>
      <c r="O62" s="50" t="s">
        <v>3431</v>
      </c>
    </row>
    <row r="63" spans="1:16" ht="21.75" customHeight="1" x14ac:dyDescent="0.4">
      <c r="A63" s="62">
        <v>45453</v>
      </c>
      <c r="B63" s="32" t="s">
        <v>3430</v>
      </c>
      <c r="C63" s="32"/>
      <c r="D63" s="18" t="s">
        <v>17</v>
      </c>
      <c r="E63" s="63" t="s">
        <v>332</v>
      </c>
      <c r="F63" s="63" t="s">
        <v>3549</v>
      </c>
      <c r="G63" s="50" t="s">
        <v>3573</v>
      </c>
      <c r="H63" s="57">
        <v>1800</v>
      </c>
      <c r="I63" s="227">
        <v>-180</v>
      </c>
      <c r="J63" s="57">
        <f t="shared" si="5"/>
        <v>1620</v>
      </c>
      <c r="K63" s="50">
        <v>4</v>
      </c>
      <c r="L63" s="57">
        <f t="shared" si="6"/>
        <v>6480</v>
      </c>
      <c r="M63" s="228">
        <f t="shared" si="7"/>
        <v>7128</v>
      </c>
      <c r="N63" s="18" t="s">
        <v>34</v>
      </c>
      <c r="O63" s="50" t="s">
        <v>3431</v>
      </c>
    </row>
    <row r="64" spans="1:16" ht="21.75" customHeight="1" x14ac:dyDescent="0.4">
      <c r="A64" s="62">
        <v>45453</v>
      </c>
      <c r="B64" s="32" t="s">
        <v>3430</v>
      </c>
      <c r="C64" s="32"/>
      <c r="D64" s="18" t="s">
        <v>17</v>
      </c>
      <c r="E64" s="63" t="s">
        <v>332</v>
      </c>
      <c r="F64" s="63" t="s">
        <v>3549</v>
      </c>
      <c r="G64" s="50" t="s">
        <v>3574</v>
      </c>
      <c r="H64" s="57">
        <v>1700</v>
      </c>
      <c r="I64" s="227">
        <v>-170</v>
      </c>
      <c r="J64" s="57">
        <f t="shared" si="5"/>
        <v>1530</v>
      </c>
      <c r="K64" s="50">
        <v>9</v>
      </c>
      <c r="L64" s="57">
        <f t="shared" si="6"/>
        <v>13770</v>
      </c>
      <c r="M64" s="228">
        <f t="shared" si="7"/>
        <v>15147</v>
      </c>
      <c r="N64" s="18" t="s">
        <v>34</v>
      </c>
      <c r="O64" s="50" t="s">
        <v>3431</v>
      </c>
    </row>
    <row r="65" spans="1:16" ht="21.75" customHeight="1" x14ac:dyDescent="0.4">
      <c r="A65" s="62">
        <v>45453</v>
      </c>
      <c r="B65" s="32" t="s">
        <v>3410</v>
      </c>
      <c r="C65" s="32"/>
      <c r="D65" s="18" t="s">
        <v>17</v>
      </c>
      <c r="E65" s="63" t="s">
        <v>328</v>
      </c>
      <c r="F65" s="63" t="s">
        <v>3597</v>
      </c>
      <c r="G65" s="50" t="s">
        <v>3600</v>
      </c>
      <c r="H65" s="57">
        <v>55000</v>
      </c>
      <c r="I65" s="227">
        <v>-11000</v>
      </c>
      <c r="J65" s="57">
        <f t="shared" si="5"/>
        <v>44000</v>
      </c>
      <c r="K65" s="50">
        <v>1</v>
      </c>
      <c r="L65" s="57">
        <f t="shared" si="6"/>
        <v>44000</v>
      </c>
      <c r="M65" s="228">
        <f t="shared" si="7"/>
        <v>48400</v>
      </c>
      <c r="N65" s="18" t="s">
        <v>34</v>
      </c>
      <c r="O65" s="50"/>
      <c r="P65" s="52" t="s">
        <v>1608</v>
      </c>
    </row>
    <row r="66" spans="1:16" ht="21.75" customHeight="1" x14ac:dyDescent="0.4">
      <c r="A66" s="62">
        <v>45453</v>
      </c>
      <c r="B66" s="32" t="s">
        <v>3410</v>
      </c>
      <c r="C66" s="32"/>
      <c r="D66" s="18" t="s">
        <v>17</v>
      </c>
      <c r="E66" s="63" t="s">
        <v>328</v>
      </c>
      <c r="F66" s="63" t="s">
        <v>3597</v>
      </c>
      <c r="G66" s="50" t="s">
        <v>3601</v>
      </c>
      <c r="H66" s="57">
        <v>24000</v>
      </c>
      <c r="I66" s="227">
        <v>-4800</v>
      </c>
      <c r="J66" s="57">
        <f t="shared" si="5"/>
        <v>19200</v>
      </c>
      <c r="K66" s="50">
        <v>1</v>
      </c>
      <c r="L66" s="57">
        <f t="shared" si="6"/>
        <v>19200</v>
      </c>
      <c r="M66" s="228">
        <f t="shared" si="7"/>
        <v>21120</v>
      </c>
      <c r="N66" s="18" t="s">
        <v>34</v>
      </c>
      <c r="O66" s="50"/>
      <c r="P66" s="52" t="s">
        <v>1608</v>
      </c>
    </row>
    <row r="67" spans="1:16" ht="21.75" customHeight="1" x14ac:dyDescent="0.4">
      <c r="A67" s="62">
        <v>45453</v>
      </c>
      <c r="B67" s="32" t="s">
        <v>3410</v>
      </c>
      <c r="C67" s="32"/>
      <c r="D67" s="18" t="s">
        <v>17</v>
      </c>
      <c r="E67" s="63" t="s">
        <v>332</v>
      </c>
      <c r="F67" s="63" t="s">
        <v>3556</v>
      </c>
      <c r="G67" s="50" t="s">
        <v>3578</v>
      </c>
      <c r="H67" s="57">
        <v>1450</v>
      </c>
      <c r="I67" s="227"/>
      <c r="J67" s="57">
        <f t="shared" si="5"/>
        <v>1450</v>
      </c>
      <c r="K67" s="50">
        <v>2</v>
      </c>
      <c r="L67" s="57">
        <f t="shared" si="6"/>
        <v>2900</v>
      </c>
      <c r="M67" s="228">
        <f t="shared" si="7"/>
        <v>3190</v>
      </c>
      <c r="N67" s="18" t="s">
        <v>34</v>
      </c>
      <c r="O67" s="50"/>
      <c r="P67" s="52" t="s">
        <v>1608</v>
      </c>
    </row>
    <row r="68" spans="1:16" ht="21.75" customHeight="1" x14ac:dyDescent="0.4">
      <c r="A68" s="62">
        <v>45453</v>
      </c>
      <c r="B68" s="32" t="s">
        <v>3410</v>
      </c>
      <c r="C68" s="32"/>
      <c r="D68" s="18" t="s">
        <v>17</v>
      </c>
      <c r="E68" s="63" t="s">
        <v>330</v>
      </c>
      <c r="F68" s="63" t="s">
        <v>3628</v>
      </c>
      <c r="G68" s="50" t="s">
        <v>632</v>
      </c>
      <c r="H68" s="57">
        <v>3000</v>
      </c>
      <c r="I68" s="227"/>
      <c r="J68" s="57">
        <f t="shared" si="5"/>
        <v>3000</v>
      </c>
      <c r="K68" s="50">
        <v>2</v>
      </c>
      <c r="L68" s="57">
        <f t="shared" si="6"/>
        <v>6000</v>
      </c>
      <c r="M68" s="228">
        <f t="shared" si="7"/>
        <v>6600</v>
      </c>
      <c r="N68" s="18" t="s">
        <v>34</v>
      </c>
      <c r="O68" s="50"/>
      <c r="P68" s="52" t="s">
        <v>1608</v>
      </c>
    </row>
    <row r="69" spans="1:16" ht="21.75" customHeight="1" x14ac:dyDescent="0.4">
      <c r="A69" s="62">
        <v>45453</v>
      </c>
      <c r="B69" s="32" t="s">
        <v>3410</v>
      </c>
      <c r="C69" s="32"/>
      <c r="D69" s="96" t="s">
        <v>198</v>
      </c>
      <c r="E69" s="63"/>
      <c r="F69" s="63"/>
      <c r="G69" s="50" t="s">
        <v>3432</v>
      </c>
      <c r="H69" s="57">
        <v>-15000</v>
      </c>
      <c r="I69" s="227"/>
      <c r="J69" s="57">
        <f t="shared" si="5"/>
        <v>-15000</v>
      </c>
      <c r="K69" s="50">
        <v>1</v>
      </c>
      <c r="L69" s="57">
        <f t="shared" si="6"/>
        <v>-15000</v>
      </c>
      <c r="M69" s="228">
        <f t="shared" si="7"/>
        <v>-16500</v>
      </c>
      <c r="N69" s="18" t="s">
        <v>34</v>
      </c>
      <c r="O69" s="50" t="s">
        <v>3445</v>
      </c>
      <c r="P69" s="52" t="s">
        <v>1608</v>
      </c>
    </row>
    <row r="70" spans="1:16" ht="21.75" customHeight="1" x14ac:dyDescent="0.4">
      <c r="A70" s="62">
        <v>45453</v>
      </c>
      <c r="B70" s="32" t="s">
        <v>1242</v>
      </c>
      <c r="C70" s="32"/>
      <c r="D70" s="18" t="s">
        <v>17</v>
      </c>
      <c r="E70" s="63"/>
      <c r="F70" s="63"/>
      <c r="G70" s="50" t="s">
        <v>3433</v>
      </c>
      <c r="H70" s="57">
        <v>5000</v>
      </c>
      <c r="I70" s="227"/>
      <c r="J70" s="57">
        <f t="shared" si="5"/>
        <v>5000</v>
      </c>
      <c r="K70" s="50">
        <v>1</v>
      </c>
      <c r="L70" s="57">
        <f t="shared" si="6"/>
        <v>5000</v>
      </c>
      <c r="M70" s="228">
        <f t="shared" si="7"/>
        <v>5500</v>
      </c>
      <c r="N70" s="18" t="s">
        <v>25</v>
      </c>
      <c r="O70" s="50"/>
    </row>
    <row r="71" spans="1:16" ht="21.75" customHeight="1" x14ac:dyDescent="0.4">
      <c r="A71" s="62">
        <v>45453</v>
      </c>
      <c r="B71" s="32" t="s">
        <v>1828</v>
      </c>
      <c r="C71" s="32"/>
      <c r="D71" s="18" t="s">
        <v>17</v>
      </c>
      <c r="E71" s="63" t="s">
        <v>292</v>
      </c>
      <c r="F71" s="63" t="s">
        <v>3547</v>
      </c>
      <c r="G71" s="50" t="s">
        <v>3646</v>
      </c>
      <c r="H71" s="57">
        <v>3200</v>
      </c>
      <c r="I71" s="227">
        <v>-320</v>
      </c>
      <c r="J71" s="57">
        <f t="shared" si="5"/>
        <v>2880</v>
      </c>
      <c r="K71" s="50">
        <v>1</v>
      </c>
      <c r="L71" s="57">
        <f t="shared" si="6"/>
        <v>2880</v>
      </c>
      <c r="M71" s="228">
        <f t="shared" si="7"/>
        <v>3168</v>
      </c>
      <c r="N71" s="18" t="s">
        <v>25</v>
      </c>
      <c r="O71" s="50"/>
    </row>
    <row r="72" spans="1:16" ht="21.75" customHeight="1" x14ac:dyDescent="0.4">
      <c r="A72" s="62">
        <v>45455</v>
      </c>
      <c r="B72" s="32" t="s">
        <v>3434</v>
      </c>
      <c r="C72" s="32"/>
      <c r="D72" s="18" t="s">
        <v>2892</v>
      </c>
      <c r="E72" s="63" t="s">
        <v>23</v>
      </c>
      <c r="F72" s="63"/>
      <c r="G72" s="50" t="s">
        <v>2883</v>
      </c>
      <c r="H72" s="57">
        <v>15000</v>
      </c>
      <c r="I72" s="227">
        <v>-7500</v>
      </c>
      <c r="J72" s="57">
        <f t="shared" si="5"/>
        <v>7500</v>
      </c>
      <c r="K72" s="50">
        <v>1</v>
      </c>
      <c r="L72" s="57">
        <f t="shared" si="6"/>
        <v>7500</v>
      </c>
      <c r="M72" s="228">
        <f t="shared" si="7"/>
        <v>8250</v>
      </c>
      <c r="N72" s="18" t="s">
        <v>25</v>
      </c>
      <c r="O72" s="50"/>
    </row>
    <row r="73" spans="1:16" ht="21.75" customHeight="1" x14ac:dyDescent="0.4">
      <c r="A73" s="62">
        <v>45455</v>
      </c>
      <c r="B73" s="32" t="s">
        <v>1557</v>
      </c>
      <c r="C73" s="32"/>
      <c r="D73" s="18" t="s">
        <v>17</v>
      </c>
      <c r="E73" s="63" t="s">
        <v>292</v>
      </c>
      <c r="F73" s="63" t="s">
        <v>3547</v>
      </c>
      <c r="G73" s="50" t="s">
        <v>3647</v>
      </c>
      <c r="H73" s="57">
        <v>5500</v>
      </c>
      <c r="I73" s="227">
        <v>-628</v>
      </c>
      <c r="J73" s="57">
        <f t="shared" si="5"/>
        <v>4872</v>
      </c>
      <c r="K73" s="50">
        <v>1</v>
      </c>
      <c r="L73" s="57">
        <f t="shared" si="6"/>
        <v>4872</v>
      </c>
      <c r="M73" s="228">
        <f t="shared" si="7"/>
        <v>5359</v>
      </c>
      <c r="N73" s="18" t="s">
        <v>25</v>
      </c>
      <c r="O73" s="50"/>
    </row>
    <row r="74" spans="1:16" ht="21.75" customHeight="1" x14ac:dyDescent="0.4">
      <c r="A74" s="62">
        <v>45455</v>
      </c>
      <c r="B74" s="32" t="s">
        <v>3435</v>
      </c>
      <c r="C74" s="32"/>
      <c r="D74" s="18" t="s">
        <v>17</v>
      </c>
      <c r="E74" s="63"/>
      <c r="F74" s="63"/>
      <c r="G74" s="50" t="s">
        <v>3433</v>
      </c>
      <c r="H74" s="57">
        <v>5000</v>
      </c>
      <c r="I74" s="227"/>
      <c r="J74" s="57">
        <f t="shared" si="5"/>
        <v>5000</v>
      </c>
      <c r="K74" s="50">
        <v>1</v>
      </c>
      <c r="L74" s="57">
        <f t="shared" si="6"/>
        <v>5000</v>
      </c>
      <c r="M74" s="228">
        <f t="shared" si="7"/>
        <v>5500</v>
      </c>
      <c r="N74" s="18" t="s">
        <v>25</v>
      </c>
      <c r="O74" s="50"/>
    </row>
    <row r="75" spans="1:16" ht="21.75" customHeight="1" x14ac:dyDescent="0.4">
      <c r="A75" s="62">
        <v>45455</v>
      </c>
      <c r="B75" s="32" t="s">
        <v>3436</v>
      </c>
      <c r="C75" s="32"/>
      <c r="D75" s="18" t="s">
        <v>2892</v>
      </c>
      <c r="E75" s="63" t="s">
        <v>23</v>
      </c>
      <c r="F75" s="63"/>
      <c r="G75" s="50" t="s">
        <v>2883</v>
      </c>
      <c r="H75" s="57">
        <v>15000</v>
      </c>
      <c r="I75" s="227"/>
      <c r="J75" s="57">
        <f t="shared" si="5"/>
        <v>15000</v>
      </c>
      <c r="K75" s="50">
        <v>1</v>
      </c>
      <c r="L75" s="57">
        <f t="shared" si="6"/>
        <v>15000</v>
      </c>
      <c r="M75" s="228">
        <f t="shared" si="7"/>
        <v>16500</v>
      </c>
      <c r="N75" s="18" t="s">
        <v>25</v>
      </c>
      <c r="O75" s="50" t="s">
        <v>1954</v>
      </c>
    </row>
    <row r="76" spans="1:16" ht="21.75" customHeight="1" x14ac:dyDescent="0.4">
      <c r="A76" s="62">
        <v>45455</v>
      </c>
      <c r="B76" s="32" t="s">
        <v>3418</v>
      </c>
      <c r="C76" s="32"/>
      <c r="D76" s="18" t="s">
        <v>17</v>
      </c>
      <c r="E76" s="63" t="s">
        <v>332</v>
      </c>
      <c r="F76" s="63" t="s">
        <v>3551</v>
      </c>
      <c r="G76" s="50" t="s">
        <v>3565</v>
      </c>
      <c r="H76" s="57">
        <v>2600</v>
      </c>
      <c r="I76" s="227">
        <v>-1040</v>
      </c>
      <c r="J76" s="57">
        <f t="shared" si="5"/>
        <v>1560</v>
      </c>
      <c r="K76" s="50">
        <v>11</v>
      </c>
      <c r="L76" s="57">
        <f t="shared" si="6"/>
        <v>17160</v>
      </c>
      <c r="M76" s="228">
        <f t="shared" si="7"/>
        <v>18876</v>
      </c>
      <c r="N76" s="18" t="s">
        <v>34</v>
      </c>
      <c r="O76" s="50"/>
    </row>
    <row r="77" spans="1:16" ht="21.75" customHeight="1" x14ac:dyDescent="0.4">
      <c r="A77" s="62">
        <v>45455</v>
      </c>
      <c r="B77" s="32" t="s">
        <v>1563</v>
      </c>
      <c r="C77" s="32"/>
      <c r="D77" s="18" t="s">
        <v>17</v>
      </c>
      <c r="E77" s="63" t="s">
        <v>292</v>
      </c>
      <c r="F77" s="63" t="s">
        <v>3547</v>
      </c>
      <c r="G77" s="50" t="s">
        <v>3643</v>
      </c>
      <c r="H77" s="57">
        <v>5500</v>
      </c>
      <c r="I77" s="227">
        <v>-628</v>
      </c>
      <c r="J77" s="57">
        <f t="shared" si="5"/>
        <v>4872</v>
      </c>
      <c r="K77" s="50">
        <v>6</v>
      </c>
      <c r="L77" s="57">
        <f t="shared" si="6"/>
        <v>29232</v>
      </c>
      <c r="M77" s="228">
        <f t="shared" si="7"/>
        <v>32155</v>
      </c>
      <c r="N77" s="18" t="s">
        <v>34</v>
      </c>
      <c r="O77" s="50"/>
    </row>
    <row r="78" spans="1:16" ht="21.75" customHeight="1" x14ac:dyDescent="0.4">
      <c r="A78" s="62">
        <v>45455</v>
      </c>
      <c r="B78" s="32" t="s">
        <v>1563</v>
      </c>
      <c r="C78" s="32"/>
      <c r="D78" s="18" t="s">
        <v>17</v>
      </c>
      <c r="E78" s="63" t="s">
        <v>328</v>
      </c>
      <c r="F78" s="63" t="s">
        <v>33</v>
      </c>
      <c r="G78" s="50" t="s">
        <v>3617</v>
      </c>
      <c r="H78" s="57">
        <v>16000</v>
      </c>
      <c r="I78" s="227">
        <v>-8800</v>
      </c>
      <c r="J78" s="57">
        <f t="shared" si="5"/>
        <v>7200</v>
      </c>
      <c r="K78" s="50">
        <v>2</v>
      </c>
      <c r="L78" s="57">
        <f t="shared" si="6"/>
        <v>14400</v>
      </c>
      <c r="M78" s="228">
        <f t="shared" si="7"/>
        <v>15840</v>
      </c>
      <c r="N78" s="18" t="s">
        <v>34</v>
      </c>
      <c r="O78" s="50"/>
    </row>
    <row r="79" spans="1:16" ht="21.75" customHeight="1" x14ac:dyDescent="0.4">
      <c r="A79" s="62">
        <v>45456</v>
      </c>
      <c r="B79" s="32" t="s">
        <v>167</v>
      </c>
      <c r="C79" s="32"/>
      <c r="D79" s="18" t="s">
        <v>17</v>
      </c>
      <c r="E79" s="63"/>
      <c r="F79" s="63"/>
      <c r="G79" s="50" t="s">
        <v>3433</v>
      </c>
      <c r="H79" s="57">
        <v>5000</v>
      </c>
      <c r="I79" s="227"/>
      <c r="J79" s="57">
        <f t="shared" si="5"/>
        <v>5000</v>
      </c>
      <c r="K79" s="50">
        <v>1</v>
      </c>
      <c r="L79" s="57">
        <f t="shared" si="6"/>
        <v>5000</v>
      </c>
      <c r="M79" s="228">
        <f t="shared" si="7"/>
        <v>5500</v>
      </c>
      <c r="N79" s="18" t="s">
        <v>20</v>
      </c>
      <c r="O79" s="50"/>
    </row>
    <row r="80" spans="1:16" ht="21.75" customHeight="1" x14ac:dyDescent="0.4">
      <c r="A80" s="62">
        <v>45456</v>
      </c>
      <c r="B80" s="32" t="s">
        <v>984</v>
      </c>
      <c r="C80" s="32"/>
      <c r="D80" s="18" t="s">
        <v>17</v>
      </c>
      <c r="E80" s="63" t="s">
        <v>332</v>
      </c>
      <c r="F80" s="63" t="s">
        <v>3555</v>
      </c>
      <c r="G80" s="50" t="s">
        <v>3558</v>
      </c>
      <c r="H80" s="57">
        <v>1750</v>
      </c>
      <c r="I80" s="227">
        <v>-175</v>
      </c>
      <c r="J80" s="57">
        <f t="shared" si="5"/>
        <v>1575</v>
      </c>
      <c r="K80" s="50">
        <v>4</v>
      </c>
      <c r="L80" s="57">
        <f t="shared" si="6"/>
        <v>6300</v>
      </c>
      <c r="M80" s="228">
        <f t="shared" si="7"/>
        <v>6930</v>
      </c>
      <c r="N80" s="18" t="s">
        <v>25</v>
      </c>
      <c r="O80" s="50"/>
    </row>
    <row r="81" spans="1:16" ht="21.75" customHeight="1" x14ac:dyDescent="0.4">
      <c r="A81" s="62">
        <v>45456</v>
      </c>
      <c r="B81" s="32" t="s">
        <v>1608</v>
      </c>
      <c r="C81" s="32"/>
      <c r="D81" s="18" t="s">
        <v>17</v>
      </c>
      <c r="E81" s="63" t="s">
        <v>700</v>
      </c>
      <c r="F81" s="63" t="s">
        <v>3553</v>
      </c>
      <c r="G81" s="50" t="s">
        <v>3630</v>
      </c>
      <c r="H81" s="57">
        <v>3500</v>
      </c>
      <c r="I81" s="227">
        <v>-1400</v>
      </c>
      <c r="J81" s="57">
        <f t="shared" si="5"/>
        <v>2100</v>
      </c>
      <c r="K81" s="50">
        <v>1</v>
      </c>
      <c r="L81" s="57">
        <f t="shared" si="6"/>
        <v>2100</v>
      </c>
      <c r="M81" s="228">
        <f t="shared" si="7"/>
        <v>2310</v>
      </c>
      <c r="N81" s="18" t="s">
        <v>25</v>
      </c>
      <c r="O81" s="50"/>
    </row>
    <row r="82" spans="1:16" ht="21.75" customHeight="1" x14ac:dyDescent="0.4">
      <c r="A82" s="62">
        <v>45457</v>
      </c>
      <c r="B82" s="32" t="s">
        <v>360</v>
      </c>
      <c r="C82" s="32"/>
      <c r="D82" s="18" t="s">
        <v>17</v>
      </c>
      <c r="E82" s="63" t="s">
        <v>594</v>
      </c>
      <c r="F82" s="63"/>
      <c r="G82" s="50" t="s">
        <v>3437</v>
      </c>
      <c r="H82" s="57">
        <v>42000</v>
      </c>
      <c r="I82" s="227">
        <v>-2100</v>
      </c>
      <c r="J82" s="57">
        <f t="shared" si="5"/>
        <v>39900</v>
      </c>
      <c r="K82" s="50">
        <v>1</v>
      </c>
      <c r="L82" s="57">
        <f t="shared" si="6"/>
        <v>39900</v>
      </c>
      <c r="M82" s="228">
        <f t="shared" si="7"/>
        <v>43890</v>
      </c>
      <c r="N82" s="18" t="s">
        <v>34</v>
      </c>
      <c r="O82" s="50"/>
    </row>
    <row r="83" spans="1:16" ht="21.75" customHeight="1" x14ac:dyDescent="0.4">
      <c r="A83" s="62">
        <v>45457</v>
      </c>
      <c r="B83" s="32" t="s">
        <v>1455</v>
      </c>
      <c r="C83" s="32"/>
      <c r="D83" s="18" t="s">
        <v>17</v>
      </c>
      <c r="E83" s="63" t="s">
        <v>328</v>
      </c>
      <c r="F83" s="63" t="s">
        <v>3597</v>
      </c>
      <c r="G83" s="50" t="s">
        <v>3602</v>
      </c>
      <c r="H83" s="57">
        <v>1800</v>
      </c>
      <c r="I83" s="227"/>
      <c r="J83" s="57">
        <f t="shared" si="5"/>
        <v>1800</v>
      </c>
      <c r="K83" s="50">
        <v>1</v>
      </c>
      <c r="L83" s="57">
        <f t="shared" si="6"/>
        <v>1800</v>
      </c>
      <c r="M83" s="228">
        <f t="shared" si="7"/>
        <v>1980</v>
      </c>
      <c r="N83" s="18" t="s">
        <v>25</v>
      </c>
      <c r="O83" s="50"/>
    </row>
    <row r="84" spans="1:16" ht="21.75" customHeight="1" x14ac:dyDescent="0.4">
      <c r="A84" s="62">
        <v>45457</v>
      </c>
      <c r="B84" s="32" t="s">
        <v>2432</v>
      </c>
      <c r="C84" s="32"/>
      <c r="D84" s="18" t="s">
        <v>17</v>
      </c>
      <c r="E84" s="63"/>
      <c r="F84" s="63"/>
      <c r="G84" s="50" t="s">
        <v>3438</v>
      </c>
      <c r="H84" s="57">
        <v>3500</v>
      </c>
      <c r="I84" s="227"/>
      <c r="J84" s="57">
        <f t="shared" si="5"/>
        <v>3500</v>
      </c>
      <c r="K84" s="50">
        <v>1</v>
      </c>
      <c r="L84" s="57">
        <f t="shared" si="6"/>
        <v>3500</v>
      </c>
      <c r="M84" s="228">
        <f t="shared" si="7"/>
        <v>3850</v>
      </c>
      <c r="N84" s="18" t="s">
        <v>20</v>
      </c>
      <c r="O84" s="50"/>
    </row>
    <row r="85" spans="1:16" ht="21.75" customHeight="1" x14ac:dyDescent="0.4">
      <c r="A85" s="62">
        <v>45457</v>
      </c>
      <c r="B85" s="32" t="s">
        <v>3439</v>
      </c>
      <c r="C85" s="32"/>
      <c r="D85" s="18" t="s">
        <v>22</v>
      </c>
      <c r="E85" s="63" t="s">
        <v>1496</v>
      </c>
      <c r="F85" s="63"/>
      <c r="G85" s="50" t="s">
        <v>369</v>
      </c>
      <c r="H85" s="57">
        <v>3000</v>
      </c>
      <c r="I85" s="227"/>
      <c r="J85" s="57">
        <f t="shared" ref="J85:J148" si="8">SUM(H85:I85)</f>
        <v>3000</v>
      </c>
      <c r="K85" s="50">
        <v>1</v>
      </c>
      <c r="L85" s="57">
        <f t="shared" si="6"/>
        <v>3000</v>
      </c>
      <c r="M85" s="228">
        <f t="shared" si="7"/>
        <v>3300</v>
      </c>
      <c r="N85" s="18" t="s">
        <v>20</v>
      </c>
      <c r="O85" s="50" t="s">
        <v>1954</v>
      </c>
    </row>
    <row r="86" spans="1:16" ht="21.75" customHeight="1" x14ac:dyDescent="0.4">
      <c r="A86" s="62">
        <v>45457</v>
      </c>
      <c r="B86" s="32" t="s">
        <v>503</v>
      </c>
      <c r="C86" s="32"/>
      <c r="D86" s="18" t="s">
        <v>17</v>
      </c>
      <c r="E86" s="63" t="s">
        <v>700</v>
      </c>
      <c r="F86" s="63" t="s">
        <v>3553</v>
      </c>
      <c r="G86" s="50" t="s">
        <v>3631</v>
      </c>
      <c r="H86" s="57">
        <v>3500</v>
      </c>
      <c r="I86" s="227"/>
      <c r="J86" s="57">
        <f t="shared" si="8"/>
        <v>3500</v>
      </c>
      <c r="K86" s="50">
        <v>1</v>
      </c>
      <c r="L86" s="57">
        <f t="shared" si="6"/>
        <v>3500</v>
      </c>
      <c r="M86" s="228">
        <f t="shared" si="7"/>
        <v>3850</v>
      </c>
      <c r="N86" s="18" t="s">
        <v>25</v>
      </c>
      <c r="O86" s="50"/>
    </row>
    <row r="87" spans="1:16" ht="21.75" customHeight="1" x14ac:dyDescent="0.4">
      <c r="A87" s="62">
        <v>45458</v>
      </c>
      <c r="B87" s="32" t="s">
        <v>3440</v>
      </c>
      <c r="C87" s="32"/>
      <c r="D87" s="18" t="s">
        <v>22</v>
      </c>
      <c r="E87" s="63" t="s">
        <v>1496</v>
      </c>
      <c r="F87" s="63"/>
      <c r="G87" s="50" t="s">
        <v>2422</v>
      </c>
      <c r="H87" s="57">
        <v>2000</v>
      </c>
      <c r="I87" s="227"/>
      <c r="J87" s="57">
        <f t="shared" si="8"/>
        <v>2000</v>
      </c>
      <c r="K87" s="50">
        <v>1</v>
      </c>
      <c r="L87" s="57">
        <f t="shared" si="6"/>
        <v>2000</v>
      </c>
      <c r="M87" s="228">
        <f t="shared" si="7"/>
        <v>2200</v>
      </c>
      <c r="N87" s="18" t="s">
        <v>20</v>
      </c>
      <c r="O87" s="50"/>
    </row>
    <row r="88" spans="1:16" ht="21.75" customHeight="1" x14ac:dyDescent="0.4">
      <c r="A88" s="62">
        <v>45458</v>
      </c>
      <c r="B88" s="32" t="s">
        <v>3441</v>
      </c>
      <c r="C88" s="32"/>
      <c r="D88" s="18" t="s">
        <v>22</v>
      </c>
      <c r="E88" s="63" t="s">
        <v>1496</v>
      </c>
      <c r="F88" s="63"/>
      <c r="G88" s="50" t="s">
        <v>369</v>
      </c>
      <c r="H88" s="57">
        <v>3000</v>
      </c>
      <c r="I88" s="227"/>
      <c r="J88" s="57">
        <f t="shared" si="8"/>
        <v>3000</v>
      </c>
      <c r="K88" s="50">
        <v>1</v>
      </c>
      <c r="L88" s="57">
        <f t="shared" si="6"/>
        <v>3000</v>
      </c>
      <c r="M88" s="228">
        <f t="shared" si="7"/>
        <v>3300</v>
      </c>
      <c r="N88" s="18" t="s">
        <v>20</v>
      </c>
      <c r="O88" s="50" t="s">
        <v>1954</v>
      </c>
    </row>
    <row r="89" spans="1:16" ht="21.75" customHeight="1" x14ac:dyDescent="0.4">
      <c r="A89" s="62">
        <v>45458</v>
      </c>
      <c r="B89" s="32" t="s">
        <v>3442</v>
      </c>
      <c r="C89" s="32"/>
      <c r="D89" s="18" t="s">
        <v>22</v>
      </c>
      <c r="E89" s="63" t="s">
        <v>1496</v>
      </c>
      <c r="F89" s="63"/>
      <c r="G89" s="50" t="s">
        <v>2422</v>
      </c>
      <c r="H89" s="57">
        <v>2000</v>
      </c>
      <c r="I89" s="227"/>
      <c r="J89" s="57">
        <f t="shared" si="8"/>
        <v>2000</v>
      </c>
      <c r="K89" s="50">
        <v>1</v>
      </c>
      <c r="L89" s="57">
        <f t="shared" si="6"/>
        <v>2000</v>
      </c>
      <c r="M89" s="228">
        <f t="shared" si="7"/>
        <v>2200</v>
      </c>
      <c r="N89" s="18" t="s">
        <v>25</v>
      </c>
      <c r="O89" s="490" t="s">
        <v>3444</v>
      </c>
    </row>
    <row r="90" spans="1:16" ht="21.75" customHeight="1" x14ac:dyDescent="0.4">
      <c r="A90" s="62">
        <v>45458</v>
      </c>
      <c r="B90" s="32" t="s">
        <v>3443</v>
      </c>
      <c r="C90" s="32"/>
      <c r="D90" s="18" t="s">
        <v>22</v>
      </c>
      <c r="E90" s="63" t="s">
        <v>1496</v>
      </c>
      <c r="F90" s="63"/>
      <c r="G90" s="50" t="s">
        <v>2422</v>
      </c>
      <c r="H90" s="57">
        <v>2000</v>
      </c>
      <c r="I90" s="227"/>
      <c r="J90" s="57">
        <f t="shared" si="8"/>
        <v>2000</v>
      </c>
      <c r="K90" s="50">
        <v>1</v>
      </c>
      <c r="L90" s="57">
        <f t="shared" ref="L90:L145" si="9">SUM(J90*K90)</f>
        <v>2000</v>
      </c>
      <c r="M90" s="228">
        <f t="shared" si="7"/>
        <v>2200</v>
      </c>
      <c r="N90" s="18" t="s">
        <v>25</v>
      </c>
      <c r="O90" s="499"/>
    </row>
    <row r="91" spans="1:16" ht="21.75" customHeight="1" x14ac:dyDescent="0.4">
      <c r="A91" s="62">
        <v>45458</v>
      </c>
      <c r="B91" s="32" t="s">
        <v>3442</v>
      </c>
      <c r="C91" s="32"/>
      <c r="D91" s="18" t="s">
        <v>2892</v>
      </c>
      <c r="E91" s="63" t="s">
        <v>23</v>
      </c>
      <c r="F91" s="63"/>
      <c r="G91" s="50" t="s">
        <v>2883</v>
      </c>
      <c r="H91" s="57">
        <v>15000</v>
      </c>
      <c r="I91" s="227">
        <v>-7500</v>
      </c>
      <c r="J91" s="57">
        <f t="shared" si="8"/>
        <v>7500</v>
      </c>
      <c r="K91" s="50">
        <v>1</v>
      </c>
      <c r="L91" s="57">
        <f t="shared" si="9"/>
        <v>7500</v>
      </c>
      <c r="M91" s="228">
        <f t="shared" si="7"/>
        <v>8250</v>
      </c>
      <c r="N91" s="18" t="s">
        <v>25</v>
      </c>
      <c r="O91" s="491"/>
    </row>
    <row r="92" spans="1:16" ht="21.75" customHeight="1" x14ac:dyDescent="0.4">
      <c r="A92" s="62">
        <v>45458</v>
      </c>
      <c r="B92" s="32" t="s">
        <v>3355</v>
      </c>
      <c r="C92" s="32"/>
      <c r="D92" s="18" t="s">
        <v>2892</v>
      </c>
      <c r="E92" s="63" t="s">
        <v>23</v>
      </c>
      <c r="F92" s="63"/>
      <c r="G92" s="50" t="s">
        <v>2922</v>
      </c>
      <c r="H92" s="57">
        <v>20000</v>
      </c>
      <c r="I92" s="227"/>
      <c r="J92" s="57">
        <f t="shared" si="8"/>
        <v>20000</v>
      </c>
      <c r="K92" s="50">
        <v>1</v>
      </c>
      <c r="L92" s="57">
        <f t="shared" si="9"/>
        <v>20000</v>
      </c>
      <c r="M92" s="228">
        <f t="shared" si="7"/>
        <v>22000</v>
      </c>
      <c r="N92" s="18" t="s">
        <v>25</v>
      </c>
      <c r="O92" s="50"/>
    </row>
    <row r="93" spans="1:16" ht="21.75" customHeight="1" x14ac:dyDescent="0.4">
      <c r="A93" s="62">
        <v>45458</v>
      </c>
      <c r="B93" s="32" t="s">
        <v>503</v>
      </c>
      <c r="C93" s="32"/>
      <c r="D93" s="18" t="s">
        <v>17</v>
      </c>
      <c r="E93" s="63" t="s">
        <v>332</v>
      </c>
      <c r="F93" s="63" t="s">
        <v>3552</v>
      </c>
      <c r="G93" s="50" t="s">
        <v>3582</v>
      </c>
      <c r="H93" s="57">
        <v>1800</v>
      </c>
      <c r="I93" s="227">
        <v>-180</v>
      </c>
      <c r="J93" s="57">
        <f t="shared" si="8"/>
        <v>1620</v>
      </c>
      <c r="K93" s="50">
        <v>1</v>
      </c>
      <c r="L93" s="57">
        <f t="shared" si="9"/>
        <v>1620</v>
      </c>
      <c r="M93" s="228">
        <f t="shared" si="7"/>
        <v>1782</v>
      </c>
      <c r="N93" s="18" t="s">
        <v>25</v>
      </c>
      <c r="O93" s="50"/>
    </row>
    <row r="94" spans="1:16" ht="21.75" customHeight="1" x14ac:dyDescent="0.4">
      <c r="A94" s="62">
        <v>45458</v>
      </c>
      <c r="B94" s="32" t="s">
        <v>1557</v>
      </c>
      <c r="C94" s="32"/>
      <c r="D94" s="18" t="s">
        <v>17</v>
      </c>
      <c r="E94" s="63" t="s">
        <v>1442</v>
      </c>
      <c r="F94" s="63" t="s">
        <v>3547</v>
      </c>
      <c r="G94" s="50" t="s">
        <v>3548</v>
      </c>
      <c r="H94" s="57">
        <v>18750</v>
      </c>
      <c r="I94" s="227"/>
      <c r="J94" s="57">
        <f t="shared" si="8"/>
        <v>18750</v>
      </c>
      <c r="K94" s="50">
        <v>3</v>
      </c>
      <c r="L94" s="57">
        <f t="shared" si="9"/>
        <v>56250</v>
      </c>
      <c r="M94" s="228">
        <f t="shared" si="7"/>
        <v>61875</v>
      </c>
      <c r="N94" s="18" t="s">
        <v>20</v>
      </c>
      <c r="O94" s="50"/>
    </row>
    <row r="95" spans="1:16" ht="21.75" customHeight="1" x14ac:dyDescent="0.4">
      <c r="A95" s="62">
        <v>45458</v>
      </c>
      <c r="B95" s="32" t="s">
        <v>3355</v>
      </c>
      <c r="C95" s="32"/>
      <c r="D95" s="18" t="s">
        <v>17</v>
      </c>
      <c r="E95" s="63" t="s">
        <v>328</v>
      </c>
      <c r="F95" s="63" t="s">
        <v>33</v>
      </c>
      <c r="G95" s="50" t="s">
        <v>3614</v>
      </c>
      <c r="H95" s="57">
        <v>50000</v>
      </c>
      <c r="I95" s="227">
        <v>-10000</v>
      </c>
      <c r="J95" s="57">
        <f t="shared" si="8"/>
        <v>40000</v>
      </c>
      <c r="K95" s="50">
        <v>1</v>
      </c>
      <c r="L95" s="57">
        <f t="shared" si="9"/>
        <v>40000</v>
      </c>
      <c r="M95" s="228">
        <f t="shared" si="7"/>
        <v>44000</v>
      </c>
      <c r="N95" s="18" t="s">
        <v>34</v>
      </c>
      <c r="O95" s="50"/>
      <c r="P95" s="52" t="s">
        <v>1608</v>
      </c>
    </row>
    <row r="96" spans="1:16" ht="42.75" customHeight="1" x14ac:dyDescent="0.4">
      <c r="A96" s="62">
        <v>45458</v>
      </c>
      <c r="B96" s="32" t="s">
        <v>3355</v>
      </c>
      <c r="C96" s="32"/>
      <c r="D96" s="18" t="s">
        <v>17</v>
      </c>
      <c r="E96" s="63" t="s">
        <v>332</v>
      </c>
      <c r="F96" s="63" t="s">
        <v>3555</v>
      </c>
      <c r="G96" s="50" t="s">
        <v>3557</v>
      </c>
      <c r="H96" s="57">
        <v>1200</v>
      </c>
      <c r="I96" s="227"/>
      <c r="J96" s="57">
        <f t="shared" si="8"/>
        <v>1200</v>
      </c>
      <c r="K96" s="50">
        <v>1</v>
      </c>
      <c r="L96" s="57">
        <f t="shared" si="9"/>
        <v>1200</v>
      </c>
      <c r="M96" s="228">
        <f t="shared" si="7"/>
        <v>1320</v>
      </c>
      <c r="N96" s="18" t="s">
        <v>34</v>
      </c>
      <c r="O96" s="160" t="s">
        <v>3449</v>
      </c>
      <c r="P96" s="52" t="s">
        <v>1608</v>
      </c>
    </row>
    <row r="97" spans="1:16" ht="21.75" customHeight="1" x14ac:dyDescent="0.4">
      <c r="A97" s="62">
        <v>45458</v>
      </c>
      <c r="B97" s="32" t="s">
        <v>3355</v>
      </c>
      <c r="C97" s="32"/>
      <c r="D97" s="96" t="s">
        <v>198</v>
      </c>
      <c r="E97" s="63"/>
      <c r="F97" s="63"/>
      <c r="G97" s="50" t="s">
        <v>3432</v>
      </c>
      <c r="H97" s="57">
        <v>-20000</v>
      </c>
      <c r="I97" s="227"/>
      <c r="J97" s="57">
        <f t="shared" si="8"/>
        <v>-20000</v>
      </c>
      <c r="K97" s="50">
        <v>1</v>
      </c>
      <c r="L97" s="57">
        <f t="shared" si="9"/>
        <v>-20000</v>
      </c>
      <c r="M97" s="228">
        <f t="shared" si="7"/>
        <v>-22000</v>
      </c>
      <c r="N97" s="18" t="s">
        <v>34</v>
      </c>
      <c r="O97" s="50" t="s">
        <v>3446</v>
      </c>
      <c r="P97" s="52" t="s">
        <v>1608</v>
      </c>
    </row>
    <row r="98" spans="1:16" ht="21.75" customHeight="1" x14ac:dyDescent="0.4">
      <c r="A98" s="62">
        <v>45458</v>
      </c>
      <c r="B98" s="32" t="s">
        <v>3447</v>
      </c>
      <c r="C98" s="32"/>
      <c r="D98" s="18" t="s">
        <v>2892</v>
      </c>
      <c r="E98" s="63" t="s">
        <v>23</v>
      </c>
      <c r="F98" s="63"/>
      <c r="G98" s="50" t="s">
        <v>3216</v>
      </c>
      <c r="H98" s="57">
        <v>20000</v>
      </c>
      <c r="I98" s="227"/>
      <c r="J98" s="57">
        <f t="shared" si="8"/>
        <v>20000</v>
      </c>
      <c r="K98" s="50">
        <v>1</v>
      </c>
      <c r="L98" s="57">
        <f t="shared" si="9"/>
        <v>20000</v>
      </c>
      <c r="M98" s="228">
        <f t="shared" ref="M98:M145" si="10">ROUNDDOWN(L98*1.1,0)</f>
        <v>22000</v>
      </c>
      <c r="N98" s="18" t="s">
        <v>20</v>
      </c>
      <c r="O98" s="50"/>
    </row>
    <row r="99" spans="1:16" ht="45.75" customHeight="1" x14ac:dyDescent="0.4">
      <c r="A99" s="62">
        <v>45459</v>
      </c>
      <c r="B99" s="32" t="s">
        <v>2959</v>
      </c>
      <c r="C99" s="32"/>
      <c r="D99" s="18" t="s">
        <v>22</v>
      </c>
      <c r="E99" s="63" t="s">
        <v>1496</v>
      </c>
      <c r="F99" s="63"/>
      <c r="G99" s="50" t="s">
        <v>369</v>
      </c>
      <c r="H99" s="57">
        <v>3000</v>
      </c>
      <c r="I99" s="227"/>
      <c r="J99" s="57">
        <f t="shared" si="8"/>
        <v>3000</v>
      </c>
      <c r="K99" s="50">
        <v>1</v>
      </c>
      <c r="L99" s="57">
        <f t="shared" si="9"/>
        <v>3000</v>
      </c>
      <c r="M99" s="228">
        <f t="shared" si="10"/>
        <v>3300</v>
      </c>
      <c r="N99" s="18" t="s">
        <v>20</v>
      </c>
      <c r="O99" s="221" t="s">
        <v>3448</v>
      </c>
    </row>
    <row r="100" spans="1:16" ht="21.75" customHeight="1" x14ac:dyDescent="0.4">
      <c r="A100" s="62">
        <v>45460</v>
      </c>
      <c r="B100" s="32" t="s">
        <v>3450</v>
      </c>
      <c r="C100" s="32"/>
      <c r="D100" s="18" t="s">
        <v>22</v>
      </c>
      <c r="E100" s="63" t="s">
        <v>1496</v>
      </c>
      <c r="F100" s="63"/>
      <c r="G100" s="50" t="s">
        <v>369</v>
      </c>
      <c r="H100" s="57">
        <v>3000</v>
      </c>
      <c r="I100" s="227"/>
      <c r="J100" s="57">
        <f t="shared" si="8"/>
        <v>3000</v>
      </c>
      <c r="K100" s="50">
        <v>1</v>
      </c>
      <c r="L100" s="57">
        <f t="shared" si="9"/>
        <v>3000</v>
      </c>
      <c r="M100" s="228">
        <f t="shared" si="10"/>
        <v>3300</v>
      </c>
      <c r="N100" s="18" t="s">
        <v>20</v>
      </c>
      <c r="O100" s="50" t="s">
        <v>1954</v>
      </c>
    </row>
    <row r="101" spans="1:16" ht="21.75" customHeight="1" x14ac:dyDescent="0.4">
      <c r="A101" s="62">
        <v>45462</v>
      </c>
      <c r="B101" s="32" t="s">
        <v>1455</v>
      </c>
      <c r="C101" s="32"/>
      <c r="D101" s="18" t="s">
        <v>17</v>
      </c>
      <c r="E101" s="63" t="s">
        <v>426</v>
      </c>
      <c r="F101" s="63" t="s">
        <v>3585</v>
      </c>
      <c r="G101" s="50" t="s">
        <v>3588</v>
      </c>
      <c r="H101" s="57">
        <v>2240</v>
      </c>
      <c r="I101" s="227"/>
      <c r="J101" s="57">
        <f t="shared" si="8"/>
        <v>2240</v>
      </c>
      <c r="K101" s="50">
        <v>2</v>
      </c>
      <c r="L101" s="57">
        <f t="shared" si="9"/>
        <v>4480</v>
      </c>
      <c r="M101" s="228">
        <f t="shared" si="10"/>
        <v>4928</v>
      </c>
      <c r="N101" s="18" t="s">
        <v>25</v>
      </c>
      <c r="O101" s="50"/>
    </row>
    <row r="102" spans="1:16" ht="21.75" customHeight="1" x14ac:dyDescent="0.4">
      <c r="A102" s="62">
        <v>45462</v>
      </c>
      <c r="B102" s="32" t="s">
        <v>223</v>
      </c>
      <c r="C102" s="32"/>
      <c r="D102" s="18" t="s">
        <v>17</v>
      </c>
      <c r="E102" s="63" t="s">
        <v>426</v>
      </c>
      <c r="F102" s="63" t="s">
        <v>3584</v>
      </c>
      <c r="G102" s="50" t="s">
        <v>3591</v>
      </c>
      <c r="H102" s="57">
        <v>1800</v>
      </c>
      <c r="I102" s="227">
        <v>-180</v>
      </c>
      <c r="J102" s="57">
        <f t="shared" si="8"/>
        <v>1620</v>
      </c>
      <c r="K102" s="50">
        <v>1</v>
      </c>
      <c r="L102" s="57">
        <f t="shared" si="9"/>
        <v>1620</v>
      </c>
      <c r="M102" s="228">
        <f t="shared" si="10"/>
        <v>1782</v>
      </c>
      <c r="N102" s="18" t="s">
        <v>25</v>
      </c>
      <c r="O102" s="50"/>
    </row>
    <row r="103" spans="1:16" ht="21.75" customHeight="1" x14ac:dyDescent="0.4">
      <c r="A103" s="62">
        <v>45462</v>
      </c>
      <c r="B103" s="32" t="s">
        <v>2959</v>
      </c>
      <c r="C103" s="32"/>
      <c r="D103" s="18" t="s">
        <v>27</v>
      </c>
      <c r="E103" s="63" t="s">
        <v>28</v>
      </c>
      <c r="F103" s="63"/>
      <c r="G103" s="50" t="s">
        <v>1816</v>
      </c>
      <c r="H103" s="57">
        <v>4370</v>
      </c>
      <c r="I103" s="227"/>
      <c r="J103" s="57">
        <f t="shared" si="8"/>
        <v>4370</v>
      </c>
      <c r="K103" s="50">
        <v>1</v>
      </c>
      <c r="L103" s="57">
        <f t="shared" si="9"/>
        <v>4370</v>
      </c>
      <c r="M103" s="228">
        <f t="shared" si="10"/>
        <v>4807</v>
      </c>
      <c r="N103" s="18" t="s">
        <v>25</v>
      </c>
      <c r="O103" s="50"/>
    </row>
    <row r="104" spans="1:16" ht="21.75" customHeight="1" x14ac:dyDescent="0.4">
      <c r="A104" s="62">
        <v>45462</v>
      </c>
      <c r="B104" s="32" t="s">
        <v>2959</v>
      </c>
      <c r="C104" s="32"/>
      <c r="D104" s="18" t="s">
        <v>27</v>
      </c>
      <c r="E104" s="63" t="s">
        <v>28</v>
      </c>
      <c r="F104" s="63"/>
      <c r="G104" s="50" t="s">
        <v>1833</v>
      </c>
      <c r="H104" s="57">
        <v>17500</v>
      </c>
      <c r="I104" s="227"/>
      <c r="J104" s="57">
        <f t="shared" si="8"/>
        <v>17500</v>
      </c>
      <c r="K104" s="50">
        <v>1</v>
      </c>
      <c r="L104" s="57">
        <f t="shared" si="9"/>
        <v>17500</v>
      </c>
      <c r="M104" s="228">
        <f t="shared" si="10"/>
        <v>19250</v>
      </c>
      <c r="N104" s="18" t="s">
        <v>25</v>
      </c>
      <c r="O104" s="50"/>
    </row>
    <row r="105" spans="1:16" ht="21.75" customHeight="1" x14ac:dyDescent="0.4">
      <c r="A105" s="62">
        <v>45463</v>
      </c>
      <c r="B105" s="32" t="s">
        <v>139</v>
      </c>
      <c r="C105" s="32"/>
      <c r="D105" s="18" t="s">
        <v>17</v>
      </c>
      <c r="E105" s="63" t="s">
        <v>292</v>
      </c>
      <c r="F105" s="63" t="s">
        <v>3642</v>
      </c>
      <c r="G105" s="50" t="s">
        <v>3648</v>
      </c>
      <c r="H105" s="57">
        <v>5800</v>
      </c>
      <c r="I105" s="227">
        <v>-580</v>
      </c>
      <c r="J105" s="57">
        <f t="shared" si="8"/>
        <v>5220</v>
      </c>
      <c r="K105" s="50">
        <v>1</v>
      </c>
      <c r="L105" s="57">
        <f t="shared" si="9"/>
        <v>5220</v>
      </c>
      <c r="M105" s="228">
        <f t="shared" si="10"/>
        <v>5742</v>
      </c>
      <c r="N105" s="18" t="s">
        <v>25</v>
      </c>
      <c r="O105" s="50"/>
    </row>
    <row r="106" spans="1:16" ht="21.75" customHeight="1" x14ac:dyDescent="0.4">
      <c r="A106" s="62">
        <v>45463</v>
      </c>
      <c r="B106" s="32" t="s">
        <v>3418</v>
      </c>
      <c r="C106" s="32"/>
      <c r="D106" s="18" t="s">
        <v>17</v>
      </c>
      <c r="E106" s="63" t="s">
        <v>292</v>
      </c>
      <c r="F106" s="63" t="s">
        <v>3642</v>
      </c>
      <c r="G106" s="50" t="s">
        <v>3649</v>
      </c>
      <c r="H106" s="57">
        <v>6300</v>
      </c>
      <c r="I106" s="227">
        <v>-1575</v>
      </c>
      <c r="J106" s="57">
        <f t="shared" si="8"/>
        <v>4725</v>
      </c>
      <c r="K106" s="50">
        <v>2</v>
      </c>
      <c r="L106" s="57">
        <f t="shared" si="9"/>
        <v>9450</v>
      </c>
      <c r="M106" s="228">
        <f t="shared" si="10"/>
        <v>10395</v>
      </c>
      <c r="N106" s="18" t="s">
        <v>20</v>
      </c>
      <c r="O106" s="50"/>
    </row>
    <row r="107" spans="1:16" ht="21.75" customHeight="1" x14ac:dyDescent="0.4">
      <c r="A107" s="62">
        <v>45464</v>
      </c>
      <c r="B107" s="32" t="s">
        <v>3451</v>
      </c>
      <c r="C107" s="32"/>
      <c r="D107" s="18" t="s">
        <v>2892</v>
      </c>
      <c r="E107" s="63" t="s">
        <v>23</v>
      </c>
      <c r="F107" s="63"/>
      <c r="G107" s="50" t="s">
        <v>3216</v>
      </c>
      <c r="H107" s="57">
        <v>20000</v>
      </c>
      <c r="I107" s="227">
        <v>-10000</v>
      </c>
      <c r="J107" s="57">
        <f t="shared" si="8"/>
        <v>10000</v>
      </c>
      <c r="K107" s="50">
        <v>1</v>
      </c>
      <c r="L107" s="57">
        <f t="shared" si="9"/>
        <v>10000</v>
      </c>
      <c r="M107" s="228">
        <f t="shared" si="10"/>
        <v>11000</v>
      </c>
      <c r="N107" s="18" t="s">
        <v>25</v>
      </c>
      <c r="O107" s="50" t="s">
        <v>3452</v>
      </c>
    </row>
    <row r="108" spans="1:16" ht="21.75" customHeight="1" x14ac:dyDescent="0.4">
      <c r="A108" s="62">
        <v>45464</v>
      </c>
      <c r="B108" s="32" t="s">
        <v>3367</v>
      </c>
      <c r="C108" s="32"/>
      <c r="D108" s="18" t="s">
        <v>2892</v>
      </c>
      <c r="E108" s="63" t="s">
        <v>23</v>
      </c>
      <c r="F108" s="63"/>
      <c r="G108" s="50" t="s">
        <v>2883</v>
      </c>
      <c r="H108" s="57">
        <v>15000</v>
      </c>
      <c r="I108" s="227"/>
      <c r="J108" s="57">
        <f t="shared" si="8"/>
        <v>15000</v>
      </c>
      <c r="K108" s="50">
        <v>1</v>
      </c>
      <c r="L108" s="57">
        <f t="shared" si="9"/>
        <v>15000</v>
      </c>
      <c r="M108" s="228">
        <f t="shared" si="10"/>
        <v>16500</v>
      </c>
      <c r="N108" s="18" t="s">
        <v>25</v>
      </c>
      <c r="O108" s="50"/>
    </row>
    <row r="109" spans="1:16" ht="21.75" customHeight="1" x14ac:dyDescent="0.4">
      <c r="A109" s="62">
        <v>45464</v>
      </c>
      <c r="B109" s="32" t="s">
        <v>3451</v>
      </c>
      <c r="C109" s="32"/>
      <c r="D109" s="18" t="s">
        <v>17</v>
      </c>
      <c r="E109" s="63" t="s">
        <v>332</v>
      </c>
      <c r="F109" s="63" t="s">
        <v>3556</v>
      </c>
      <c r="G109" s="50" t="s">
        <v>3579</v>
      </c>
      <c r="H109" s="57">
        <v>1300</v>
      </c>
      <c r="I109" s="227"/>
      <c r="J109" s="57">
        <f t="shared" si="8"/>
        <v>1300</v>
      </c>
      <c r="K109" s="50">
        <v>1</v>
      </c>
      <c r="L109" s="57">
        <f t="shared" si="9"/>
        <v>1300</v>
      </c>
      <c r="M109" s="228">
        <f t="shared" si="10"/>
        <v>1430</v>
      </c>
      <c r="N109" s="18" t="s">
        <v>25</v>
      </c>
      <c r="O109" s="50"/>
    </row>
    <row r="110" spans="1:16" ht="21.75" customHeight="1" x14ac:dyDescent="0.4">
      <c r="A110" s="62">
        <v>45464</v>
      </c>
      <c r="B110" s="32" t="s">
        <v>3367</v>
      </c>
      <c r="C110" s="32"/>
      <c r="D110" s="18" t="s">
        <v>17</v>
      </c>
      <c r="E110" s="63" t="s">
        <v>328</v>
      </c>
      <c r="F110" s="63" t="s">
        <v>3599</v>
      </c>
      <c r="G110" s="50" t="s">
        <v>3603</v>
      </c>
      <c r="H110" s="57">
        <v>72000</v>
      </c>
      <c r="I110" s="227">
        <v>-14400</v>
      </c>
      <c r="J110" s="57">
        <f t="shared" si="8"/>
        <v>57600</v>
      </c>
      <c r="K110" s="50">
        <v>1</v>
      </c>
      <c r="L110" s="57">
        <f t="shared" si="9"/>
        <v>57600</v>
      </c>
      <c r="M110" s="228">
        <f t="shared" si="10"/>
        <v>63360</v>
      </c>
      <c r="N110" s="18" t="s">
        <v>34</v>
      </c>
      <c r="O110" s="50"/>
      <c r="P110" s="52" t="s">
        <v>2141</v>
      </c>
    </row>
    <row r="111" spans="1:16" ht="21.75" customHeight="1" x14ac:dyDescent="0.4">
      <c r="A111" s="62">
        <v>45464</v>
      </c>
      <c r="B111" s="32" t="s">
        <v>3367</v>
      </c>
      <c r="C111" s="32"/>
      <c r="D111" s="18" t="s">
        <v>17</v>
      </c>
      <c r="E111" s="63" t="s">
        <v>330</v>
      </c>
      <c r="F111" s="63" t="s">
        <v>3629</v>
      </c>
      <c r="G111" s="50" t="s">
        <v>557</v>
      </c>
      <c r="H111" s="57">
        <v>5000</v>
      </c>
      <c r="I111" s="227"/>
      <c r="J111" s="57">
        <f t="shared" si="8"/>
        <v>5000</v>
      </c>
      <c r="K111" s="50">
        <v>1</v>
      </c>
      <c r="L111" s="57">
        <f t="shared" si="9"/>
        <v>5000</v>
      </c>
      <c r="M111" s="228">
        <f t="shared" si="10"/>
        <v>5500</v>
      </c>
      <c r="N111" s="18" t="s">
        <v>34</v>
      </c>
      <c r="O111" s="50"/>
      <c r="P111" s="52" t="s">
        <v>2141</v>
      </c>
    </row>
    <row r="112" spans="1:16" ht="21.75" customHeight="1" x14ac:dyDescent="0.4">
      <c r="A112" s="62">
        <v>45464</v>
      </c>
      <c r="B112" s="32" t="s">
        <v>3367</v>
      </c>
      <c r="C112" s="32"/>
      <c r="D112" s="96" t="s">
        <v>198</v>
      </c>
      <c r="E112" s="63"/>
      <c r="F112" s="63"/>
      <c r="G112" s="50" t="s">
        <v>3432</v>
      </c>
      <c r="H112" s="57">
        <v>-15000</v>
      </c>
      <c r="I112" s="227"/>
      <c r="J112" s="57">
        <f t="shared" si="8"/>
        <v>-15000</v>
      </c>
      <c r="K112" s="50">
        <v>1</v>
      </c>
      <c r="L112" s="57">
        <f t="shared" si="9"/>
        <v>-15000</v>
      </c>
      <c r="M112" s="228">
        <f t="shared" si="10"/>
        <v>-16500</v>
      </c>
      <c r="N112" s="18" t="s">
        <v>34</v>
      </c>
      <c r="O112" s="50" t="s">
        <v>3453</v>
      </c>
      <c r="P112" s="52" t="s">
        <v>2141</v>
      </c>
    </row>
    <row r="113" spans="1:15" ht="21.75" customHeight="1" x14ac:dyDescent="0.4">
      <c r="A113" s="62">
        <v>45464</v>
      </c>
      <c r="B113" s="32" t="s">
        <v>3454</v>
      </c>
      <c r="C113" s="32"/>
      <c r="D113" s="18" t="s">
        <v>22</v>
      </c>
      <c r="E113" s="63" t="s">
        <v>1496</v>
      </c>
      <c r="F113" s="63"/>
      <c r="G113" s="50" t="s">
        <v>369</v>
      </c>
      <c r="H113" s="57">
        <v>3000</v>
      </c>
      <c r="I113" s="227"/>
      <c r="J113" s="57">
        <f t="shared" si="8"/>
        <v>3000</v>
      </c>
      <c r="K113" s="50">
        <v>1</v>
      </c>
      <c r="L113" s="57">
        <f t="shared" si="9"/>
        <v>3000</v>
      </c>
      <c r="M113" s="228">
        <f t="shared" si="10"/>
        <v>3300</v>
      </c>
      <c r="N113" s="18" t="s">
        <v>20</v>
      </c>
      <c r="O113" s="50" t="s">
        <v>1954</v>
      </c>
    </row>
    <row r="114" spans="1:15" ht="21.75" customHeight="1" x14ac:dyDescent="0.4">
      <c r="A114" s="62">
        <v>45465</v>
      </c>
      <c r="B114" s="32" t="s">
        <v>3441</v>
      </c>
      <c r="C114" s="32"/>
      <c r="D114" s="18" t="s">
        <v>27</v>
      </c>
      <c r="E114" s="63" t="s">
        <v>28</v>
      </c>
      <c r="F114" s="63"/>
      <c r="G114" s="50" t="s">
        <v>318</v>
      </c>
      <c r="H114" s="57">
        <v>15000</v>
      </c>
      <c r="I114" s="227"/>
      <c r="J114" s="57">
        <f t="shared" si="8"/>
        <v>15000</v>
      </c>
      <c r="K114" s="50">
        <v>1</v>
      </c>
      <c r="L114" s="57">
        <f t="shared" si="9"/>
        <v>15000</v>
      </c>
      <c r="M114" s="228">
        <f t="shared" si="10"/>
        <v>16500</v>
      </c>
      <c r="N114" s="18" t="s">
        <v>20</v>
      </c>
      <c r="O114" s="50"/>
    </row>
    <row r="115" spans="1:15" ht="21.75" customHeight="1" x14ac:dyDescent="0.4">
      <c r="A115" s="62">
        <v>45465</v>
      </c>
      <c r="B115" s="32" t="s">
        <v>3441</v>
      </c>
      <c r="C115" s="32"/>
      <c r="D115" s="18" t="s">
        <v>27</v>
      </c>
      <c r="E115" s="63" t="s">
        <v>28</v>
      </c>
      <c r="F115" s="63"/>
      <c r="G115" s="50" t="s">
        <v>1996</v>
      </c>
      <c r="H115" s="57">
        <v>4370</v>
      </c>
      <c r="I115" s="227"/>
      <c r="J115" s="57">
        <f t="shared" si="8"/>
        <v>4370</v>
      </c>
      <c r="K115" s="50">
        <v>1</v>
      </c>
      <c r="L115" s="57">
        <f t="shared" si="9"/>
        <v>4370</v>
      </c>
      <c r="M115" s="228">
        <f t="shared" si="10"/>
        <v>4807</v>
      </c>
      <c r="N115" s="18" t="s">
        <v>20</v>
      </c>
      <c r="O115" s="50"/>
    </row>
    <row r="116" spans="1:15" ht="21.75" customHeight="1" x14ac:dyDescent="0.4">
      <c r="A116" s="62">
        <v>45465</v>
      </c>
      <c r="B116" s="32" t="s">
        <v>3441</v>
      </c>
      <c r="C116" s="32"/>
      <c r="D116" s="18" t="s">
        <v>27</v>
      </c>
      <c r="E116" s="63" t="s">
        <v>28</v>
      </c>
      <c r="F116" s="63"/>
      <c r="G116" s="50" t="s">
        <v>1833</v>
      </c>
      <c r="H116" s="57">
        <v>17500</v>
      </c>
      <c r="I116" s="227"/>
      <c r="J116" s="57">
        <f t="shared" si="8"/>
        <v>17500</v>
      </c>
      <c r="K116" s="50">
        <v>1</v>
      </c>
      <c r="L116" s="57">
        <f t="shared" si="9"/>
        <v>17500</v>
      </c>
      <c r="M116" s="228">
        <f t="shared" si="10"/>
        <v>19250</v>
      </c>
      <c r="N116" s="18" t="s">
        <v>20</v>
      </c>
      <c r="O116" s="50"/>
    </row>
    <row r="117" spans="1:15" ht="21.75" customHeight="1" x14ac:dyDescent="0.4">
      <c r="A117" s="62">
        <v>45465</v>
      </c>
      <c r="B117" s="32" t="s">
        <v>503</v>
      </c>
      <c r="C117" s="32"/>
      <c r="D117" s="18" t="s">
        <v>17</v>
      </c>
      <c r="E117" s="63" t="s">
        <v>1277</v>
      </c>
      <c r="F117" s="63" t="s">
        <v>3545</v>
      </c>
      <c r="G117" s="50" t="s">
        <v>3546</v>
      </c>
      <c r="H117" s="57">
        <v>90000</v>
      </c>
      <c r="I117" s="227">
        <v>-9000</v>
      </c>
      <c r="J117" s="57">
        <f t="shared" si="8"/>
        <v>81000</v>
      </c>
      <c r="K117" s="50">
        <v>1</v>
      </c>
      <c r="L117" s="57">
        <f t="shared" si="9"/>
        <v>81000</v>
      </c>
      <c r="M117" s="228">
        <f t="shared" si="10"/>
        <v>89100</v>
      </c>
      <c r="N117" s="18" t="s">
        <v>34</v>
      </c>
      <c r="O117" s="50"/>
    </row>
    <row r="118" spans="1:15" ht="21.75" customHeight="1" x14ac:dyDescent="0.4">
      <c r="A118" s="62">
        <v>45465</v>
      </c>
      <c r="B118" s="32" t="s">
        <v>503</v>
      </c>
      <c r="C118" s="32"/>
      <c r="D118" s="18" t="s">
        <v>17</v>
      </c>
      <c r="E118" s="63" t="s">
        <v>292</v>
      </c>
      <c r="F118" s="63" t="s">
        <v>3547</v>
      </c>
      <c r="G118" s="50" t="s">
        <v>3650</v>
      </c>
      <c r="H118" s="57">
        <v>5500</v>
      </c>
      <c r="I118" s="227"/>
      <c r="J118" s="57">
        <f t="shared" si="8"/>
        <v>5500</v>
      </c>
      <c r="K118" s="50">
        <v>2</v>
      </c>
      <c r="L118" s="57">
        <f t="shared" si="9"/>
        <v>11000</v>
      </c>
      <c r="M118" s="228">
        <f t="shared" si="10"/>
        <v>12100</v>
      </c>
      <c r="N118" s="18" t="s">
        <v>34</v>
      </c>
      <c r="O118" s="50"/>
    </row>
    <row r="119" spans="1:15" ht="21.75" customHeight="1" x14ac:dyDescent="0.4">
      <c r="A119" s="62">
        <v>45465</v>
      </c>
      <c r="B119" s="32" t="s">
        <v>1924</v>
      </c>
      <c r="C119" s="32"/>
      <c r="D119" s="18" t="s">
        <v>17</v>
      </c>
      <c r="E119" s="63" t="s">
        <v>3422</v>
      </c>
      <c r="F119" s="63"/>
      <c r="G119" s="50" t="s">
        <v>3423</v>
      </c>
      <c r="H119" s="57">
        <v>5000</v>
      </c>
      <c r="I119" s="227"/>
      <c r="J119" s="57">
        <f t="shared" si="8"/>
        <v>5000</v>
      </c>
      <c r="K119" s="50">
        <v>1</v>
      </c>
      <c r="L119" s="57">
        <f t="shared" si="9"/>
        <v>5000</v>
      </c>
      <c r="M119" s="228">
        <f t="shared" si="10"/>
        <v>5500</v>
      </c>
      <c r="N119" s="18" t="s">
        <v>25</v>
      </c>
      <c r="O119" s="50"/>
    </row>
    <row r="120" spans="1:15" ht="21.75" customHeight="1" x14ac:dyDescent="0.4">
      <c r="A120" s="62">
        <v>45465</v>
      </c>
      <c r="B120" s="32" t="s">
        <v>1924</v>
      </c>
      <c r="C120" s="32"/>
      <c r="D120" s="18" t="s">
        <v>17</v>
      </c>
      <c r="E120" s="63" t="s">
        <v>332</v>
      </c>
      <c r="F120" s="63" t="s">
        <v>3555</v>
      </c>
      <c r="G120" s="50" t="s">
        <v>3173</v>
      </c>
      <c r="H120" s="57">
        <v>1200</v>
      </c>
      <c r="I120" s="227">
        <v>-120</v>
      </c>
      <c r="J120" s="57">
        <f t="shared" si="8"/>
        <v>1080</v>
      </c>
      <c r="K120" s="50">
        <v>1</v>
      </c>
      <c r="L120" s="57">
        <f t="shared" si="9"/>
        <v>1080</v>
      </c>
      <c r="M120" s="228">
        <f t="shared" si="10"/>
        <v>1188</v>
      </c>
      <c r="N120" s="18" t="s">
        <v>25</v>
      </c>
      <c r="O120" s="50"/>
    </row>
    <row r="121" spans="1:15" ht="21.75" customHeight="1" x14ac:dyDescent="0.4">
      <c r="A121" s="62">
        <v>45466</v>
      </c>
      <c r="B121" s="32" t="s">
        <v>3455</v>
      </c>
      <c r="C121" s="32"/>
      <c r="D121" s="18" t="s">
        <v>22</v>
      </c>
      <c r="E121" s="63" t="s">
        <v>1496</v>
      </c>
      <c r="F121" s="63"/>
      <c r="G121" s="50" t="s">
        <v>369</v>
      </c>
      <c r="H121" s="57">
        <v>3000</v>
      </c>
      <c r="I121" s="227"/>
      <c r="J121" s="57">
        <f t="shared" si="8"/>
        <v>3000</v>
      </c>
      <c r="K121" s="50">
        <v>1</v>
      </c>
      <c r="L121" s="57">
        <f t="shared" si="9"/>
        <v>3000</v>
      </c>
      <c r="M121" s="228">
        <f t="shared" si="10"/>
        <v>3300</v>
      </c>
      <c r="N121" s="18" t="s">
        <v>25</v>
      </c>
      <c r="O121" s="50" t="s">
        <v>1954</v>
      </c>
    </row>
    <row r="122" spans="1:15" ht="21.75" customHeight="1" x14ac:dyDescent="0.4">
      <c r="A122" s="62">
        <v>45466</v>
      </c>
      <c r="B122" s="32" t="s">
        <v>3455</v>
      </c>
      <c r="C122" s="32"/>
      <c r="D122" s="18" t="s">
        <v>27</v>
      </c>
      <c r="E122" s="63" t="s">
        <v>28</v>
      </c>
      <c r="F122" s="63"/>
      <c r="G122" s="50" t="s">
        <v>318</v>
      </c>
      <c r="H122" s="57">
        <v>15000</v>
      </c>
      <c r="I122" s="227"/>
      <c r="J122" s="57">
        <f t="shared" si="8"/>
        <v>15000</v>
      </c>
      <c r="K122" s="50">
        <v>1</v>
      </c>
      <c r="L122" s="57">
        <f t="shared" si="9"/>
        <v>15000</v>
      </c>
      <c r="M122" s="228">
        <f t="shared" si="10"/>
        <v>16500</v>
      </c>
      <c r="N122" s="18" t="s">
        <v>25</v>
      </c>
      <c r="O122" s="50"/>
    </row>
    <row r="123" spans="1:15" ht="21.75" customHeight="1" x14ac:dyDescent="0.4">
      <c r="A123" s="62">
        <v>45466</v>
      </c>
      <c r="B123" s="32" t="s">
        <v>3455</v>
      </c>
      <c r="C123" s="32"/>
      <c r="D123" s="18" t="s">
        <v>27</v>
      </c>
      <c r="E123" s="63" t="s">
        <v>28</v>
      </c>
      <c r="F123" s="63"/>
      <c r="G123" s="50" t="s">
        <v>2107</v>
      </c>
      <c r="H123" s="57">
        <v>4370</v>
      </c>
      <c r="I123" s="227"/>
      <c r="J123" s="57">
        <f t="shared" si="8"/>
        <v>4370</v>
      </c>
      <c r="K123" s="50">
        <v>1</v>
      </c>
      <c r="L123" s="57">
        <f t="shared" si="9"/>
        <v>4370</v>
      </c>
      <c r="M123" s="228">
        <f t="shared" si="10"/>
        <v>4807</v>
      </c>
      <c r="N123" s="18" t="s">
        <v>25</v>
      </c>
      <c r="O123" s="50"/>
    </row>
    <row r="124" spans="1:15" ht="21.75" customHeight="1" x14ac:dyDescent="0.4">
      <c r="A124" s="62">
        <v>45466</v>
      </c>
      <c r="B124" s="32" t="s">
        <v>3455</v>
      </c>
      <c r="C124" s="32"/>
      <c r="D124" s="18" t="s">
        <v>27</v>
      </c>
      <c r="E124" s="63" t="s">
        <v>28</v>
      </c>
      <c r="F124" s="63"/>
      <c r="G124" s="50" t="s">
        <v>1897</v>
      </c>
      <c r="H124" s="57">
        <v>17500</v>
      </c>
      <c r="I124" s="227"/>
      <c r="J124" s="57">
        <f t="shared" si="8"/>
        <v>17500</v>
      </c>
      <c r="K124" s="50">
        <v>1</v>
      </c>
      <c r="L124" s="57">
        <f t="shared" si="9"/>
        <v>17500</v>
      </c>
      <c r="M124" s="228">
        <f t="shared" si="10"/>
        <v>19250</v>
      </c>
      <c r="N124" s="18" t="s">
        <v>25</v>
      </c>
      <c r="O124" s="50"/>
    </row>
    <row r="125" spans="1:15" ht="21.75" customHeight="1" x14ac:dyDescent="0.4">
      <c r="A125" s="62">
        <v>45468</v>
      </c>
      <c r="B125" s="32" t="s">
        <v>3456</v>
      </c>
      <c r="C125" s="32"/>
      <c r="D125" s="18" t="s">
        <v>27</v>
      </c>
      <c r="E125" s="63" t="s">
        <v>28</v>
      </c>
      <c r="F125" s="63"/>
      <c r="G125" s="50" t="s">
        <v>1917</v>
      </c>
      <c r="H125" s="57">
        <v>22500</v>
      </c>
      <c r="I125" s="227"/>
      <c r="J125" s="57">
        <f t="shared" si="8"/>
        <v>22500</v>
      </c>
      <c r="K125" s="50">
        <v>1</v>
      </c>
      <c r="L125" s="57">
        <f t="shared" si="9"/>
        <v>22500</v>
      </c>
      <c r="M125" s="228">
        <f t="shared" si="10"/>
        <v>24750</v>
      </c>
      <c r="N125" s="18" t="s">
        <v>25</v>
      </c>
      <c r="O125" s="50"/>
    </row>
    <row r="126" spans="1:15" ht="21.75" customHeight="1" x14ac:dyDescent="0.4">
      <c r="A126" s="62">
        <v>45468</v>
      </c>
      <c r="B126" s="32" t="s">
        <v>3457</v>
      </c>
      <c r="C126" s="32"/>
      <c r="D126" s="18" t="s">
        <v>27</v>
      </c>
      <c r="E126" s="63" t="s">
        <v>28</v>
      </c>
      <c r="F126" s="63"/>
      <c r="G126" s="50" t="s">
        <v>3458</v>
      </c>
      <c r="H126" s="57">
        <v>15750</v>
      </c>
      <c r="I126" s="227"/>
      <c r="J126" s="57">
        <f t="shared" si="8"/>
        <v>15750</v>
      </c>
      <c r="K126" s="50">
        <v>1</v>
      </c>
      <c r="L126" s="57">
        <f t="shared" si="9"/>
        <v>15750</v>
      </c>
      <c r="M126" s="228">
        <f t="shared" si="10"/>
        <v>17325</v>
      </c>
      <c r="N126" s="18" t="s">
        <v>25</v>
      </c>
      <c r="O126" s="50"/>
    </row>
    <row r="127" spans="1:15" ht="21.75" customHeight="1" x14ac:dyDescent="0.4">
      <c r="A127" s="62">
        <v>45469</v>
      </c>
      <c r="B127" s="32" t="s">
        <v>3459</v>
      </c>
      <c r="C127" s="32"/>
      <c r="D127" s="18" t="s">
        <v>2892</v>
      </c>
      <c r="E127" s="63" t="s">
        <v>23</v>
      </c>
      <c r="F127" s="63"/>
      <c r="G127" s="50" t="s">
        <v>3028</v>
      </c>
      <c r="H127" s="57">
        <v>15000</v>
      </c>
      <c r="I127" s="227">
        <v>-7500</v>
      </c>
      <c r="J127" s="57">
        <f t="shared" si="8"/>
        <v>7500</v>
      </c>
      <c r="K127" s="50">
        <v>1</v>
      </c>
      <c r="L127" s="57">
        <f t="shared" si="9"/>
        <v>7500</v>
      </c>
      <c r="M127" s="228">
        <f t="shared" si="10"/>
        <v>8250</v>
      </c>
      <c r="N127" s="18" t="s">
        <v>25</v>
      </c>
      <c r="O127" s="490" t="s">
        <v>3461</v>
      </c>
    </row>
    <row r="128" spans="1:15" ht="21.75" customHeight="1" x14ac:dyDescent="0.4">
      <c r="A128" s="62">
        <v>45469</v>
      </c>
      <c r="B128" s="32" t="s">
        <v>3460</v>
      </c>
      <c r="C128" s="32"/>
      <c r="D128" s="18" t="s">
        <v>27</v>
      </c>
      <c r="E128" s="63" t="s">
        <v>28</v>
      </c>
      <c r="F128" s="63"/>
      <c r="G128" s="50" t="s">
        <v>1897</v>
      </c>
      <c r="H128" s="57">
        <v>17500</v>
      </c>
      <c r="I128" s="227"/>
      <c r="J128" s="57">
        <f t="shared" si="8"/>
        <v>17500</v>
      </c>
      <c r="K128" s="50">
        <v>1</v>
      </c>
      <c r="L128" s="57">
        <f t="shared" si="9"/>
        <v>17500</v>
      </c>
      <c r="M128" s="228">
        <f t="shared" si="10"/>
        <v>19250</v>
      </c>
      <c r="N128" s="18" t="s">
        <v>25</v>
      </c>
      <c r="O128" s="491"/>
    </row>
    <row r="129" spans="1:16" ht="21.75" customHeight="1" x14ac:dyDescent="0.4">
      <c r="A129" s="62">
        <v>45469</v>
      </c>
      <c r="B129" s="32" t="s">
        <v>3462</v>
      </c>
      <c r="C129" s="32"/>
      <c r="D129" s="18" t="s">
        <v>17</v>
      </c>
      <c r="E129" s="63" t="s">
        <v>332</v>
      </c>
      <c r="F129" s="63" t="s">
        <v>3555</v>
      </c>
      <c r="G129" s="50" t="s">
        <v>3463</v>
      </c>
      <c r="H129" s="57">
        <v>1500</v>
      </c>
      <c r="I129" s="227">
        <v>-150</v>
      </c>
      <c r="J129" s="57">
        <f t="shared" si="8"/>
        <v>1350</v>
      </c>
      <c r="K129" s="50">
        <v>3</v>
      </c>
      <c r="L129" s="57">
        <f t="shared" si="9"/>
        <v>4050</v>
      </c>
      <c r="M129" s="228">
        <f t="shared" si="10"/>
        <v>4455</v>
      </c>
      <c r="N129" s="18" t="s">
        <v>25</v>
      </c>
      <c r="O129" s="50"/>
    </row>
    <row r="130" spans="1:16" ht="21.75" customHeight="1" x14ac:dyDescent="0.4">
      <c r="A130" s="62">
        <v>45469</v>
      </c>
      <c r="B130" s="32" t="s">
        <v>148</v>
      </c>
      <c r="C130" s="32"/>
      <c r="D130" s="18" t="s">
        <v>27</v>
      </c>
      <c r="E130" s="63" t="s">
        <v>28</v>
      </c>
      <c r="F130" s="63"/>
      <c r="G130" s="50" t="s">
        <v>1897</v>
      </c>
      <c r="H130" s="57">
        <v>17500</v>
      </c>
      <c r="I130" s="227"/>
      <c r="J130" s="57">
        <f t="shared" si="8"/>
        <v>17500</v>
      </c>
      <c r="K130" s="50">
        <v>1</v>
      </c>
      <c r="L130" s="57">
        <f t="shared" si="9"/>
        <v>17500</v>
      </c>
      <c r="M130" s="228">
        <f t="shared" si="10"/>
        <v>19250</v>
      </c>
      <c r="N130" s="18" t="s">
        <v>20</v>
      </c>
      <c r="O130" s="50"/>
    </row>
    <row r="131" spans="1:16" ht="21.75" customHeight="1" x14ac:dyDescent="0.4">
      <c r="A131" s="62">
        <v>45469</v>
      </c>
      <c r="B131" s="32" t="s">
        <v>2179</v>
      </c>
      <c r="C131" s="32"/>
      <c r="D131" s="18" t="s">
        <v>17</v>
      </c>
      <c r="E131" s="63" t="s">
        <v>292</v>
      </c>
      <c r="F131" s="63" t="s">
        <v>3642</v>
      </c>
      <c r="G131" s="50" t="s">
        <v>3651</v>
      </c>
      <c r="H131" s="57">
        <v>6300</v>
      </c>
      <c r="I131" s="227">
        <v>-630</v>
      </c>
      <c r="J131" s="57">
        <f t="shared" si="8"/>
        <v>5670</v>
      </c>
      <c r="K131" s="50">
        <v>2</v>
      </c>
      <c r="L131" s="57">
        <f t="shared" si="9"/>
        <v>11340</v>
      </c>
      <c r="M131" s="228">
        <f t="shared" si="10"/>
        <v>12474</v>
      </c>
      <c r="N131" s="18" t="s">
        <v>20</v>
      </c>
      <c r="O131" s="50"/>
    </row>
    <row r="132" spans="1:16" ht="21.75" customHeight="1" x14ac:dyDescent="0.4">
      <c r="A132" s="62">
        <v>45470</v>
      </c>
      <c r="B132" s="32" t="s">
        <v>3464</v>
      </c>
      <c r="C132" s="32"/>
      <c r="D132" s="18" t="s">
        <v>22</v>
      </c>
      <c r="E132" s="63" t="s">
        <v>1496</v>
      </c>
      <c r="F132" s="63"/>
      <c r="G132" s="50" t="s">
        <v>369</v>
      </c>
      <c r="H132" s="57">
        <v>3000</v>
      </c>
      <c r="I132" s="227"/>
      <c r="J132" s="57">
        <f t="shared" si="8"/>
        <v>3000</v>
      </c>
      <c r="K132" s="50">
        <v>1</v>
      </c>
      <c r="L132" s="57">
        <f t="shared" si="9"/>
        <v>3000</v>
      </c>
      <c r="M132" s="228">
        <f t="shared" si="10"/>
        <v>3300</v>
      </c>
      <c r="N132" s="18" t="s">
        <v>25</v>
      </c>
      <c r="O132" s="50"/>
    </row>
    <row r="133" spans="1:16" ht="21.75" customHeight="1" x14ac:dyDescent="0.4">
      <c r="A133" s="62">
        <v>45471</v>
      </c>
      <c r="B133" s="32" t="s">
        <v>927</v>
      </c>
      <c r="C133" s="32"/>
      <c r="D133" s="18" t="s">
        <v>17</v>
      </c>
      <c r="E133" s="63" t="s">
        <v>332</v>
      </c>
      <c r="F133" s="63" t="s">
        <v>3551</v>
      </c>
      <c r="G133" s="50" t="s">
        <v>3566</v>
      </c>
      <c r="H133" s="57">
        <v>1200</v>
      </c>
      <c r="I133" s="227">
        <v>-120</v>
      </c>
      <c r="J133" s="57">
        <f t="shared" si="8"/>
        <v>1080</v>
      </c>
      <c r="K133" s="50">
        <v>1</v>
      </c>
      <c r="L133" s="57">
        <f t="shared" si="9"/>
        <v>1080</v>
      </c>
      <c r="M133" s="228">
        <f t="shared" si="10"/>
        <v>1188</v>
      </c>
      <c r="N133" s="18" t="s">
        <v>25</v>
      </c>
      <c r="O133" s="50"/>
    </row>
    <row r="134" spans="1:16" ht="21.75" customHeight="1" x14ac:dyDescent="0.4">
      <c r="A134" s="62">
        <v>45471</v>
      </c>
      <c r="B134" s="32" t="s">
        <v>3451</v>
      </c>
      <c r="C134" s="32"/>
      <c r="D134" s="18" t="s">
        <v>17</v>
      </c>
      <c r="E134" s="63" t="s">
        <v>328</v>
      </c>
      <c r="F134" s="63" t="s">
        <v>33</v>
      </c>
      <c r="G134" s="50" t="s">
        <v>744</v>
      </c>
      <c r="H134" s="57">
        <v>55000</v>
      </c>
      <c r="I134" s="227">
        <v>-11000</v>
      </c>
      <c r="J134" s="57">
        <f t="shared" si="8"/>
        <v>44000</v>
      </c>
      <c r="K134" s="50">
        <v>1</v>
      </c>
      <c r="L134" s="57">
        <f t="shared" si="9"/>
        <v>44000</v>
      </c>
      <c r="M134" s="228">
        <f t="shared" si="10"/>
        <v>48400</v>
      </c>
      <c r="N134" s="18" t="s">
        <v>34</v>
      </c>
      <c r="O134" s="50"/>
      <c r="P134" s="52" t="s">
        <v>1608</v>
      </c>
    </row>
    <row r="135" spans="1:16" ht="21.75" customHeight="1" x14ac:dyDescent="0.4">
      <c r="A135" s="62">
        <v>45471</v>
      </c>
      <c r="B135" s="32" t="s">
        <v>3451</v>
      </c>
      <c r="C135" s="32"/>
      <c r="D135" s="18" t="s">
        <v>17</v>
      </c>
      <c r="E135" s="63" t="s">
        <v>332</v>
      </c>
      <c r="F135" s="63" t="s">
        <v>3556</v>
      </c>
      <c r="G135" s="50" t="s">
        <v>3579</v>
      </c>
      <c r="H135" s="57">
        <v>1300</v>
      </c>
      <c r="I135" s="227"/>
      <c r="J135" s="57">
        <f t="shared" si="8"/>
        <v>1300</v>
      </c>
      <c r="K135" s="50">
        <v>1</v>
      </c>
      <c r="L135" s="57">
        <f t="shared" si="9"/>
        <v>1300</v>
      </c>
      <c r="M135" s="228">
        <f t="shared" si="10"/>
        <v>1430</v>
      </c>
      <c r="N135" s="18" t="s">
        <v>34</v>
      </c>
      <c r="O135" s="50"/>
      <c r="P135" s="52" t="s">
        <v>1608</v>
      </c>
    </row>
    <row r="136" spans="1:16" ht="21.75" customHeight="1" x14ac:dyDescent="0.4">
      <c r="A136" s="62">
        <v>45472</v>
      </c>
      <c r="B136" s="32" t="s">
        <v>2363</v>
      </c>
      <c r="C136" s="32"/>
      <c r="D136" s="18" t="s">
        <v>27</v>
      </c>
      <c r="E136" s="63" t="s">
        <v>28</v>
      </c>
      <c r="F136" s="63"/>
      <c r="G136" s="50" t="s">
        <v>1897</v>
      </c>
      <c r="H136" s="57">
        <v>17500</v>
      </c>
      <c r="I136" s="227"/>
      <c r="J136" s="57">
        <f t="shared" si="8"/>
        <v>17500</v>
      </c>
      <c r="K136" s="50">
        <v>1</v>
      </c>
      <c r="L136" s="57">
        <f t="shared" si="9"/>
        <v>17500</v>
      </c>
      <c r="M136" s="228">
        <f t="shared" si="10"/>
        <v>19250</v>
      </c>
      <c r="N136" s="18" t="s">
        <v>20</v>
      </c>
      <c r="O136" s="50"/>
    </row>
    <row r="137" spans="1:16" ht="21.75" customHeight="1" x14ac:dyDescent="0.4">
      <c r="A137" s="62">
        <v>45472</v>
      </c>
      <c r="B137" s="32" t="s">
        <v>3465</v>
      </c>
      <c r="C137" s="32"/>
      <c r="D137" s="18" t="s">
        <v>2892</v>
      </c>
      <c r="E137" s="63" t="s">
        <v>23</v>
      </c>
      <c r="F137" s="63"/>
      <c r="G137" s="50" t="s">
        <v>2883</v>
      </c>
      <c r="H137" s="57">
        <v>15000</v>
      </c>
      <c r="I137" s="227"/>
      <c r="J137" s="57">
        <f t="shared" si="8"/>
        <v>15000</v>
      </c>
      <c r="K137" s="50">
        <v>1</v>
      </c>
      <c r="L137" s="57">
        <f t="shared" si="9"/>
        <v>15000</v>
      </c>
      <c r="M137" s="228">
        <f t="shared" si="10"/>
        <v>16500</v>
      </c>
      <c r="N137" s="18" t="s">
        <v>25</v>
      </c>
      <c r="O137" s="50" t="s">
        <v>1954</v>
      </c>
    </row>
    <row r="138" spans="1:16" ht="21.75" customHeight="1" x14ac:dyDescent="0.4">
      <c r="A138" s="62">
        <v>45472</v>
      </c>
      <c r="B138" s="32" t="s">
        <v>2523</v>
      </c>
      <c r="C138" s="32"/>
      <c r="D138" s="18" t="s">
        <v>17</v>
      </c>
      <c r="E138" s="63" t="s">
        <v>332</v>
      </c>
      <c r="F138" s="63" t="s">
        <v>3556</v>
      </c>
      <c r="G138" s="50" t="s">
        <v>3580</v>
      </c>
      <c r="H138" s="57">
        <v>1760</v>
      </c>
      <c r="I138" s="227">
        <v>-176</v>
      </c>
      <c r="J138" s="57">
        <f t="shared" si="8"/>
        <v>1584</v>
      </c>
      <c r="K138" s="50">
        <v>8</v>
      </c>
      <c r="L138" s="57">
        <f t="shared" si="9"/>
        <v>12672</v>
      </c>
      <c r="M138" s="228">
        <f t="shared" si="10"/>
        <v>13939</v>
      </c>
      <c r="N138" s="18" t="s">
        <v>20</v>
      </c>
      <c r="O138" s="50"/>
    </row>
    <row r="139" spans="1:16" ht="21.75" customHeight="1" x14ac:dyDescent="0.4">
      <c r="A139" s="62">
        <v>45472</v>
      </c>
      <c r="B139" s="32" t="s">
        <v>3465</v>
      </c>
      <c r="C139" s="32"/>
      <c r="D139" s="18" t="s">
        <v>17</v>
      </c>
      <c r="E139" s="63" t="s">
        <v>328</v>
      </c>
      <c r="F139" s="63" t="s">
        <v>33</v>
      </c>
      <c r="G139" s="50" t="s">
        <v>3618</v>
      </c>
      <c r="H139" s="57">
        <v>55000</v>
      </c>
      <c r="I139" s="227">
        <v>-11000</v>
      </c>
      <c r="J139" s="57">
        <f t="shared" si="8"/>
        <v>44000</v>
      </c>
      <c r="K139" s="50">
        <v>1</v>
      </c>
      <c r="L139" s="57">
        <f t="shared" si="9"/>
        <v>44000</v>
      </c>
      <c r="M139" s="228">
        <f t="shared" si="10"/>
        <v>48400</v>
      </c>
      <c r="N139" s="18" t="s">
        <v>34</v>
      </c>
      <c r="O139" s="50"/>
      <c r="P139" s="52" t="s">
        <v>1557</v>
      </c>
    </row>
    <row r="140" spans="1:16" ht="21.75" customHeight="1" x14ac:dyDescent="0.4">
      <c r="A140" s="62">
        <v>45472</v>
      </c>
      <c r="B140" s="32" t="s">
        <v>3465</v>
      </c>
      <c r="C140" s="32"/>
      <c r="D140" s="18" t="s">
        <v>17</v>
      </c>
      <c r="E140" s="63" t="s">
        <v>576</v>
      </c>
      <c r="F140" s="63" t="s">
        <v>3543</v>
      </c>
      <c r="G140" s="50" t="s">
        <v>3633</v>
      </c>
      <c r="H140" s="57">
        <v>90000</v>
      </c>
      <c r="I140" s="227">
        <v>-9000</v>
      </c>
      <c r="J140" s="57">
        <f t="shared" si="8"/>
        <v>81000</v>
      </c>
      <c r="K140" s="50">
        <v>1</v>
      </c>
      <c r="L140" s="57">
        <f t="shared" si="9"/>
        <v>81000</v>
      </c>
      <c r="M140" s="228">
        <f t="shared" si="10"/>
        <v>89100</v>
      </c>
      <c r="N140" s="18" t="s">
        <v>1121</v>
      </c>
      <c r="O140" s="50"/>
      <c r="P140" s="52" t="s">
        <v>1557</v>
      </c>
    </row>
    <row r="141" spans="1:16" ht="21.75" customHeight="1" x14ac:dyDescent="0.4">
      <c r="A141" s="62">
        <v>45473</v>
      </c>
      <c r="B141" s="32" t="s">
        <v>3344</v>
      </c>
      <c r="C141" s="32"/>
      <c r="D141" s="18" t="s">
        <v>27</v>
      </c>
      <c r="E141" s="63" t="s">
        <v>28</v>
      </c>
      <c r="F141" s="63"/>
      <c r="G141" s="50" t="s">
        <v>73</v>
      </c>
      <c r="H141" s="57">
        <v>2000</v>
      </c>
      <c r="I141" s="227"/>
      <c r="J141" s="57">
        <f t="shared" si="8"/>
        <v>2000</v>
      </c>
      <c r="K141" s="50">
        <v>1</v>
      </c>
      <c r="L141" s="57">
        <f t="shared" si="9"/>
        <v>2000</v>
      </c>
      <c r="M141" s="228">
        <f t="shared" si="10"/>
        <v>2200</v>
      </c>
      <c r="N141" s="18" t="s">
        <v>25</v>
      </c>
      <c r="O141" s="50"/>
    </row>
    <row r="142" spans="1:16" ht="21.75" customHeight="1" x14ac:dyDescent="0.4">
      <c r="A142" s="62">
        <v>45473</v>
      </c>
      <c r="B142" s="32" t="s">
        <v>1563</v>
      </c>
      <c r="C142" s="32"/>
      <c r="D142" s="18" t="s">
        <v>17</v>
      </c>
      <c r="E142" s="63" t="s">
        <v>292</v>
      </c>
      <c r="F142" s="63" t="s">
        <v>3642</v>
      </c>
      <c r="G142" s="50" t="s">
        <v>3652</v>
      </c>
      <c r="H142" s="57">
        <v>6300</v>
      </c>
      <c r="I142" s="227">
        <v>-1575</v>
      </c>
      <c r="J142" s="57">
        <f t="shared" si="8"/>
        <v>4725</v>
      </c>
      <c r="K142" s="50">
        <v>1</v>
      </c>
      <c r="L142" s="57">
        <f t="shared" si="9"/>
        <v>4725</v>
      </c>
      <c r="M142" s="228">
        <f t="shared" si="10"/>
        <v>5197</v>
      </c>
      <c r="N142" s="18" t="s">
        <v>34</v>
      </c>
      <c r="O142" s="50"/>
    </row>
    <row r="143" spans="1:16" ht="21.75" customHeight="1" x14ac:dyDescent="0.4">
      <c r="A143" s="62">
        <v>45473</v>
      </c>
      <c r="B143" s="32" t="s">
        <v>1563</v>
      </c>
      <c r="C143" s="32"/>
      <c r="D143" s="18" t="s">
        <v>17</v>
      </c>
      <c r="E143" s="63" t="s">
        <v>576</v>
      </c>
      <c r="F143" s="63" t="s">
        <v>3545</v>
      </c>
      <c r="G143" s="50" t="s">
        <v>3637</v>
      </c>
      <c r="H143" s="57">
        <v>50000</v>
      </c>
      <c r="I143" s="227">
        <v>-20000</v>
      </c>
      <c r="J143" s="57">
        <f t="shared" si="8"/>
        <v>30000</v>
      </c>
      <c r="K143" s="50">
        <v>1</v>
      </c>
      <c r="L143" s="57">
        <f t="shared" si="9"/>
        <v>30000</v>
      </c>
      <c r="M143" s="228">
        <f t="shared" si="10"/>
        <v>33000</v>
      </c>
      <c r="N143" s="18" t="s">
        <v>34</v>
      </c>
      <c r="O143" s="50"/>
    </row>
    <row r="144" spans="1:16" ht="21.75" customHeight="1" x14ac:dyDescent="0.4">
      <c r="A144" s="62">
        <v>45473</v>
      </c>
      <c r="B144" s="32" t="s">
        <v>1563</v>
      </c>
      <c r="C144" s="32"/>
      <c r="D144" s="18" t="s">
        <v>17</v>
      </c>
      <c r="E144" s="63" t="s">
        <v>576</v>
      </c>
      <c r="F144" s="63" t="s">
        <v>3545</v>
      </c>
      <c r="G144" s="50" t="s">
        <v>3638</v>
      </c>
      <c r="H144" s="57">
        <v>50000</v>
      </c>
      <c r="I144" s="227">
        <v>-20000</v>
      </c>
      <c r="J144" s="57">
        <f t="shared" si="8"/>
        <v>30000</v>
      </c>
      <c r="K144" s="50">
        <v>1</v>
      </c>
      <c r="L144" s="57">
        <f t="shared" si="9"/>
        <v>30000</v>
      </c>
      <c r="M144" s="228">
        <f t="shared" si="10"/>
        <v>33000</v>
      </c>
      <c r="N144" s="18" t="s">
        <v>34</v>
      </c>
      <c r="O144" s="50"/>
    </row>
    <row r="145" spans="1:16" ht="21.75" customHeight="1" x14ac:dyDescent="0.4">
      <c r="A145" s="62">
        <v>45473</v>
      </c>
      <c r="B145" s="32" t="s">
        <v>3462</v>
      </c>
      <c r="C145" s="32"/>
      <c r="D145" s="18" t="s">
        <v>17</v>
      </c>
      <c r="E145" s="63" t="s">
        <v>3466</v>
      </c>
      <c r="F145" s="63" t="s">
        <v>3553</v>
      </c>
      <c r="G145" s="50" t="s">
        <v>3632</v>
      </c>
      <c r="H145" s="57">
        <v>9800</v>
      </c>
      <c r="I145" s="227">
        <v>-1470</v>
      </c>
      <c r="J145" s="57">
        <f t="shared" si="8"/>
        <v>8330</v>
      </c>
      <c r="K145" s="50">
        <v>1</v>
      </c>
      <c r="L145" s="57">
        <f t="shared" si="9"/>
        <v>8330</v>
      </c>
      <c r="M145" s="228">
        <f t="shared" si="10"/>
        <v>9163</v>
      </c>
      <c r="N145" s="18" t="s">
        <v>25</v>
      </c>
      <c r="O145" s="50"/>
    </row>
    <row r="146" spans="1:16" ht="21.75" customHeight="1" x14ac:dyDescent="0.4">
      <c r="A146" s="62">
        <v>45474</v>
      </c>
      <c r="B146" s="32" t="s">
        <v>3486</v>
      </c>
      <c r="C146" s="32"/>
      <c r="D146" s="18" t="s">
        <v>22</v>
      </c>
      <c r="E146" s="63" t="s">
        <v>1496</v>
      </c>
      <c r="F146" s="63"/>
      <c r="G146" s="50" t="s">
        <v>49</v>
      </c>
      <c r="H146" s="57">
        <v>3000</v>
      </c>
      <c r="I146" s="227"/>
      <c r="J146" s="57">
        <f t="shared" si="8"/>
        <v>3000</v>
      </c>
      <c r="K146" s="50">
        <v>1</v>
      </c>
      <c r="L146" s="57">
        <f t="shared" ref="L146:L213" si="11">SUM(J146*K146)</f>
        <v>3000</v>
      </c>
      <c r="M146" s="232">
        <f t="shared" ref="M146:M213" si="12">ROUNDDOWN(L146*1.1,0)</f>
        <v>3300</v>
      </c>
      <c r="N146" s="18" t="s">
        <v>25</v>
      </c>
      <c r="O146" s="50" t="s">
        <v>1954</v>
      </c>
    </row>
    <row r="147" spans="1:16" ht="21.75" customHeight="1" x14ac:dyDescent="0.4">
      <c r="A147" s="62">
        <v>45474</v>
      </c>
      <c r="B147" s="32" t="s">
        <v>3487</v>
      </c>
      <c r="C147" s="32"/>
      <c r="D147" s="18" t="s">
        <v>2892</v>
      </c>
      <c r="E147" s="63" t="s">
        <v>23</v>
      </c>
      <c r="F147" s="63"/>
      <c r="G147" s="50" t="s">
        <v>96</v>
      </c>
      <c r="H147" s="57">
        <v>15000</v>
      </c>
      <c r="I147" s="227"/>
      <c r="J147" s="57">
        <f t="shared" si="8"/>
        <v>15000</v>
      </c>
      <c r="K147" s="50">
        <v>1</v>
      </c>
      <c r="L147" s="57">
        <f t="shared" si="11"/>
        <v>15000</v>
      </c>
      <c r="M147" s="228">
        <f t="shared" si="12"/>
        <v>16500</v>
      </c>
      <c r="N147" s="18" t="s">
        <v>25</v>
      </c>
      <c r="O147" s="50"/>
    </row>
    <row r="148" spans="1:16" ht="21.75" customHeight="1" x14ac:dyDescent="0.4">
      <c r="A148" s="62">
        <v>45474</v>
      </c>
      <c r="B148" s="32" t="s">
        <v>3486</v>
      </c>
      <c r="C148" s="32"/>
      <c r="D148" s="18" t="s">
        <v>27</v>
      </c>
      <c r="E148" s="63" t="s">
        <v>28</v>
      </c>
      <c r="F148" s="63"/>
      <c r="G148" s="50" t="s">
        <v>30</v>
      </c>
      <c r="H148" s="57">
        <v>15000</v>
      </c>
      <c r="I148" s="227"/>
      <c r="J148" s="57">
        <f t="shared" si="8"/>
        <v>15000</v>
      </c>
      <c r="K148" s="50">
        <v>1</v>
      </c>
      <c r="L148" s="57">
        <f t="shared" si="11"/>
        <v>15000</v>
      </c>
      <c r="M148" s="228">
        <f t="shared" si="12"/>
        <v>16500</v>
      </c>
      <c r="N148" s="18" t="s">
        <v>25</v>
      </c>
      <c r="O148" s="50"/>
      <c r="P148" s="90"/>
    </row>
    <row r="149" spans="1:16" ht="21.75" customHeight="1" x14ac:dyDescent="0.4">
      <c r="A149" s="62">
        <v>45474</v>
      </c>
      <c r="B149" s="32" t="s">
        <v>3486</v>
      </c>
      <c r="C149" s="32"/>
      <c r="D149" s="18" t="s">
        <v>27</v>
      </c>
      <c r="E149" s="63" t="s">
        <v>28</v>
      </c>
      <c r="F149" s="63"/>
      <c r="G149" s="50" t="s">
        <v>3468</v>
      </c>
      <c r="H149" s="57">
        <v>16870</v>
      </c>
      <c r="I149" s="227"/>
      <c r="J149" s="57">
        <f t="shared" ref="J149:J216" si="13">SUM(H149:I149)</f>
        <v>16870</v>
      </c>
      <c r="K149" s="50">
        <v>1</v>
      </c>
      <c r="L149" s="57">
        <f t="shared" si="11"/>
        <v>16870</v>
      </c>
      <c r="M149" s="228">
        <f t="shared" si="12"/>
        <v>18557</v>
      </c>
      <c r="N149" s="18" t="s">
        <v>25</v>
      </c>
      <c r="O149" s="50"/>
    </row>
    <row r="150" spans="1:16" ht="21.75" customHeight="1" x14ac:dyDescent="0.4">
      <c r="A150" s="62">
        <v>45474</v>
      </c>
      <c r="B150" s="32" t="s">
        <v>3488</v>
      </c>
      <c r="C150" s="32"/>
      <c r="D150" s="18" t="s">
        <v>3473</v>
      </c>
      <c r="E150" s="63" t="s">
        <v>332</v>
      </c>
      <c r="F150" s="63" t="s">
        <v>3552</v>
      </c>
      <c r="G150" s="50" t="s">
        <v>3583</v>
      </c>
      <c r="H150" s="57">
        <v>1500</v>
      </c>
      <c r="I150" s="227">
        <v>-150</v>
      </c>
      <c r="J150" s="57">
        <f t="shared" si="13"/>
        <v>1350</v>
      </c>
      <c r="K150" s="50">
        <v>1</v>
      </c>
      <c r="L150" s="57">
        <f t="shared" si="11"/>
        <v>1350</v>
      </c>
      <c r="M150" s="228">
        <f t="shared" si="12"/>
        <v>1485</v>
      </c>
      <c r="N150" s="18" t="s">
        <v>3489</v>
      </c>
      <c r="O150" s="50"/>
    </row>
    <row r="151" spans="1:16" ht="21.75" customHeight="1" x14ac:dyDescent="0.4">
      <c r="A151" s="62">
        <v>45474</v>
      </c>
      <c r="B151" s="32" t="s">
        <v>3490</v>
      </c>
      <c r="C151" s="32"/>
      <c r="D151" s="18" t="s">
        <v>27</v>
      </c>
      <c r="E151" s="63" t="s">
        <v>28</v>
      </c>
      <c r="F151" s="63"/>
      <c r="G151" s="50" t="s">
        <v>30</v>
      </c>
      <c r="H151" s="57">
        <v>15000</v>
      </c>
      <c r="I151" s="227"/>
      <c r="J151" s="57">
        <f t="shared" si="13"/>
        <v>15000</v>
      </c>
      <c r="K151" s="50">
        <v>1</v>
      </c>
      <c r="L151" s="57">
        <f t="shared" si="11"/>
        <v>15000</v>
      </c>
      <c r="M151" s="228">
        <f t="shared" si="12"/>
        <v>16500</v>
      </c>
      <c r="N151" s="18" t="s">
        <v>25</v>
      </c>
      <c r="O151" s="50"/>
    </row>
    <row r="152" spans="1:16" ht="21.75" customHeight="1" x14ac:dyDescent="0.4">
      <c r="A152" s="62">
        <v>45474</v>
      </c>
      <c r="B152" s="32" t="s">
        <v>3490</v>
      </c>
      <c r="C152" s="32"/>
      <c r="D152" s="18" t="s">
        <v>27</v>
      </c>
      <c r="E152" s="63" t="s">
        <v>28</v>
      </c>
      <c r="F152" s="63"/>
      <c r="G152" s="50" t="s">
        <v>3469</v>
      </c>
      <c r="H152" s="57">
        <v>9187</v>
      </c>
      <c r="I152" s="227"/>
      <c r="J152" s="57">
        <f t="shared" si="13"/>
        <v>9187</v>
      </c>
      <c r="K152" s="50">
        <v>1</v>
      </c>
      <c r="L152" s="57">
        <f t="shared" si="11"/>
        <v>9187</v>
      </c>
      <c r="M152" s="228">
        <f t="shared" si="12"/>
        <v>10105</v>
      </c>
      <c r="N152" s="18" t="s">
        <v>25</v>
      </c>
      <c r="O152" s="50"/>
    </row>
    <row r="153" spans="1:16" ht="21.75" customHeight="1" x14ac:dyDescent="0.4">
      <c r="A153" s="62">
        <v>45474</v>
      </c>
      <c r="B153" s="32" t="s">
        <v>3405</v>
      </c>
      <c r="C153" s="32"/>
      <c r="D153" s="18" t="s">
        <v>3473</v>
      </c>
      <c r="E153" s="63" t="s">
        <v>292</v>
      </c>
      <c r="F153" s="63" t="s">
        <v>3642</v>
      </c>
      <c r="G153" s="50" t="s">
        <v>679</v>
      </c>
      <c r="H153" s="57">
        <v>6300</v>
      </c>
      <c r="I153" s="227">
        <v>-630</v>
      </c>
      <c r="J153" s="57">
        <f t="shared" si="13"/>
        <v>5670</v>
      </c>
      <c r="K153" s="50">
        <v>1</v>
      </c>
      <c r="L153" s="57">
        <f t="shared" si="11"/>
        <v>5670</v>
      </c>
      <c r="M153" s="228">
        <f t="shared" si="12"/>
        <v>6237</v>
      </c>
      <c r="N153" s="18" t="s">
        <v>25</v>
      </c>
      <c r="O153" s="50"/>
    </row>
    <row r="154" spans="1:16" ht="21.75" customHeight="1" x14ac:dyDescent="0.4">
      <c r="A154" s="62">
        <v>45476</v>
      </c>
      <c r="B154" s="32" t="s">
        <v>3491</v>
      </c>
      <c r="C154" s="32"/>
      <c r="D154" s="18" t="s">
        <v>22</v>
      </c>
      <c r="E154" s="63" t="s">
        <v>1496</v>
      </c>
      <c r="F154" s="63"/>
      <c r="G154" s="50" t="s">
        <v>3470</v>
      </c>
      <c r="H154" s="57">
        <v>2000</v>
      </c>
      <c r="I154" s="227"/>
      <c r="J154" s="57">
        <f t="shared" si="13"/>
        <v>2000</v>
      </c>
      <c r="K154" s="50">
        <v>1</v>
      </c>
      <c r="L154" s="57">
        <f t="shared" si="11"/>
        <v>2000</v>
      </c>
      <c r="M154" s="228">
        <f t="shared" si="12"/>
        <v>2200</v>
      </c>
      <c r="N154" s="18" t="s">
        <v>3489</v>
      </c>
      <c r="O154" s="50"/>
    </row>
    <row r="155" spans="1:16" ht="21.75" customHeight="1" x14ac:dyDescent="0.4">
      <c r="A155" s="62">
        <v>45476</v>
      </c>
      <c r="B155" s="32" t="s">
        <v>503</v>
      </c>
      <c r="C155" s="32"/>
      <c r="D155" s="18" t="s">
        <v>3473</v>
      </c>
      <c r="E155" s="63" t="s">
        <v>3474</v>
      </c>
      <c r="F155" s="63" t="s">
        <v>3545</v>
      </c>
      <c r="G155" s="50" t="s">
        <v>3641</v>
      </c>
      <c r="H155" s="57">
        <v>20000</v>
      </c>
      <c r="I155" s="227">
        <v>-2000</v>
      </c>
      <c r="J155" s="57">
        <f t="shared" si="13"/>
        <v>18000</v>
      </c>
      <c r="K155" s="50">
        <v>1</v>
      </c>
      <c r="L155" s="57">
        <f t="shared" si="11"/>
        <v>18000</v>
      </c>
      <c r="M155" s="228">
        <f t="shared" si="12"/>
        <v>19800</v>
      </c>
      <c r="N155" s="18" t="s">
        <v>34</v>
      </c>
      <c r="O155" s="50"/>
    </row>
    <row r="156" spans="1:16" ht="21.75" customHeight="1" x14ac:dyDescent="0.4">
      <c r="A156" s="62">
        <v>45476</v>
      </c>
      <c r="B156" s="32" t="s">
        <v>3494</v>
      </c>
      <c r="C156" s="32"/>
      <c r="D156" s="18" t="s">
        <v>2892</v>
      </c>
      <c r="E156" s="63" t="s">
        <v>23</v>
      </c>
      <c r="F156" s="63"/>
      <c r="G156" s="50" t="s">
        <v>2883</v>
      </c>
      <c r="H156" s="57">
        <v>15000</v>
      </c>
      <c r="I156" s="227"/>
      <c r="J156" s="57">
        <f t="shared" ref="J156" si="14">SUM(H156:I156)</f>
        <v>15000</v>
      </c>
      <c r="K156" s="50">
        <v>1</v>
      </c>
      <c r="L156" s="57">
        <f t="shared" ref="L156" si="15">SUM(J156*K156)</f>
        <v>15000</v>
      </c>
      <c r="M156" s="228">
        <f t="shared" ref="M156" si="16">ROUNDDOWN(L156*1.1,0)</f>
        <v>16500</v>
      </c>
      <c r="N156" s="18" t="s">
        <v>25</v>
      </c>
      <c r="O156" s="50"/>
    </row>
    <row r="157" spans="1:16" ht="21.75" customHeight="1" x14ac:dyDescent="0.4">
      <c r="A157" s="62">
        <v>45476</v>
      </c>
      <c r="B157" s="32" t="s">
        <v>3485</v>
      </c>
      <c r="C157" s="32"/>
      <c r="D157" s="18" t="s">
        <v>2892</v>
      </c>
      <c r="E157" s="63" t="s">
        <v>23</v>
      </c>
      <c r="F157" s="63"/>
      <c r="G157" s="50" t="s">
        <v>2883</v>
      </c>
      <c r="H157" s="57">
        <v>15000</v>
      </c>
      <c r="I157" s="227"/>
      <c r="J157" s="57">
        <f t="shared" si="13"/>
        <v>15000</v>
      </c>
      <c r="K157" s="50">
        <v>1</v>
      </c>
      <c r="L157" s="57">
        <f t="shared" si="11"/>
        <v>15000</v>
      </c>
      <c r="M157" s="228">
        <f t="shared" si="12"/>
        <v>16500</v>
      </c>
      <c r="N157" s="18" t="s">
        <v>34</v>
      </c>
      <c r="O157" s="50"/>
    </row>
    <row r="158" spans="1:16" ht="21.75" customHeight="1" x14ac:dyDescent="0.4">
      <c r="A158" s="62">
        <v>45476</v>
      </c>
      <c r="B158" s="32" t="s">
        <v>3485</v>
      </c>
      <c r="C158" s="32"/>
      <c r="D158" s="18" t="s">
        <v>3479</v>
      </c>
      <c r="E158" s="63" t="s">
        <v>328</v>
      </c>
      <c r="F158" s="63" t="s">
        <v>3599</v>
      </c>
      <c r="G158" s="50" t="s">
        <v>3604</v>
      </c>
      <c r="H158" s="57">
        <v>72000</v>
      </c>
      <c r="I158" s="227">
        <v>-14400</v>
      </c>
      <c r="J158" s="57">
        <f t="shared" si="13"/>
        <v>57600</v>
      </c>
      <c r="K158" s="50">
        <v>1</v>
      </c>
      <c r="L158" s="57">
        <f t="shared" si="11"/>
        <v>57600</v>
      </c>
      <c r="M158" s="228">
        <f t="shared" si="12"/>
        <v>63360</v>
      </c>
      <c r="N158" s="18" t="s">
        <v>34</v>
      </c>
      <c r="O158" s="50"/>
      <c r="P158" s="52" t="s">
        <v>3538</v>
      </c>
    </row>
    <row r="159" spans="1:16" ht="21.75" customHeight="1" x14ac:dyDescent="0.4">
      <c r="A159" s="62">
        <v>45476</v>
      </c>
      <c r="B159" s="32" t="s">
        <v>3485</v>
      </c>
      <c r="C159" s="32"/>
      <c r="D159" s="18" t="s">
        <v>3479</v>
      </c>
      <c r="E159" s="63" t="s">
        <v>3482</v>
      </c>
      <c r="F159" s="63" t="s">
        <v>3627</v>
      </c>
      <c r="G159" s="50" t="s">
        <v>3639</v>
      </c>
      <c r="H159" s="57">
        <v>88000</v>
      </c>
      <c r="I159" s="227">
        <v>-8800</v>
      </c>
      <c r="J159" s="57">
        <f t="shared" si="13"/>
        <v>79200</v>
      </c>
      <c r="K159" s="50">
        <v>1</v>
      </c>
      <c r="L159" s="57">
        <f t="shared" si="11"/>
        <v>79200</v>
      </c>
      <c r="M159" s="228">
        <f t="shared" si="12"/>
        <v>87120</v>
      </c>
      <c r="N159" s="18" t="s">
        <v>34</v>
      </c>
      <c r="O159" s="50"/>
      <c r="P159" s="52" t="s">
        <v>3538</v>
      </c>
    </row>
    <row r="160" spans="1:16" ht="21.75" customHeight="1" x14ac:dyDescent="0.4">
      <c r="A160" s="62">
        <v>45476</v>
      </c>
      <c r="B160" s="32" t="s">
        <v>3485</v>
      </c>
      <c r="C160" s="32"/>
      <c r="D160" s="18" t="s">
        <v>3479</v>
      </c>
      <c r="E160" s="63" t="s">
        <v>332</v>
      </c>
      <c r="F160" s="63" t="s">
        <v>3555</v>
      </c>
      <c r="G160" s="50" t="s">
        <v>3559</v>
      </c>
      <c r="H160" s="57">
        <v>1400</v>
      </c>
      <c r="I160" s="227"/>
      <c r="J160" s="57">
        <f t="shared" si="13"/>
        <v>1400</v>
      </c>
      <c r="K160" s="50">
        <v>1</v>
      </c>
      <c r="L160" s="57">
        <f t="shared" si="11"/>
        <v>1400</v>
      </c>
      <c r="M160" s="228">
        <f t="shared" si="12"/>
        <v>1540</v>
      </c>
      <c r="N160" s="18" t="s">
        <v>34</v>
      </c>
      <c r="O160" s="50"/>
      <c r="P160" s="52" t="s">
        <v>3538</v>
      </c>
    </row>
    <row r="161" spans="1:16" ht="21.75" customHeight="1" x14ac:dyDescent="0.4">
      <c r="A161" s="62">
        <v>45476</v>
      </c>
      <c r="B161" s="32" t="s">
        <v>3485</v>
      </c>
      <c r="C161" s="32"/>
      <c r="D161" s="96" t="s">
        <v>3492</v>
      </c>
      <c r="E161" s="63"/>
      <c r="F161" s="63"/>
      <c r="G161" s="50" t="s">
        <v>3493</v>
      </c>
      <c r="H161" s="57">
        <v>-15000</v>
      </c>
      <c r="I161" s="227"/>
      <c r="J161" s="57">
        <f t="shared" si="13"/>
        <v>-15000</v>
      </c>
      <c r="K161" s="50">
        <v>1</v>
      </c>
      <c r="L161" s="57">
        <f t="shared" si="11"/>
        <v>-15000</v>
      </c>
      <c r="M161" s="228">
        <f t="shared" si="12"/>
        <v>-16500</v>
      </c>
      <c r="N161" s="18" t="s">
        <v>34</v>
      </c>
      <c r="O161" s="50" t="s">
        <v>3495</v>
      </c>
      <c r="P161" s="52" t="s">
        <v>3538</v>
      </c>
    </row>
    <row r="162" spans="1:16" ht="21.75" customHeight="1" x14ac:dyDescent="0.4">
      <c r="A162" s="62">
        <v>45476</v>
      </c>
      <c r="B162" s="32" t="s">
        <v>3496</v>
      </c>
      <c r="C162" s="32"/>
      <c r="D162" s="18" t="s">
        <v>2892</v>
      </c>
      <c r="E162" s="63" t="s">
        <v>23</v>
      </c>
      <c r="F162" s="63"/>
      <c r="G162" s="50" t="s">
        <v>2883</v>
      </c>
      <c r="H162" s="57">
        <v>10000</v>
      </c>
      <c r="I162" s="227"/>
      <c r="J162" s="57">
        <f t="shared" si="13"/>
        <v>10000</v>
      </c>
      <c r="K162" s="50">
        <v>1</v>
      </c>
      <c r="L162" s="57">
        <f t="shared" si="11"/>
        <v>10000</v>
      </c>
      <c r="M162" s="228">
        <f t="shared" si="12"/>
        <v>11000</v>
      </c>
      <c r="N162" s="18" t="s">
        <v>3489</v>
      </c>
      <c r="O162" s="50"/>
    </row>
    <row r="163" spans="1:16" ht="21.75" customHeight="1" x14ac:dyDescent="0.4">
      <c r="A163" s="62">
        <v>45477</v>
      </c>
      <c r="B163" s="32" t="s">
        <v>3450</v>
      </c>
      <c r="C163" s="32"/>
      <c r="D163" s="18" t="s">
        <v>27</v>
      </c>
      <c r="E163" s="63" t="s">
        <v>28</v>
      </c>
      <c r="F163" s="63"/>
      <c r="G163" s="50" t="s">
        <v>30</v>
      </c>
      <c r="H163" s="57">
        <v>15000</v>
      </c>
      <c r="I163" s="227"/>
      <c r="J163" s="57">
        <f t="shared" si="13"/>
        <v>15000</v>
      </c>
      <c r="K163" s="50">
        <v>1</v>
      </c>
      <c r="L163" s="57">
        <f t="shared" si="11"/>
        <v>15000</v>
      </c>
      <c r="M163" s="228">
        <f t="shared" si="12"/>
        <v>16500</v>
      </c>
      <c r="N163" s="18" t="s">
        <v>25</v>
      </c>
      <c r="O163" s="50"/>
    </row>
    <row r="164" spans="1:16" ht="21.75" customHeight="1" x14ac:dyDescent="0.4">
      <c r="A164" s="62">
        <v>45477</v>
      </c>
      <c r="B164" s="32" t="s">
        <v>3450</v>
      </c>
      <c r="C164" s="32"/>
      <c r="D164" s="18" t="s">
        <v>27</v>
      </c>
      <c r="E164" s="63" t="s">
        <v>28</v>
      </c>
      <c r="F164" s="63"/>
      <c r="G164" s="50" t="s">
        <v>29</v>
      </c>
      <c r="H164" s="57">
        <v>13120</v>
      </c>
      <c r="I164" s="227"/>
      <c r="J164" s="57">
        <f t="shared" si="13"/>
        <v>13120</v>
      </c>
      <c r="K164" s="50">
        <v>1</v>
      </c>
      <c r="L164" s="57">
        <f t="shared" si="11"/>
        <v>13120</v>
      </c>
      <c r="M164" s="228">
        <f t="shared" si="12"/>
        <v>14432</v>
      </c>
      <c r="N164" s="18" t="s">
        <v>25</v>
      </c>
      <c r="O164" s="50"/>
    </row>
    <row r="165" spans="1:16" ht="21.75" customHeight="1" x14ac:dyDescent="0.4">
      <c r="A165" s="62">
        <v>45477</v>
      </c>
      <c r="B165" s="32" t="s">
        <v>3411</v>
      </c>
      <c r="C165" s="32"/>
      <c r="D165" s="18" t="s">
        <v>27</v>
      </c>
      <c r="E165" s="63" t="s">
        <v>28</v>
      </c>
      <c r="F165" s="63"/>
      <c r="G165" s="50" t="s">
        <v>29</v>
      </c>
      <c r="H165" s="57">
        <v>13120</v>
      </c>
      <c r="I165" s="227"/>
      <c r="J165" s="57">
        <f t="shared" si="13"/>
        <v>13120</v>
      </c>
      <c r="K165" s="50">
        <v>1</v>
      </c>
      <c r="L165" s="57">
        <f t="shared" si="11"/>
        <v>13120</v>
      </c>
      <c r="M165" s="228">
        <f t="shared" si="12"/>
        <v>14432</v>
      </c>
      <c r="N165" s="18" t="s">
        <v>25</v>
      </c>
      <c r="O165" s="50"/>
    </row>
    <row r="166" spans="1:16" ht="21.75" customHeight="1" x14ac:dyDescent="0.4">
      <c r="A166" s="62">
        <v>45477</v>
      </c>
      <c r="B166" s="32" t="s">
        <v>3497</v>
      </c>
      <c r="C166" s="32"/>
      <c r="D166" s="96" t="s">
        <v>3492</v>
      </c>
      <c r="E166" s="63" t="s">
        <v>28</v>
      </c>
      <c r="F166" s="63"/>
      <c r="G166" s="50" t="s">
        <v>79</v>
      </c>
      <c r="H166" s="186">
        <v>-17500</v>
      </c>
      <c r="I166" s="265"/>
      <c r="J166" s="186">
        <f t="shared" si="13"/>
        <v>-17500</v>
      </c>
      <c r="K166" s="159">
        <v>1</v>
      </c>
      <c r="L166" s="186">
        <f t="shared" si="11"/>
        <v>-17500</v>
      </c>
      <c r="M166" s="231">
        <f t="shared" si="12"/>
        <v>-19250</v>
      </c>
      <c r="N166" s="192" t="s">
        <v>3489</v>
      </c>
      <c r="O166" s="50" t="s">
        <v>3498</v>
      </c>
    </row>
    <row r="167" spans="1:16" ht="21.75" customHeight="1" x14ac:dyDescent="0.4">
      <c r="A167" s="62">
        <v>45477</v>
      </c>
      <c r="B167" s="32" t="s">
        <v>139</v>
      </c>
      <c r="C167" s="32"/>
      <c r="D167" s="18" t="s">
        <v>3479</v>
      </c>
      <c r="E167" s="63" t="s">
        <v>332</v>
      </c>
      <c r="F167" s="63" t="s">
        <v>3555</v>
      </c>
      <c r="G167" s="50" t="s">
        <v>3561</v>
      </c>
      <c r="H167" s="57">
        <v>1750</v>
      </c>
      <c r="I167" s="227">
        <v>-175</v>
      </c>
      <c r="J167" s="57">
        <f t="shared" si="13"/>
        <v>1575</v>
      </c>
      <c r="K167" s="50">
        <v>1</v>
      </c>
      <c r="L167" s="57">
        <f t="shared" si="11"/>
        <v>1575</v>
      </c>
      <c r="M167" s="228">
        <f t="shared" si="12"/>
        <v>1732</v>
      </c>
      <c r="N167" s="18" t="s">
        <v>25</v>
      </c>
      <c r="O167" s="50"/>
    </row>
    <row r="168" spans="1:16" ht="21.75" customHeight="1" x14ac:dyDescent="0.4">
      <c r="A168" s="62">
        <v>45477</v>
      </c>
      <c r="B168" s="32" t="s">
        <v>3499</v>
      </c>
      <c r="C168" s="32"/>
      <c r="D168" s="18" t="s">
        <v>3479</v>
      </c>
      <c r="E168" s="63" t="s">
        <v>3422</v>
      </c>
      <c r="F168" s="63"/>
      <c r="G168" s="50" t="s">
        <v>3471</v>
      </c>
      <c r="H168" s="57">
        <v>5000</v>
      </c>
      <c r="I168" s="227"/>
      <c r="J168" s="57">
        <f t="shared" si="13"/>
        <v>5000</v>
      </c>
      <c r="K168" s="50">
        <v>1</v>
      </c>
      <c r="L168" s="57">
        <f t="shared" si="11"/>
        <v>5000</v>
      </c>
      <c r="M168" s="228">
        <f t="shared" si="12"/>
        <v>5500</v>
      </c>
      <c r="N168" s="18" t="s">
        <v>25</v>
      </c>
      <c r="O168" s="50"/>
    </row>
    <row r="169" spans="1:16" ht="21.75" customHeight="1" x14ac:dyDescent="0.4">
      <c r="A169" s="62">
        <v>45477</v>
      </c>
      <c r="B169" s="32" t="s">
        <v>179</v>
      </c>
      <c r="C169" s="32"/>
      <c r="D169" s="18" t="s">
        <v>2892</v>
      </c>
      <c r="E169" s="63" t="s">
        <v>23</v>
      </c>
      <c r="F169" s="63"/>
      <c r="G169" s="50" t="s">
        <v>2883</v>
      </c>
      <c r="H169" s="57">
        <v>10000</v>
      </c>
      <c r="I169" s="227"/>
      <c r="J169" s="57">
        <f t="shared" si="13"/>
        <v>10000</v>
      </c>
      <c r="K169" s="50">
        <v>1</v>
      </c>
      <c r="L169" s="57">
        <f t="shared" si="11"/>
        <v>10000</v>
      </c>
      <c r="M169" s="228">
        <f t="shared" si="12"/>
        <v>11000</v>
      </c>
      <c r="N169" s="18" t="s">
        <v>3489</v>
      </c>
      <c r="O169" s="50"/>
    </row>
    <row r="170" spans="1:16" ht="21.75" customHeight="1" x14ac:dyDescent="0.4">
      <c r="A170" s="62">
        <v>45477</v>
      </c>
      <c r="B170" s="32" t="s">
        <v>179</v>
      </c>
      <c r="C170" s="32"/>
      <c r="D170" s="18" t="s">
        <v>3479</v>
      </c>
      <c r="E170" s="63" t="s">
        <v>328</v>
      </c>
      <c r="F170" s="63" t="s">
        <v>3595</v>
      </c>
      <c r="G170" s="50" t="s">
        <v>3611</v>
      </c>
      <c r="H170" s="57">
        <v>20000</v>
      </c>
      <c r="I170" s="227">
        <v>-6000</v>
      </c>
      <c r="J170" s="57">
        <f t="shared" si="13"/>
        <v>14000</v>
      </c>
      <c r="K170" s="50">
        <v>1</v>
      </c>
      <c r="L170" s="57">
        <f t="shared" si="11"/>
        <v>14000</v>
      </c>
      <c r="M170" s="228">
        <f t="shared" si="12"/>
        <v>15400</v>
      </c>
      <c r="N170" s="18" t="s">
        <v>3489</v>
      </c>
      <c r="O170" s="50"/>
      <c r="P170" s="52" t="s">
        <v>3539</v>
      </c>
    </row>
    <row r="171" spans="1:16" ht="21.75" customHeight="1" x14ac:dyDescent="0.4">
      <c r="A171" s="62">
        <v>45477</v>
      </c>
      <c r="B171" s="32" t="s">
        <v>179</v>
      </c>
      <c r="C171" s="32"/>
      <c r="D171" s="18" t="s">
        <v>3479</v>
      </c>
      <c r="E171" s="63" t="s">
        <v>332</v>
      </c>
      <c r="F171" s="63" t="s">
        <v>3551</v>
      </c>
      <c r="G171" s="50" t="s">
        <v>3567</v>
      </c>
      <c r="H171" s="57">
        <v>2600</v>
      </c>
      <c r="I171" s="227">
        <v>-260</v>
      </c>
      <c r="J171" s="57">
        <f t="shared" si="13"/>
        <v>2340</v>
      </c>
      <c r="K171" s="50">
        <v>2</v>
      </c>
      <c r="L171" s="57">
        <f t="shared" si="11"/>
        <v>4680</v>
      </c>
      <c r="M171" s="228">
        <f t="shared" si="12"/>
        <v>5148</v>
      </c>
      <c r="N171" s="18" t="s">
        <v>3489</v>
      </c>
      <c r="O171" s="50"/>
      <c r="P171" s="52" t="s">
        <v>3539</v>
      </c>
    </row>
    <row r="172" spans="1:16" ht="21.75" customHeight="1" x14ac:dyDescent="0.4">
      <c r="A172" s="62">
        <v>45477</v>
      </c>
      <c r="B172" s="32" t="s">
        <v>179</v>
      </c>
      <c r="C172" s="32"/>
      <c r="D172" s="96" t="s">
        <v>3492</v>
      </c>
      <c r="E172" s="63"/>
      <c r="F172" s="63"/>
      <c r="G172" s="50" t="s">
        <v>3493</v>
      </c>
      <c r="H172" s="57">
        <v>-10000</v>
      </c>
      <c r="I172" s="227"/>
      <c r="J172" s="57">
        <f t="shared" si="13"/>
        <v>-10000</v>
      </c>
      <c r="K172" s="50">
        <v>1</v>
      </c>
      <c r="L172" s="57">
        <f t="shared" si="11"/>
        <v>-10000</v>
      </c>
      <c r="M172" s="228">
        <f t="shared" si="12"/>
        <v>-11000</v>
      </c>
      <c r="N172" s="18" t="s">
        <v>3489</v>
      </c>
      <c r="O172" s="50" t="s">
        <v>3500</v>
      </c>
      <c r="P172" s="52" t="s">
        <v>3539</v>
      </c>
    </row>
    <row r="173" spans="1:16" ht="21.75" customHeight="1" x14ac:dyDescent="0.4">
      <c r="A173" s="62">
        <v>45477</v>
      </c>
      <c r="B173" s="32" t="s">
        <v>3117</v>
      </c>
      <c r="C173" s="32"/>
      <c r="D173" s="18" t="s">
        <v>2892</v>
      </c>
      <c r="E173" s="63" t="s">
        <v>23</v>
      </c>
      <c r="F173" s="63"/>
      <c r="G173" s="50" t="s">
        <v>2883</v>
      </c>
      <c r="H173" s="57">
        <v>10000</v>
      </c>
      <c r="I173" s="227"/>
      <c r="J173" s="57">
        <f t="shared" si="13"/>
        <v>10000</v>
      </c>
      <c r="K173" s="50">
        <v>1</v>
      </c>
      <c r="L173" s="57">
        <f t="shared" si="11"/>
        <v>10000</v>
      </c>
      <c r="M173" s="228">
        <f t="shared" si="12"/>
        <v>11000</v>
      </c>
      <c r="N173" s="18" t="s">
        <v>3489</v>
      </c>
      <c r="O173" s="50"/>
    </row>
    <row r="174" spans="1:16" ht="21.75" customHeight="1" x14ac:dyDescent="0.4">
      <c r="A174" s="62">
        <v>45477</v>
      </c>
      <c r="B174" s="32" t="s">
        <v>3117</v>
      </c>
      <c r="C174" s="32"/>
      <c r="D174" s="18" t="s">
        <v>3479</v>
      </c>
      <c r="E174" s="63" t="s">
        <v>328</v>
      </c>
      <c r="F174" s="63" t="s">
        <v>3599</v>
      </c>
      <c r="G174" s="50" t="s">
        <v>3605</v>
      </c>
      <c r="H174" s="57">
        <v>72000</v>
      </c>
      <c r="I174" s="227">
        <v>-21600</v>
      </c>
      <c r="J174" s="57">
        <f t="shared" si="13"/>
        <v>50400</v>
      </c>
      <c r="K174" s="50">
        <v>1</v>
      </c>
      <c r="L174" s="57">
        <f t="shared" si="11"/>
        <v>50400</v>
      </c>
      <c r="M174" s="228">
        <f t="shared" si="12"/>
        <v>55440</v>
      </c>
      <c r="N174" s="18" t="s">
        <v>3489</v>
      </c>
      <c r="O174" s="50"/>
      <c r="P174" s="52" t="s">
        <v>3538</v>
      </c>
    </row>
    <row r="175" spans="1:16" ht="21.75" customHeight="1" x14ac:dyDescent="0.4">
      <c r="A175" s="62">
        <v>45477</v>
      </c>
      <c r="B175" s="32" t="s">
        <v>3117</v>
      </c>
      <c r="C175" s="32"/>
      <c r="D175" s="18" t="s">
        <v>3479</v>
      </c>
      <c r="E175" s="63" t="s">
        <v>332</v>
      </c>
      <c r="F175" s="63" t="s">
        <v>3549</v>
      </c>
      <c r="G175" s="50" t="s">
        <v>3575</v>
      </c>
      <c r="H175" s="57">
        <v>1700</v>
      </c>
      <c r="I175" s="227">
        <v>-170</v>
      </c>
      <c r="J175" s="57">
        <f t="shared" si="13"/>
        <v>1530</v>
      </c>
      <c r="K175" s="50">
        <v>1</v>
      </c>
      <c r="L175" s="57">
        <f t="shared" si="11"/>
        <v>1530</v>
      </c>
      <c r="M175" s="228">
        <f t="shared" si="12"/>
        <v>1683</v>
      </c>
      <c r="N175" s="18" t="s">
        <v>3489</v>
      </c>
      <c r="O175" s="50"/>
      <c r="P175" s="52" t="s">
        <v>3538</v>
      </c>
    </row>
    <row r="176" spans="1:16" ht="21.75" customHeight="1" x14ac:dyDescent="0.4">
      <c r="A176" s="62">
        <v>45478</v>
      </c>
      <c r="B176" s="32" t="s">
        <v>3501</v>
      </c>
      <c r="C176" s="32"/>
      <c r="D176" s="18" t="s">
        <v>2892</v>
      </c>
      <c r="E176" s="63" t="s">
        <v>23</v>
      </c>
      <c r="F176" s="63"/>
      <c r="G176" s="50" t="s">
        <v>2883</v>
      </c>
      <c r="H176" s="57">
        <v>15000</v>
      </c>
      <c r="I176" s="227">
        <v>-7500</v>
      </c>
      <c r="J176" s="57">
        <f t="shared" si="13"/>
        <v>7500</v>
      </c>
      <c r="K176" s="50">
        <v>1</v>
      </c>
      <c r="L176" s="57">
        <f t="shared" si="11"/>
        <v>7500</v>
      </c>
      <c r="M176" s="228">
        <f t="shared" si="12"/>
        <v>8250</v>
      </c>
      <c r="N176" s="18" t="s">
        <v>25</v>
      </c>
      <c r="O176" s="50"/>
    </row>
    <row r="177" spans="1:16" ht="21.75" customHeight="1" x14ac:dyDescent="0.4">
      <c r="A177" s="62">
        <v>45478</v>
      </c>
      <c r="B177" s="32" t="s">
        <v>3501</v>
      </c>
      <c r="C177" s="32"/>
      <c r="D177" s="18" t="s">
        <v>3479</v>
      </c>
      <c r="E177" s="63" t="s">
        <v>328</v>
      </c>
      <c r="F177" s="63" t="s">
        <v>33</v>
      </c>
      <c r="G177" s="50" t="s">
        <v>3619</v>
      </c>
      <c r="H177" s="57">
        <v>50000</v>
      </c>
      <c r="I177" s="227">
        <v>-10000</v>
      </c>
      <c r="J177" s="57">
        <f t="shared" si="13"/>
        <v>40000</v>
      </c>
      <c r="K177" s="50">
        <v>1</v>
      </c>
      <c r="L177" s="57">
        <f t="shared" si="11"/>
        <v>40000</v>
      </c>
      <c r="M177" s="228">
        <f t="shared" si="12"/>
        <v>44000</v>
      </c>
      <c r="N177" s="18" t="s">
        <v>34</v>
      </c>
      <c r="O177" s="50"/>
      <c r="P177" s="52" t="s">
        <v>3539</v>
      </c>
    </row>
    <row r="178" spans="1:16" ht="21.75" customHeight="1" x14ac:dyDescent="0.4">
      <c r="A178" s="62">
        <v>45478</v>
      </c>
      <c r="B178" s="32" t="s">
        <v>3501</v>
      </c>
      <c r="C178" s="32"/>
      <c r="D178" s="18" t="s">
        <v>3479</v>
      </c>
      <c r="E178" s="63" t="s">
        <v>332</v>
      </c>
      <c r="F178" s="63" t="s">
        <v>3549</v>
      </c>
      <c r="G178" s="50" t="s">
        <v>3576</v>
      </c>
      <c r="H178" s="57">
        <v>2000</v>
      </c>
      <c r="I178" s="227"/>
      <c r="J178" s="57">
        <f t="shared" si="13"/>
        <v>2000</v>
      </c>
      <c r="K178" s="50">
        <v>1</v>
      </c>
      <c r="L178" s="57">
        <f t="shared" si="11"/>
        <v>2000</v>
      </c>
      <c r="M178" s="228">
        <f t="shared" si="12"/>
        <v>2200</v>
      </c>
      <c r="N178" s="18" t="s">
        <v>34</v>
      </c>
      <c r="O178" s="50"/>
      <c r="P178" s="52" t="s">
        <v>3539</v>
      </c>
    </row>
    <row r="179" spans="1:16" ht="21.75" customHeight="1" x14ac:dyDescent="0.4">
      <c r="A179" s="62">
        <v>45478</v>
      </c>
      <c r="B179" s="32" t="s">
        <v>3454</v>
      </c>
      <c r="C179" s="32"/>
      <c r="D179" s="18" t="s">
        <v>27</v>
      </c>
      <c r="E179" s="63" t="s">
        <v>28</v>
      </c>
      <c r="F179" s="63"/>
      <c r="G179" s="50" t="s">
        <v>30</v>
      </c>
      <c r="H179" s="57">
        <v>15000</v>
      </c>
      <c r="I179" s="227"/>
      <c r="J179" s="57">
        <f t="shared" si="13"/>
        <v>15000</v>
      </c>
      <c r="K179" s="50">
        <v>1</v>
      </c>
      <c r="L179" s="57">
        <f t="shared" si="11"/>
        <v>15000</v>
      </c>
      <c r="M179" s="228">
        <f t="shared" si="12"/>
        <v>16500</v>
      </c>
      <c r="N179" s="18" t="s">
        <v>25</v>
      </c>
      <c r="O179" s="50"/>
    </row>
    <row r="180" spans="1:16" ht="21.75" customHeight="1" x14ac:dyDescent="0.4">
      <c r="A180" s="62">
        <v>45478</v>
      </c>
      <c r="B180" s="32" t="s">
        <v>148</v>
      </c>
      <c r="C180" s="32"/>
      <c r="D180" s="18" t="s">
        <v>3479</v>
      </c>
      <c r="E180" s="63" t="s">
        <v>332</v>
      </c>
      <c r="F180" s="63" t="s">
        <v>3555</v>
      </c>
      <c r="G180" s="50" t="s">
        <v>3562</v>
      </c>
      <c r="H180" s="57">
        <v>1200</v>
      </c>
      <c r="I180" s="227">
        <v>-120</v>
      </c>
      <c r="J180" s="57">
        <f t="shared" si="13"/>
        <v>1080</v>
      </c>
      <c r="K180" s="50">
        <v>1</v>
      </c>
      <c r="L180" s="57">
        <f t="shared" si="11"/>
        <v>1080</v>
      </c>
      <c r="M180" s="228">
        <f t="shared" si="12"/>
        <v>1188</v>
      </c>
      <c r="N180" s="18" t="s">
        <v>3489</v>
      </c>
      <c r="O180" s="50"/>
    </row>
    <row r="181" spans="1:16" ht="21.75" customHeight="1" x14ac:dyDescent="0.4">
      <c r="A181" s="62">
        <v>45479</v>
      </c>
      <c r="B181" s="32" t="s">
        <v>678</v>
      </c>
      <c r="C181" s="32"/>
      <c r="D181" s="18" t="s">
        <v>3479</v>
      </c>
      <c r="E181" s="63" t="s">
        <v>332</v>
      </c>
      <c r="F181" s="63" t="s">
        <v>3549</v>
      </c>
      <c r="G181" s="50" t="s">
        <v>3577</v>
      </c>
      <c r="H181" s="57">
        <v>1800</v>
      </c>
      <c r="I181" s="227">
        <v>-180</v>
      </c>
      <c r="J181" s="57">
        <f t="shared" si="13"/>
        <v>1620</v>
      </c>
      <c r="K181" s="50">
        <v>6</v>
      </c>
      <c r="L181" s="57">
        <f t="shared" si="11"/>
        <v>9720</v>
      </c>
      <c r="M181" s="228">
        <f t="shared" si="12"/>
        <v>10692</v>
      </c>
      <c r="N181" s="18" t="s">
        <v>25</v>
      </c>
      <c r="O181" s="50"/>
    </row>
    <row r="182" spans="1:16" ht="21.75" customHeight="1" x14ac:dyDescent="0.4">
      <c r="A182" s="62">
        <v>45479</v>
      </c>
      <c r="B182" s="32" t="s">
        <v>1077</v>
      </c>
      <c r="C182" s="32"/>
      <c r="D182" s="18" t="s">
        <v>27</v>
      </c>
      <c r="E182" s="63" t="s">
        <v>28</v>
      </c>
      <c r="F182" s="63"/>
      <c r="G182" s="50" t="s">
        <v>79</v>
      </c>
      <c r="H182" s="57">
        <v>17500</v>
      </c>
      <c r="I182" s="227"/>
      <c r="J182" s="57">
        <f t="shared" si="13"/>
        <v>17500</v>
      </c>
      <c r="K182" s="50">
        <v>1</v>
      </c>
      <c r="L182" s="57">
        <f t="shared" si="11"/>
        <v>17500</v>
      </c>
      <c r="M182" s="228">
        <f t="shared" si="12"/>
        <v>19250</v>
      </c>
      <c r="N182" s="18" t="s">
        <v>25</v>
      </c>
      <c r="O182" s="50"/>
    </row>
    <row r="183" spans="1:16" ht="21.75" customHeight="1" x14ac:dyDescent="0.4">
      <c r="A183" s="62">
        <v>45480</v>
      </c>
      <c r="B183" s="32" t="s">
        <v>3502</v>
      </c>
      <c r="C183" s="32"/>
      <c r="D183" s="18" t="s">
        <v>3479</v>
      </c>
      <c r="E183" s="63" t="s">
        <v>328</v>
      </c>
      <c r="F183" s="63" t="s">
        <v>3595</v>
      </c>
      <c r="G183" s="50" t="s">
        <v>3612</v>
      </c>
      <c r="H183" s="57">
        <v>40000</v>
      </c>
      <c r="I183" s="227">
        <v>-12000</v>
      </c>
      <c r="J183" s="57">
        <f t="shared" si="13"/>
        <v>28000</v>
      </c>
      <c r="K183" s="50">
        <v>1</v>
      </c>
      <c r="L183" s="57">
        <f t="shared" si="11"/>
        <v>28000</v>
      </c>
      <c r="M183" s="228">
        <f t="shared" si="12"/>
        <v>30800</v>
      </c>
      <c r="N183" s="18" t="s">
        <v>34</v>
      </c>
      <c r="O183" s="50"/>
    </row>
    <row r="184" spans="1:16" ht="21.75" customHeight="1" x14ac:dyDescent="0.4">
      <c r="A184" s="62">
        <v>45480</v>
      </c>
      <c r="B184" s="32" t="s">
        <v>3503</v>
      </c>
      <c r="C184" s="32"/>
      <c r="D184" s="18" t="s">
        <v>27</v>
      </c>
      <c r="E184" s="63" t="s">
        <v>28</v>
      </c>
      <c r="F184" s="63"/>
      <c r="G184" s="50" t="s">
        <v>79</v>
      </c>
      <c r="H184" s="57">
        <v>17500</v>
      </c>
      <c r="I184" s="227"/>
      <c r="J184" s="57">
        <f t="shared" si="13"/>
        <v>17500</v>
      </c>
      <c r="K184" s="50">
        <v>1</v>
      </c>
      <c r="L184" s="57">
        <f t="shared" si="11"/>
        <v>17500</v>
      </c>
      <c r="M184" s="228">
        <f t="shared" si="12"/>
        <v>19250</v>
      </c>
      <c r="N184" s="18" t="s">
        <v>25</v>
      </c>
      <c r="O184" s="50"/>
    </row>
    <row r="185" spans="1:16" ht="21.75" customHeight="1" x14ac:dyDescent="0.4">
      <c r="A185" s="62">
        <v>45480</v>
      </c>
      <c r="B185" s="32" t="s">
        <v>3504</v>
      </c>
      <c r="C185" s="32"/>
      <c r="D185" s="18" t="s">
        <v>27</v>
      </c>
      <c r="E185" s="63" t="s">
        <v>28</v>
      </c>
      <c r="F185" s="63"/>
      <c r="G185" s="50" t="s">
        <v>79</v>
      </c>
      <c r="H185" s="57">
        <v>17500</v>
      </c>
      <c r="I185" s="227"/>
      <c r="J185" s="57">
        <f t="shared" si="13"/>
        <v>17500</v>
      </c>
      <c r="K185" s="50">
        <v>1</v>
      </c>
      <c r="L185" s="57">
        <f t="shared" si="11"/>
        <v>17500</v>
      </c>
      <c r="M185" s="228">
        <f t="shared" si="12"/>
        <v>19250</v>
      </c>
      <c r="N185" s="18" t="s">
        <v>25</v>
      </c>
      <c r="O185" s="50"/>
    </row>
    <row r="186" spans="1:16" ht="21.75" customHeight="1" x14ac:dyDescent="0.4">
      <c r="A186" s="62">
        <v>45480</v>
      </c>
      <c r="B186" s="32" t="s">
        <v>3505</v>
      </c>
      <c r="C186" s="32"/>
      <c r="D186" s="18" t="s">
        <v>3479</v>
      </c>
      <c r="E186" s="63" t="s">
        <v>328</v>
      </c>
      <c r="F186" s="63" t="s">
        <v>3597</v>
      </c>
      <c r="G186" s="50" t="s">
        <v>3606</v>
      </c>
      <c r="H186" s="57">
        <v>5300</v>
      </c>
      <c r="I186" s="227">
        <v>-530</v>
      </c>
      <c r="J186" s="57">
        <f t="shared" si="13"/>
        <v>4770</v>
      </c>
      <c r="K186" s="50">
        <v>3</v>
      </c>
      <c r="L186" s="57">
        <f t="shared" si="11"/>
        <v>14310</v>
      </c>
      <c r="M186" s="228">
        <f t="shared" si="12"/>
        <v>15741</v>
      </c>
      <c r="N186" s="18" t="s">
        <v>3489</v>
      </c>
      <c r="O186" s="50"/>
      <c r="P186" s="52" t="s">
        <v>3538</v>
      </c>
    </row>
    <row r="187" spans="1:16" ht="21.75" customHeight="1" x14ac:dyDescent="0.4">
      <c r="A187" s="62">
        <v>45481</v>
      </c>
      <c r="B187" s="32" t="s">
        <v>3506</v>
      </c>
      <c r="C187" s="32"/>
      <c r="D187" s="18" t="s">
        <v>22</v>
      </c>
      <c r="E187" s="63" t="s">
        <v>1496</v>
      </c>
      <c r="F187" s="63"/>
      <c r="G187" s="50" t="s">
        <v>3470</v>
      </c>
      <c r="H187" s="57">
        <v>2000</v>
      </c>
      <c r="I187" s="227"/>
      <c r="J187" s="57">
        <f t="shared" si="13"/>
        <v>2000</v>
      </c>
      <c r="K187" s="50">
        <v>1</v>
      </c>
      <c r="L187" s="57">
        <f t="shared" si="11"/>
        <v>2000</v>
      </c>
      <c r="M187" s="228">
        <f t="shared" si="12"/>
        <v>2200</v>
      </c>
      <c r="N187" s="18" t="s">
        <v>3489</v>
      </c>
      <c r="O187" s="50"/>
    </row>
    <row r="188" spans="1:16" ht="21.75" customHeight="1" x14ac:dyDescent="0.4">
      <c r="A188" s="62">
        <v>45481</v>
      </c>
      <c r="B188" s="32" t="s">
        <v>3506</v>
      </c>
      <c r="C188" s="32"/>
      <c r="D188" s="18" t="s">
        <v>3479</v>
      </c>
      <c r="E188" s="63" t="s">
        <v>426</v>
      </c>
      <c r="F188" s="63" t="s">
        <v>3584</v>
      </c>
      <c r="G188" s="50" t="s">
        <v>3589</v>
      </c>
      <c r="H188" s="57">
        <v>1800</v>
      </c>
      <c r="I188" s="227"/>
      <c r="J188" s="57">
        <f t="shared" si="13"/>
        <v>1800</v>
      </c>
      <c r="K188" s="50">
        <v>1</v>
      </c>
      <c r="L188" s="57">
        <f t="shared" si="11"/>
        <v>1800</v>
      </c>
      <c r="M188" s="228">
        <f t="shared" si="12"/>
        <v>1980</v>
      </c>
      <c r="N188" s="18" t="s">
        <v>3489</v>
      </c>
      <c r="O188" s="50"/>
    </row>
    <row r="189" spans="1:16" ht="21.75" customHeight="1" x14ac:dyDescent="0.4">
      <c r="A189" s="62">
        <v>45483</v>
      </c>
      <c r="B189" s="32" t="s">
        <v>162</v>
      </c>
      <c r="C189" s="32"/>
      <c r="D189" s="18" t="s">
        <v>27</v>
      </c>
      <c r="E189" s="63" t="s">
        <v>28</v>
      </c>
      <c r="F189" s="63"/>
      <c r="G189" s="50" t="s">
        <v>73</v>
      </c>
      <c r="H189" s="57">
        <v>2000</v>
      </c>
      <c r="I189" s="227"/>
      <c r="J189" s="57">
        <f t="shared" si="13"/>
        <v>2000</v>
      </c>
      <c r="K189" s="50">
        <v>1</v>
      </c>
      <c r="L189" s="57">
        <f t="shared" si="11"/>
        <v>2000</v>
      </c>
      <c r="M189" s="228">
        <f t="shared" si="12"/>
        <v>2200</v>
      </c>
      <c r="N189" s="18" t="s">
        <v>3489</v>
      </c>
      <c r="O189" s="50"/>
    </row>
    <row r="190" spans="1:16" ht="21.75" customHeight="1" x14ac:dyDescent="0.4">
      <c r="A190" s="62">
        <v>45483</v>
      </c>
      <c r="B190" s="32" t="s">
        <v>162</v>
      </c>
      <c r="C190" s="32"/>
      <c r="D190" s="18" t="s">
        <v>27</v>
      </c>
      <c r="E190" s="63" t="s">
        <v>28</v>
      </c>
      <c r="F190" s="63"/>
      <c r="G190" s="50" t="s">
        <v>3472</v>
      </c>
      <c r="H190" s="57">
        <v>2500</v>
      </c>
      <c r="I190" s="227"/>
      <c r="J190" s="57">
        <f t="shared" si="13"/>
        <v>2500</v>
      </c>
      <c r="K190" s="50">
        <v>1</v>
      </c>
      <c r="L190" s="57">
        <f t="shared" si="11"/>
        <v>2500</v>
      </c>
      <c r="M190" s="228">
        <f t="shared" si="12"/>
        <v>2750</v>
      </c>
      <c r="N190" s="18" t="s">
        <v>3489</v>
      </c>
      <c r="O190" s="50"/>
    </row>
    <row r="191" spans="1:16" ht="21.75" customHeight="1" x14ac:dyDescent="0.4">
      <c r="A191" s="62">
        <v>45483</v>
      </c>
      <c r="B191" s="32" t="s">
        <v>678</v>
      </c>
      <c r="C191" s="32"/>
      <c r="D191" s="18" t="s">
        <v>3479</v>
      </c>
      <c r="E191" s="63" t="s">
        <v>332</v>
      </c>
      <c r="F191" s="63" t="s">
        <v>3549</v>
      </c>
      <c r="G191" s="50" t="s">
        <v>3577</v>
      </c>
      <c r="H191" s="57">
        <v>1800</v>
      </c>
      <c r="I191" s="227">
        <v>-180</v>
      </c>
      <c r="J191" s="57">
        <f t="shared" si="13"/>
        <v>1620</v>
      </c>
      <c r="K191" s="50">
        <v>1</v>
      </c>
      <c r="L191" s="57">
        <f t="shared" si="11"/>
        <v>1620</v>
      </c>
      <c r="M191" s="228">
        <f t="shared" si="12"/>
        <v>1782</v>
      </c>
      <c r="N191" s="18" t="s">
        <v>3489</v>
      </c>
      <c r="O191" s="50"/>
    </row>
    <row r="192" spans="1:16" ht="21.75" customHeight="1" x14ac:dyDescent="0.4">
      <c r="A192" s="62">
        <v>45483</v>
      </c>
      <c r="B192" s="32" t="s">
        <v>3496</v>
      </c>
      <c r="C192" s="32"/>
      <c r="D192" s="96" t="s">
        <v>3492</v>
      </c>
      <c r="E192" s="63"/>
      <c r="F192" s="63"/>
      <c r="G192" s="50" t="s">
        <v>3493</v>
      </c>
      <c r="H192" s="57">
        <v>-10000</v>
      </c>
      <c r="I192" s="227"/>
      <c r="J192" s="57">
        <f t="shared" si="13"/>
        <v>-10000</v>
      </c>
      <c r="K192" s="50">
        <v>1</v>
      </c>
      <c r="L192" s="57">
        <f t="shared" si="11"/>
        <v>-10000</v>
      </c>
      <c r="M192" s="228">
        <f t="shared" si="12"/>
        <v>-11000</v>
      </c>
      <c r="N192" s="18" t="s">
        <v>3489</v>
      </c>
      <c r="O192" s="50" t="s">
        <v>3507</v>
      </c>
    </row>
    <row r="193" spans="1:16" ht="21.75" customHeight="1" x14ac:dyDescent="0.4">
      <c r="A193" s="62">
        <v>45483</v>
      </c>
      <c r="B193" s="32" t="s">
        <v>3496</v>
      </c>
      <c r="C193" s="32"/>
      <c r="D193" s="18" t="s">
        <v>3479</v>
      </c>
      <c r="E193" s="63" t="s">
        <v>3482</v>
      </c>
      <c r="F193" s="63" t="s">
        <v>3627</v>
      </c>
      <c r="G193" s="50" t="s">
        <v>3639</v>
      </c>
      <c r="H193" s="57">
        <v>88000</v>
      </c>
      <c r="I193" s="227">
        <v>-13200</v>
      </c>
      <c r="J193" s="57">
        <f t="shared" si="13"/>
        <v>74800</v>
      </c>
      <c r="K193" s="50">
        <v>1</v>
      </c>
      <c r="L193" s="57">
        <f t="shared" si="11"/>
        <v>74800</v>
      </c>
      <c r="M193" s="228">
        <f t="shared" si="12"/>
        <v>82280</v>
      </c>
      <c r="N193" s="18" t="s">
        <v>3489</v>
      </c>
      <c r="O193" s="50"/>
      <c r="P193" s="52" t="s">
        <v>3538</v>
      </c>
    </row>
    <row r="194" spans="1:16" ht="21.75" customHeight="1" x14ac:dyDescent="0.4">
      <c r="A194" s="62">
        <v>45483</v>
      </c>
      <c r="B194" s="32" t="s">
        <v>3496</v>
      </c>
      <c r="C194" s="32"/>
      <c r="D194" s="18" t="s">
        <v>3479</v>
      </c>
      <c r="E194" s="63" t="s">
        <v>328</v>
      </c>
      <c r="F194" s="63" t="s">
        <v>33</v>
      </c>
      <c r="G194" s="50" t="s">
        <v>3620</v>
      </c>
      <c r="H194" s="57">
        <v>70000</v>
      </c>
      <c r="I194" s="227">
        <v>-21000</v>
      </c>
      <c r="J194" s="57">
        <f t="shared" si="13"/>
        <v>49000</v>
      </c>
      <c r="K194" s="50">
        <v>1</v>
      </c>
      <c r="L194" s="57">
        <f t="shared" si="11"/>
        <v>49000</v>
      </c>
      <c r="M194" s="228">
        <f t="shared" si="12"/>
        <v>53900</v>
      </c>
      <c r="N194" s="18" t="s">
        <v>3489</v>
      </c>
      <c r="O194" s="50"/>
      <c r="P194" s="52" t="s">
        <v>3538</v>
      </c>
    </row>
    <row r="195" spans="1:16" ht="21.75" customHeight="1" x14ac:dyDescent="0.4">
      <c r="A195" s="62">
        <v>45483</v>
      </c>
      <c r="B195" s="32" t="s">
        <v>3496</v>
      </c>
      <c r="C195" s="32"/>
      <c r="D195" s="18" t="s">
        <v>3479</v>
      </c>
      <c r="E195" s="63" t="s">
        <v>332</v>
      </c>
      <c r="F195" s="63" t="s">
        <v>3555</v>
      </c>
      <c r="G195" s="50" t="s">
        <v>3562</v>
      </c>
      <c r="H195" s="57">
        <v>1200</v>
      </c>
      <c r="I195" s="227">
        <v>-120</v>
      </c>
      <c r="J195" s="57">
        <f t="shared" si="13"/>
        <v>1080</v>
      </c>
      <c r="K195" s="50">
        <v>1</v>
      </c>
      <c r="L195" s="57">
        <f t="shared" si="11"/>
        <v>1080</v>
      </c>
      <c r="M195" s="228">
        <f t="shared" si="12"/>
        <v>1188</v>
      </c>
      <c r="N195" s="18" t="s">
        <v>3489</v>
      </c>
      <c r="O195" s="50"/>
      <c r="P195" s="52" t="s">
        <v>3538</v>
      </c>
    </row>
    <row r="196" spans="1:16" ht="21.75" customHeight="1" x14ac:dyDescent="0.4">
      <c r="A196" s="62">
        <v>45484</v>
      </c>
      <c r="B196" s="32" t="s">
        <v>3417</v>
      </c>
      <c r="C196" s="32"/>
      <c r="D196" s="18" t="s">
        <v>2892</v>
      </c>
      <c r="E196" s="63" t="s">
        <v>23</v>
      </c>
      <c r="F196" s="63"/>
      <c r="G196" s="50" t="s">
        <v>2883</v>
      </c>
      <c r="H196" s="57">
        <v>10000</v>
      </c>
      <c r="I196" s="227"/>
      <c r="J196" s="57">
        <f t="shared" si="13"/>
        <v>10000</v>
      </c>
      <c r="K196" s="50">
        <v>1</v>
      </c>
      <c r="L196" s="57">
        <f t="shared" si="11"/>
        <v>10000</v>
      </c>
      <c r="M196" s="228">
        <f t="shared" si="12"/>
        <v>11000</v>
      </c>
      <c r="N196" s="18" t="s">
        <v>25</v>
      </c>
      <c r="O196" s="50"/>
    </row>
    <row r="197" spans="1:16" ht="21.75" customHeight="1" x14ac:dyDescent="0.4">
      <c r="A197" s="62">
        <v>45485</v>
      </c>
      <c r="B197" s="32" t="s">
        <v>3505</v>
      </c>
      <c r="C197" s="32"/>
      <c r="D197" s="18" t="s">
        <v>3479</v>
      </c>
      <c r="E197" s="63" t="s">
        <v>332</v>
      </c>
      <c r="F197" s="63" t="s">
        <v>3555</v>
      </c>
      <c r="G197" s="50" t="s">
        <v>3569</v>
      </c>
      <c r="H197" s="57">
        <v>1750</v>
      </c>
      <c r="I197" s="227">
        <v>-175</v>
      </c>
      <c r="J197" s="57">
        <f t="shared" si="13"/>
        <v>1575</v>
      </c>
      <c r="K197" s="50">
        <v>3</v>
      </c>
      <c r="L197" s="57">
        <f t="shared" si="11"/>
        <v>4725</v>
      </c>
      <c r="M197" s="228">
        <f t="shared" si="12"/>
        <v>5197</v>
      </c>
      <c r="N197" s="18" t="s">
        <v>3489</v>
      </c>
      <c r="O197" s="50"/>
      <c r="P197" s="52" t="s">
        <v>3538</v>
      </c>
    </row>
    <row r="198" spans="1:16" ht="21.75" customHeight="1" x14ac:dyDescent="0.4">
      <c r="A198" s="62">
        <v>45485</v>
      </c>
      <c r="B198" s="32" t="s">
        <v>3508</v>
      </c>
      <c r="C198" s="32"/>
      <c r="D198" s="18" t="s">
        <v>2892</v>
      </c>
      <c r="E198" s="63" t="s">
        <v>23</v>
      </c>
      <c r="F198" s="63"/>
      <c r="G198" s="50" t="s">
        <v>3509</v>
      </c>
      <c r="H198" s="57">
        <v>20000</v>
      </c>
      <c r="I198" s="227"/>
      <c r="J198" s="57">
        <f t="shared" si="13"/>
        <v>20000</v>
      </c>
      <c r="K198" s="50">
        <v>1</v>
      </c>
      <c r="L198" s="57">
        <f t="shared" si="11"/>
        <v>20000</v>
      </c>
      <c r="M198" s="228">
        <f t="shared" si="12"/>
        <v>22000</v>
      </c>
      <c r="N198" s="18" t="s">
        <v>3489</v>
      </c>
      <c r="O198" s="50"/>
    </row>
    <row r="199" spans="1:16" ht="21.75" customHeight="1" x14ac:dyDescent="0.4">
      <c r="A199" s="62">
        <v>45485</v>
      </c>
      <c r="B199" s="32" t="s">
        <v>179</v>
      </c>
      <c r="C199" s="32"/>
      <c r="D199" s="18" t="s">
        <v>2892</v>
      </c>
      <c r="E199" s="63" t="s">
        <v>23</v>
      </c>
      <c r="F199" s="63"/>
      <c r="G199" s="50" t="s">
        <v>2883</v>
      </c>
      <c r="H199" s="57">
        <v>10000</v>
      </c>
      <c r="I199" s="227"/>
      <c r="J199" s="57">
        <f t="shared" si="13"/>
        <v>10000</v>
      </c>
      <c r="K199" s="50">
        <v>1</v>
      </c>
      <c r="L199" s="57">
        <f t="shared" si="11"/>
        <v>10000</v>
      </c>
      <c r="M199" s="228">
        <f t="shared" si="12"/>
        <v>11000</v>
      </c>
      <c r="N199" s="18" t="s">
        <v>3489</v>
      </c>
      <c r="O199" s="50"/>
    </row>
    <row r="200" spans="1:16" ht="21.75" customHeight="1" x14ac:dyDescent="0.4">
      <c r="A200" s="62">
        <v>45485</v>
      </c>
      <c r="B200" s="32" t="s">
        <v>179</v>
      </c>
      <c r="C200" s="32"/>
      <c r="D200" s="18" t="s">
        <v>3479</v>
      </c>
      <c r="E200" s="63" t="s">
        <v>328</v>
      </c>
      <c r="F200" s="63" t="s">
        <v>3595</v>
      </c>
      <c r="G200" s="50" t="s">
        <v>3611</v>
      </c>
      <c r="H200" s="57">
        <v>20000</v>
      </c>
      <c r="I200" s="227">
        <v>-6000</v>
      </c>
      <c r="J200" s="57">
        <f t="shared" si="13"/>
        <v>14000</v>
      </c>
      <c r="K200" s="50">
        <v>1</v>
      </c>
      <c r="L200" s="57">
        <f t="shared" si="11"/>
        <v>14000</v>
      </c>
      <c r="M200" s="228">
        <f t="shared" si="12"/>
        <v>15400</v>
      </c>
      <c r="N200" s="18" t="s">
        <v>3489</v>
      </c>
      <c r="O200" s="50"/>
      <c r="P200" s="52" t="s">
        <v>3539</v>
      </c>
    </row>
    <row r="201" spans="1:16" ht="21.75" customHeight="1" x14ac:dyDescent="0.4">
      <c r="A201" s="62">
        <v>45485</v>
      </c>
      <c r="B201" s="32" t="s">
        <v>179</v>
      </c>
      <c r="C201" s="32"/>
      <c r="D201" s="18" t="s">
        <v>3479</v>
      </c>
      <c r="E201" s="63" t="s">
        <v>332</v>
      </c>
      <c r="F201" s="63" t="s">
        <v>3551</v>
      </c>
      <c r="G201" s="50" t="s">
        <v>3567</v>
      </c>
      <c r="H201" s="57">
        <v>2600</v>
      </c>
      <c r="I201" s="227">
        <v>-260</v>
      </c>
      <c r="J201" s="57">
        <f t="shared" si="13"/>
        <v>2340</v>
      </c>
      <c r="K201" s="50">
        <v>1</v>
      </c>
      <c r="L201" s="57">
        <f t="shared" si="11"/>
        <v>2340</v>
      </c>
      <c r="M201" s="228">
        <f t="shared" si="12"/>
        <v>2574</v>
      </c>
      <c r="N201" s="18" t="s">
        <v>3489</v>
      </c>
      <c r="O201" s="50"/>
      <c r="P201" s="52" t="s">
        <v>3539</v>
      </c>
    </row>
    <row r="202" spans="1:16" ht="21.75" customHeight="1" x14ac:dyDescent="0.4">
      <c r="A202" s="62">
        <v>45485</v>
      </c>
      <c r="B202" s="32" t="s">
        <v>179</v>
      </c>
      <c r="C202" s="32"/>
      <c r="D202" s="96" t="s">
        <v>3492</v>
      </c>
      <c r="E202" s="63"/>
      <c r="F202" s="63"/>
      <c r="G202" s="50" t="s">
        <v>3493</v>
      </c>
      <c r="H202" s="57">
        <v>-10000</v>
      </c>
      <c r="I202" s="227"/>
      <c r="J202" s="57">
        <v>-10000</v>
      </c>
      <c r="K202" s="50">
        <v>1</v>
      </c>
      <c r="L202" s="57">
        <v>-10000</v>
      </c>
      <c r="M202" s="228">
        <v>-11000</v>
      </c>
      <c r="N202" s="18" t="s">
        <v>3489</v>
      </c>
      <c r="O202" s="50" t="s">
        <v>3500</v>
      </c>
      <c r="P202" s="52" t="s">
        <v>3539</v>
      </c>
    </row>
    <row r="203" spans="1:16" ht="21.75" customHeight="1" x14ac:dyDescent="0.4">
      <c r="A203" s="62">
        <v>45485</v>
      </c>
      <c r="B203" s="32" t="s">
        <v>3510</v>
      </c>
      <c r="C203" s="32"/>
      <c r="D203" s="18" t="s">
        <v>3479</v>
      </c>
      <c r="E203" s="63" t="s">
        <v>332</v>
      </c>
      <c r="F203" s="63" t="s">
        <v>3555</v>
      </c>
      <c r="G203" s="50" t="s">
        <v>3570</v>
      </c>
      <c r="H203" s="57">
        <v>1200</v>
      </c>
      <c r="I203" s="227">
        <v>-120</v>
      </c>
      <c r="J203" s="57">
        <f t="shared" si="13"/>
        <v>1080</v>
      </c>
      <c r="K203" s="50">
        <v>1</v>
      </c>
      <c r="L203" s="57">
        <f t="shared" si="11"/>
        <v>1080</v>
      </c>
      <c r="M203" s="228">
        <f t="shared" si="12"/>
        <v>1188</v>
      </c>
      <c r="N203" s="18" t="s">
        <v>25</v>
      </c>
      <c r="O203" s="50"/>
    </row>
    <row r="204" spans="1:16" ht="21.75" customHeight="1" x14ac:dyDescent="0.4">
      <c r="A204" s="62">
        <v>45486</v>
      </c>
      <c r="B204" s="32" t="s">
        <v>1059</v>
      </c>
      <c r="C204" s="32"/>
      <c r="D204" s="18" t="s">
        <v>3479</v>
      </c>
      <c r="E204" s="63" t="s">
        <v>292</v>
      </c>
      <c r="F204" s="63" t="s">
        <v>3547</v>
      </c>
      <c r="G204" s="50" t="s">
        <v>3653</v>
      </c>
      <c r="H204" s="57">
        <v>5500</v>
      </c>
      <c r="I204" s="227"/>
      <c r="J204" s="57">
        <f t="shared" si="13"/>
        <v>5500</v>
      </c>
      <c r="K204" s="50">
        <v>1</v>
      </c>
      <c r="L204" s="57">
        <f t="shared" si="11"/>
        <v>5500</v>
      </c>
      <c r="M204" s="228">
        <f t="shared" si="12"/>
        <v>6050</v>
      </c>
      <c r="N204" s="18" t="s">
        <v>25</v>
      </c>
      <c r="O204" s="50" t="s">
        <v>3511</v>
      </c>
    </row>
    <row r="205" spans="1:16" ht="21.75" customHeight="1" x14ac:dyDescent="0.4">
      <c r="A205" s="62">
        <v>45486</v>
      </c>
      <c r="B205" s="32" t="s">
        <v>3480</v>
      </c>
      <c r="C205" s="32"/>
      <c r="D205" s="18" t="s">
        <v>3479</v>
      </c>
      <c r="E205" s="63" t="s">
        <v>426</v>
      </c>
      <c r="F205" s="63" t="s">
        <v>3584</v>
      </c>
      <c r="G205" s="50" t="s">
        <v>3589</v>
      </c>
      <c r="H205" s="57">
        <v>1800</v>
      </c>
      <c r="I205" s="227">
        <v>-180</v>
      </c>
      <c r="J205" s="57">
        <f t="shared" si="13"/>
        <v>1620</v>
      </c>
      <c r="K205" s="50">
        <v>1</v>
      </c>
      <c r="L205" s="57">
        <f t="shared" si="11"/>
        <v>1620</v>
      </c>
      <c r="M205" s="228">
        <f t="shared" si="12"/>
        <v>1782</v>
      </c>
      <c r="N205" s="18" t="s">
        <v>25</v>
      </c>
      <c r="O205" s="50"/>
    </row>
    <row r="206" spans="1:16" ht="21.75" customHeight="1" x14ac:dyDescent="0.4">
      <c r="A206" s="62">
        <v>45486</v>
      </c>
      <c r="B206" s="32" t="s">
        <v>3480</v>
      </c>
      <c r="C206" s="32"/>
      <c r="D206" s="18" t="s">
        <v>3479</v>
      </c>
      <c r="E206" s="63" t="s">
        <v>426</v>
      </c>
      <c r="F206" s="63" t="s">
        <v>3584</v>
      </c>
      <c r="G206" s="50" t="s">
        <v>3590</v>
      </c>
      <c r="H206" s="57">
        <v>1800</v>
      </c>
      <c r="I206" s="227">
        <v>-180</v>
      </c>
      <c r="J206" s="57">
        <f t="shared" ref="J206" si="17">SUM(H206:I206)</f>
        <v>1620</v>
      </c>
      <c r="K206" s="50">
        <v>1</v>
      </c>
      <c r="L206" s="57">
        <f t="shared" ref="L206" si="18">SUM(J206*K206)</f>
        <v>1620</v>
      </c>
      <c r="M206" s="228">
        <f t="shared" ref="M206" si="19">ROUNDDOWN(L206*1.1,0)</f>
        <v>1782</v>
      </c>
      <c r="N206" s="18" t="s">
        <v>25</v>
      </c>
      <c r="O206" s="50"/>
    </row>
    <row r="207" spans="1:16" ht="21.75" customHeight="1" x14ac:dyDescent="0.4">
      <c r="A207" s="62">
        <v>45486</v>
      </c>
      <c r="B207" s="32" t="s">
        <v>3459</v>
      </c>
      <c r="C207" s="32"/>
      <c r="D207" s="18" t="s">
        <v>3479</v>
      </c>
      <c r="E207" s="63" t="s">
        <v>328</v>
      </c>
      <c r="F207" s="63" t="s">
        <v>33</v>
      </c>
      <c r="G207" s="50" t="s">
        <v>3620</v>
      </c>
      <c r="H207" s="57">
        <v>70000</v>
      </c>
      <c r="I207" s="227">
        <v>-14000</v>
      </c>
      <c r="J207" s="57">
        <f t="shared" si="13"/>
        <v>56000</v>
      </c>
      <c r="K207" s="50">
        <v>1</v>
      </c>
      <c r="L207" s="57">
        <f t="shared" si="11"/>
        <v>56000</v>
      </c>
      <c r="M207" s="228">
        <f t="shared" si="12"/>
        <v>61600</v>
      </c>
      <c r="N207" s="18" t="s">
        <v>34</v>
      </c>
      <c r="O207" s="50"/>
      <c r="P207" s="52" t="s">
        <v>3538</v>
      </c>
    </row>
    <row r="208" spans="1:16" ht="21.75" customHeight="1" x14ac:dyDescent="0.4">
      <c r="A208" s="62">
        <v>45486</v>
      </c>
      <c r="B208" s="32" t="s">
        <v>3459</v>
      </c>
      <c r="C208" s="32"/>
      <c r="D208" s="18" t="s">
        <v>3479</v>
      </c>
      <c r="E208" s="63" t="s">
        <v>3482</v>
      </c>
      <c r="F208" s="63" t="s">
        <v>3543</v>
      </c>
      <c r="G208" s="50" t="s">
        <v>3633</v>
      </c>
      <c r="H208" s="57">
        <v>90000</v>
      </c>
      <c r="I208" s="227">
        <v>-13500</v>
      </c>
      <c r="J208" s="57">
        <f t="shared" si="13"/>
        <v>76500</v>
      </c>
      <c r="K208" s="50">
        <v>1</v>
      </c>
      <c r="L208" s="57">
        <f t="shared" si="11"/>
        <v>76500</v>
      </c>
      <c r="M208" s="228">
        <f t="shared" si="12"/>
        <v>84150</v>
      </c>
      <c r="N208" s="18" t="s">
        <v>34</v>
      </c>
      <c r="O208" s="50"/>
      <c r="P208" s="52" t="s">
        <v>3538</v>
      </c>
    </row>
    <row r="209" spans="1:16" ht="21.75" customHeight="1" x14ac:dyDescent="0.4">
      <c r="A209" s="62">
        <v>45486</v>
      </c>
      <c r="B209" s="32" t="s">
        <v>3459</v>
      </c>
      <c r="C209" s="32"/>
      <c r="D209" s="18" t="s">
        <v>3479</v>
      </c>
      <c r="E209" s="63" t="s">
        <v>3483</v>
      </c>
      <c r="F209" s="63" t="s">
        <v>3543</v>
      </c>
      <c r="G209" s="50" t="s">
        <v>3544</v>
      </c>
      <c r="H209" s="57">
        <v>1800</v>
      </c>
      <c r="I209" s="227"/>
      <c r="J209" s="57">
        <f t="shared" si="13"/>
        <v>1800</v>
      </c>
      <c r="K209" s="50">
        <v>2</v>
      </c>
      <c r="L209" s="57">
        <f t="shared" si="11"/>
        <v>3600</v>
      </c>
      <c r="M209" s="228">
        <f t="shared" si="12"/>
        <v>3960</v>
      </c>
      <c r="N209" s="18" t="s">
        <v>34</v>
      </c>
      <c r="O209" s="50"/>
      <c r="P209" s="52" t="s">
        <v>3538</v>
      </c>
    </row>
    <row r="210" spans="1:16" ht="21.75" customHeight="1" x14ac:dyDescent="0.4">
      <c r="A210" s="62">
        <v>45486</v>
      </c>
      <c r="B210" s="32" t="s">
        <v>3459</v>
      </c>
      <c r="C210" s="32"/>
      <c r="D210" s="18" t="s">
        <v>3479</v>
      </c>
      <c r="E210" s="63" t="s">
        <v>332</v>
      </c>
      <c r="F210" s="63" t="s">
        <v>3552</v>
      </c>
      <c r="G210" s="50" t="s">
        <v>3581</v>
      </c>
      <c r="H210" s="57">
        <v>1400</v>
      </c>
      <c r="I210" s="227"/>
      <c r="J210" s="57">
        <f t="shared" si="13"/>
        <v>1400</v>
      </c>
      <c r="K210" s="50">
        <v>1</v>
      </c>
      <c r="L210" s="57">
        <f t="shared" si="11"/>
        <v>1400</v>
      </c>
      <c r="M210" s="228">
        <f t="shared" si="12"/>
        <v>1540</v>
      </c>
      <c r="N210" s="18" t="s">
        <v>34</v>
      </c>
      <c r="O210" s="50"/>
      <c r="P210" s="52" t="s">
        <v>3538</v>
      </c>
    </row>
    <row r="211" spans="1:16" ht="21.75" customHeight="1" x14ac:dyDescent="0.4">
      <c r="A211" s="62">
        <v>45486</v>
      </c>
      <c r="B211" s="32" t="s">
        <v>3512</v>
      </c>
      <c r="C211" s="32"/>
      <c r="D211" s="18" t="s">
        <v>27</v>
      </c>
      <c r="E211" s="63" t="s">
        <v>28</v>
      </c>
      <c r="F211" s="63"/>
      <c r="G211" s="50" t="s">
        <v>30</v>
      </c>
      <c r="H211" s="57">
        <v>15000</v>
      </c>
      <c r="I211" s="227"/>
      <c r="J211" s="57">
        <f t="shared" si="13"/>
        <v>15000</v>
      </c>
      <c r="K211" s="50">
        <v>1</v>
      </c>
      <c r="L211" s="57">
        <f t="shared" si="11"/>
        <v>15000</v>
      </c>
      <c r="M211" s="228">
        <v>16500</v>
      </c>
      <c r="N211" s="18" t="s">
        <v>25</v>
      </c>
      <c r="O211" s="159" t="s">
        <v>3716</v>
      </c>
    </row>
    <row r="212" spans="1:16" ht="21.75" customHeight="1" x14ac:dyDescent="0.4">
      <c r="A212" s="62">
        <v>45486</v>
      </c>
      <c r="B212" s="32" t="s">
        <v>3512</v>
      </c>
      <c r="C212" s="32"/>
      <c r="D212" s="18" t="s">
        <v>27</v>
      </c>
      <c r="E212" s="63" t="s">
        <v>28</v>
      </c>
      <c r="F212" s="63"/>
      <c r="G212" s="50" t="s">
        <v>75</v>
      </c>
      <c r="H212" s="57">
        <v>8750</v>
      </c>
      <c r="I212" s="227"/>
      <c r="J212" s="57">
        <f t="shared" si="13"/>
        <v>8750</v>
      </c>
      <c r="K212" s="50">
        <v>1</v>
      </c>
      <c r="L212" s="57">
        <f t="shared" si="11"/>
        <v>8750</v>
      </c>
      <c r="M212" s="228">
        <f t="shared" si="12"/>
        <v>9625</v>
      </c>
      <c r="N212" s="18" t="s">
        <v>25</v>
      </c>
      <c r="O212" s="50"/>
    </row>
    <row r="213" spans="1:16" ht="21.75" customHeight="1" x14ac:dyDescent="0.4">
      <c r="A213" s="62">
        <v>45486</v>
      </c>
      <c r="B213" s="32" t="s">
        <v>3512</v>
      </c>
      <c r="C213" s="32"/>
      <c r="D213" s="18" t="s">
        <v>27</v>
      </c>
      <c r="E213" s="63" t="s">
        <v>28</v>
      </c>
      <c r="F213" s="63"/>
      <c r="G213" s="50" t="s">
        <v>79</v>
      </c>
      <c r="H213" s="57">
        <v>17500</v>
      </c>
      <c r="I213" s="227"/>
      <c r="J213" s="57">
        <f t="shared" si="13"/>
        <v>17500</v>
      </c>
      <c r="K213" s="50">
        <v>1</v>
      </c>
      <c r="L213" s="57">
        <f t="shared" si="11"/>
        <v>17500</v>
      </c>
      <c r="M213" s="228">
        <f t="shared" si="12"/>
        <v>19250</v>
      </c>
      <c r="N213" s="18" t="s">
        <v>25</v>
      </c>
      <c r="O213" s="50"/>
    </row>
    <row r="214" spans="1:16" ht="21.75" customHeight="1" x14ac:dyDescent="0.4">
      <c r="A214" s="62">
        <v>45486</v>
      </c>
      <c r="B214" s="32" t="s">
        <v>2523</v>
      </c>
      <c r="C214" s="32"/>
      <c r="D214" s="18" t="s">
        <v>3479</v>
      </c>
      <c r="E214" s="63" t="s">
        <v>332</v>
      </c>
      <c r="F214" s="63" t="s">
        <v>3551</v>
      </c>
      <c r="G214" s="50" t="s">
        <v>3568</v>
      </c>
      <c r="H214" s="57">
        <v>1200</v>
      </c>
      <c r="I214" s="227">
        <v>-120</v>
      </c>
      <c r="J214" s="57">
        <f t="shared" si="13"/>
        <v>1080</v>
      </c>
      <c r="K214" s="50">
        <v>1</v>
      </c>
      <c r="L214" s="57">
        <f t="shared" ref="L214:L283" si="20">SUM(J214*K214)</f>
        <v>1080</v>
      </c>
      <c r="M214" s="228">
        <f t="shared" ref="M214:M283" si="21">ROUNDDOWN(L214*1.1,0)</f>
        <v>1188</v>
      </c>
      <c r="N214" s="18" t="s">
        <v>3489</v>
      </c>
      <c r="O214" s="50"/>
    </row>
    <row r="215" spans="1:16" ht="21.75" customHeight="1" x14ac:dyDescent="0.4">
      <c r="A215" s="62">
        <v>45487</v>
      </c>
      <c r="B215" s="32" t="s">
        <v>3513</v>
      </c>
      <c r="C215" s="32"/>
      <c r="D215" s="18" t="s">
        <v>2892</v>
      </c>
      <c r="E215" s="63" t="s">
        <v>23</v>
      </c>
      <c r="F215" s="63"/>
      <c r="G215" s="50" t="s">
        <v>2883</v>
      </c>
      <c r="H215" s="57">
        <v>15000</v>
      </c>
      <c r="I215" s="227"/>
      <c r="J215" s="57">
        <f t="shared" si="13"/>
        <v>15000</v>
      </c>
      <c r="K215" s="50">
        <v>1</v>
      </c>
      <c r="L215" s="57">
        <f t="shared" si="20"/>
        <v>15000</v>
      </c>
      <c r="M215" s="228">
        <f t="shared" si="21"/>
        <v>16500</v>
      </c>
      <c r="N215" s="18" t="s">
        <v>3489</v>
      </c>
      <c r="O215" s="50" t="s">
        <v>1954</v>
      </c>
    </row>
    <row r="216" spans="1:16" ht="21.75" customHeight="1" x14ac:dyDescent="0.4">
      <c r="A216" s="62">
        <v>45487</v>
      </c>
      <c r="B216" s="32" t="s">
        <v>3513</v>
      </c>
      <c r="C216" s="32"/>
      <c r="D216" s="18" t="s">
        <v>3479</v>
      </c>
      <c r="E216" s="63" t="s">
        <v>328</v>
      </c>
      <c r="F216" s="63" t="s">
        <v>33</v>
      </c>
      <c r="G216" s="50" t="s">
        <v>3621</v>
      </c>
      <c r="H216" s="57">
        <v>60000</v>
      </c>
      <c r="I216" s="227">
        <v>-12000</v>
      </c>
      <c r="J216" s="57">
        <f t="shared" si="13"/>
        <v>48000</v>
      </c>
      <c r="K216" s="50">
        <v>1</v>
      </c>
      <c r="L216" s="57">
        <f t="shared" si="20"/>
        <v>48000</v>
      </c>
      <c r="M216" s="228">
        <f t="shared" si="21"/>
        <v>52800</v>
      </c>
      <c r="N216" s="18" t="s">
        <v>34</v>
      </c>
      <c r="O216" s="50"/>
      <c r="P216" s="52" t="s">
        <v>3539</v>
      </c>
    </row>
    <row r="217" spans="1:16" ht="21.75" customHeight="1" x14ac:dyDescent="0.4">
      <c r="A217" s="62">
        <v>45487</v>
      </c>
      <c r="B217" s="32" t="s">
        <v>3513</v>
      </c>
      <c r="C217" s="32"/>
      <c r="D217" s="18" t="s">
        <v>3479</v>
      </c>
      <c r="E217" s="63" t="s">
        <v>332</v>
      </c>
      <c r="F217" s="63" t="s">
        <v>3555</v>
      </c>
      <c r="G217" s="50" t="s">
        <v>3570</v>
      </c>
      <c r="H217" s="57">
        <v>1200</v>
      </c>
      <c r="I217" s="227"/>
      <c r="J217" s="57">
        <f t="shared" ref="J217:J286" si="22">SUM(H217:I217)</f>
        <v>1200</v>
      </c>
      <c r="K217" s="50">
        <v>1</v>
      </c>
      <c r="L217" s="57">
        <f t="shared" si="20"/>
        <v>1200</v>
      </c>
      <c r="M217" s="228">
        <f t="shared" si="21"/>
        <v>1320</v>
      </c>
      <c r="N217" s="18" t="s">
        <v>34</v>
      </c>
      <c r="O217" s="50"/>
      <c r="P217" s="52" t="s">
        <v>3539</v>
      </c>
    </row>
    <row r="218" spans="1:16" ht="21.75" customHeight="1" x14ac:dyDescent="0.4">
      <c r="A218" s="62">
        <v>45488</v>
      </c>
      <c r="B218" s="32" t="s">
        <v>3514</v>
      </c>
      <c r="C218" s="32"/>
      <c r="D218" s="18" t="s">
        <v>22</v>
      </c>
      <c r="E218" s="63" t="s">
        <v>1496</v>
      </c>
      <c r="F218" s="63"/>
      <c r="G218" s="50" t="s">
        <v>49</v>
      </c>
      <c r="H218" s="57">
        <v>3000</v>
      </c>
      <c r="I218" s="227"/>
      <c r="J218" s="57">
        <f t="shared" si="22"/>
        <v>3000</v>
      </c>
      <c r="K218" s="50">
        <v>1</v>
      </c>
      <c r="L218" s="57">
        <f t="shared" si="20"/>
        <v>3000</v>
      </c>
      <c r="M218" s="228">
        <f t="shared" si="21"/>
        <v>3300</v>
      </c>
      <c r="N218" s="18" t="s">
        <v>25</v>
      </c>
      <c r="O218" s="50" t="s">
        <v>1954</v>
      </c>
    </row>
    <row r="219" spans="1:16" ht="21.75" customHeight="1" x14ac:dyDescent="0.4">
      <c r="A219" s="62">
        <v>45488</v>
      </c>
      <c r="B219" s="32" t="s">
        <v>3411</v>
      </c>
      <c r="C219" s="32"/>
      <c r="D219" s="18" t="s">
        <v>22</v>
      </c>
      <c r="E219" s="63" t="s">
        <v>1496</v>
      </c>
      <c r="F219" s="63"/>
      <c r="G219" s="50" t="s">
        <v>3515</v>
      </c>
      <c r="H219" s="57">
        <v>4500</v>
      </c>
      <c r="I219" s="227"/>
      <c r="J219" s="57">
        <f t="shared" si="22"/>
        <v>4500</v>
      </c>
      <c r="K219" s="50">
        <v>1</v>
      </c>
      <c r="L219" s="57">
        <f t="shared" si="20"/>
        <v>4500</v>
      </c>
      <c r="M219" s="228">
        <f t="shared" si="21"/>
        <v>4950</v>
      </c>
      <c r="N219" s="18" t="s">
        <v>20</v>
      </c>
      <c r="O219" s="50" t="s">
        <v>3717</v>
      </c>
      <c r="P219" s="52" t="s">
        <v>1557</v>
      </c>
    </row>
    <row r="220" spans="1:16" ht="21.75" customHeight="1" x14ac:dyDescent="0.4">
      <c r="A220" s="62">
        <v>45488</v>
      </c>
      <c r="B220" s="32" t="s">
        <v>678</v>
      </c>
      <c r="C220" s="32"/>
      <c r="D220" s="18" t="s">
        <v>3479</v>
      </c>
      <c r="E220" s="63" t="s">
        <v>332</v>
      </c>
      <c r="F220" s="63" t="s">
        <v>3549</v>
      </c>
      <c r="G220" s="50" t="s">
        <v>3577</v>
      </c>
      <c r="H220" s="57">
        <v>1800</v>
      </c>
      <c r="I220" s="227">
        <v>-180</v>
      </c>
      <c r="J220" s="57">
        <f t="shared" si="22"/>
        <v>1620</v>
      </c>
      <c r="K220" s="50">
        <v>2</v>
      </c>
      <c r="L220" s="57">
        <f t="shared" si="20"/>
        <v>3240</v>
      </c>
      <c r="M220" s="228">
        <f t="shared" si="21"/>
        <v>3564</v>
      </c>
      <c r="N220" s="18" t="s">
        <v>3489</v>
      </c>
      <c r="O220" s="50"/>
    </row>
    <row r="221" spans="1:16" ht="21.75" customHeight="1" x14ac:dyDescent="0.4">
      <c r="A221" s="62">
        <v>45488</v>
      </c>
      <c r="B221" s="32" t="s">
        <v>3514</v>
      </c>
      <c r="C221" s="32"/>
      <c r="D221" s="18" t="s">
        <v>27</v>
      </c>
      <c r="E221" s="63" t="s">
        <v>28</v>
      </c>
      <c r="F221" s="63"/>
      <c r="G221" s="50" t="s">
        <v>75</v>
      </c>
      <c r="H221" s="57">
        <v>8750</v>
      </c>
      <c r="I221" s="227"/>
      <c r="J221" s="57">
        <f t="shared" si="22"/>
        <v>8750</v>
      </c>
      <c r="K221" s="50">
        <v>1</v>
      </c>
      <c r="L221" s="57">
        <f t="shared" si="20"/>
        <v>8750</v>
      </c>
      <c r="M221" s="228">
        <f t="shared" si="21"/>
        <v>9625</v>
      </c>
      <c r="N221" s="18" t="s">
        <v>25</v>
      </c>
      <c r="O221" s="50"/>
    </row>
    <row r="222" spans="1:16" ht="21.75" customHeight="1" x14ac:dyDescent="0.4">
      <c r="A222" s="62">
        <v>45488</v>
      </c>
      <c r="B222" s="32" t="s">
        <v>3514</v>
      </c>
      <c r="C222" s="32"/>
      <c r="D222" s="18" t="s">
        <v>27</v>
      </c>
      <c r="E222" s="63" t="s">
        <v>28</v>
      </c>
      <c r="F222" s="63"/>
      <c r="G222" s="50" t="s">
        <v>79</v>
      </c>
      <c r="H222" s="57">
        <v>17500</v>
      </c>
      <c r="I222" s="227"/>
      <c r="J222" s="57">
        <f t="shared" si="22"/>
        <v>17500</v>
      </c>
      <c r="K222" s="50">
        <v>1</v>
      </c>
      <c r="L222" s="57">
        <f t="shared" si="20"/>
        <v>17500</v>
      </c>
      <c r="M222" s="228">
        <f t="shared" si="21"/>
        <v>19250</v>
      </c>
      <c r="N222" s="18" t="s">
        <v>25</v>
      </c>
      <c r="O222" s="50"/>
    </row>
    <row r="223" spans="1:16" ht="21.75" customHeight="1" x14ac:dyDescent="0.4">
      <c r="A223" s="62">
        <v>45488</v>
      </c>
      <c r="B223" s="32" t="s">
        <v>3514</v>
      </c>
      <c r="C223" s="32"/>
      <c r="D223" s="18" t="s">
        <v>27</v>
      </c>
      <c r="E223" s="63" t="s">
        <v>28</v>
      </c>
      <c r="F223" s="63"/>
      <c r="G223" s="50" t="s">
        <v>30</v>
      </c>
      <c r="H223" s="57">
        <v>15000</v>
      </c>
      <c r="I223" s="227"/>
      <c r="J223" s="57">
        <f t="shared" si="22"/>
        <v>15000</v>
      </c>
      <c r="K223" s="50">
        <v>1</v>
      </c>
      <c r="L223" s="57">
        <f t="shared" si="20"/>
        <v>15000</v>
      </c>
      <c r="M223" s="228">
        <f t="shared" si="21"/>
        <v>16500</v>
      </c>
      <c r="N223" s="18" t="s">
        <v>25</v>
      </c>
      <c r="O223" s="50"/>
    </row>
    <row r="224" spans="1:16" ht="21.75" customHeight="1" x14ac:dyDescent="0.4">
      <c r="A224" s="62">
        <v>45488</v>
      </c>
      <c r="B224" s="32" t="s">
        <v>3516</v>
      </c>
      <c r="C224" s="32"/>
      <c r="D224" s="18" t="s">
        <v>2892</v>
      </c>
      <c r="E224" s="63" t="s">
        <v>23</v>
      </c>
      <c r="F224" s="63"/>
      <c r="G224" s="50" t="s">
        <v>2883</v>
      </c>
      <c r="H224" s="57">
        <v>15000</v>
      </c>
      <c r="I224" s="227"/>
      <c r="J224" s="57">
        <f t="shared" si="22"/>
        <v>15000</v>
      </c>
      <c r="K224" s="50">
        <v>1</v>
      </c>
      <c r="L224" s="57">
        <f t="shared" si="20"/>
        <v>15000</v>
      </c>
      <c r="M224" s="228">
        <f t="shared" si="21"/>
        <v>16500</v>
      </c>
      <c r="N224" s="18" t="s">
        <v>25</v>
      </c>
      <c r="O224" s="50"/>
    </row>
    <row r="225" spans="1:16" ht="21.75" customHeight="1" x14ac:dyDescent="0.4">
      <c r="A225" s="62">
        <v>45488</v>
      </c>
      <c r="B225" s="32" t="s">
        <v>3517</v>
      </c>
      <c r="C225" s="32"/>
      <c r="D225" s="18" t="s">
        <v>22</v>
      </c>
      <c r="E225" s="63" t="s">
        <v>1496</v>
      </c>
      <c r="F225" s="63"/>
      <c r="G225" s="50" t="s">
        <v>3470</v>
      </c>
      <c r="H225" s="57">
        <v>2000</v>
      </c>
      <c r="I225" s="227"/>
      <c r="J225" s="57">
        <f t="shared" si="22"/>
        <v>2000</v>
      </c>
      <c r="K225" s="50">
        <v>1</v>
      </c>
      <c r="L225" s="57">
        <f t="shared" si="20"/>
        <v>2000</v>
      </c>
      <c r="M225" s="228">
        <f t="shared" si="21"/>
        <v>2200</v>
      </c>
      <c r="N225" s="18" t="s">
        <v>25</v>
      </c>
      <c r="O225" s="50"/>
    </row>
    <row r="226" spans="1:16" ht="21.75" customHeight="1" x14ac:dyDescent="0.4">
      <c r="A226" s="62">
        <v>45488</v>
      </c>
      <c r="B226" s="32" t="s">
        <v>3518</v>
      </c>
      <c r="C226" s="32"/>
      <c r="D226" s="18" t="s">
        <v>22</v>
      </c>
      <c r="E226" s="63" t="s">
        <v>1496</v>
      </c>
      <c r="F226" s="63"/>
      <c r="G226" s="50" t="s">
        <v>3470</v>
      </c>
      <c r="H226" s="57">
        <v>2000</v>
      </c>
      <c r="I226" s="227"/>
      <c r="J226" s="57">
        <f t="shared" si="22"/>
        <v>2000</v>
      </c>
      <c r="K226" s="50">
        <v>1</v>
      </c>
      <c r="L226" s="57">
        <f t="shared" si="20"/>
        <v>2000</v>
      </c>
      <c r="M226" s="228">
        <f t="shared" si="21"/>
        <v>2200</v>
      </c>
      <c r="N226" s="18" t="s">
        <v>3489</v>
      </c>
      <c r="O226" s="50"/>
    </row>
    <row r="227" spans="1:16" ht="21.75" customHeight="1" x14ac:dyDescent="0.4">
      <c r="A227" s="62">
        <v>45491</v>
      </c>
      <c r="B227" s="32" t="s">
        <v>167</v>
      </c>
      <c r="C227" s="32"/>
      <c r="D227" s="18" t="s">
        <v>3479</v>
      </c>
      <c r="E227" s="63" t="s">
        <v>3521</v>
      </c>
      <c r="F227" s="63"/>
      <c r="G227" s="50" t="s">
        <v>3519</v>
      </c>
      <c r="H227" s="57">
        <v>15000</v>
      </c>
      <c r="I227" s="227"/>
      <c r="J227" s="57">
        <f t="shared" si="22"/>
        <v>15000</v>
      </c>
      <c r="K227" s="50">
        <v>1</v>
      </c>
      <c r="L227" s="57">
        <f t="shared" si="20"/>
        <v>15000</v>
      </c>
      <c r="M227" s="228">
        <f t="shared" si="21"/>
        <v>16500</v>
      </c>
      <c r="N227" s="18" t="s">
        <v>20</v>
      </c>
      <c r="O227" s="490" t="s">
        <v>3523</v>
      </c>
    </row>
    <row r="228" spans="1:16" ht="21.75" customHeight="1" x14ac:dyDescent="0.4">
      <c r="A228" s="62">
        <v>45491</v>
      </c>
      <c r="B228" s="32" t="s">
        <v>167</v>
      </c>
      <c r="C228" s="32"/>
      <c r="D228" s="18" t="s">
        <v>3479</v>
      </c>
      <c r="E228" s="63" t="s">
        <v>3522</v>
      </c>
      <c r="F228" s="63"/>
      <c r="G228" s="50" t="s">
        <v>3520</v>
      </c>
      <c r="H228" s="57">
        <v>9900</v>
      </c>
      <c r="I228" s="227"/>
      <c r="J228" s="57">
        <f t="shared" si="22"/>
        <v>9900</v>
      </c>
      <c r="K228" s="50">
        <v>1</v>
      </c>
      <c r="L228" s="57">
        <f t="shared" si="20"/>
        <v>9900</v>
      </c>
      <c r="M228" s="228">
        <f t="shared" si="21"/>
        <v>10890</v>
      </c>
      <c r="N228" s="18" t="s">
        <v>20</v>
      </c>
      <c r="O228" s="491"/>
    </row>
    <row r="229" spans="1:16" ht="21.75" customHeight="1" x14ac:dyDescent="0.4">
      <c r="A229" s="62">
        <v>45491</v>
      </c>
      <c r="B229" s="32" t="s">
        <v>3355</v>
      </c>
      <c r="C229" s="32"/>
      <c r="D229" s="18" t="s">
        <v>2892</v>
      </c>
      <c r="E229" s="63" t="s">
        <v>23</v>
      </c>
      <c r="F229" s="63"/>
      <c r="G229" s="50" t="s">
        <v>2883</v>
      </c>
      <c r="H229" s="57">
        <v>15000</v>
      </c>
      <c r="I229" s="227"/>
      <c r="J229" s="57">
        <f t="shared" si="22"/>
        <v>15000</v>
      </c>
      <c r="K229" s="50">
        <v>1</v>
      </c>
      <c r="L229" s="57">
        <f t="shared" si="20"/>
        <v>15000</v>
      </c>
      <c r="M229" s="228">
        <f t="shared" si="21"/>
        <v>16500</v>
      </c>
      <c r="N229" s="18" t="s">
        <v>34</v>
      </c>
      <c r="O229" s="50"/>
    </row>
    <row r="230" spans="1:16" ht="21.75" customHeight="1" x14ac:dyDescent="0.4">
      <c r="A230" s="62">
        <v>45491</v>
      </c>
      <c r="B230" s="32" t="s">
        <v>3355</v>
      </c>
      <c r="C230" s="32"/>
      <c r="D230" s="18" t="s">
        <v>3479</v>
      </c>
      <c r="E230" s="63" t="s">
        <v>328</v>
      </c>
      <c r="F230" s="63" t="s">
        <v>33</v>
      </c>
      <c r="G230" s="50" t="s">
        <v>3622</v>
      </c>
      <c r="H230" s="57">
        <v>28000</v>
      </c>
      <c r="I230" s="227">
        <v>-5600</v>
      </c>
      <c r="J230" s="57">
        <f t="shared" si="22"/>
        <v>22400</v>
      </c>
      <c r="K230" s="50">
        <v>1</v>
      </c>
      <c r="L230" s="57">
        <f t="shared" si="20"/>
        <v>22400</v>
      </c>
      <c r="M230" s="228">
        <f t="shared" si="21"/>
        <v>24640</v>
      </c>
      <c r="N230" s="18" t="s">
        <v>34</v>
      </c>
      <c r="O230" s="50"/>
      <c r="P230" s="52" t="s">
        <v>3538</v>
      </c>
    </row>
    <row r="231" spans="1:16" ht="21.75" customHeight="1" x14ac:dyDescent="0.4">
      <c r="A231" s="62">
        <v>45491</v>
      </c>
      <c r="B231" s="32" t="s">
        <v>3355</v>
      </c>
      <c r="C231" s="32"/>
      <c r="D231" s="18" t="s">
        <v>3479</v>
      </c>
      <c r="E231" s="63" t="s">
        <v>332</v>
      </c>
      <c r="F231" s="63" t="s">
        <v>3555</v>
      </c>
      <c r="G231" s="50" t="s">
        <v>3562</v>
      </c>
      <c r="H231" s="57">
        <v>1200</v>
      </c>
      <c r="I231" s="227"/>
      <c r="J231" s="57">
        <f t="shared" si="22"/>
        <v>1200</v>
      </c>
      <c r="K231" s="50">
        <v>1</v>
      </c>
      <c r="L231" s="57">
        <f t="shared" si="20"/>
        <v>1200</v>
      </c>
      <c r="M231" s="228">
        <f t="shared" si="21"/>
        <v>1320</v>
      </c>
      <c r="N231" s="18" t="s">
        <v>34</v>
      </c>
      <c r="O231" s="50"/>
      <c r="P231" s="52" t="s">
        <v>3538</v>
      </c>
    </row>
    <row r="232" spans="1:16" ht="21.75" customHeight="1" x14ac:dyDescent="0.4">
      <c r="A232" s="62">
        <v>45491</v>
      </c>
      <c r="B232" s="32" t="s">
        <v>3355</v>
      </c>
      <c r="C232" s="32"/>
      <c r="D232" s="96" t="s">
        <v>3492</v>
      </c>
      <c r="E232" s="63"/>
      <c r="F232" s="63"/>
      <c r="G232" s="50" t="s">
        <v>3493</v>
      </c>
      <c r="H232" s="57">
        <v>-15000</v>
      </c>
      <c r="I232" s="227"/>
      <c r="J232" s="57">
        <f t="shared" si="22"/>
        <v>-15000</v>
      </c>
      <c r="K232" s="50">
        <v>1</v>
      </c>
      <c r="L232" s="57">
        <f t="shared" si="20"/>
        <v>-15000</v>
      </c>
      <c r="M232" s="228">
        <f t="shared" si="21"/>
        <v>-16500</v>
      </c>
      <c r="N232" s="18" t="s">
        <v>34</v>
      </c>
      <c r="O232" s="50"/>
      <c r="P232" s="52" t="s">
        <v>3538</v>
      </c>
    </row>
    <row r="233" spans="1:16" ht="21.75" customHeight="1" x14ac:dyDescent="0.4">
      <c r="A233" s="62">
        <v>45491</v>
      </c>
      <c r="B233" s="32" t="s">
        <v>3524</v>
      </c>
      <c r="C233" s="32"/>
      <c r="D233" s="18" t="s">
        <v>2892</v>
      </c>
      <c r="E233" s="63" t="s">
        <v>23</v>
      </c>
      <c r="F233" s="63"/>
      <c r="G233" s="50" t="s">
        <v>2883</v>
      </c>
      <c r="H233" s="57">
        <v>15000</v>
      </c>
      <c r="I233" s="227"/>
      <c r="J233" s="57">
        <f t="shared" si="22"/>
        <v>15000</v>
      </c>
      <c r="K233" s="50">
        <v>1</v>
      </c>
      <c r="L233" s="57">
        <f t="shared" si="20"/>
        <v>15000</v>
      </c>
      <c r="M233" s="228">
        <f t="shared" si="21"/>
        <v>16500</v>
      </c>
      <c r="N233" s="18" t="s">
        <v>25</v>
      </c>
      <c r="O233" s="50" t="s">
        <v>1954</v>
      </c>
    </row>
    <row r="234" spans="1:16" ht="21.75" customHeight="1" x14ac:dyDescent="0.4">
      <c r="A234" s="62">
        <v>45491</v>
      </c>
      <c r="B234" s="32" t="s">
        <v>3524</v>
      </c>
      <c r="C234" s="32"/>
      <c r="D234" s="18" t="s">
        <v>3479</v>
      </c>
      <c r="E234" s="63" t="s">
        <v>328</v>
      </c>
      <c r="F234" s="63" t="s">
        <v>33</v>
      </c>
      <c r="G234" s="50" t="s">
        <v>3623</v>
      </c>
      <c r="H234" s="57">
        <v>60000</v>
      </c>
      <c r="I234" s="227">
        <v>-12000</v>
      </c>
      <c r="J234" s="57">
        <f t="shared" si="22"/>
        <v>48000</v>
      </c>
      <c r="K234" s="50">
        <v>1</v>
      </c>
      <c r="L234" s="57">
        <f t="shared" si="20"/>
        <v>48000</v>
      </c>
      <c r="M234" s="228">
        <f t="shared" si="21"/>
        <v>52800</v>
      </c>
      <c r="N234" s="18" t="s">
        <v>34</v>
      </c>
      <c r="O234" s="50"/>
      <c r="P234" s="52" t="s">
        <v>3538</v>
      </c>
    </row>
    <row r="235" spans="1:16" ht="21.75" customHeight="1" x14ac:dyDescent="0.4">
      <c r="A235" s="62">
        <v>45491</v>
      </c>
      <c r="B235" s="32" t="s">
        <v>3524</v>
      </c>
      <c r="C235" s="32"/>
      <c r="D235" s="18" t="s">
        <v>3479</v>
      </c>
      <c r="E235" s="63" t="s">
        <v>332</v>
      </c>
      <c r="F235" s="63" t="s">
        <v>3555</v>
      </c>
      <c r="G235" s="50" t="s">
        <v>3562</v>
      </c>
      <c r="H235" s="57">
        <v>1200</v>
      </c>
      <c r="I235" s="227"/>
      <c r="J235" s="57">
        <f t="shared" si="22"/>
        <v>1200</v>
      </c>
      <c r="K235" s="50">
        <v>1</v>
      </c>
      <c r="L235" s="57">
        <f t="shared" si="20"/>
        <v>1200</v>
      </c>
      <c r="M235" s="228">
        <f t="shared" si="21"/>
        <v>1320</v>
      </c>
      <c r="N235" s="18" t="s">
        <v>34</v>
      </c>
      <c r="O235" s="50"/>
      <c r="P235" s="52" t="s">
        <v>3538</v>
      </c>
    </row>
    <row r="236" spans="1:16" ht="21.75" customHeight="1" x14ac:dyDescent="0.4">
      <c r="A236" s="62">
        <v>45491</v>
      </c>
      <c r="B236" s="32" t="s">
        <v>3525</v>
      </c>
      <c r="C236" s="32"/>
      <c r="D236" s="18" t="s">
        <v>2892</v>
      </c>
      <c r="E236" s="63" t="s">
        <v>23</v>
      </c>
      <c r="F236" s="63"/>
      <c r="G236" s="50" t="s">
        <v>2883</v>
      </c>
      <c r="H236" s="57">
        <v>15000</v>
      </c>
      <c r="I236" s="227"/>
      <c r="J236" s="57">
        <f t="shared" si="22"/>
        <v>15000</v>
      </c>
      <c r="K236" s="50">
        <v>1</v>
      </c>
      <c r="L236" s="57">
        <f t="shared" si="20"/>
        <v>15000</v>
      </c>
      <c r="M236" s="228">
        <f t="shared" si="21"/>
        <v>16500</v>
      </c>
      <c r="N236" s="18" t="s">
        <v>25</v>
      </c>
      <c r="O236" s="50" t="s">
        <v>1954</v>
      </c>
    </row>
    <row r="237" spans="1:16" ht="21.75" customHeight="1" x14ac:dyDescent="0.4">
      <c r="A237" s="62">
        <v>45491</v>
      </c>
      <c r="B237" s="32" t="s">
        <v>3525</v>
      </c>
      <c r="C237" s="32"/>
      <c r="D237" s="18" t="s">
        <v>3479</v>
      </c>
      <c r="E237" s="63" t="s">
        <v>328</v>
      </c>
      <c r="F237" s="63" t="s">
        <v>3598</v>
      </c>
      <c r="G237" s="50" t="s">
        <v>3607</v>
      </c>
      <c r="H237" s="57">
        <v>55000</v>
      </c>
      <c r="I237" s="227">
        <v>-11000</v>
      </c>
      <c r="J237" s="57">
        <f t="shared" si="22"/>
        <v>44000</v>
      </c>
      <c r="K237" s="50">
        <v>1</v>
      </c>
      <c r="L237" s="57">
        <f t="shared" si="20"/>
        <v>44000</v>
      </c>
      <c r="M237" s="228">
        <f t="shared" si="21"/>
        <v>48400</v>
      </c>
      <c r="N237" s="18" t="s">
        <v>34</v>
      </c>
      <c r="O237" s="50"/>
      <c r="P237" s="52" t="s">
        <v>3538</v>
      </c>
    </row>
    <row r="238" spans="1:16" ht="21.75" customHeight="1" x14ac:dyDescent="0.4">
      <c r="A238" s="62">
        <v>45491</v>
      </c>
      <c r="B238" s="32" t="s">
        <v>3525</v>
      </c>
      <c r="C238" s="32"/>
      <c r="D238" s="18" t="s">
        <v>3479</v>
      </c>
      <c r="E238" s="63" t="s">
        <v>332</v>
      </c>
      <c r="F238" s="63" t="s">
        <v>3555</v>
      </c>
      <c r="G238" s="50" t="s">
        <v>3562</v>
      </c>
      <c r="H238" s="57">
        <v>1200</v>
      </c>
      <c r="I238" s="227"/>
      <c r="J238" s="57">
        <f t="shared" si="22"/>
        <v>1200</v>
      </c>
      <c r="K238" s="50">
        <v>1</v>
      </c>
      <c r="L238" s="57">
        <f t="shared" si="20"/>
        <v>1200</v>
      </c>
      <c r="M238" s="228">
        <f t="shared" si="21"/>
        <v>1320</v>
      </c>
      <c r="N238" s="18" t="s">
        <v>34</v>
      </c>
      <c r="O238" s="50"/>
      <c r="P238" s="52" t="s">
        <v>3538</v>
      </c>
    </row>
    <row r="239" spans="1:16" ht="21.75" customHeight="1" x14ac:dyDescent="0.4">
      <c r="A239" s="62">
        <v>45492</v>
      </c>
      <c r="B239" s="32" t="s">
        <v>927</v>
      </c>
      <c r="C239" s="32"/>
      <c r="D239" s="18" t="s">
        <v>3479</v>
      </c>
      <c r="E239" s="63" t="s">
        <v>332</v>
      </c>
      <c r="F239" s="63" t="s">
        <v>3551</v>
      </c>
      <c r="G239" s="50" t="s">
        <v>3568</v>
      </c>
      <c r="H239" s="57">
        <v>1200</v>
      </c>
      <c r="I239" s="227">
        <v>-120</v>
      </c>
      <c r="J239" s="57">
        <f t="shared" si="22"/>
        <v>1080</v>
      </c>
      <c r="K239" s="50">
        <v>6</v>
      </c>
      <c r="L239" s="57">
        <f t="shared" si="20"/>
        <v>6480</v>
      </c>
      <c r="M239" s="228">
        <f t="shared" si="21"/>
        <v>7128</v>
      </c>
      <c r="N239" s="18" t="s">
        <v>25</v>
      </c>
      <c r="O239" s="50"/>
    </row>
    <row r="240" spans="1:16" ht="21.75" customHeight="1" x14ac:dyDescent="0.4">
      <c r="A240" s="62">
        <v>45492</v>
      </c>
      <c r="B240" s="32" t="s">
        <v>3508</v>
      </c>
      <c r="C240" s="32"/>
      <c r="D240" s="18" t="s">
        <v>3479</v>
      </c>
      <c r="E240" s="63" t="s">
        <v>328</v>
      </c>
      <c r="F240" s="63" t="s">
        <v>33</v>
      </c>
      <c r="G240" s="50" t="s">
        <v>3623</v>
      </c>
      <c r="H240" s="57">
        <v>60000</v>
      </c>
      <c r="I240" s="227">
        <v>-12000</v>
      </c>
      <c r="J240" s="57">
        <f t="shared" si="22"/>
        <v>48000</v>
      </c>
      <c r="K240" s="50">
        <v>1</v>
      </c>
      <c r="L240" s="57">
        <f t="shared" si="20"/>
        <v>48000</v>
      </c>
      <c r="M240" s="228">
        <f t="shared" si="21"/>
        <v>52800</v>
      </c>
      <c r="N240" s="18" t="s">
        <v>3489</v>
      </c>
      <c r="O240" s="50"/>
      <c r="P240" s="52" t="s">
        <v>3540</v>
      </c>
    </row>
    <row r="241" spans="1:16" ht="21.75" customHeight="1" x14ac:dyDescent="0.4">
      <c r="A241" s="62">
        <v>45492</v>
      </c>
      <c r="B241" s="32" t="s">
        <v>3508</v>
      </c>
      <c r="C241" s="32"/>
      <c r="D241" s="18" t="s">
        <v>3479</v>
      </c>
      <c r="E241" s="63" t="s">
        <v>328</v>
      </c>
      <c r="F241" s="63" t="s">
        <v>33</v>
      </c>
      <c r="G241" s="50" t="s">
        <v>3624</v>
      </c>
      <c r="H241" s="57">
        <v>35000</v>
      </c>
      <c r="I241" s="227">
        <v>-7000</v>
      </c>
      <c r="J241" s="57">
        <f t="shared" si="22"/>
        <v>28000</v>
      </c>
      <c r="K241" s="50">
        <v>1</v>
      </c>
      <c r="L241" s="57">
        <f t="shared" si="20"/>
        <v>28000</v>
      </c>
      <c r="M241" s="228">
        <f t="shared" si="21"/>
        <v>30800</v>
      </c>
      <c r="N241" s="18" t="s">
        <v>3489</v>
      </c>
      <c r="O241" s="50"/>
      <c r="P241" s="52" t="s">
        <v>3540</v>
      </c>
    </row>
    <row r="242" spans="1:16" ht="21.75" customHeight="1" x14ac:dyDescent="0.4">
      <c r="A242" s="62">
        <v>45492</v>
      </c>
      <c r="B242" s="32" t="s">
        <v>3508</v>
      </c>
      <c r="C242" s="32"/>
      <c r="D242" s="18" t="s">
        <v>3479</v>
      </c>
      <c r="E242" s="63" t="s">
        <v>328</v>
      </c>
      <c r="F242" s="63" t="s">
        <v>33</v>
      </c>
      <c r="G242" s="50" t="s">
        <v>3625</v>
      </c>
      <c r="H242" s="57">
        <v>35000</v>
      </c>
      <c r="I242" s="227">
        <v>-7000</v>
      </c>
      <c r="J242" s="57">
        <f t="shared" si="22"/>
        <v>28000</v>
      </c>
      <c r="K242" s="50">
        <v>1</v>
      </c>
      <c r="L242" s="57">
        <f t="shared" si="20"/>
        <v>28000</v>
      </c>
      <c r="M242" s="228">
        <f t="shared" si="21"/>
        <v>30800</v>
      </c>
      <c r="N242" s="18" t="s">
        <v>3489</v>
      </c>
      <c r="O242" s="50"/>
      <c r="P242" s="52" t="s">
        <v>3540</v>
      </c>
    </row>
    <row r="243" spans="1:16" ht="21.75" customHeight="1" x14ac:dyDescent="0.4">
      <c r="A243" s="62">
        <v>45492</v>
      </c>
      <c r="B243" s="32" t="s">
        <v>3508</v>
      </c>
      <c r="C243" s="32"/>
      <c r="D243" s="18" t="s">
        <v>3479</v>
      </c>
      <c r="E243" s="63" t="s">
        <v>332</v>
      </c>
      <c r="F243" s="63" t="s">
        <v>3555</v>
      </c>
      <c r="G243" s="50" t="s">
        <v>3560</v>
      </c>
      <c r="H243" s="57">
        <v>1700</v>
      </c>
      <c r="I243" s="227"/>
      <c r="J243" s="57">
        <f t="shared" si="22"/>
        <v>1700</v>
      </c>
      <c r="K243" s="50">
        <v>3</v>
      </c>
      <c r="L243" s="57">
        <f t="shared" si="20"/>
        <v>5100</v>
      </c>
      <c r="M243" s="228">
        <f t="shared" si="21"/>
        <v>5610</v>
      </c>
      <c r="N243" s="18" t="s">
        <v>3489</v>
      </c>
      <c r="O243" s="50"/>
      <c r="P243" s="52" t="s">
        <v>3540</v>
      </c>
    </row>
    <row r="244" spans="1:16" ht="21.75" customHeight="1" x14ac:dyDescent="0.4">
      <c r="A244" s="62">
        <v>45492</v>
      </c>
      <c r="B244" s="32" t="s">
        <v>3508</v>
      </c>
      <c r="C244" s="32"/>
      <c r="D244" s="18" t="s">
        <v>3479</v>
      </c>
      <c r="E244" s="63" t="s">
        <v>330</v>
      </c>
      <c r="F244" s="63" t="s">
        <v>3627</v>
      </c>
      <c r="G244" s="50" t="s">
        <v>116</v>
      </c>
      <c r="H244" s="57">
        <v>5000</v>
      </c>
      <c r="I244" s="227"/>
      <c r="J244" s="57">
        <f t="shared" si="22"/>
        <v>5000</v>
      </c>
      <c r="K244" s="50">
        <v>1</v>
      </c>
      <c r="L244" s="57">
        <f t="shared" si="20"/>
        <v>5000</v>
      </c>
      <c r="M244" s="228">
        <f t="shared" si="21"/>
        <v>5500</v>
      </c>
      <c r="N244" s="18" t="s">
        <v>3489</v>
      </c>
      <c r="O244" s="50"/>
      <c r="P244" s="52" t="s">
        <v>3540</v>
      </c>
    </row>
    <row r="245" spans="1:16" ht="21.75" customHeight="1" x14ac:dyDescent="0.4">
      <c r="A245" s="62">
        <v>45492</v>
      </c>
      <c r="B245" s="32" t="s">
        <v>3508</v>
      </c>
      <c r="C245" s="32"/>
      <c r="D245" s="18" t="s">
        <v>3479</v>
      </c>
      <c r="E245" s="193" t="s">
        <v>330</v>
      </c>
      <c r="F245" s="63" t="s">
        <v>3543</v>
      </c>
      <c r="G245" s="50" t="s">
        <v>3640</v>
      </c>
      <c r="H245" s="57">
        <v>5500</v>
      </c>
      <c r="I245" s="227"/>
      <c r="J245" s="57">
        <f t="shared" si="22"/>
        <v>5500</v>
      </c>
      <c r="K245" s="50">
        <v>2</v>
      </c>
      <c r="L245" s="57">
        <f t="shared" si="20"/>
        <v>11000</v>
      </c>
      <c r="M245" s="228">
        <f t="shared" si="21"/>
        <v>12100</v>
      </c>
      <c r="N245" s="18" t="s">
        <v>3489</v>
      </c>
      <c r="O245" s="50"/>
      <c r="P245" s="52" t="s">
        <v>3540</v>
      </c>
    </row>
    <row r="246" spans="1:16" ht="21.75" customHeight="1" x14ac:dyDescent="0.4">
      <c r="A246" s="62">
        <v>45492</v>
      </c>
      <c r="B246" s="32" t="s">
        <v>3508</v>
      </c>
      <c r="C246" s="32"/>
      <c r="D246" s="96" t="s">
        <v>3492</v>
      </c>
      <c r="E246" s="63"/>
      <c r="F246" s="63"/>
      <c r="G246" s="50" t="s">
        <v>3493</v>
      </c>
      <c r="H246" s="57">
        <v>-20000</v>
      </c>
      <c r="I246" s="227"/>
      <c r="J246" s="57">
        <f t="shared" si="22"/>
        <v>-20000</v>
      </c>
      <c r="K246" s="50">
        <v>1</v>
      </c>
      <c r="L246" s="57">
        <f t="shared" si="20"/>
        <v>-20000</v>
      </c>
      <c r="M246" s="228">
        <f t="shared" si="21"/>
        <v>-22000</v>
      </c>
      <c r="N246" s="18" t="s">
        <v>3489</v>
      </c>
      <c r="O246" s="50" t="s">
        <v>3526</v>
      </c>
      <c r="P246" s="52" t="s">
        <v>3540</v>
      </c>
    </row>
    <row r="247" spans="1:16" ht="21.75" customHeight="1" x14ac:dyDescent="0.4">
      <c r="A247" s="62">
        <v>45493</v>
      </c>
      <c r="B247" s="32" t="s">
        <v>3417</v>
      </c>
      <c r="C247" s="32"/>
      <c r="D247" s="18" t="s">
        <v>3479</v>
      </c>
      <c r="E247" s="63" t="s">
        <v>328</v>
      </c>
      <c r="F247" s="63" t="s">
        <v>3595</v>
      </c>
      <c r="G247" s="50" t="s">
        <v>3613</v>
      </c>
      <c r="H247" s="57">
        <v>50000</v>
      </c>
      <c r="I247" s="227">
        <v>-15000</v>
      </c>
      <c r="J247" s="57">
        <f t="shared" si="22"/>
        <v>35000</v>
      </c>
      <c r="K247" s="50">
        <v>1</v>
      </c>
      <c r="L247" s="57">
        <f t="shared" si="20"/>
        <v>35000</v>
      </c>
      <c r="M247" s="228">
        <f t="shared" si="21"/>
        <v>38500</v>
      </c>
      <c r="N247" s="18" t="s">
        <v>34</v>
      </c>
      <c r="O247" s="50"/>
      <c r="P247" s="52" t="s">
        <v>3539</v>
      </c>
    </row>
    <row r="248" spans="1:16" ht="21.75" customHeight="1" x14ac:dyDescent="0.4">
      <c r="A248" s="62">
        <v>45493</v>
      </c>
      <c r="B248" s="32" t="s">
        <v>3527</v>
      </c>
      <c r="C248" s="32"/>
      <c r="D248" s="18" t="s">
        <v>2892</v>
      </c>
      <c r="E248" s="63" t="s">
        <v>23</v>
      </c>
      <c r="F248" s="63"/>
      <c r="G248" s="50" t="s">
        <v>2883</v>
      </c>
      <c r="H248" s="57">
        <v>15000</v>
      </c>
      <c r="I248" s="227"/>
      <c r="J248" s="57">
        <f t="shared" si="22"/>
        <v>15000</v>
      </c>
      <c r="K248" s="50">
        <v>1</v>
      </c>
      <c r="L248" s="57">
        <f t="shared" si="20"/>
        <v>15000</v>
      </c>
      <c r="M248" s="228">
        <f t="shared" si="21"/>
        <v>16500</v>
      </c>
      <c r="N248" s="18" t="s">
        <v>25</v>
      </c>
      <c r="O248" s="50"/>
    </row>
    <row r="249" spans="1:16" ht="21.75" customHeight="1" x14ac:dyDescent="0.4">
      <c r="A249" s="62">
        <v>45493</v>
      </c>
      <c r="B249" s="32" t="s">
        <v>3528</v>
      </c>
      <c r="C249" s="32"/>
      <c r="D249" s="18" t="s">
        <v>2892</v>
      </c>
      <c r="E249" s="63" t="s">
        <v>23</v>
      </c>
      <c r="F249" s="63"/>
      <c r="G249" s="50" t="s">
        <v>2883</v>
      </c>
      <c r="H249" s="57">
        <v>15000</v>
      </c>
      <c r="I249" s="227"/>
      <c r="J249" s="57">
        <f t="shared" si="22"/>
        <v>15000</v>
      </c>
      <c r="K249" s="50">
        <v>1</v>
      </c>
      <c r="L249" s="57">
        <f t="shared" si="20"/>
        <v>15000</v>
      </c>
      <c r="M249" s="228">
        <f t="shared" si="21"/>
        <v>16500</v>
      </c>
      <c r="N249" s="18" t="s">
        <v>25</v>
      </c>
      <c r="O249" s="50"/>
    </row>
    <row r="250" spans="1:16" ht="21.75" customHeight="1" x14ac:dyDescent="0.4">
      <c r="A250" s="62">
        <v>45493</v>
      </c>
      <c r="B250" s="32" t="s">
        <v>3527</v>
      </c>
      <c r="C250" s="32"/>
      <c r="D250" s="18" t="s">
        <v>3479</v>
      </c>
      <c r="E250" s="63" t="s">
        <v>328</v>
      </c>
      <c r="F250" s="63" t="s">
        <v>33</v>
      </c>
      <c r="G250" s="50" t="s">
        <v>3626</v>
      </c>
      <c r="H250" s="57">
        <v>50000</v>
      </c>
      <c r="I250" s="227">
        <v>-10000</v>
      </c>
      <c r="J250" s="57">
        <f t="shared" si="22"/>
        <v>40000</v>
      </c>
      <c r="K250" s="50">
        <v>2</v>
      </c>
      <c r="L250" s="57">
        <f t="shared" si="20"/>
        <v>80000</v>
      </c>
      <c r="M250" s="228">
        <f t="shared" si="21"/>
        <v>88000</v>
      </c>
      <c r="N250" s="18" t="s">
        <v>34</v>
      </c>
      <c r="O250" s="50"/>
      <c r="P250" s="52" t="s">
        <v>3540</v>
      </c>
    </row>
    <row r="251" spans="1:16" ht="21.75" customHeight="1" x14ac:dyDescent="0.4">
      <c r="A251" s="62">
        <v>45493</v>
      </c>
      <c r="B251" s="32" t="s">
        <v>3527</v>
      </c>
      <c r="C251" s="32"/>
      <c r="D251" s="18" t="s">
        <v>3479</v>
      </c>
      <c r="E251" s="63" t="s">
        <v>3482</v>
      </c>
      <c r="F251" s="63" t="s">
        <v>3627</v>
      </c>
      <c r="G251" s="50" t="s">
        <v>3639</v>
      </c>
      <c r="H251" s="57">
        <v>88000</v>
      </c>
      <c r="I251" s="227">
        <v>-13200</v>
      </c>
      <c r="J251" s="57">
        <f t="shared" si="22"/>
        <v>74800</v>
      </c>
      <c r="K251" s="50">
        <v>1</v>
      </c>
      <c r="L251" s="57">
        <f t="shared" si="20"/>
        <v>74800</v>
      </c>
      <c r="M251" s="228">
        <f t="shared" si="21"/>
        <v>82280</v>
      </c>
      <c r="N251" s="18" t="s">
        <v>34</v>
      </c>
      <c r="O251" s="50"/>
      <c r="P251" s="52" t="s">
        <v>3540</v>
      </c>
    </row>
    <row r="252" spans="1:16" ht="21.75" customHeight="1" x14ac:dyDescent="0.4">
      <c r="A252" s="62">
        <v>45493</v>
      </c>
      <c r="B252" s="32" t="s">
        <v>3527</v>
      </c>
      <c r="C252" s="32"/>
      <c r="D252" s="18" t="s">
        <v>3479</v>
      </c>
      <c r="E252" s="63" t="s">
        <v>332</v>
      </c>
      <c r="F252" s="63" t="s">
        <v>3555</v>
      </c>
      <c r="G252" s="50" t="s">
        <v>3562</v>
      </c>
      <c r="H252" s="57">
        <v>1200</v>
      </c>
      <c r="I252" s="227"/>
      <c r="J252" s="57">
        <f t="shared" si="22"/>
        <v>1200</v>
      </c>
      <c r="K252" s="50">
        <v>2</v>
      </c>
      <c r="L252" s="57">
        <f t="shared" si="20"/>
        <v>2400</v>
      </c>
      <c r="M252" s="228">
        <f t="shared" si="21"/>
        <v>2640</v>
      </c>
      <c r="N252" s="18" t="s">
        <v>34</v>
      </c>
      <c r="O252" s="50"/>
      <c r="P252" s="52" t="s">
        <v>3540</v>
      </c>
    </row>
    <row r="253" spans="1:16" ht="21.75" customHeight="1" x14ac:dyDescent="0.4">
      <c r="A253" s="62">
        <v>45493</v>
      </c>
      <c r="B253" s="32" t="s">
        <v>3527</v>
      </c>
      <c r="C253" s="32"/>
      <c r="D253" s="96" t="s">
        <v>3492</v>
      </c>
      <c r="E253" s="63"/>
      <c r="F253" s="63"/>
      <c r="G253" s="50" t="s">
        <v>3493</v>
      </c>
      <c r="H253" s="57">
        <v>-15000</v>
      </c>
      <c r="I253" s="227"/>
      <c r="J253" s="57">
        <f t="shared" si="22"/>
        <v>-15000</v>
      </c>
      <c r="K253" s="50">
        <v>1</v>
      </c>
      <c r="L253" s="57">
        <f t="shared" si="20"/>
        <v>-15000</v>
      </c>
      <c r="M253" s="228">
        <f t="shared" si="21"/>
        <v>-16500</v>
      </c>
      <c r="N253" s="18" t="s">
        <v>34</v>
      </c>
      <c r="O253" s="159" t="s">
        <v>3719</v>
      </c>
      <c r="P253" s="52" t="s">
        <v>3540</v>
      </c>
    </row>
    <row r="254" spans="1:16" ht="21.75" customHeight="1" x14ac:dyDescent="0.4">
      <c r="A254" s="62">
        <v>45493</v>
      </c>
      <c r="B254" s="32" t="s">
        <v>3481</v>
      </c>
      <c r="C254" s="32"/>
      <c r="D254" s="18" t="s">
        <v>27</v>
      </c>
      <c r="E254" s="63" t="s">
        <v>28</v>
      </c>
      <c r="F254" s="63"/>
      <c r="G254" s="50" t="s">
        <v>3475</v>
      </c>
      <c r="H254" s="57">
        <v>3937</v>
      </c>
      <c r="I254" s="227"/>
      <c r="J254" s="57">
        <f t="shared" si="22"/>
        <v>3937</v>
      </c>
      <c r="K254" s="50">
        <v>1</v>
      </c>
      <c r="L254" s="57">
        <f t="shared" si="20"/>
        <v>3937</v>
      </c>
      <c r="M254" s="228">
        <f t="shared" si="21"/>
        <v>4330</v>
      </c>
      <c r="N254" s="18" t="s">
        <v>25</v>
      </c>
      <c r="O254" s="50"/>
    </row>
    <row r="255" spans="1:16" ht="21.75" customHeight="1" x14ac:dyDescent="0.4">
      <c r="A255" s="62">
        <v>45493</v>
      </c>
      <c r="B255" s="32" t="s">
        <v>3481</v>
      </c>
      <c r="C255" s="32"/>
      <c r="D255" s="18" t="s">
        <v>27</v>
      </c>
      <c r="E255" s="63" t="s">
        <v>28</v>
      </c>
      <c r="F255" s="63"/>
      <c r="G255" s="50" t="s">
        <v>3476</v>
      </c>
      <c r="H255" s="57">
        <v>15750</v>
      </c>
      <c r="I255" s="227"/>
      <c r="J255" s="57">
        <f t="shared" si="22"/>
        <v>15750</v>
      </c>
      <c r="K255" s="50">
        <v>1</v>
      </c>
      <c r="L255" s="57">
        <f t="shared" si="20"/>
        <v>15750</v>
      </c>
      <c r="M255" s="228">
        <f t="shared" si="21"/>
        <v>17325</v>
      </c>
      <c r="N255" s="18" t="s">
        <v>25</v>
      </c>
      <c r="O255" s="50"/>
    </row>
    <row r="256" spans="1:16" ht="21.75" customHeight="1" x14ac:dyDescent="0.4">
      <c r="A256" s="62">
        <v>45493</v>
      </c>
      <c r="B256" s="32" t="s">
        <v>3513</v>
      </c>
      <c r="C256" s="32"/>
      <c r="D256" s="18" t="s">
        <v>3479</v>
      </c>
      <c r="E256" s="63" t="s">
        <v>330</v>
      </c>
      <c r="F256" s="63" t="s">
        <v>3629</v>
      </c>
      <c r="G256" s="50" t="s">
        <v>3529</v>
      </c>
      <c r="H256" s="57">
        <v>5000</v>
      </c>
      <c r="I256" s="227"/>
      <c r="J256" s="57">
        <f t="shared" si="22"/>
        <v>5000</v>
      </c>
      <c r="K256" s="50">
        <v>1</v>
      </c>
      <c r="L256" s="57">
        <f t="shared" si="20"/>
        <v>5000</v>
      </c>
      <c r="M256" s="228">
        <f t="shared" si="21"/>
        <v>5500</v>
      </c>
      <c r="N256" s="192" t="s">
        <v>3718</v>
      </c>
      <c r="O256" s="50"/>
      <c r="P256" s="52" t="s">
        <v>3539</v>
      </c>
    </row>
    <row r="257" spans="1:15" ht="21.75" customHeight="1" x14ac:dyDescent="0.4">
      <c r="A257" s="62">
        <v>45493</v>
      </c>
      <c r="B257" s="32" t="s">
        <v>1423</v>
      </c>
      <c r="C257" s="32"/>
      <c r="D257" s="18" t="s">
        <v>27</v>
      </c>
      <c r="E257" s="63" t="s">
        <v>28</v>
      </c>
      <c r="F257" s="63"/>
      <c r="G257" s="50" t="s">
        <v>30</v>
      </c>
      <c r="H257" s="57">
        <v>15000</v>
      </c>
      <c r="I257" s="227"/>
      <c r="J257" s="57">
        <f t="shared" si="22"/>
        <v>15000</v>
      </c>
      <c r="K257" s="50">
        <v>1</v>
      </c>
      <c r="L257" s="57">
        <f t="shared" si="20"/>
        <v>15000</v>
      </c>
      <c r="M257" s="228">
        <f t="shared" si="21"/>
        <v>16500</v>
      </c>
      <c r="N257" s="18" t="s">
        <v>25</v>
      </c>
      <c r="O257" s="50"/>
    </row>
    <row r="258" spans="1:15" ht="21.75" customHeight="1" x14ac:dyDescent="0.4">
      <c r="A258" s="62">
        <v>45493</v>
      </c>
      <c r="B258" s="32" t="s">
        <v>1423</v>
      </c>
      <c r="C258" s="32"/>
      <c r="D258" s="18" t="s">
        <v>27</v>
      </c>
      <c r="E258" s="63" t="s">
        <v>28</v>
      </c>
      <c r="F258" s="63"/>
      <c r="G258" s="50" t="s">
        <v>3477</v>
      </c>
      <c r="H258" s="57">
        <v>3062</v>
      </c>
      <c r="I258" s="227"/>
      <c r="J258" s="57">
        <f t="shared" si="22"/>
        <v>3062</v>
      </c>
      <c r="K258" s="50">
        <v>1</v>
      </c>
      <c r="L258" s="57">
        <f t="shared" si="20"/>
        <v>3062</v>
      </c>
      <c r="M258" s="228">
        <f t="shared" si="21"/>
        <v>3368</v>
      </c>
      <c r="N258" s="18" t="s">
        <v>25</v>
      </c>
      <c r="O258" s="50"/>
    </row>
    <row r="259" spans="1:15" ht="21.75" customHeight="1" x14ac:dyDescent="0.4">
      <c r="A259" s="62">
        <v>45493</v>
      </c>
      <c r="B259" s="32" t="s">
        <v>1423</v>
      </c>
      <c r="C259" s="32"/>
      <c r="D259" s="18" t="s">
        <v>27</v>
      </c>
      <c r="E259" s="63" t="s">
        <v>28</v>
      </c>
      <c r="F259" s="63"/>
      <c r="G259" s="50" t="s">
        <v>3478</v>
      </c>
      <c r="H259" s="57">
        <v>12250</v>
      </c>
      <c r="I259" s="227"/>
      <c r="J259" s="57">
        <f t="shared" si="22"/>
        <v>12250</v>
      </c>
      <c r="K259" s="50">
        <v>1</v>
      </c>
      <c r="L259" s="57">
        <f t="shared" si="20"/>
        <v>12250</v>
      </c>
      <c r="M259" s="228">
        <f t="shared" si="21"/>
        <v>13475</v>
      </c>
      <c r="N259" s="18" t="s">
        <v>25</v>
      </c>
      <c r="O259" s="50"/>
    </row>
    <row r="260" spans="1:15" ht="21.75" customHeight="1" x14ac:dyDescent="0.4">
      <c r="A260" s="62">
        <v>45493</v>
      </c>
      <c r="B260" s="32" t="s">
        <v>1455</v>
      </c>
      <c r="C260" s="32"/>
      <c r="D260" s="18" t="s">
        <v>3479</v>
      </c>
      <c r="E260" s="63" t="s">
        <v>292</v>
      </c>
      <c r="F260" s="63" t="s">
        <v>3547</v>
      </c>
      <c r="G260" s="50" t="s">
        <v>3654</v>
      </c>
      <c r="H260" s="57">
        <v>3200</v>
      </c>
      <c r="I260" s="227">
        <v>-800</v>
      </c>
      <c r="J260" s="57">
        <f t="shared" si="22"/>
        <v>2400</v>
      </c>
      <c r="K260" s="50">
        <v>1</v>
      </c>
      <c r="L260" s="57">
        <f t="shared" si="20"/>
        <v>2400</v>
      </c>
      <c r="M260" s="228">
        <f t="shared" si="21"/>
        <v>2640</v>
      </c>
      <c r="N260" s="18" t="s">
        <v>3489</v>
      </c>
      <c r="O260" s="50"/>
    </row>
    <row r="261" spans="1:15" ht="21.75" customHeight="1" x14ac:dyDescent="0.4">
      <c r="A261" s="62">
        <v>45494</v>
      </c>
      <c r="B261" s="32" t="s">
        <v>644</v>
      </c>
      <c r="C261" s="32"/>
      <c r="D261" s="18" t="s">
        <v>3479</v>
      </c>
      <c r="E261" s="63" t="s">
        <v>292</v>
      </c>
      <c r="F261" s="63" t="s">
        <v>3547</v>
      </c>
      <c r="G261" s="50" t="s">
        <v>3655</v>
      </c>
      <c r="H261" s="57">
        <v>4000</v>
      </c>
      <c r="I261" s="227">
        <v>-400</v>
      </c>
      <c r="J261" s="57">
        <f t="shared" si="22"/>
        <v>3600</v>
      </c>
      <c r="K261" s="50">
        <v>1</v>
      </c>
      <c r="L261" s="57">
        <f t="shared" si="20"/>
        <v>3600</v>
      </c>
      <c r="M261" s="228">
        <f t="shared" si="21"/>
        <v>3960</v>
      </c>
      <c r="N261" s="18" t="s">
        <v>3489</v>
      </c>
      <c r="O261" s="50"/>
    </row>
    <row r="262" spans="1:15" ht="21.75" customHeight="1" x14ac:dyDescent="0.4">
      <c r="A262" s="62">
        <v>45494</v>
      </c>
      <c r="B262" s="32" t="s">
        <v>3418</v>
      </c>
      <c r="C262" s="32"/>
      <c r="D262" s="18" t="s">
        <v>3479</v>
      </c>
      <c r="E262" s="63" t="s">
        <v>3530</v>
      </c>
      <c r="F262" s="63" t="s">
        <v>3585</v>
      </c>
      <c r="G262" s="50" t="s">
        <v>3533</v>
      </c>
      <c r="H262" s="57">
        <v>12750</v>
      </c>
      <c r="I262" s="227"/>
      <c r="J262" s="57">
        <f t="shared" si="22"/>
        <v>12750</v>
      </c>
      <c r="K262" s="50">
        <v>1</v>
      </c>
      <c r="L262" s="57">
        <f t="shared" si="20"/>
        <v>12750</v>
      </c>
      <c r="M262" s="228">
        <f t="shared" si="21"/>
        <v>14025</v>
      </c>
      <c r="N262" s="18" t="s">
        <v>3489</v>
      </c>
      <c r="O262" s="50"/>
    </row>
    <row r="263" spans="1:15" ht="21.75" customHeight="1" x14ac:dyDescent="0.4">
      <c r="A263" s="62">
        <v>45494</v>
      </c>
      <c r="B263" s="32" t="s">
        <v>3418</v>
      </c>
      <c r="C263" s="32"/>
      <c r="D263" s="18" t="s">
        <v>17</v>
      </c>
      <c r="E263" s="63" t="s">
        <v>3530</v>
      </c>
      <c r="F263" s="63" t="s">
        <v>3585</v>
      </c>
      <c r="G263" s="50" t="s">
        <v>3534</v>
      </c>
      <c r="H263" s="57">
        <v>12750</v>
      </c>
      <c r="I263" s="227"/>
      <c r="J263" s="57">
        <f t="shared" si="22"/>
        <v>12750</v>
      </c>
      <c r="K263" s="50">
        <v>1</v>
      </c>
      <c r="L263" s="57">
        <f t="shared" si="20"/>
        <v>12750</v>
      </c>
      <c r="M263" s="228">
        <f t="shared" si="21"/>
        <v>14025</v>
      </c>
      <c r="N263" s="18" t="s">
        <v>20</v>
      </c>
      <c r="O263" s="50"/>
    </row>
    <row r="264" spans="1:15" ht="21.75" customHeight="1" x14ac:dyDescent="0.4">
      <c r="A264" s="62">
        <v>45494</v>
      </c>
      <c r="B264" s="32" t="s">
        <v>3418</v>
      </c>
      <c r="C264" s="32"/>
      <c r="D264" s="18" t="s">
        <v>3479</v>
      </c>
      <c r="E264" s="63" t="s">
        <v>3522</v>
      </c>
      <c r="F264" s="63"/>
      <c r="G264" s="50" t="s">
        <v>3535</v>
      </c>
      <c r="H264" s="57">
        <v>2232</v>
      </c>
      <c r="I264" s="227"/>
      <c r="J264" s="57">
        <f t="shared" si="22"/>
        <v>2232</v>
      </c>
      <c r="K264" s="50">
        <v>1</v>
      </c>
      <c r="L264" s="57">
        <f t="shared" si="20"/>
        <v>2232</v>
      </c>
      <c r="M264" s="228">
        <f t="shared" si="21"/>
        <v>2455</v>
      </c>
      <c r="N264" s="18" t="s">
        <v>20</v>
      </c>
      <c r="O264" s="50"/>
    </row>
    <row r="265" spans="1:15" ht="21.75" customHeight="1" x14ac:dyDescent="0.4">
      <c r="A265" s="62">
        <v>45494</v>
      </c>
      <c r="B265" s="32" t="s">
        <v>3418</v>
      </c>
      <c r="C265" s="32"/>
      <c r="D265" s="18" t="s">
        <v>17</v>
      </c>
      <c r="E265" s="63" t="s">
        <v>3522</v>
      </c>
      <c r="F265" s="63"/>
      <c r="G265" s="50" t="s">
        <v>3536</v>
      </c>
      <c r="H265" s="57">
        <v>2232</v>
      </c>
      <c r="I265" s="227"/>
      <c r="J265" s="57">
        <f t="shared" si="22"/>
        <v>2232</v>
      </c>
      <c r="K265" s="50">
        <v>1</v>
      </c>
      <c r="L265" s="57">
        <f t="shared" si="20"/>
        <v>2232</v>
      </c>
      <c r="M265" s="228">
        <f t="shared" si="21"/>
        <v>2455</v>
      </c>
      <c r="N265" s="18" t="s">
        <v>20</v>
      </c>
      <c r="O265" s="50"/>
    </row>
    <row r="266" spans="1:15" ht="21.75" customHeight="1" x14ac:dyDescent="0.4">
      <c r="A266" s="62">
        <v>45494</v>
      </c>
      <c r="B266" s="32" t="s">
        <v>3418</v>
      </c>
      <c r="C266" s="32"/>
      <c r="D266" s="18" t="s">
        <v>3479</v>
      </c>
      <c r="E266" s="63" t="s">
        <v>3531</v>
      </c>
      <c r="F266" s="63"/>
      <c r="G266" s="50" t="s">
        <v>3537</v>
      </c>
      <c r="H266" s="57">
        <v>8160</v>
      </c>
      <c r="I266" s="227"/>
      <c r="J266" s="57">
        <f t="shared" si="22"/>
        <v>8160</v>
      </c>
      <c r="K266" s="50">
        <v>1</v>
      </c>
      <c r="L266" s="57">
        <f t="shared" si="20"/>
        <v>8160</v>
      </c>
      <c r="M266" s="228">
        <f t="shared" si="21"/>
        <v>8976</v>
      </c>
      <c r="N266" s="18" t="s">
        <v>3489</v>
      </c>
      <c r="O266" s="50"/>
    </row>
    <row r="267" spans="1:15" ht="21.75" customHeight="1" x14ac:dyDescent="0.4">
      <c r="A267" s="62">
        <v>45495</v>
      </c>
      <c r="B267" s="32" t="s">
        <v>1455</v>
      </c>
      <c r="C267" s="32"/>
      <c r="D267" s="18" t="s">
        <v>3479</v>
      </c>
      <c r="E267" s="63" t="s">
        <v>3484</v>
      </c>
      <c r="F267" s="63"/>
      <c r="G267" s="50" t="s">
        <v>3532</v>
      </c>
      <c r="H267" s="57">
        <v>1000</v>
      </c>
      <c r="I267" s="227">
        <v>-400</v>
      </c>
      <c r="J267" s="57">
        <f t="shared" si="22"/>
        <v>600</v>
      </c>
      <c r="K267" s="50">
        <v>1</v>
      </c>
      <c r="L267" s="57">
        <f t="shared" si="20"/>
        <v>600</v>
      </c>
      <c r="M267" s="228">
        <f t="shared" si="21"/>
        <v>660</v>
      </c>
      <c r="N267" s="18" t="s">
        <v>3489</v>
      </c>
      <c r="O267" s="50"/>
    </row>
    <row r="268" spans="1:15" ht="21.75" customHeight="1" x14ac:dyDescent="0.4">
      <c r="A268" s="62">
        <v>45495</v>
      </c>
      <c r="B268" s="32" t="s">
        <v>3480</v>
      </c>
      <c r="C268" s="32"/>
      <c r="D268" s="18" t="s">
        <v>3479</v>
      </c>
      <c r="E268" s="63" t="s">
        <v>426</v>
      </c>
      <c r="F268" s="63" t="s">
        <v>3584</v>
      </c>
      <c r="G268" s="50" t="s">
        <v>3590</v>
      </c>
      <c r="H268" s="57">
        <v>1800</v>
      </c>
      <c r="I268" s="227">
        <v>-180</v>
      </c>
      <c r="J268" s="57">
        <f t="shared" si="22"/>
        <v>1620</v>
      </c>
      <c r="K268" s="50">
        <v>1</v>
      </c>
      <c r="L268" s="57">
        <f t="shared" si="20"/>
        <v>1620</v>
      </c>
      <c r="M268" s="228">
        <f t="shared" si="21"/>
        <v>1782</v>
      </c>
      <c r="N268" s="18" t="s">
        <v>25</v>
      </c>
      <c r="O268" s="50"/>
    </row>
    <row r="269" spans="1:15" ht="21.75" customHeight="1" x14ac:dyDescent="0.4">
      <c r="A269" s="62">
        <v>45495</v>
      </c>
      <c r="B269" s="32" t="s">
        <v>148</v>
      </c>
      <c r="C269" s="32"/>
      <c r="D269" s="18" t="s">
        <v>3479</v>
      </c>
      <c r="E269" s="63" t="s">
        <v>426</v>
      </c>
      <c r="F269" s="63" t="s">
        <v>3586</v>
      </c>
      <c r="G269" s="50" t="s">
        <v>3587</v>
      </c>
      <c r="H269" s="57">
        <v>2070</v>
      </c>
      <c r="I269" s="227">
        <v>-207</v>
      </c>
      <c r="J269" s="57">
        <f t="shared" si="22"/>
        <v>1863</v>
      </c>
      <c r="K269" s="50">
        <v>2</v>
      </c>
      <c r="L269" s="57">
        <f t="shared" si="20"/>
        <v>3726</v>
      </c>
      <c r="M269" s="228">
        <f t="shared" si="21"/>
        <v>4098</v>
      </c>
      <c r="N269" s="18" t="s">
        <v>3489</v>
      </c>
      <c r="O269" s="50"/>
    </row>
    <row r="270" spans="1:15" ht="21.75" customHeight="1" x14ac:dyDescent="0.4">
      <c r="A270" s="62">
        <v>45495</v>
      </c>
      <c r="B270" s="32" t="s">
        <v>148</v>
      </c>
      <c r="C270" s="32"/>
      <c r="D270" s="18" t="s">
        <v>3479</v>
      </c>
      <c r="E270" s="63" t="s">
        <v>292</v>
      </c>
      <c r="F270" s="63" t="s">
        <v>3547</v>
      </c>
      <c r="G270" s="50" t="s">
        <v>3654</v>
      </c>
      <c r="H270" s="57">
        <v>3200</v>
      </c>
      <c r="I270" s="227">
        <v>-320</v>
      </c>
      <c r="J270" s="57">
        <f t="shared" si="22"/>
        <v>2880</v>
      </c>
      <c r="K270" s="50">
        <v>1</v>
      </c>
      <c r="L270" s="57">
        <f t="shared" si="20"/>
        <v>2880</v>
      </c>
      <c r="M270" s="228">
        <f t="shared" si="21"/>
        <v>3168</v>
      </c>
      <c r="N270" s="18" t="s">
        <v>3489</v>
      </c>
      <c r="O270" s="50"/>
    </row>
    <row r="271" spans="1:15" ht="21.75" customHeight="1" x14ac:dyDescent="0.4">
      <c r="A271" s="62">
        <v>45497</v>
      </c>
      <c r="B271" s="32" t="s">
        <v>3656</v>
      </c>
      <c r="C271" s="32"/>
      <c r="D271" s="18" t="s">
        <v>3657</v>
      </c>
      <c r="E271" s="63" t="s">
        <v>332</v>
      </c>
      <c r="F271" s="63" t="s">
        <v>3659</v>
      </c>
      <c r="G271" s="50" t="s">
        <v>3660</v>
      </c>
      <c r="H271" s="57">
        <v>1200</v>
      </c>
      <c r="I271" s="227">
        <v>-120</v>
      </c>
      <c r="J271" s="57">
        <f t="shared" si="22"/>
        <v>1080</v>
      </c>
      <c r="K271" s="50">
        <v>1</v>
      </c>
      <c r="L271" s="57">
        <f t="shared" si="20"/>
        <v>1080</v>
      </c>
      <c r="M271" s="228">
        <f t="shared" si="21"/>
        <v>1188</v>
      </c>
      <c r="N271" s="18" t="s">
        <v>25</v>
      </c>
      <c r="O271" s="50"/>
    </row>
    <row r="272" spans="1:15" ht="21.75" customHeight="1" x14ac:dyDescent="0.4">
      <c r="A272" s="62">
        <v>45498</v>
      </c>
      <c r="B272" s="32" t="s">
        <v>3661</v>
      </c>
      <c r="C272" s="32"/>
      <c r="D272" s="18" t="s">
        <v>2892</v>
      </c>
      <c r="E272" s="63" t="s">
        <v>23</v>
      </c>
      <c r="F272" s="63"/>
      <c r="G272" s="50" t="s">
        <v>2883</v>
      </c>
      <c r="H272" s="57">
        <v>15000</v>
      </c>
      <c r="I272" s="227"/>
      <c r="J272" s="57">
        <f t="shared" si="22"/>
        <v>15000</v>
      </c>
      <c r="K272" s="50">
        <v>1</v>
      </c>
      <c r="L272" s="57">
        <f t="shared" si="20"/>
        <v>15000</v>
      </c>
      <c r="M272" s="228">
        <f t="shared" si="21"/>
        <v>16500</v>
      </c>
      <c r="N272" s="18" t="s">
        <v>25</v>
      </c>
      <c r="O272" s="50" t="s">
        <v>1954</v>
      </c>
    </row>
    <row r="273" spans="1:16" ht="21.75" customHeight="1" x14ac:dyDescent="0.4">
      <c r="A273" s="62">
        <v>45498</v>
      </c>
      <c r="B273" s="32" t="s">
        <v>3662</v>
      </c>
      <c r="C273" s="32"/>
      <c r="D273" s="18" t="s">
        <v>22</v>
      </c>
      <c r="E273" s="63" t="s">
        <v>1496</v>
      </c>
      <c r="F273" s="63"/>
      <c r="G273" s="50" t="s">
        <v>2422</v>
      </c>
      <c r="H273" s="57">
        <v>2000</v>
      </c>
      <c r="I273" s="227"/>
      <c r="J273" s="57">
        <f t="shared" si="22"/>
        <v>2000</v>
      </c>
      <c r="K273" s="50">
        <v>1</v>
      </c>
      <c r="L273" s="57">
        <f t="shared" si="20"/>
        <v>2000</v>
      </c>
      <c r="M273" s="228">
        <f t="shared" si="21"/>
        <v>2200</v>
      </c>
      <c r="N273" s="18" t="s">
        <v>25</v>
      </c>
      <c r="O273" s="50"/>
    </row>
    <row r="274" spans="1:16" ht="21.75" customHeight="1" x14ac:dyDescent="0.4">
      <c r="A274" s="62">
        <v>45498</v>
      </c>
      <c r="B274" s="32" t="s">
        <v>148</v>
      </c>
      <c r="C274" s="32"/>
      <c r="D274" s="18" t="s">
        <v>27</v>
      </c>
      <c r="E274" s="63" t="s">
        <v>28</v>
      </c>
      <c r="F274" s="63"/>
      <c r="G274" s="50" t="s">
        <v>3664</v>
      </c>
      <c r="H274" s="57">
        <v>17500</v>
      </c>
      <c r="I274" s="227"/>
      <c r="J274" s="57">
        <f t="shared" si="22"/>
        <v>17500</v>
      </c>
      <c r="K274" s="50">
        <v>1</v>
      </c>
      <c r="L274" s="57">
        <f t="shared" si="20"/>
        <v>17500</v>
      </c>
      <c r="M274" s="228">
        <f t="shared" si="21"/>
        <v>19250</v>
      </c>
      <c r="N274" s="18" t="s">
        <v>3665</v>
      </c>
      <c r="O274" s="50"/>
    </row>
    <row r="275" spans="1:16" ht="21.75" customHeight="1" x14ac:dyDescent="0.4">
      <c r="A275" s="62">
        <v>45499</v>
      </c>
      <c r="B275" s="32" t="s">
        <v>3666</v>
      </c>
      <c r="C275" s="32"/>
      <c r="D275" s="18" t="s">
        <v>3657</v>
      </c>
      <c r="E275" s="63" t="s">
        <v>332</v>
      </c>
      <c r="F275" s="63" t="s">
        <v>3667</v>
      </c>
      <c r="G275" s="50" t="s">
        <v>3668</v>
      </c>
      <c r="H275" s="57">
        <v>1600</v>
      </c>
      <c r="I275" s="227">
        <v>-160</v>
      </c>
      <c r="J275" s="57">
        <f t="shared" si="22"/>
        <v>1440</v>
      </c>
      <c r="K275" s="50">
        <v>3</v>
      </c>
      <c r="L275" s="57">
        <f t="shared" si="20"/>
        <v>4320</v>
      </c>
      <c r="M275" s="228">
        <f t="shared" si="21"/>
        <v>4752</v>
      </c>
      <c r="N275" s="18" t="s">
        <v>25</v>
      </c>
      <c r="O275" s="50"/>
    </row>
    <row r="276" spans="1:16" ht="21.75" customHeight="1" x14ac:dyDescent="0.4">
      <c r="A276" s="62">
        <v>45499</v>
      </c>
      <c r="B276" s="32" t="s">
        <v>2363</v>
      </c>
      <c r="C276" s="32"/>
      <c r="D276" s="18" t="s">
        <v>27</v>
      </c>
      <c r="E276" s="63" t="s">
        <v>28</v>
      </c>
      <c r="F276" s="63"/>
      <c r="G276" s="50" t="s">
        <v>3663</v>
      </c>
      <c r="H276" s="57">
        <v>17500</v>
      </c>
      <c r="I276" s="227"/>
      <c r="J276" s="57">
        <f t="shared" si="22"/>
        <v>17500</v>
      </c>
      <c r="K276" s="50">
        <v>1</v>
      </c>
      <c r="L276" s="57">
        <f t="shared" si="20"/>
        <v>17500</v>
      </c>
      <c r="M276" s="228">
        <f t="shared" si="21"/>
        <v>19250</v>
      </c>
      <c r="N276" s="18" t="s">
        <v>3665</v>
      </c>
      <c r="O276" s="50"/>
    </row>
    <row r="277" spans="1:16" ht="21.75" customHeight="1" x14ac:dyDescent="0.4">
      <c r="A277" s="62">
        <v>45499</v>
      </c>
      <c r="B277" s="32" t="s">
        <v>179</v>
      </c>
      <c r="C277" s="32"/>
      <c r="D277" s="18" t="s">
        <v>3657</v>
      </c>
      <c r="E277" s="63" t="s">
        <v>332</v>
      </c>
      <c r="F277" s="63" t="s">
        <v>3659</v>
      </c>
      <c r="G277" s="50" t="s">
        <v>3669</v>
      </c>
      <c r="H277" s="57">
        <v>1900</v>
      </c>
      <c r="I277" s="227">
        <v>-190</v>
      </c>
      <c r="J277" s="57">
        <f t="shared" si="22"/>
        <v>1710</v>
      </c>
      <c r="K277" s="50">
        <v>3</v>
      </c>
      <c r="L277" s="57">
        <f t="shared" si="20"/>
        <v>5130</v>
      </c>
      <c r="M277" s="228">
        <f t="shared" si="21"/>
        <v>5643</v>
      </c>
      <c r="N277" s="18" t="s">
        <v>3665</v>
      </c>
      <c r="O277" s="50"/>
    </row>
    <row r="278" spans="1:16" ht="21.75" customHeight="1" x14ac:dyDescent="0.4">
      <c r="A278" s="62">
        <v>45500</v>
      </c>
      <c r="B278" s="32" t="s">
        <v>3670</v>
      </c>
      <c r="C278" s="32"/>
      <c r="D278" s="18" t="s">
        <v>2892</v>
      </c>
      <c r="E278" s="63" t="s">
        <v>23</v>
      </c>
      <c r="F278" s="63"/>
      <c r="G278" s="50" t="s">
        <v>3671</v>
      </c>
      <c r="H278" s="57">
        <v>20000</v>
      </c>
      <c r="I278" s="227"/>
      <c r="J278" s="57">
        <f t="shared" si="22"/>
        <v>20000</v>
      </c>
      <c r="K278" s="50">
        <v>1</v>
      </c>
      <c r="L278" s="57">
        <f t="shared" si="20"/>
        <v>20000</v>
      </c>
      <c r="M278" s="228">
        <f t="shared" si="21"/>
        <v>22000</v>
      </c>
      <c r="N278" s="18" t="s">
        <v>25</v>
      </c>
      <c r="O278" s="50" t="s">
        <v>1954</v>
      </c>
    </row>
    <row r="279" spans="1:16" ht="21.75" customHeight="1" x14ac:dyDescent="0.4">
      <c r="A279" s="62">
        <v>45500</v>
      </c>
      <c r="B279" s="32" t="s">
        <v>3672</v>
      </c>
      <c r="C279" s="32"/>
      <c r="D279" s="18" t="s">
        <v>22</v>
      </c>
      <c r="E279" s="63" t="s">
        <v>1496</v>
      </c>
      <c r="F279" s="63"/>
      <c r="G279" s="50" t="s">
        <v>49</v>
      </c>
      <c r="H279" s="57">
        <v>3000</v>
      </c>
      <c r="I279" s="227"/>
      <c r="J279" s="57">
        <f t="shared" si="22"/>
        <v>3000</v>
      </c>
      <c r="K279" s="50">
        <v>1</v>
      </c>
      <c r="L279" s="57">
        <f t="shared" si="20"/>
        <v>3000</v>
      </c>
      <c r="M279" s="228">
        <f t="shared" si="21"/>
        <v>3300</v>
      </c>
      <c r="N279" s="18" t="s">
        <v>3665</v>
      </c>
      <c r="O279" s="50" t="s">
        <v>1954</v>
      </c>
    </row>
    <row r="280" spans="1:16" ht="21.75" customHeight="1" x14ac:dyDescent="0.4">
      <c r="A280" s="62">
        <v>45500</v>
      </c>
      <c r="B280" s="32" t="s">
        <v>582</v>
      </c>
      <c r="C280" s="32"/>
      <c r="D280" s="18" t="s">
        <v>3657</v>
      </c>
      <c r="E280" s="63" t="s">
        <v>332</v>
      </c>
      <c r="F280" s="63" t="s">
        <v>3659</v>
      </c>
      <c r="G280" s="50" t="s">
        <v>3673</v>
      </c>
      <c r="H280" s="57">
        <v>1600</v>
      </c>
      <c r="I280" s="227">
        <v>-160</v>
      </c>
      <c r="J280" s="57">
        <f t="shared" si="22"/>
        <v>1440</v>
      </c>
      <c r="K280" s="50">
        <v>15</v>
      </c>
      <c r="L280" s="57">
        <f t="shared" si="20"/>
        <v>21600</v>
      </c>
      <c r="M280" s="228">
        <f t="shared" si="21"/>
        <v>23760</v>
      </c>
      <c r="N280" s="18" t="s">
        <v>3665</v>
      </c>
      <c r="O280" s="50"/>
    </row>
    <row r="281" spans="1:16" ht="21.75" customHeight="1" x14ac:dyDescent="0.4">
      <c r="A281" s="62">
        <v>45500</v>
      </c>
      <c r="B281" s="32" t="s">
        <v>3510</v>
      </c>
      <c r="C281" s="32"/>
      <c r="D281" s="18" t="s">
        <v>3657</v>
      </c>
      <c r="E281" s="63" t="s">
        <v>328</v>
      </c>
      <c r="F281" s="63" t="s">
        <v>3674</v>
      </c>
      <c r="G281" s="50" t="s">
        <v>3675</v>
      </c>
      <c r="H281" s="57">
        <v>60000</v>
      </c>
      <c r="I281" s="227">
        <v>-18000</v>
      </c>
      <c r="J281" s="57">
        <f t="shared" si="22"/>
        <v>42000</v>
      </c>
      <c r="K281" s="50">
        <v>2</v>
      </c>
      <c r="L281" s="57">
        <f t="shared" si="20"/>
        <v>84000</v>
      </c>
      <c r="M281" s="228">
        <f t="shared" si="21"/>
        <v>92400</v>
      </c>
      <c r="N281" s="18" t="s">
        <v>34</v>
      </c>
      <c r="O281" s="50"/>
      <c r="P281" s="52" t="s">
        <v>3698</v>
      </c>
    </row>
    <row r="282" spans="1:16" ht="21.75" customHeight="1" x14ac:dyDescent="0.4">
      <c r="A282" s="62">
        <v>45500</v>
      </c>
      <c r="B282" s="32" t="s">
        <v>3510</v>
      </c>
      <c r="C282" s="32"/>
      <c r="D282" s="18" t="s">
        <v>3657</v>
      </c>
      <c r="E282" s="63" t="s">
        <v>328</v>
      </c>
      <c r="F282" s="63" t="s">
        <v>3674</v>
      </c>
      <c r="G282" s="50" t="s">
        <v>3676</v>
      </c>
      <c r="H282" s="57">
        <v>33000</v>
      </c>
      <c r="I282" s="227">
        <v>-9900</v>
      </c>
      <c r="J282" s="57">
        <f t="shared" si="22"/>
        <v>23100</v>
      </c>
      <c r="K282" s="50">
        <v>1</v>
      </c>
      <c r="L282" s="57">
        <f t="shared" si="20"/>
        <v>23100</v>
      </c>
      <c r="M282" s="228">
        <f t="shared" si="21"/>
        <v>25410</v>
      </c>
      <c r="N282" s="18" t="s">
        <v>34</v>
      </c>
      <c r="O282" s="50"/>
      <c r="P282" s="52" t="s">
        <v>3698</v>
      </c>
    </row>
    <row r="283" spans="1:16" ht="21.75" customHeight="1" x14ac:dyDescent="0.4">
      <c r="A283" s="62">
        <v>45500</v>
      </c>
      <c r="B283" s="32" t="s">
        <v>3510</v>
      </c>
      <c r="C283" s="32"/>
      <c r="D283" s="18" t="s">
        <v>3657</v>
      </c>
      <c r="E283" s="63" t="s">
        <v>3677</v>
      </c>
      <c r="F283" s="63" t="s">
        <v>3678</v>
      </c>
      <c r="G283" s="50" t="s">
        <v>3679</v>
      </c>
      <c r="H283" s="57">
        <v>95000</v>
      </c>
      <c r="I283" s="227">
        <v>-14250</v>
      </c>
      <c r="J283" s="57">
        <f t="shared" si="22"/>
        <v>80750</v>
      </c>
      <c r="K283" s="50">
        <v>1</v>
      </c>
      <c r="L283" s="57">
        <f t="shared" si="20"/>
        <v>80750</v>
      </c>
      <c r="M283" s="228">
        <f t="shared" si="21"/>
        <v>88825</v>
      </c>
      <c r="N283" s="18" t="s">
        <v>34</v>
      </c>
      <c r="O283" s="50"/>
      <c r="P283" s="52" t="s">
        <v>3698</v>
      </c>
    </row>
    <row r="284" spans="1:16" ht="21.75" customHeight="1" x14ac:dyDescent="0.4">
      <c r="A284" s="62">
        <v>45500</v>
      </c>
      <c r="B284" s="32" t="s">
        <v>3510</v>
      </c>
      <c r="C284" s="32"/>
      <c r="D284" s="18" t="s">
        <v>3657</v>
      </c>
      <c r="E284" s="63" t="s">
        <v>3677</v>
      </c>
      <c r="F284" s="63" t="s">
        <v>3678</v>
      </c>
      <c r="G284" s="50" t="s">
        <v>3635</v>
      </c>
      <c r="H284" s="57">
        <v>55000</v>
      </c>
      <c r="I284" s="227">
        <v>-8250</v>
      </c>
      <c r="J284" s="57">
        <f t="shared" si="22"/>
        <v>46750</v>
      </c>
      <c r="K284" s="50">
        <v>1</v>
      </c>
      <c r="L284" s="57">
        <f t="shared" ref="L284:L327" si="23">SUM(J284*K284)</f>
        <v>46750</v>
      </c>
      <c r="M284" s="228">
        <f t="shared" ref="M284:M327" si="24">ROUNDDOWN(L284*1.1,0)</f>
        <v>51425</v>
      </c>
      <c r="N284" s="18" t="s">
        <v>34</v>
      </c>
      <c r="O284" s="50"/>
      <c r="P284" s="52" t="s">
        <v>3698</v>
      </c>
    </row>
    <row r="285" spans="1:16" ht="21.75" customHeight="1" x14ac:dyDescent="0.4">
      <c r="A285" s="62">
        <v>45500</v>
      </c>
      <c r="B285" s="32" t="s">
        <v>3510</v>
      </c>
      <c r="C285" s="32"/>
      <c r="D285" s="18" t="s">
        <v>3657</v>
      </c>
      <c r="E285" s="63" t="s">
        <v>3677</v>
      </c>
      <c r="F285" s="63" t="s">
        <v>3678</v>
      </c>
      <c r="G285" s="50" t="s">
        <v>3680</v>
      </c>
      <c r="H285" s="57">
        <v>43000</v>
      </c>
      <c r="I285" s="227">
        <v>-6450</v>
      </c>
      <c r="J285" s="57">
        <f t="shared" si="22"/>
        <v>36550</v>
      </c>
      <c r="K285" s="50">
        <v>1</v>
      </c>
      <c r="L285" s="57">
        <f t="shared" si="23"/>
        <v>36550</v>
      </c>
      <c r="M285" s="228">
        <f t="shared" si="24"/>
        <v>40205</v>
      </c>
      <c r="N285" s="18" t="s">
        <v>34</v>
      </c>
      <c r="O285" s="50"/>
      <c r="P285" s="52" t="s">
        <v>3698</v>
      </c>
    </row>
    <row r="286" spans="1:16" ht="21.75" customHeight="1" x14ac:dyDescent="0.4">
      <c r="A286" s="62">
        <v>45500</v>
      </c>
      <c r="B286" s="32" t="s">
        <v>3510</v>
      </c>
      <c r="C286" s="32"/>
      <c r="D286" s="18" t="s">
        <v>3657</v>
      </c>
      <c r="E286" s="63" t="s">
        <v>332</v>
      </c>
      <c r="F286" s="63" t="s">
        <v>3659</v>
      </c>
      <c r="G286" s="50" t="s">
        <v>3681</v>
      </c>
      <c r="H286" s="57">
        <v>1200</v>
      </c>
      <c r="I286" s="227">
        <v>-120</v>
      </c>
      <c r="J286" s="57">
        <f t="shared" si="22"/>
        <v>1080</v>
      </c>
      <c r="K286" s="50">
        <v>3</v>
      </c>
      <c r="L286" s="57">
        <f t="shared" si="23"/>
        <v>3240</v>
      </c>
      <c r="M286" s="228">
        <f t="shared" si="24"/>
        <v>3564</v>
      </c>
      <c r="N286" s="18" t="s">
        <v>34</v>
      </c>
      <c r="O286" s="50"/>
      <c r="P286" s="52" t="s">
        <v>3698</v>
      </c>
    </row>
    <row r="287" spans="1:16" ht="21.75" customHeight="1" x14ac:dyDescent="0.4">
      <c r="A287" s="62">
        <v>45500</v>
      </c>
      <c r="B287" s="32" t="s">
        <v>3510</v>
      </c>
      <c r="C287" s="32"/>
      <c r="D287" s="18" t="s">
        <v>2892</v>
      </c>
      <c r="E287" s="63" t="s">
        <v>23</v>
      </c>
      <c r="F287" s="63"/>
      <c r="G287" s="50" t="s">
        <v>2883</v>
      </c>
      <c r="H287" s="57">
        <v>10000</v>
      </c>
      <c r="I287" s="227"/>
      <c r="J287" s="57">
        <f t="shared" ref="J287:J333" si="25">SUM(H287:I287)</f>
        <v>10000</v>
      </c>
      <c r="K287" s="50">
        <v>1</v>
      </c>
      <c r="L287" s="57">
        <f t="shared" si="23"/>
        <v>10000</v>
      </c>
      <c r="M287" s="228">
        <f t="shared" si="24"/>
        <v>11000</v>
      </c>
      <c r="N287" s="18" t="s">
        <v>34</v>
      </c>
      <c r="O287" s="50"/>
    </row>
    <row r="288" spans="1:16" ht="21.75" customHeight="1" x14ac:dyDescent="0.4">
      <c r="A288" s="62">
        <v>45500</v>
      </c>
      <c r="B288" s="32" t="s">
        <v>3682</v>
      </c>
      <c r="C288" s="32"/>
      <c r="D288" s="18" t="s">
        <v>3657</v>
      </c>
      <c r="E288" s="63" t="s">
        <v>328</v>
      </c>
      <c r="F288" s="63" t="s">
        <v>3597</v>
      </c>
      <c r="G288" s="50" t="s">
        <v>3683</v>
      </c>
      <c r="H288" s="57">
        <v>3000</v>
      </c>
      <c r="I288" s="227">
        <v>-300</v>
      </c>
      <c r="J288" s="57">
        <f t="shared" si="25"/>
        <v>2700</v>
      </c>
      <c r="K288" s="50">
        <v>1</v>
      </c>
      <c r="L288" s="57">
        <f t="shared" si="23"/>
        <v>2700</v>
      </c>
      <c r="M288" s="228">
        <f t="shared" si="24"/>
        <v>2970</v>
      </c>
      <c r="N288" s="18" t="s">
        <v>25</v>
      </c>
      <c r="O288" s="50"/>
    </row>
    <row r="289" spans="1:16" ht="21.75" customHeight="1" x14ac:dyDescent="0.4">
      <c r="A289" s="62">
        <v>45500</v>
      </c>
      <c r="B289" s="32" t="s">
        <v>3682</v>
      </c>
      <c r="C289" s="32"/>
      <c r="D289" s="18" t="s">
        <v>3657</v>
      </c>
      <c r="E289" s="63" t="s">
        <v>332</v>
      </c>
      <c r="F289" s="63" t="s">
        <v>3667</v>
      </c>
      <c r="G289" s="50" t="s">
        <v>3684</v>
      </c>
      <c r="H289" s="57">
        <v>2000</v>
      </c>
      <c r="I289" s="227">
        <v>-200</v>
      </c>
      <c r="J289" s="57">
        <f t="shared" si="25"/>
        <v>1800</v>
      </c>
      <c r="K289" s="50">
        <v>1</v>
      </c>
      <c r="L289" s="57">
        <f t="shared" si="23"/>
        <v>1800</v>
      </c>
      <c r="M289" s="228">
        <f t="shared" si="24"/>
        <v>1980</v>
      </c>
      <c r="N289" s="18" t="s">
        <v>25</v>
      </c>
      <c r="O289" s="50"/>
    </row>
    <row r="290" spans="1:16" ht="21.75" customHeight="1" x14ac:dyDescent="0.4">
      <c r="A290" s="62">
        <v>45501</v>
      </c>
      <c r="B290" s="32" t="s">
        <v>1455</v>
      </c>
      <c r="C290" s="32"/>
      <c r="D290" s="18" t="s">
        <v>3657</v>
      </c>
      <c r="E290" s="63" t="s">
        <v>292</v>
      </c>
      <c r="F290" s="63" t="s">
        <v>1051</v>
      </c>
      <c r="G290" s="50" t="s">
        <v>3685</v>
      </c>
      <c r="H290" s="57">
        <v>3200</v>
      </c>
      <c r="I290" s="227">
        <v>-800</v>
      </c>
      <c r="J290" s="57">
        <f t="shared" si="25"/>
        <v>2400</v>
      </c>
      <c r="K290" s="50">
        <v>1</v>
      </c>
      <c r="L290" s="57">
        <f t="shared" si="23"/>
        <v>2400</v>
      </c>
      <c r="M290" s="228">
        <f t="shared" si="24"/>
        <v>2640</v>
      </c>
      <c r="N290" s="18" t="s">
        <v>25</v>
      </c>
      <c r="O290" s="50"/>
    </row>
    <row r="291" spans="1:16" ht="21.75" customHeight="1" x14ac:dyDescent="0.4">
      <c r="A291" s="62">
        <v>45502</v>
      </c>
      <c r="B291" s="32" t="s">
        <v>3686</v>
      </c>
      <c r="C291" s="32"/>
      <c r="D291" s="18" t="s">
        <v>22</v>
      </c>
      <c r="E291" s="63" t="s">
        <v>1496</v>
      </c>
      <c r="F291" s="63"/>
      <c r="G291" s="50" t="s">
        <v>49</v>
      </c>
      <c r="H291" s="57">
        <v>3000</v>
      </c>
      <c r="I291" s="227"/>
      <c r="J291" s="57">
        <f t="shared" si="25"/>
        <v>3000</v>
      </c>
      <c r="K291" s="50">
        <v>1</v>
      </c>
      <c r="L291" s="57">
        <f t="shared" si="23"/>
        <v>3000</v>
      </c>
      <c r="M291" s="228">
        <f t="shared" si="24"/>
        <v>3300</v>
      </c>
      <c r="N291" s="18" t="s">
        <v>25</v>
      </c>
      <c r="O291" s="50" t="s">
        <v>1954</v>
      </c>
    </row>
    <row r="292" spans="1:16" ht="21.75" customHeight="1" x14ac:dyDescent="0.4">
      <c r="A292" s="62">
        <v>45502</v>
      </c>
      <c r="B292" s="32" t="s">
        <v>3687</v>
      </c>
      <c r="C292" s="32"/>
      <c r="D292" s="18" t="s">
        <v>22</v>
      </c>
      <c r="E292" s="63" t="s">
        <v>1496</v>
      </c>
      <c r="F292" s="63"/>
      <c r="G292" s="50" t="s">
        <v>2422</v>
      </c>
      <c r="H292" s="57">
        <v>2000</v>
      </c>
      <c r="I292" s="227"/>
      <c r="J292" s="57">
        <f t="shared" si="25"/>
        <v>2000</v>
      </c>
      <c r="K292" s="50">
        <v>1</v>
      </c>
      <c r="L292" s="57">
        <f t="shared" si="23"/>
        <v>2000</v>
      </c>
      <c r="M292" s="228">
        <f t="shared" si="24"/>
        <v>2200</v>
      </c>
      <c r="N292" s="18" t="s">
        <v>3665</v>
      </c>
      <c r="O292" s="50"/>
    </row>
    <row r="293" spans="1:16" ht="21.75" customHeight="1" x14ac:dyDescent="0.4">
      <c r="A293" s="62">
        <v>45504</v>
      </c>
      <c r="B293" s="32" t="s">
        <v>3688</v>
      </c>
      <c r="C293" s="32"/>
      <c r="D293" s="18" t="s">
        <v>2892</v>
      </c>
      <c r="E293" s="63" t="s">
        <v>23</v>
      </c>
      <c r="F293" s="63"/>
      <c r="G293" s="50" t="s">
        <v>3216</v>
      </c>
      <c r="H293" s="57">
        <v>20000</v>
      </c>
      <c r="I293" s="227"/>
      <c r="J293" s="57">
        <f t="shared" si="25"/>
        <v>20000</v>
      </c>
      <c r="K293" s="50">
        <v>1</v>
      </c>
      <c r="L293" s="57">
        <f t="shared" si="23"/>
        <v>20000</v>
      </c>
      <c r="M293" s="228">
        <f t="shared" si="24"/>
        <v>22000</v>
      </c>
      <c r="N293" s="18" t="s">
        <v>3665</v>
      </c>
      <c r="O293" s="50" t="s">
        <v>1954</v>
      </c>
    </row>
    <row r="294" spans="1:16" ht="21.75" customHeight="1" x14ac:dyDescent="0.4">
      <c r="A294" s="62">
        <v>45504</v>
      </c>
      <c r="B294" s="32" t="s">
        <v>3689</v>
      </c>
      <c r="C294" s="32"/>
      <c r="D294" s="18" t="s">
        <v>17</v>
      </c>
      <c r="E294" s="63" t="s">
        <v>3422</v>
      </c>
      <c r="F294" s="63"/>
      <c r="G294" s="50" t="s">
        <v>3423</v>
      </c>
      <c r="H294" s="57">
        <v>5000</v>
      </c>
      <c r="I294" s="227"/>
      <c r="J294" s="57">
        <f t="shared" si="25"/>
        <v>5000</v>
      </c>
      <c r="K294" s="50">
        <v>1</v>
      </c>
      <c r="L294" s="57">
        <f t="shared" si="23"/>
        <v>5000</v>
      </c>
      <c r="M294" s="228">
        <f t="shared" si="24"/>
        <v>5500</v>
      </c>
      <c r="N294" s="18" t="s">
        <v>25</v>
      </c>
      <c r="O294" s="50"/>
    </row>
    <row r="295" spans="1:16" ht="21.75" customHeight="1" x14ac:dyDescent="0.4">
      <c r="A295" s="62">
        <v>45504</v>
      </c>
      <c r="B295" s="32" t="s">
        <v>3355</v>
      </c>
      <c r="C295" s="32"/>
      <c r="D295" s="18" t="s">
        <v>3657</v>
      </c>
      <c r="E295" s="63" t="s">
        <v>328</v>
      </c>
      <c r="F295" s="63" t="s">
        <v>3691</v>
      </c>
      <c r="G295" s="50" t="s">
        <v>3690</v>
      </c>
      <c r="H295" s="57">
        <v>28000</v>
      </c>
      <c r="I295" s="227">
        <v>-5600</v>
      </c>
      <c r="J295" s="57">
        <f t="shared" si="25"/>
        <v>22400</v>
      </c>
      <c r="K295" s="50">
        <v>2</v>
      </c>
      <c r="L295" s="57">
        <f t="shared" si="23"/>
        <v>44800</v>
      </c>
      <c r="M295" s="228">
        <f t="shared" si="24"/>
        <v>49280</v>
      </c>
      <c r="N295" s="18" t="s">
        <v>34</v>
      </c>
      <c r="O295" s="50"/>
      <c r="P295" s="52" t="s">
        <v>3698</v>
      </c>
    </row>
    <row r="296" spans="1:16" ht="21.75" customHeight="1" x14ac:dyDescent="0.4">
      <c r="A296" s="62">
        <v>45504</v>
      </c>
      <c r="B296" s="32" t="s">
        <v>3355</v>
      </c>
      <c r="C296" s="32"/>
      <c r="D296" s="18" t="s">
        <v>3657</v>
      </c>
      <c r="E296" s="63" t="s">
        <v>455</v>
      </c>
      <c r="F296" s="63" t="s">
        <v>3658</v>
      </c>
      <c r="G296" s="50" t="s">
        <v>3692</v>
      </c>
      <c r="H296" s="57">
        <v>1200</v>
      </c>
      <c r="I296" s="227"/>
      <c r="J296" s="57">
        <f t="shared" si="25"/>
        <v>1200</v>
      </c>
      <c r="K296" s="50">
        <v>2</v>
      </c>
      <c r="L296" s="57">
        <f t="shared" si="23"/>
        <v>2400</v>
      </c>
      <c r="M296" s="228">
        <f t="shared" si="24"/>
        <v>2640</v>
      </c>
      <c r="N296" s="18" t="s">
        <v>34</v>
      </c>
      <c r="O296" s="50"/>
      <c r="P296" s="52" t="s">
        <v>3698</v>
      </c>
    </row>
    <row r="297" spans="1:16" ht="21.75" customHeight="1" x14ac:dyDescent="0.4">
      <c r="A297" s="62">
        <v>45504</v>
      </c>
      <c r="B297" s="32" t="s">
        <v>3693</v>
      </c>
      <c r="C297" s="32"/>
      <c r="D297" s="18" t="s">
        <v>3657</v>
      </c>
      <c r="E297" s="63" t="s">
        <v>328</v>
      </c>
      <c r="F297" s="63" t="s">
        <v>3694</v>
      </c>
      <c r="G297" s="50" t="s">
        <v>3695</v>
      </c>
      <c r="H297" s="57">
        <v>70000</v>
      </c>
      <c r="I297" s="227">
        <v>-14000</v>
      </c>
      <c r="J297" s="57">
        <f t="shared" si="25"/>
        <v>56000</v>
      </c>
      <c r="K297" s="50">
        <v>1</v>
      </c>
      <c r="L297" s="57">
        <f t="shared" si="23"/>
        <v>56000</v>
      </c>
      <c r="M297" s="228">
        <f t="shared" si="24"/>
        <v>61600</v>
      </c>
      <c r="N297" s="18" t="s">
        <v>34</v>
      </c>
      <c r="O297" s="50"/>
      <c r="P297" s="52" t="s">
        <v>3699</v>
      </c>
    </row>
    <row r="298" spans="1:16" ht="21.75" customHeight="1" x14ac:dyDescent="0.4">
      <c r="A298" s="62">
        <v>45504</v>
      </c>
      <c r="B298" s="32" t="s">
        <v>3693</v>
      </c>
      <c r="C298" s="32"/>
      <c r="D298" s="18" t="s">
        <v>3657</v>
      </c>
      <c r="E298" s="63" t="s">
        <v>328</v>
      </c>
      <c r="F298" s="63" t="s">
        <v>3694</v>
      </c>
      <c r="G298" s="50" t="s">
        <v>3696</v>
      </c>
      <c r="H298" s="57">
        <v>45000</v>
      </c>
      <c r="I298" s="227">
        <v>-9000</v>
      </c>
      <c r="J298" s="57">
        <f t="shared" si="25"/>
        <v>36000</v>
      </c>
      <c r="K298" s="50">
        <v>1</v>
      </c>
      <c r="L298" s="57">
        <f t="shared" si="23"/>
        <v>36000</v>
      </c>
      <c r="M298" s="228">
        <f t="shared" si="24"/>
        <v>39600</v>
      </c>
      <c r="N298" s="18" t="s">
        <v>34</v>
      </c>
      <c r="O298" s="50"/>
      <c r="P298" s="52" t="s">
        <v>3699</v>
      </c>
    </row>
    <row r="299" spans="1:16" ht="21.75" customHeight="1" x14ac:dyDescent="0.4">
      <c r="A299" s="62">
        <v>45504</v>
      </c>
      <c r="B299" s="32" t="s">
        <v>3693</v>
      </c>
      <c r="C299" s="32"/>
      <c r="D299" s="18" t="s">
        <v>3657</v>
      </c>
      <c r="E299" s="63" t="s">
        <v>455</v>
      </c>
      <c r="F299" s="63" t="s">
        <v>3658</v>
      </c>
      <c r="G299" s="50" t="s">
        <v>3692</v>
      </c>
      <c r="H299" s="57">
        <v>1200</v>
      </c>
      <c r="I299" s="227"/>
      <c r="J299" s="57">
        <f t="shared" si="25"/>
        <v>1200</v>
      </c>
      <c r="K299" s="50">
        <v>2</v>
      </c>
      <c r="L299" s="57">
        <f t="shared" si="23"/>
        <v>2400</v>
      </c>
      <c r="M299" s="228">
        <f t="shared" si="24"/>
        <v>2640</v>
      </c>
      <c r="N299" s="18" t="s">
        <v>34</v>
      </c>
      <c r="O299" s="50"/>
      <c r="P299" s="52" t="s">
        <v>3699</v>
      </c>
    </row>
    <row r="300" spans="1:16" ht="21.75" customHeight="1" x14ac:dyDescent="0.4">
      <c r="A300" s="62">
        <v>45504</v>
      </c>
      <c r="B300" s="32" t="s">
        <v>3693</v>
      </c>
      <c r="C300" s="32"/>
      <c r="D300" s="18" t="s">
        <v>3657</v>
      </c>
      <c r="E300" s="63" t="s">
        <v>455</v>
      </c>
      <c r="F300" s="63" t="s">
        <v>3658</v>
      </c>
      <c r="G300" s="50" t="s">
        <v>3697</v>
      </c>
      <c r="H300" s="57">
        <v>1200</v>
      </c>
      <c r="I300" s="227"/>
      <c r="J300" s="57">
        <f t="shared" si="25"/>
        <v>1200</v>
      </c>
      <c r="K300" s="50">
        <v>1</v>
      </c>
      <c r="L300" s="57">
        <f t="shared" si="23"/>
        <v>1200</v>
      </c>
      <c r="M300" s="228">
        <f t="shared" si="24"/>
        <v>1320</v>
      </c>
      <c r="N300" s="18" t="s">
        <v>34</v>
      </c>
      <c r="O300" s="50"/>
      <c r="P300" s="52" t="s">
        <v>3699</v>
      </c>
    </row>
    <row r="301" spans="1:16" ht="21.75" customHeight="1" x14ac:dyDescent="0.4">
      <c r="A301" s="62">
        <v>45504</v>
      </c>
      <c r="B301" s="32" t="s">
        <v>3700</v>
      </c>
      <c r="C301" s="32"/>
      <c r="D301" s="18" t="s">
        <v>22</v>
      </c>
      <c r="E301" s="63" t="s">
        <v>1496</v>
      </c>
      <c r="F301" s="63"/>
      <c r="G301" s="50" t="s">
        <v>49</v>
      </c>
      <c r="H301" s="57">
        <v>3000</v>
      </c>
      <c r="I301" s="227"/>
      <c r="J301" s="57">
        <f t="shared" si="25"/>
        <v>3000</v>
      </c>
      <c r="K301" s="50">
        <v>1</v>
      </c>
      <c r="L301" s="57">
        <f t="shared" si="23"/>
        <v>3000</v>
      </c>
      <c r="M301" s="228">
        <f t="shared" si="24"/>
        <v>3300</v>
      </c>
      <c r="N301" s="18" t="s">
        <v>3701</v>
      </c>
      <c r="O301" s="50"/>
    </row>
    <row r="302" spans="1:16" ht="21.75" customHeight="1" x14ac:dyDescent="0.4">
      <c r="A302" s="62">
        <v>45504</v>
      </c>
      <c r="B302" s="32" t="s">
        <v>3702</v>
      </c>
      <c r="C302" s="32"/>
      <c r="D302" s="18" t="s">
        <v>3703</v>
      </c>
      <c r="E302" s="63" t="s">
        <v>328</v>
      </c>
      <c r="F302" s="63" t="s">
        <v>3598</v>
      </c>
      <c r="G302" s="50" t="s">
        <v>3704</v>
      </c>
      <c r="H302" s="57">
        <v>22000</v>
      </c>
      <c r="I302" s="227">
        <v>-4400</v>
      </c>
      <c r="J302" s="57">
        <f t="shared" si="25"/>
        <v>17600</v>
      </c>
      <c r="K302" s="50">
        <v>1</v>
      </c>
      <c r="L302" s="57">
        <f t="shared" si="23"/>
        <v>17600</v>
      </c>
      <c r="M302" s="228">
        <f t="shared" si="24"/>
        <v>19360</v>
      </c>
      <c r="N302" s="18" t="s">
        <v>34</v>
      </c>
      <c r="O302" s="50"/>
    </row>
    <row r="303" spans="1:16" ht="21.75" customHeight="1" x14ac:dyDescent="0.4">
      <c r="A303" s="62">
        <v>45504</v>
      </c>
      <c r="B303" s="32" t="s">
        <v>3702</v>
      </c>
      <c r="C303" s="32"/>
      <c r="D303" s="18" t="s">
        <v>3703</v>
      </c>
      <c r="E303" s="63" t="s">
        <v>328</v>
      </c>
      <c r="F303" s="63" t="s">
        <v>3598</v>
      </c>
      <c r="G303" s="50" t="s">
        <v>3705</v>
      </c>
      <c r="H303" s="57">
        <v>22000</v>
      </c>
      <c r="I303" s="227">
        <v>-4400</v>
      </c>
      <c r="J303" s="57">
        <f t="shared" si="25"/>
        <v>17600</v>
      </c>
      <c r="K303" s="50">
        <v>1</v>
      </c>
      <c r="L303" s="57">
        <f t="shared" si="23"/>
        <v>17600</v>
      </c>
      <c r="M303" s="228">
        <f t="shared" si="24"/>
        <v>19360</v>
      </c>
      <c r="N303" s="18" t="s">
        <v>34</v>
      </c>
      <c r="O303" s="50"/>
    </row>
    <row r="304" spans="1:16" ht="21.75" customHeight="1" x14ac:dyDescent="0.4">
      <c r="A304" s="62">
        <v>45504</v>
      </c>
      <c r="B304" s="32" t="s">
        <v>3702</v>
      </c>
      <c r="C304" s="32"/>
      <c r="D304" s="18" t="s">
        <v>3703</v>
      </c>
      <c r="E304" s="63" t="s">
        <v>328</v>
      </c>
      <c r="F304" s="63" t="s">
        <v>3598</v>
      </c>
      <c r="G304" s="50" t="s">
        <v>3706</v>
      </c>
      <c r="H304" s="57">
        <v>22000</v>
      </c>
      <c r="I304" s="227">
        <v>-4400</v>
      </c>
      <c r="J304" s="57">
        <f t="shared" si="25"/>
        <v>17600</v>
      </c>
      <c r="K304" s="50">
        <v>1</v>
      </c>
      <c r="L304" s="57">
        <f t="shared" si="23"/>
        <v>17600</v>
      </c>
      <c r="M304" s="228">
        <f t="shared" si="24"/>
        <v>19360</v>
      </c>
      <c r="N304" s="18" t="s">
        <v>34</v>
      </c>
      <c r="O304" s="50"/>
    </row>
    <row r="305" spans="1:16" ht="21.75" customHeight="1" x14ac:dyDescent="0.4">
      <c r="A305" s="62">
        <v>45504</v>
      </c>
      <c r="B305" s="32" t="s">
        <v>3702</v>
      </c>
      <c r="C305" s="32"/>
      <c r="D305" s="18" t="s">
        <v>3703</v>
      </c>
      <c r="E305" s="63" t="s">
        <v>328</v>
      </c>
      <c r="F305" s="63" t="s">
        <v>3598</v>
      </c>
      <c r="G305" s="50" t="s">
        <v>3707</v>
      </c>
      <c r="H305" s="57">
        <v>22000</v>
      </c>
      <c r="I305" s="227">
        <v>-4400</v>
      </c>
      <c r="J305" s="57">
        <f t="shared" si="25"/>
        <v>17600</v>
      </c>
      <c r="K305" s="50">
        <v>1</v>
      </c>
      <c r="L305" s="57">
        <f t="shared" si="23"/>
        <v>17600</v>
      </c>
      <c r="M305" s="228">
        <f t="shared" si="24"/>
        <v>19360</v>
      </c>
      <c r="N305" s="18" t="s">
        <v>34</v>
      </c>
      <c r="O305" s="50"/>
    </row>
    <row r="306" spans="1:16" ht="21.75" customHeight="1" x14ac:dyDescent="0.4">
      <c r="A306" s="62">
        <v>45504</v>
      </c>
      <c r="B306" s="32" t="s">
        <v>3702</v>
      </c>
      <c r="C306" s="32"/>
      <c r="D306" s="18" t="s">
        <v>3703</v>
      </c>
      <c r="E306" s="63" t="s">
        <v>328</v>
      </c>
      <c r="F306" s="63" t="s">
        <v>3598</v>
      </c>
      <c r="G306" s="50" t="s">
        <v>3708</v>
      </c>
      <c r="H306" s="57">
        <v>22000</v>
      </c>
      <c r="I306" s="227">
        <v>-4400</v>
      </c>
      <c r="J306" s="57">
        <f t="shared" si="25"/>
        <v>17600</v>
      </c>
      <c r="K306" s="50">
        <v>1</v>
      </c>
      <c r="L306" s="57">
        <f t="shared" si="23"/>
        <v>17600</v>
      </c>
      <c r="M306" s="228">
        <f t="shared" si="24"/>
        <v>19360</v>
      </c>
      <c r="N306" s="18" t="s">
        <v>34</v>
      </c>
      <c r="O306" s="50"/>
    </row>
    <row r="307" spans="1:16" ht="21.75" customHeight="1" x14ac:dyDescent="0.4">
      <c r="A307" s="62">
        <v>45504</v>
      </c>
      <c r="B307" s="32" t="s">
        <v>3702</v>
      </c>
      <c r="C307" s="32"/>
      <c r="D307" s="18" t="s">
        <v>3703</v>
      </c>
      <c r="E307" s="63" t="s">
        <v>328</v>
      </c>
      <c r="F307" s="63" t="s">
        <v>3598</v>
      </c>
      <c r="G307" s="50" t="s">
        <v>3709</v>
      </c>
      <c r="H307" s="57">
        <v>22000</v>
      </c>
      <c r="I307" s="227">
        <v>-4400</v>
      </c>
      <c r="J307" s="57">
        <f t="shared" si="25"/>
        <v>17600</v>
      </c>
      <c r="K307" s="50">
        <v>1</v>
      </c>
      <c r="L307" s="57">
        <f t="shared" si="23"/>
        <v>17600</v>
      </c>
      <c r="M307" s="228">
        <f t="shared" si="24"/>
        <v>19360</v>
      </c>
      <c r="N307" s="18" t="s">
        <v>34</v>
      </c>
      <c r="O307" s="50"/>
    </row>
    <row r="308" spans="1:16" ht="21.75" customHeight="1" x14ac:dyDescent="0.4">
      <c r="A308" s="62">
        <v>45504</v>
      </c>
      <c r="B308" s="32" t="s">
        <v>3462</v>
      </c>
      <c r="C308" s="32"/>
      <c r="D308" s="18" t="s">
        <v>3703</v>
      </c>
      <c r="E308" s="63" t="s">
        <v>332</v>
      </c>
      <c r="F308" s="63" t="s">
        <v>3710</v>
      </c>
      <c r="G308" s="50" t="s">
        <v>3463</v>
      </c>
      <c r="H308" s="57">
        <v>1500</v>
      </c>
      <c r="I308" s="227">
        <v>-150</v>
      </c>
      <c r="J308" s="57">
        <f t="shared" si="25"/>
        <v>1350</v>
      </c>
      <c r="K308" s="50">
        <v>1</v>
      </c>
      <c r="L308" s="57">
        <f t="shared" si="23"/>
        <v>1350</v>
      </c>
      <c r="M308" s="228">
        <f t="shared" si="24"/>
        <v>1485</v>
      </c>
      <c r="N308" s="18" t="s">
        <v>25</v>
      </c>
      <c r="O308" s="50"/>
    </row>
    <row r="309" spans="1:16" ht="21.75" customHeight="1" x14ac:dyDescent="0.4">
      <c r="A309" s="62">
        <v>45504</v>
      </c>
      <c r="B309" s="32" t="s">
        <v>3711</v>
      </c>
      <c r="C309" s="32"/>
      <c r="D309" s="18" t="s">
        <v>3703</v>
      </c>
      <c r="E309" s="63" t="s">
        <v>328</v>
      </c>
      <c r="F309" s="63" t="s">
        <v>3712</v>
      </c>
      <c r="G309" s="50" t="s">
        <v>3713</v>
      </c>
      <c r="H309" s="57">
        <v>60000</v>
      </c>
      <c r="I309" s="227">
        <v>-30000</v>
      </c>
      <c r="J309" s="57">
        <f t="shared" si="25"/>
        <v>30000</v>
      </c>
      <c r="K309" s="50">
        <v>1</v>
      </c>
      <c r="L309" s="57">
        <f t="shared" si="23"/>
        <v>30000</v>
      </c>
      <c r="M309" s="228">
        <f t="shared" si="24"/>
        <v>33000</v>
      </c>
      <c r="N309" s="18" t="s">
        <v>34</v>
      </c>
      <c r="O309" s="50"/>
      <c r="P309" s="52" t="s">
        <v>3715</v>
      </c>
    </row>
    <row r="310" spans="1:16" ht="21.75" customHeight="1" x14ac:dyDescent="0.4">
      <c r="A310" s="62">
        <v>45504</v>
      </c>
      <c r="B310" s="32" t="s">
        <v>3711</v>
      </c>
      <c r="C310" s="32"/>
      <c r="D310" s="18" t="s">
        <v>3703</v>
      </c>
      <c r="E310" s="63" t="s">
        <v>3714</v>
      </c>
      <c r="F310" s="63" t="s">
        <v>790</v>
      </c>
      <c r="G310" s="50" t="s">
        <v>3639</v>
      </c>
      <c r="H310" s="57">
        <v>88000</v>
      </c>
      <c r="I310" s="227">
        <v>-13200</v>
      </c>
      <c r="J310" s="57">
        <f t="shared" si="25"/>
        <v>74800</v>
      </c>
      <c r="K310" s="50">
        <v>1</v>
      </c>
      <c r="L310" s="57">
        <f t="shared" si="23"/>
        <v>74800</v>
      </c>
      <c r="M310" s="228">
        <f t="shared" si="24"/>
        <v>82280</v>
      </c>
      <c r="N310" s="18" t="s">
        <v>34</v>
      </c>
      <c r="O310" s="50"/>
      <c r="P310" s="52" t="s">
        <v>3715</v>
      </c>
    </row>
    <row r="311" spans="1:16" ht="21.75" customHeight="1" x14ac:dyDescent="0.4">
      <c r="A311" s="62">
        <v>45504</v>
      </c>
      <c r="B311" s="32" t="s">
        <v>3711</v>
      </c>
      <c r="C311" s="32"/>
      <c r="D311" s="18" t="s">
        <v>2892</v>
      </c>
      <c r="E311" s="63" t="s">
        <v>23</v>
      </c>
      <c r="F311" s="63"/>
      <c r="G311" s="50" t="s">
        <v>2883</v>
      </c>
      <c r="H311" s="57">
        <v>10000</v>
      </c>
      <c r="I311" s="227"/>
      <c r="J311" s="57">
        <f t="shared" si="25"/>
        <v>10000</v>
      </c>
      <c r="K311" s="50">
        <v>1</v>
      </c>
      <c r="L311" s="57">
        <f t="shared" si="23"/>
        <v>10000</v>
      </c>
      <c r="M311" s="228">
        <f t="shared" si="24"/>
        <v>11000</v>
      </c>
      <c r="N311" s="18" t="s">
        <v>34</v>
      </c>
      <c r="O311" s="50"/>
    </row>
    <row r="312" spans="1:16" ht="21.75" customHeight="1" x14ac:dyDescent="0.4">
      <c r="A312" s="62">
        <v>45505</v>
      </c>
      <c r="B312" s="32" t="s">
        <v>3700</v>
      </c>
      <c r="C312" s="32"/>
      <c r="D312" s="18" t="s">
        <v>27</v>
      </c>
      <c r="E312" s="63" t="s">
        <v>28</v>
      </c>
      <c r="F312" s="63"/>
      <c r="G312" s="63" t="s">
        <v>30</v>
      </c>
      <c r="H312" s="57">
        <v>15000</v>
      </c>
      <c r="I312" s="227"/>
      <c r="J312" s="57">
        <f t="shared" si="25"/>
        <v>15000</v>
      </c>
      <c r="K312" s="50">
        <v>1</v>
      </c>
      <c r="L312" s="57">
        <f t="shared" si="23"/>
        <v>15000</v>
      </c>
      <c r="M312" s="228">
        <f t="shared" si="24"/>
        <v>16500</v>
      </c>
      <c r="N312" s="18" t="s">
        <v>3737</v>
      </c>
      <c r="O312" s="50"/>
    </row>
    <row r="313" spans="1:16" ht="21.75" customHeight="1" x14ac:dyDescent="0.4">
      <c r="A313" s="62">
        <v>45505</v>
      </c>
      <c r="B313" s="32" t="s">
        <v>3700</v>
      </c>
      <c r="C313" s="32"/>
      <c r="D313" s="18" t="s">
        <v>27</v>
      </c>
      <c r="E313" s="63" t="s">
        <v>28</v>
      </c>
      <c r="F313" s="63"/>
      <c r="G313" s="63" t="s">
        <v>79</v>
      </c>
      <c r="H313" s="57">
        <v>17500</v>
      </c>
      <c r="I313" s="227"/>
      <c r="J313" s="57">
        <f t="shared" si="25"/>
        <v>17500</v>
      </c>
      <c r="K313" s="50">
        <v>1</v>
      </c>
      <c r="L313" s="57">
        <f t="shared" si="23"/>
        <v>17500</v>
      </c>
      <c r="M313" s="228">
        <f t="shared" si="24"/>
        <v>19250</v>
      </c>
      <c r="N313" s="18" t="s">
        <v>3737</v>
      </c>
      <c r="O313" s="50"/>
    </row>
    <row r="314" spans="1:16" ht="21.75" customHeight="1" x14ac:dyDescent="0.4">
      <c r="A314" s="62">
        <v>45505</v>
      </c>
      <c r="B314" s="32" t="s">
        <v>3746</v>
      </c>
      <c r="C314" s="32"/>
      <c r="D314" s="18" t="s">
        <v>27</v>
      </c>
      <c r="E314" s="63" t="s">
        <v>28</v>
      </c>
      <c r="F314" s="63"/>
      <c r="G314" s="63" t="s">
        <v>96</v>
      </c>
      <c r="H314" s="57">
        <v>15000</v>
      </c>
      <c r="I314" s="227"/>
      <c r="J314" s="57">
        <f t="shared" si="25"/>
        <v>15000</v>
      </c>
      <c r="K314" s="50">
        <v>1</v>
      </c>
      <c r="L314" s="57">
        <f t="shared" si="23"/>
        <v>15000</v>
      </c>
      <c r="M314" s="228">
        <f t="shared" si="24"/>
        <v>16500</v>
      </c>
      <c r="N314" s="18" t="s">
        <v>25</v>
      </c>
      <c r="O314" s="50" t="s">
        <v>3747</v>
      </c>
    </row>
    <row r="315" spans="1:16" ht="21.75" customHeight="1" x14ac:dyDescent="0.4">
      <c r="A315" s="62">
        <v>45505</v>
      </c>
      <c r="B315" s="32" t="s">
        <v>3735</v>
      </c>
      <c r="C315" s="32"/>
      <c r="D315" s="18" t="s">
        <v>3722</v>
      </c>
      <c r="E315" s="63" t="s">
        <v>426</v>
      </c>
      <c r="F315" s="63" t="s">
        <v>3729</v>
      </c>
      <c r="G315" s="63" t="s">
        <v>3736</v>
      </c>
      <c r="H315" s="57">
        <v>1800</v>
      </c>
      <c r="I315" s="227"/>
      <c r="J315" s="57">
        <f t="shared" si="25"/>
        <v>1800</v>
      </c>
      <c r="K315" s="50">
        <v>1</v>
      </c>
      <c r="L315" s="57">
        <f t="shared" si="23"/>
        <v>1800</v>
      </c>
      <c r="M315" s="228">
        <f t="shared" si="24"/>
        <v>1980</v>
      </c>
      <c r="N315" s="18" t="s">
        <v>3737</v>
      </c>
      <c r="O315" s="50"/>
    </row>
    <row r="316" spans="1:16" ht="21.75" customHeight="1" x14ac:dyDescent="0.4">
      <c r="A316" s="62">
        <v>45505</v>
      </c>
      <c r="B316" s="32" t="s">
        <v>3405</v>
      </c>
      <c r="C316" s="32"/>
      <c r="D316" s="18" t="s">
        <v>3722</v>
      </c>
      <c r="E316" s="63" t="s">
        <v>292</v>
      </c>
      <c r="F316" s="63" t="s">
        <v>1051</v>
      </c>
      <c r="G316" s="63" t="s">
        <v>3738</v>
      </c>
      <c r="H316" s="57">
        <v>5500</v>
      </c>
      <c r="I316" s="227"/>
      <c r="J316" s="57">
        <f t="shared" si="25"/>
        <v>5500</v>
      </c>
      <c r="K316" s="50">
        <v>3</v>
      </c>
      <c r="L316" s="57">
        <f t="shared" si="23"/>
        <v>16500</v>
      </c>
      <c r="M316" s="228">
        <f t="shared" si="24"/>
        <v>18150</v>
      </c>
      <c r="N316" s="18" t="s">
        <v>34</v>
      </c>
      <c r="O316" s="50"/>
    </row>
    <row r="317" spans="1:16" ht="21.75" customHeight="1" x14ac:dyDescent="0.4">
      <c r="A317" s="62">
        <v>45506</v>
      </c>
      <c r="B317" s="32" t="s">
        <v>167</v>
      </c>
      <c r="C317" s="32"/>
      <c r="D317" s="18" t="s">
        <v>3722</v>
      </c>
      <c r="E317" s="63" t="s">
        <v>2205</v>
      </c>
      <c r="F317" s="63"/>
      <c r="G317" s="63" t="s">
        <v>3720</v>
      </c>
      <c r="H317" s="57">
        <v>4000</v>
      </c>
      <c r="I317" s="227">
        <v>-400</v>
      </c>
      <c r="J317" s="57">
        <f t="shared" si="25"/>
        <v>3600</v>
      </c>
      <c r="K317" s="50">
        <v>1</v>
      </c>
      <c r="L317" s="57">
        <f t="shared" si="23"/>
        <v>3600</v>
      </c>
      <c r="M317" s="228">
        <f t="shared" si="24"/>
        <v>3960</v>
      </c>
      <c r="N317" s="18" t="s">
        <v>3737</v>
      </c>
      <c r="O317" s="50"/>
    </row>
    <row r="318" spans="1:16" ht="21.75" customHeight="1" x14ac:dyDescent="0.4">
      <c r="A318" s="62">
        <v>45506</v>
      </c>
      <c r="B318" s="32" t="s">
        <v>3748</v>
      </c>
      <c r="C318" s="32"/>
      <c r="D318" s="18" t="s">
        <v>22</v>
      </c>
      <c r="E318" s="63" t="s">
        <v>1496</v>
      </c>
      <c r="F318" s="63"/>
      <c r="G318" s="63" t="s">
        <v>3470</v>
      </c>
      <c r="H318" s="57">
        <v>2000</v>
      </c>
      <c r="I318" s="227"/>
      <c r="J318" s="57">
        <f t="shared" si="25"/>
        <v>2000</v>
      </c>
      <c r="K318" s="50">
        <v>1</v>
      </c>
      <c r="L318" s="57">
        <f t="shared" si="23"/>
        <v>2000</v>
      </c>
      <c r="M318" s="228">
        <f t="shared" si="24"/>
        <v>2200</v>
      </c>
      <c r="N318" s="18" t="s">
        <v>3737</v>
      </c>
      <c r="O318" s="50"/>
    </row>
    <row r="319" spans="1:16" ht="21.75" customHeight="1" x14ac:dyDescent="0.4">
      <c r="A319" s="62">
        <v>45506</v>
      </c>
      <c r="B319" s="32" t="s">
        <v>3749</v>
      </c>
      <c r="C319" s="32"/>
      <c r="D319" s="18" t="s">
        <v>27</v>
      </c>
      <c r="E319" s="63" t="s">
        <v>28</v>
      </c>
      <c r="F319" s="63"/>
      <c r="G319" s="63" t="s">
        <v>3750</v>
      </c>
      <c r="H319" s="57">
        <v>17500</v>
      </c>
      <c r="I319" s="227"/>
      <c r="J319" s="57">
        <f t="shared" si="25"/>
        <v>17500</v>
      </c>
      <c r="K319" s="50">
        <v>2</v>
      </c>
      <c r="L319" s="57">
        <f t="shared" si="23"/>
        <v>35000</v>
      </c>
      <c r="M319" s="228">
        <f t="shared" si="24"/>
        <v>38500</v>
      </c>
      <c r="N319" s="18" t="s">
        <v>25</v>
      </c>
      <c r="O319" s="50"/>
    </row>
    <row r="320" spans="1:16" ht="21.75" customHeight="1" x14ac:dyDescent="0.4">
      <c r="A320" s="62">
        <v>45506</v>
      </c>
      <c r="B320" s="32" t="s">
        <v>3751</v>
      </c>
      <c r="C320" s="32"/>
      <c r="D320" s="18" t="s">
        <v>22</v>
      </c>
      <c r="E320" s="63" t="s">
        <v>1496</v>
      </c>
      <c r="F320" s="63"/>
      <c r="G320" s="63" t="s">
        <v>49</v>
      </c>
      <c r="H320" s="57">
        <v>3000</v>
      </c>
      <c r="I320" s="227"/>
      <c r="J320" s="57">
        <f t="shared" si="25"/>
        <v>3000</v>
      </c>
      <c r="K320" s="50">
        <v>1</v>
      </c>
      <c r="L320" s="57">
        <f t="shared" si="23"/>
        <v>3000</v>
      </c>
      <c r="M320" s="228">
        <f t="shared" si="24"/>
        <v>3300</v>
      </c>
      <c r="N320" s="18" t="s">
        <v>25</v>
      </c>
      <c r="O320" s="50" t="s">
        <v>1954</v>
      </c>
    </row>
    <row r="321" spans="1:15" ht="21.75" customHeight="1" x14ac:dyDescent="0.4">
      <c r="A321" s="62">
        <v>45506</v>
      </c>
      <c r="B321" s="32" t="s">
        <v>3751</v>
      </c>
      <c r="C321" s="32"/>
      <c r="D321" s="18" t="s">
        <v>27</v>
      </c>
      <c r="E321" s="63" t="s">
        <v>28</v>
      </c>
      <c r="F321" s="63"/>
      <c r="G321" s="63" t="s">
        <v>30</v>
      </c>
      <c r="H321" s="57">
        <v>15000</v>
      </c>
      <c r="I321" s="227"/>
      <c r="J321" s="57">
        <f t="shared" si="25"/>
        <v>15000</v>
      </c>
      <c r="K321" s="50">
        <v>1</v>
      </c>
      <c r="L321" s="57">
        <f t="shared" si="23"/>
        <v>15000</v>
      </c>
      <c r="M321" s="228">
        <f t="shared" si="24"/>
        <v>16500</v>
      </c>
      <c r="N321" s="18" t="s">
        <v>25</v>
      </c>
      <c r="O321" s="50"/>
    </row>
    <row r="322" spans="1:15" ht="21.75" customHeight="1" x14ac:dyDescent="0.4">
      <c r="A322" s="62">
        <v>45506</v>
      </c>
      <c r="B322" s="32" t="s">
        <v>3751</v>
      </c>
      <c r="C322" s="32"/>
      <c r="D322" s="18" t="s">
        <v>27</v>
      </c>
      <c r="E322" s="63" t="s">
        <v>28</v>
      </c>
      <c r="F322" s="63"/>
      <c r="G322" s="63" t="s">
        <v>29</v>
      </c>
      <c r="H322" s="57">
        <v>13120</v>
      </c>
      <c r="I322" s="227"/>
      <c r="J322" s="57">
        <f t="shared" si="25"/>
        <v>13120</v>
      </c>
      <c r="K322" s="50">
        <v>1</v>
      </c>
      <c r="L322" s="57">
        <f t="shared" si="23"/>
        <v>13120</v>
      </c>
      <c r="M322" s="228">
        <f t="shared" si="24"/>
        <v>14432</v>
      </c>
      <c r="N322" s="18" t="s">
        <v>25</v>
      </c>
      <c r="O322" s="50"/>
    </row>
    <row r="323" spans="1:15" ht="21.75" customHeight="1" x14ac:dyDescent="0.4">
      <c r="A323" s="62">
        <v>45506</v>
      </c>
      <c r="B323" s="32" t="s">
        <v>3752</v>
      </c>
      <c r="C323" s="32"/>
      <c r="D323" s="18" t="s">
        <v>27</v>
      </c>
      <c r="E323" s="63" t="s">
        <v>28</v>
      </c>
      <c r="F323" s="63"/>
      <c r="G323" s="63" t="s">
        <v>30</v>
      </c>
      <c r="H323" s="57">
        <v>15000</v>
      </c>
      <c r="I323" s="227"/>
      <c r="J323" s="57">
        <f t="shared" si="25"/>
        <v>15000</v>
      </c>
      <c r="K323" s="50">
        <v>1</v>
      </c>
      <c r="L323" s="57">
        <f t="shared" si="23"/>
        <v>15000</v>
      </c>
      <c r="M323" s="228">
        <f t="shared" si="24"/>
        <v>16500</v>
      </c>
      <c r="N323" s="18" t="s">
        <v>25</v>
      </c>
      <c r="O323" s="50"/>
    </row>
    <row r="324" spans="1:15" ht="21.75" customHeight="1" x14ac:dyDescent="0.4">
      <c r="A324" s="62">
        <v>45506</v>
      </c>
      <c r="B324" s="32" t="s">
        <v>3752</v>
      </c>
      <c r="C324" s="32"/>
      <c r="D324" s="18" t="s">
        <v>27</v>
      </c>
      <c r="E324" s="63" t="s">
        <v>28</v>
      </c>
      <c r="F324" s="63"/>
      <c r="G324" s="63" t="s">
        <v>3721</v>
      </c>
      <c r="H324" s="57">
        <v>55000</v>
      </c>
      <c r="I324" s="227"/>
      <c r="J324" s="57">
        <f t="shared" si="25"/>
        <v>55000</v>
      </c>
      <c r="K324" s="50">
        <v>1</v>
      </c>
      <c r="L324" s="57">
        <f t="shared" si="23"/>
        <v>55000</v>
      </c>
      <c r="M324" s="228">
        <f t="shared" si="24"/>
        <v>60500</v>
      </c>
      <c r="N324" s="18" t="s">
        <v>25</v>
      </c>
      <c r="O324" s="50"/>
    </row>
    <row r="325" spans="1:15" ht="21.75" customHeight="1" x14ac:dyDescent="0.4">
      <c r="A325" s="62">
        <v>45506</v>
      </c>
      <c r="B325" s="32" t="s">
        <v>3740</v>
      </c>
      <c r="C325" s="32"/>
      <c r="D325" s="18" t="s">
        <v>3722</v>
      </c>
      <c r="E325" s="63" t="s">
        <v>3723</v>
      </c>
      <c r="F325" s="63" t="s">
        <v>1051</v>
      </c>
      <c r="G325" s="63" t="s">
        <v>3739</v>
      </c>
      <c r="H325" s="57">
        <v>4000</v>
      </c>
      <c r="I325" s="227"/>
      <c r="J325" s="57">
        <f t="shared" si="25"/>
        <v>4000</v>
      </c>
      <c r="K325" s="50">
        <v>1</v>
      </c>
      <c r="L325" s="57">
        <f t="shared" si="23"/>
        <v>4000</v>
      </c>
      <c r="M325" s="228">
        <f t="shared" si="24"/>
        <v>4400</v>
      </c>
      <c r="N325" s="18" t="s">
        <v>3737</v>
      </c>
      <c r="O325" s="50"/>
    </row>
    <row r="326" spans="1:15" ht="21.75" customHeight="1" x14ac:dyDescent="0.4">
      <c r="A326" s="62">
        <v>45507</v>
      </c>
      <c r="B326" s="32" t="s">
        <v>3753</v>
      </c>
      <c r="C326" s="32"/>
      <c r="D326" s="18" t="s">
        <v>22</v>
      </c>
      <c r="E326" s="63" t="s">
        <v>1496</v>
      </c>
      <c r="F326" s="63"/>
      <c r="G326" s="63" t="s">
        <v>49</v>
      </c>
      <c r="H326" s="57">
        <v>3000</v>
      </c>
      <c r="I326" s="227"/>
      <c r="J326" s="57">
        <f t="shared" si="25"/>
        <v>3000</v>
      </c>
      <c r="K326" s="50">
        <v>1</v>
      </c>
      <c r="L326" s="57">
        <f t="shared" si="23"/>
        <v>3000</v>
      </c>
      <c r="M326" s="228">
        <f t="shared" si="24"/>
        <v>3300</v>
      </c>
      <c r="N326" s="18" t="s">
        <v>3737</v>
      </c>
      <c r="O326" s="50" t="s">
        <v>1954</v>
      </c>
    </row>
    <row r="327" spans="1:15" ht="21.75" customHeight="1" x14ac:dyDescent="0.4">
      <c r="A327" s="62">
        <v>45507</v>
      </c>
      <c r="B327" s="32" t="s">
        <v>3754</v>
      </c>
      <c r="C327" s="32"/>
      <c r="D327" s="18" t="s">
        <v>22</v>
      </c>
      <c r="E327" s="63" t="s">
        <v>1496</v>
      </c>
      <c r="F327" s="63"/>
      <c r="G327" s="63" t="s">
        <v>49</v>
      </c>
      <c r="H327" s="57">
        <v>3000</v>
      </c>
      <c r="I327" s="227"/>
      <c r="J327" s="57">
        <f t="shared" si="25"/>
        <v>3000</v>
      </c>
      <c r="K327" s="50">
        <v>1</v>
      </c>
      <c r="L327" s="57">
        <f t="shared" si="23"/>
        <v>3000</v>
      </c>
      <c r="M327" s="228">
        <f t="shared" si="24"/>
        <v>3300</v>
      </c>
      <c r="N327" s="18" t="s">
        <v>25</v>
      </c>
      <c r="O327" s="50" t="s">
        <v>1954</v>
      </c>
    </row>
    <row r="328" spans="1:15" ht="21.75" customHeight="1" x14ac:dyDescent="0.4">
      <c r="A328" s="62">
        <v>45507</v>
      </c>
      <c r="B328" s="32" t="s">
        <v>3666</v>
      </c>
      <c r="C328" s="32"/>
      <c r="D328" s="18" t="s">
        <v>3722</v>
      </c>
      <c r="E328" s="63" t="s">
        <v>3723</v>
      </c>
      <c r="F328" s="63" t="s">
        <v>1051</v>
      </c>
      <c r="G328" s="63" t="s">
        <v>3741</v>
      </c>
      <c r="H328" s="57">
        <v>5500</v>
      </c>
      <c r="I328" s="227"/>
      <c r="J328" s="57">
        <f t="shared" si="25"/>
        <v>5500</v>
      </c>
      <c r="K328" s="50">
        <v>1</v>
      </c>
      <c r="L328" s="57">
        <f t="shared" ref="L328:L333" si="26">SUM(J328*K328)</f>
        <v>5500</v>
      </c>
      <c r="M328" s="228">
        <f t="shared" ref="M328:M333" si="27">ROUNDDOWN(L328*1.1,0)</f>
        <v>6050</v>
      </c>
      <c r="N328" s="18" t="s">
        <v>25</v>
      </c>
      <c r="O328" s="50"/>
    </row>
    <row r="329" spans="1:15" ht="21.75" customHeight="1" x14ac:dyDescent="0.4">
      <c r="A329" s="62">
        <v>45507</v>
      </c>
      <c r="B329" s="32" t="s">
        <v>3742</v>
      </c>
      <c r="C329" s="32"/>
      <c r="D329" s="18" t="s">
        <v>3722</v>
      </c>
      <c r="E329" s="63" t="s">
        <v>3723</v>
      </c>
      <c r="F329" s="63" t="s">
        <v>3642</v>
      </c>
      <c r="G329" s="63" t="s">
        <v>3743</v>
      </c>
      <c r="H329" s="57">
        <v>6300</v>
      </c>
      <c r="I329" s="227">
        <v>-630</v>
      </c>
      <c r="J329" s="57">
        <f t="shared" si="25"/>
        <v>5670</v>
      </c>
      <c r="K329" s="50">
        <v>1</v>
      </c>
      <c r="L329" s="57">
        <f t="shared" si="26"/>
        <v>5670</v>
      </c>
      <c r="M329" s="228">
        <f t="shared" si="27"/>
        <v>6237</v>
      </c>
      <c r="N329" s="18" t="s">
        <v>3737</v>
      </c>
      <c r="O329" s="50"/>
    </row>
    <row r="330" spans="1:15" ht="21.75" customHeight="1" x14ac:dyDescent="0.4">
      <c r="A330" s="62">
        <v>45508</v>
      </c>
      <c r="B330" s="32" t="s">
        <v>1541</v>
      </c>
      <c r="C330" s="32"/>
      <c r="D330" s="18" t="s">
        <v>27</v>
      </c>
      <c r="E330" s="63" t="s">
        <v>28</v>
      </c>
      <c r="F330" s="63"/>
      <c r="G330" s="63" t="s">
        <v>79</v>
      </c>
      <c r="H330" s="57">
        <v>17500</v>
      </c>
      <c r="I330" s="227"/>
      <c r="J330" s="57">
        <f t="shared" si="25"/>
        <v>17500</v>
      </c>
      <c r="K330" s="50">
        <v>1</v>
      </c>
      <c r="L330" s="57">
        <f t="shared" si="26"/>
        <v>17500</v>
      </c>
      <c r="M330" s="228">
        <f t="shared" si="27"/>
        <v>19250</v>
      </c>
      <c r="N330" s="18" t="s">
        <v>25</v>
      </c>
      <c r="O330" s="50"/>
    </row>
    <row r="331" spans="1:15" ht="21.75" customHeight="1" x14ac:dyDescent="0.4">
      <c r="A331" s="62">
        <v>45508</v>
      </c>
      <c r="B331" s="32" t="s">
        <v>3755</v>
      </c>
      <c r="C331" s="32"/>
      <c r="D331" s="18" t="s">
        <v>27</v>
      </c>
      <c r="E331" s="63" t="s">
        <v>28</v>
      </c>
      <c r="F331" s="63"/>
      <c r="G331" s="63" t="s">
        <v>79</v>
      </c>
      <c r="H331" s="57">
        <v>17500</v>
      </c>
      <c r="I331" s="227"/>
      <c r="J331" s="57">
        <f t="shared" si="25"/>
        <v>17500</v>
      </c>
      <c r="K331" s="50">
        <v>1</v>
      </c>
      <c r="L331" s="57">
        <f t="shared" si="26"/>
        <v>17500</v>
      </c>
      <c r="M331" s="228">
        <f t="shared" si="27"/>
        <v>19250</v>
      </c>
      <c r="N331" s="18" t="s">
        <v>25</v>
      </c>
      <c r="O331" s="50"/>
    </row>
    <row r="332" spans="1:15" ht="21.75" customHeight="1" x14ac:dyDescent="0.4">
      <c r="A332" s="62">
        <v>45508</v>
      </c>
      <c r="B332" s="32" t="s">
        <v>3756</v>
      </c>
      <c r="C332" s="32"/>
      <c r="D332" s="18" t="s">
        <v>22</v>
      </c>
      <c r="E332" s="63" t="s">
        <v>1496</v>
      </c>
      <c r="F332" s="63"/>
      <c r="G332" s="63" t="s">
        <v>3470</v>
      </c>
      <c r="H332" s="57">
        <v>2000</v>
      </c>
      <c r="I332" s="227"/>
      <c r="J332" s="57">
        <f t="shared" si="25"/>
        <v>2000</v>
      </c>
      <c r="K332" s="50">
        <v>1</v>
      </c>
      <c r="L332" s="57">
        <f t="shared" si="26"/>
        <v>2000</v>
      </c>
      <c r="M332" s="228">
        <f t="shared" si="27"/>
        <v>2200</v>
      </c>
      <c r="N332" s="18" t="s">
        <v>3737</v>
      </c>
      <c r="O332" s="50"/>
    </row>
    <row r="333" spans="1:15" ht="21.75" customHeight="1" x14ac:dyDescent="0.4">
      <c r="A333" s="62">
        <v>45508</v>
      </c>
      <c r="B333" s="32" t="s">
        <v>3757</v>
      </c>
      <c r="C333" s="32"/>
      <c r="D333" s="18" t="s">
        <v>22</v>
      </c>
      <c r="E333" s="63" t="s">
        <v>1496</v>
      </c>
      <c r="F333" s="63"/>
      <c r="G333" s="63" t="s">
        <v>3470</v>
      </c>
      <c r="H333" s="57">
        <v>2000</v>
      </c>
      <c r="I333" s="227"/>
      <c r="J333" s="57">
        <f t="shared" si="25"/>
        <v>2000</v>
      </c>
      <c r="K333" s="50">
        <v>1</v>
      </c>
      <c r="L333" s="57">
        <f t="shared" si="26"/>
        <v>2000</v>
      </c>
      <c r="M333" s="228">
        <f t="shared" si="27"/>
        <v>2200</v>
      </c>
      <c r="N333" s="18" t="s">
        <v>3737</v>
      </c>
      <c r="O333" s="50"/>
    </row>
    <row r="334" spans="1:15" ht="21.75" customHeight="1" x14ac:dyDescent="0.4">
      <c r="A334" s="62">
        <v>45508</v>
      </c>
      <c r="B334" s="32" t="s">
        <v>3418</v>
      </c>
      <c r="C334" s="32"/>
      <c r="D334" s="18" t="s">
        <v>3722</v>
      </c>
      <c r="E334" s="63" t="s">
        <v>426</v>
      </c>
      <c r="F334" s="63" t="s">
        <v>3585</v>
      </c>
      <c r="G334" s="63" t="s">
        <v>3588</v>
      </c>
      <c r="H334" s="57">
        <v>2240</v>
      </c>
      <c r="I334" s="227"/>
      <c r="J334" s="57">
        <f t="shared" ref="J334:J336" si="28">SUM(H334:I334)</f>
        <v>2240</v>
      </c>
      <c r="K334" s="50">
        <v>7</v>
      </c>
      <c r="L334" s="57">
        <f t="shared" ref="L334:L336" si="29">SUM(J334*K334)</f>
        <v>15680</v>
      </c>
      <c r="M334" s="228">
        <f t="shared" ref="M334:M336" si="30">ROUNDDOWN(L334*1.1,0)</f>
        <v>17248</v>
      </c>
      <c r="N334" s="18" t="s">
        <v>34</v>
      </c>
      <c r="O334" s="50"/>
    </row>
    <row r="335" spans="1:15" ht="21.75" customHeight="1" x14ac:dyDescent="0.4">
      <c r="A335" s="62">
        <v>45509</v>
      </c>
      <c r="B335" s="32" t="s">
        <v>162</v>
      </c>
      <c r="C335" s="32"/>
      <c r="D335" s="18" t="s">
        <v>27</v>
      </c>
      <c r="E335" s="63" t="s">
        <v>28</v>
      </c>
      <c r="F335" s="63"/>
      <c r="G335" s="63" t="s">
        <v>3472</v>
      </c>
      <c r="H335" s="57">
        <v>2500</v>
      </c>
      <c r="I335" s="227"/>
      <c r="J335" s="57">
        <f t="shared" si="28"/>
        <v>2500</v>
      </c>
      <c r="K335" s="50">
        <v>1</v>
      </c>
      <c r="L335" s="57">
        <f t="shared" si="29"/>
        <v>2500</v>
      </c>
      <c r="M335" s="228">
        <f t="shared" si="30"/>
        <v>2750</v>
      </c>
      <c r="N335" s="18" t="s">
        <v>25</v>
      </c>
      <c r="O335" s="50"/>
    </row>
    <row r="336" spans="1:15" ht="21.75" customHeight="1" x14ac:dyDescent="0.4">
      <c r="A336" s="62">
        <v>45509</v>
      </c>
      <c r="B336" s="32" t="s">
        <v>162</v>
      </c>
      <c r="C336" s="32"/>
      <c r="D336" s="18" t="s">
        <v>27</v>
      </c>
      <c r="E336" s="63" t="s">
        <v>28</v>
      </c>
      <c r="F336" s="63"/>
      <c r="G336" s="63" t="s">
        <v>73</v>
      </c>
      <c r="H336" s="57">
        <v>2000</v>
      </c>
      <c r="I336" s="227"/>
      <c r="J336" s="57">
        <f t="shared" si="28"/>
        <v>2000</v>
      </c>
      <c r="K336" s="50">
        <v>1</v>
      </c>
      <c r="L336" s="57">
        <f t="shared" si="29"/>
        <v>2000</v>
      </c>
      <c r="M336" s="228">
        <f t="shared" si="30"/>
        <v>2200</v>
      </c>
      <c r="N336" s="18" t="s">
        <v>25</v>
      </c>
      <c r="O336" s="50"/>
    </row>
    <row r="337" spans="1:16" ht="21.75" customHeight="1" x14ac:dyDescent="0.4">
      <c r="A337" s="62">
        <v>45511</v>
      </c>
      <c r="B337" s="32" t="s">
        <v>678</v>
      </c>
      <c r="C337" s="32"/>
      <c r="D337" s="18" t="s">
        <v>3722</v>
      </c>
      <c r="E337" s="63" t="s">
        <v>3723</v>
      </c>
      <c r="F337" s="63" t="s">
        <v>3642</v>
      </c>
      <c r="G337" s="63" t="s">
        <v>3744</v>
      </c>
      <c r="H337" s="57">
        <v>6300</v>
      </c>
      <c r="I337" s="227">
        <v>-630</v>
      </c>
      <c r="J337" s="57">
        <f t="shared" ref="J337:J339" si="31">SUM(H337:I337)</f>
        <v>5670</v>
      </c>
      <c r="K337" s="50">
        <v>1</v>
      </c>
      <c r="L337" s="57">
        <f t="shared" ref="L337:L339" si="32">SUM(J337*K337)</f>
        <v>5670</v>
      </c>
      <c r="M337" s="228">
        <f t="shared" ref="M337:M339" si="33">ROUNDDOWN(L337*1.1,0)</f>
        <v>6237</v>
      </c>
      <c r="N337" s="18" t="s">
        <v>34</v>
      </c>
      <c r="O337" s="50"/>
    </row>
    <row r="338" spans="1:16" ht="21.75" customHeight="1" x14ac:dyDescent="0.4">
      <c r="A338" s="62">
        <v>45511</v>
      </c>
      <c r="B338" s="32" t="s">
        <v>678</v>
      </c>
      <c r="C338" s="32"/>
      <c r="D338" s="18" t="s">
        <v>3722</v>
      </c>
      <c r="E338" s="63" t="s">
        <v>3723</v>
      </c>
      <c r="F338" s="63" t="s">
        <v>3642</v>
      </c>
      <c r="G338" s="63" t="s">
        <v>3745</v>
      </c>
      <c r="H338" s="57">
        <v>6300</v>
      </c>
      <c r="I338" s="227">
        <v>-630</v>
      </c>
      <c r="J338" s="57">
        <f t="shared" si="31"/>
        <v>5670</v>
      </c>
      <c r="K338" s="50">
        <v>1</v>
      </c>
      <c r="L338" s="57">
        <f t="shared" si="32"/>
        <v>5670</v>
      </c>
      <c r="M338" s="228">
        <f t="shared" si="33"/>
        <v>6237</v>
      </c>
      <c r="N338" s="18" t="s">
        <v>34</v>
      </c>
      <c r="O338" s="50"/>
    </row>
    <row r="339" spans="1:16" ht="21.75" customHeight="1" x14ac:dyDescent="0.4">
      <c r="A339" s="62">
        <v>45511</v>
      </c>
      <c r="B339" s="32" t="s">
        <v>3758</v>
      </c>
      <c r="C339" s="32"/>
      <c r="D339" s="18" t="s">
        <v>27</v>
      </c>
      <c r="E339" s="63" t="s">
        <v>28</v>
      </c>
      <c r="F339" s="63"/>
      <c r="G339" s="63" t="s">
        <v>73</v>
      </c>
      <c r="H339" s="57">
        <v>2000</v>
      </c>
      <c r="I339" s="227"/>
      <c r="J339" s="57">
        <f t="shared" si="31"/>
        <v>2000</v>
      </c>
      <c r="K339" s="50">
        <v>2</v>
      </c>
      <c r="L339" s="57">
        <f t="shared" si="32"/>
        <v>4000</v>
      </c>
      <c r="M339" s="228">
        <f t="shared" si="33"/>
        <v>4400</v>
      </c>
      <c r="N339" s="18" t="s">
        <v>25</v>
      </c>
      <c r="O339" s="50"/>
    </row>
    <row r="340" spans="1:16" ht="21.75" customHeight="1" x14ac:dyDescent="0.4">
      <c r="A340" s="62">
        <v>45511</v>
      </c>
      <c r="B340" s="32" t="s">
        <v>3759</v>
      </c>
      <c r="C340" s="32"/>
      <c r="D340" s="18" t="s">
        <v>3722</v>
      </c>
      <c r="E340" s="63" t="s">
        <v>3724</v>
      </c>
      <c r="F340" s="63" t="s">
        <v>3729</v>
      </c>
      <c r="G340" s="63" t="s">
        <v>3760</v>
      </c>
      <c r="H340" s="57">
        <v>1800</v>
      </c>
      <c r="I340" s="227">
        <v>-180</v>
      </c>
      <c r="J340" s="57">
        <f t="shared" ref="J340:J344" si="34">SUM(H340:I340)</f>
        <v>1620</v>
      </c>
      <c r="K340" s="50">
        <v>1</v>
      </c>
      <c r="L340" s="57">
        <f t="shared" ref="L340:L344" si="35">SUM(J340*K340)</f>
        <v>1620</v>
      </c>
      <c r="M340" s="228">
        <f t="shared" ref="M340:M344" si="36">ROUNDDOWN(L340*1.1,0)</f>
        <v>1782</v>
      </c>
      <c r="N340" s="18" t="s">
        <v>25</v>
      </c>
      <c r="O340" s="50"/>
    </row>
    <row r="341" spans="1:16" ht="21.75" customHeight="1" x14ac:dyDescent="0.4">
      <c r="A341" s="62">
        <v>45512</v>
      </c>
      <c r="B341" s="32" t="s">
        <v>3761</v>
      </c>
      <c r="C341" s="32"/>
      <c r="D341" s="18" t="s">
        <v>3722</v>
      </c>
      <c r="E341" s="63" t="s">
        <v>3724</v>
      </c>
      <c r="F341" s="63" t="s">
        <v>3729</v>
      </c>
      <c r="G341" s="63" t="s">
        <v>3594</v>
      </c>
      <c r="H341" s="57">
        <v>1800</v>
      </c>
      <c r="I341" s="227">
        <v>-180</v>
      </c>
      <c r="J341" s="57">
        <f t="shared" si="34"/>
        <v>1620</v>
      </c>
      <c r="K341" s="50">
        <v>1</v>
      </c>
      <c r="L341" s="57">
        <f t="shared" si="35"/>
        <v>1620</v>
      </c>
      <c r="M341" s="228">
        <f t="shared" si="36"/>
        <v>1782</v>
      </c>
      <c r="N341" s="18" t="s">
        <v>25</v>
      </c>
      <c r="O341" s="50"/>
    </row>
    <row r="342" spans="1:16" ht="21.75" customHeight="1" x14ac:dyDescent="0.4">
      <c r="A342" s="62">
        <v>45512</v>
      </c>
      <c r="B342" s="32" t="s">
        <v>3761</v>
      </c>
      <c r="C342" s="32"/>
      <c r="D342" s="18" t="s">
        <v>3722</v>
      </c>
      <c r="E342" s="63" t="s">
        <v>3724</v>
      </c>
      <c r="F342" s="63" t="s">
        <v>3729</v>
      </c>
      <c r="G342" s="63" t="s">
        <v>3762</v>
      </c>
      <c r="H342" s="57">
        <v>1800</v>
      </c>
      <c r="I342" s="227">
        <v>-180</v>
      </c>
      <c r="J342" s="57">
        <f t="shared" ref="J342" si="37">SUM(H342:I342)</f>
        <v>1620</v>
      </c>
      <c r="K342" s="50">
        <v>1</v>
      </c>
      <c r="L342" s="57">
        <f t="shared" ref="L342" si="38">SUM(J342*K342)</f>
        <v>1620</v>
      </c>
      <c r="M342" s="228">
        <f t="shared" ref="M342" si="39">ROUNDDOWN(L342*1.1,0)</f>
        <v>1782</v>
      </c>
      <c r="N342" s="18" t="s">
        <v>25</v>
      </c>
      <c r="O342" s="50"/>
    </row>
    <row r="343" spans="1:16" ht="21.75" customHeight="1" x14ac:dyDescent="0.4">
      <c r="A343" s="62">
        <v>45512</v>
      </c>
      <c r="B343" s="32" t="s">
        <v>203</v>
      </c>
      <c r="C343" s="32"/>
      <c r="D343" s="18" t="s">
        <v>3722</v>
      </c>
      <c r="E343" s="63" t="s">
        <v>3724</v>
      </c>
      <c r="F343" s="63" t="s">
        <v>3729</v>
      </c>
      <c r="G343" s="63" t="s">
        <v>3763</v>
      </c>
      <c r="H343" s="57">
        <v>1800</v>
      </c>
      <c r="I343" s="227">
        <v>-180</v>
      </c>
      <c r="J343" s="57">
        <f t="shared" si="34"/>
        <v>1620</v>
      </c>
      <c r="K343" s="50">
        <v>1</v>
      </c>
      <c r="L343" s="57">
        <f t="shared" si="35"/>
        <v>1620</v>
      </c>
      <c r="M343" s="228">
        <f t="shared" si="36"/>
        <v>1782</v>
      </c>
      <c r="N343" s="18" t="s">
        <v>25</v>
      </c>
      <c r="O343" s="50"/>
    </row>
    <row r="344" spans="1:16" ht="21.75" customHeight="1" x14ac:dyDescent="0.4">
      <c r="A344" s="62">
        <v>45513</v>
      </c>
      <c r="B344" s="32" t="s">
        <v>1447</v>
      </c>
      <c r="C344" s="32"/>
      <c r="D344" s="18" t="s">
        <v>3722</v>
      </c>
      <c r="E344" s="63" t="s">
        <v>3724</v>
      </c>
      <c r="F344" s="63" t="s">
        <v>3729</v>
      </c>
      <c r="G344" s="63" t="s">
        <v>3764</v>
      </c>
      <c r="H344" s="57">
        <v>1800</v>
      </c>
      <c r="I344" s="227">
        <v>-180</v>
      </c>
      <c r="J344" s="57">
        <f t="shared" si="34"/>
        <v>1620</v>
      </c>
      <c r="K344" s="50">
        <v>1</v>
      </c>
      <c r="L344" s="57">
        <f t="shared" si="35"/>
        <v>1620</v>
      </c>
      <c r="M344" s="228">
        <f t="shared" si="36"/>
        <v>1782</v>
      </c>
      <c r="N344" s="18" t="s">
        <v>3737</v>
      </c>
      <c r="O344" s="50"/>
    </row>
    <row r="345" spans="1:16" ht="21.75" customHeight="1" x14ac:dyDescent="0.4">
      <c r="A345" s="62">
        <v>45513</v>
      </c>
      <c r="B345" s="32" t="s">
        <v>1447</v>
      </c>
      <c r="C345" s="32"/>
      <c r="D345" s="18" t="s">
        <v>3722</v>
      </c>
      <c r="E345" s="63" t="s">
        <v>3724</v>
      </c>
      <c r="F345" s="63" t="s">
        <v>3729</v>
      </c>
      <c r="G345" s="63" t="s">
        <v>3765</v>
      </c>
      <c r="H345" s="57">
        <v>1800</v>
      </c>
      <c r="I345" s="227">
        <v>-180</v>
      </c>
      <c r="J345" s="57">
        <f t="shared" ref="J345:J346" si="40">SUM(H345:I345)</f>
        <v>1620</v>
      </c>
      <c r="K345" s="50">
        <v>1</v>
      </c>
      <c r="L345" s="57">
        <f t="shared" ref="L345:L346" si="41">SUM(J345*K345)</f>
        <v>1620</v>
      </c>
      <c r="M345" s="228">
        <f t="shared" ref="M345:M346" si="42">ROUNDDOWN(L345*1.1,0)</f>
        <v>1782</v>
      </c>
      <c r="N345" s="18" t="s">
        <v>3737</v>
      </c>
      <c r="O345" s="50"/>
    </row>
    <row r="346" spans="1:16" ht="21.75" customHeight="1" x14ac:dyDescent="0.4">
      <c r="A346" s="62">
        <v>45514</v>
      </c>
      <c r="B346" s="32" t="s">
        <v>3766</v>
      </c>
      <c r="C346" s="32"/>
      <c r="D346" s="18" t="s">
        <v>27</v>
      </c>
      <c r="E346" s="63" t="s">
        <v>28</v>
      </c>
      <c r="F346" s="63"/>
      <c r="G346" s="63" t="s">
        <v>73</v>
      </c>
      <c r="H346" s="57">
        <v>2000</v>
      </c>
      <c r="I346" s="227"/>
      <c r="J346" s="57">
        <f t="shared" si="40"/>
        <v>2000</v>
      </c>
      <c r="K346" s="50">
        <v>1</v>
      </c>
      <c r="L346" s="57">
        <f t="shared" si="41"/>
        <v>2000</v>
      </c>
      <c r="M346" s="228">
        <f t="shared" si="42"/>
        <v>2200</v>
      </c>
      <c r="N346" s="18" t="s">
        <v>3737</v>
      </c>
      <c r="O346" s="50"/>
    </row>
    <row r="347" spans="1:16" ht="21.75" customHeight="1" x14ac:dyDescent="0.4">
      <c r="A347" s="62">
        <v>45514</v>
      </c>
      <c r="B347" s="32" t="s">
        <v>1455</v>
      </c>
      <c r="C347" s="32"/>
      <c r="D347" s="18" t="s">
        <v>3722</v>
      </c>
      <c r="E347" s="63" t="s">
        <v>3723</v>
      </c>
      <c r="F347" s="63" t="s">
        <v>1051</v>
      </c>
      <c r="G347" s="63" t="s">
        <v>3767</v>
      </c>
      <c r="H347" s="57">
        <v>3200</v>
      </c>
      <c r="I347" s="227">
        <v>-800</v>
      </c>
      <c r="J347" s="57">
        <f t="shared" ref="J347:J351" si="43">SUM(H347:I347)</f>
        <v>2400</v>
      </c>
      <c r="K347" s="50">
        <v>1</v>
      </c>
      <c r="L347" s="57">
        <f t="shared" ref="L347:L351" si="44">SUM(J347*K347)</f>
        <v>2400</v>
      </c>
      <c r="M347" s="228">
        <f t="shared" ref="M347:M351" si="45">ROUNDDOWN(L347*1.1,0)</f>
        <v>2640</v>
      </c>
      <c r="N347" s="18" t="s">
        <v>25</v>
      </c>
      <c r="O347" s="50"/>
    </row>
    <row r="348" spans="1:16" ht="21.75" customHeight="1" x14ac:dyDescent="0.4">
      <c r="A348" s="62">
        <v>45515</v>
      </c>
      <c r="B348" s="32" t="s">
        <v>167</v>
      </c>
      <c r="C348" s="32"/>
      <c r="D348" s="18" t="s">
        <v>3722</v>
      </c>
      <c r="E348" s="63" t="s">
        <v>2205</v>
      </c>
      <c r="F348" s="63"/>
      <c r="G348" s="63" t="s">
        <v>3720</v>
      </c>
      <c r="H348" s="57">
        <v>4000</v>
      </c>
      <c r="I348" s="227">
        <v>-400</v>
      </c>
      <c r="J348" s="57">
        <f t="shared" si="43"/>
        <v>3600</v>
      </c>
      <c r="K348" s="50">
        <v>1</v>
      </c>
      <c r="L348" s="57">
        <f t="shared" si="44"/>
        <v>3600</v>
      </c>
      <c r="M348" s="228">
        <f t="shared" si="45"/>
        <v>3960</v>
      </c>
      <c r="N348" s="18" t="s">
        <v>3768</v>
      </c>
      <c r="O348" s="50"/>
    </row>
    <row r="349" spans="1:16" ht="21.75" customHeight="1" x14ac:dyDescent="0.4">
      <c r="A349" s="62">
        <v>45515</v>
      </c>
      <c r="B349" s="32" t="s">
        <v>3769</v>
      </c>
      <c r="C349" s="32"/>
      <c r="D349" s="18" t="s">
        <v>27</v>
      </c>
      <c r="E349" s="63" t="s">
        <v>28</v>
      </c>
      <c r="F349" s="63"/>
      <c r="G349" s="63" t="s">
        <v>30</v>
      </c>
      <c r="H349" s="57">
        <v>15000</v>
      </c>
      <c r="I349" s="227"/>
      <c r="J349" s="57">
        <f t="shared" si="43"/>
        <v>15000</v>
      </c>
      <c r="K349" s="50">
        <v>1</v>
      </c>
      <c r="L349" s="57">
        <f t="shared" si="44"/>
        <v>15000</v>
      </c>
      <c r="M349" s="228">
        <f t="shared" si="45"/>
        <v>16500</v>
      </c>
      <c r="N349" s="18" t="s">
        <v>25</v>
      </c>
      <c r="O349" s="50"/>
    </row>
    <row r="350" spans="1:16" ht="21.75" customHeight="1" x14ac:dyDescent="0.4">
      <c r="A350" s="62">
        <v>45515</v>
      </c>
      <c r="B350" s="32" t="s">
        <v>3769</v>
      </c>
      <c r="C350" s="32"/>
      <c r="D350" s="18" t="s">
        <v>27</v>
      </c>
      <c r="E350" s="63" t="s">
        <v>28</v>
      </c>
      <c r="F350" s="63"/>
      <c r="G350" s="63" t="s">
        <v>75</v>
      </c>
      <c r="H350" s="57">
        <v>8750</v>
      </c>
      <c r="I350" s="227"/>
      <c r="J350" s="57">
        <f t="shared" si="43"/>
        <v>8750</v>
      </c>
      <c r="K350" s="50">
        <v>1</v>
      </c>
      <c r="L350" s="57">
        <f t="shared" si="44"/>
        <v>8750</v>
      </c>
      <c r="M350" s="228">
        <f t="shared" si="45"/>
        <v>9625</v>
      </c>
      <c r="N350" s="18" t="s">
        <v>25</v>
      </c>
      <c r="O350" s="50"/>
    </row>
    <row r="351" spans="1:16" ht="21.75" customHeight="1" x14ac:dyDescent="0.4">
      <c r="A351" s="62">
        <v>45515</v>
      </c>
      <c r="B351" s="32" t="s">
        <v>3769</v>
      </c>
      <c r="C351" s="32"/>
      <c r="D351" s="18" t="s">
        <v>27</v>
      </c>
      <c r="E351" s="63" t="s">
        <v>28</v>
      </c>
      <c r="F351" s="63"/>
      <c r="G351" s="63" t="s">
        <v>79</v>
      </c>
      <c r="H351" s="57">
        <v>17500</v>
      </c>
      <c r="I351" s="227"/>
      <c r="J351" s="57">
        <f t="shared" si="43"/>
        <v>17500</v>
      </c>
      <c r="K351" s="50">
        <v>1</v>
      </c>
      <c r="L351" s="57">
        <f t="shared" si="44"/>
        <v>17500</v>
      </c>
      <c r="M351" s="228">
        <f t="shared" si="45"/>
        <v>19250</v>
      </c>
      <c r="N351" s="18" t="s">
        <v>25</v>
      </c>
      <c r="O351" s="50"/>
    </row>
    <row r="352" spans="1:16" ht="21.75" customHeight="1" x14ac:dyDescent="0.4">
      <c r="A352" s="62">
        <v>45515</v>
      </c>
      <c r="B352" s="32" t="s">
        <v>3770</v>
      </c>
      <c r="C352" s="32"/>
      <c r="D352" s="18" t="s">
        <v>3722</v>
      </c>
      <c r="E352" s="63" t="s">
        <v>3725</v>
      </c>
      <c r="F352" s="63" t="s">
        <v>3598</v>
      </c>
      <c r="G352" s="63" t="s">
        <v>3696</v>
      </c>
      <c r="H352" s="57">
        <v>45000</v>
      </c>
      <c r="I352" s="227">
        <v>-9000</v>
      </c>
      <c r="J352" s="57">
        <f t="shared" ref="J352:J355" si="46">SUM(H352:I352)</f>
        <v>36000</v>
      </c>
      <c r="K352" s="50">
        <v>1</v>
      </c>
      <c r="L352" s="57">
        <f t="shared" ref="L352:L355" si="47">SUM(J352*K352)</f>
        <v>36000</v>
      </c>
      <c r="M352" s="228">
        <f t="shared" ref="M352:M355" si="48">ROUNDDOWN(L352*1.1,0)</f>
        <v>39600</v>
      </c>
      <c r="N352" s="18" t="s">
        <v>34</v>
      </c>
      <c r="O352" s="50"/>
      <c r="P352" s="52" t="s">
        <v>3806</v>
      </c>
    </row>
    <row r="353" spans="1:16" ht="21.75" customHeight="1" x14ac:dyDescent="0.4">
      <c r="A353" s="62">
        <v>45515</v>
      </c>
      <c r="B353" s="32" t="s">
        <v>3770</v>
      </c>
      <c r="C353" s="32"/>
      <c r="D353" s="18" t="s">
        <v>3722</v>
      </c>
      <c r="E353" s="63" t="s">
        <v>3726</v>
      </c>
      <c r="F353" s="63" t="s">
        <v>3730</v>
      </c>
      <c r="G353" s="63" t="s">
        <v>3771</v>
      </c>
      <c r="H353" s="57">
        <v>1200</v>
      </c>
      <c r="I353" s="227"/>
      <c r="J353" s="57">
        <f t="shared" si="46"/>
        <v>1200</v>
      </c>
      <c r="K353" s="50">
        <v>1</v>
      </c>
      <c r="L353" s="57">
        <f t="shared" si="47"/>
        <v>1200</v>
      </c>
      <c r="M353" s="228">
        <f t="shared" si="48"/>
        <v>1320</v>
      </c>
      <c r="N353" s="18" t="s">
        <v>34</v>
      </c>
      <c r="O353" s="50"/>
      <c r="P353" s="52" t="s">
        <v>2141</v>
      </c>
    </row>
    <row r="354" spans="1:16" ht="21.75" customHeight="1" x14ac:dyDescent="0.4">
      <c r="A354" s="62">
        <v>45515</v>
      </c>
      <c r="B354" s="32" t="s">
        <v>3772</v>
      </c>
      <c r="C354" s="32"/>
      <c r="D354" s="18" t="s">
        <v>2892</v>
      </c>
      <c r="E354" s="63" t="s">
        <v>23</v>
      </c>
      <c r="F354" s="63"/>
      <c r="G354" s="63" t="s">
        <v>96</v>
      </c>
      <c r="H354" s="57">
        <v>15000</v>
      </c>
      <c r="I354" s="227">
        <v>-7500</v>
      </c>
      <c r="J354" s="57">
        <f t="shared" si="46"/>
        <v>7500</v>
      </c>
      <c r="K354" s="50">
        <v>1</v>
      </c>
      <c r="L354" s="57">
        <f t="shared" si="47"/>
        <v>7500</v>
      </c>
      <c r="M354" s="228">
        <f t="shared" si="48"/>
        <v>8250</v>
      </c>
      <c r="N354" s="18" t="s">
        <v>25</v>
      </c>
      <c r="O354" s="50" t="s">
        <v>3773</v>
      </c>
    </row>
    <row r="355" spans="1:16" ht="21.75" customHeight="1" x14ac:dyDescent="0.4">
      <c r="A355" s="62">
        <v>45515</v>
      </c>
      <c r="B355" s="32" t="s">
        <v>3774</v>
      </c>
      <c r="C355" s="32"/>
      <c r="D355" s="18" t="s">
        <v>22</v>
      </c>
      <c r="E355" s="63" t="s">
        <v>1496</v>
      </c>
      <c r="F355" s="63"/>
      <c r="G355" s="63" t="s">
        <v>3775</v>
      </c>
      <c r="H355" s="57">
        <v>3000</v>
      </c>
      <c r="I355" s="227"/>
      <c r="J355" s="57">
        <f t="shared" si="46"/>
        <v>3000</v>
      </c>
      <c r="K355" s="50">
        <v>1</v>
      </c>
      <c r="L355" s="57">
        <f t="shared" si="47"/>
        <v>3000</v>
      </c>
      <c r="M355" s="228">
        <f t="shared" si="48"/>
        <v>3300</v>
      </c>
      <c r="N355" s="18" t="s">
        <v>3768</v>
      </c>
      <c r="O355" s="50" t="s">
        <v>1954</v>
      </c>
    </row>
    <row r="356" spans="1:16" ht="21.75" customHeight="1" x14ac:dyDescent="0.4">
      <c r="A356" s="62">
        <v>45515</v>
      </c>
      <c r="B356" s="32" t="s">
        <v>3772</v>
      </c>
      <c r="C356" s="32"/>
      <c r="D356" s="18" t="s">
        <v>3722</v>
      </c>
      <c r="E356" s="63" t="s">
        <v>3725</v>
      </c>
      <c r="F356" s="63" t="s">
        <v>3731</v>
      </c>
      <c r="G356" s="63" t="s">
        <v>3776</v>
      </c>
      <c r="H356" s="57">
        <v>50000</v>
      </c>
      <c r="I356" s="227">
        <v>-10000</v>
      </c>
      <c r="J356" s="57">
        <f t="shared" ref="J356:J359" si="49">SUM(H356:I356)</f>
        <v>40000</v>
      </c>
      <c r="K356" s="50">
        <v>1</v>
      </c>
      <c r="L356" s="57">
        <f t="shared" ref="L356:L359" si="50">SUM(J356*K356)</f>
        <v>40000</v>
      </c>
      <c r="M356" s="228">
        <f t="shared" ref="M356:M359" si="51">ROUNDDOWN(L356*1.1,0)</f>
        <v>44000</v>
      </c>
      <c r="N356" s="18" t="s">
        <v>34</v>
      </c>
      <c r="O356" s="50"/>
      <c r="P356" s="52" t="s">
        <v>2141</v>
      </c>
    </row>
    <row r="357" spans="1:16" ht="21.75" customHeight="1" x14ac:dyDescent="0.4">
      <c r="A357" s="62">
        <v>45515</v>
      </c>
      <c r="B357" s="32" t="s">
        <v>3772</v>
      </c>
      <c r="C357" s="32"/>
      <c r="D357" s="18" t="s">
        <v>3722</v>
      </c>
      <c r="E357" s="63" t="s">
        <v>3726</v>
      </c>
      <c r="F357" s="63" t="s">
        <v>3730</v>
      </c>
      <c r="G357" s="63" t="s">
        <v>3771</v>
      </c>
      <c r="H357" s="57">
        <v>1200</v>
      </c>
      <c r="I357" s="227"/>
      <c r="J357" s="57">
        <f t="shared" si="49"/>
        <v>1200</v>
      </c>
      <c r="K357" s="50">
        <v>1</v>
      </c>
      <c r="L357" s="57">
        <f t="shared" si="50"/>
        <v>1200</v>
      </c>
      <c r="M357" s="228">
        <f t="shared" si="51"/>
        <v>1320</v>
      </c>
      <c r="N357" s="18" t="s">
        <v>34</v>
      </c>
      <c r="O357" s="50"/>
      <c r="P357" s="52" t="s">
        <v>3806</v>
      </c>
    </row>
    <row r="358" spans="1:16" ht="21.75" customHeight="1" x14ac:dyDescent="0.4">
      <c r="A358" s="62">
        <v>45515</v>
      </c>
      <c r="B358" s="32" t="s">
        <v>3772</v>
      </c>
      <c r="C358" s="32"/>
      <c r="D358" s="18" t="s">
        <v>3722</v>
      </c>
      <c r="E358" s="63" t="s">
        <v>3727</v>
      </c>
      <c r="F358" s="63" t="s">
        <v>790</v>
      </c>
      <c r="G358" s="63" t="s">
        <v>116</v>
      </c>
      <c r="H358" s="57">
        <v>5000</v>
      </c>
      <c r="I358" s="227"/>
      <c r="J358" s="57">
        <f t="shared" si="49"/>
        <v>5000</v>
      </c>
      <c r="K358" s="50">
        <v>1</v>
      </c>
      <c r="L358" s="57">
        <f t="shared" si="50"/>
        <v>5000</v>
      </c>
      <c r="M358" s="228">
        <f t="shared" si="51"/>
        <v>5500</v>
      </c>
      <c r="N358" s="18" t="s">
        <v>34</v>
      </c>
      <c r="O358" s="50"/>
      <c r="P358" s="52" t="s">
        <v>2141</v>
      </c>
    </row>
    <row r="359" spans="1:16" ht="21.75" customHeight="1" x14ac:dyDescent="0.4">
      <c r="A359" s="62">
        <v>45515</v>
      </c>
      <c r="B359" s="32" t="s">
        <v>3752</v>
      </c>
      <c r="C359" s="32"/>
      <c r="D359" s="18" t="s">
        <v>27</v>
      </c>
      <c r="E359" s="63" t="s">
        <v>28</v>
      </c>
      <c r="F359" s="63"/>
      <c r="G359" s="63" t="s">
        <v>3721</v>
      </c>
      <c r="H359" s="57">
        <v>55000</v>
      </c>
      <c r="I359" s="227"/>
      <c r="J359" s="57">
        <f t="shared" si="49"/>
        <v>55000</v>
      </c>
      <c r="K359" s="50">
        <v>1</v>
      </c>
      <c r="L359" s="57">
        <f t="shared" si="50"/>
        <v>55000</v>
      </c>
      <c r="M359" s="228">
        <f t="shared" si="51"/>
        <v>60500</v>
      </c>
      <c r="N359" s="18" t="s">
        <v>25</v>
      </c>
      <c r="O359" s="50"/>
    </row>
    <row r="360" spans="1:16" ht="21.75" customHeight="1" x14ac:dyDescent="0.4">
      <c r="A360" s="62">
        <v>45516</v>
      </c>
      <c r="B360" s="32" t="s">
        <v>1608</v>
      </c>
      <c r="C360" s="32"/>
      <c r="D360" s="18" t="s">
        <v>3722</v>
      </c>
      <c r="E360" s="63" t="s">
        <v>3726</v>
      </c>
      <c r="F360" s="63" t="s">
        <v>3730</v>
      </c>
      <c r="G360" s="63" t="s">
        <v>3771</v>
      </c>
      <c r="H360" s="57">
        <v>1200</v>
      </c>
      <c r="I360" s="227">
        <v>-504</v>
      </c>
      <c r="J360" s="57">
        <f t="shared" ref="J360:J367" si="52">SUM(H360:I360)</f>
        <v>696</v>
      </c>
      <c r="K360" s="50">
        <v>3</v>
      </c>
      <c r="L360" s="57">
        <f t="shared" ref="L360:L367" si="53">SUM(J360*K360)</f>
        <v>2088</v>
      </c>
      <c r="M360" s="228">
        <f t="shared" ref="M360:M367" si="54">ROUNDDOWN(L360*1.1,0)</f>
        <v>2296</v>
      </c>
      <c r="N360" s="18" t="s">
        <v>3768</v>
      </c>
      <c r="O360" s="50"/>
    </row>
    <row r="361" spans="1:16" ht="21.75" customHeight="1" x14ac:dyDescent="0.4">
      <c r="A361" s="62">
        <v>45516</v>
      </c>
      <c r="B361" s="32" t="s">
        <v>3755</v>
      </c>
      <c r="C361" s="32"/>
      <c r="D361" s="18" t="s">
        <v>3722</v>
      </c>
      <c r="E361" s="63" t="s">
        <v>3726</v>
      </c>
      <c r="F361" s="63" t="s">
        <v>3730</v>
      </c>
      <c r="G361" s="63" t="s">
        <v>3777</v>
      </c>
      <c r="H361" s="57">
        <v>1200</v>
      </c>
      <c r="I361" s="227">
        <v>-120</v>
      </c>
      <c r="J361" s="57">
        <f t="shared" si="52"/>
        <v>1080</v>
      </c>
      <c r="K361" s="50">
        <v>2</v>
      </c>
      <c r="L361" s="57">
        <f t="shared" si="53"/>
        <v>2160</v>
      </c>
      <c r="M361" s="228">
        <f t="shared" si="54"/>
        <v>2376</v>
      </c>
      <c r="N361" s="18" t="s">
        <v>25</v>
      </c>
      <c r="O361" s="50"/>
    </row>
    <row r="362" spans="1:16" ht="21.75" customHeight="1" x14ac:dyDescent="0.4">
      <c r="A362" s="62">
        <v>45516</v>
      </c>
      <c r="B362" s="32" t="s">
        <v>1541</v>
      </c>
      <c r="C362" s="32"/>
      <c r="D362" s="18" t="s">
        <v>3722</v>
      </c>
      <c r="E362" s="63" t="s">
        <v>3728</v>
      </c>
      <c r="F362" s="63"/>
      <c r="G362" s="63" t="s">
        <v>3471</v>
      </c>
      <c r="H362" s="57">
        <v>5000</v>
      </c>
      <c r="I362" s="227"/>
      <c r="J362" s="57">
        <f t="shared" si="52"/>
        <v>5000</v>
      </c>
      <c r="K362" s="50">
        <v>1</v>
      </c>
      <c r="L362" s="57">
        <f t="shared" si="53"/>
        <v>5000</v>
      </c>
      <c r="M362" s="228">
        <f t="shared" si="54"/>
        <v>5500</v>
      </c>
      <c r="N362" s="18" t="s">
        <v>25</v>
      </c>
      <c r="O362" s="50"/>
    </row>
    <row r="363" spans="1:16" ht="21.75" customHeight="1" x14ac:dyDescent="0.4">
      <c r="A363" s="62">
        <v>45516</v>
      </c>
      <c r="B363" s="32" t="s">
        <v>1541</v>
      </c>
      <c r="C363" s="32"/>
      <c r="D363" s="18" t="s">
        <v>3722</v>
      </c>
      <c r="E363" s="63" t="s">
        <v>3726</v>
      </c>
      <c r="F363" s="63" t="s">
        <v>3553</v>
      </c>
      <c r="G363" s="63" t="s">
        <v>3778</v>
      </c>
      <c r="H363" s="57">
        <v>1150</v>
      </c>
      <c r="I363" s="227">
        <v>-115</v>
      </c>
      <c r="J363" s="57">
        <f t="shared" si="52"/>
        <v>1035</v>
      </c>
      <c r="K363" s="50">
        <v>1</v>
      </c>
      <c r="L363" s="57">
        <f t="shared" si="53"/>
        <v>1035</v>
      </c>
      <c r="M363" s="228">
        <f t="shared" si="54"/>
        <v>1138</v>
      </c>
      <c r="N363" s="18" t="s">
        <v>25</v>
      </c>
      <c r="O363" s="50"/>
    </row>
    <row r="364" spans="1:16" ht="21.75" customHeight="1" x14ac:dyDescent="0.4">
      <c r="A364" s="62">
        <v>45516</v>
      </c>
      <c r="B364" s="32" t="s">
        <v>1541</v>
      </c>
      <c r="C364" s="32"/>
      <c r="D364" s="18" t="s">
        <v>3722</v>
      </c>
      <c r="E364" s="63" t="s">
        <v>3726</v>
      </c>
      <c r="F364" s="63" t="s">
        <v>3553</v>
      </c>
      <c r="G364" s="63" t="s">
        <v>3779</v>
      </c>
      <c r="H364" s="57">
        <v>1600</v>
      </c>
      <c r="I364" s="227">
        <v>-160</v>
      </c>
      <c r="J364" s="57">
        <f t="shared" si="52"/>
        <v>1440</v>
      </c>
      <c r="K364" s="50">
        <v>1</v>
      </c>
      <c r="L364" s="57">
        <f t="shared" si="53"/>
        <v>1440</v>
      </c>
      <c r="M364" s="228">
        <f t="shared" si="54"/>
        <v>1584</v>
      </c>
      <c r="N364" s="18" t="s">
        <v>25</v>
      </c>
      <c r="O364" s="50"/>
    </row>
    <row r="365" spans="1:16" ht="21.75" customHeight="1" x14ac:dyDescent="0.4">
      <c r="A365" s="62">
        <v>45518</v>
      </c>
      <c r="B365" s="32" t="s">
        <v>3780</v>
      </c>
      <c r="C365" s="32"/>
      <c r="D365" s="18" t="s">
        <v>3722</v>
      </c>
      <c r="E365" s="63" t="s">
        <v>3726</v>
      </c>
      <c r="F365" s="63" t="s">
        <v>3732</v>
      </c>
      <c r="G365" s="63" t="s">
        <v>3781</v>
      </c>
      <c r="H365" s="57">
        <v>2400</v>
      </c>
      <c r="I365" s="227">
        <v>-240</v>
      </c>
      <c r="J365" s="57">
        <f t="shared" si="52"/>
        <v>2160</v>
      </c>
      <c r="K365" s="50">
        <v>1</v>
      </c>
      <c r="L365" s="57">
        <f t="shared" si="53"/>
        <v>2160</v>
      </c>
      <c r="M365" s="228">
        <f t="shared" si="54"/>
        <v>2376</v>
      </c>
      <c r="N365" s="18" t="s">
        <v>25</v>
      </c>
      <c r="O365" s="50"/>
    </row>
    <row r="366" spans="1:16" ht="21.75" customHeight="1" x14ac:dyDescent="0.4">
      <c r="A366" s="62">
        <v>45518</v>
      </c>
      <c r="B366" s="32" t="s">
        <v>3780</v>
      </c>
      <c r="C366" s="32"/>
      <c r="D366" s="18" t="s">
        <v>3722</v>
      </c>
      <c r="E366" s="63" t="s">
        <v>3726</v>
      </c>
      <c r="F366" s="63" t="s">
        <v>3782</v>
      </c>
      <c r="G366" s="63" t="s">
        <v>3783</v>
      </c>
      <c r="H366" s="57">
        <v>3800</v>
      </c>
      <c r="I366" s="227"/>
      <c r="J366" s="57">
        <f t="shared" si="52"/>
        <v>3800</v>
      </c>
      <c r="K366" s="50">
        <v>1</v>
      </c>
      <c r="L366" s="57">
        <f t="shared" si="53"/>
        <v>3800</v>
      </c>
      <c r="M366" s="228">
        <f t="shared" si="54"/>
        <v>4180</v>
      </c>
      <c r="N366" s="18" t="s">
        <v>25</v>
      </c>
      <c r="O366" s="50"/>
    </row>
    <row r="367" spans="1:16" ht="21.75" customHeight="1" x14ac:dyDescent="0.4">
      <c r="A367" s="62">
        <v>45518</v>
      </c>
      <c r="B367" s="32" t="s">
        <v>3784</v>
      </c>
      <c r="C367" s="32"/>
      <c r="D367" s="18" t="s">
        <v>22</v>
      </c>
      <c r="E367" s="63" t="s">
        <v>1496</v>
      </c>
      <c r="F367" s="63"/>
      <c r="G367" s="63" t="s">
        <v>49</v>
      </c>
      <c r="H367" s="57">
        <v>3000</v>
      </c>
      <c r="I367" s="227"/>
      <c r="J367" s="57">
        <f t="shared" si="52"/>
        <v>3000</v>
      </c>
      <c r="K367" s="50">
        <v>1</v>
      </c>
      <c r="L367" s="57">
        <f t="shared" si="53"/>
        <v>3000</v>
      </c>
      <c r="M367" s="228">
        <f t="shared" si="54"/>
        <v>3300</v>
      </c>
      <c r="N367" s="18" t="s">
        <v>3768</v>
      </c>
      <c r="O367" s="50" t="s">
        <v>1954</v>
      </c>
    </row>
    <row r="368" spans="1:16" ht="21.75" customHeight="1" x14ac:dyDescent="0.4">
      <c r="A368" s="62">
        <v>45518</v>
      </c>
      <c r="B368" s="32" t="s">
        <v>3418</v>
      </c>
      <c r="C368" s="32"/>
      <c r="D368" s="18" t="s">
        <v>3722</v>
      </c>
      <c r="E368" s="63" t="s">
        <v>3723</v>
      </c>
      <c r="F368" s="63" t="s">
        <v>1051</v>
      </c>
      <c r="G368" s="63" t="s">
        <v>3643</v>
      </c>
      <c r="H368" s="57">
        <v>5500</v>
      </c>
      <c r="I368" s="227">
        <v>-550</v>
      </c>
      <c r="J368" s="57">
        <f t="shared" ref="J368:J376" si="55">SUM(H368:I368)</f>
        <v>4950</v>
      </c>
      <c r="K368" s="50">
        <v>1</v>
      </c>
      <c r="L368" s="57">
        <f t="shared" ref="L368:L380" si="56">SUM(J368*K368)</f>
        <v>4950</v>
      </c>
      <c r="M368" s="228">
        <f t="shared" ref="M368:M381" si="57">ROUNDDOWN(L368*1.1,0)</f>
        <v>5445</v>
      </c>
      <c r="N368" s="18" t="s">
        <v>25</v>
      </c>
      <c r="O368" s="50"/>
    </row>
    <row r="369" spans="1:16" ht="21.75" customHeight="1" x14ac:dyDescent="0.4">
      <c r="A369" s="62">
        <v>45519</v>
      </c>
      <c r="B369" s="32" t="s">
        <v>3785</v>
      </c>
      <c r="C369" s="32"/>
      <c r="D369" s="18" t="s">
        <v>3722</v>
      </c>
      <c r="E369" s="63" t="s">
        <v>3726</v>
      </c>
      <c r="F369" s="63" t="s">
        <v>3553</v>
      </c>
      <c r="G369" s="63" t="s">
        <v>3786</v>
      </c>
      <c r="H369" s="57">
        <v>1800</v>
      </c>
      <c r="I369" s="227">
        <v>-180</v>
      </c>
      <c r="J369" s="57">
        <f t="shared" si="55"/>
        <v>1620</v>
      </c>
      <c r="K369" s="50">
        <v>8</v>
      </c>
      <c r="L369" s="57">
        <f t="shared" si="56"/>
        <v>12960</v>
      </c>
      <c r="M369" s="228">
        <f t="shared" si="57"/>
        <v>14256</v>
      </c>
      <c r="N369" s="18" t="s">
        <v>34</v>
      </c>
      <c r="O369" s="50"/>
    </row>
    <row r="370" spans="1:16" ht="21.75" customHeight="1" x14ac:dyDescent="0.4">
      <c r="A370" s="62">
        <v>45519</v>
      </c>
      <c r="B370" s="32" t="s">
        <v>3787</v>
      </c>
      <c r="C370" s="32"/>
      <c r="D370" s="18" t="s">
        <v>2892</v>
      </c>
      <c r="E370" s="63" t="s">
        <v>23</v>
      </c>
      <c r="F370" s="63"/>
      <c r="G370" s="63" t="s">
        <v>96</v>
      </c>
      <c r="H370" s="57">
        <v>15000</v>
      </c>
      <c r="I370" s="227"/>
      <c r="J370" s="57">
        <f t="shared" si="55"/>
        <v>15000</v>
      </c>
      <c r="K370" s="50">
        <v>1</v>
      </c>
      <c r="L370" s="57">
        <f t="shared" si="56"/>
        <v>15000</v>
      </c>
      <c r="M370" s="228">
        <f t="shared" si="57"/>
        <v>16500</v>
      </c>
      <c r="N370" s="18" t="s">
        <v>3768</v>
      </c>
      <c r="O370" s="50"/>
    </row>
    <row r="371" spans="1:16" ht="21.75" customHeight="1" x14ac:dyDescent="0.4">
      <c r="A371" s="62">
        <v>45519</v>
      </c>
      <c r="B371" s="32" t="s">
        <v>3787</v>
      </c>
      <c r="C371" s="32"/>
      <c r="D371" s="18" t="s">
        <v>3722</v>
      </c>
      <c r="E371" s="63" t="s">
        <v>3725</v>
      </c>
      <c r="F371" s="63" t="s">
        <v>3733</v>
      </c>
      <c r="G371" s="63" t="s">
        <v>3788</v>
      </c>
      <c r="H371" s="57">
        <v>72000</v>
      </c>
      <c r="I371" s="227">
        <v>-14400</v>
      </c>
      <c r="J371" s="57">
        <f t="shared" si="55"/>
        <v>57600</v>
      </c>
      <c r="K371" s="50">
        <v>1</v>
      </c>
      <c r="L371" s="57">
        <f t="shared" si="56"/>
        <v>57600</v>
      </c>
      <c r="M371" s="228">
        <f t="shared" si="57"/>
        <v>63360</v>
      </c>
      <c r="N371" s="18" t="s">
        <v>3768</v>
      </c>
      <c r="O371" s="50"/>
      <c r="P371" s="52" t="s">
        <v>3806</v>
      </c>
    </row>
    <row r="372" spans="1:16" ht="21.75" customHeight="1" x14ac:dyDescent="0.4">
      <c r="A372" s="62">
        <v>45519</v>
      </c>
      <c r="B372" s="32" t="s">
        <v>3787</v>
      </c>
      <c r="C372" s="32"/>
      <c r="D372" s="18" t="s">
        <v>3722</v>
      </c>
      <c r="E372" s="63" t="s">
        <v>3726</v>
      </c>
      <c r="F372" s="63" t="s">
        <v>3730</v>
      </c>
      <c r="G372" s="63" t="s">
        <v>3789</v>
      </c>
      <c r="H372" s="57">
        <v>1200</v>
      </c>
      <c r="I372" s="227"/>
      <c r="J372" s="57">
        <f t="shared" si="55"/>
        <v>1200</v>
      </c>
      <c r="K372" s="50">
        <v>1</v>
      </c>
      <c r="L372" s="57">
        <f t="shared" si="56"/>
        <v>1200</v>
      </c>
      <c r="M372" s="228">
        <f t="shared" si="57"/>
        <v>1320</v>
      </c>
      <c r="N372" s="18" t="s">
        <v>3768</v>
      </c>
      <c r="O372" s="50"/>
      <c r="P372" s="52" t="s">
        <v>3806</v>
      </c>
    </row>
    <row r="373" spans="1:16" ht="21.75" customHeight="1" x14ac:dyDescent="0.4">
      <c r="A373" s="62">
        <v>45519</v>
      </c>
      <c r="B373" s="32" t="s">
        <v>3787</v>
      </c>
      <c r="C373" s="32"/>
      <c r="D373" s="96" t="s">
        <v>3790</v>
      </c>
      <c r="E373" s="63"/>
      <c r="F373" s="63"/>
      <c r="G373" s="63" t="s">
        <v>3791</v>
      </c>
      <c r="H373" s="57">
        <v>-15000</v>
      </c>
      <c r="I373" s="227"/>
      <c r="J373" s="57">
        <f t="shared" si="55"/>
        <v>-15000</v>
      </c>
      <c r="K373" s="50">
        <v>1</v>
      </c>
      <c r="L373" s="57">
        <f t="shared" si="56"/>
        <v>-15000</v>
      </c>
      <c r="M373" s="228">
        <f t="shared" si="57"/>
        <v>-16500</v>
      </c>
      <c r="N373" s="18" t="s">
        <v>3768</v>
      </c>
      <c r="O373" s="50"/>
      <c r="P373" s="52" t="s">
        <v>2141</v>
      </c>
    </row>
    <row r="374" spans="1:16" ht="21.75" customHeight="1" x14ac:dyDescent="0.4">
      <c r="A374" s="62">
        <v>45520</v>
      </c>
      <c r="B374" s="32" t="s">
        <v>3792</v>
      </c>
      <c r="C374" s="32"/>
      <c r="D374" s="18" t="s">
        <v>22</v>
      </c>
      <c r="E374" s="63" t="s">
        <v>1496</v>
      </c>
      <c r="F374" s="63"/>
      <c r="G374" s="63" t="s">
        <v>63</v>
      </c>
      <c r="H374" s="57">
        <v>3000</v>
      </c>
      <c r="I374" s="227"/>
      <c r="J374" s="57">
        <f t="shared" si="55"/>
        <v>3000</v>
      </c>
      <c r="K374" s="50">
        <v>1</v>
      </c>
      <c r="L374" s="57">
        <f t="shared" si="56"/>
        <v>3000</v>
      </c>
      <c r="M374" s="228">
        <f t="shared" si="57"/>
        <v>3300</v>
      </c>
      <c r="N374" s="18" t="s">
        <v>3768</v>
      </c>
      <c r="O374" s="50" t="s">
        <v>3793</v>
      </c>
    </row>
    <row r="375" spans="1:16" ht="21.75" customHeight="1" x14ac:dyDescent="0.4">
      <c r="A375" s="62">
        <v>45520</v>
      </c>
      <c r="B375" s="32" t="s">
        <v>3794</v>
      </c>
      <c r="C375" s="32"/>
      <c r="D375" s="18" t="s">
        <v>22</v>
      </c>
      <c r="E375" s="63" t="s">
        <v>1496</v>
      </c>
      <c r="F375" s="63"/>
      <c r="G375" s="63" t="s">
        <v>49</v>
      </c>
      <c r="H375" s="57">
        <v>3000</v>
      </c>
      <c r="I375" s="227"/>
      <c r="J375" s="57">
        <f t="shared" si="55"/>
        <v>3000</v>
      </c>
      <c r="K375" s="50">
        <v>1</v>
      </c>
      <c r="L375" s="57">
        <f t="shared" si="56"/>
        <v>3000</v>
      </c>
      <c r="M375" s="228">
        <f t="shared" si="57"/>
        <v>3300</v>
      </c>
      <c r="N375" s="18" t="s">
        <v>25</v>
      </c>
      <c r="O375" s="50" t="s">
        <v>1954</v>
      </c>
    </row>
    <row r="376" spans="1:16" ht="21.75" customHeight="1" x14ac:dyDescent="0.4">
      <c r="A376" s="62">
        <v>45520</v>
      </c>
      <c r="B376" s="32" t="s">
        <v>3795</v>
      </c>
      <c r="C376" s="32"/>
      <c r="D376" s="18" t="s">
        <v>22</v>
      </c>
      <c r="E376" s="63" t="s">
        <v>1496</v>
      </c>
      <c r="F376" s="63"/>
      <c r="G376" s="63" t="s">
        <v>49</v>
      </c>
      <c r="H376" s="57">
        <v>3000</v>
      </c>
      <c r="I376" s="227"/>
      <c r="J376" s="57">
        <f t="shared" si="55"/>
        <v>3000</v>
      </c>
      <c r="K376" s="50">
        <v>1</v>
      </c>
      <c r="L376" s="57">
        <f t="shared" si="56"/>
        <v>3000</v>
      </c>
      <c r="M376" s="228">
        <f t="shared" si="57"/>
        <v>3300</v>
      </c>
      <c r="N376" s="18" t="s">
        <v>3768</v>
      </c>
      <c r="O376" s="50" t="s">
        <v>1954</v>
      </c>
    </row>
    <row r="377" spans="1:16" ht="21.75" customHeight="1" x14ac:dyDescent="0.4">
      <c r="A377" s="62">
        <v>45521</v>
      </c>
      <c r="B377" s="32" t="s">
        <v>3796</v>
      </c>
      <c r="C377" s="32"/>
      <c r="D377" s="18" t="s">
        <v>3722</v>
      </c>
      <c r="E377" s="63" t="s">
        <v>3723</v>
      </c>
      <c r="F377" s="63" t="s">
        <v>1051</v>
      </c>
      <c r="G377" s="63" t="s">
        <v>3797</v>
      </c>
      <c r="H377" s="57">
        <v>5500</v>
      </c>
      <c r="I377" s="227"/>
      <c r="J377" s="57">
        <f t="shared" ref="J377:J380" si="58">SUM(H377:I377)</f>
        <v>5500</v>
      </c>
      <c r="K377" s="50">
        <v>1</v>
      </c>
      <c r="L377" s="57">
        <f t="shared" si="56"/>
        <v>5500</v>
      </c>
      <c r="M377" s="228">
        <f t="shared" si="57"/>
        <v>6050</v>
      </c>
      <c r="N377" s="18" t="s">
        <v>25</v>
      </c>
      <c r="O377" s="50"/>
    </row>
    <row r="378" spans="1:16" ht="21.75" customHeight="1" x14ac:dyDescent="0.4">
      <c r="A378" s="62">
        <v>45522</v>
      </c>
      <c r="B378" s="32" t="s">
        <v>2057</v>
      </c>
      <c r="C378" s="32"/>
      <c r="D378" s="18" t="s">
        <v>3722</v>
      </c>
      <c r="E378" s="63" t="s">
        <v>3724</v>
      </c>
      <c r="F378" s="63" t="s">
        <v>3729</v>
      </c>
      <c r="G378" s="63" t="s">
        <v>3798</v>
      </c>
      <c r="H378" s="57">
        <v>1800</v>
      </c>
      <c r="I378" s="227">
        <v>-180</v>
      </c>
      <c r="J378" s="57">
        <f t="shared" si="58"/>
        <v>1620</v>
      </c>
      <c r="K378" s="50">
        <v>1</v>
      </c>
      <c r="L378" s="57">
        <f t="shared" si="56"/>
        <v>1620</v>
      </c>
      <c r="M378" s="228">
        <f t="shared" si="57"/>
        <v>1782</v>
      </c>
      <c r="N378" s="18" t="s">
        <v>25</v>
      </c>
      <c r="O378" s="50"/>
    </row>
    <row r="379" spans="1:16" ht="21.75" customHeight="1" x14ac:dyDescent="0.4">
      <c r="A379" s="62">
        <v>45522</v>
      </c>
      <c r="B379" s="32" t="s">
        <v>3774</v>
      </c>
      <c r="C379" s="32"/>
      <c r="D379" s="18" t="s">
        <v>27</v>
      </c>
      <c r="E379" s="63" t="s">
        <v>28</v>
      </c>
      <c r="F379" s="63"/>
      <c r="G379" s="63" t="s">
        <v>30</v>
      </c>
      <c r="H379" s="57">
        <v>15000</v>
      </c>
      <c r="I379" s="227"/>
      <c r="J379" s="57">
        <f t="shared" si="58"/>
        <v>15000</v>
      </c>
      <c r="K379" s="50">
        <v>1</v>
      </c>
      <c r="L379" s="57">
        <f t="shared" si="56"/>
        <v>15000</v>
      </c>
      <c r="M379" s="228">
        <f t="shared" si="57"/>
        <v>16500</v>
      </c>
      <c r="N379" s="18" t="s">
        <v>34</v>
      </c>
      <c r="O379" s="50"/>
    </row>
    <row r="380" spans="1:16" ht="21.75" customHeight="1" x14ac:dyDescent="0.4">
      <c r="A380" s="62">
        <v>45522</v>
      </c>
      <c r="B380" s="32" t="s">
        <v>3774</v>
      </c>
      <c r="C380" s="32"/>
      <c r="D380" s="18" t="s">
        <v>27</v>
      </c>
      <c r="E380" s="63" t="s">
        <v>28</v>
      </c>
      <c r="F380" s="63"/>
      <c r="G380" s="63" t="s">
        <v>79</v>
      </c>
      <c r="H380" s="57">
        <v>17500</v>
      </c>
      <c r="I380" s="227"/>
      <c r="J380" s="57">
        <f t="shared" si="58"/>
        <v>17500</v>
      </c>
      <c r="K380" s="50">
        <v>1</v>
      </c>
      <c r="L380" s="57">
        <f t="shared" si="56"/>
        <v>17500</v>
      </c>
      <c r="M380" s="228">
        <f t="shared" si="57"/>
        <v>19250</v>
      </c>
      <c r="N380" s="18" t="s">
        <v>34</v>
      </c>
      <c r="O380" s="50"/>
    </row>
    <row r="381" spans="1:16" ht="21.75" customHeight="1" x14ac:dyDescent="0.4">
      <c r="A381" s="62">
        <v>45523</v>
      </c>
      <c r="B381" s="32" t="s">
        <v>3734</v>
      </c>
      <c r="C381" s="32"/>
      <c r="D381" s="18" t="s">
        <v>3722</v>
      </c>
      <c r="E381" s="63" t="s">
        <v>3723</v>
      </c>
      <c r="F381" s="63" t="s">
        <v>3642</v>
      </c>
      <c r="G381" s="63" t="s">
        <v>3799</v>
      </c>
      <c r="H381" s="57">
        <v>6300</v>
      </c>
      <c r="I381" s="227">
        <v>-1575</v>
      </c>
      <c r="J381" s="57">
        <f t="shared" ref="J381:J444" si="59">SUM(H381:I381)</f>
        <v>4725</v>
      </c>
      <c r="K381" s="50">
        <v>1</v>
      </c>
      <c r="L381" s="57">
        <f t="shared" ref="L381:L392" si="60">SUM(J381*K381)</f>
        <v>4725</v>
      </c>
      <c r="M381" s="228">
        <f t="shared" si="57"/>
        <v>5197</v>
      </c>
      <c r="N381" s="18" t="s">
        <v>25</v>
      </c>
      <c r="O381" s="50"/>
    </row>
    <row r="382" spans="1:16" ht="21.75" customHeight="1" x14ac:dyDescent="0.4">
      <c r="A382" s="62">
        <v>45523</v>
      </c>
      <c r="B382" s="32" t="s">
        <v>3734</v>
      </c>
      <c r="C382" s="32"/>
      <c r="D382" s="18" t="s">
        <v>3722</v>
      </c>
      <c r="E382" s="63" t="s">
        <v>3723</v>
      </c>
      <c r="F382" s="63" t="s">
        <v>1051</v>
      </c>
      <c r="G382" s="63" t="s">
        <v>3800</v>
      </c>
      <c r="H382" s="57">
        <v>4000</v>
      </c>
      <c r="I382" s="227">
        <v>-1000</v>
      </c>
      <c r="J382" s="57">
        <f t="shared" si="59"/>
        <v>3000</v>
      </c>
      <c r="K382" s="50">
        <v>1</v>
      </c>
      <c r="L382" s="57">
        <f t="shared" si="60"/>
        <v>3000</v>
      </c>
      <c r="M382" s="228">
        <f t="shared" ref="M382:M392" si="61">ROUNDDOWN(L382*1.1,0)</f>
        <v>3300</v>
      </c>
      <c r="N382" s="18" t="s">
        <v>25</v>
      </c>
      <c r="O382" s="50"/>
    </row>
    <row r="383" spans="1:16" ht="21.75" customHeight="1" x14ac:dyDescent="0.4">
      <c r="A383" s="62">
        <v>45523</v>
      </c>
      <c r="B383" s="32" t="s">
        <v>1455</v>
      </c>
      <c r="C383" s="32"/>
      <c r="D383" s="18" t="s">
        <v>3801</v>
      </c>
      <c r="E383" s="63" t="s">
        <v>292</v>
      </c>
      <c r="F383" s="63" t="s">
        <v>1051</v>
      </c>
      <c r="G383" s="50" t="s">
        <v>3802</v>
      </c>
      <c r="H383" s="57">
        <v>3200</v>
      </c>
      <c r="I383" s="227">
        <v>-800</v>
      </c>
      <c r="J383" s="57">
        <f t="shared" si="59"/>
        <v>2400</v>
      </c>
      <c r="K383" s="50">
        <v>1</v>
      </c>
      <c r="L383" s="57">
        <f t="shared" si="60"/>
        <v>2400</v>
      </c>
      <c r="M383" s="228">
        <f t="shared" si="61"/>
        <v>2640</v>
      </c>
      <c r="N383" s="18" t="s">
        <v>25</v>
      </c>
      <c r="O383" s="50"/>
    </row>
    <row r="384" spans="1:16" ht="21.75" customHeight="1" x14ac:dyDescent="0.4">
      <c r="A384" s="62">
        <v>45525</v>
      </c>
      <c r="B384" s="32" t="s">
        <v>3803</v>
      </c>
      <c r="C384" s="32"/>
      <c r="D384" s="18" t="s">
        <v>2892</v>
      </c>
      <c r="E384" s="63" t="s">
        <v>23</v>
      </c>
      <c r="F384" s="63"/>
      <c r="G384" s="50" t="s">
        <v>96</v>
      </c>
      <c r="H384" s="57">
        <v>15000</v>
      </c>
      <c r="I384" s="227"/>
      <c r="J384" s="57">
        <f t="shared" si="59"/>
        <v>15000</v>
      </c>
      <c r="K384" s="50">
        <v>1</v>
      </c>
      <c r="L384" s="57">
        <f t="shared" si="60"/>
        <v>15000</v>
      </c>
      <c r="M384" s="228">
        <f t="shared" si="61"/>
        <v>16500</v>
      </c>
      <c r="N384" s="18" t="s">
        <v>25</v>
      </c>
      <c r="O384" s="50"/>
    </row>
    <row r="385" spans="1:16" ht="21.75" customHeight="1" x14ac:dyDescent="0.4">
      <c r="A385" s="62">
        <v>45526</v>
      </c>
      <c r="B385" s="32" t="s">
        <v>3415</v>
      </c>
      <c r="C385" s="32"/>
      <c r="D385" s="18" t="s">
        <v>3801</v>
      </c>
      <c r="E385" s="63" t="s">
        <v>426</v>
      </c>
      <c r="F385" s="63" t="s">
        <v>3804</v>
      </c>
      <c r="G385" s="50" t="s">
        <v>3805</v>
      </c>
      <c r="H385" s="57">
        <v>1800</v>
      </c>
      <c r="I385" s="227">
        <v>-180</v>
      </c>
      <c r="J385" s="57">
        <f t="shared" si="59"/>
        <v>1620</v>
      </c>
      <c r="K385" s="50">
        <v>1</v>
      </c>
      <c r="L385" s="57">
        <f t="shared" si="60"/>
        <v>1620</v>
      </c>
      <c r="M385" s="228">
        <f t="shared" si="61"/>
        <v>1782</v>
      </c>
      <c r="N385" s="18" t="s">
        <v>25</v>
      </c>
      <c r="O385" s="50"/>
    </row>
    <row r="386" spans="1:16" ht="21.75" customHeight="1" x14ac:dyDescent="0.4">
      <c r="A386" s="62">
        <v>45527</v>
      </c>
      <c r="B386" s="32" t="s">
        <v>3807</v>
      </c>
      <c r="C386" s="32"/>
      <c r="D386" s="18" t="s">
        <v>2457</v>
      </c>
      <c r="E386" s="63" t="s">
        <v>2630</v>
      </c>
      <c r="F386" s="63"/>
      <c r="G386" s="63" t="s">
        <v>821</v>
      </c>
      <c r="H386" s="57">
        <v>2728</v>
      </c>
      <c r="I386" s="227"/>
      <c r="J386" s="57">
        <f t="shared" si="59"/>
        <v>2728</v>
      </c>
      <c r="K386" s="50">
        <v>1</v>
      </c>
      <c r="L386" s="57">
        <f t="shared" si="60"/>
        <v>2728</v>
      </c>
      <c r="M386" s="228">
        <f t="shared" si="61"/>
        <v>3000</v>
      </c>
      <c r="N386" s="18" t="s">
        <v>3808</v>
      </c>
      <c r="O386" s="50"/>
    </row>
    <row r="387" spans="1:16" ht="21.75" customHeight="1" x14ac:dyDescent="0.4">
      <c r="A387" s="62">
        <v>45527</v>
      </c>
      <c r="B387" s="32" t="s">
        <v>1608</v>
      </c>
      <c r="C387" s="32"/>
      <c r="D387" s="18" t="s">
        <v>3809</v>
      </c>
      <c r="E387" s="63" t="s">
        <v>292</v>
      </c>
      <c r="F387" s="63" t="s">
        <v>1051</v>
      </c>
      <c r="G387" s="50" t="s">
        <v>3810</v>
      </c>
      <c r="H387" s="57">
        <v>5500</v>
      </c>
      <c r="I387" s="227">
        <v>-628</v>
      </c>
      <c r="J387" s="57">
        <f t="shared" si="59"/>
        <v>4872</v>
      </c>
      <c r="K387" s="50">
        <v>2</v>
      </c>
      <c r="L387" s="57">
        <f t="shared" si="60"/>
        <v>9744</v>
      </c>
      <c r="M387" s="228">
        <f t="shared" si="61"/>
        <v>10718</v>
      </c>
      <c r="N387" s="18" t="s">
        <v>3808</v>
      </c>
      <c r="O387" s="50"/>
    </row>
    <row r="388" spans="1:16" ht="21.75" customHeight="1" x14ac:dyDescent="0.4">
      <c r="A388" s="62">
        <v>45528</v>
      </c>
      <c r="B388" s="32" t="s">
        <v>2363</v>
      </c>
      <c r="C388" s="32"/>
      <c r="D388" s="18" t="s">
        <v>27</v>
      </c>
      <c r="E388" s="63" t="s">
        <v>28</v>
      </c>
      <c r="F388" s="63"/>
      <c r="G388" s="50" t="s">
        <v>79</v>
      </c>
      <c r="H388" s="57">
        <v>17500</v>
      </c>
      <c r="I388" s="227"/>
      <c r="J388" s="57">
        <f t="shared" si="59"/>
        <v>17500</v>
      </c>
      <c r="K388" s="50">
        <v>1</v>
      </c>
      <c r="L388" s="57">
        <f t="shared" si="60"/>
        <v>17500</v>
      </c>
      <c r="M388" s="228">
        <f t="shared" si="61"/>
        <v>19250</v>
      </c>
      <c r="N388" s="18" t="s">
        <v>3811</v>
      </c>
      <c r="O388" s="50"/>
    </row>
    <row r="389" spans="1:16" ht="21.75" customHeight="1" x14ac:dyDescent="0.4">
      <c r="A389" s="62">
        <v>45528</v>
      </c>
      <c r="B389" s="32" t="s">
        <v>3812</v>
      </c>
      <c r="C389" s="32"/>
      <c r="D389" s="18" t="s">
        <v>27</v>
      </c>
      <c r="E389" s="63" t="s">
        <v>28</v>
      </c>
      <c r="F389" s="63"/>
      <c r="G389" s="50" t="s">
        <v>3813</v>
      </c>
      <c r="H389" s="57">
        <v>8500</v>
      </c>
      <c r="I389" s="227"/>
      <c r="J389" s="57">
        <f t="shared" si="59"/>
        <v>8500</v>
      </c>
      <c r="K389" s="50">
        <v>1</v>
      </c>
      <c r="L389" s="57">
        <f t="shared" si="60"/>
        <v>8500</v>
      </c>
      <c r="M389" s="228">
        <f t="shared" si="61"/>
        <v>9350</v>
      </c>
      <c r="N389" s="18" t="s">
        <v>25</v>
      </c>
      <c r="O389" s="50"/>
    </row>
    <row r="390" spans="1:16" ht="21.75" customHeight="1" x14ac:dyDescent="0.4">
      <c r="A390" s="62">
        <v>45528</v>
      </c>
      <c r="B390" s="32" t="s">
        <v>3812</v>
      </c>
      <c r="C390" s="32"/>
      <c r="D390" s="18" t="s">
        <v>27</v>
      </c>
      <c r="E390" s="63" t="s">
        <v>28</v>
      </c>
      <c r="F390" s="63"/>
      <c r="G390" s="50" t="s">
        <v>3814</v>
      </c>
      <c r="H390" s="57">
        <v>25000</v>
      </c>
      <c r="I390" s="227"/>
      <c r="J390" s="57">
        <f t="shared" si="59"/>
        <v>25000</v>
      </c>
      <c r="K390" s="50">
        <v>1</v>
      </c>
      <c r="L390" s="57">
        <f t="shared" si="60"/>
        <v>25000</v>
      </c>
      <c r="M390" s="228">
        <f t="shared" si="61"/>
        <v>27500</v>
      </c>
      <c r="N390" s="18" t="s">
        <v>25</v>
      </c>
      <c r="O390" s="50"/>
    </row>
    <row r="391" spans="1:16" ht="21.75" customHeight="1" x14ac:dyDescent="0.4">
      <c r="A391" s="62">
        <v>45528</v>
      </c>
      <c r="B391" s="32" t="s">
        <v>3815</v>
      </c>
      <c r="C391" s="32"/>
      <c r="D391" s="18" t="s">
        <v>22</v>
      </c>
      <c r="E391" s="63" t="s">
        <v>1496</v>
      </c>
      <c r="F391" s="63"/>
      <c r="G391" s="50" t="s">
        <v>3470</v>
      </c>
      <c r="H391" s="57">
        <v>2000</v>
      </c>
      <c r="I391" s="227"/>
      <c r="J391" s="57">
        <f t="shared" si="59"/>
        <v>2000</v>
      </c>
      <c r="K391" s="50">
        <v>1</v>
      </c>
      <c r="L391" s="57">
        <f t="shared" si="60"/>
        <v>2000</v>
      </c>
      <c r="M391" s="228">
        <f t="shared" si="61"/>
        <v>2200</v>
      </c>
      <c r="N391" s="18" t="s">
        <v>3811</v>
      </c>
      <c r="O391" s="50"/>
    </row>
    <row r="392" spans="1:16" ht="21.75" customHeight="1" x14ac:dyDescent="0.4">
      <c r="A392" s="62">
        <v>45528</v>
      </c>
      <c r="B392" s="32" t="s">
        <v>3816</v>
      </c>
      <c r="C392" s="32"/>
      <c r="D392" s="18" t="s">
        <v>3817</v>
      </c>
      <c r="E392" s="63" t="s">
        <v>328</v>
      </c>
      <c r="F392" s="63" t="s">
        <v>3818</v>
      </c>
      <c r="G392" s="50" t="s">
        <v>3776</v>
      </c>
      <c r="H392" s="57">
        <v>50000</v>
      </c>
      <c r="I392" s="227">
        <v>-10000</v>
      </c>
      <c r="J392" s="57">
        <f t="shared" si="59"/>
        <v>40000</v>
      </c>
      <c r="K392" s="50">
        <v>1</v>
      </c>
      <c r="L392" s="57">
        <f t="shared" si="60"/>
        <v>40000</v>
      </c>
      <c r="M392" s="228">
        <f t="shared" si="61"/>
        <v>44000</v>
      </c>
      <c r="N392" s="18" t="s">
        <v>25</v>
      </c>
      <c r="O392" s="50"/>
      <c r="P392" s="52" t="s">
        <v>3875</v>
      </c>
    </row>
    <row r="393" spans="1:16" ht="21.75" customHeight="1" x14ac:dyDescent="0.4">
      <c r="A393" s="62">
        <v>45528</v>
      </c>
      <c r="B393" s="32" t="s">
        <v>3816</v>
      </c>
      <c r="C393" s="32"/>
      <c r="D393" s="18" t="s">
        <v>3817</v>
      </c>
      <c r="E393" s="63" t="s">
        <v>330</v>
      </c>
      <c r="F393" s="63" t="s">
        <v>790</v>
      </c>
      <c r="G393" s="50" t="s">
        <v>3819</v>
      </c>
      <c r="H393" s="57">
        <v>5000</v>
      </c>
      <c r="I393" s="227"/>
      <c r="J393" s="57">
        <f t="shared" si="59"/>
        <v>5000</v>
      </c>
      <c r="K393" s="50">
        <v>1</v>
      </c>
      <c r="L393" s="57">
        <f t="shared" ref="L393:L456" si="62">SUM(J393*K393)</f>
        <v>5000</v>
      </c>
      <c r="M393" s="228">
        <f t="shared" ref="M393:M456" si="63">ROUNDDOWN(L393*1.1,0)</f>
        <v>5500</v>
      </c>
      <c r="N393" s="18" t="s">
        <v>25</v>
      </c>
      <c r="O393" s="50"/>
      <c r="P393" s="52" t="s">
        <v>3875</v>
      </c>
    </row>
    <row r="394" spans="1:16" ht="21.75" customHeight="1" x14ac:dyDescent="0.4">
      <c r="A394" s="62">
        <v>45528</v>
      </c>
      <c r="B394" s="32" t="s">
        <v>3816</v>
      </c>
      <c r="C394" s="32"/>
      <c r="D394" s="18" t="s">
        <v>3817</v>
      </c>
      <c r="E394" s="63" t="s">
        <v>332</v>
      </c>
      <c r="F394" s="63" t="s">
        <v>3820</v>
      </c>
      <c r="G394" s="50" t="s">
        <v>3821</v>
      </c>
      <c r="H394" s="57">
        <v>1200</v>
      </c>
      <c r="I394" s="227"/>
      <c r="J394" s="57">
        <f t="shared" si="59"/>
        <v>1200</v>
      </c>
      <c r="K394" s="50">
        <v>1</v>
      </c>
      <c r="L394" s="57">
        <f t="shared" si="62"/>
        <v>1200</v>
      </c>
      <c r="M394" s="228">
        <f t="shared" si="63"/>
        <v>1320</v>
      </c>
      <c r="N394" s="18" t="s">
        <v>25</v>
      </c>
      <c r="O394" s="50"/>
      <c r="P394" s="52" t="s">
        <v>3875</v>
      </c>
    </row>
    <row r="395" spans="1:16" ht="21.75" customHeight="1" x14ac:dyDescent="0.4">
      <c r="A395" s="62">
        <v>45528</v>
      </c>
      <c r="B395" s="32" t="s">
        <v>3822</v>
      </c>
      <c r="C395" s="32"/>
      <c r="D395" s="18" t="s">
        <v>22</v>
      </c>
      <c r="E395" s="63" t="s">
        <v>1496</v>
      </c>
      <c r="F395" s="63"/>
      <c r="G395" s="50" t="s">
        <v>49</v>
      </c>
      <c r="H395" s="57">
        <v>3000</v>
      </c>
      <c r="I395" s="227"/>
      <c r="J395" s="57">
        <f t="shared" si="59"/>
        <v>3000</v>
      </c>
      <c r="K395" s="50">
        <v>1</v>
      </c>
      <c r="L395" s="57">
        <f t="shared" si="62"/>
        <v>3000</v>
      </c>
      <c r="M395" s="228">
        <f t="shared" si="63"/>
        <v>3300</v>
      </c>
      <c r="N395" s="18" t="s">
        <v>3811</v>
      </c>
      <c r="O395" s="50" t="s">
        <v>1954</v>
      </c>
    </row>
    <row r="396" spans="1:16" ht="21.75" customHeight="1" x14ac:dyDescent="0.4">
      <c r="A396" s="62">
        <v>45528</v>
      </c>
      <c r="B396" s="32" t="s">
        <v>3822</v>
      </c>
      <c r="C396" s="32"/>
      <c r="D396" s="18" t="s">
        <v>27</v>
      </c>
      <c r="E396" s="63" t="s">
        <v>28</v>
      </c>
      <c r="F396" s="63"/>
      <c r="G396" s="50" t="s">
        <v>3823</v>
      </c>
      <c r="H396" s="57">
        <v>15000</v>
      </c>
      <c r="I396" s="227"/>
      <c r="J396" s="57">
        <f t="shared" si="59"/>
        <v>15000</v>
      </c>
      <c r="K396" s="50">
        <v>1</v>
      </c>
      <c r="L396" s="57">
        <f t="shared" si="62"/>
        <v>15000</v>
      </c>
      <c r="M396" s="228">
        <f t="shared" si="63"/>
        <v>16500</v>
      </c>
      <c r="N396" s="18" t="s">
        <v>3811</v>
      </c>
      <c r="O396" s="50"/>
    </row>
    <row r="397" spans="1:16" ht="21.75" customHeight="1" x14ac:dyDescent="0.4">
      <c r="A397" s="62">
        <v>45528</v>
      </c>
      <c r="B397" s="32" t="s">
        <v>3822</v>
      </c>
      <c r="C397" s="32"/>
      <c r="D397" s="18" t="s">
        <v>27</v>
      </c>
      <c r="E397" s="63" t="s">
        <v>28</v>
      </c>
      <c r="F397" s="63"/>
      <c r="G397" s="50" t="s">
        <v>79</v>
      </c>
      <c r="H397" s="57">
        <v>17500</v>
      </c>
      <c r="I397" s="227"/>
      <c r="J397" s="57">
        <f t="shared" si="59"/>
        <v>17500</v>
      </c>
      <c r="K397" s="50">
        <v>1</v>
      </c>
      <c r="L397" s="57">
        <f t="shared" si="62"/>
        <v>17500</v>
      </c>
      <c r="M397" s="228">
        <f t="shared" si="63"/>
        <v>19250</v>
      </c>
      <c r="N397" s="18" t="s">
        <v>3811</v>
      </c>
      <c r="O397" s="50"/>
    </row>
    <row r="398" spans="1:16" ht="21.75" customHeight="1" x14ac:dyDescent="0.4">
      <c r="A398" s="62">
        <v>45528</v>
      </c>
      <c r="B398" s="32" t="s">
        <v>3824</v>
      </c>
      <c r="C398" s="32"/>
      <c r="D398" s="18" t="s">
        <v>3817</v>
      </c>
      <c r="E398" s="63" t="s">
        <v>426</v>
      </c>
      <c r="F398" s="63" t="s">
        <v>3825</v>
      </c>
      <c r="G398" s="50" t="s">
        <v>3826</v>
      </c>
      <c r="H398" s="57">
        <v>1800</v>
      </c>
      <c r="I398" s="227">
        <v>-180</v>
      </c>
      <c r="J398" s="57">
        <f t="shared" si="59"/>
        <v>1620</v>
      </c>
      <c r="K398" s="50">
        <v>1</v>
      </c>
      <c r="L398" s="57">
        <f t="shared" si="62"/>
        <v>1620</v>
      </c>
      <c r="M398" s="228">
        <f t="shared" si="63"/>
        <v>1782</v>
      </c>
      <c r="N398" s="18" t="s">
        <v>3811</v>
      </c>
      <c r="O398" s="50"/>
    </row>
    <row r="399" spans="1:16" ht="21.75" customHeight="1" x14ac:dyDescent="0.4">
      <c r="A399" s="62">
        <v>45528</v>
      </c>
      <c r="B399" s="32" t="s">
        <v>3418</v>
      </c>
      <c r="C399" s="32"/>
      <c r="D399" s="18" t="s">
        <v>3817</v>
      </c>
      <c r="E399" s="63" t="s">
        <v>292</v>
      </c>
      <c r="F399" s="63" t="s">
        <v>3642</v>
      </c>
      <c r="G399" s="50" t="s">
        <v>3827</v>
      </c>
      <c r="H399" s="57">
        <v>6300</v>
      </c>
      <c r="I399" s="227">
        <v>-1575</v>
      </c>
      <c r="J399" s="57">
        <f t="shared" si="59"/>
        <v>4725</v>
      </c>
      <c r="K399" s="50">
        <v>2</v>
      </c>
      <c r="L399" s="57">
        <f t="shared" si="62"/>
        <v>9450</v>
      </c>
      <c r="M399" s="228">
        <f t="shared" si="63"/>
        <v>10395</v>
      </c>
      <c r="N399" s="18" t="s">
        <v>34</v>
      </c>
      <c r="O399" s="50"/>
    </row>
    <row r="400" spans="1:16" ht="21.75" customHeight="1" x14ac:dyDescent="0.4">
      <c r="A400" s="62">
        <v>45529</v>
      </c>
      <c r="B400" s="32" t="s">
        <v>3828</v>
      </c>
      <c r="C400" s="32"/>
      <c r="D400" s="18" t="s">
        <v>22</v>
      </c>
      <c r="E400" s="63" t="s">
        <v>1496</v>
      </c>
      <c r="F400" s="63"/>
      <c r="G400" s="50" t="s">
        <v>3470</v>
      </c>
      <c r="H400" s="57">
        <v>2000</v>
      </c>
      <c r="I400" s="227"/>
      <c r="J400" s="57">
        <f t="shared" si="59"/>
        <v>2000</v>
      </c>
      <c r="K400" s="50">
        <v>1</v>
      </c>
      <c r="L400" s="57">
        <f t="shared" si="62"/>
        <v>2000</v>
      </c>
      <c r="M400" s="228">
        <f t="shared" si="63"/>
        <v>2200</v>
      </c>
      <c r="N400" s="18" t="s">
        <v>25</v>
      </c>
      <c r="O400" s="50"/>
    </row>
    <row r="401" spans="1:16" ht="21.75" customHeight="1" x14ac:dyDescent="0.4">
      <c r="A401" s="62">
        <v>45529</v>
      </c>
      <c r="B401" s="32" t="s">
        <v>3829</v>
      </c>
      <c r="C401" s="32"/>
      <c r="D401" s="18" t="s">
        <v>22</v>
      </c>
      <c r="E401" s="63" t="s">
        <v>1496</v>
      </c>
      <c r="F401" s="63"/>
      <c r="G401" s="50" t="s">
        <v>49</v>
      </c>
      <c r="H401" s="57">
        <v>3000</v>
      </c>
      <c r="I401" s="227"/>
      <c r="J401" s="57">
        <f t="shared" si="59"/>
        <v>3000</v>
      </c>
      <c r="K401" s="50">
        <v>1</v>
      </c>
      <c r="L401" s="57">
        <f t="shared" si="62"/>
        <v>3000</v>
      </c>
      <c r="M401" s="228">
        <f t="shared" si="63"/>
        <v>3300</v>
      </c>
      <c r="N401" s="18" t="s">
        <v>3811</v>
      </c>
      <c r="O401" s="50" t="s">
        <v>1954</v>
      </c>
    </row>
    <row r="402" spans="1:16" ht="21.75" customHeight="1" x14ac:dyDescent="0.4">
      <c r="A402" s="62">
        <v>45529</v>
      </c>
      <c r="B402" s="32" t="s">
        <v>3830</v>
      </c>
      <c r="C402" s="32"/>
      <c r="D402" s="18" t="s">
        <v>22</v>
      </c>
      <c r="E402" s="63" t="s">
        <v>1496</v>
      </c>
      <c r="F402" s="63"/>
      <c r="G402" s="50" t="s">
        <v>49</v>
      </c>
      <c r="H402" s="57">
        <v>3000</v>
      </c>
      <c r="I402" s="227"/>
      <c r="J402" s="57">
        <f t="shared" si="59"/>
        <v>3000</v>
      </c>
      <c r="K402" s="50">
        <v>1</v>
      </c>
      <c r="L402" s="57">
        <f t="shared" si="62"/>
        <v>3000</v>
      </c>
      <c r="M402" s="228">
        <f t="shared" si="63"/>
        <v>3300</v>
      </c>
      <c r="N402" s="18" t="s">
        <v>3811</v>
      </c>
      <c r="O402" s="50" t="s">
        <v>1954</v>
      </c>
    </row>
    <row r="403" spans="1:16" ht="21.75" customHeight="1" x14ac:dyDescent="0.4">
      <c r="A403" s="62">
        <v>45529</v>
      </c>
      <c r="B403" s="32" t="s">
        <v>3666</v>
      </c>
      <c r="C403" s="32"/>
      <c r="D403" s="18" t="s">
        <v>3817</v>
      </c>
      <c r="E403" s="63" t="s">
        <v>332</v>
      </c>
      <c r="F403" s="63" t="s">
        <v>3553</v>
      </c>
      <c r="G403" s="50" t="s">
        <v>3831</v>
      </c>
      <c r="H403" s="57">
        <v>1600</v>
      </c>
      <c r="I403" s="227">
        <v>-160</v>
      </c>
      <c r="J403" s="57">
        <f t="shared" si="59"/>
        <v>1440</v>
      </c>
      <c r="K403" s="50">
        <v>2</v>
      </c>
      <c r="L403" s="57">
        <f t="shared" si="62"/>
        <v>2880</v>
      </c>
      <c r="M403" s="228">
        <f t="shared" si="63"/>
        <v>3168</v>
      </c>
      <c r="N403" s="18" t="s">
        <v>25</v>
      </c>
      <c r="O403" s="50"/>
    </row>
    <row r="404" spans="1:16" ht="21.75" customHeight="1" x14ac:dyDescent="0.4">
      <c r="A404" s="62">
        <v>45529</v>
      </c>
      <c r="B404" s="32" t="s">
        <v>3832</v>
      </c>
      <c r="C404" s="32"/>
      <c r="D404" s="18" t="s">
        <v>2892</v>
      </c>
      <c r="E404" s="63" t="s">
        <v>23</v>
      </c>
      <c r="F404" s="63"/>
      <c r="G404" s="50" t="s">
        <v>3871</v>
      </c>
      <c r="H404" s="57">
        <v>20000</v>
      </c>
      <c r="I404" s="227"/>
      <c r="J404" s="57">
        <f t="shared" si="59"/>
        <v>20000</v>
      </c>
      <c r="K404" s="50">
        <v>1</v>
      </c>
      <c r="L404" s="57">
        <f t="shared" si="62"/>
        <v>20000</v>
      </c>
      <c r="M404" s="228">
        <f t="shared" si="63"/>
        <v>22000</v>
      </c>
      <c r="N404" s="18" t="s">
        <v>25</v>
      </c>
      <c r="O404" s="50" t="s">
        <v>1954</v>
      </c>
    </row>
    <row r="405" spans="1:16" ht="21.75" customHeight="1" x14ac:dyDescent="0.4">
      <c r="A405" s="62">
        <v>45529</v>
      </c>
      <c r="B405" s="32" t="s">
        <v>1541</v>
      </c>
      <c r="C405" s="32"/>
      <c r="D405" s="18" t="s">
        <v>3817</v>
      </c>
      <c r="E405" s="63" t="s">
        <v>292</v>
      </c>
      <c r="F405" s="63" t="s">
        <v>1051</v>
      </c>
      <c r="G405" s="50" t="s">
        <v>3833</v>
      </c>
      <c r="H405" s="57">
        <v>4000</v>
      </c>
      <c r="I405" s="227">
        <v>-400</v>
      </c>
      <c r="J405" s="57">
        <f t="shared" si="59"/>
        <v>3600</v>
      </c>
      <c r="K405" s="50">
        <v>1</v>
      </c>
      <c r="L405" s="57">
        <f t="shared" si="62"/>
        <v>3600</v>
      </c>
      <c r="M405" s="228">
        <f t="shared" si="63"/>
        <v>3960</v>
      </c>
      <c r="N405" s="18" t="s">
        <v>25</v>
      </c>
      <c r="O405" s="50"/>
    </row>
    <row r="406" spans="1:16" ht="21.75" customHeight="1" x14ac:dyDescent="0.4">
      <c r="A406" s="62">
        <v>45529</v>
      </c>
      <c r="B406" s="32" t="s">
        <v>3832</v>
      </c>
      <c r="C406" s="32"/>
      <c r="D406" s="18" t="s">
        <v>3817</v>
      </c>
      <c r="E406" s="63" t="s">
        <v>328</v>
      </c>
      <c r="F406" s="63" t="s">
        <v>3834</v>
      </c>
      <c r="G406" s="50" t="s">
        <v>3675</v>
      </c>
      <c r="H406" s="57">
        <v>60000</v>
      </c>
      <c r="I406" s="227">
        <v>-12000</v>
      </c>
      <c r="J406" s="57">
        <f t="shared" si="59"/>
        <v>48000</v>
      </c>
      <c r="K406" s="50">
        <v>1</v>
      </c>
      <c r="L406" s="57">
        <f t="shared" si="62"/>
        <v>48000</v>
      </c>
      <c r="M406" s="228">
        <f t="shared" si="63"/>
        <v>52800</v>
      </c>
      <c r="N406" s="18" t="s">
        <v>34</v>
      </c>
      <c r="O406" s="50"/>
      <c r="P406" s="52" t="s">
        <v>3876</v>
      </c>
    </row>
    <row r="407" spans="1:16" ht="21.75" customHeight="1" x14ac:dyDescent="0.4">
      <c r="A407" s="62">
        <v>45529</v>
      </c>
      <c r="B407" s="32" t="s">
        <v>3832</v>
      </c>
      <c r="C407" s="32"/>
      <c r="D407" s="18" t="s">
        <v>3817</v>
      </c>
      <c r="E407" s="63" t="s">
        <v>328</v>
      </c>
      <c r="F407" s="63" t="s">
        <v>3834</v>
      </c>
      <c r="G407" s="50" t="s">
        <v>3835</v>
      </c>
      <c r="H407" s="57">
        <v>48000</v>
      </c>
      <c r="I407" s="227">
        <v>-9600</v>
      </c>
      <c r="J407" s="57">
        <f t="shared" si="59"/>
        <v>38400</v>
      </c>
      <c r="K407" s="50">
        <v>1</v>
      </c>
      <c r="L407" s="57">
        <f t="shared" si="62"/>
        <v>38400</v>
      </c>
      <c r="M407" s="228">
        <f t="shared" si="63"/>
        <v>42240</v>
      </c>
      <c r="N407" s="18" t="s">
        <v>34</v>
      </c>
      <c r="O407" s="50"/>
      <c r="P407" s="52" t="s">
        <v>3876</v>
      </c>
    </row>
    <row r="408" spans="1:16" ht="21.75" customHeight="1" x14ac:dyDescent="0.4">
      <c r="A408" s="62">
        <v>45529</v>
      </c>
      <c r="B408" s="32" t="s">
        <v>3832</v>
      </c>
      <c r="C408" s="32"/>
      <c r="D408" s="18" t="s">
        <v>3817</v>
      </c>
      <c r="E408" s="63" t="s">
        <v>328</v>
      </c>
      <c r="F408" s="63" t="s">
        <v>3834</v>
      </c>
      <c r="G408" s="50" t="s">
        <v>3676</v>
      </c>
      <c r="H408" s="57">
        <v>33000</v>
      </c>
      <c r="I408" s="227">
        <v>-6600</v>
      </c>
      <c r="J408" s="57">
        <f t="shared" si="59"/>
        <v>26400</v>
      </c>
      <c r="K408" s="50">
        <v>2</v>
      </c>
      <c r="L408" s="57">
        <f t="shared" si="62"/>
        <v>52800</v>
      </c>
      <c r="M408" s="228">
        <f t="shared" si="63"/>
        <v>58080</v>
      </c>
      <c r="N408" s="18" t="s">
        <v>34</v>
      </c>
      <c r="O408" s="50"/>
      <c r="P408" s="52" t="s">
        <v>3876</v>
      </c>
    </row>
    <row r="409" spans="1:16" ht="21.75" customHeight="1" x14ac:dyDescent="0.4">
      <c r="A409" s="62">
        <v>45529</v>
      </c>
      <c r="B409" s="32" t="s">
        <v>3832</v>
      </c>
      <c r="C409" s="32"/>
      <c r="D409" s="18" t="s">
        <v>3817</v>
      </c>
      <c r="E409" s="63" t="s">
        <v>332</v>
      </c>
      <c r="F409" s="63" t="s">
        <v>3836</v>
      </c>
      <c r="G409" s="50" t="s">
        <v>3837</v>
      </c>
      <c r="H409" s="57">
        <v>2500</v>
      </c>
      <c r="I409" s="227"/>
      <c r="J409" s="57">
        <f t="shared" si="59"/>
        <v>2500</v>
      </c>
      <c r="K409" s="50">
        <v>1</v>
      </c>
      <c r="L409" s="57">
        <f t="shared" si="62"/>
        <v>2500</v>
      </c>
      <c r="M409" s="228">
        <f t="shared" si="63"/>
        <v>2750</v>
      </c>
      <c r="N409" s="18" t="s">
        <v>34</v>
      </c>
      <c r="O409" s="50"/>
      <c r="P409" s="52" t="s">
        <v>3876</v>
      </c>
    </row>
    <row r="410" spans="1:16" ht="21.75" customHeight="1" x14ac:dyDescent="0.4">
      <c r="A410" s="62">
        <v>45529</v>
      </c>
      <c r="B410" s="32" t="s">
        <v>3832</v>
      </c>
      <c r="C410" s="32"/>
      <c r="D410" s="18" t="s">
        <v>3817</v>
      </c>
      <c r="E410" s="63" t="s">
        <v>330</v>
      </c>
      <c r="F410" s="63" t="s">
        <v>557</v>
      </c>
      <c r="G410" s="50" t="s">
        <v>3819</v>
      </c>
      <c r="H410" s="57">
        <v>5000</v>
      </c>
      <c r="I410" s="227"/>
      <c r="J410" s="57">
        <f t="shared" si="59"/>
        <v>5000</v>
      </c>
      <c r="K410" s="50">
        <v>1</v>
      </c>
      <c r="L410" s="57">
        <f t="shared" si="62"/>
        <v>5000</v>
      </c>
      <c r="M410" s="228">
        <f t="shared" si="63"/>
        <v>5500</v>
      </c>
      <c r="N410" s="18" t="s">
        <v>34</v>
      </c>
      <c r="O410" s="50"/>
      <c r="P410" s="52" t="s">
        <v>3876</v>
      </c>
    </row>
    <row r="411" spans="1:16" ht="21.75" customHeight="1" x14ac:dyDescent="0.4">
      <c r="A411" s="62">
        <v>45529</v>
      </c>
      <c r="B411" s="32" t="s">
        <v>3832</v>
      </c>
      <c r="C411" s="32"/>
      <c r="D411" s="96" t="s">
        <v>3838</v>
      </c>
      <c r="E411" s="63"/>
      <c r="F411" s="63"/>
      <c r="G411" s="50" t="s">
        <v>2491</v>
      </c>
      <c r="H411" s="57">
        <v>-20000</v>
      </c>
      <c r="I411" s="227"/>
      <c r="J411" s="57">
        <f t="shared" si="59"/>
        <v>-20000</v>
      </c>
      <c r="K411" s="50">
        <v>1</v>
      </c>
      <c r="L411" s="57">
        <f t="shared" si="62"/>
        <v>-20000</v>
      </c>
      <c r="M411" s="228">
        <f t="shared" si="63"/>
        <v>-22000</v>
      </c>
      <c r="N411" s="18" t="s">
        <v>34</v>
      </c>
      <c r="O411" s="50"/>
    </row>
    <row r="412" spans="1:16" ht="21.75" customHeight="1" x14ac:dyDescent="0.4">
      <c r="A412" s="62">
        <v>45529</v>
      </c>
      <c r="B412" s="32" t="s">
        <v>1608</v>
      </c>
      <c r="C412" s="32"/>
      <c r="D412" s="18" t="s">
        <v>3817</v>
      </c>
      <c r="E412" s="63" t="s">
        <v>330</v>
      </c>
      <c r="F412" s="63" t="s">
        <v>557</v>
      </c>
      <c r="G412" s="50" t="s">
        <v>3819</v>
      </c>
      <c r="H412" s="57">
        <v>5000</v>
      </c>
      <c r="I412" s="227">
        <v>-2500</v>
      </c>
      <c r="J412" s="57">
        <f t="shared" si="59"/>
        <v>2500</v>
      </c>
      <c r="K412" s="50">
        <v>1</v>
      </c>
      <c r="L412" s="57">
        <f t="shared" si="62"/>
        <v>2500</v>
      </c>
      <c r="M412" s="228">
        <f t="shared" si="63"/>
        <v>2750</v>
      </c>
      <c r="N412" s="18" t="s">
        <v>3811</v>
      </c>
      <c r="O412" s="50"/>
    </row>
    <row r="413" spans="1:16" ht="21.75" customHeight="1" x14ac:dyDescent="0.4">
      <c r="A413" s="62">
        <v>45530</v>
      </c>
      <c r="B413" s="32" t="s">
        <v>3435</v>
      </c>
      <c r="C413" s="32"/>
      <c r="D413" s="18" t="s">
        <v>3817</v>
      </c>
      <c r="E413" s="63" t="s">
        <v>2205</v>
      </c>
      <c r="F413" s="63"/>
      <c r="G413" s="50" t="s">
        <v>3839</v>
      </c>
      <c r="H413" s="57">
        <v>3500</v>
      </c>
      <c r="I413" s="227"/>
      <c r="J413" s="57">
        <f t="shared" si="59"/>
        <v>3500</v>
      </c>
      <c r="K413" s="50">
        <v>1</v>
      </c>
      <c r="L413" s="57">
        <f t="shared" si="62"/>
        <v>3500</v>
      </c>
      <c r="M413" s="228">
        <f t="shared" si="63"/>
        <v>3850</v>
      </c>
      <c r="N413" s="18" t="s">
        <v>25</v>
      </c>
      <c r="O413" s="50"/>
    </row>
    <row r="414" spans="1:16" ht="21.75" customHeight="1" x14ac:dyDescent="0.4">
      <c r="A414" s="62">
        <v>45530</v>
      </c>
      <c r="B414" s="32" t="s">
        <v>1608</v>
      </c>
      <c r="C414" s="32"/>
      <c r="D414" s="18" t="s">
        <v>3817</v>
      </c>
      <c r="E414" s="63" t="s">
        <v>3840</v>
      </c>
      <c r="F414" s="63"/>
      <c r="G414" s="50" t="s">
        <v>3841</v>
      </c>
      <c r="H414" s="57">
        <v>1000</v>
      </c>
      <c r="I414" s="227">
        <v>-400</v>
      </c>
      <c r="J414" s="57">
        <f t="shared" si="59"/>
        <v>600</v>
      </c>
      <c r="K414" s="50">
        <v>1</v>
      </c>
      <c r="L414" s="57">
        <f t="shared" si="62"/>
        <v>600</v>
      </c>
      <c r="M414" s="228">
        <f t="shared" si="63"/>
        <v>660</v>
      </c>
      <c r="N414" s="18" t="s">
        <v>20</v>
      </c>
      <c r="O414" s="50"/>
    </row>
    <row r="415" spans="1:16" ht="21.75" customHeight="1" x14ac:dyDescent="0.4">
      <c r="A415" s="62">
        <v>45530</v>
      </c>
      <c r="B415" s="32" t="s">
        <v>1608</v>
      </c>
      <c r="C415" s="32"/>
      <c r="D415" s="18" t="s">
        <v>3817</v>
      </c>
      <c r="E415" s="63" t="s">
        <v>3840</v>
      </c>
      <c r="F415" s="63"/>
      <c r="G415" s="50" t="s">
        <v>3842</v>
      </c>
      <c r="H415" s="57">
        <v>1000</v>
      </c>
      <c r="I415" s="227">
        <v>-400</v>
      </c>
      <c r="J415" s="57">
        <f t="shared" si="59"/>
        <v>600</v>
      </c>
      <c r="K415" s="50">
        <v>1</v>
      </c>
      <c r="L415" s="57">
        <f t="shared" si="62"/>
        <v>600</v>
      </c>
      <c r="M415" s="228">
        <f t="shared" si="63"/>
        <v>660</v>
      </c>
      <c r="N415" s="18" t="s">
        <v>3811</v>
      </c>
      <c r="O415" s="50"/>
    </row>
    <row r="416" spans="1:16" ht="21.75" customHeight="1" x14ac:dyDescent="0.4">
      <c r="A416" s="62">
        <v>45530</v>
      </c>
      <c r="B416" s="32" t="s">
        <v>148</v>
      </c>
      <c r="C416" s="32"/>
      <c r="D416" s="18" t="s">
        <v>27</v>
      </c>
      <c r="E416" s="63" t="s">
        <v>28</v>
      </c>
      <c r="F416" s="63"/>
      <c r="G416" s="50" t="s">
        <v>79</v>
      </c>
      <c r="H416" s="57">
        <v>17500</v>
      </c>
      <c r="I416" s="227"/>
      <c r="J416" s="57">
        <f t="shared" si="59"/>
        <v>17500</v>
      </c>
      <c r="K416" s="50">
        <v>1</v>
      </c>
      <c r="L416" s="57">
        <f t="shared" si="62"/>
        <v>17500</v>
      </c>
      <c r="M416" s="228">
        <f t="shared" si="63"/>
        <v>19250</v>
      </c>
      <c r="N416" s="18" t="s">
        <v>3811</v>
      </c>
      <c r="O416" s="50"/>
    </row>
    <row r="417" spans="1:16" ht="21.75" customHeight="1" x14ac:dyDescent="0.4">
      <c r="A417" s="62">
        <v>45530</v>
      </c>
      <c r="B417" s="32" t="s">
        <v>3666</v>
      </c>
      <c r="C417" s="32"/>
      <c r="D417" s="18" t="s">
        <v>17</v>
      </c>
      <c r="E417" s="63" t="s">
        <v>292</v>
      </c>
      <c r="F417" s="63" t="s">
        <v>1051</v>
      </c>
      <c r="G417" s="50" t="s">
        <v>3843</v>
      </c>
      <c r="H417" s="57">
        <v>5500</v>
      </c>
      <c r="I417" s="227"/>
      <c r="J417" s="57">
        <f t="shared" si="59"/>
        <v>5500</v>
      </c>
      <c r="K417" s="50">
        <v>1</v>
      </c>
      <c r="L417" s="57">
        <f t="shared" si="62"/>
        <v>5500</v>
      </c>
      <c r="M417" s="228">
        <f t="shared" si="63"/>
        <v>6050</v>
      </c>
      <c r="N417" s="18" t="s">
        <v>25</v>
      </c>
      <c r="O417" s="50"/>
    </row>
    <row r="418" spans="1:16" ht="21.75" customHeight="1" x14ac:dyDescent="0.4">
      <c r="A418" s="62">
        <v>45532</v>
      </c>
      <c r="B418" s="32" t="s">
        <v>503</v>
      </c>
      <c r="C418" s="32"/>
      <c r="D418" s="18" t="s">
        <v>3817</v>
      </c>
      <c r="E418" s="63" t="s">
        <v>426</v>
      </c>
      <c r="F418" s="63" t="s">
        <v>3825</v>
      </c>
      <c r="G418" s="50" t="s">
        <v>3844</v>
      </c>
      <c r="H418" s="57">
        <v>1800</v>
      </c>
      <c r="I418" s="227">
        <v>-180</v>
      </c>
      <c r="J418" s="57">
        <f t="shared" si="59"/>
        <v>1620</v>
      </c>
      <c r="K418" s="50">
        <v>2</v>
      </c>
      <c r="L418" s="57">
        <f t="shared" si="62"/>
        <v>3240</v>
      </c>
      <c r="M418" s="228">
        <f t="shared" si="63"/>
        <v>3564</v>
      </c>
      <c r="N418" s="18" t="s">
        <v>25</v>
      </c>
      <c r="O418" s="50"/>
    </row>
    <row r="419" spans="1:16" ht="21.75" customHeight="1" x14ac:dyDescent="0.4">
      <c r="A419" s="62">
        <v>45533</v>
      </c>
      <c r="B419" s="32" t="s">
        <v>3845</v>
      </c>
      <c r="C419" s="32"/>
      <c r="D419" s="18" t="s">
        <v>3817</v>
      </c>
      <c r="E419" s="63" t="s">
        <v>328</v>
      </c>
      <c r="F419" s="63" t="s">
        <v>788</v>
      </c>
      <c r="G419" s="50" t="s">
        <v>3846</v>
      </c>
      <c r="H419" s="57">
        <v>50000</v>
      </c>
      <c r="I419" s="227">
        <v>-5000</v>
      </c>
      <c r="J419" s="57">
        <f t="shared" si="59"/>
        <v>45000</v>
      </c>
      <c r="K419" s="50">
        <v>1</v>
      </c>
      <c r="L419" s="57">
        <f t="shared" si="62"/>
        <v>45000</v>
      </c>
      <c r="M419" s="228">
        <f t="shared" si="63"/>
        <v>49500</v>
      </c>
      <c r="N419" s="18" t="s">
        <v>34</v>
      </c>
      <c r="O419" s="50"/>
    </row>
    <row r="420" spans="1:16" ht="21.75" customHeight="1" x14ac:dyDescent="0.4">
      <c r="A420" s="62">
        <v>45533</v>
      </c>
      <c r="B420" s="32" t="s">
        <v>3462</v>
      </c>
      <c r="C420" s="32"/>
      <c r="D420" s="18" t="s">
        <v>3817</v>
      </c>
      <c r="E420" s="63" t="s">
        <v>426</v>
      </c>
      <c r="F420" s="63" t="s">
        <v>3825</v>
      </c>
      <c r="G420" s="50" t="s">
        <v>3798</v>
      </c>
      <c r="H420" s="57">
        <v>1800</v>
      </c>
      <c r="I420" s="227">
        <v>-180</v>
      </c>
      <c r="J420" s="57">
        <f t="shared" si="59"/>
        <v>1620</v>
      </c>
      <c r="K420" s="50">
        <v>4</v>
      </c>
      <c r="L420" s="57">
        <f t="shared" si="62"/>
        <v>6480</v>
      </c>
      <c r="M420" s="228">
        <f t="shared" si="63"/>
        <v>7128</v>
      </c>
      <c r="N420" s="18" t="s">
        <v>3847</v>
      </c>
      <c r="O420" s="50" t="s">
        <v>3848</v>
      </c>
    </row>
    <row r="421" spans="1:16" ht="21.75" customHeight="1" x14ac:dyDescent="0.4">
      <c r="A421" s="62">
        <v>45533</v>
      </c>
      <c r="B421" s="32" t="s">
        <v>3849</v>
      </c>
      <c r="C421" s="32"/>
      <c r="D421" s="18" t="s">
        <v>3850</v>
      </c>
      <c r="E421" s="63"/>
      <c r="F421" s="63"/>
      <c r="G421" s="50" t="s">
        <v>3851</v>
      </c>
      <c r="H421" s="57">
        <v>2273</v>
      </c>
      <c r="I421" s="227"/>
      <c r="J421" s="57">
        <f t="shared" si="59"/>
        <v>2273</v>
      </c>
      <c r="K421" s="50">
        <v>27</v>
      </c>
      <c r="L421" s="57">
        <f t="shared" si="62"/>
        <v>61371</v>
      </c>
      <c r="M421" s="228">
        <v>67500</v>
      </c>
      <c r="N421" s="18" t="s">
        <v>3811</v>
      </c>
      <c r="O421" s="50"/>
    </row>
    <row r="422" spans="1:16" ht="21.75" customHeight="1" x14ac:dyDescent="0.4">
      <c r="A422" s="62">
        <v>45533</v>
      </c>
      <c r="B422" s="32" t="s">
        <v>3852</v>
      </c>
      <c r="C422" s="32"/>
      <c r="D422" s="18" t="s">
        <v>3817</v>
      </c>
      <c r="E422" s="63" t="s">
        <v>292</v>
      </c>
      <c r="F422" s="63" t="s">
        <v>1051</v>
      </c>
      <c r="G422" s="50" t="s">
        <v>3853</v>
      </c>
      <c r="H422" s="57">
        <v>5500</v>
      </c>
      <c r="I422" s="227"/>
      <c r="J422" s="57">
        <f t="shared" si="59"/>
        <v>5500</v>
      </c>
      <c r="K422" s="50">
        <v>1</v>
      </c>
      <c r="L422" s="57">
        <f t="shared" si="62"/>
        <v>5500</v>
      </c>
      <c r="M422" s="228">
        <f t="shared" si="63"/>
        <v>6050</v>
      </c>
      <c r="N422" s="18" t="s">
        <v>25</v>
      </c>
      <c r="O422" s="50"/>
    </row>
    <row r="423" spans="1:16" ht="21.75" customHeight="1" x14ac:dyDescent="0.4">
      <c r="A423" s="62">
        <v>45534</v>
      </c>
      <c r="B423" s="32" t="s">
        <v>3854</v>
      </c>
      <c r="C423" s="32"/>
      <c r="D423" s="18" t="s">
        <v>3855</v>
      </c>
      <c r="E423" s="63" t="s">
        <v>332</v>
      </c>
      <c r="F423" s="63" t="s">
        <v>3856</v>
      </c>
      <c r="G423" s="50" t="s">
        <v>3837</v>
      </c>
      <c r="H423" s="57">
        <v>2500</v>
      </c>
      <c r="I423" s="227">
        <v>-250</v>
      </c>
      <c r="J423" s="57">
        <f t="shared" si="59"/>
        <v>2250</v>
      </c>
      <c r="K423" s="50">
        <v>1</v>
      </c>
      <c r="L423" s="57">
        <f t="shared" si="62"/>
        <v>2250</v>
      </c>
      <c r="M423" s="228">
        <f t="shared" si="63"/>
        <v>2475</v>
      </c>
      <c r="N423" s="18" t="s">
        <v>25</v>
      </c>
      <c r="O423" s="50"/>
    </row>
    <row r="424" spans="1:16" ht="21.75" customHeight="1" x14ac:dyDescent="0.4">
      <c r="A424" s="62">
        <v>45534</v>
      </c>
      <c r="B424" s="32" t="s">
        <v>3462</v>
      </c>
      <c r="C424" s="32"/>
      <c r="D424" s="18" t="s">
        <v>3855</v>
      </c>
      <c r="E424" s="63" t="s">
        <v>2205</v>
      </c>
      <c r="F424" s="63"/>
      <c r="G424" s="50" t="s">
        <v>3423</v>
      </c>
      <c r="H424" s="57">
        <v>5000</v>
      </c>
      <c r="I424" s="227"/>
      <c r="J424" s="57">
        <f t="shared" si="59"/>
        <v>5000</v>
      </c>
      <c r="K424" s="50">
        <v>1</v>
      </c>
      <c r="L424" s="57">
        <f t="shared" si="62"/>
        <v>5000</v>
      </c>
      <c r="M424" s="228">
        <f t="shared" si="63"/>
        <v>5500</v>
      </c>
      <c r="N424" s="18" t="s">
        <v>1057</v>
      </c>
      <c r="O424" s="50" t="s">
        <v>3857</v>
      </c>
    </row>
    <row r="425" spans="1:16" ht="21.75" customHeight="1" x14ac:dyDescent="0.4">
      <c r="A425" s="62">
        <v>45534</v>
      </c>
      <c r="B425" s="32" t="s">
        <v>3858</v>
      </c>
      <c r="C425" s="32"/>
      <c r="D425" s="18" t="s">
        <v>3855</v>
      </c>
      <c r="E425" s="63" t="s">
        <v>328</v>
      </c>
      <c r="F425" s="63" t="s">
        <v>3859</v>
      </c>
      <c r="G425" s="50" t="s">
        <v>3607</v>
      </c>
      <c r="H425" s="57">
        <v>55000</v>
      </c>
      <c r="I425" s="227">
        <v>-55000</v>
      </c>
      <c r="J425" s="57">
        <f t="shared" si="59"/>
        <v>0</v>
      </c>
      <c r="K425" s="50">
        <v>1</v>
      </c>
      <c r="L425" s="57">
        <f t="shared" si="62"/>
        <v>0</v>
      </c>
      <c r="M425" s="228">
        <f t="shared" si="63"/>
        <v>0</v>
      </c>
      <c r="N425" s="18" t="s">
        <v>3864</v>
      </c>
      <c r="O425" s="50" t="s">
        <v>3865</v>
      </c>
    </row>
    <row r="426" spans="1:16" ht="21.75" customHeight="1" x14ac:dyDescent="0.4">
      <c r="A426" s="62">
        <v>45534</v>
      </c>
      <c r="B426" s="32" t="s">
        <v>3858</v>
      </c>
      <c r="C426" s="32"/>
      <c r="D426" s="18" t="s">
        <v>3855</v>
      </c>
      <c r="E426" s="63" t="s">
        <v>3860</v>
      </c>
      <c r="F426" s="63" t="s">
        <v>1443</v>
      </c>
      <c r="G426" s="50" t="s">
        <v>3861</v>
      </c>
      <c r="H426" s="57">
        <v>65000</v>
      </c>
      <c r="I426" s="227">
        <v>-6500</v>
      </c>
      <c r="J426" s="57">
        <f t="shared" si="59"/>
        <v>58500</v>
      </c>
      <c r="K426" s="50">
        <v>1</v>
      </c>
      <c r="L426" s="57">
        <f t="shared" si="62"/>
        <v>58500</v>
      </c>
      <c r="M426" s="228">
        <f t="shared" si="63"/>
        <v>64350</v>
      </c>
      <c r="N426" s="18" t="s">
        <v>3864</v>
      </c>
      <c r="O426" s="50"/>
      <c r="P426" s="52" t="s">
        <v>2141</v>
      </c>
    </row>
    <row r="427" spans="1:16" ht="21.75" customHeight="1" x14ac:dyDescent="0.4">
      <c r="A427" s="62">
        <v>45534</v>
      </c>
      <c r="B427" s="32" t="s">
        <v>3858</v>
      </c>
      <c r="C427" s="32"/>
      <c r="D427" s="18" t="s">
        <v>3855</v>
      </c>
      <c r="E427" s="63" t="s">
        <v>332</v>
      </c>
      <c r="F427" s="63" t="s">
        <v>3862</v>
      </c>
      <c r="G427" s="50" t="s">
        <v>3863</v>
      </c>
      <c r="H427" s="57">
        <v>1700</v>
      </c>
      <c r="I427" s="227">
        <v>-170</v>
      </c>
      <c r="J427" s="57">
        <f t="shared" si="59"/>
        <v>1530</v>
      </c>
      <c r="K427" s="50">
        <v>1</v>
      </c>
      <c r="L427" s="57">
        <f t="shared" si="62"/>
        <v>1530</v>
      </c>
      <c r="M427" s="228">
        <f t="shared" si="63"/>
        <v>1683</v>
      </c>
      <c r="N427" s="18" t="s">
        <v>3864</v>
      </c>
      <c r="O427" s="50"/>
      <c r="P427" s="52" t="s">
        <v>2141</v>
      </c>
    </row>
    <row r="428" spans="1:16" ht="21.75" customHeight="1" x14ac:dyDescent="0.4">
      <c r="A428" s="62">
        <v>45535</v>
      </c>
      <c r="B428" s="32" t="s">
        <v>3854</v>
      </c>
      <c r="C428" s="32"/>
      <c r="D428" s="18" t="s">
        <v>3855</v>
      </c>
      <c r="E428" s="63" t="s">
        <v>426</v>
      </c>
      <c r="F428" s="63" t="s">
        <v>3866</v>
      </c>
      <c r="G428" s="50" t="s">
        <v>3867</v>
      </c>
      <c r="H428" s="57">
        <v>1800</v>
      </c>
      <c r="I428" s="227">
        <v>-180</v>
      </c>
      <c r="J428" s="57">
        <f t="shared" si="59"/>
        <v>1620</v>
      </c>
      <c r="K428" s="50">
        <v>1</v>
      </c>
      <c r="L428" s="57">
        <f t="shared" si="62"/>
        <v>1620</v>
      </c>
      <c r="M428" s="228">
        <f t="shared" si="63"/>
        <v>1782</v>
      </c>
      <c r="N428" s="18" t="s">
        <v>25</v>
      </c>
      <c r="O428" s="50"/>
    </row>
    <row r="429" spans="1:16" ht="21.75" customHeight="1" x14ac:dyDescent="0.4">
      <c r="A429" s="62">
        <v>45535</v>
      </c>
      <c r="B429" s="32" t="s">
        <v>3868</v>
      </c>
      <c r="C429" s="32"/>
      <c r="D429" s="18" t="s">
        <v>22</v>
      </c>
      <c r="E429" s="63" t="s">
        <v>1496</v>
      </c>
      <c r="F429" s="63"/>
      <c r="G429" s="50" t="s">
        <v>49</v>
      </c>
      <c r="H429" s="57">
        <v>3000</v>
      </c>
      <c r="I429" s="227"/>
      <c r="J429" s="57">
        <f t="shared" si="59"/>
        <v>3000</v>
      </c>
      <c r="K429" s="50">
        <v>1</v>
      </c>
      <c r="L429" s="57">
        <f t="shared" si="62"/>
        <v>3000</v>
      </c>
      <c r="M429" s="228">
        <f t="shared" si="63"/>
        <v>3300</v>
      </c>
      <c r="N429" s="18" t="s">
        <v>3864</v>
      </c>
      <c r="O429" s="50" t="s">
        <v>1954</v>
      </c>
    </row>
    <row r="430" spans="1:16" ht="21.75" customHeight="1" x14ac:dyDescent="0.4">
      <c r="A430" s="62">
        <v>45535</v>
      </c>
      <c r="B430" s="32" t="s">
        <v>3870</v>
      </c>
      <c r="C430" s="32"/>
      <c r="D430" s="18" t="s">
        <v>2892</v>
      </c>
      <c r="E430" s="63" t="s">
        <v>23</v>
      </c>
      <c r="F430" s="63"/>
      <c r="G430" s="50" t="s">
        <v>3872</v>
      </c>
      <c r="H430" s="57">
        <v>1500</v>
      </c>
      <c r="I430" s="227"/>
      <c r="J430" s="57">
        <f t="shared" si="59"/>
        <v>1500</v>
      </c>
      <c r="K430" s="50">
        <v>1</v>
      </c>
      <c r="L430" s="57">
        <f t="shared" si="62"/>
        <v>1500</v>
      </c>
      <c r="M430" s="228">
        <f t="shared" si="63"/>
        <v>1650</v>
      </c>
      <c r="N430" s="18" t="s">
        <v>3864</v>
      </c>
      <c r="O430" s="50" t="s">
        <v>1954</v>
      </c>
    </row>
    <row r="431" spans="1:16" ht="21.75" customHeight="1" x14ac:dyDescent="0.4">
      <c r="A431" s="62">
        <v>45535</v>
      </c>
      <c r="B431" s="32" t="s">
        <v>3854</v>
      </c>
      <c r="C431" s="32"/>
      <c r="D431" s="18" t="s">
        <v>3855</v>
      </c>
      <c r="E431" s="63" t="s">
        <v>292</v>
      </c>
      <c r="F431" s="63" t="s">
        <v>1051</v>
      </c>
      <c r="G431" s="50" t="s">
        <v>3873</v>
      </c>
      <c r="H431" s="57">
        <v>3200</v>
      </c>
      <c r="I431" s="227">
        <v>-320</v>
      </c>
      <c r="J431" s="57">
        <f t="shared" si="59"/>
        <v>2880</v>
      </c>
      <c r="K431" s="50">
        <v>1</v>
      </c>
      <c r="L431" s="57">
        <f t="shared" si="62"/>
        <v>2880</v>
      </c>
      <c r="M431" s="228">
        <f t="shared" si="63"/>
        <v>3168</v>
      </c>
      <c r="N431" s="18" t="s">
        <v>25</v>
      </c>
      <c r="O431" s="50"/>
    </row>
    <row r="432" spans="1:16" ht="21.75" customHeight="1" x14ac:dyDescent="0.4">
      <c r="A432" s="62">
        <v>45535</v>
      </c>
      <c r="B432" s="32" t="s">
        <v>3869</v>
      </c>
      <c r="C432" s="32"/>
      <c r="D432" s="18" t="s">
        <v>3855</v>
      </c>
      <c r="E432" s="63" t="s">
        <v>328</v>
      </c>
      <c r="F432" s="63" t="s">
        <v>3598</v>
      </c>
      <c r="G432" s="50" t="s">
        <v>3874</v>
      </c>
      <c r="H432" s="57">
        <v>70000</v>
      </c>
      <c r="I432" s="227">
        <v>-14000</v>
      </c>
      <c r="J432" s="57">
        <f t="shared" si="59"/>
        <v>56000</v>
      </c>
      <c r="K432" s="50">
        <v>1</v>
      </c>
      <c r="L432" s="57">
        <f t="shared" si="62"/>
        <v>56000</v>
      </c>
      <c r="M432" s="228">
        <f t="shared" si="63"/>
        <v>61600</v>
      </c>
      <c r="N432" s="18" t="s">
        <v>3864</v>
      </c>
      <c r="O432" s="50"/>
      <c r="P432" s="52" t="s">
        <v>3876</v>
      </c>
    </row>
    <row r="433" spans="1:16" ht="21.75" customHeight="1" x14ac:dyDescent="0.4">
      <c r="A433" s="62">
        <v>45535</v>
      </c>
      <c r="B433" s="32" t="s">
        <v>3754</v>
      </c>
      <c r="C433" s="32"/>
      <c r="D433" s="18" t="s">
        <v>27</v>
      </c>
      <c r="E433" s="63" t="s">
        <v>28</v>
      </c>
      <c r="F433" s="63"/>
      <c r="G433" s="50" t="s">
        <v>318</v>
      </c>
      <c r="H433" s="57">
        <v>15000</v>
      </c>
      <c r="I433" s="227"/>
      <c r="J433" s="57">
        <f t="shared" si="59"/>
        <v>15000</v>
      </c>
      <c r="K433" s="50">
        <v>1</v>
      </c>
      <c r="L433" s="57">
        <f t="shared" si="62"/>
        <v>15000</v>
      </c>
      <c r="M433" s="228">
        <f t="shared" si="63"/>
        <v>16500</v>
      </c>
      <c r="N433" s="18" t="s">
        <v>25</v>
      </c>
      <c r="O433" s="50"/>
    </row>
    <row r="434" spans="1:16" s="114" customFormat="1" ht="21.75" customHeight="1" thickBot="1" x14ac:dyDescent="0.45">
      <c r="A434" s="150">
        <v>45535</v>
      </c>
      <c r="B434" s="107" t="s">
        <v>3754</v>
      </c>
      <c r="C434" s="107"/>
      <c r="D434" s="108" t="s">
        <v>27</v>
      </c>
      <c r="E434" s="109" t="s">
        <v>28</v>
      </c>
      <c r="F434" s="109"/>
      <c r="G434" s="110" t="s">
        <v>79</v>
      </c>
      <c r="H434" s="111">
        <v>17500</v>
      </c>
      <c r="I434" s="266"/>
      <c r="J434" s="111">
        <f t="shared" si="59"/>
        <v>17500</v>
      </c>
      <c r="K434" s="110">
        <v>1</v>
      </c>
      <c r="L434" s="111">
        <f t="shared" si="62"/>
        <v>17500</v>
      </c>
      <c r="M434" s="233">
        <f t="shared" si="63"/>
        <v>19250</v>
      </c>
      <c r="N434" s="108" t="s">
        <v>25</v>
      </c>
      <c r="O434" s="110"/>
      <c r="P434" s="165"/>
    </row>
    <row r="435" spans="1:16" ht="21.75" customHeight="1" x14ac:dyDescent="0.4">
      <c r="A435" s="59">
        <v>45536</v>
      </c>
      <c r="B435" s="82" t="s">
        <v>3794</v>
      </c>
      <c r="C435" s="82"/>
      <c r="D435" s="60" t="s">
        <v>27</v>
      </c>
      <c r="E435" s="61" t="s">
        <v>28</v>
      </c>
      <c r="F435" s="61"/>
      <c r="G435" s="56" t="s">
        <v>318</v>
      </c>
      <c r="H435" s="99">
        <v>15000</v>
      </c>
      <c r="I435" s="264"/>
      <c r="J435" s="99">
        <f t="shared" si="59"/>
        <v>15000</v>
      </c>
      <c r="K435" s="56">
        <v>1</v>
      </c>
      <c r="L435" s="99">
        <f t="shared" si="62"/>
        <v>15000</v>
      </c>
      <c r="M435" s="230">
        <f t="shared" si="63"/>
        <v>16500</v>
      </c>
      <c r="N435" s="60" t="s">
        <v>25</v>
      </c>
      <c r="O435" s="56"/>
    </row>
    <row r="436" spans="1:16" ht="21.75" customHeight="1" x14ac:dyDescent="0.4">
      <c r="A436" s="59">
        <v>45536</v>
      </c>
      <c r="B436" s="82" t="s">
        <v>3794</v>
      </c>
      <c r="C436" s="82"/>
      <c r="D436" s="18" t="s">
        <v>27</v>
      </c>
      <c r="E436" s="63" t="s">
        <v>28</v>
      </c>
      <c r="F436" s="63"/>
      <c r="G436" s="50" t="s">
        <v>79</v>
      </c>
      <c r="H436" s="57">
        <v>17500</v>
      </c>
      <c r="I436" s="227"/>
      <c r="J436" s="57">
        <f t="shared" si="59"/>
        <v>17500</v>
      </c>
      <c r="K436" s="50">
        <v>1</v>
      </c>
      <c r="L436" s="57">
        <f t="shared" si="62"/>
        <v>17500</v>
      </c>
      <c r="M436" s="228">
        <f t="shared" si="63"/>
        <v>19250</v>
      </c>
      <c r="N436" s="18" t="s">
        <v>25</v>
      </c>
      <c r="O436" s="50"/>
    </row>
    <row r="437" spans="1:16" ht="21.75" customHeight="1" x14ac:dyDescent="0.4">
      <c r="A437" s="59">
        <v>45536</v>
      </c>
      <c r="B437" s="32" t="s">
        <v>3877</v>
      </c>
      <c r="C437" s="32"/>
      <c r="D437" s="18" t="s">
        <v>27</v>
      </c>
      <c r="E437" s="63" t="s">
        <v>28</v>
      </c>
      <c r="F437" s="63"/>
      <c r="G437" s="50" t="s">
        <v>318</v>
      </c>
      <c r="H437" s="57">
        <v>15000</v>
      </c>
      <c r="I437" s="227"/>
      <c r="J437" s="57">
        <f t="shared" si="59"/>
        <v>15000</v>
      </c>
      <c r="K437" s="50">
        <v>2</v>
      </c>
      <c r="L437" s="57">
        <f t="shared" si="62"/>
        <v>30000</v>
      </c>
      <c r="M437" s="228">
        <f t="shared" si="63"/>
        <v>33000</v>
      </c>
      <c r="N437" s="18" t="s">
        <v>25</v>
      </c>
      <c r="O437" s="50"/>
    </row>
    <row r="438" spans="1:16" ht="21.75" customHeight="1" x14ac:dyDescent="0.4">
      <c r="A438" s="59">
        <v>45536</v>
      </c>
      <c r="B438" s="32" t="s">
        <v>3877</v>
      </c>
      <c r="C438" s="32"/>
      <c r="D438" s="18" t="s">
        <v>27</v>
      </c>
      <c r="E438" s="63" t="s">
        <v>28</v>
      </c>
      <c r="F438" s="63"/>
      <c r="G438" s="50" t="s">
        <v>3930</v>
      </c>
      <c r="H438" s="57">
        <v>22500</v>
      </c>
      <c r="I438" s="227"/>
      <c r="J438" s="57">
        <f t="shared" si="59"/>
        <v>22500</v>
      </c>
      <c r="K438" s="50">
        <v>1</v>
      </c>
      <c r="L438" s="57">
        <f t="shared" si="62"/>
        <v>22500</v>
      </c>
      <c r="M438" s="228">
        <f t="shared" si="63"/>
        <v>24750</v>
      </c>
      <c r="N438" s="18" t="s">
        <v>25</v>
      </c>
      <c r="O438" s="50"/>
    </row>
    <row r="439" spans="1:16" ht="21.75" customHeight="1" x14ac:dyDescent="0.4">
      <c r="A439" s="59">
        <v>45536</v>
      </c>
      <c r="B439" s="32" t="s">
        <v>3877</v>
      </c>
      <c r="C439" s="32"/>
      <c r="D439" s="18" t="s">
        <v>27</v>
      </c>
      <c r="E439" s="63" t="s">
        <v>28</v>
      </c>
      <c r="F439" s="63"/>
      <c r="G439" s="50" t="s">
        <v>3878</v>
      </c>
      <c r="H439" s="57">
        <v>15750</v>
      </c>
      <c r="I439" s="227"/>
      <c r="J439" s="57">
        <f t="shared" si="59"/>
        <v>15750</v>
      </c>
      <c r="K439" s="50">
        <v>1</v>
      </c>
      <c r="L439" s="57">
        <f t="shared" si="62"/>
        <v>15750</v>
      </c>
      <c r="M439" s="228">
        <f t="shared" si="63"/>
        <v>17325</v>
      </c>
      <c r="N439" s="18" t="s">
        <v>25</v>
      </c>
      <c r="O439" s="50"/>
    </row>
    <row r="440" spans="1:16" ht="21.75" customHeight="1" x14ac:dyDescent="0.4">
      <c r="A440" s="59">
        <v>45536</v>
      </c>
      <c r="B440" s="32" t="s">
        <v>139</v>
      </c>
      <c r="C440" s="32"/>
      <c r="D440" s="18" t="s">
        <v>17</v>
      </c>
      <c r="E440" s="63" t="s">
        <v>307</v>
      </c>
      <c r="F440" s="63" t="s">
        <v>3642</v>
      </c>
      <c r="G440" s="50" t="s">
        <v>684</v>
      </c>
      <c r="H440" s="57">
        <v>5800</v>
      </c>
      <c r="I440" s="227">
        <v>-580</v>
      </c>
      <c r="J440" s="57">
        <f t="shared" si="59"/>
        <v>5220</v>
      </c>
      <c r="K440" s="50">
        <v>1</v>
      </c>
      <c r="L440" s="57">
        <f t="shared" si="62"/>
        <v>5220</v>
      </c>
      <c r="M440" s="228">
        <f t="shared" si="63"/>
        <v>5742</v>
      </c>
      <c r="N440" s="18" t="s">
        <v>25</v>
      </c>
      <c r="O440" s="50"/>
    </row>
    <row r="441" spans="1:16" ht="21.75" customHeight="1" x14ac:dyDescent="0.4">
      <c r="A441" s="59">
        <v>45537</v>
      </c>
      <c r="B441" s="32" t="s">
        <v>1381</v>
      </c>
      <c r="C441" s="32"/>
      <c r="D441" s="18" t="s">
        <v>17</v>
      </c>
      <c r="E441" s="63" t="s">
        <v>332</v>
      </c>
      <c r="F441" s="63" t="s">
        <v>3554</v>
      </c>
      <c r="G441" s="50" t="s">
        <v>3879</v>
      </c>
      <c r="H441" s="57">
        <v>1200</v>
      </c>
      <c r="I441" s="227">
        <v>-120</v>
      </c>
      <c r="J441" s="57">
        <f t="shared" si="59"/>
        <v>1080</v>
      </c>
      <c r="K441" s="50">
        <v>1</v>
      </c>
      <c r="L441" s="57">
        <f t="shared" si="62"/>
        <v>1080</v>
      </c>
      <c r="M441" s="228">
        <f t="shared" si="63"/>
        <v>1188</v>
      </c>
      <c r="N441" s="18" t="s">
        <v>25</v>
      </c>
      <c r="O441" s="50"/>
    </row>
    <row r="442" spans="1:16" ht="21.75" customHeight="1" x14ac:dyDescent="0.4">
      <c r="A442" s="59">
        <v>45537</v>
      </c>
      <c r="B442" s="32" t="s">
        <v>3828</v>
      </c>
      <c r="C442" s="32"/>
      <c r="D442" s="18" t="s">
        <v>27</v>
      </c>
      <c r="E442" s="63" t="s">
        <v>28</v>
      </c>
      <c r="F442" s="63"/>
      <c r="G442" s="50" t="s">
        <v>318</v>
      </c>
      <c r="H442" s="57">
        <v>15000</v>
      </c>
      <c r="I442" s="227"/>
      <c r="J442" s="57">
        <f t="shared" si="59"/>
        <v>15000</v>
      </c>
      <c r="K442" s="50">
        <v>1</v>
      </c>
      <c r="L442" s="57">
        <f t="shared" si="62"/>
        <v>15000</v>
      </c>
      <c r="M442" s="228">
        <f t="shared" si="63"/>
        <v>16500</v>
      </c>
      <c r="N442" s="18" t="s">
        <v>1057</v>
      </c>
      <c r="O442" s="50" t="s">
        <v>3880</v>
      </c>
    </row>
    <row r="443" spans="1:16" ht="21.75" customHeight="1" x14ac:dyDescent="0.4">
      <c r="A443" s="59">
        <v>45538</v>
      </c>
      <c r="B443" s="32" t="s">
        <v>3931</v>
      </c>
      <c r="C443" s="32"/>
      <c r="D443" s="18" t="s">
        <v>27</v>
      </c>
      <c r="E443" s="63" t="s">
        <v>28</v>
      </c>
      <c r="F443" s="63"/>
      <c r="G443" s="50" t="s">
        <v>3881</v>
      </c>
      <c r="H443" s="57">
        <v>22500</v>
      </c>
      <c r="I443" s="227">
        <v>-17500</v>
      </c>
      <c r="J443" s="57">
        <f t="shared" si="59"/>
        <v>5000</v>
      </c>
      <c r="K443" s="50">
        <v>1</v>
      </c>
      <c r="L443" s="57">
        <f t="shared" si="62"/>
        <v>5000</v>
      </c>
      <c r="M443" s="228">
        <f t="shared" si="63"/>
        <v>5500</v>
      </c>
      <c r="N443" s="18" t="s">
        <v>25</v>
      </c>
      <c r="O443" s="50"/>
    </row>
    <row r="444" spans="1:16" ht="21.75" customHeight="1" x14ac:dyDescent="0.4">
      <c r="A444" s="59">
        <v>45539</v>
      </c>
      <c r="B444" s="32" t="s">
        <v>644</v>
      </c>
      <c r="C444" s="32"/>
      <c r="D444" s="18" t="s">
        <v>17</v>
      </c>
      <c r="E444" s="63" t="s">
        <v>307</v>
      </c>
      <c r="F444" s="63" t="s">
        <v>1051</v>
      </c>
      <c r="G444" s="50" t="s">
        <v>3655</v>
      </c>
      <c r="H444" s="57">
        <v>4000</v>
      </c>
      <c r="I444" s="227">
        <v>-400</v>
      </c>
      <c r="J444" s="57">
        <f t="shared" si="59"/>
        <v>3600</v>
      </c>
      <c r="K444" s="50">
        <v>1</v>
      </c>
      <c r="L444" s="57">
        <f t="shared" si="62"/>
        <v>3600</v>
      </c>
      <c r="M444" s="228">
        <f t="shared" si="63"/>
        <v>3960</v>
      </c>
      <c r="N444" s="18" t="s">
        <v>20</v>
      </c>
      <c r="O444" s="50"/>
    </row>
    <row r="445" spans="1:16" ht="21.75" customHeight="1" x14ac:dyDescent="0.4">
      <c r="A445" s="59">
        <v>45539</v>
      </c>
      <c r="B445" s="32" t="s">
        <v>3882</v>
      </c>
      <c r="C445" s="32"/>
      <c r="D445" s="18" t="s">
        <v>2892</v>
      </c>
      <c r="E445" s="63" t="s">
        <v>23</v>
      </c>
      <c r="F445" s="63"/>
      <c r="G445" s="50" t="s">
        <v>81</v>
      </c>
      <c r="H445" s="57">
        <v>20000</v>
      </c>
      <c r="I445" s="227"/>
      <c r="J445" s="57">
        <f t="shared" ref="J445:J510" si="64">SUM(H445:I445)</f>
        <v>20000</v>
      </c>
      <c r="K445" s="50">
        <v>1</v>
      </c>
      <c r="L445" s="57">
        <f t="shared" si="62"/>
        <v>20000</v>
      </c>
      <c r="M445" s="228">
        <f t="shared" si="63"/>
        <v>22000</v>
      </c>
      <c r="N445" s="18" t="s">
        <v>25</v>
      </c>
      <c r="O445" s="159" t="s">
        <v>3103</v>
      </c>
    </row>
    <row r="446" spans="1:16" ht="21.75" customHeight="1" x14ac:dyDescent="0.4">
      <c r="A446" s="59">
        <v>45539</v>
      </c>
      <c r="B446" s="32" t="s">
        <v>3882</v>
      </c>
      <c r="C446" s="32"/>
      <c r="D446" s="18" t="s">
        <v>17</v>
      </c>
      <c r="E446" s="63" t="s">
        <v>512</v>
      </c>
      <c r="F446" s="63" t="s">
        <v>3883</v>
      </c>
      <c r="G446" s="50" t="s">
        <v>3932</v>
      </c>
      <c r="H446" s="57">
        <v>40000</v>
      </c>
      <c r="I446" s="227">
        <v>-8000</v>
      </c>
      <c r="J446" s="57">
        <f t="shared" si="64"/>
        <v>32000</v>
      </c>
      <c r="K446" s="50">
        <v>3</v>
      </c>
      <c r="L446" s="57">
        <f t="shared" si="62"/>
        <v>96000</v>
      </c>
      <c r="M446" s="228">
        <f t="shared" si="63"/>
        <v>105600</v>
      </c>
      <c r="N446" s="18" t="s">
        <v>34</v>
      </c>
      <c r="O446" s="50"/>
      <c r="P446" s="52" t="s">
        <v>1608</v>
      </c>
    </row>
    <row r="447" spans="1:16" ht="21.75" customHeight="1" x14ac:dyDescent="0.4">
      <c r="A447" s="59">
        <v>45539</v>
      </c>
      <c r="B447" s="32" t="s">
        <v>3882</v>
      </c>
      <c r="C447" s="32"/>
      <c r="D447" s="18" t="s">
        <v>17</v>
      </c>
      <c r="E447" s="63" t="s">
        <v>512</v>
      </c>
      <c r="F447" s="63" t="s">
        <v>3883</v>
      </c>
      <c r="G447" s="50" t="s">
        <v>3933</v>
      </c>
      <c r="H447" s="57">
        <v>17000</v>
      </c>
      <c r="I447" s="227">
        <v>-3400</v>
      </c>
      <c r="J447" s="57">
        <f t="shared" si="64"/>
        <v>13600</v>
      </c>
      <c r="K447" s="50">
        <v>3</v>
      </c>
      <c r="L447" s="57">
        <f t="shared" si="62"/>
        <v>40800</v>
      </c>
      <c r="M447" s="228">
        <f t="shared" si="63"/>
        <v>44880</v>
      </c>
      <c r="N447" s="18" t="s">
        <v>34</v>
      </c>
      <c r="O447" s="50"/>
      <c r="P447" s="52" t="s">
        <v>1608</v>
      </c>
    </row>
    <row r="448" spans="1:16" ht="21.75" customHeight="1" x14ac:dyDescent="0.4">
      <c r="A448" s="59">
        <v>45539</v>
      </c>
      <c r="B448" s="32" t="s">
        <v>3882</v>
      </c>
      <c r="C448" s="32"/>
      <c r="D448" s="18" t="s">
        <v>17</v>
      </c>
      <c r="E448" s="63" t="s">
        <v>2064</v>
      </c>
      <c r="F448" s="63" t="s">
        <v>557</v>
      </c>
      <c r="G448" s="50" t="s">
        <v>3819</v>
      </c>
      <c r="H448" s="57">
        <v>5000</v>
      </c>
      <c r="I448" s="227"/>
      <c r="J448" s="57">
        <f t="shared" si="64"/>
        <v>5000</v>
      </c>
      <c r="K448" s="50">
        <v>3</v>
      </c>
      <c r="L448" s="57">
        <f t="shared" si="62"/>
        <v>15000</v>
      </c>
      <c r="M448" s="228">
        <f t="shared" si="63"/>
        <v>16500</v>
      </c>
      <c r="N448" s="18" t="s">
        <v>34</v>
      </c>
      <c r="O448" s="50"/>
      <c r="P448" s="52" t="s">
        <v>1608</v>
      </c>
    </row>
    <row r="449" spans="1:16" ht="21.75" customHeight="1" x14ac:dyDescent="0.4">
      <c r="A449" s="59">
        <v>45539</v>
      </c>
      <c r="B449" s="32" t="s">
        <v>3882</v>
      </c>
      <c r="C449" s="32"/>
      <c r="D449" s="18" t="s">
        <v>17</v>
      </c>
      <c r="E449" s="63" t="s">
        <v>332</v>
      </c>
      <c r="F449" s="63" t="s">
        <v>3553</v>
      </c>
      <c r="G449" s="50" t="s">
        <v>3884</v>
      </c>
      <c r="H449" s="57">
        <v>2000</v>
      </c>
      <c r="I449" s="227"/>
      <c r="J449" s="57">
        <f t="shared" si="64"/>
        <v>2000</v>
      </c>
      <c r="K449" s="50">
        <v>3</v>
      </c>
      <c r="L449" s="57">
        <f t="shared" si="62"/>
        <v>6000</v>
      </c>
      <c r="M449" s="228">
        <f t="shared" si="63"/>
        <v>6600</v>
      </c>
      <c r="N449" s="18" t="s">
        <v>34</v>
      </c>
      <c r="O449" s="50"/>
      <c r="P449" s="52" t="s">
        <v>1608</v>
      </c>
    </row>
    <row r="450" spans="1:16" ht="21.75" customHeight="1" x14ac:dyDescent="0.4">
      <c r="A450" s="59">
        <v>45539</v>
      </c>
      <c r="B450" s="32" t="s">
        <v>3882</v>
      </c>
      <c r="C450" s="32"/>
      <c r="D450" s="18" t="s">
        <v>17</v>
      </c>
      <c r="E450" s="63" t="s">
        <v>332</v>
      </c>
      <c r="F450" s="63" t="s">
        <v>3553</v>
      </c>
      <c r="G450" s="50" t="s">
        <v>3885</v>
      </c>
      <c r="H450" s="57">
        <v>2000</v>
      </c>
      <c r="I450" s="227"/>
      <c r="J450" s="57">
        <f t="shared" si="64"/>
        <v>2000</v>
      </c>
      <c r="K450" s="50">
        <v>3</v>
      </c>
      <c r="L450" s="57">
        <f t="shared" si="62"/>
        <v>6000</v>
      </c>
      <c r="M450" s="228">
        <f t="shared" si="63"/>
        <v>6600</v>
      </c>
      <c r="N450" s="18" t="s">
        <v>34</v>
      </c>
      <c r="O450" s="50"/>
      <c r="P450" s="52" t="s">
        <v>1608</v>
      </c>
    </row>
    <row r="451" spans="1:16" ht="21.75" customHeight="1" x14ac:dyDescent="0.4">
      <c r="A451" s="59">
        <v>45539</v>
      </c>
      <c r="B451" s="32" t="s">
        <v>1447</v>
      </c>
      <c r="C451" s="32"/>
      <c r="D451" s="18" t="s">
        <v>17</v>
      </c>
      <c r="E451" s="63" t="s">
        <v>332</v>
      </c>
      <c r="F451" s="63" t="s">
        <v>3555</v>
      </c>
      <c r="G451" s="50" t="s">
        <v>3886</v>
      </c>
      <c r="H451" s="57">
        <v>1600</v>
      </c>
      <c r="I451" s="227">
        <v>-160</v>
      </c>
      <c r="J451" s="57">
        <f t="shared" si="64"/>
        <v>1440</v>
      </c>
      <c r="K451" s="50">
        <v>3</v>
      </c>
      <c r="L451" s="57">
        <f t="shared" si="62"/>
        <v>4320</v>
      </c>
      <c r="M451" s="228">
        <f t="shared" si="63"/>
        <v>4752</v>
      </c>
      <c r="N451" s="18" t="s">
        <v>20</v>
      </c>
      <c r="O451" s="50"/>
    </row>
    <row r="452" spans="1:16" ht="21.75" customHeight="1" x14ac:dyDescent="0.4">
      <c r="A452" s="59">
        <v>45539</v>
      </c>
      <c r="B452" s="32" t="s">
        <v>1447</v>
      </c>
      <c r="C452" s="32"/>
      <c r="D452" s="18" t="s">
        <v>17</v>
      </c>
      <c r="E452" s="63" t="s">
        <v>332</v>
      </c>
      <c r="F452" s="63" t="s">
        <v>3555</v>
      </c>
      <c r="G452" s="50" t="s">
        <v>3887</v>
      </c>
      <c r="H452" s="57">
        <v>1600</v>
      </c>
      <c r="I452" s="227">
        <v>-160</v>
      </c>
      <c r="J452" s="57">
        <f t="shared" si="64"/>
        <v>1440</v>
      </c>
      <c r="K452" s="50">
        <v>2</v>
      </c>
      <c r="L452" s="57">
        <f t="shared" si="62"/>
        <v>2880</v>
      </c>
      <c r="M452" s="228">
        <f t="shared" si="63"/>
        <v>3168</v>
      </c>
      <c r="N452" s="18" t="s">
        <v>20</v>
      </c>
      <c r="O452" s="50"/>
    </row>
    <row r="453" spans="1:16" ht="21.75" customHeight="1" x14ac:dyDescent="0.4">
      <c r="A453" s="59">
        <v>45539</v>
      </c>
      <c r="B453" s="32" t="s">
        <v>3888</v>
      </c>
      <c r="C453" s="32"/>
      <c r="D453" s="18" t="s">
        <v>27</v>
      </c>
      <c r="E453" s="63" t="s">
        <v>28</v>
      </c>
      <c r="F453" s="63"/>
      <c r="G453" s="50" t="s">
        <v>318</v>
      </c>
      <c r="H453" s="57">
        <v>15000</v>
      </c>
      <c r="I453" s="227"/>
      <c r="J453" s="57">
        <f t="shared" si="64"/>
        <v>15000</v>
      </c>
      <c r="K453" s="50">
        <v>1</v>
      </c>
      <c r="L453" s="57">
        <f t="shared" si="62"/>
        <v>15000</v>
      </c>
      <c r="M453" s="228">
        <f t="shared" si="63"/>
        <v>16500</v>
      </c>
      <c r="N453" s="18" t="s">
        <v>20</v>
      </c>
      <c r="O453" s="50"/>
    </row>
    <row r="454" spans="1:16" ht="21.75" customHeight="1" x14ac:dyDescent="0.4">
      <c r="A454" s="59">
        <v>45540</v>
      </c>
      <c r="B454" s="32" t="s">
        <v>3686</v>
      </c>
      <c r="C454" s="32"/>
      <c r="D454" s="18" t="s">
        <v>27</v>
      </c>
      <c r="E454" s="63" t="s">
        <v>28</v>
      </c>
      <c r="F454" s="63"/>
      <c r="G454" s="50" t="s">
        <v>318</v>
      </c>
      <c r="H454" s="57">
        <v>15000</v>
      </c>
      <c r="I454" s="227"/>
      <c r="J454" s="57">
        <f t="shared" ref="J454" si="65">SUM(H454:I454)</f>
        <v>15000</v>
      </c>
      <c r="K454" s="50">
        <v>1</v>
      </c>
      <c r="L454" s="57">
        <f t="shared" si="62"/>
        <v>15000</v>
      </c>
      <c r="M454" s="232">
        <f t="shared" si="63"/>
        <v>16500</v>
      </c>
      <c r="N454" s="18" t="s">
        <v>34</v>
      </c>
      <c r="O454" s="50"/>
    </row>
    <row r="455" spans="1:16" ht="21.75" customHeight="1" x14ac:dyDescent="0.4">
      <c r="A455" s="59">
        <v>45540</v>
      </c>
      <c r="B455" s="32" t="s">
        <v>3686</v>
      </c>
      <c r="C455" s="32"/>
      <c r="D455" s="18" t="s">
        <v>27</v>
      </c>
      <c r="E455" s="63" t="s">
        <v>28</v>
      </c>
      <c r="F455" s="63"/>
      <c r="G455" s="50" t="s">
        <v>79</v>
      </c>
      <c r="H455" s="57">
        <v>17500</v>
      </c>
      <c r="I455" s="227"/>
      <c r="J455" s="57">
        <f t="shared" ref="J455" si="66">SUM(H455:I455)</f>
        <v>17500</v>
      </c>
      <c r="K455" s="50">
        <v>1</v>
      </c>
      <c r="L455" s="57">
        <f t="shared" si="62"/>
        <v>17500</v>
      </c>
      <c r="M455" s="232">
        <f t="shared" si="63"/>
        <v>19250</v>
      </c>
      <c r="N455" s="18" t="s">
        <v>34</v>
      </c>
      <c r="O455" s="50"/>
    </row>
    <row r="456" spans="1:16" ht="21.75" customHeight="1" x14ac:dyDescent="0.4">
      <c r="A456" s="59">
        <v>45541</v>
      </c>
      <c r="B456" s="32" t="s">
        <v>785</v>
      </c>
      <c r="C456" s="32"/>
      <c r="D456" s="18" t="s">
        <v>27</v>
      </c>
      <c r="E456" s="63" t="s">
        <v>28</v>
      </c>
      <c r="F456" s="63"/>
      <c r="G456" s="50" t="s">
        <v>318</v>
      </c>
      <c r="H456" s="57">
        <v>15000</v>
      </c>
      <c r="I456" s="227"/>
      <c r="J456" s="57">
        <f t="shared" si="64"/>
        <v>15000</v>
      </c>
      <c r="K456" s="50">
        <v>1</v>
      </c>
      <c r="L456" s="57">
        <f t="shared" si="62"/>
        <v>15000</v>
      </c>
      <c r="M456" s="228">
        <f t="shared" si="63"/>
        <v>16500</v>
      </c>
      <c r="N456" s="18" t="s">
        <v>20</v>
      </c>
      <c r="O456" s="50"/>
    </row>
    <row r="457" spans="1:16" ht="21.75" customHeight="1" x14ac:dyDescent="0.4">
      <c r="A457" s="59">
        <v>45541</v>
      </c>
      <c r="B457" s="32" t="s">
        <v>3467</v>
      </c>
      <c r="C457" s="32"/>
      <c r="D457" s="18" t="s">
        <v>27</v>
      </c>
      <c r="E457" s="63" t="s">
        <v>103</v>
      </c>
      <c r="G457" s="63" t="s">
        <v>104</v>
      </c>
      <c r="H457" s="57">
        <v>2500</v>
      </c>
      <c r="I457" s="227"/>
      <c r="J457" s="57">
        <f t="shared" si="64"/>
        <v>2500</v>
      </c>
      <c r="K457" s="50">
        <v>1</v>
      </c>
      <c r="L457" s="57">
        <f t="shared" ref="L457:L522" si="67">SUM(J457*K457)</f>
        <v>2500</v>
      </c>
      <c r="M457" s="228">
        <f t="shared" ref="M457:M522" si="68">ROUNDDOWN(L457*1.1,0)</f>
        <v>2750</v>
      </c>
      <c r="N457" s="18" t="s">
        <v>25</v>
      </c>
      <c r="O457" s="50"/>
    </row>
    <row r="458" spans="1:16" ht="21.75" customHeight="1" x14ac:dyDescent="0.4">
      <c r="A458" s="59">
        <v>45541</v>
      </c>
      <c r="B458" s="32" t="s">
        <v>3462</v>
      </c>
      <c r="C458" s="32"/>
      <c r="D458" s="18" t="s">
        <v>17</v>
      </c>
      <c r="E458" s="63" t="s">
        <v>3422</v>
      </c>
      <c r="F458" s="63"/>
      <c r="G458" s="50" t="s">
        <v>3720</v>
      </c>
      <c r="H458" s="57">
        <v>4000</v>
      </c>
      <c r="I458" s="227">
        <v>-400</v>
      </c>
      <c r="J458" s="57">
        <f t="shared" si="64"/>
        <v>3600</v>
      </c>
      <c r="K458" s="50">
        <v>1</v>
      </c>
      <c r="L458" s="57">
        <f t="shared" si="67"/>
        <v>3600</v>
      </c>
      <c r="M458" s="228">
        <f t="shared" si="68"/>
        <v>3960</v>
      </c>
      <c r="N458" s="18" t="s">
        <v>1057</v>
      </c>
      <c r="O458" s="159" t="s">
        <v>3934</v>
      </c>
    </row>
    <row r="459" spans="1:16" ht="21.75" customHeight="1" x14ac:dyDescent="0.4">
      <c r="A459" s="59">
        <v>45542</v>
      </c>
      <c r="B459" s="32" t="s">
        <v>241</v>
      </c>
      <c r="C459" s="32"/>
      <c r="D459" s="18" t="s">
        <v>2892</v>
      </c>
      <c r="E459" s="63" t="s">
        <v>23</v>
      </c>
      <c r="F459" s="63"/>
      <c r="G459" s="50" t="s">
        <v>3935</v>
      </c>
      <c r="H459" s="57">
        <v>15000</v>
      </c>
      <c r="I459" s="227"/>
      <c r="J459" s="57">
        <f t="shared" si="64"/>
        <v>15000</v>
      </c>
      <c r="K459" s="50">
        <v>1</v>
      </c>
      <c r="L459" s="57">
        <f t="shared" si="67"/>
        <v>15000</v>
      </c>
      <c r="M459" s="228">
        <f t="shared" si="68"/>
        <v>16500</v>
      </c>
      <c r="N459" s="18" t="s">
        <v>20</v>
      </c>
      <c r="O459" s="50"/>
    </row>
    <row r="460" spans="1:16" ht="21.75" customHeight="1" x14ac:dyDescent="0.4">
      <c r="A460" s="59">
        <v>45542</v>
      </c>
      <c r="B460" s="32" t="s">
        <v>241</v>
      </c>
      <c r="C460" s="32"/>
      <c r="D460" s="18" t="s">
        <v>17</v>
      </c>
      <c r="E460" s="63" t="s">
        <v>512</v>
      </c>
      <c r="F460" s="63" t="s">
        <v>3596</v>
      </c>
      <c r="G460" s="50" t="s">
        <v>3936</v>
      </c>
      <c r="H460" s="57">
        <v>60000</v>
      </c>
      <c r="I460" s="227">
        <v>-12000</v>
      </c>
      <c r="J460" s="57">
        <f t="shared" si="64"/>
        <v>48000</v>
      </c>
      <c r="K460" s="50">
        <v>1</v>
      </c>
      <c r="L460" s="57">
        <f t="shared" si="67"/>
        <v>48000</v>
      </c>
      <c r="M460" s="228">
        <f t="shared" si="68"/>
        <v>52800</v>
      </c>
      <c r="N460" s="18" t="s">
        <v>20</v>
      </c>
      <c r="O460" s="50"/>
      <c r="P460" s="52" t="s">
        <v>1557</v>
      </c>
    </row>
    <row r="461" spans="1:16" ht="21.75" customHeight="1" x14ac:dyDescent="0.4">
      <c r="A461" s="59">
        <v>45542</v>
      </c>
      <c r="B461" s="32" t="s">
        <v>241</v>
      </c>
      <c r="C461" s="32"/>
      <c r="D461" s="18" t="s">
        <v>17</v>
      </c>
      <c r="E461" s="63" t="s">
        <v>332</v>
      </c>
      <c r="F461" s="63" t="s">
        <v>3555</v>
      </c>
      <c r="G461" s="50" t="s">
        <v>3558</v>
      </c>
      <c r="H461" s="57">
        <v>1750</v>
      </c>
      <c r="I461" s="227"/>
      <c r="J461" s="57">
        <f t="shared" si="64"/>
        <v>1750</v>
      </c>
      <c r="K461" s="50">
        <v>1</v>
      </c>
      <c r="L461" s="57">
        <f t="shared" si="67"/>
        <v>1750</v>
      </c>
      <c r="M461" s="228">
        <f t="shared" si="68"/>
        <v>1925</v>
      </c>
      <c r="N461" s="18" t="s">
        <v>20</v>
      </c>
      <c r="O461" s="50"/>
      <c r="P461" s="52" t="s">
        <v>1557</v>
      </c>
    </row>
    <row r="462" spans="1:16" ht="21.75" customHeight="1" x14ac:dyDescent="0.4">
      <c r="A462" s="59">
        <v>45542</v>
      </c>
      <c r="B462" s="32" t="s">
        <v>241</v>
      </c>
      <c r="C462" s="32"/>
      <c r="D462" s="96" t="s">
        <v>198</v>
      </c>
      <c r="E462" s="63"/>
      <c r="F462" s="63"/>
      <c r="G462" s="50" t="s">
        <v>2491</v>
      </c>
      <c r="H462" s="57">
        <v>-15000</v>
      </c>
      <c r="I462" s="227"/>
      <c r="J462" s="57">
        <f t="shared" si="64"/>
        <v>-15000</v>
      </c>
      <c r="K462" s="50">
        <v>1</v>
      </c>
      <c r="L462" s="57">
        <f t="shared" si="67"/>
        <v>-15000</v>
      </c>
      <c r="M462" s="228">
        <f t="shared" si="68"/>
        <v>-16500</v>
      </c>
      <c r="N462" s="18" t="s">
        <v>20</v>
      </c>
      <c r="O462" s="50"/>
      <c r="P462" s="52" t="s">
        <v>1557</v>
      </c>
    </row>
    <row r="463" spans="1:16" ht="21.75" customHeight="1" x14ac:dyDescent="0.4">
      <c r="A463" s="59">
        <v>45542</v>
      </c>
      <c r="B463" s="32" t="s">
        <v>3700</v>
      </c>
      <c r="C463" s="32"/>
      <c r="D463" s="18" t="s">
        <v>17</v>
      </c>
      <c r="E463" s="63" t="s">
        <v>332</v>
      </c>
      <c r="F463" s="63" t="s">
        <v>3555</v>
      </c>
      <c r="G463" s="50" t="s">
        <v>3173</v>
      </c>
      <c r="H463" s="57">
        <v>1200</v>
      </c>
      <c r="I463" s="227">
        <v>-120</v>
      </c>
      <c r="J463" s="57">
        <f t="shared" si="64"/>
        <v>1080</v>
      </c>
      <c r="K463" s="50">
        <v>1</v>
      </c>
      <c r="L463" s="57">
        <f t="shared" si="67"/>
        <v>1080</v>
      </c>
      <c r="M463" s="228">
        <f t="shared" si="68"/>
        <v>1188</v>
      </c>
      <c r="N463" s="18" t="s">
        <v>20</v>
      </c>
      <c r="O463" s="50"/>
    </row>
    <row r="464" spans="1:16" ht="21.75" customHeight="1" x14ac:dyDescent="0.4">
      <c r="A464" s="59">
        <v>45542</v>
      </c>
      <c r="B464" s="32" t="s">
        <v>223</v>
      </c>
      <c r="C464" s="32"/>
      <c r="D464" s="18" t="s">
        <v>2892</v>
      </c>
      <c r="E464" s="63" t="s">
        <v>23</v>
      </c>
      <c r="F464" s="63"/>
      <c r="G464" s="50" t="s">
        <v>3937</v>
      </c>
      <c r="H464" s="57">
        <v>10000</v>
      </c>
      <c r="I464" s="227"/>
      <c r="J464" s="57">
        <f t="shared" si="64"/>
        <v>10000</v>
      </c>
      <c r="K464" s="50">
        <v>1</v>
      </c>
      <c r="L464" s="57">
        <f t="shared" si="67"/>
        <v>10000</v>
      </c>
      <c r="M464" s="228">
        <f t="shared" si="68"/>
        <v>11000</v>
      </c>
      <c r="N464" s="18" t="s">
        <v>34</v>
      </c>
      <c r="O464" s="50"/>
    </row>
    <row r="465" spans="1:16" ht="21.75" customHeight="1" x14ac:dyDescent="0.4">
      <c r="A465" s="59">
        <v>45542</v>
      </c>
      <c r="B465" s="32" t="s">
        <v>223</v>
      </c>
      <c r="C465" s="32"/>
      <c r="D465" s="18" t="s">
        <v>17</v>
      </c>
      <c r="E465" s="63" t="s">
        <v>512</v>
      </c>
      <c r="F465" s="63" t="s">
        <v>3596</v>
      </c>
      <c r="G465" s="50" t="s">
        <v>3889</v>
      </c>
      <c r="H465" s="57">
        <v>50000</v>
      </c>
      <c r="I465" s="227">
        <v>-15000</v>
      </c>
      <c r="J465" s="57">
        <f t="shared" si="64"/>
        <v>35000</v>
      </c>
      <c r="K465" s="50">
        <v>1</v>
      </c>
      <c r="L465" s="57">
        <f t="shared" si="67"/>
        <v>35000</v>
      </c>
      <c r="M465" s="228">
        <f t="shared" si="68"/>
        <v>38500</v>
      </c>
      <c r="N465" s="18" t="s">
        <v>34</v>
      </c>
      <c r="O465" s="50"/>
      <c r="P465" s="52" t="s">
        <v>2141</v>
      </c>
    </row>
    <row r="466" spans="1:16" ht="21.75" customHeight="1" x14ac:dyDescent="0.4">
      <c r="A466" s="59">
        <v>45542</v>
      </c>
      <c r="B466" s="32" t="s">
        <v>223</v>
      </c>
      <c r="C466" s="32"/>
      <c r="D466" s="18" t="s">
        <v>17</v>
      </c>
      <c r="E466" s="63" t="s">
        <v>2186</v>
      </c>
      <c r="F466" s="63" t="s">
        <v>2837</v>
      </c>
      <c r="G466" s="50" t="s">
        <v>3938</v>
      </c>
      <c r="H466" s="57">
        <v>65000</v>
      </c>
      <c r="I466" s="227">
        <v>-6500</v>
      </c>
      <c r="J466" s="57">
        <f t="shared" si="64"/>
        <v>58500</v>
      </c>
      <c r="K466" s="50">
        <v>1</v>
      </c>
      <c r="L466" s="57">
        <f t="shared" si="67"/>
        <v>58500</v>
      </c>
      <c r="M466" s="228">
        <f t="shared" si="68"/>
        <v>64350</v>
      </c>
      <c r="N466" s="18" t="s">
        <v>34</v>
      </c>
      <c r="O466" s="50"/>
      <c r="P466" s="52" t="s">
        <v>2141</v>
      </c>
    </row>
    <row r="467" spans="1:16" ht="21.75" customHeight="1" x14ac:dyDescent="0.4">
      <c r="A467" s="59">
        <v>45542</v>
      </c>
      <c r="B467" s="32" t="s">
        <v>223</v>
      </c>
      <c r="C467" s="32"/>
      <c r="D467" s="18" t="s">
        <v>17</v>
      </c>
      <c r="E467" s="63" t="s">
        <v>455</v>
      </c>
      <c r="F467" s="63" t="s">
        <v>3658</v>
      </c>
      <c r="G467" s="50" t="s">
        <v>3890</v>
      </c>
      <c r="H467" s="57">
        <v>1200</v>
      </c>
      <c r="I467" s="227">
        <v>-120</v>
      </c>
      <c r="J467" s="57">
        <f t="shared" si="64"/>
        <v>1080</v>
      </c>
      <c r="K467" s="50">
        <v>1</v>
      </c>
      <c r="L467" s="57">
        <f t="shared" si="67"/>
        <v>1080</v>
      </c>
      <c r="M467" s="228">
        <f t="shared" si="68"/>
        <v>1188</v>
      </c>
      <c r="N467" s="18" t="s">
        <v>34</v>
      </c>
      <c r="O467" s="50"/>
      <c r="P467" s="52" t="s">
        <v>2141</v>
      </c>
    </row>
    <row r="468" spans="1:16" ht="21.75" customHeight="1" x14ac:dyDescent="0.4">
      <c r="A468" s="59">
        <v>45542</v>
      </c>
      <c r="B468" s="32" t="s">
        <v>1059</v>
      </c>
      <c r="C468" s="32"/>
      <c r="D468" s="18" t="s">
        <v>2892</v>
      </c>
      <c r="E468" s="63" t="s">
        <v>23</v>
      </c>
      <c r="F468" s="63"/>
      <c r="G468" s="50" t="s">
        <v>220</v>
      </c>
      <c r="H468" s="57">
        <v>10000</v>
      </c>
      <c r="I468" s="227"/>
      <c r="J468" s="57">
        <f t="shared" si="64"/>
        <v>10000</v>
      </c>
      <c r="K468" s="50">
        <v>1</v>
      </c>
      <c r="L468" s="57">
        <f t="shared" si="67"/>
        <v>10000</v>
      </c>
      <c r="M468" s="228">
        <f t="shared" si="68"/>
        <v>11000</v>
      </c>
      <c r="N468" s="18" t="s">
        <v>34</v>
      </c>
      <c r="O468" s="50"/>
    </row>
    <row r="469" spans="1:16" ht="21.75" customHeight="1" x14ac:dyDescent="0.4">
      <c r="A469" s="59">
        <v>45542</v>
      </c>
      <c r="B469" s="32" t="s">
        <v>1059</v>
      </c>
      <c r="C469" s="32"/>
      <c r="D469" s="18" t="s">
        <v>17</v>
      </c>
      <c r="E469" s="63" t="s">
        <v>512</v>
      </c>
      <c r="F469" s="63" t="s">
        <v>3596</v>
      </c>
      <c r="G469" s="50" t="s">
        <v>3618</v>
      </c>
      <c r="H469" s="57">
        <v>55000</v>
      </c>
      <c r="I469" s="227">
        <v>-16500</v>
      </c>
      <c r="J469" s="57">
        <f t="shared" si="64"/>
        <v>38500</v>
      </c>
      <c r="K469" s="50">
        <v>1</v>
      </c>
      <c r="L469" s="57">
        <f t="shared" si="67"/>
        <v>38500</v>
      </c>
      <c r="M469" s="228">
        <f t="shared" si="68"/>
        <v>42350</v>
      </c>
      <c r="N469" s="18" t="s">
        <v>34</v>
      </c>
      <c r="O469" s="50"/>
      <c r="P469" s="52" t="s">
        <v>1557</v>
      </c>
    </row>
    <row r="470" spans="1:16" ht="21.75" customHeight="1" x14ac:dyDescent="0.4">
      <c r="A470" s="59">
        <v>45542</v>
      </c>
      <c r="B470" s="32" t="s">
        <v>1059</v>
      </c>
      <c r="C470" s="32"/>
      <c r="D470" s="18" t="s">
        <v>17</v>
      </c>
      <c r="E470" s="63" t="s">
        <v>512</v>
      </c>
      <c r="F470" s="63" t="s">
        <v>3599</v>
      </c>
      <c r="G470" s="50" t="s">
        <v>3939</v>
      </c>
      <c r="H470" s="57">
        <v>52000</v>
      </c>
      <c r="I470" s="227">
        <v>-15600</v>
      </c>
      <c r="J470" s="57">
        <f t="shared" si="64"/>
        <v>36400</v>
      </c>
      <c r="K470" s="50">
        <v>1</v>
      </c>
      <c r="L470" s="57">
        <f t="shared" si="67"/>
        <v>36400</v>
      </c>
      <c r="M470" s="228">
        <f t="shared" si="68"/>
        <v>40040</v>
      </c>
      <c r="N470" s="18" t="s">
        <v>34</v>
      </c>
      <c r="O470" s="50"/>
      <c r="P470" s="52" t="s">
        <v>1557</v>
      </c>
    </row>
    <row r="471" spans="1:16" ht="21.75" customHeight="1" x14ac:dyDescent="0.4">
      <c r="A471" s="59">
        <v>45542</v>
      </c>
      <c r="B471" s="32" t="s">
        <v>1059</v>
      </c>
      <c r="C471" s="32"/>
      <c r="D471" s="18" t="s">
        <v>17</v>
      </c>
      <c r="E471" s="63" t="s">
        <v>332</v>
      </c>
      <c r="F471" s="63" t="s">
        <v>3553</v>
      </c>
      <c r="G471" s="50" t="s">
        <v>3891</v>
      </c>
      <c r="H471" s="57">
        <v>1600</v>
      </c>
      <c r="I471" s="227">
        <v>-160</v>
      </c>
      <c r="J471" s="57">
        <f t="shared" si="64"/>
        <v>1440</v>
      </c>
      <c r="K471" s="50">
        <v>2</v>
      </c>
      <c r="L471" s="57">
        <f t="shared" si="67"/>
        <v>2880</v>
      </c>
      <c r="M471" s="228">
        <f t="shared" si="68"/>
        <v>3168</v>
      </c>
      <c r="N471" s="18" t="s">
        <v>34</v>
      </c>
      <c r="O471" s="50"/>
      <c r="P471" s="52" t="s">
        <v>1557</v>
      </c>
    </row>
    <row r="472" spans="1:16" ht="21.75" customHeight="1" x14ac:dyDescent="0.4">
      <c r="A472" s="59">
        <v>45542</v>
      </c>
      <c r="B472" s="32" t="s">
        <v>678</v>
      </c>
      <c r="C472" s="32"/>
      <c r="D472" s="18" t="s">
        <v>17</v>
      </c>
      <c r="E472" s="63" t="s">
        <v>307</v>
      </c>
      <c r="F472" s="63" t="s">
        <v>3642</v>
      </c>
      <c r="G472" s="50" t="s">
        <v>3892</v>
      </c>
      <c r="H472" s="57">
        <v>6300</v>
      </c>
      <c r="I472" s="227">
        <v>-630</v>
      </c>
      <c r="J472" s="57">
        <f t="shared" si="64"/>
        <v>5670</v>
      </c>
      <c r="K472" s="50">
        <v>1</v>
      </c>
      <c r="L472" s="57">
        <f t="shared" si="67"/>
        <v>5670</v>
      </c>
      <c r="M472" s="228">
        <f t="shared" si="68"/>
        <v>6237</v>
      </c>
      <c r="N472" s="18" t="s">
        <v>20</v>
      </c>
      <c r="O472" s="50"/>
    </row>
    <row r="473" spans="1:16" ht="21.75" customHeight="1" x14ac:dyDescent="0.4">
      <c r="A473" s="59">
        <v>45543</v>
      </c>
      <c r="B473" s="32" t="s">
        <v>3893</v>
      </c>
      <c r="C473" s="32"/>
      <c r="D473" s="18" t="s">
        <v>22</v>
      </c>
      <c r="E473" s="63" t="s">
        <v>1496</v>
      </c>
      <c r="F473" s="63"/>
      <c r="G473" s="50" t="s">
        <v>49</v>
      </c>
      <c r="H473" s="57">
        <v>3000</v>
      </c>
      <c r="I473" s="227"/>
      <c r="J473" s="57">
        <f t="shared" si="64"/>
        <v>3000</v>
      </c>
      <c r="K473" s="50">
        <v>1</v>
      </c>
      <c r="L473" s="57">
        <f t="shared" si="67"/>
        <v>3000</v>
      </c>
      <c r="M473" s="228">
        <f t="shared" si="68"/>
        <v>3300</v>
      </c>
      <c r="N473" s="18" t="s">
        <v>25</v>
      </c>
      <c r="O473" s="50" t="s">
        <v>1954</v>
      </c>
    </row>
    <row r="474" spans="1:16" ht="21.75" customHeight="1" x14ac:dyDescent="0.4">
      <c r="A474" s="59">
        <v>45543</v>
      </c>
      <c r="B474" s="32" t="s">
        <v>3894</v>
      </c>
      <c r="C474" s="32"/>
      <c r="D474" s="18" t="s">
        <v>2892</v>
      </c>
      <c r="E474" s="63" t="s">
        <v>23</v>
      </c>
      <c r="F474" s="63"/>
      <c r="G474" s="50" t="s">
        <v>96</v>
      </c>
      <c r="H474" s="57">
        <v>15000</v>
      </c>
      <c r="I474" s="227"/>
      <c r="J474" s="57">
        <f t="shared" si="64"/>
        <v>15000</v>
      </c>
      <c r="K474" s="50">
        <v>1</v>
      </c>
      <c r="L474" s="57">
        <f t="shared" si="67"/>
        <v>15000</v>
      </c>
      <c r="M474" s="228">
        <f t="shared" si="68"/>
        <v>16500</v>
      </c>
      <c r="N474" s="18" t="s">
        <v>25</v>
      </c>
      <c r="O474" s="50" t="s">
        <v>1954</v>
      </c>
    </row>
    <row r="475" spans="1:16" ht="21.75" customHeight="1" x14ac:dyDescent="0.4">
      <c r="A475" s="59">
        <v>45543</v>
      </c>
      <c r="B475" s="32" t="s">
        <v>3894</v>
      </c>
      <c r="C475" s="32"/>
      <c r="D475" s="18" t="s">
        <v>17</v>
      </c>
      <c r="E475" s="63" t="s">
        <v>512</v>
      </c>
      <c r="F475" s="63" t="s">
        <v>3599</v>
      </c>
      <c r="G475" s="50" t="s">
        <v>3940</v>
      </c>
      <c r="H475" s="57">
        <v>63000</v>
      </c>
      <c r="I475" s="227">
        <v>-12600</v>
      </c>
      <c r="J475" s="57">
        <f t="shared" si="64"/>
        <v>50400</v>
      </c>
      <c r="K475" s="50">
        <v>1</v>
      </c>
      <c r="L475" s="57">
        <f t="shared" si="67"/>
        <v>50400</v>
      </c>
      <c r="M475" s="228">
        <f t="shared" si="68"/>
        <v>55440</v>
      </c>
      <c r="N475" s="18" t="s">
        <v>34</v>
      </c>
      <c r="O475" s="50"/>
      <c r="P475" s="52" t="s">
        <v>1608</v>
      </c>
    </row>
    <row r="476" spans="1:16" ht="21.75" customHeight="1" x14ac:dyDescent="0.4">
      <c r="A476" s="59">
        <v>45543</v>
      </c>
      <c r="B476" s="32" t="s">
        <v>3894</v>
      </c>
      <c r="C476" s="32"/>
      <c r="D476" s="18" t="s">
        <v>17</v>
      </c>
      <c r="E476" s="63" t="s">
        <v>455</v>
      </c>
      <c r="F476" s="63" t="s">
        <v>3658</v>
      </c>
      <c r="G476" s="50" t="s">
        <v>3173</v>
      </c>
      <c r="H476" s="57">
        <v>1200</v>
      </c>
      <c r="I476" s="227"/>
      <c r="J476" s="57">
        <f t="shared" si="64"/>
        <v>1200</v>
      </c>
      <c r="K476" s="50">
        <v>1</v>
      </c>
      <c r="L476" s="57">
        <f t="shared" si="67"/>
        <v>1200</v>
      </c>
      <c r="M476" s="228">
        <f t="shared" si="68"/>
        <v>1320</v>
      </c>
      <c r="N476" s="18" t="s">
        <v>34</v>
      </c>
      <c r="O476" s="50"/>
      <c r="P476" s="52" t="s">
        <v>1608</v>
      </c>
    </row>
    <row r="477" spans="1:16" ht="21.75" customHeight="1" x14ac:dyDescent="0.4">
      <c r="A477" s="59">
        <v>45544</v>
      </c>
      <c r="B477" s="32" t="s">
        <v>2834</v>
      </c>
      <c r="C477" s="32"/>
      <c r="D477" s="18" t="s">
        <v>27</v>
      </c>
      <c r="E477" s="63" t="s">
        <v>28</v>
      </c>
      <c r="F477" s="63"/>
      <c r="G477" s="50" t="s">
        <v>73</v>
      </c>
      <c r="H477" s="57">
        <v>2000</v>
      </c>
      <c r="I477" s="227"/>
      <c r="J477" s="57">
        <f t="shared" si="64"/>
        <v>2000</v>
      </c>
      <c r="K477" s="50">
        <v>1</v>
      </c>
      <c r="L477" s="57">
        <f t="shared" si="67"/>
        <v>2000</v>
      </c>
      <c r="M477" s="228">
        <f t="shared" si="68"/>
        <v>2200</v>
      </c>
      <c r="N477" s="18" t="s">
        <v>25</v>
      </c>
      <c r="O477" s="50"/>
    </row>
    <row r="478" spans="1:16" ht="21.75" customHeight="1" x14ac:dyDescent="0.4">
      <c r="A478" s="59">
        <v>45544</v>
      </c>
      <c r="B478" s="32" t="s">
        <v>162</v>
      </c>
      <c r="C478" s="32"/>
      <c r="D478" s="18" t="s">
        <v>27</v>
      </c>
      <c r="E478" s="63" t="s">
        <v>28</v>
      </c>
      <c r="F478" s="63"/>
      <c r="G478" s="50" t="s">
        <v>3472</v>
      </c>
      <c r="H478" s="57">
        <v>2500</v>
      </c>
      <c r="I478" s="227"/>
      <c r="J478" s="57">
        <f t="shared" si="64"/>
        <v>2500</v>
      </c>
      <c r="K478" s="50">
        <v>1</v>
      </c>
      <c r="L478" s="57">
        <f t="shared" si="67"/>
        <v>2500</v>
      </c>
      <c r="M478" s="228">
        <f t="shared" si="68"/>
        <v>2750</v>
      </c>
      <c r="N478" s="18" t="s">
        <v>25</v>
      </c>
      <c r="O478" s="50"/>
    </row>
    <row r="479" spans="1:16" ht="21.75" customHeight="1" x14ac:dyDescent="0.4">
      <c r="A479" s="59">
        <v>45544</v>
      </c>
      <c r="B479" s="32" t="s">
        <v>162</v>
      </c>
      <c r="C479" s="32"/>
      <c r="D479" s="18" t="s">
        <v>27</v>
      </c>
      <c r="E479" s="63" t="s">
        <v>28</v>
      </c>
      <c r="F479" s="63"/>
      <c r="G479" s="50" t="s">
        <v>73</v>
      </c>
      <c r="H479" s="57">
        <v>2000</v>
      </c>
      <c r="I479" s="227"/>
      <c r="J479" s="57">
        <f t="shared" si="64"/>
        <v>2000</v>
      </c>
      <c r="K479" s="50">
        <v>1</v>
      </c>
      <c r="L479" s="57">
        <f t="shared" si="67"/>
        <v>2000</v>
      </c>
      <c r="M479" s="228">
        <f t="shared" si="68"/>
        <v>2200</v>
      </c>
      <c r="N479" s="18" t="s">
        <v>25</v>
      </c>
      <c r="O479" s="50"/>
    </row>
    <row r="480" spans="1:16" ht="21.75" customHeight="1" x14ac:dyDescent="0.4">
      <c r="A480" s="62">
        <v>45546</v>
      </c>
      <c r="B480" s="32" t="s">
        <v>3895</v>
      </c>
      <c r="C480" s="32"/>
      <c r="D480" s="18" t="s">
        <v>17</v>
      </c>
      <c r="E480" s="63" t="s">
        <v>512</v>
      </c>
      <c r="F480" s="63" t="s">
        <v>3941</v>
      </c>
      <c r="G480" s="50" t="s">
        <v>3896</v>
      </c>
      <c r="H480" s="57">
        <v>63000</v>
      </c>
      <c r="I480" s="227"/>
      <c r="J480" s="57">
        <f t="shared" si="64"/>
        <v>63000</v>
      </c>
      <c r="K480" s="50">
        <v>1</v>
      </c>
      <c r="L480" s="57">
        <f t="shared" si="67"/>
        <v>63000</v>
      </c>
      <c r="M480" s="228">
        <f t="shared" si="68"/>
        <v>69300</v>
      </c>
      <c r="N480" s="18" t="s">
        <v>34</v>
      </c>
      <c r="O480" s="50"/>
    </row>
    <row r="481" spans="1:16" ht="21.75" customHeight="1" x14ac:dyDescent="0.4">
      <c r="A481" s="62">
        <v>45546</v>
      </c>
      <c r="B481" s="32" t="s">
        <v>3895</v>
      </c>
      <c r="C481" s="32"/>
      <c r="D481" s="18" t="s">
        <v>17</v>
      </c>
      <c r="E481" s="63" t="s">
        <v>2186</v>
      </c>
      <c r="F481" s="63" t="s">
        <v>1468</v>
      </c>
      <c r="G481" s="50" t="s">
        <v>3942</v>
      </c>
      <c r="H481" s="57">
        <v>70000</v>
      </c>
      <c r="I481" s="227"/>
      <c r="J481" s="57">
        <f t="shared" si="64"/>
        <v>70000</v>
      </c>
      <c r="K481" s="50">
        <v>1</v>
      </c>
      <c r="L481" s="57">
        <f t="shared" si="67"/>
        <v>70000</v>
      </c>
      <c r="M481" s="228">
        <f t="shared" si="68"/>
        <v>77000</v>
      </c>
      <c r="N481" s="18" t="s">
        <v>34</v>
      </c>
      <c r="O481" s="50"/>
    </row>
    <row r="482" spans="1:16" ht="21.75" customHeight="1" x14ac:dyDescent="0.4">
      <c r="A482" s="62">
        <v>45546</v>
      </c>
      <c r="B482" s="32" t="s">
        <v>3895</v>
      </c>
      <c r="C482" s="32"/>
      <c r="D482" s="18" t="s">
        <v>17</v>
      </c>
      <c r="E482" s="63" t="s">
        <v>455</v>
      </c>
      <c r="F482" s="63" t="s">
        <v>3658</v>
      </c>
      <c r="G482" s="50" t="s">
        <v>3173</v>
      </c>
      <c r="H482" s="57">
        <v>1200</v>
      </c>
      <c r="I482" s="227"/>
      <c r="J482" s="57">
        <f t="shared" si="64"/>
        <v>1200</v>
      </c>
      <c r="K482" s="50">
        <v>1</v>
      </c>
      <c r="L482" s="57">
        <f t="shared" si="67"/>
        <v>1200</v>
      </c>
      <c r="M482" s="228">
        <f t="shared" si="68"/>
        <v>1320</v>
      </c>
      <c r="N482" s="18" t="s">
        <v>34</v>
      </c>
      <c r="O482" s="50"/>
    </row>
    <row r="483" spans="1:16" ht="21.75" customHeight="1" x14ac:dyDescent="0.4">
      <c r="A483" s="62">
        <v>45546</v>
      </c>
      <c r="B483" s="32" t="s">
        <v>3897</v>
      </c>
      <c r="C483" s="32"/>
      <c r="D483" s="18" t="s">
        <v>27</v>
      </c>
      <c r="E483" s="63" t="s">
        <v>28</v>
      </c>
      <c r="F483" s="63"/>
      <c r="G483" s="50" t="s">
        <v>318</v>
      </c>
      <c r="H483" s="57">
        <v>15000</v>
      </c>
      <c r="I483" s="227"/>
      <c r="J483" s="57">
        <f t="shared" si="64"/>
        <v>15000</v>
      </c>
      <c r="K483" s="50">
        <v>1</v>
      </c>
      <c r="L483" s="57">
        <f t="shared" si="67"/>
        <v>15000</v>
      </c>
      <c r="M483" s="228">
        <f t="shared" si="68"/>
        <v>16500</v>
      </c>
      <c r="N483" s="18" t="s">
        <v>25</v>
      </c>
      <c r="O483" s="50"/>
    </row>
    <row r="484" spans="1:16" ht="21.75" customHeight="1" x14ac:dyDescent="0.4">
      <c r="A484" s="62">
        <v>45546</v>
      </c>
      <c r="B484" s="32" t="s">
        <v>3897</v>
      </c>
      <c r="C484" s="32"/>
      <c r="D484" s="18" t="s">
        <v>27</v>
      </c>
      <c r="E484" s="63" t="s">
        <v>28</v>
      </c>
      <c r="F484" s="63"/>
      <c r="G484" s="50" t="s">
        <v>79</v>
      </c>
      <c r="H484" s="57">
        <v>17500</v>
      </c>
      <c r="I484" s="227"/>
      <c r="J484" s="57">
        <f t="shared" si="64"/>
        <v>17500</v>
      </c>
      <c r="K484" s="50">
        <v>1</v>
      </c>
      <c r="L484" s="57">
        <f t="shared" si="67"/>
        <v>17500</v>
      </c>
      <c r="M484" s="228">
        <f t="shared" si="68"/>
        <v>19250</v>
      </c>
      <c r="N484" s="18" t="s">
        <v>25</v>
      </c>
      <c r="O484" s="50"/>
    </row>
    <row r="485" spans="1:16" ht="21.75" customHeight="1" x14ac:dyDescent="0.4">
      <c r="A485" s="62">
        <v>45546</v>
      </c>
      <c r="B485" s="32" t="s">
        <v>3897</v>
      </c>
      <c r="C485" s="32"/>
      <c r="D485" s="18" t="s">
        <v>27</v>
      </c>
      <c r="E485" s="63" t="s">
        <v>28</v>
      </c>
      <c r="F485" s="63"/>
      <c r="G485" s="50" t="s">
        <v>3898</v>
      </c>
      <c r="H485" s="57">
        <v>13120</v>
      </c>
      <c r="I485" s="227"/>
      <c r="J485" s="57">
        <f t="shared" si="64"/>
        <v>13120</v>
      </c>
      <c r="K485" s="50">
        <v>1</v>
      </c>
      <c r="L485" s="57">
        <f t="shared" si="67"/>
        <v>13120</v>
      </c>
      <c r="M485" s="228">
        <f t="shared" si="68"/>
        <v>14432</v>
      </c>
      <c r="N485" s="18" t="s">
        <v>25</v>
      </c>
      <c r="O485" s="50"/>
    </row>
    <row r="486" spans="1:16" ht="21.75" customHeight="1" x14ac:dyDescent="0.4">
      <c r="A486" s="62">
        <v>45546</v>
      </c>
      <c r="B486" s="32" t="s">
        <v>148</v>
      </c>
      <c r="C486" s="32"/>
      <c r="D486" s="18" t="s">
        <v>17</v>
      </c>
      <c r="E486" s="63" t="s">
        <v>512</v>
      </c>
      <c r="F486" s="63" t="s">
        <v>3596</v>
      </c>
      <c r="G486" s="50" t="s">
        <v>3943</v>
      </c>
      <c r="H486" s="57">
        <v>40000</v>
      </c>
      <c r="I486" s="227">
        <v>-4000</v>
      </c>
      <c r="J486" s="57">
        <f t="shared" si="64"/>
        <v>36000</v>
      </c>
      <c r="K486" s="50">
        <v>1</v>
      </c>
      <c r="L486" s="57">
        <f t="shared" si="67"/>
        <v>36000</v>
      </c>
      <c r="M486" s="228">
        <f t="shared" si="68"/>
        <v>39600</v>
      </c>
      <c r="N486" s="18" t="s">
        <v>20</v>
      </c>
      <c r="O486" s="50"/>
      <c r="P486" s="52" t="s">
        <v>2141</v>
      </c>
    </row>
    <row r="487" spans="1:16" ht="21.75" customHeight="1" x14ac:dyDescent="0.4">
      <c r="A487" s="62">
        <v>45546</v>
      </c>
      <c r="B487" s="32" t="s">
        <v>148</v>
      </c>
      <c r="C487" s="32"/>
      <c r="D487" s="18" t="s">
        <v>17</v>
      </c>
      <c r="E487" s="63" t="s">
        <v>455</v>
      </c>
      <c r="F487" s="63" t="s">
        <v>3658</v>
      </c>
      <c r="G487" s="50" t="s">
        <v>3173</v>
      </c>
      <c r="H487" s="57">
        <v>1200</v>
      </c>
      <c r="I487" s="227">
        <v>-120</v>
      </c>
      <c r="J487" s="57">
        <f t="shared" si="64"/>
        <v>1080</v>
      </c>
      <c r="K487" s="50">
        <v>1</v>
      </c>
      <c r="L487" s="57">
        <f t="shared" si="67"/>
        <v>1080</v>
      </c>
      <c r="M487" s="228">
        <f t="shared" si="68"/>
        <v>1188</v>
      </c>
      <c r="N487" s="18" t="s">
        <v>20</v>
      </c>
      <c r="O487" s="50"/>
      <c r="P487" s="52" t="s">
        <v>2141</v>
      </c>
    </row>
    <row r="488" spans="1:16" ht="21.75" customHeight="1" x14ac:dyDescent="0.4">
      <c r="A488" s="62">
        <v>45547</v>
      </c>
      <c r="B488" s="32" t="s">
        <v>3899</v>
      </c>
      <c r="C488" s="32"/>
      <c r="D488" s="18" t="s">
        <v>22</v>
      </c>
      <c r="E488" s="63" t="s">
        <v>1496</v>
      </c>
      <c r="F488" s="63"/>
      <c r="G488" s="50" t="s">
        <v>49</v>
      </c>
      <c r="H488" s="57">
        <v>3000</v>
      </c>
      <c r="I488" s="227"/>
      <c r="J488" s="57">
        <f t="shared" si="64"/>
        <v>3000</v>
      </c>
      <c r="K488" s="50">
        <v>1</v>
      </c>
      <c r="L488" s="57">
        <f t="shared" si="67"/>
        <v>3000</v>
      </c>
      <c r="M488" s="228">
        <f t="shared" si="68"/>
        <v>3300</v>
      </c>
      <c r="N488" s="18" t="s">
        <v>20</v>
      </c>
      <c r="O488" s="50" t="s">
        <v>1954</v>
      </c>
    </row>
    <row r="489" spans="1:16" ht="21.75" customHeight="1" x14ac:dyDescent="0.4">
      <c r="A489" s="62">
        <v>45547</v>
      </c>
      <c r="B489" s="32" t="s">
        <v>3897</v>
      </c>
      <c r="C489" s="32"/>
      <c r="D489" s="18" t="s">
        <v>17</v>
      </c>
      <c r="E489" s="63" t="s">
        <v>332</v>
      </c>
      <c r="F489" s="63" t="s">
        <v>3553</v>
      </c>
      <c r="G489" s="50" t="s">
        <v>3900</v>
      </c>
      <c r="H489" s="57">
        <v>1800</v>
      </c>
      <c r="I489" s="227">
        <v>-180</v>
      </c>
      <c r="J489" s="57">
        <f t="shared" si="64"/>
        <v>1620</v>
      </c>
      <c r="K489" s="50">
        <v>1</v>
      </c>
      <c r="L489" s="57">
        <f t="shared" si="67"/>
        <v>1620</v>
      </c>
      <c r="M489" s="228">
        <f t="shared" si="68"/>
        <v>1782</v>
      </c>
      <c r="N489" s="18" t="s">
        <v>20</v>
      </c>
      <c r="O489" s="50"/>
    </row>
    <row r="490" spans="1:16" ht="21.75" customHeight="1" x14ac:dyDescent="0.4">
      <c r="A490" s="62">
        <v>45547</v>
      </c>
      <c r="B490" s="32" t="s">
        <v>984</v>
      </c>
      <c r="C490" s="32"/>
      <c r="D490" s="18" t="s">
        <v>17</v>
      </c>
      <c r="E490" s="63" t="s">
        <v>332</v>
      </c>
      <c r="F490" s="63" t="s">
        <v>3553</v>
      </c>
      <c r="G490" s="50" t="s">
        <v>3901</v>
      </c>
      <c r="H490" s="57">
        <v>1600</v>
      </c>
      <c r="I490" s="227">
        <v>-160</v>
      </c>
      <c r="J490" s="57">
        <f t="shared" si="64"/>
        <v>1440</v>
      </c>
      <c r="K490" s="50">
        <v>1</v>
      </c>
      <c r="L490" s="57">
        <f t="shared" si="67"/>
        <v>1440</v>
      </c>
      <c r="M490" s="228">
        <f t="shared" si="68"/>
        <v>1584</v>
      </c>
      <c r="N490" s="18" t="s">
        <v>25</v>
      </c>
      <c r="O490" s="50"/>
    </row>
    <row r="491" spans="1:16" ht="21.75" customHeight="1" x14ac:dyDescent="0.4">
      <c r="A491" s="62">
        <v>45547</v>
      </c>
      <c r="B491" s="32" t="s">
        <v>984</v>
      </c>
      <c r="C491" s="32"/>
      <c r="D491" s="18" t="s">
        <v>17</v>
      </c>
      <c r="E491" s="63" t="s">
        <v>332</v>
      </c>
      <c r="F491" s="63" t="s">
        <v>3553</v>
      </c>
      <c r="G491" s="50" t="s">
        <v>3668</v>
      </c>
      <c r="H491" s="57">
        <v>1600</v>
      </c>
      <c r="I491" s="227">
        <v>-160</v>
      </c>
      <c r="J491" s="57">
        <f t="shared" si="64"/>
        <v>1440</v>
      </c>
      <c r="K491" s="50">
        <v>1</v>
      </c>
      <c r="L491" s="57">
        <f t="shared" si="67"/>
        <v>1440</v>
      </c>
      <c r="M491" s="228">
        <f t="shared" si="68"/>
        <v>1584</v>
      </c>
      <c r="N491" s="18" t="s">
        <v>25</v>
      </c>
      <c r="O491" s="50"/>
    </row>
    <row r="492" spans="1:16" ht="21.75" customHeight="1" x14ac:dyDescent="0.4">
      <c r="A492" s="62">
        <v>45547</v>
      </c>
      <c r="B492" s="32" t="s">
        <v>3899</v>
      </c>
      <c r="C492" s="32"/>
      <c r="D492" s="18" t="s">
        <v>22</v>
      </c>
      <c r="E492" s="63" t="s">
        <v>1496</v>
      </c>
      <c r="F492" s="63"/>
      <c r="G492" s="50" t="s">
        <v>3470</v>
      </c>
      <c r="H492" s="57">
        <v>2000</v>
      </c>
      <c r="I492" s="227"/>
      <c r="J492" s="57">
        <f t="shared" si="64"/>
        <v>2000</v>
      </c>
      <c r="K492" s="50">
        <v>1</v>
      </c>
      <c r="L492" s="57">
        <f t="shared" si="67"/>
        <v>2000</v>
      </c>
      <c r="M492" s="228">
        <f t="shared" si="68"/>
        <v>2200</v>
      </c>
      <c r="N492" s="18" t="s">
        <v>20</v>
      </c>
      <c r="O492" s="50"/>
    </row>
    <row r="493" spans="1:16" ht="21.75" customHeight="1" x14ac:dyDescent="0.4">
      <c r="A493" s="62">
        <v>45547</v>
      </c>
      <c r="B493" s="32" t="s">
        <v>582</v>
      </c>
      <c r="C493" s="32"/>
      <c r="D493" s="18" t="s">
        <v>17</v>
      </c>
      <c r="E493" s="63" t="s">
        <v>3902</v>
      </c>
      <c r="F493" s="63" t="s">
        <v>3553</v>
      </c>
      <c r="G493" s="50" t="s">
        <v>3903</v>
      </c>
      <c r="H493" s="57">
        <v>12000</v>
      </c>
      <c r="I493" s="227">
        <v>-1200</v>
      </c>
      <c r="J493" s="57">
        <f t="shared" si="64"/>
        <v>10800</v>
      </c>
      <c r="K493" s="50">
        <v>1</v>
      </c>
      <c r="L493" s="57">
        <f t="shared" si="67"/>
        <v>10800</v>
      </c>
      <c r="M493" s="228">
        <f t="shared" si="68"/>
        <v>11880</v>
      </c>
      <c r="N493" s="18" t="s">
        <v>20</v>
      </c>
      <c r="O493" s="50"/>
    </row>
    <row r="494" spans="1:16" ht="21.75" customHeight="1" x14ac:dyDescent="0.4">
      <c r="A494" s="62">
        <v>45548</v>
      </c>
      <c r="B494" s="32" t="s">
        <v>3904</v>
      </c>
      <c r="C494" s="32"/>
      <c r="D494" s="18" t="s">
        <v>17</v>
      </c>
      <c r="E494" s="63" t="s">
        <v>307</v>
      </c>
      <c r="F494" s="63" t="s">
        <v>1051</v>
      </c>
      <c r="G494" s="50" t="s">
        <v>3653</v>
      </c>
      <c r="H494" s="57">
        <v>5500</v>
      </c>
      <c r="I494" s="227"/>
      <c r="J494" s="57">
        <f t="shared" si="64"/>
        <v>5500</v>
      </c>
      <c r="K494" s="50">
        <v>2</v>
      </c>
      <c r="L494" s="57">
        <f t="shared" si="67"/>
        <v>11000</v>
      </c>
      <c r="M494" s="228">
        <f t="shared" si="68"/>
        <v>12100</v>
      </c>
      <c r="N494" s="18" t="s">
        <v>1057</v>
      </c>
      <c r="O494" s="50" t="s">
        <v>3905</v>
      </c>
    </row>
    <row r="495" spans="1:16" ht="21.75" customHeight="1" x14ac:dyDescent="0.4">
      <c r="A495" s="62">
        <v>45549</v>
      </c>
      <c r="B495" s="32" t="s">
        <v>1257</v>
      </c>
      <c r="C495" s="32"/>
      <c r="D495" s="18" t="s">
        <v>22</v>
      </c>
      <c r="E495" s="63" t="s">
        <v>1496</v>
      </c>
      <c r="F495" s="63"/>
      <c r="G495" s="50" t="s">
        <v>51</v>
      </c>
      <c r="H495" s="57">
        <v>4500</v>
      </c>
      <c r="I495" s="227"/>
      <c r="J495" s="57">
        <f t="shared" si="64"/>
        <v>4500</v>
      </c>
      <c r="K495" s="50">
        <v>1</v>
      </c>
      <c r="L495" s="57">
        <f t="shared" si="67"/>
        <v>4500</v>
      </c>
      <c r="M495" s="228">
        <f t="shared" si="68"/>
        <v>4950</v>
      </c>
      <c r="N495" s="18" t="s">
        <v>25</v>
      </c>
      <c r="O495" s="50"/>
    </row>
    <row r="496" spans="1:16" ht="21.75" customHeight="1" x14ac:dyDescent="0.4">
      <c r="A496" s="62">
        <v>45549</v>
      </c>
      <c r="B496" s="32" t="s">
        <v>3906</v>
      </c>
      <c r="C496" s="32"/>
      <c r="D496" s="18" t="s">
        <v>2892</v>
      </c>
      <c r="E496" s="63" t="s">
        <v>23</v>
      </c>
      <c r="F496" s="63"/>
      <c r="G496" s="50" t="s">
        <v>3907</v>
      </c>
      <c r="H496" s="57">
        <v>20000</v>
      </c>
      <c r="I496" s="227">
        <v>-5000</v>
      </c>
      <c r="J496" s="57">
        <f t="shared" si="64"/>
        <v>15000</v>
      </c>
      <c r="K496" s="50">
        <v>1</v>
      </c>
      <c r="L496" s="57">
        <f t="shared" si="67"/>
        <v>15000</v>
      </c>
      <c r="M496" s="228">
        <f t="shared" si="68"/>
        <v>16500</v>
      </c>
      <c r="N496" s="18" t="s">
        <v>20</v>
      </c>
      <c r="O496" s="159" t="s">
        <v>3944</v>
      </c>
    </row>
    <row r="497" spans="1:16" ht="21.75" customHeight="1" x14ac:dyDescent="0.4">
      <c r="A497" s="62">
        <v>45549</v>
      </c>
      <c r="B497" s="32" t="s">
        <v>3682</v>
      </c>
      <c r="C497" s="32"/>
      <c r="D497" s="18" t="s">
        <v>17</v>
      </c>
      <c r="E497" s="63" t="s">
        <v>512</v>
      </c>
      <c r="F497" s="63" t="s">
        <v>3945</v>
      </c>
      <c r="G497" s="50" t="s">
        <v>3908</v>
      </c>
      <c r="H497" s="57">
        <v>5600</v>
      </c>
      <c r="I497" s="227">
        <v>-560</v>
      </c>
      <c r="J497" s="57">
        <f t="shared" si="64"/>
        <v>5040</v>
      </c>
      <c r="K497" s="50">
        <v>1</v>
      </c>
      <c r="L497" s="57">
        <f t="shared" si="67"/>
        <v>5040</v>
      </c>
      <c r="M497" s="228">
        <f t="shared" si="68"/>
        <v>5544</v>
      </c>
      <c r="N497" s="18" t="s">
        <v>25</v>
      </c>
      <c r="O497" s="50"/>
    </row>
    <row r="498" spans="1:16" ht="21.75" customHeight="1" x14ac:dyDescent="0.4">
      <c r="A498" s="62">
        <v>45551</v>
      </c>
      <c r="B498" s="32" t="s">
        <v>3909</v>
      </c>
      <c r="C498" s="32"/>
      <c r="D498" s="18" t="s">
        <v>22</v>
      </c>
      <c r="E498" s="63" t="s">
        <v>1496</v>
      </c>
      <c r="F498" s="63"/>
      <c r="G498" s="50" t="s">
        <v>49</v>
      </c>
      <c r="H498" s="57">
        <v>3000</v>
      </c>
      <c r="I498" s="227"/>
      <c r="J498" s="57">
        <f t="shared" si="64"/>
        <v>3000</v>
      </c>
      <c r="K498" s="50">
        <v>1</v>
      </c>
      <c r="L498" s="57">
        <f t="shared" si="67"/>
        <v>3000</v>
      </c>
      <c r="M498" s="228">
        <f t="shared" si="68"/>
        <v>3300</v>
      </c>
      <c r="N498" s="18" t="s">
        <v>20</v>
      </c>
      <c r="O498" s="50" t="s">
        <v>1954</v>
      </c>
    </row>
    <row r="499" spans="1:16" ht="21.75" customHeight="1" x14ac:dyDescent="0.4">
      <c r="A499" s="62">
        <v>45551</v>
      </c>
      <c r="B499" s="32" t="s">
        <v>1541</v>
      </c>
      <c r="C499" s="32"/>
      <c r="D499" s="18" t="s">
        <v>17</v>
      </c>
      <c r="E499" s="63" t="s">
        <v>332</v>
      </c>
      <c r="F499" s="63" t="s">
        <v>3946</v>
      </c>
      <c r="G499" s="50" t="s">
        <v>3910</v>
      </c>
      <c r="H499" s="57">
        <v>2400</v>
      </c>
      <c r="I499" s="227">
        <v>-240</v>
      </c>
      <c r="J499" s="57">
        <f t="shared" si="64"/>
        <v>2160</v>
      </c>
      <c r="K499" s="50">
        <v>1</v>
      </c>
      <c r="L499" s="57">
        <f t="shared" si="67"/>
        <v>2160</v>
      </c>
      <c r="M499" s="228">
        <f t="shared" si="68"/>
        <v>2376</v>
      </c>
      <c r="N499" s="18" t="s">
        <v>25</v>
      </c>
      <c r="O499" s="50"/>
    </row>
    <row r="500" spans="1:16" ht="21.75" customHeight="1" x14ac:dyDescent="0.4">
      <c r="A500" s="62">
        <v>45553</v>
      </c>
      <c r="B500" s="32" t="s">
        <v>1004</v>
      </c>
      <c r="C500" s="32"/>
      <c r="D500" s="18" t="s">
        <v>27</v>
      </c>
      <c r="E500" s="63" t="s">
        <v>28</v>
      </c>
      <c r="F500" s="63"/>
      <c r="G500" s="50" t="s">
        <v>73</v>
      </c>
      <c r="H500" s="57">
        <v>4000</v>
      </c>
      <c r="I500" s="227"/>
      <c r="J500" s="57">
        <f t="shared" si="64"/>
        <v>4000</v>
      </c>
      <c r="K500" s="50">
        <v>1</v>
      </c>
      <c r="L500" s="57">
        <f t="shared" si="67"/>
        <v>4000</v>
      </c>
      <c r="M500" s="228">
        <f t="shared" si="68"/>
        <v>4400</v>
      </c>
      <c r="N500" s="18" t="s">
        <v>20</v>
      </c>
      <c r="O500" s="50"/>
    </row>
    <row r="501" spans="1:16" ht="21.75" customHeight="1" x14ac:dyDescent="0.4">
      <c r="A501" s="62">
        <v>45553</v>
      </c>
      <c r="B501" s="32" t="s">
        <v>3911</v>
      </c>
      <c r="C501" s="32"/>
      <c r="D501" s="18" t="s">
        <v>27</v>
      </c>
      <c r="E501" s="63" t="s">
        <v>28</v>
      </c>
      <c r="F501" s="63"/>
      <c r="G501" s="50" t="s">
        <v>318</v>
      </c>
      <c r="H501" s="57">
        <v>15000</v>
      </c>
      <c r="I501" s="227"/>
      <c r="J501" s="57">
        <f t="shared" si="64"/>
        <v>15000</v>
      </c>
      <c r="K501" s="50">
        <v>1</v>
      </c>
      <c r="L501" s="57">
        <f t="shared" si="67"/>
        <v>15000</v>
      </c>
      <c r="M501" s="228">
        <f t="shared" si="68"/>
        <v>16500</v>
      </c>
      <c r="N501" s="18" t="s">
        <v>25</v>
      </c>
      <c r="O501" s="50"/>
    </row>
    <row r="502" spans="1:16" ht="21.75" customHeight="1" x14ac:dyDescent="0.4">
      <c r="A502" s="62">
        <v>45553</v>
      </c>
      <c r="B502" s="32" t="s">
        <v>3911</v>
      </c>
      <c r="C502" s="32"/>
      <c r="D502" s="18" t="s">
        <v>27</v>
      </c>
      <c r="E502" s="63" t="s">
        <v>28</v>
      </c>
      <c r="F502" s="63"/>
      <c r="G502" s="50" t="s">
        <v>79</v>
      </c>
      <c r="H502" s="57">
        <v>17500</v>
      </c>
      <c r="I502" s="227"/>
      <c r="J502" s="57">
        <f t="shared" si="64"/>
        <v>17500</v>
      </c>
      <c r="K502" s="50">
        <v>1</v>
      </c>
      <c r="L502" s="57">
        <f t="shared" si="67"/>
        <v>17500</v>
      </c>
      <c r="M502" s="228">
        <f t="shared" si="68"/>
        <v>19250</v>
      </c>
      <c r="N502" s="18" t="s">
        <v>25</v>
      </c>
      <c r="O502" s="50"/>
    </row>
    <row r="503" spans="1:16" ht="21.75" customHeight="1" x14ac:dyDescent="0.4">
      <c r="A503" s="62">
        <v>45554</v>
      </c>
      <c r="B503" s="32" t="s">
        <v>3912</v>
      </c>
      <c r="C503" s="32"/>
      <c r="D503" s="18" t="s">
        <v>27</v>
      </c>
      <c r="E503" s="63" t="s">
        <v>28</v>
      </c>
      <c r="F503" s="63"/>
      <c r="G503" s="50" t="s">
        <v>3947</v>
      </c>
      <c r="H503" s="57">
        <v>17500</v>
      </c>
      <c r="I503" s="227"/>
      <c r="J503" s="57">
        <f t="shared" si="64"/>
        <v>17500</v>
      </c>
      <c r="K503" s="50">
        <v>1</v>
      </c>
      <c r="L503" s="57">
        <f t="shared" si="67"/>
        <v>17500</v>
      </c>
      <c r="M503" s="228">
        <f t="shared" si="68"/>
        <v>19250</v>
      </c>
      <c r="N503" s="18" t="s">
        <v>25</v>
      </c>
      <c r="O503" s="50"/>
    </row>
    <row r="504" spans="1:16" ht="21.75" customHeight="1" x14ac:dyDescent="0.4">
      <c r="A504" s="62">
        <v>45554</v>
      </c>
      <c r="B504" s="32" t="s">
        <v>3912</v>
      </c>
      <c r="C504" s="32"/>
      <c r="D504" s="18" t="s">
        <v>27</v>
      </c>
      <c r="E504" s="63" t="s">
        <v>28</v>
      </c>
      <c r="F504" s="63"/>
      <c r="G504" s="50" t="s">
        <v>79</v>
      </c>
      <c r="H504" s="57">
        <v>17500</v>
      </c>
      <c r="I504" s="227"/>
      <c r="J504" s="57">
        <f t="shared" si="64"/>
        <v>17500</v>
      </c>
      <c r="K504" s="50">
        <v>1</v>
      </c>
      <c r="L504" s="57">
        <f t="shared" si="67"/>
        <v>17500</v>
      </c>
      <c r="M504" s="228">
        <f t="shared" si="68"/>
        <v>19250</v>
      </c>
      <c r="N504" s="18" t="s">
        <v>25</v>
      </c>
      <c r="O504" s="50"/>
    </row>
    <row r="505" spans="1:16" ht="21.75" customHeight="1" x14ac:dyDescent="0.4">
      <c r="A505" s="62">
        <v>45554</v>
      </c>
      <c r="B505" s="32" t="s">
        <v>179</v>
      </c>
      <c r="C505" s="32"/>
      <c r="D505" s="18" t="s">
        <v>17</v>
      </c>
      <c r="E505" s="63" t="s">
        <v>332</v>
      </c>
      <c r="F505" s="63" t="s">
        <v>3553</v>
      </c>
      <c r="G505" s="50" t="s">
        <v>3913</v>
      </c>
      <c r="H505" s="57">
        <v>3500</v>
      </c>
      <c r="I505" s="227"/>
      <c r="J505" s="57">
        <f t="shared" si="64"/>
        <v>3500</v>
      </c>
      <c r="K505" s="50">
        <v>1</v>
      </c>
      <c r="L505" s="57">
        <f t="shared" si="67"/>
        <v>3500</v>
      </c>
      <c r="M505" s="228">
        <f t="shared" si="68"/>
        <v>3850</v>
      </c>
      <c r="N505" s="18" t="s">
        <v>20</v>
      </c>
      <c r="O505" s="50"/>
    </row>
    <row r="506" spans="1:16" ht="21.75" customHeight="1" x14ac:dyDescent="0.4">
      <c r="A506" s="62">
        <v>45555</v>
      </c>
      <c r="B506" s="32" t="s">
        <v>3948</v>
      </c>
      <c r="C506" s="32"/>
      <c r="D506" s="18" t="s">
        <v>27</v>
      </c>
      <c r="E506" s="63" t="s">
        <v>28</v>
      </c>
      <c r="F506" s="63"/>
      <c r="G506" s="50" t="s">
        <v>3914</v>
      </c>
      <c r="H506" s="57">
        <v>9187</v>
      </c>
      <c r="I506" s="227"/>
      <c r="J506" s="57">
        <f t="shared" si="64"/>
        <v>9187</v>
      </c>
      <c r="K506" s="50">
        <v>1</v>
      </c>
      <c r="L506" s="57">
        <f t="shared" si="67"/>
        <v>9187</v>
      </c>
      <c r="M506" s="228">
        <f t="shared" si="68"/>
        <v>10105</v>
      </c>
      <c r="N506" s="18" t="s">
        <v>25</v>
      </c>
      <c r="O506" s="50"/>
    </row>
    <row r="507" spans="1:16" ht="21.75" customHeight="1" x14ac:dyDescent="0.4">
      <c r="A507" s="62">
        <v>45556</v>
      </c>
      <c r="B507" s="37" t="s">
        <v>3922</v>
      </c>
      <c r="D507" s="18" t="s">
        <v>2892</v>
      </c>
      <c r="E507" s="63" t="s">
        <v>23</v>
      </c>
      <c r="F507" s="63"/>
      <c r="G507" s="50" t="s">
        <v>96</v>
      </c>
      <c r="H507" s="90">
        <v>15000</v>
      </c>
      <c r="I507" s="227"/>
      <c r="J507" s="57">
        <f t="shared" si="64"/>
        <v>15000</v>
      </c>
      <c r="K507" s="50">
        <v>1</v>
      </c>
      <c r="L507" s="57">
        <f t="shared" si="67"/>
        <v>15000</v>
      </c>
      <c r="M507" s="228">
        <f t="shared" si="68"/>
        <v>16500</v>
      </c>
      <c r="N507" s="18" t="s">
        <v>25</v>
      </c>
      <c r="O507" s="50"/>
    </row>
    <row r="508" spans="1:16" ht="21.75" customHeight="1" x14ac:dyDescent="0.4">
      <c r="A508" s="62">
        <v>45556</v>
      </c>
      <c r="B508" s="32" t="s">
        <v>1257</v>
      </c>
      <c r="C508" s="32"/>
      <c r="D508" s="18" t="s">
        <v>2892</v>
      </c>
      <c r="E508" s="63" t="s">
        <v>23</v>
      </c>
      <c r="F508" s="63"/>
      <c r="G508" s="50" t="s">
        <v>3937</v>
      </c>
      <c r="H508" s="57">
        <v>10000</v>
      </c>
      <c r="I508" s="227"/>
      <c r="J508" s="57">
        <f t="shared" si="64"/>
        <v>10000</v>
      </c>
      <c r="K508" s="50">
        <v>1</v>
      </c>
      <c r="L508" s="57">
        <f t="shared" si="67"/>
        <v>10000</v>
      </c>
      <c r="M508" s="228">
        <f t="shared" si="68"/>
        <v>11000</v>
      </c>
      <c r="N508" s="18" t="s">
        <v>25</v>
      </c>
      <c r="O508" s="50"/>
    </row>
    <row r="509" spans="1:16" ht="21.75" customHeight="1" x14ac:dyDescent="0.4">
      <c r="A509" s="62">
        <v>45556</v>
      </c>
      <c r="B509" s="32" t="s">
        <v>1257</v>
      </c>
      <c r="C509" s="32"/>
      <c r="D509" s="18" t="s">
        <v>17</v>
      </c>
      <c r="E509" s="63" t="s">
        <v>512</v>
      </c>
      <c r="F509" s="63" t="s">
        <v>3596</v>
      </c>
      <c r="G509" s="50" t="s">
        <v>3949</v>
      </c>
      <c r="H509" s="57">
        <v>18000</v>
      </c>
      <c r="I509" s="227">
        <v>-5400</v>
      </c>
      <c r="J509" s="57">
        <f t="shared" si="64"/>
        <v>12600</v>
      </c>
      <c r="K509" s="50">
        <v>1</v>
      </c>
      <c r="L509" s="57">
        <f t="shared" si="67"/>
        <v>12600</v>
      </c>
      <c r="M509" s="228">
        <f t="shared" si="68"/>
        <v>13860</v>
      </c>
      <c r="N509" s="18" t="s">
        <v>34</v>
      </c>
      <c r="O509" s="50"/>
      <c r="P509" s="52" t="s">
        <v>1557</v>
      </c>
    </row>
    <row r="510" spans="1:16" ht="21.75" customHeight="1" x14ac:dyDescent="0.4">
      <c r="A510" s="62">
        <v>45556</v>
      </c>
      <c r="B510" s="32" t="s">
        <v>1257</v>
      </c>
      <c r="C510" s="32"/>
      <c r="D510" s="18" t="s">
        <v>17</v>
      </c>
      <c r="E510" s="63" t="s">
        <v>512</v>
      </c>
      <c r="F510" s="63" t="s">
        <v>3598</v>
      </c>
      <c r="G510" s="50" t="s">
        <v>3950</v>
      </c>
      <c r="H510" s="57">
        <v>45000</v>
      </c>
      <c r="I510" s="227">
        <v>-13500</v>
      </c>
      <c r="J510" s="57">
        <f t="shared" si="64"/>
        <v>31500</v>
      </c>
      <c r="K510" s="50">
        <v>1</v>
      </c>
      <c r="L510" s="57">
        <f t="shared" si="67"/>
        <v>31500</v>
      </c>
      <c r="M510" s="228">
        <f t="shared" si="68"/>
        <v>34650</v>
      </c>
      <c r="N510" s="18" t="s">
        <v>34</v>
      </c>
      <c r="O510" s="50"/>
      <c r="P510" s="52" t="s">
        <v>1557</v>
      </c>
    </row>
    <row r="511" spans="1:16" ht="21.75" customHeight="1" x14ac:dyDescent="0.4">
      <c r="A511" s="62">
        <v>45556</v>
      </c>
      <c r="B511" s="32" t="s">
        <v>1257</v>
      </c>
      <c r="C511" s="32"/>
      <c r="D511" s="18" t="s">
        <v>17</v>
      </c>
      <c r="E511" s="63" t="s">
        <v>332</v>
      </c>
      <c r="F511" s="63" t="s">
        <v>3555</v>
      </c>
      <c r="G511" s="50" t="s">
        <v>3916</v>
      </c>
      <c r="H511" s="57">
        <v>1700</v>
      </c>
      <c r="I511" s="227">
        <v>-170</v>
      </c>
      <c r="J511" s="57">
        <f t="shared" ref="J511" si="69">SUM(H511:I511)</f>
        <v>1530</v>
      </c>
      <c r="K511" s="50">
        <v>4</v>
      </c>
      <c r="L511" s="57">
        <f t="shared" si="67"/>
        <v>6120</v>
      </c>
      <c r="M511" s="228">
        <f t="shared" si="68"/>
        <v>6732</v>
      </c>
      <c r="N511" s="18" t="s">
        <v>34</v>
      </c>
      <c r="O511" s="50"/>
      <c r="P511" s="52" t="s">
        <v>1557</v>
      </c>
    </row>
    <row r="512" spans="1:16" ht="21.75" customHeight="1" x14ac:dyDescent="0.4">
      <c r="A512" s="62">
        <v>45556</v>
      </c>
      <c r="B512" s="32" t="s">
        <v>3418</v>
      </c>
      <c r="C512" s="32"/>
      <c r="D512" s="18" t="s">
        <v>17</v>
      </c>
      <c r="E512" s="63" t="s">
        <v>2064</v>
      </c>
      <c r="F512" s="63" t="s">
        <v>3543</v>
      </c>
      <c r="G512" s="50" t="s">
        <v>3915</v>
      </c>
      <c r="H512" s="57">
        <v>5500</v>
      </c>
      <c r="I512" s="227">
        <v>-1700</v>
      </c>
      <c r="J512" s="57">
        <f>SUM(H512:I512)</f>
        <v>3800</v>
      </c>
      <c r="K512" s="50">
        <v>1</v>
      </c>
      <c r="L512" s="57">
        <f t="shared" si="67"/>
        <v>3800</v>
      </c>
      <c r="M512" s="228">
        <f t="shared" si="68"/>
        <v>4180</v>
      </c>
      <c r="N512" s="18" t="s">
        <v>20</v>
      </c>
      <c r="O512" s="50"/>
    </row>
    <row r="513" spans="1:15" ht="21.75" customHeight="1" x14ac:dyDescent="0.4">
      <c r="A513" s="62">
        <v>45557</v>
      </c>
      <c r="B513" s="32" t="s">
        <v>346</v>
      </c>
      <c r="C513" s="32"/>
      <c r="D513" s="18" t="s">
        <v>17</v>
      </c>
      <c r="E513" s="63" t="s">
        <v>455</v>
      </c>
      <c r="F513" s="63" t="s">
        <v>3658</v>
      </c>
      <c r="G513" s="50" t="s">
        <v>3917</v>
      </c>
      <c r="H513" s="57">
        <v>1200</v>
      </c>
      <c r="I513" s="227">
        <v>-120</v>
      </c>
      <c r="J513" s="57">
        <f>SUM(H513:I513)</f>
        <v>1080</v>
      </c>
      <c r="K513" s="50">
        <v>1</v>
      </c>
      <c r="L513" s="57">
        <f t="shared" si="67"/>
        <v>1080</v>
      </c>
      <c r="M513" s="228">
        <f t="shared" si="68"/>
        <v>1188</v>
      </c>
      <c r="N513" s="18" t="s">
        <v>20</v>
      </c>
      <c r="O513" s="50"/>
    </row>
    <row r="514" spans="1:15" ht="21.75" customHeight="1" x14ac:dyDescent="0.4">
      <c r="A514" s="62">
        <v>45557</v>
      </c>
      <c r="B514" s="32" t="s">
        <v>3666</v>
      </c>
      <c r="C514" s="32"/>
      <c r="D514" s="18" t="s">
        <v>17</v>
      </c>
      <c r="E514" s="63" t="s">
        <v>307</v>
      </c>
      <c r="F514" s="63" t="s">
        <v>1051</v>
      </c>
      <c r="G514" s="50" t="s">
        <v>3650</v>
      </c>
      <c r="H514" s="57">
        <v>5500</v>
      </c>
      <c r="I514" s="227"/>
      <c r="J514" s="57">
        <f t="shared" ref="J514:J547" si="70">SUM(H514:I514)</f>
        <v>5500</v>
      </c>
      <c r="K514" s="50">
        <v>1</v>
      </c>
      <c r="L514" s="57">
        <f t="shared" si="67"/>
        <v>5500</v>
      </c>
      <c r="M514" s="228">
        <f t="shared" si="68"/>
        <v>6050</v>
      </c>
      <c r="N514" s="18" t="s">
        <v>25</v>
      </c>
      <c r="O514" s="50"/>
    </row>
    <row r="515" spans="1:15" ht="21.75" customHeight="1" x14ac:dyDescent="0.4">
      <c r="A515" s="62">
        <v>45558</v>
      </c>
      <c r="B515" s="32" t="s">
        <v>3923</v>
      </c>
      <c r="C515" s="32"/>
      <c r="D515" s="18" t="s">
        <v>22</v>
      </c>
      <c r="E515" s="63" t="s">
        <v>1496</v>
      </c>
      <c r="F515" s="63"/>
      <c r="G515" s="50" t="s">
        <v>49</v>
      </c>
      <c r="H515" s="57">
        <v>3000</v>
      </c>
      <c r="I515" s="227"/>
      <c r="J515" s="57">
        <f t="shared" si="70"/>
        <v>3000</v>
      </c>
      <c r="K515" s="50">
        <v>1</v>
      </c>
      <c r="L515" s="57">
        <f t="shared" si="67"/>
        <v>3000</v>
      </c>
      <c r="M515" s="228">
        <f t="shared" si="68"/>
        <v>3300</v>
      </c>
      <c r="N515" s="18" t="s">
        <v>25</v>
      </c>
      <c r="O515" s="50"/>
    </row>
    <row r="516" spans="1:15" ht="21.75" customHeight="1" x14ac:dyDescent="0.4">
      <c r="A516" s="62">
        <v>45558</v>
      </c>
      <c r="B516" s="32" t="s">
        <v>3923</v>
      </c>
      <c r="C516" s="32"/>
      <c r="D516" s="18" t="s">
        <v>27</v>
      </c>
      <c r="E516" s="63" t="s">
        <v>28</v>
      </c>
      <c r="F516" s="63"/>
      <c r="G516" s="50" t="s">
        <v>318</v>
      </c>
      <c r="H516" s="57">
        <v>15000</v>
      </c>
      <c r="I516" s="227"/>
      <c r="J516" s="57">
        <f t="shared" si="70"/>
        <v>15000</v>
      </c>
      <c r="K516" s="50">
        <v>1</v>
      </c>
      <c r="L516" s="57">
        <f t="shared" si="67"/>
        <v>15000</v>
      </c>
      <c r="M516" s="228">
        <f t="shared" si="68"/>
        <v>16500</v>
      </c>
      <c r="N516" s="18" t="s">
        <v>25</v>
      </c>
      <c r="O516" s="50"/>
    </row>
    <row r="517" spans="1:15" ht="21.75" customHeight="1" x14ac:dyDescent="0.4">
      <c r="A517" s="62">
        <v>45558</v>
      </c>
      <c r="B517" s="32" t="s">
        <v>3923</v>
      </c>
      <c r="C517" s="32"/>
      <c r="D517" s="18" t="s">
        <v>27</v>
      </c>
      <c r="E517" s="63" t="s">
        <v>28</v>
      </c>
      <c r="F517" s="63"/>
      <c r="G517" s="50" t="s">
        <v>79</v>
      </c>
      <c r="H517" s="57">
        <v>17500</v>
      </c>
      <c r="I517" s="227"/>
      <c r="J517" s="57">
        <f t="shared" si="70"/>
        <v>17500</v>
      </c>
      <c r="K517" s="50">
        <v>1</v>
      </c>
      <c r="L517" s="57">
        <f t="shared" si="67"/>
        <v>17500</v>
      </c>
      <c r="M517" s="228">
        <f t="shared" si="68"/>
        <v>19250</v>
      </c>
      <c r="N517" s="18" t="s">
        <v>25</v>
      </c>
      <c r="O517" s="50"/>
    </row>
    <row r="518" spans="1:15" ht="21.75" customHeight="1" x14ac:dyDescent="0.4">
      <c r="A518" s="62">
        <v>45558</v>
      </c>
      <c r="B518" s="32" t="s">
        <v>346</v>
      </c>
      <c r="C518" s="32"/>
      <c r="D518" s="18" t="s">
        <v>17</v>
      </c>
      <c r="E518" s="63" t="s">
        <v>455</v>
      </c>
      <c r="F518" s="63" t="s">
        <v>3658</v>
      </c>
      <c r="G518" s="50" t="s">
        <v>3917</v>
      </c>
      <c r="H518" s="57">
        <v>1200</v>
      </c>
      <c r="I518" s="227">
        <v>-120</v>
      </c>
      <c r="J518" s="57">
        <f t="shared" si="70"/>
        <v>1080</v>
      </c>
      <c r="K518" s="50">
        <v>1</v>
      </c>
      <c r="L518" s="57">
        <f t="shared" si="67"/>
        <v>1080</v>
      </c>
      <c r="M518" s="228">
        <f t="shared" si="68"/>
        <v>1188</v>
      </c>
      <c r="N518" s="18" t="s">
        <v>20</v>
      </c>
      <c r="O518" s="50"/>
    </row>
    <row r="519" spans="1:15" ht="21.75" customHeight="1" x14ac:dyDescent="0.4">
      <c r="A519" s="62">
        <v>45559</v>
      </c>
      <c r="B519" s="32" t="s">
        <v>3924</v>
      </c>
      <c r="C519" s="32"/>
      <c r="D519" s="18" t="s">
        <v>2892</v>
      </c>
      <c r="E519" s="63" t="s">
        <v>23</v>
      </c>
      <c r="F519" s="63"/>
      <c r="G519" s="50" t="s">
        <v>96</v>
      </c>
      <c r="H519" s="57">
        <v>15000</v>
      </c>
      <c r="I519" s="227">
        <v>-7500</v>
      </c>
      <c r="J519" s="57">
        <f t="shared" si="70"/>
        <v>7500</v>
      </c>
      <c r="K519" s="50">
        <v>1</v>
      </c>
      <c r="L519" s="57">
        <f t="shared" si="67"/>
        <v>7500</v>
      </c>
      <c r="M519" s="228">
        <f t="shared" si="68"/>
        <v>8250</v>
      </c>
      <c r="N519" s="18" t="s">
        <v>20</v>
      </c>
      <c r="O519" s="50"/>
    </row>
    <row r="520" spans="1:15" ht="21.75" customHeight="1" x14ac:dyDescent="0.4">
      <c r="A520" s="62">
        <v>45560</v>
      </c>
      <c r="B520" s="32" t="s">
        <v>644</v>
      </c>
      <c r="C520" s="32"/>
      <c r="D520" s="18" t="s">
        <v>17</v>
      </c>
      <c r="E520" s="63" t="s">
        <v>1690</v>
      </c>
      <c r="F520" s="63"/>
      <c r="G520" s="50" t="s">
        <v>3919</v>
      </c>
      <c r="H520" s="57">
        <v>1000</v>
      </c>
      <c r="I520" s="227"/>
      <c r="J520" s="57">
        <f t="shared" si="70"/>
        <v>1000</v>
      </c>
      <c r="K520" s="50">
        <v>1</v>
      </c>
      <c r="L520" s="57">
        <f t="shared" si="67"/>
        <v>1000</v>
      </c>
      <c r="M520" s="228">
        <f t="shared" si="68"/>
        <v>1100</v>
      </c>
      <c r="N520" s="18" t="s">
        <v>20</v>
      </c>
      <c r="O520" s="50"/>
    </row>
    <row r="521" spans="1:15" ht="21.75" customHeight="1" x14ac:dyDescent="0.4">
      <c r="A521" s="62">
        <v>45560</v>
      </c>
      <c r="B521" s="32" t="s">
        <v>3755</v>
      </c>
      <c r="C521" s="32"/>
      <c r="D521" s="18" t="s">
        <v>17</v>
      </c>
      <c r="E521" s="63" t="s">
        <v>455</v>
      </c>
      <c r="F521" s="63" t="s">
        <v>3658</v>
      </c>
      <c r="G521" s="50" t="s">
        <v>3917</v>
      </c>
      <c r="H521" s="57">
        <v>1200</v>
      </c>
      <c r="I521" s="227">
        <v>-120</v>
      </c>
      <c r="J521" s="57">
        <f t="shared" si="70"/>
        <v>1080</v>
      </c>
      <c r="K521" s="50">
        <v>1</v>
      </c>
      <c r="L521" s="57">
        <f t="shared" si="67"/>
        <v>1080</v>
      </c>
      <c r="M521" s="228">
        <f t="shared" si="68"/>
        <v>1188</v>
      </c>
      <c r="N521" s="18" t="s">
        <v>25</v>
      </c>
      <c r="O521" s="50"/>
    </row>
    <row r="522" spans="1:15" ht="21.75" customHeight="1" x14ac:dyDescent="0.4">
      <c r="A522" s="62">
        <v>45560</v>
      </c>
      <c r="B522" s="32" t="s">
        <v>148</v>
      </c>
      <c r="C522" s="32"/>
      <c r="D522" s="18" t="s">
        <v>27</v>
      </c>
      <c r="E522" s="63" t="s">
        <v>28</v>
      </c>
      <c r="F522" s="63"/>
      <c r="G522" s="50" t="s">
        <v>79</v>
      </c>
      <c r="H522" s="57">
        <v>17500</v>
      </c>
      <c r="I522" s="227"/>
      <c r="J522" s="57">
        <f t="shared" si="70"/>
        <v>17500</v>
      </c>
      <c r="K522" s="50">
        <v>1</v>
      </c>
      <c r="L522" s="57">
        <f t="shared" si="67"/>
        <v>17500</v>
      </c>
      <c r="M522" s="228">
        <f t="shared" si="68"/>
        <v>19250</v>
      </c>
      <c r="N522" s="18" t="s">
        <v>20</v>
      </c>
      <c r="O522" s="50"/>
    </row>
    <row r="523" spans="1:15" ht="21.75" customHeight="1" x14ac:dyDescent="0.4">
      <c r="A523" s="62">
        <v>45560</v>
      </c>
      <c r="B523" s="32" t="s">
        <v>148</v>
      </c>
      <c r="C523" s="32"/>
      <c r="D523" s="18" t="s">
        <v>17</v>
      </c>
      <c r="E523" s="63" t="s">
        <v>307</v>
      </c>
      <c r="F523" s="63" t="s">
        <v>1051</v>
      </c>
      <c r="G523" s="50" t="s">
        <v>3654</v>
      </c>
      <c r="H523" s="57">
        <v>3200</v>
      </c>
      <c r="I523" s="227">
        <v>-320</v>
      </c>
      <c r="J523" s="57">
        <f t="shared" si="70"/>
        <v>2880</v>
      </c>
      <c r="K523" s="50">
        <v>1</v>
      </c>
      <c r="L523" s="57">
        <f t="shared" ref="L523:L586" si="71">SUM(J523*K523)</f>
        <v>2880</v>
      </c>
      <c r="M523" s="228">
        <f t="shared" ref="M523:M586" si="72">ROUNDDOWN(L523*1.1,0)</f>
        <v>3168</v>
      </c>
      <c r="N523" s="18" t="s">
        <v>20</v>
      </c>
      <c r="O523" s="50"/>
    </row>
    <row r="524" spans="1:15" ht="21.75" customHeight="1" x14ac:dyDescent="0.4">
      <c r="A524" s="62">
        <v>45560</v>
      </c>
      <c r="B524" s="32" t="s">
        <v>1059</v>
      </c>
      <c r="C524" s="32"/>
      <c r="D524" s="18" t="s">
        <v>17</v>
      </c>
      <c r="E524" s="63" t="s">
        <v>55</v>
      </c>
      <c r="F524" s="63" t="s">
        <v>3918</v>
      </c>
      <c r="G524" s="50" t="s">
        <v>3650</v>
      </c>
      <c r="H524" s="57">
        <v>5500</v>
      </c>
      <c r="I524" s="227"/>
      <c r="J524" s="57">
        <f t="shared" si="70"/>
        <v>5500</v>
      </c>
      <c r="K524" s="50">
        <v>1</v>
      </c>
      <c r="L524" s="57">
        <f t="shared" si="71"/>
        <v>5500</v>
      </c>
      <c r="M524" s="228">
        <f t="shared" si="72"/>
        <v>6050</v>
      </c>
      <c r="N524" s="18" t="s">
        <v>25</v>
      </c>
      <c r="O524" s="50"/>
    </row>
    <row r="525" spans="1:15" ht="21.75" customHeight="1" x14ac:dyDescent="0.4">
      <c r="A525" s="62">
        <v>45561</v>
      </c>
      <c r="B525" s="32" t="s">
        <v>167</v>
      </c>
      <c r="C525" s="32"/>
      <c r="D525" s="18" t="s">
        <v>17</v>
      </c>
      <c r="E525" s="63" t="s">
        <v>426</v>
      </c>
      <c r="F525" s="63" t="s">
        <v>3920</v>
      </c>
      <c r="G525" s="50" t="s">
        <v>3957</v>
      </c>
      <c r="H525" s="57">
        <v>2070</v>
      </c>
      <c r="I525" s="227">
        <v>-207</v>
      </c>
      <c r="J525" s="57">
        <f t="shared" si="70"/>
        <v>1863</v>
      </c>
      <c r="K525" s="50">
        <v>1</v>
      </c>
      <c r="L525" s="57">
        <f t="shared" si="71"/>
        <v>1863</v>
      </c>
      <c r="M525" s="228">
        <f t="shared" si="72"/>
        <v>2049</v>
      </c>
      <c r="N525" s="18" t="s">
        <v>20</v>
      </c>
      <c r="O525" s="50"/>
    </row>
    <row r="526" spans="1:15" ht="21.75" customHeight="1" x14ac:dyDescent="0.4">
      <c r="A526" s="62">
        <v>45561</v>
      </c>
      <c r="B526" s="32" t="s">
        <v>678</v>
      </c>
      <c r="C526" s="32"/>
      <c r="D526" s="18" t="s">
        <v>17</v>
      </c>
      <c r="E526" s="63" t="s">
        <v>332</v>
      </c>
      <c r="F526" s="63" t="s">
        <v>3550</v>
      </c>
      <c r="G526" s="50" t="s">
        <v>3577</v>
      </c>
      <c r="H526" s="57">
        <v>1800</v>
      </c>
      <c r="I526" s="227">
        <v>-180</v>
      </c>
      <c r="J526" s="57">
        <f t="shared" si="70"/>
        <v>1620</v>
      </c>
      <c r="K526" s="50">
        <v>1</v>
      </c>
      <c r="L526" s="57">
        <f t="shared" si="71"/>
        <v>1620</v>
      </c>
      <c r="M526" s="228">
        <f t="shared" si="72"/>
        <v>1782</v>
      </c>
      <c r="N526" s="18" t="s">
        <v>20</v>
      </c>
      <c r="O526" s="50"/>
    </row>
    <row r="527" spans="1:15" ht="21.75" customHeight="1" x14ac:dyDescent="0.4">
      <c r="A527" s="62">
        <v>45561</v>
      </c>
      <c r="B527" s="32" t="s">
        <v>1861</v>
      </c>
      <c r="C527" s="32"/>
      <c r="D527" s="18" t="s">
        <v>17</v>
      </c>
      <c r="E527" s="63" t="s">
        <v>332</v>
      </c>
      <c r="F527" s="63" t="s">
        <v>3555</v>
      </c>
      <c r="G527" s="50" t="s">
        <v>3921</v>
      </c>
      <c r="H527" s="57">
        <v>1550</v>
      </c>
      <c r="I527" s="227">
        <v>-155</v>
      </c>
      <c r="J527" s="57">
        <f t="shared" si="70"/>
        <v>1395</v>
      </c>
      <c r="K527" s="50">
        <v>13</v>
      </c>
      <c r="L527" s="57">
        <f t="shared" si="71"/>
        <v>18135</v>
      </c>
      <c r="M527" s="228">
        <f t="shared" si="72"/>
        <v>19948</v>
      </c>
      <c r="N527" s="18" t="s">
        <v>20</v>
      </c>
      <c r="O527" s="50"/>
    </row>
    <row r="528" spans="1:15" ht="21.75" customHeight="1" x14ac:dyDescent="0.4">
      <c r="A528" s="62">
        <v>45561</v>
      </c>
      <c r="B528" s="32" t="s">
        <v>2363</v>
      </c>
      <c r="C528" s="32"/>
      <c r="D528" s="18" t="s">
        <v>27</v>
      </c>
      <c r="E528" s="63" t="s">
        <v>28</v>
      </c>
      <c r="F528" s="63"/>
      <c r="G528" s="50" t="s">
        <v>79</v>
      </c>
      <c r="H528" s="57">
        <v>17500</v>
      </c>
      <c r="I528" s="227"/>
      <c r="J528" s="57">
        <f t="shared" si="70"/>
        <v>17500</v>
      </c>
      <c r="K528" s="50">
        <v>1</v>
      </c>
      <c r="L528" s="57">
        <f t="shared" si="71"/>
        <v>17500</v>
      </c>
      <c r="M528" s="228">
        <f t="shared" si="72"/>
        <v>19250</v>
      </c>
      <c r="N528" s="18" t="s">
        <v>20</v>
      </c>
      <c r="O528" s="50"/>
    </row>
    <row r="529" spans="1:16" ht="21.75" customHeight="1" x14ac:dyDescent="0.4">
      <c r="A529" s="62">
        <v>45561</v>
      </c>
      <c r="B529" s="32" t="s">
        <v>1563</v>
      </c>
      <c r="C529" s="32"/>
      <c r="D529" s="18" t="s">
        <v>17</v>
      </c>
      <c r="E529" s="63" t="s">
        <v>332</v>
      </c>
      <c r="F529" s="63" t="s">
        <v>3553</v>
      </c>
      <c r="G529" s="50" t="s">
        <v>3582</v>
      </c>
      <c r="H529" s="57">
        <v>1800</v>
      </c>
      <c r="I529" s="227">
        <v>-900</v>
      </c>
      <c r="J529" s="57">
        <f t="shared" si="70"/>
        <v>900</v>
      </c>
      <c r="K529" s="50">
        <v>4</v>
      </c>
      <c r="L529" s="57">
        <f t="shared" si="71"/>
        <v>3600</v>
      </c>
      <c r="M529" s="228">
        <f t="shared" si="72"/>
        <v>3960</v>
      </c>
      <c r="N529" s="18" t="s">
        <v>25</v>
      </c>
      <c r="O529" s="50"/>
    </row>
    <row r="530" spans="1:16" ht="21.75" customHeight="1" x14ac:dyDescent="0.4">
      <c r="A530" s="62">
        <v>45562</v>
      </c>
      <c r="B530" s="32" t="s">
        <v>3385</v>
      </c>
      <c r="C530" s="32"/>
      <c r="D530" s="18" t="s">
        <v>17</v>
      </c>
      <c r="E530" s="63" t="s">
        <v>426</v>
      </c>
      <c r="F530" s="63" t="s">
        <v>3584</v>
      </c>
      <c r="G530" s="50" t="s">
        <v>3951</v>
      </c>
      <c r="H530" s="57">
        <v>1800</v>
      </c>
      <c r="I530" s="227">
        <v>-180</v>
      </c>
      <c r="J530" s="57">
        <f t="shared" si="70"/>
        <v>1620</v>
      </c>
      <c r="K530" s="50">
        <v>1</v>
      </c>
      <c r="L530" s="57">
        <f t="shared" si="71"/>
        <v>1620</v>
      </c>
      <c r="M530" s="228">
        <f t="shared" si="72"/>
        <v>1782</v>
      </c>
      <c r="N530" s="18" t="s">
        <v>20</v>
      </c>
      <c r="O530" s="50"/>
    </row>
    <row r="531" spans="1:16" ht="21.75" customHeight="1" x14ac:dyDescent="0.4">
      <c r="A531" s="62">
        <v>45562</v>
      </c>
      <c r="B531" s="32" t="s">
        <v>2131</v>
      </c>
      <c r="C531" s="32"/>
      <c r="D531" s="18" t="s">
        <v>17</v>
      </c>
      <c r="E531" s="63" t="s">
        <v>332</v>
      </c>
      <c r="F531" s="63" t="s">
        <v>3555</v>
      </c>
      <c r="G531" s="50" t="s">
        <v>3921</v>
      </c>
      <c r="H531" s="57">
        <v>1550</v>
      </c>
      <c r="I531" s="227">
        <v>-651</v>
      </c>
      <c r="J531" s="57">
        <f t="shared" si="70"/>
        <v>899</v>
      </c>
      <c r="K531" s="50">
        <v>13</v>
      </c>
      <c r="L531" s="57">
        <f t="shared" si="71"/>
        <v>11687</v>
      </c>
      <c r="M531" s="228">
        <f t="shared" si="72"/>
        <v>12855</v>
      </c>
      <c r="N531" s="18" t="s">
        <v>34</v>
      </c>
      <c r="O531" s="50"/>
    </row>
    <row r="532" spans="1:16" ht="21.75" customHeight="1" x14ac:dyDescent="0.4">
      <c r="A532" s="62">
        <v>45562</v>
      </c>
      <c r="B532" s="32" t="s">
        <v>249</v>
      </c>
      <c r="C532" s="32"/>
      <c r="D532" s="18" t="s">
        <v>17</v>
      </c>
      <c r="E532" s="63" t="s">
        <v>332</v>
      </c>
      <c r="F532" s="63" t="s">
        <v>3555</v>
      </c>
      <c r="G532" s="50" t="s">
        <v>3925</v>
      </c>
      <c r="H532" s="57">
        <v>1200</v>
      </c>
      <c r="I532" s="227">
        <v>-120</v>
      </c>
      <c r="J532" s="57">
        <f t="shared" si="70"/>
        <v>1080</v>
      </c>
      <c r="K532" s="50">
        <v>13</v>
      </c>
      <c r="L532" s="57">
        <f t="shared" si="71"/>
        <v>14040</v>
      </c>
      <c r="M532" s="228">
        <f t="shared" si="72"/>
        <v>15444</v>
      </c>
      <c r="N532" s="18" t="s">
        <v>34</v>
      </c>
      <c r="O532" s="50"/>
      <c r="P532" s="52" t="s">
        <v>1608</v>
      </c>
    </row>
    <row r="533" spans="1:16" ht="21.75" customHeight="1" x14ac:dyDescent="0.4">
      <c r="A533" s="62">
        <v>45563</v>
      </c>
      <c r="B533" s="32" t="s">
        <v>3909</v>
      </c>
      <c r="C533" s="32"/>
      <c r="D533" s="18" t="s">
        <v>27</v>
      </c>
      <c r="E533" s="63" t="s">
        <v>28</v>
      </c>
      <c r="F533" s="63"/>
      <c r="G533" s="50" t="s">
        <v>318</v>
      </c>
      <c r="H533" s="57">
        <v>15000</v>
      </c>
      <c r="I533" s="227"/>
      <c r="J533" s="57">
        <f t="shared" si="70"/>
        <v>15000</v>
      </c>
      <c r="K533" s="50">
        <v>1</v>
      </c>
      <c r="L533" s="57">
        <f t="shared" si="71"/>
        <v>15000</v>
      </c>
      <c r="M533" s="228">
        <f t="shared" si="72"/>
        <v>16500</v>
      </c>
      <c r="N533" s="18" t="s">
        <v>25</v>
      </c>
      <c r="O533" s="50"/>
    </row>
    <row r="534" spans="1:16" ht="21.75" customHeight="1" x14ac:dyDescent="0.4">
      <c r="A534" s="62">
        <v>45563</v>
      </c>
      <c r="B534" s="32" t="s">
        <v>3909</v>
      </c>
      <c r="C534" s="32"/>
      <c r="D534" s="18" t="s">
        <v>27</v>
      </c>
      <c r="E534" s="63" t="s">
        <v>28</v>
      </c>
      <c r="F534" s="63"/>
      <c r="G534" s="50" t="s">
        <v>79</v>
      </c>
      <c r="H534" s="57">
        <v>17500</v>
      </c>
      <c r="I534" s="227"/>
      <c r="J534" s="57">
        <f t="shared" si="70"/>
        <v>17500</v>
      </c>
      <c r="K534" s="50">
        <v>1</v>
      </c>
      <c r="L534" s="57">
        <f t="shared" si="71"/>
        <v>17500</v>
      </c>
      <c r="M534" s="228">
        <f t="shared" si="72"/>
        <v>19250</v>
      </c>
      <c r="N534" s="18" t="s">
        <v>25</v>
      </c>
      <c r="O534" s="50"/>
    </row>
    <row r="535" spans="1:16" ht="21.75" customHeight="1" x14ac:dyDescent="0.4">
      <c r="A535" s="62">
        <v>45563</v>
      </c>
      <c r="B535" s="32" t="s">
        <v>984</v>
      </c>
      <c r="C535" s="32"/>
      <c r="D535" s="18" t="s">
        <v>17</v>
      </c>
      <c r="E535" s="63" t="s">
        <v>332</v>
      </c>
      <c r="F535" s="63" t="s">
        <v>3555</v>
      </c>
      <c r="G535" s="50" t="s">
        <v>3926</v>
      </c>
      <c r="H535" s="57">
        <v>1750</v>
      </c>
      <c r="I535" s="227">
        <v>-175</v>
      </c>
      <c r="J535" s="57">
        <f t="shared" si="70"/>
        <v>1575</v>
      </c>
      <c r="K535" s="50">
        <v>5</v>
      </c>
      <c r="L535" s="57">
        <f t="shared" si="71"/>
        <v>7875</v>
      </c>
      <c r="M535" s="228">
        <f t="shared" si="72"/>
        <v>8662</v>
      </c>
      <c r="N535" s="18" t="s">
        <v>25</v>
      </c>
      <c r="O535" s="50"/>
    </row>
    <row r="536" spans="1:16" ht="21.75" customHeight="1" x14ac:dyDescent="0.4">
      <c r="A536" s="62">
        <v>45563</v>
      </c>
      <c r="B536" s="32" t="s">
        <v>3666</v>
      </c>
      <c r="C536" s="32"/>
      <c r="D536" s="18" t="s">
        <v>17</v>
      </c>
      <c r="E536" s="63" t="s">
        <v>455</v>
      </c>
      <c r="F536" s="63" t="s">
        <v>3552</v>
      </c>
      <c r="G536" s="50" t="s">
        <v>3668</v>
      </c>
      <c r="H536" s="57">
        <v>1600</v>
      </c>
      <c r="I536" s="227">
        <v>-160</v>
      </c>
      <c r="J536" s="57">
        <f t="shared" si="70"/>
        <v>1440</v>
      </c>
      <c r="K536" s="50">
        <v>1</v>
      </c>
      <c r="L536" s="57">
        <f t="shared" si="71"/>
        <v>1440</v>
      </c>
      <c r="M536" s="228">
        <f t="shared" si="72"/>
        <v>1584</v>
      </c>
      <c r="N536" s="18" t="s">
        <v>20</v>
      </c>
      <c r="O536" s="50"/>
    </row>
    <row r="537" spans="1:16" ht="21.75" customHeight="1" x14ac:dyDescent="0.4">
      <c r="A537" s="62">
        <v>45564</v>
      </c>
      <c r="B537" s="32" t="s">
        <v>3952</v>
      </c>
      <c r="C537" s="32"/>
      <c r="D537" s="18" t="s">
        <v>22</v>
      </c>
      <c r="E537" s="63" t="s">
        <v>1496</v>
      </c>
      <c r="F537" s="63"/>
      <c r="G537" s="50" t="s">
        <v>49</v>
      </c>
      <c r="H537" s="57">
        <v>3000</v>
      </c>
      <c r="I537" s="227"/>
      <c r="J537" s="57">
        <f t="shared" si="70"/>
        <v>3000</v>
      </c>
      <c r="K537" s="50">
        <v>1</v>
      </c>
      <c r="L537" s="57">
        <f t="shared" si="71"/>
        <v>3000</v>
      </c>
      <c r="M537" s="228">
        <f t="shared" si="72"/>
        <v>3300</v>
      </c>
      <c r="N537" s="18" t="s">
        <v>20</v>
      </c>
      <c r="O537" s="50" t="s">
        <v>1954</v>
      </c>
    </row>
    <row r="538" spans="1:16" ht="21.75" customHeight="1" x14ac:dyDescent="0.4">
      <c r="A538" s="62">
        <v>45564</v>
      </c>
      <c r="B538" s="32" t="s">
        <v>3952</v>
      </c>
      <c r="C538" s="32"/>
      <c r="D538" s="18" t="s">
        <v>27</v>
      </c>
      <c r="E538" s="63" t="s">
        <v>28</v>
      </c>
      <c r="F538" s="63"/>
      <c r="G538" s="50" t="s">
        <v>318</v>
      </c>
      <c r="H538" s="57">
        <v>15000</v>
      </c>
      <c r="I538" s="227"/>
      <c r="J538" s="57">
        <f t="shared" si="70"/>
        <v>15000</v>
      </c>
      <c r="K538" s="50">
        <v>1</v>
      </c>
      <c r="L538" s="57">
        <f t="shared" si="71"/>
        <v>15000</v>
      </c>
      <c r="M538" s="228">
        <f t="shared" si="72"/>
        <v>16500</v>
      </c>
      <c r="N538" s="18" t="s">
        <v>25</v>
      </c>
      <c r="O538" s="50"/>
    </row>
    <row r="539" spans="1:16" ht="21.75" customHeight="1" x14ac:dyDescent="0.4">
      <c r="A539" s="62">
        <v>45564</v>
      </c>
      <c r="B539" s="32" t="s">
        <v>3952</v>
      </c>
      <c r="C539" s="32"/>
      <c r="D539" s="18" t="s">
        <v>27</v>
      </c>
      <c r="E539" s="63" t="s">
        <v>28</v>
      </c>
      <c r="F539" s="63"/>
      <c r="G539" s="50" t="s">
        <v>79</v>
      </c>
      <c r="H539" s="57">
        <v>17500</v>
      </c>
      <c r="I539" s="227"/>
      <c r="J539" s="57">
        <f t="shared" si="70"/>
        <v>17500</v>
      </c>
      <c r="K539" s="50">
        <v>1</v>
      </c>
      <c r="L539" s="57">
        <f t="shared" si="71"/>
        <v>17500</v>
      </c>
      <c r="M539" s="228">
        <f t="shared" si="72"/>
        <v>19250</v>
      </c>
      <c r="N539" s="18" t="s">
        <v>25</v>
      </c>
      <c r="O539" s="50"/>
    </row>
    <row r="540" spans="1:16" ht="21.75" customHeight="1" x14ac:dyDescent="0.4">
      <c r="A540" s="62">
        <v>45564</v>
      </c>
      <c r="B540" s="32" t="s">
        <v>3953</v>
      </c>
      <c r="C540" s="32"/>
      <c r="D540" s="18" t="s">
        <v>22</v>
      </c>
      <c r="E540" s="63" t="s">
        <v>1496</v>
      </c>
      <c r="F540" s="63"/>
      <c r="G540" s="50" t="s">
        <v>2422</v>
      </c>
      <c r="H540" s="57">
        <v>2000</v>
      </c>
      <c r="I540" s="227"/>
      <c r="J540" s="57">
        <f t="shared" si="70"/>
        <v>2000</v>
      </c>
      <c r="K540" s="50">
        <v>1</v>
      </c>
      <c r="L540" s="57">
        <f t="shared" si="71"/>
        <v>2000</v>
      </c>
      <c r="M540" s="228">
        <f t="shared" si="72"/>
        <v>2200</v>
      </c>
      <c r="N540" s="18" t="s">
        <v>20</v>
      </c>
      <c r="O540" s="50"/>
    </row>
    <row r="541" spans="1:16" ht="21.75" customHeight="1" x14ac:dyDescent="0.4">
      <c r="A541" s="62">
        <v>45564</v>
      </c>
      <c r="B541" s="32" t="s">
        <v>3772</v>
      </c>
      <c r="C541" s="32"/>
      <c r="D541" s="18" t="s">
        <v>17</v>
      </c>
      <c r="E541" s="63" t="s">
        <v>32</v>
      </c>
      <c r="F541" s="63" t="s">
        <v>3595</v>
      </c>
      <c r="G541" s="50" t="s">
        <v>3927</v>
      </c>
      <c r="H541" s="57">
        <v>50000</v>
      </c>
      <c r="I541" s="227">
        <v>-10000</v>
      </c>
      <c r="J541" s="57">
        <f t="shared" si="70"/>
        <v>40000</v>
      </c>
      <c r="K541" s="50">
        <v>1</v>
      </c>
      <c r="L541" s="57">
        <f t="shared" si="71"/>
        <v>40000</v>
      </c>
      <c r="M541" s="228">
        <f t="shared" si="72"/>
        <v>44000</v>
      </c>
      <c r="N541" s="18" t="s">
        <v>25</v>
      </c>
      <c r="O541" s="50"/>
      <c r="P541" s="52" t="s">
        <v>1557</v>
      </c>
    </row>
    <row r="542" spans="1:16" ht="21.75" customHeight="1" x14ac:dyDescent="0.4">
      <c r="A542" s="62">
        <v>45564</v>
      </c>
      <c r="B542" s="32" t="s">
        <v>3772</v>
      </c>
      <c r="C542" s="32"/>
      <c r="D542" s="18" t="s">
        <v>17</v>
      </c>
      <c r="E542" s="63" t="s">
        <v>2064</v>
      </c>
      <c r="F542" s="63" t="s">
        <v>1468</v>
      </c>
      <c r="G542" s="50" t="s">
        <v>3819</v>
      </c>
      <c r="H542" s="57">
        <v>5000</v>
      </c>
      <c r="I542" s="227"/>
      <c r="J542" s="57">
        <f t="shared" si="70"/>
        <v>5000</v>
      </c>
      <c r="K542" s="50">
        <v>1</v>
      </c>
      <c r="L542" s="57">
        <f t="shared" si="71"/>
        <v>5000</v>
      </c>
      <c r="M542" s="228">
        <f t="shared" si="72"/>
        <v>5500</v>
      </c>
      <c r="N542" s="18" t="s">
        <v>25</v>
      </c>
      <c r="O542" s="50"/>
      <c r="P542" s="52" t="s">
        <v>1557</v>
      </c>
    </row>
    <row r="543" spans="1:16" ht="21.75" customHeight="1" x14ac:dyDescent="0.4">
      <c r="A543" s="62">
        <v>45564</v>
      </c>
      <c r="B543" s="32" t="s">
        <v>3772</v>
      </c>
      <c r="C543" s="32"/>
      <c r="D543" s="18" t="s">
        <v>17</v>
      </c>
      <c r="E543" s="63" t="s">
        <v>455</v>
      </c>
      <c r="F543" s="63" t="s">
        <v>3658</v>
      </c>
      <c r="G543" s="50" t="s">
        <v>3173</v>
      </c>
      <c r="H543" s="57">
        <v>1200</v>
      </c>
      <c r="I543" s="227"/>
      <c r="J543" s="57">
        <f t="shared" si="70"/>
        <v>1200</v>
      </c>
      <c r="K543" s="50">
        <v>1</v>
      </c>
      <c r="L543" s="57">
        <f t="shared" si="71"/>
        <v>1200</v>
      </c>
      <c r="M543" s="228">
        <f t="shared" si="72"/>
        <v>1320</v>
      </c>
      <c r="N543" s="18" t="s">
        <v>25</v>
      </c>
      <c r="O543" s="50"/>
      <c r="P543" s="52" t="s">
        <v>1557</v>
      </c>
    </row>
    <row r="544" spans="1:16" ht="21.75" customHeight="1" x14ac:dyDescent="0.4">
      <c r="A544" s="62">
        <v>45564</v>
      </c>
      <c r="B544" s="32" t="s">
        <v>3462</v>
      </c>
      <c r="C544" s="32"/>
      <c r="D544" s="18" t="s">
        <v>17</v>
      </c>
      <c r="E544" s="63" t="s">
        <v>3954</v>
      </c>
      <c r="F544" s="63" t="s">
        <v>1051</v>
      </c>
      <c r="G544" s="50" t="s">
        <v>3955</v>
      </c>
      <c r="H544" s="57">
        <v>25000</v>
      </c>
      <c r="I544" s="227">
        <v>-2500</v>
      </c>
      <c r="J544" s="57">
        <f t="shared" si="70"/>
        <v>22500</v>
      </c>
      <c r="K544" s="50">
        <v>1</v>
      </c>
      <c r="L544" s="57">
        <f t="shared" si="71"/>
        <v>22500</v>
      </c>
      <c r="M544" s="228">
        <f t="shared" si="72"/>
        <v>24750</v>
      </c>
      <c r="N544" s="18" t="s">
        <v>25</v>
      </c>
      <c r="O544" s="490" t="s">
        <v>3928</v>
      </c>
    </row>
    <row r="545" spans="1:16" ht="21.75" customHeight="1" x14ac:dyDescent="0.4">
      <c r="A545" s="62">
        <v>45564</v>
      </c>
      <c r="B545" s="32" t="s">
        <v>3462</v>
      </c>
      <c r="C545" s="32"/>
      <c r="D545" s="18" t="s">
        <v>17</v>
      </c>
      <c r="E545" s="63" t="s">
        <v>332</v>
      </c>
      <c r="F545" s="63" t="s">
        <v>3555</v>
      </c>
      <c r="G545" s="50" t="s">
        <v>3463</v>
      </c>
      <c r="H545" s="57">
        <v>1500</v>
      </c>
      <c r="I545" s="227">
        <v>-150</v>
      </c>
      <c r="J545" s="57">
        <f t="shared" si="70"/>
        <v>1350</v>
      </c>
      <c r="K545" s="50">
        <v>3</v>
      </c>
      <c r="L545" s="57">
        <f t="shared" si="71"/>
        <v>4050</v>
      </c>
      <c r="M545" s="228">
        <f t="shared" si="72"/>
        <v>4455</v>
      </c>
      <c r="N545" s="18" t="s">
        <v>25</v>
      </c>
      <c r="O545" s="491"/>
    </row>
    <row r="546" spans="1:16" ht="21.75" customHeight="1" x14ac:dyDescent="0.4">
      <c r="A546" s="62">
        <v>45564</v>
      </c>
      <c r="B546" s="32" t="s">
        <v>3462</v>
      </c>
      <c r="C546" s="32"/>
      <c r="D546" s="18" t="s">
        <v>17</v>
      </c>
      <c r="E546" s="63" t="s">
        <v>1025</v>
      </c>
      <c r="F546" s="63" t="s">
        <v>3553</v>
      </c>
      <c r="G546" s="50" t="s">
        <v>3956</v>
      </c>
      <c r="H546" s="57">
        <v>3800</v>
      </c>
      <c r="I546" s="227"/>
      <c r="J546" s="57">
        <f t="shared" si="70"/>
        <v>3800</v>
      </c>
      <c r="K546" s="50">
        <v>1</v>
      </c>
      <c r="L546" s="57">
        <f t="shared" si="71"/>
        <v>3800</v>
      </c>
      <c r="M546" s="228">
        <f t="shared" si="72"/>
        <v>4180</v>
      </c>
      <c r="N546" s="18" t="s">
        <v>25</v>
      </c>
      <c r="O546" s="50"/>
    </row>
    <row r="547" spans="1:16" ht="21.75" customHeight="1" x14ac:dyDescent="0.4">
      <c r="A547" s="62">
        <v>45565</v>
      </c>
      <c r="B547" s="32" t="s">
        <v>3929</v>
      </c>
      <c r="C547" s="32"/>
      <c r="D547" s="18" t="s">
        <v>2892</v>
      </c>
      <c r="E547" s="63" t="s">
        <v>23</v>
      </c>
      <c r="F547" s="63"/>
      <c r="G547" s="50" t="s">
        <v>3871</v>
      </c>
      <c r="H547" s="57">
        <v>20000</v>
      </c>
      <c r="I547" s="227"/>
      <c r="J547" s="57">
        <f t="shared" si="70"/>
        <v>20000</v>
      </c>
      <c r="K547" s="50">
        <v>1</v>
      </c>
      <c r="L547" s="57">
        <f t="shared" si="71"/>
        <v>20000</v>
      </c>
      <c r="M547" s="228">
        <f t="shared" si="72"/>
        <v>22000</v>
      </c>
      <c r="N547" s="18" t="s">
        <v>25</v>
      </c>
      <c r="O547" s="50"/>
    </row>
    <row r="548" spans="1:16" ht="21.75" customHeight="1" x14ac:dyDescent="0.4">
      <c r="A548" s="62">
        <v>45567</v>
      </c>
      <c r="B548" s="32" t="s">
        <v>2814</v>
      </c>
      <c r="C548" s="32"/>
      <c r="D548" s="18" t="s">
        <v>27</v>
      </c>
      <c r="E548" s="63" t="s">
        <v>28</v>
      </c>
      <c r="F548" s="63"/>
      <c r="G548" s="50" t="s">
        <v>73</v>
      </c>
      <c r="H548" s="57">
        <v>2000</v>
      </c>
      <c r="I548" s="227"/>
      <c r="J548" s="57">
        <f t="shared" ref="J548:J618" si="73">SUM(H548:I548)</f>
        <v>2000</v>
      </c>
      <c r="K548" s="50">
        <v>1</v>
      </c>
      <c r="L548" s="57">
        <f t="shared" si="71"/>
        <v>2000</v>
      </c>
      <c r="M548" s="228">
        <f t="shared" si="72"/>
        <v>2200</v>
      </c>
      <c r="N548" s="18" t="s">
        <v>25</v>
      </c>
      <c r="O548" s="50"/>
    </row>
    <row r="549" spans="1:16" ht="21.75" customHeight="1" x14ac:dyDescent="0.4">
      <c r="A549" s="62">
        <v>45567</v>
      </c>
      <c r="B549" s="32" t="s">
        <v>3117</v>
      </c>
      <c r="C549" s="32"/>
      <c r="D549" s="18" t="s">
        <v>17</v>
      </c>
      <c r="E549" s="63" t="s">
        <v>328</v>
      </c>
      <c r="F549" s="63" t="s">
        <v>3599</v>
      </c>
      <c r="G549" s="50" t="s">
        <v>3605</v>
      </c>
      <c r="H549" s="57">
        <v>72000</v>
      </c>
      <c r="I549" s="227">
        <v>-21600</v>
      </c>
      <c r="J549" s="57">
        <f t="shared" si="73"/>
        <v>50400</v>
      </c>
      <c r="K549" s="50">
        <v>1</v>
      </c>
      <c r="L549" s="57">
        <f t="shared" si="71"/>
        <v>50400</v>
      </c>
      <c r="M549" s="228">
        <f t="shared" si="72"/>
        <v>55440</v>
      </c>
      <c r="N549" s="18" t="s">
        <v>20</v>
      </c>
      <c r="O549" s="50"/>
      <c r="P549" s="52" t="s">
        <v>2141</v>
      </c>
    </row>
    <row r="550" spans="1:16" ht="21.75" customHeight="1" x14ac:dyDescent="0.4">
      <c r="A550" s="62">
        <v>45567</v>
      </c>
      <c r="B550" s="32" t="s">
        <v>3117</v>
      </c>
      <c r="C550" s="32"/>
      <c r="D550" s="18" t="s">
        <v>2892</v>
      </c>
      <c r="E550" s="63" t="s">
        <v>23</v>
      </c>
      <c r="F550" s="63"/>
      <c r="G550" s="50" t="s">
        <v>220</v>
      </c>
      <c r="H550" s="57">
        <v>10000</v>
      </c>
      <c r="I550" s="227"/>
      <c r="J550" s="57">
        <f t="shared" si="73"/>
        <v>10000</v>
      </c>
      <c r="K550" s="50">
        <v>1</v>
      </c>
      <c r="L550" s="57">
        <f t="shared" si="71"/>
        <v>10000</v>
      </c>
      <c r="M550" s="228">
        <f t="shared" si="72"/>
        <v>11000</v>
      </c>
      <c r="N550" s="18" t="s">
        <v>20</v>
      </c>
      <c r="O550" s="50"/>
    </row>
    <row r="551" spans="1:16" ht="21.75" customHeight="1" x14ac:dyDescent="0.4">
      <c r="A551" s="62">
        <v>45567</v>
      </c>
      <c r="B551" s="32" t="s">
        <v>3117</v>
      </c>
      <c r="C551" s="32"/>
      <c r="D551" s="18" t="s">
        <v>17</v>
      </c>
      <c r="E551" s="63" t="s">
        <v>332</v>
      </c>
      <c r="F551" s="63" t="s">
        <v>3550</v>
      </c>
      <c r="G551" s="50" t="s">
        <v>3575</v>
      </c>
      <c r="H551" s="57">
        <v>1700</v>
      </c>
      <c r="I551" s="227">
        <v>-170</v>
      </c>
      <c r="J551" s="57">
        <f t="shared" si="73"/>
        <v>1530</v>
      </c>
      <c r="K551" s="50">
        <v>1</v>
      </c>
      <c r="L551" s="57">
        <f t="shared" si="71"/>
        <v>1530</v>
      </c>
      <c r="M551" s="228">
        <f t="shared" si="72"/>
        <v>1683</v>
      </c>
      <c r="N551" s="18" t="s">
        <v>20</v>
      </c>
      <c r="O551" s="50"/>
      <c r="P551" s="52" t="s">
        <v>2141</v>
      </c>
    </row>
    <row r="552" spans="1:16" ht="21.75" customHeight="1" x14ac:dyDescent="0.4">
      <c r="A552" s="62">
        <v>45567</v>
      </c>
      <c r="B552" s="32" t="s">
        <v>3117</v>
      </c>
      <c r="C552" s="32"/>
      <c r="D552" s="96" t="s">
        <v>198</v>
      </c>
      <c r="E552" s="63"/>
      <c r="F552" s="63"/>
      <c r="G552" s="50" t="s">
        <v>2491</v>
      </c>
      <c r="H552" s="57">
        <v>-10000</v>
      </c>
      <c r="I552" s="227"/>
      <c r="J552" s="57">
        <f t="shared" si="73"/>
        <v>-10000</v>
      </c>
      <c r="K552" s="50">
        <v>1</v>
      </c>
      <c r="L552" s="57">
        <f t="shared" si="71"/>
        <v>-10000</v>
      </c>
      <c r="M552" s="228">
        <f t="shared" si="72"/>
        <v>-11000</v>
      </c>
      <c r="N552" s="18" t="s">
        <v>20</v>
      </c>
      <c r="O552" s="50" t="s">
        <v>3962</v>
      </c>
    </row>
    <row r="553" spans="1:16" ht="21.75" customHeight="1" x14ac:dyDescent="0.4">
      <c r="A553" s="62">
        <v>45569</v>
      </c>
      <c r="B553" s="32" t="s">
        <v>1256</v>
      </c>
      <c r="C553" s="32"/>
      <c r="D553" s="18" t="s">
        <v>27</v>
      </c>
      <c r="E553" s="63" t="s">
        <v>103</v>
      </c>
      <c r="F553" s="63"/>
      <c r="G553" s="50" t="s">
        <v>217</v>
      </c>
      <c r="H553" s="57">
        <v>25000</v>
      </c>
      <c r="I553" s="227"/>
      <c r="J553" s="57">
        <f t="shared" si="73"/>
        <v>25000</v>
      </c>
      <c r="K553" s="50">
        <v>1</v>
      </c>
      <c r="L553" s="57">
        <f t="shared" si="71"/>
        <v>25000</v>
      </c>
      <c r="M553" s="228">
        <f t="shared" si="72"/>
        <v>27500</v>
      </c>
      <c r="N553" s="18" t="s">
        <v>20</v>
      </c>
      <c r="O553" s="50"/>
    </row>
    <row r="554" spans="1:16" ht="21.75" customHeight="1" x14ac:dyDescent="0.4">
      <c r="A554" s="62">
        <v>45569</v>
      </c>
      <c r="B554" s="32" t="s">
        <v>3417</v>
      </c>
      <c r="C554" s="32"/>
      <c r="D554" s="18" t="s">
        <v>17</v>
      </c>
      <c r="E554" s="63" t="s">
        <v>292</v>
      </c>
      <c r="F554" s="63" t="s">
        <v>1051</v>
      </c>
      <c r="G554" s="50" t="s">
        <v>3741</v>
      </c>
      <c r="H554" s="57">
        <v>5500</v>
      </c>
      <c r="I554" s="227"/>
      <c r="J554" s="57">
        <f t="shared" si="73"/>
        <v>5500</v>
      </c>
      <c r="K554" s="50">
        <v>1</v>
      </c>
      <c r="L554" s="57">
        <f t="shared" si="71"/>
        <v>5500</v>
      </c>
      <c r="M554" s="228">
        <f t="shared" si="72"/>
        <v>6050</v>
      </c>
      <c r="N554" s="18" t="s">
        <v>25</v>
      </c>
      <c r="O554" s="50"/>
    </row>
    <row r="555" spans="1:16" ht="21.75" customHeight="1" x14ac:dyDescent="0.4">
      <c r="A555" s="62">
        <v>45569</v>
      </c>
      <c r="B555" s="32" t="s">
        <v>3372</v>
      </c>
      <c r="C555" s="32"/>
      <c r="D555" s="18" t="s">
        <v>27</v>
      </c>
      <c r="E555" s="63" t="s">
        <v>28</v>
      </c>
      <c r="F555" s="63"/>
      <c r="G555" s="50" t="s">
        <v>73</v>
      </c>
      <c r="H555" s="57">
        <v>2000</v>
      </c>
      <c r="I555" s="227"/>
      <c r="J555" s="57">
        <f t="shared" si="73"/>
        <v>2000</v>
      </c>
      <c r="K555" s="50">
        <v>3</v>
      </c>
      <c r="L555" s="57">
        <f t="shared" si="71"/>
        <v>6000</v>
      </c>
      <c r="M555" s="228">
        <f t="shared" si="72"/>
        <v>6600</v>
      </c>
      <c r="N555" s="18" t="s">
        <v>25</v>
      </c>
      <c r="O555" s="50"/>
    </row>
    <row r="556" spans="1:16" ht="21.75" customHeight="1" x14ac:dyDescent="0.4">
      <c r="A556" s="62">
        <v>45571</v>
      </c>
      <c r="B556" s="32" t="s">
        <v>1455</v>
      </c>
      <c r="C556" s="32"/>
      <c r="D556" s="18" t="s">
        <v>17</v>
      </c>
      <c r="E556" s="63" t="s">
        <v>845</v>
      </c>
      <c r="F556" s="63"/>
      <c r="G556" s="50" t="s">
        <v>3958</v>
      </c>
      <c r="H556" s="57">
        <v>1000</v>
      </c>
      <c r="I556" s="227">
        <v>-400</v>
      </c>
      <c r="J556" s="57">
        <f t="shared" si="73"/>
        <v>600</v>
      </c>
      <c r="K556" s="50">
        <v>1</v>
      </c>
      <c r="L556" s="57">
        <f t="shared" si="71"/>
        <v>600</v>
      </c>
      <c r="M556" s="228">
        <f t="shared" si="72"/>
        <v>660</v>
      </c>
      <c r="N556" s="18" t="s">
        <v>20</v>
      </c>
      <c r="O556" s="50"/>
    </row>
    <row r="557" spans="1:16" ht="21.75" customHeight="1" x14ac:dyDescent="0.4">
      <c r="A557" s="62">
        <v>45571</v>
      </c>
      <c r="B557" s="32" t="s">
        <v>580</v>
      </c>
      <c r="C557" s="32"/>
      <c r="D557" s="18" t="s">
        <v>17</v>
      </c>
      <c r="E557" s="63" t="s">
        <v>576</v>
      </c>
      <c r="F557" s="63" t="s">
        <v>1443</v>
      </c>
      <c r="G557" s="50" t="s">
        <v>3965</v>
      </c>
      <c r="H557" s="57">
        <v>65000</v>
      </c>
      <c r="I557" s="227">
        <v>-6500</v>
      </c>
      <c r="J557" s="57">
        <f t="shared" si="73"/>
        <v>58500</v>
      </c>
      <c r="K557" s="50">
        <v>1</v>
      </c>
      <c r="L557" s="57">
        <f t="shared" si="71"/>
        <v>58500</v>
      </c>
      <c r="M557" s="228">
        <f t="shared" si="72"/>
        <v>64350</v>
      </c>
      <c r="N557" s="18" t="s">
        <v>25</v>
      </c>
      <c r="O557" s="50"/>
      <c r="P557" s="52" t="s">
        <v>2141</v>
      </c>
    </row>
    <row r="558" spans="1:16" ht="21.75" customHeight="1" x14ac:dyDescent="0.4">
      <c r="A558" s="62">
        <v>45571</v>
      </c>
      <c r="B558" s="32" t="s">
        <v>1026</v>
      </c>
      <c r="C558" s="32"/>
      <c r="D558" s="18" t="s">
        <v>2892</v>
      </c>
      <c r="E558" s="63" t="s">
        <v>23</v>
      </c>
      <c r="F558" s="63"/>
      <c r="G558" s="50" t="s">
        <v>220</v>
      </c>
      <c r="H558" s="57">
        <v>10000</v>
      </c>
      <c r="I558" s="227"/>
      <c r="J558" s="57">
        <f t="shared" si="73"/>
        <v>10000</v>
      </c>
      <c r="K558" s="50">
        <v>1</v>
      </c>
      <c r="L558" s="57">
        <f t="shared" si="71"/>
        <v>10000</v>
      </c>
      <c r="M558" s="228">
        <f t="shared" si="72"/>
        <v>11000</v>
      </c>
      <c r="N558" s="18" t="s">
        <v>25</v>
      </c>
      <c r="O558" s="50" t="s">
        <v>3991</v>
      </c>
    </row>
    <row r="559" spans="1:16" ht="21.75" customHeight="1" x14ac:dyDescent="0.4">
      <c r="A559" s="62">
        <v>45571</v>
      </c>
      <c r="B559" s="32" t="s">
        <v>1026</v>
      </c>
      <c r="C559" s="32"/>
      <c r="D559" s="18" t="s">
        <v>17</v>
      </c>
      <c r="E559" s="63" t="s">
        <v>328</v>
      </c>
      <c r="F559" s="63" t="s">
        <v>3960</v>
      </c>
      <c r="G559" s="50" t="s">
        <v>3978</v>
      </c>
      <c r="H559" s="57">
        <v>18000</v>
      </c>
      <c r="I559" s="227">
        <v>-3600</v>
      </c>
      <c r="J559" s="57">
        <f t="shared" si="73"/>
        <v>14400</v>
      </c>
      <c r="K559" s="50">
        <v>1</v>
      </c>
      <c r="L559" s="57">
        <f t="shared" si="71"/>
        <v>14400</v>
      </c>
      <c r="M559" s="228">
        <f t="shared" si="72"/>
        <v>15840</v>
      </c>
      <c r="N559" s="18" t="s">
        <v>34</v>
      </c>
      <c r="O559" s="50"/>
      <c r="P559" s="52" t="s">
        <v>1608</v>
      </c>
    </row>
    <row r="560" spans="1:16" ht="21.75" customHeight="1" x14ac:dyDescent="0.4">
      <c r="A560" s="62">
        <v>45571</v>
      </c>
      <c r="B560" s="32" t="s">
        <v>1026</v>
      </c>
      <c r="C560" s="32"/>
      <c r="D560" s="18" t="s">
        <v>17</v>
      </c>
      <c r="E560" s="63" t="s">
        <v>328</v>
      </c>
      <c r="F560" s="63" t="s">
        <v>3945</v>
      </c>
      <c r="G560" s="50" t="s">
        <v>3966</v>
      </c>
      <c r="H560" s="57">
        <v>5600</v>
      </c>
      <c r="I560" s="227">
        <v>-1120</v>
      </c>
      <c r="J560" s="57">
        <f t="shared" si="73"/>
        <v>4480</v>
      </c>
      <c r="K560" s="50">
        <v>1</v>
      </c>
      <c r="L560" s="57">
        <f t="shared" si="71"/>
        <v>4480</v>
      </c>
      <c r="M560" s="228">
        <f t="shared" si="72"/>
        <v>4928</v>
      </c>
      <c r="N560" s="18" t="s">
        <v>34</v>
      </c>
      <c r="O560" s="50"/>
      <c r="P560" s="52" t="s">
        <v>1608</v>
      </c>
    </row>
    <row r="561" spans="1:16" ht="21.75" customHeight="1" x14ac:dyDescent="0.4">
      <c r="A561" s="62">
        <v>45571</v>
      </c>
      <c r="B561" s="32" t="s">
        <v>1026</v>
      </c>
      <c r="C561" s="32"/>
      <c r="D561" s="18" t="s">
        <v>17</v>
      </c>
      <c r="E561" s="63" t="s">
        <v>332</v>
      </c>
      <c r="F561" s="63" t="s">
        <v>3554</v>
      </c>
      <c r="G561" s="50" t="s">
        <v>3967</v>
      </c>
      <c r="H561" s="57">
        <v>1200</v>
      </c>
      <c r="I561" s="227"/>
      <c r="J561" s="57">
        <f t="shared" si="73"/>
        <v>1200</v>
      </c>
      <c r="K561" s="50">
        <v>3</v>
      </c>
      <c r="L561" s="57">
        <f t="shared" si="71"/>
        <v>3600</v>
      </c>
      <c r="M561" s="228">
        <f t="shared" si="72"/>
        <v>3960</v>
      </c>
      <c r="N561" s="18" t="s">
        <v>34</v>
      </c>
      <c r="O561" s="50"/>
      <c r="P561" s="52" t="s">
        <v>1608</v>
      </c>
    </row>
    <row r="562" spans="1:16" ht="21.75" customHeight="1" x14ac:dyDescent="0.4">
      <c r="A562" s="62">
        <v>45571</v>
      </c>
      <c r="B562" s="32" t="s">
        <v>1026</v>
      </c>
      <c r="C562" s="32"/>
      <c r="D562" s="96" t="s">
        <v>198</v>
      </c>
      <c r="E562" s="63"/>
      <c r="F562" s="63"/>
      <c r="G562" s="50"/>
      <c r="H562" s="57">
        <v>-10000</v>
      </c>
      <c r="I562" s="227"/>
      <c r="J562" s="57">
        <f t="shared" si="73"/>
        <v>-10000</v>
      </c>
      <c r="K562" s="50">
        <v>1</v>
      </c>
      <c r="L562" s="57">
        <f t="shared" si="71"/>
        <v>-10000</v>
      </c>
      <c r="M562" s="228">
        <f t="shared" si="72"/>
        <v>-11000</v>
      </c>
      <c r="N562" s="18" t="s">
        <v>34</v>
      </c>
      <c r="O562" s="50" t="s">
        <v>3972</v>
      </c>
    </row>
    <row r="563" spans="1:16" ht="21.75" customHeight="1" x14ac:dyDescent="0.4">
      <c r="A563" s="62">
        <v>45571</v>
      </c>
      <c r="B563" s="32" t="s">
        <v>3963</v>
      </c>
      <c r="C563" s="32"/>
      <c r="D563" s="18" t="s">
        <v>22</v>
      </c>
      <c r="E563" s="63" t="s">
        <v>1496</v>
      </c>
      <c r="F563" s="63"/>
      <c r="G563" s="50" t="s">
        <v>49</v>
      </c>
      <c r="H563" s="57">
        <v>3000</v>
      </c>
      <c r="I563" s="227"/>
      <c r="J563" s="57">
        <f t="shared" si="73"/>
        <v>3000</v>
      </c>
      <c r="K563" s="50">
        <v>1</v>
      </c>
      <c r="L563" s="57">
        <f t="shared" si="71"/>
        <v>3000</v>
      </c>
      <c r="M563" s="228">
        <f t="shared" si="72"/>
        <v>3300</v>
      </c>
      <c r="N563" s="18" t="s">
        <v>25</v>
      </c>
      <c r="O563" s="50" t="s">
        <v>3992</v>
      </c>
    </row>
    <row r="564" spans="1:16" ht="21.75" customHeight="1" x14ac:dyDescent="0.4">
      <c r="A564" s="62">
        <v>45571</v>
      </c>
      <c r="B564" s="32" t="s">
        <v>3929</v>
      </c>
      <c r="C564" s="32"/>
      <c r="D564" s="18" t="s">
        <v>17</v>
      </c>
      <c r="E564" s="63" t="s">
        <v>328</v>
      </c>
      <c r="F564" s="63" t="s">
        <v>3599</v>
      </c>
      <c r="G564" s="50" t="s">
        <v>3968</v>
      </c>
      <c r="H564" s="57">
        <v>72000</v>
      </c>
      <c r="I564" s="227">
        <v>-14400</v>
      </c>
      <c r="J564" s="57">
        <f t="shared" si="73"/>
        <v>57600</v>
      </c>
      <c r="K564" s="50">
        <v>1</v>
      </c>
      <c r="L564" s="57">
        <f t="shared" si="71"/>
        <v>57600</v>
      </c>
      <c r="M564" s="228">
        <f t="shared" si="72"/>
        <v>63360</v>
      </c>
      <c r="N564" s="18" t="s">
        <v>34</v>
      </c>
      <c r="O564" s="50"/>
      <c r="P564" s="52" t="s">
        <v>1557</v>
      </c>
    </row>
    <row r="565" spans="1:16" ht="21.75" customHeight="1" x14ac:dyDescent="0.4">
      <c r="A565" s="62">
        <v>45571</v>
      </c>
      <c r="B565" s="32" t="s">
        <v>3929</v>
      </c>
      <c r="C565" s="32"/>
      <c r="D565" s="18" t="s">
        <v>17</v>
      </c>
      <c r="E565" s="63" t="s">
        <v>328</v>
      </c>
      <c r="F565" s="63" t="s">
        <v>3599</v>
      </c>
      <c r="G565" s="50" t="s">
        <v>3969</v>
      </c>
      <c r="H565" s="57">
        <v>52000</v>
      </c>
      <c r="I565" s="227">
        <v>-10400</v>
      </c>
      <c r="J565" s="57">
        <f t="shared" si="73"/>
        <v>41600</v>
      </c>
      <c r="K565" s="50">
        <v>1</v>
      </c>
      <c r="L565" s="57">
        <f t="shared" si="71"/>
        <v>41600</v>
      </c>
      <c r="M565" s="228">
        <f t="shared" si="72"/>
        <v>45760</v>
      </c>
      <c r="N565" s="18" t="s">
        <v>34</v>
      </c>
      <c r="O565" s="50"/>
      <c r="P565" s="52" t="s">
        <v>1557</v>
      </c>
    </row>
    <row r="566" spans="1:16" ht="21.75" customHeight="1" x14ac:dyDescent="0.4">
      <c r="A566" s="62">
        <v>45571</v>
      </c>
      <c r="B566" s="32" t="s">
        <v>3929</v>
      </c>
      <c r="C566" s="32"/>
      <c r="D566" s="18" t="s">
        <v>17</v>
      </c>
      <c r="E566" s="63" t="s">
        <v>330</v>
      </c>
      <c r="F566" s="63" t="s">
        <v>557</v>
      </c>
      <c r="G566" s="50" t="s">
        <v>98</v>
      </c>
      <c r="H566" s="57">
        <v>5000</v>
      </c>
      <c r="I566" s="227"/>
      <c r="J566" s="57">
        <f t="shared" si="73"/>
        <v>5000</v>
      </c>
      <c r="K566" s="50">
        <v>1</v>
      </c>
      <c r="L566" s="57">
        <f t="shared" si="71"/>
        <v>5000</v>
      </c>
      <c r="M566" s="228">
        <f t="shared" si="72"/>
        <v>5500</v>
      </c>
      <c r="N566" s="18" t="s">
        <v>34</v>
      </c>
      <c r="O566" s="50"/>
      <c r="P566" s="52" t="s">
        <v>1557</v>
      </c>
    </row>
    <row r="567" spans="1:16" ht="21.75" customHeight="1" x14ac:dyDescent="0.4">
      <c r="A567" s="62">
        <v>45571</v>
      </c>
      <c r="B567" s="32" t="s">
        <v>3929</v>
      </c>
      <c r="C567" s="32"/>
      <c r="D567" s="18" t="s">
        <v>17</v>
      </c>
      <c r="E567" s="63" t="s">
        <v>332</v>
      </c>
      <c r="F567" s="63" t="s">
        <v>3555</v>
      </c>
      <c r="G567" s="50" t="s">
        <v>3970</v>
      </c>
      <c r="H567" s="57">
        <v>1200</v>
      </c>
      <c r="I567" s="227"/>
      <c r="J567" s="57">
        <f t="shared" si="73"/>
        <v>1200</v>
      </c>
      <c r="K567" s="50">
        <v>2</v>
      </c>
      <c r="L567" s="57">
        <f t="shared" si="71"/>
        <v>2400</v>
      </c>
      <c r="M567" s="228">
        <f t="shared" si="72"/>
        <v>2640</v>
      </c>
      <c r="N567" s="18" t="s">
        <v>34</v>
      </c>
      <c r="O567" s="50"/>
      <c r="P567" s="52" t="s">
        <v>1557</v>
      </c>
    </row>
    <row r="568" spans="1:16" ht="21.75" customHeight="1" x14ac:dyDescent="0.4">
      <c r="A568" s="62">
        <v>45571</v>
      </c>
      <c r="B568" s="32" t="s">
        <v>3929</v>
      </c>
      <c r="C568" s="32"/>
      <c r="D568" s="96" t="s">
        <v>198</v>
      </c>
      <c r="E568" s="63"/>
      <c r="F568" s="63"/>
      <c r="G568" s="50"/>
      <c r="H568" s="57">
        <v>-20000</v>
      </c>
      <c r="I568" s="227"/>
      <c r="J568" s="57">
        <f t="shared" si="73"/>
        <v>-20000</v>
      </c>
      <c r="K568" s="50">
        <v>1</v>
      </c>
      <c r="L568" s="57">
        <f t="shared" si="71"/>
        <v>-20000</v>
      </c>
      <c r="M568" s="228">
        <f t="shared" si="72"/>
        <v>-22000</v>
      </c>
      <c r="N568" s="18" t="s">
        <v>34</v>
      </c>
      <c r="O568" s="50" t="s">
        <v>3993</v>
      </c>
    </row>
    <row r="569" spans="1:16" ht="21.75" customHeight="1" x14ac:dyDescent="0.4">
      <c r="A569" s="62">
        <v>45571</v>
      </c>
      <c r="B569" s="32" t="s">
        <v>3964</v>
      </c>
      <c r="C569" s="32"/>
      <c r="D569" s="18" t="s">
        <v>22</v>
      </c>
      <c r="E569" s="63" t="s">
        <v>1496</v>
      </c>
      <c r="F569" s="63"/>
      <c r="G569" s="50" t="s">
        <v>49</v>
      </c>
      <c r="H569" s="57">
        <v>3000</v>
      </c>
      <c r="I569" s="227"/>
      <c r="J569" s="57">
        <f t="shared" si="73"/>
        <v>3000</v>
      </c>
      <c r="K569" s="50">
        <v>1</v>
      </c>
      <c r="L569" s="57">
        <f t="shared" si="71"/>
        <v>3000</v>
      </c>
      <c r="M569" s="228">
        <f t="shared" si="72"/>
        <v>3300</v>
      </c>
      <c r="N569" s="18" t="s">
        <v>20</v>
      </c>
      <c r="O569" s="50" t="s">
        <v>3992</v>
      </c>
    </row>
    <row r="570" spans="1:16" ht="21.75" customHeight="1" x14ac:dyDescent="0.4">
      <c r="A570" s="62">
        <v>45572</v>
      </c>
      <c r="B570" s="32" t="s">
        <v>3963</v>
      </c>
      <c r="C570" s="32"/>
      <c r="D570" s="18" t="s">
        <v>27</v>
      </c>
      <c r="E570" s="63" t="s">
        <v>28</v>
      </c>
      <c r="F570" s="63"/>
      <c r="G570" s="50" t="s">
        <v>30</v>
      </c>
      <c r="H570" s="57">
        <v>15000</v>
      </c>
      <c r="I570" s="227"/>
      <c r="J570" s="57">
        <f t="shared" si="73"/>
        <v>15000</v>
      </c>
      <c r="K570" s="50">
        <v>1</v>
      </c>
      <c r="L570" s="57">
        <f t="shared" si="71"/>
        <v>15000</v>
      </c>
      <c r="M570" s="228">
        <f t="shared" si="72"/>
        <v>16500</v>
      </c>
      <c r="N570" s="18" t="s">
        <v>25</v>
      </c>
      <c r="O570" s="50"/>
    </row>
    <row r="571" spans="1:16" ht="21.75" customHeight="1" x14ac:dyDescent="0.4">
      <c r="A571" s="62">
        <v>45572</v>
      </c>
      <c r="B571" s="32" t="s">
        <v>3963</v>
      </c>
      <c r="C571" s="32"/>
      <c r="D571" s="18" t="s">
        <v>27</v>
      </c>
      <c r="E571" s="63" t="s">
        <v>28</v>
      </c>
      <c r="F571" s="63"/>
      <c r="G571" s="50" t="s">
        <v>29</v>
      </c>
      <c r="H571" s="57">
        <v>13120</v>
      </c>
      <c r="I571" s="227"/>
      <c r="J571" s="57">
        <f t="shared" si="73"/>
        <v>13120</v>
      </c>
      <c r="K571" s="50">
        <v>1</v>
      </c>
      <c r="L571" s="57">
        <f t="shared" si="71"/>
        <v>13120</v>
      </c>
      <c r="M571" s="228">
        <f t="shared" si="72"/>
        <v>14432</v>
      </c>
      <c r="N571" s="18" t="s">
        <v>25</v>
      </c>
      <c r="O571" s="50"/>
    </row>
    <row r="572" spans="1:16" ht="21.75" customHeight="1" x14ac:dyDescent="0.4">
      <c r="A572" s="62">
        <v>45572</v>
      </c>
      <c r="B572" s="32" t="s">
        <v>162</v>
      </c>
      <c r="C572" s="32"/>
      <c r="D572" s="18" t="s">
        <v>27</v>
      </c>
      <c r="E572" s="63" t="s">
        <v>28</v>
      </c>
      <c r="F572" s="63"/>
      <c r="G572" s="50" t="s">
        <v>73</v>
      </c>
      <c r="H572" s="57">
        <v>2000</v>
      </c>
      <c r="I572" s="227"/>
      <c r="J572" s="57">
        <f t="shared" si="73"/>
        <v>2000</v>
      </c>
      <c r="K572" s="50">
        <v>1</v>
      </c>
      <c r="L572" s="57">
        <f t="shared" si="71"/>
        <v>2000</v>
      </c>
      <c r="M572" s="228">
        <f t="shared" si="72"/>
        <v>2200</v>
      </c>
      <c r="N572" s="18" t="s">
        <v>20</v>
      </c>
      <c r="O572" s="50"/>
    </row>
    <row r="573" spans="1:16" ht="21.75" customHeight="1" x14ac:dyDescent="0.4">
      <c r="A573" s="62">
        <v>45574</v>
      </c>
      <c r="B573" s="32" t="s">
        <v>3486</v>
      </c>
      <c r="C573" s="32"/>
      <c r="D573" s="18" t="s">
        <v>2457</v>
      </c>
      <c r="E573" s="63" t="s">
        <v>1615</v>
      </c>
      <c r="F573" s="63"/>
      <c r="G573" s="50" t="s">
        <v>3961</v>
      </c>
      <c r="H573" s="57">
        <v>15000</v>
      </c>
      <c r="I573" s="227"/>
      <c r="J573" s="57">
        <f t="shared" si="73"/>
        <v>15000</v>
      </c>
      <c r="K573" s="50">
        <v>1</v>
      </c>
      <c r="L573" s="57">
        <f t="shared" si="71"/>
        <v>15000</v>
      </c>
      <c r="M573" s="228">
        <f t="shared" si="72"/>
        <v>16500</v>
      </c>
      <c r="N573" s="18" t="s">
        <v>25</v>
      </c>
      <c r="O573" s="50"/>
    </row>
    <row r="574" spans="1:16" ht="21.75" customHeight="1" x14ac:dyDescent="0.4">
      <c r="A574" s="62">
        <v>45574</v>
      </c>
      <c r="B574" s="32" t="s">
        <v>1059</v>
      </c>
      <c r="C574" s="32"/>
      <c r="D574" s="18" t="s">
        <v>2892</v>
      </c>
      <c r="E574" s="63" t="s">
        <v>23</v>
      </c>
      <c r="F574" s="63"/>
      <c r="G574" s="50" t="s">
        <v>220</v>
      </c>
      <c r="H574" s="57">
        <v>10000</v>
      </c>
      <c r="I574" s="227"/>
      <c r="J574" s="57">
        <f t="shared" si="73"/>
        <v>10000</v>
      </c>
      <c r="K574" s="50">
        <v>1</v>
      </c>
      <c r="L574" s="57">
        <f t="shared" si="71"/>
        <v>10000</v>
      </c>
      <c r="M574" s="228">
        <f t="shared" si="72"/>
        <v>11000</v>
      </c>
      <c r="N574" s="18" t="s">
        <v>25</v>
      </c>
      <c r="O574" s="50"/>
    </row>
    <row r="575" spans="1:16" ht="21.75" customHeight="1" x14ac:dyDescent="0.4">
      <c r="A575" s="62">
        <v>45574</v>
      </c>
      <c r="B575" s="32" t="s">
        <v>1059</v>
      </c>
      <c r="C575" s="32"/>
      <c r="D575" s="18" t="s">
        <v>17</v>
      </c>
      <c r="E575" s="63" t="s">
        <v>328</v>
      </c>
      <c r="F575" s="63" t="s">
        <v>3599</v>
      </c>
      <c r="G575" s="50" t="s">
        <v>3939</v>
      </c>
      <c r="H575" s="57">
        <v>52000</v>
      </c>
      <c r="I575" s="227">
        <v>-15600</v>
      </c>
      <c r="J575" s="57">
        <f t="shared" si="73"/>
        <v>36400</v>
      </c>
      <c r="K575" s="50">
        <v>1</v>
      </c>
      <c r="L575" s="57">
        <f t="shared" si="71"/>
        <v>36400</v>
      </c>
      <c r="M575" s="228">
        <f t="shared" si="72"/>
        <v>40040</v>
      </c>
      <c r="N575" s="18" t="s">
        <v>25</v>
      </c>
      <c r="O575" s="50"/>
      <c r="P575" s="52" t="s">
        <v>1557</v>
      </c>
    </row>
    <row r="576" spans="1:16" ht="21.75" customHeight="1" x14ac:dyDescent="0.4">
      <c r="A576" s="62">
        <v>45574</v>
      </c>
      <c r="B576" s="32" t="s">
        <v>1059</v>
      </c>
      <c r="C576" s="32"/>
      <c r="D576" s="18" t="s">
        <v>17</v>
      </c>
      <c r="E576" s="63" t="s">
        <v>330</v>
      </c>
      <c r="F576" s="63" t="s">
        <v>557</v>
      </c>
      <c r="G576" s="50" t="s">
        <v>98</v>
      </c>
      <c r="H576" s="57">
        <v>5000</v>
      </c>
      <c r="I576" s="227"/>
      <c r="J576" s="57">
        <f t="shared" si="73"/>
        <v>5000</v>
      </c>
      <c r="K576" s="50">
        <v>1</v>
      </c>
      <c r="L576" s="57">
        <f t="shared" si="71"/>
        <v>5000</v>
      </c>
      <c r="M576" s="228">
        <f t="shared" si="72"/>
        <v>5500</v>
      </c>
      <c r="N576" s="18" t="s">
        <v>25</v>
      </c>
      <c r="O576" s="50"/>
      <c r="P576" s="52" t="s">
        <v>1557</v>
      </c>
    </row>
    <row r="577" spans="1:16" ht="21.75" customHeight="1" x14ac:dyDescent="0.4">
      <c r="A577" s="62">
        <v>45574</v>
      </c>
      <c r="B577" s="32" t="s">
        <v>1059</v>
      </c>
      <c r="C577" s="32"/>
      <c r="D577" s="18" t="s">
        <v>17</v>
      </c>
      <c r="E577" s="63" t="s">
        <v>332</v>
      </c>
      <c r="F577" s="63" t="s">
        <v>3553</v>
      </c>
      <c r="G577" s="50" t="s">
        <v>3959</v>
      </c>
      <c r="H577" s="57">
        <v>1600</v>
      </c>
      <c r="I577" s="227">
        <v>-160</v>
      </c>
      <c r="J577" s="57">
        <f t="shared" si="73"/>
        <v>1440</v>
      </c>
      <c r="K577" s="50">
        <v>1</v>
      </c>
      <c r="L577" s="57">
        <f t="shared" si="71"/>
        <v>1440</v>
      </c>
      <c r="M577" s="228">
        <f t="shared" si="72"/>
        <v>1584</v>
      </c>
      <c r="N577" s="18" t="s">
        <v>25</v>
      </c>
      <c r="O577" s="50"/>
      <c r="P577" s="52" t="s">
        <v>1557</v>
      </c>
    </row>
    <row r="578" spans="1:16" ht="21.75" customHeight="1" x14ac:dyDescent="0.4">
      <c r="A578" s="62">
        <v>45574</v>
      </c>
      <c r="B578" s="32" t="s">
        <v>1059</v>
      </c>
      <c r="C578" s="32"/>
      <c r="D578" s="18" t="s">
        <v>17</v>
      </c>
      <c r="E578" s="63" t="s">
        <v>700</v>
      </c>
      <c r="F578" s="63" t="s">
        <v>3555</v>
      </c>
      <c r="G578" s="50" t="s">
        <v>3988</v>
      </c>
      <c r="H578" s="57">
        <v>2400</v>
      </c>
      <c r="I578" s="227"/>
      <c r="J578" s="57">
        <f t="shared" si="73"/>
        <v>2400</v>
      </c>
      <c r="K578" s="50">
        <v>1</v>
      </c>
      <c r="L578" s="57">
        <f t="shared" si="71"/>
        <v>2400</v>
      </c>
      <c r="M578" s="228">
        <f t="shared" si="72"/>
        <v>2640</v>
      </c>
      <c r="N578" s="18" t="s">
        <v>25</v>
      </c>
      <c r="O578" s="50"/>
    </row>
    <row r="579" spans="1:16" ht="21.75" customHeight="1" x14ac:dyDescent="0.4">
      <c r="A579" s="62">
        <v>45574</v>
      </c>
      <c r="B579" s="32" t="s">
        <v>1059</v>
      </c>
      <c r="C579" s="32"/>
      <c r="D579" s="96" t="s">
        <v>198</v>
      </c>
      <c r="E579" s="63"/>
      <c r="F579" s="63"/>
      <c r="G579" s="50"/>
      <c r="H579" s="57">
        <v>-10000</v>
      </c>
      <c r="I579" s="227"/>
      <c r="J579" s="57">
        <f t="shared" si="73"/>
        <v>-10000</v>
      </c>
      <c r="K579" s="50">
        <v>1</v>
      </c>
      <c r="L579" s="57">
        <f t="shared" si="71"/>
        <v>-10000</v>
      </c>
      <c r="M579" s="228">
        <f t="shared" si="72"/>
        <v>-11000</v>
      </c>
      <c r="N579" s="18" t="s">
        <v>25</v>
      </c>
      <c r="O579" s="50" t="s">
        <v>3971</v>
      </c>
    </row>
    <row r="580" spans="1:16" ht="21.75" customHeight="1" x14ac:dyDescent="0.4">
      <c r="A580" s="62">
        <v>45574</v>
      </c>
      <c r="B580" s="32" t="s">
        <v>3931</v>
      </c>
      <c r="C580" s="32"/>
      <c r="D580" s="18" t="s">
        <v>2457</v>
      </c>
      <c r="E580" s="63" t="s">
        <v>1615</v>
      </c>
      <c r="F580" s="63"/>
      <c r="G580" s="50" t="s">
        <v>3961</v>
      </c>
      <c r="H580" s="57">
        <v>15000</v>
      </c>
      <c r="I580" s="227"/>
      <c r="J580" s="57">
        <f t="shared" si="73"/>
        <v>15000</v>
      </c>
      <c r="K580" s="50">
        <v>1</v>
      </c>
      <c r="L580" s="57">
        <f t="shared" si="71"/>
        <v>15000</v>
      </c>
      <c r="M580" s="228">
        <f t="shared" si="72"/>
        <v>16500</v>
      </c>
      <c r="N580" s="18" t="s">
        <v>25</v>
      </c>
      <c r="O580" s="50"/>
    </row>
    <row r="581" spans="1:16" ht="21.75" customHeight="1" x14ac:dyDescent="0.4">
      <c r="A581" s="62">
        <v>45575</v>
      </c>
      <c r="B581" s="32" t="s">
        <v>1242</v>
      </c>
      <c r="C581" s="32"/>
      <c r="D581" s="18" t="s">
        <v>17</v>
      </c>
      <c r="E581" s="63" t="s">
        <v>332</v>
      </c>
      <c r="F581" s="63" t="s">
        <v>3554</v>
      </c>
      <c r="G581" s="50" t="s">
        <v>3973</v>
      </c>
      <c r="H581" s="57">
        <v>1200</v>
      </c>
      <c r="I581" s="227">
        <v>-120</v>
      </c>
      <c r="J581" s="57">
        <f t="shared" si="73"/>
        <v>1080</v>
      </c>
      <c r="K581" s="50">
        <v>1</v>
      </c>
      <c r="L581" s="57">
        <f t="shared" si="71"/>
        <v>1080</v>
      </c>
      <c r="M581" s="228">
        <f t="shared" si="72"/>
        <v>1188</v>
      </c>
      <c r="N581" s="18" t="s">
        <v>34</v>
      </c>
      <c r="O581" s="50"/>
    </row>
    <row r="582" spans="1:16" ht="21.75" customHeight="1" x14ac:dyDescent="0.4">
      <c r="A582" s="62">
        <v>45575</v>
      </c>
      <c r="B582" s="32" t="s">
        <v>202</v>
      </c>
      <c r="C582" s="32"/>
      <c r="D582" s="18" t="s">
        <v>17</v>
      </c>
      <c r="E582" s="63" t="s">
        <v>332</v>
      </c>
      <c r="F582" s="63" t="s">
        <v>3555</v>
      </c>
      <c r="G582" s="50" t="s">
        <v>3173</v>
      </c>
      <c r="H582" s="57">
        <v>1200</v>
      </c>
      <c r="I582" s="227">
        <v>-120</v>
      </c>
      <c r="J582" s="57">
        <f t="shared" si="73"/>
        <v>1080</v>
      </c>
      <c r="K582" s="50">
        <v>1</v>
      </c>
      <c r="L582" s="57">
        <f t="shared" si="71"/>
        <v>1080</v>
      </c>
      <c r="M582" s="228">
        <f t="shared" si="72"/>
        <v>1188</v>
      </c>
      <c r="N582" s="18" t="s">
        <v>20</v>
      </c>
      <c r="O582" s="50"/>
    </row>
    <row r="583" spans="1:16" ht="21.75" customHeight="1" x14ac:dyDescent="0.4">
      <c r="A583" s="62">
        <v>45575</v>
      </c>
      <c r="B583" s="32" t="s">
        <v>1059</v>
      </c>
      <c r="C583" s="32"/>
      <c r="D583" s="18" t="s">
        <v>17</v>
      </c>
      <c r="E583" s="63" t="s">
        <v>292</v>
      </c>
      <c r="F583" s="63" t="s">
        <v>1051</v>
      </c>
      <c r="G583" s="50" t="s">
        <v>3974</v>
      </c>
      <c r="H583" s="57">
        <v>4000</v>
      </c>
      <c r="I583" s="227">
        <v>-400</v>
      </c>
      <c r="J583" s="57">
        <f t="shared" si="73"/>
        <v>3600</v>
      </c>
      <c r="K583" s="50">
        <v>1</v>
      </c>
      <c r="L583" s="57">
        <f t="shared" si="71"/>
        <v>3600</v>
      </c>
      <c r="M583" s="228">
        <f t="shared" si="72"/>
        <v>3960</v>
      </c>
      <c r="N583" s="18" t="s">
        <v>34</v>
      </c>
      <c r="O583" s="50"/>
    </row>
    <row r="584" spans="1:16" ht="21.75" customHeight="1" x14ac:dyDescent="0.4">
      <c r="A584" s="62">
        <v>45575</v>
      </c>
      <c r="B584" s="32" t="s">
        <v>1059</v>
      </c>
      <c r="C584" s="32"/>
      <c r="D584" s="18" t="s">
        <v>17</v>
      </c>
      <c r="E584" s="63" t="s">
        <v>292</v>
      </c>
      <c r="F584" s="63" t="s">
        <v>1051</v>
      </c>
      <c r="G584" s="50" t="s">
        <v>3975</v>
      </c>
      <c r="H584" s="57">
        <v>3200</v>
      </c>
      <c r="I584" s="227">
        <v>-320</v>
      </c>
      <c r="J584" s="57">
        <f t="shared" si="73"/>
        <v>2880</v>
      </c>
      <c r="K584" s="50">
        <v>1</v>
      </c>
      <c r="L584" s="57">
        <f t="shared" si="71"/>
        <v>2880</v>
      </c>
      <c r="M584" s="228">
        <f t="shared" si="72"/>
        <v>3168</v>
      </c>
      <c r="N584" s="18" t="s">
        <v>34</v>
      </c>
      <c r="O584" s="50"/>
    </row>
    <row r="585" spans="1:16" ht="21.75" customHeight="1" x14ac:dyDescent="0.4">
      <c r="A585" s="62">
        <v>45576</v>
      </c>
      <c r="B585" s="32" t="s">
        <v>3964</v>
      </c>
      <c r="C585" s="32"/>
      <c r="D585" s="18" t="s">
        <v>27</v>
      </c>
      <c r="E585" s="63" t="s">
        <v>28</v>
      </c>
      <c r="F585" s="63"/>
      <c r="G585" s="50" t="s">
        <v>30</v>
      </c>
      <c r="H585" s="57">
        <v>15000</v>
      </c>
      <c r="I585" s="227"/>
      <c r="J585" s="57">
        <f t="shared" si="73"/>
        <v>15000</v>
      </c>
      <c r="K585" s="50">
        <v>1</v>
      </c>
      <c r="L585" s="57">
        <f t="shared" si="71"/>
        <v>15000</v>
      </c>
      <c r="M585" s="228">
        <f t="shared" si="72"/>
        <v>16500</v>
      </c>
      <c r="N585" s="18" t="s">
        <v>25</v>
      </c>
      <c r="O585" s="50"/>
    </row>
    <row r="586" spans="1:16" ht="21.75" customHeight="1" x14ac:dyDescent="0.4">
      <c r="A586" s="62">
        <v>45576</v>
      </c>
      <c r="B586" s="32" t="s">
        <v>3964</v>
      </c>
      <c r="C586" s="32"/>
      <c r="D586" s="18" t="s">
        <v>27</v>
      </c>
      <c r="E586" s="63" t="s">
        <v>28</v>
      </c>
      <c r="F586" s="63"/>
      <c r="G586" s="50" t="s">
        <v>3976</v>
      </c>
      <c r="H586" s="57">
        <v>8750</v>
      </c>
      <c r="I586" s="227"/>
      <c r="J586" s="57">
        <f t="shared" si="73"/>
        <v>8750</v>
      </c>
      <c r="K586" s="50">
        <v>1</v>
      </c>
      <c r="L586" s="57">
        <f t="shared" si="71"/>
        <v>8750</v>
      </c>
      <c r="M586" s="228">
        <f t="shared" si="72"/>
        <v>9625</v>
      </c>
      <c r="N586" s="18" t="s">
        <v>25</v>
      </c>
      <c r="O586" s="50"/>
    </row>
    <row r="587" spans="1:16" ht="21.75" customHeight="1" x14ac:dyDescent="0.4">
      <c r="A587" s="62">
        <v>45576</v>
      </c>
      <c r="B587" s="32" t="s">
        <v>3964</v>
      </c>
      <c r="C587" s="32"/>
      <c r="D587" s="18" t="s">
        <v>27</v>
      </c>
      <c r="E587" s="63" t="s">
        <v>28</v>
      </c>
      <c r="F587" s="63"/>
      <c r="G587" s="50" t="s">
        <v>3664</v>
      </c>
      <c r="H587" s="57">
        <v>17500</v>
      </c>
      <c r="I587" s="227"/>
      <c r="J587" s="57">
        <f t="shared" si="73"/>
        <v>17500</v>
      </c>
      <c r="K587" s="50">
        <v>1</v>
      </c>
      <c r="L587" s="57">
        <f t="shared" ref="L587:L650" si="74">SUM(J587*K587)</f>
        <v>17500</v>
      </c>
      <c r="M587" s="228">
        <f t="shared" ref="M587:M650" si="75">ROUNDDOWN(L587*1.1,0)</f>
        <v>19250</v>
      </c>
      <c r="N587" s="18" t="s">
        <v>25</v>
      </c>
      <c r="O587" s="50"/>
    </row>
    <row r="588" spans="1:16" ht="21.75" customHeight="1" x14ac:dyDescent="0.4">
      <c r="A588" s="62">
        <v>45576</v>
      </c>
      <c r="B588" s="32" t="s">
        <v>3977</v>
      </c>
      <c r="C588" s="32"/>
      <c r="D588" s="18" t="s">
        <v>22</v>
      </c>
      <c r="E588" s="63" t="s">
        <v>1496</v>
      </c>
      <c r="F588" s="63"/>
      <c r="G588" s="50" t="s">
        <v>2422</v>
      </c>
      <c r="H588" s="57">
        <v>2000</v>
      </c>
      <c r="I588" s="227"/>
      <c r="J588" s="57">
        <f t="shared" si="73"/>
        <v>2000</v>
      </c>
      <c r="K588" s="50">
        <v>1</v>
      </c>
      <c r="L588" s="57">
        <f t="shared" si="74"/>
        <v>2000</v>
      </c>
      <c r="M588" s="228">
        <f t="shared" si="75"/>
        <v>2200</v>
      </c>
      <c r="N588" s="18" t="s">
        <v>20</v>
      </c>
      <c r="O588" s="50"/>
    </row>
    <row r="589" spans="1:16" ht="21.75" customHeight="1" x14ac:dyDescent="0.4">
      <c r="A589" s="62">
        <v>45576</v>
      </c>
      <c r="B589" s="32" t="s">
        <v>179</v>
      </c>
      <c r="C589" s="32"/>
      <c r="D589" s="18" t="s">
        <v>2892</v>
      </c>
      <c r="E589" s="63" t="s">
        <v>23</v>
      </c>
      <c r="F589" s="63"/>
      <c r="G589" s="50" t="s">
        <v>220</v>
      </c>
      <c r="H589" s="57">
        <v>10000</v>
      </c>
      <c r="I589" s="227"/>
      <c r="J589" s="57">
        <f t="shared" si="73"/>
        <v>10000</v>
      </c>
      <c r="K589" s="50">
        <v>1</v>
      </c>
      <c r="L589" s="57">
        <f t="shared" si="74"/>
        <v>10000</v>
      </c>
      <c r="M589" s="228">
        <f t="shared" si="75"/>
        <v>11000</v>
      </c>
      <c r="N589" s="18" t="s">
        <v>20</v>
      </c>
      <c r="O589" s="50"/>
    </row>
    <row r="590" spans="1:16" ht="21.75" customHeight="1" x14ac:dyDescent="0.4">
      <c r="A590" s="62">
        <v>45576</v>
      </c>
      <c r="B590" s="32" t="s">
        <v>179</v>
      </c>
      <c r="C590" s="32"/>
      <c r="D590" s="18" t="s">
        <v>17</v>
      </c>
      <c r="E590" s="63" t="s">
        <v>328</v>
      </c>
      <c r="F590" s="63" t="s">
        <v>3960</v>
      </c>
      <c r="G590" s="50" t="s">
        <v>3979</v>
      </c>
      <c r="H590" s="57">
        <v>23000</v>
      </c>
      <c r="I590" s="227">
        <v>-6900</v>
      </c>
      <c r="J590" s="57">
        <f t="shared" si="73"/>
        <v>16100</v>
      </c>
      <c r="K590" s="50">
        <v>1</v>
      </c>
      <c r="L590" s="57">
        <f t="shared" si="74"/>
        <v>16100</v>
      </c>
      <c r="M590" s="228">
        <f t="shared" si="75"/>
        <v>17710</v>
      </c>
      <c r="N590" s="18" t="s">
        <v>20</v>
      </c>
      <c r="O590" s="50"/>
      <c r="P590" s="52" t="s">
        <v>1608</v>
      </c>
    </row>
    <row r="591" spans="1:16" ht="21.75" customHeight="1" x14ac:dyDescent="0.4">
      <c r="A591" s="62">
        <v>45576</v>
      </c>
      <c r="B591" s="32" t="s">
        <v>179</v>
      </c>
      <c r="C591" s="32"/>
      <c r="D591" s="96" t="s">
        <v>198</v>
      </c>
      <c r="E591" s="63"/>
      <c r="F591" s="63"/>
      <c r="G591" s="50"/>
      <c r="H591" s="57">
        <v>-10000</v>
      </c>
      <c r="I591" s="227"/>
      <c r="J591" s="57">
        <f t="shared" si="73"/>
        <v>-10000</v>
      </c>
      <c r="K591" s="50">
        <v>1</v>
      </c>
      <c r="L591" s="57">
        <f t="shared" si="74"/>
        <v>-10000</v>
      </c>
      <c r="M591" s="228">
        <f t="shared" si="75"/>
        <v>-11000</v>
      </c>
      <c r="N591" s="18" t="s">
        <v>20</v>
      </c>
      <c r="O591" s="50" t="s">
        <v>3994</v>
      </c>
    </row>
    <row r="592" spans="1:16" ht="21.75" customHeight="1" x14ac:dyDescent="0.4">
      <c r="A592" s="62">
        <v>45582</v>
      </c>
      <c r="B592" s="32" t="s">
        <v>2527</v>
      </c>
      <c r="C592" s="32"/>
      <c r="D592" s="18" t="s">
        <v>17</v>
      </c>
      <c r="E592" s="63" t="s">
        <v>292</v>
      </c>
      <c r="F592" s="63" t="s">
        <v>1051</v>
      </c>
      <c r="G592" s="50" t="s">
        <v>3741</v>
      </c>
      <c r="H592" s="57">
        <v>5500</v>
      </c>
      <c r="I592" s="227"/>
      <c r="J592" s="57">
        <f t="shared" si="73"/>
        <v>5500</v>
      </c>
      <c r="K592" s="50">
        <v>1</v>
      </c>
      <c r="L592" s="57">
        <f t="shared" si="74"/>
        <v>5500</v>
      </c>
      <c r="M592" s="228">
        <f t="shared" si="75"/>
        <v>6050</v>
      </c>
      <c r="N592" s="18" t="s">
        <v>25</v>
      </c>
      <c r="O592" s="50"/>
    </row>
    <row r="593" spans="1:16" ht="21.75" customHeight="1" x14ac:dyDescent="0.4">
      <c r="A593" s="62">
        <v>45582</v>
      </c>
      <c r="B593" s="32" t="s">
        <v>3980</v>
      </c>
      <c r="C593" s="32"/>
      <c r="D593" s="18" t="s">
        <v>27</v>
      </c>
      <c r="E593" s="63" t="s">
        <v>28</v>
      </c>
      <c r="F593" s="63"/>
      <c r="G593" s="50" t="s">
        <v>73</v>
      </c>
      <c r="H593" s="57">
        <v>2000</v>
      </c>
      <c r="I593" s="227"/>
      <c r="J593" s="57">
        <f t="shared" si="73"/>
        <v>2000</v>
      </c>
      <c r="K593" s="50">
        <v>3</v>
      </c>
      <c r="L593" s="57">
        <f t="shared" si="74"/>
        <v>6000</v>
      </c>
      <c r="M593" s="228">
        <f t="shared" si="75"/>
        <v>6600</v>
      </c>
      <c r="N593" s="18" t="s">
        <v>20</v>
      </c>
      <c r="O593" s="50"/>
    </row>
    <row r="594" spans="1:16" ht="21.75" customHeight="1" x14ac:dyDescent="0.4">
      <c r="A594" s="62">
        <v>45582</v>
      </c>
      <c r="B594" s="32" t="s">
        <v>3981</v>
      </c>
      <c r="C594" s="32"/>
      <c r="D594" s="18" t="s">
        <v>27</v>
      </c>
      <c r="E594" s="63" t="s">
        <v>28</v>
      </c>
      <c r="F594" s="63"/>
      <c r="G594" s="50" t="s">
        <v>30</v>
      </c>
      <c r="H594" s="57">
        <v>15000</v>
      </c>
      <c r="I594" s="227"/>
      <c r="J594" s="57">
        <f t="shared" si="73"/>
        <v>15000</v>
      </c>
      <c r="K594" s="50">
        <v>1</v>
      </c>
      <c r="L594" s="57">
        <f t="shared" si="74"/>
        <v>15000</v>
      </c>
      <c r="M594" s="228">
        <f t="shared" si="75"/>
        <v>16500</v>
      </c>
      <c r="N594" s="18" t="s">
        <v>20</v>
      </c>
      <c r="O594" s="50"/>
    </row>
    <row r="595" spans="1:16" ht="21.75" customHeight="1" x14ac:dyDescent="0.4">
      <c r="A595" s="62">
        <v>45582</v>
      </c>
      <c r="B595" s="32" t="s">
        <v>3981</v>
      </c>
      <c r="C595" s="32"/>
      <c r="D595" s="18" t="s">
        <v>27</v>
      </c>
      <c r="E595" s="63" t="s">
        <v>28</v>
      </c>
      <c r="F595" s="63"/>
      <c r="G595" s="50" t="s">
        <v>3982</v>
      </c>
      <c r="H595" s="57">
        <v>4370</v>
      </c>
      <c r="I595" s="227"/>
      <c r="J595" s="57">
        <f t="shared" si="73"/>
        <v>4370</v>
      </c>
      <c r="K595" s="50">
        <v>1</v>
      </c>
      <c r="L595" s="57">
        <f t="shared" si="74"/>
        <v>4370</v>
      </c>
      <c r="M595" s="228">
        <f t="shared" si="75"/>
        <v>4807</v>
      </c>
      <c r="N595" s="18" t="s">
        <v>20</v>
      </c>
      <c r="O595" s="50"/>
    </row>
    <row r="596" spans="1:16" ht="21.75" customHeight="1" x14ac:dyDescent="0.4">
      <c r="A596" s="62">
        <v>45582</v>
      </c>
      <c r="B596" s="32" t="s">
        <v>3981</v>
      </c>
      <c r="C596" s="32"/>
      <c r="D596" s="18" t="s">
        <v>27</v>
      </c>
      <c r="E596" s="63" t="s">
        <v>28</v>
      </c>
      <c r="F596" s="63"/>
      <c r="G596" s="50" t="s">
        <v>3663</v>
      </c>
      <c r="H596" s="57">
        <v>17500</v>
      </c>
      <c r="I596" s="227"/>
      <c r="J596" s="57">
        <f t="shared" si="73"/>
        <v>17500</v>
      </c>
      <c r="K596" s="50">
        <v>1</v>
      </c>
      <c r="L596" s="57">
        <f t="shared" si="74"/>
        <v>17500</v>
      </c>
      <c r="M596" s="228">
        <f t="shared" si="75"/>
        <v>19250</v>
      </c>
      <c r="N596" s="18" t="s">
        <v>20</v>
      </c>
      <c r="O596" s="50"/>
    </row>
    <row r="597" spans="1:16" ht="21.75" customHeight="1" x14ac:dyDescent="0.4">
      <c r="A597" s="62">
        <v>45583</v>
      </c>
      <c r="B597" s="32" t="s">
        <v>249</v>
      </c>
      <c r="C597" s="32"/>
      <c r="D597" s="18" t="s">
        <v>17</v>
      </c>
      <c r="E597" s="63" t="s">
        <v>700</v>
      </c>
      <c r="F597" s="63" t="s">
        <v>3983</v>
      </c>
      <c r="G597" s="50" t="s">
        <v>3984</v>
      </c>
      <c r="H597" s="57">
        <v>5000</v>
      </c>
      <c r="I597" s="227"/>
      <c r="J597" s="57">
        <f t="shared" si="73"/>
        <v>5000</v>
      </c>
      <c r="K597" s="50">
        <v>1</v>
      </c>
      <c r="L597" s="57">
        <f t="shared" si="74"/>
        <v>5000</v>
      </c>
      <c r="M597" s="228">
        <f t="shared" si="75"/>
        <v>5500</v>
      </c>
      <c r="N597" s="18" t="s">
        <v>25</v>
      </c>
      <c r="O597" s="50"/>
    </row>
    <row r="598" spans="1:16" ht="21.75" customHeight="1" x14ac:dyDescent="0.4">
      <c r="A598" s="62">
        <v>45583</v>
      </c>
      <c r="B598" s="32" t="s">
        <v>3985</v>
      </c>
      <c r="C598" s="32"/>
      <c r="D598" s="18" t="s">
        <v>22</v>
      </c>
      <c r="E598" s="63" t="s">
        <v>1496</v>
      </c>
      <c r="F598" s="63"/>
      <c r="G598" s="50" t="s">
        <v>2422</v>
      </c>
      <c r="H598" s="57">
        <v>2000</v>
      </c>
      <c r="I598" s="227"/>
      <c r="J598" s="57">
        <f t="shared" si="73"/>
        <v>2000</v>
      </c>
      <c r="K598" s="50">
        <v>1</v>
      </c>
      <c r="L598" s="57">
        <f t="shared" si="74"/>
        <v>2000</v>
      </c>
      <c r="M598" s="228">
        <f t="shared" si="75"/>
        <v>2200</v>
      </c>
      <c r="N598" s="487" t="s">
        <v>20</v>
      </c>
      <c r="O598" s="490" t="s">
        <v>3987</v>
      </c>
    </row>
    <row r="599" spans="1:16" ht="21.75" customHeight="1" x14ac:dyDescent="0.4">
      <c r="A599" s="62">
        <v>45583</v>
      </c>
      <c r="B599" s="32" t="s">
        <v>3986</v>
      </c>
      <c r="C599" s="32"/>
      <c r="D599" s="18" t="s">
        <v>22</v>
      </c>
      <c r="E599" s="63" t="s">
        <v>1496</v>
      </c>
      <c r="F599" s="63"/>
      <c r="G599" s="50" t="s">
        <v>2422</v>
      </c>
      <c r="H599" s="57">
        <v>2000</v>
      </c>
      <c r="I599" s="227"/>
      <c r="J599" s="57">
        <f t="shared" si="73"/>
        <v>2000</v>
      </c>
      <c r="K599" s="50">
        <v>1</v>
      </c>
      <c r="L599" s="57">
        <f t="shared" si="74"/>
        <v>2000</v>
      </c>
      <c r="M599" s="228">
        <f t="shared" si="75"/>
        <v>2200</v>
      </c>
      <c r="N599" s="489"/>
      <c r="O599" s="491"/>
    </row>
    <row r="600" spans="1:16" ht="21.75" customHeight="1" x14ac:dyDescent="0.4">
      <c r="A600" s="62">
        <v>45583</v>
      </c>
      <c r="B600" s="32" t="s">
        <v>678</v>
      </c>
      <c r="C600" s="32"/>
      <c r="D600" s="18" t="s">
        <v>17</v>
      </c>
      <c r="E600" s="63" t="s">
        <v>332</v>
      </c>
      <c r="F600" s="63" t="s">
        <v>3550</v>
      </c>
      <c r="G600" s="50" t="s">
        <v>3577</v>
      </c>
      <c r="H600" s="57">
        <v>1800</v>
      </c>
      <c r="I600" s="227">
        <v>-180</v>
      </c>
      <c r="J600" s="57">
        <f t="shared" si="73"/>
        <v>1620</v>
      </c>
      <c r="K600" s="50">
        <v>1</v>
      </c>
      <c r="L600" s="57">
        <f t="shared" si="74"/>
        <v>1620</v>
      </c>
      <c r="M600" s="228">
        <f t="shared" si="75"/>
        <v>1782</v>
      </c>
      <c r="N600" s="18" t="s">
        <v>20</v>
      </c>
      <c r="O600" s="50"/>
    </row>
    <row r="601" spans="1:16" ht="21.75" customHeight="1" x14ac:dyDescent="0.4">
      <c r="A601" s="62">
        <v>45584</v>
      </c>
      <c r="B601" s="32" t="s">
        <v>162</v>
      </c>
      <c r="C601" s="32"/>
      <c r="D601" s="18" t="s">
        <v>17</v>
      </c>
      <c r="E601" s="63" t="s">
        <v>292</v>
      </c>
      <c r="F601" s="63" t="s">
        <v>1051</v>
      </c>
      <c r="G601" s="50" t="s">
        <v>3654</v>
      </c>
      <c r="H601" s="57">
        <v>3200</v>
      </c>
      <c r="I601" s="227">
        <v>-320</v>
      </c>
      <c r="J601" s="57">
        <f t="shared" si="73"/>
        <v>2880</v>
      </c>
      <c r="K601" s="50">
        <v>1</v>
      </c>
      <c r="L601" s="57">
        <f t="shared" si="74"/>
        <v>2880</v>
      </c>
      <c r="M601" s="228">
        <f t="shared" si="75"/>
        <v>3168</v>
      </c>
      <c r="N601" s="18" t="s">
        <v>25</v>
      </c>
      <c r="O601" s="50"/>
    </row>
    <row r="602" spans="1:16" ht="21.75" customHeight="1" x14ac:dyDescent="0.4">
      <c r="A602" s="62">
        <v>45585</v>
      </c>
      <c r="B602" s="32" t="s">
        <v>1924</v>
      </c>
      <c r="C602" s="32"/>
      <c r="D602" s="18" t="s">
        <v>17</v>
      </c>
      <c r="E602" s="63" t="s">
        <v>292</v>
      </c>
      <c r="F602" s="63" t="s">
        <v>1051</v>
      </c>
      <c r="G602" s="50" t="s">
        <v>3989</v>
      </c>
      <c r="H602" s="57">
        <v>5500</v>
      </c>
      <c r="I602" s="227"/>
      <c r="J602" s="57">
        <f t="shared" si="73"/>
        <v>5500</v>
      </c>
      <c r="K602" s="50">
        <v>1</v>
      </c>
      <c r="L602" s="57">
        <f t="shared" si="74"/>
        <v>5500</v>
      </c>
      <c r="M602" s="228">
        <f t="shared" si="75"/>
        <v>6050</v>
      </c>
      <c r="N602" s="18" t="s">
        <v>25</v>
      </c>
      <c r="O602" s="50"/>
    </row>
    <row r="603" spans="1:16" ht="21.75" customHeight="1" x14ac:dyDescent="0.4">
      <c r="A603" s="62">
        <v>45586</v>
      </c>
      <c r="B603" s="32" t="s">
        <v>167</v>
      </c>
      <c r="C603" s="32"/>
      <c r="D603" s="18" t="s">
        <v>17</v>
      </c>
      <c r="E603" s="63" t="s">
        <v>845</v>
      </c>
      <c r="F603" s="63"/>
      <c r="G603" s="50" t="s">
        <v>2601</v>
      </c>
      <c r="H603" s="57">
        <v>1000</v>
      </c>
      <c r="I603" s="227"/>
      <c r="J603" s="57">
        <f t="shared" si="73"/>
        <v>1000</v>
      </c>
      <c r="K603" s="50">
        <v>1</v>
      </c>
      <c r="L603" s="57">
        <f t="shared" si="74"/>
        <v>1000</v>
      </c>
      <c r="M603" s="228">
        <f t="shared" si="75"/>
        <v>1100</v>
      </c>
      <c r="N603" s="18" t="s">
        <v>20</v>
      </c>
      <c r="O603" s="50"/>
    </row>
    <row r="604" spans="1:16" ht="21.75" customHeight="1" x14ac:dyDescent="0.4">
      <c r="A604" s="62">
        <v>45586</v>
      </c>
      <c r="B604" s="32" t="s">
        <v>1557</v>
      </c>
      <c r="C604" s="32"/>
      <c r="D604" s="18" t="s">
        <v>17</v>
      </c>
      <c r="E604" s="63" t="s">
        <v>292</v>
      </c>
      <c r="F604" s="63" t="s">
        <v>1051</v>
      </c>
      <c r="G604" s="50" t="s">
        <v>3990</v>
      </c>
      <c r="H604" s="57">
        <v>5500</v>
      </c>
      <c r="I604" s="227">
        <v>-628</v>
      </c>
      <c r="J604" s="57">
        <f t="shared" si="73"/>
        <v>4872</v>
      </c>
      <c r="K604" s="50">
        <v>1</v>
      </c>
      <c r="L604" s="57">
        <f t="shared" si="74"/>
        <v>4872</v>
      </c>
      <c r="M604" s="228">
        <f t="shared" si="75"/>
        <v>5359</v>
      </c>
      <c r="N604" s="18" t="s">
        <v>25</v>
      </c>
      <c r="O604" s="50"/>
    </row>
    <row r="605" spans="1:16" ht="21.75" customHeight="1" x14ac:dyDescent="0.4">
      <c r="A605" s="62">
        <v>45586</v>
      </c>
      <c r="B605" s="32" t="s">
        <v>1557</v>
      </c>
      <c r="C605" s="32"/>
      <c r="D605" s="18" t="s">
        <v>17</v>
      </c>
      <c r="E605" s="63" t="s">
        <v>845</v>
      </c>
      <c r="F605" s="63"/>
      <c r="G605" s="50" t="s">
        <v>2601</v>
      </c>
      <c r="H605" s="57">
        <v>1000</v>
      </c>
      <c r="I605" s="227">
        <v>-400</v>
      </c>
      <c r="J605" s="57">
        <f t="shared" si="73"/>
        <v>600</v>
      </c>
      <c r="K605" s="50">
        <v>1</v>
      </c>
      <c r="L605" s="57">
        <f t="shared" si="74"/>
        <v>600</v>
      </c>
      <c r="M605" s="228">
        <f t="shared" si="75"/>
        <v>660</v>
      </c>
      <c r="N605" s="18" t="s">
        <v>25</v>
      </c>
      <c r="O605" s="50"/>
    </row>
    <row r="606" spans="1:16" ht="21.75" customHeight="1" x14ac:dyDescent="0.4">
      <c r="A606" s="62">
        <v>45586</v>
      </c>
      <c r="B606" s="32" t="s">
        <v>2833</v>
      </c>
      <c r="C606" s="32"/>
      <c r="D606" s="18" t="s">
        <v>17</v>
      </c>
      <c r="E606" s="63" t="s">
        <v>426</v>
      </c>
      <c r="F606" s="63" t="s">
        <v>994</v>
      </c>
      <c r="G606" s="50" t="s">
        <v>3591</v>
      </c>
      <c r="H606" s="57">
        <v>1800</v>
      </c>
      <c r="I606" s="227">
        <v>-180</v>
      </c>
      <c r="J606" s="57">
        <f t="shared" si="73"/>
        <v>1620</v>
      </c>
      <c r="K606" s="50">
        <v>1</v>
      </c>
      <c r="L606" s="57">
        <f t="shared" si="74"/>
        <v>1620</v>
      </c>
      <c r="M606" s="228">
        <f t="shared" si="75"/>
        <v>1782</v>
      </c>
      <c r="N606" s="18" t="s">
        <v>20</v>
      </c>
      <c r="O606" s="50"/>
    </row>
    <row r="607" spans="1:16" ht="21.75" customHeight="1" x14ac:dyDescent="0.4">
      <c r="A607" s="62">
        <v>45586</v>
      </c>
      <c r="B607" s="32" t="s">
        <v>4002</v>
      </c>
      <c r="C607" s="32"/>
      <c r="D607" s="18" t="s">
        <v>2892</v>
      </c>
      <c r="E607" s="63" t="s">
        <v>23</v>
      </c>
      <c r="F607" s="63"/>
      <c r="G607" s="50" t="s">
        <v>220</v>
      </c>
      <c r="H607" s="57">
        <v>15000</v>
      </c>
      <c r="I607" s="227">
        <v>-7500</v>
      </c>
      <c r="J607" s="57">
        <f t="shared" si="73"/>
        <v>7500</v>
      </c>
      <c r="K607" s="50">
        <v>1</v>
      </c>
      <c r="L607" s="57">
        <f t="shared" si="74"/>
        <v>7500</v>
      </c>
      <c r="M607" s="228">
        <f t="shared" si="75"/>
        <v>8250</v>
      </c>
      <c r="N607" s="18" t="s">
        <v>4011</v>
      </c>
      <c r="O607" s="50" t="s">
        <v>3773</v>
      </c>
    </row>
    <row r="608" spans="1:16" ht="21.75" customHeight="1" x14ac:dyDescent="0.4">
      <c r="A608" s="62">
        <v>45586</v>
      </c>
      <c r="B608" s="32" t="s">
        <v>4002</v>
      </c>
      <c r="C608" s="32"/>
      <c r="D608" s="18" t="s">
        <v>4003</v>
      </c>
      <c r="E608" s="63" t="s">
        <v>328</v>
      </c>
      <c r="F608" s="63" t="s">
        <v>4004</v>
      </c>
      <c r="G608" s="50" t="s">
        <v>4005</v>
      </c>
      <c r="H608" s="57">
        <v>72000</v>
      </c>
      <c r="I608" s="227">
        <v>-14400</v>
      </c>
      <c r="J608" s="57">
        <f t="shared" si="73"/>
        <v>57600</v>
      </c>
      <c r="K608" s="50">
        <v>2</v>
      </c>
      <c r="L608" s="57">
        <f t="shared" si="74"/>
        <v>115200</v>
      </c>
      <c r="M608" s="228">
        <f t="shared" si="75"/>
        <v>126720</v>
      </c>
      <c r="N608" s="18" t="s">
        <v>4011</v>
      </c>
      <c r="O608" s="50"/>
      <c r="P608" s="52" t="s">
        <v>1608</v>
      </c>
    </row>
    <row r="609" spans="1:16" ht="21.75" customHeight="1" x14ac:dyDescent="0.4">
      <c r="A609" s="62">
        <v>45586</v>
      </c>
      <c r="B609" s="32" t="s">
        <v>4002</v>
      </c>
      <c r="C609" s="32"/>
      <c r="D609" s="18" t="s">
        <v>4003</v>
      </c>
      <c r="E609" s="63" t="s">
        <v>4006</v>
      </c>
      <c r="F609" s="63" t="s">
        <v>4007</v>
      </c>
      <c r="G609" s="50" t="s">
        <v>4008</v>
      </c>
      <c r="H609" s="57">
        <v>80000</v>
      </c>
      <c r="I609" s="227">
        <v>-16000</v>
      </c>
      <c r="J609" s="57">
        <f t="shared" si="73"/>
        <v>64000</v>
      </c>
      <c r="K609" s="50">
        <v>1</v>
      </c>
      <c r="L609" s="57">
        <f t="shared" si="74"/>
        <v>64000</v>
      </c>
      <c r="M609" s="228">
        <f t="shared" si="75"/>
        <v>70400</v>
      </c>
      <c r="N609" s="18" t="s">
        <v>4011</v>
      </c>
      <c r="O609" s="50"/>
      <c r="P609" s="52" t="s">
        <v>1608</v>
      </c>
    </row>
    <row r="610" spans="1:16" ht="21.75" customHeight="1" x14ac:dyDescent="0.4">
      <c r="A610" s="62">
        <v>45586</v>
      </c>
      <c r="B610" s="32" t="s">
        <v>4002</v>
      </c>
      <c r="C610" s="32"/>
      <c r="D610" s="18" t="s">
        <v>4003</v>
      </c>
      <c r="E610" s="63" t="s">
        <v>455</v>
      </c>
      <c r="F610" s="63" t="s">
        <v>3658</v>
      </c>
      <c r="G610" s="50" t="s">
        <v>4009</v>
      </c>
      <c r="H610" s="57">
        <v>1200</v>
      </c>
      <c r="I610" s="227"/>
      <c r="J610" s="57">
        <f t="shared" si="73"/>
        <v>1200</v>
      </c>
      <c r="K610" s="50">
        <v>1</v>
      </c>
      <c r="L610" s="57">
        <f t="shared" si="74"/>
        <v>1200</v>
      </c>
      <c r="M610" s="228">
        <f t="shared" si="75"/>
        <v>1320</v>
      </c>
      <c r="N610" s="18" t="s">
        <v>4011</v>
      </c>
      <c r="O610" s="50"/>
      <c r="P610" s="52" t="s">
        <v>1608</v>
      </c>
    </row>
    <row r="611" spans="1:16" ht="21.75" customHeight="1" x14ac:dyDescent="0.4">
      <c r="A611" s="62">
        <v>45586</v>
      </c>
      <c r="B611" s="32" t="s">
        <v>4002</v>
      </c>
      <c r="C611" s="32"/>
      <c r="D611" s="18" t="s">
        <v>4003</v>
      </c>
      <c r="E611" s="63" t="s">
        <v>455</v>
      </c>
      <c r="F611" s="63" t="s">
        <v>3658</v>
      </c>
      <c r="G611" s="50" t="s">
        <v>4010</v>
      </c>
      <c r="H611" s="57">
        <v>1200</v>
      </c>
      <c r="I611" s="227"/>
      <c r="J611" s="57">
        <f t="shared" si="73"/>
        <v>1200</v>
      </c>
      <c r="K611" s="50">
        <v>1</v>
      </c>
      <c r="L611" s="57">
        <f t="shared" si="74"/>
        <v>1200</v>
      </c>
      <c r="M611" s="228">
        <f t="shared" si="75"/>
        <v>1320</v>
      </c>
      <c r="N611" s="18" t="s">
        <v>4011</v>
      </c>
      <c r="O611" s="50"/>
      <c r="P611" s="52" t="s">
        <v>1608</v>
      </c>
    </row>
    <row r="612" spans="1:16" ht="21.75" customHeight="1" x14ac:dyDescent="0.4">
      <c r="A612" s="62">
        <v>45586</v>
      </c>
      <c r="B612" s="32" t="s">
        <v>4002</v>
      </c>
      <c r="C612" s="32"/>
      <c r="D612" s="96" t="s">
        <v>198</v>
      </c>
      <c r="E612" s="63"/>
      <c r="F612" s="63"/>
      <c r="G612" s="50" t="s">
        <v>2491</v>
      </c>
      <c r="H612" s="57">
        <v>-7500</v>
      </c>
      <c r="I612" s="227"/>
      <c r="J612" s="57">
        <f t="shared" si="73"/>
        <v>-7500</v>
      </c>
      <c r="K612" s="50">
        <v>1</v>
      </c>
      <c r="L612" s="57">
        <f t="shared" si="74"/>
        <v>-7500</v>
      </c>
      <c r="M612" s="228">
        <f t="shared" si="75"/>
        <v>-8250</v>
      </c>
      <c r="N612" s="18" t="s">
        <v>4011</v>
      </c>
      <c r="O612" s="50"/>
    </row>
    <row r="613" spans="1:16" ht="21.75" customHeight="1" x14ac:dyDescent="0.4">
      <c r="A613" s="62">
        <v>45588</v>
      </c>
      <c r="B613" s="32" t="s">
        <v>3462</v>
      </c>
      <c r="C613" s="32"/>
      <c r="D613" s="18" t="s">
        <v>2892</v>
      </c>
      <c r="E613" s="63" t="s">
        <v>23</v>
      </c>
      <c r="F613" s="63"/>
      <c r="G613" s="50" t="s">
        <v>220</v>
      </c>
      <c r="H613" s="57">
        <v>10000</v>
      </c>
      <c r="I613" s="227"/>
      <c r="J613" s="57">
        <f t="shared" si="73"/>
        <v>10000</v>
      </c>
      <c r="K613" s="50">
        <v>1</v>
      </c>
      <c r="L613" s="57">
        <f t="shared" si="74"/>
        <v>10000</v>
      </c>
      <c r="M613" s="228">
        <f t="shared" si="75"/>
        <v>11000</v>
      </c>
      <c r="N613" s="18" t="s">
        <v>34</v>
      </c>
      <c r="O613" s="50"/>
    </row>
    <row r="614" spans="1:16" ht="21.75" customHeight="1" x14ac:dyDescent="0.4">
      <c r="A614" s="62">
        <v>45588</v>
      </c>
      <c r="B614" s="32" t="s">
        <v>3462</v>
      </c>
      <c r="C614" s="32"/>
      <c r="D614" s="18" t="s">
        <v>17</v>
      </c>
      <c r="E614" s="63" t="s">
        <v>328</v>
      </c>
      <c r="F614" s="63" t="s">
        <v>3941</v>
      </c>
      <c r="G614" s="50" t="s">
        <v>3995</v>
      </c>
      <c r="H614" s="57">
        <v>63000</v>
      </c>
      <c r="I614" s="227">
        <v>-15750</v>
      </c>
      <c r="J614" s="57">
        <f t="shared" si="73"/>
        <v>47250</v>
      </c>
      <c r="K614" s="50">
        <v>1</v>
      </c>
      <c r="L614" s="57">
        <f t="shared" si="74"/>
        <v>47250</v>
      </c>
      <c r="M614" s="228">
        <f t="shared" si="75"/>
        <v>51975</v>
      </c>
      <c r="N614" s="18" t="s">
        <v>34</v>
      </c>
      <c r="O614" s="50"/>
      <c r="P614" s="52" t="s">
        <v>1608</v>
      </c>
    </row>
    <row r="615" spans="1:16" s="35" customFormat="1" ht="37.5" x14ac:dyDescent="0.4">
      <c r="A615" s="190">
        <v>45588</v>
      </c>
      <c r="B615" s="191" t="s">
        <v>3462</v>
      </c>
      <c r="C615" s="191"/>
      <c r="D615" s="192" t="s">
        <v>17</v>
      </c>
      <c r="E615" s="193" t="s">
        <v>328</v>
      </c>
      <c r="F615" s="193" t="s">
        <v>3598</v>
      </c>
      <c r="G615" s="159" t="s">
        <v>4100</v>
      </c>
      <c r="H615" s="186">
        <v>45000</v>
      </c>
      <c r="I615" s="265">
        <v>-13500</v>
      </c>
      <c r="J615" s="186">
        <f t="shared" si="73"/>
        <v>31500</v>
      </c>
      <c r="K615" s="159">
        <v>1</v>
      </c>
      <c r="L615" s="186">
        <f t="shared" si="74"/>
        <v>31500</v>
      </c>
      <c r="M615" s="231">
        <f t="shared" si="75"/>
        <v>34650</v>
      </c>
      <c r="N615" s="192" t="s">
        <v>34</v>
      </c>
      <c r="O615" s="202" t="s">
        <v>4126</v>
      </c>
      <c r="P615" s="189" t="s">
        <v>1608</v>
      </c>
    </row>
    <row r="616" spans="1:16" ht="21.75" customHeight="1" x14ac:dyDescent="0.4">
      <c r="A616" s="62">
        <v>45588</v>
      </c>
      <c r="B616" s="32" t="s">
        <v>3462</v>
      </c>
      <c r="C616" s="32"/>
      <c r="D616" s="18" t="s">
        <v>17</v>
      </c>
      <c r="E616" s="63" t="s">
        <v>332</v>
      </c>
      <c r="F616" s="63" t="s">
        <v>3555</v>
      </c>
      <c r="G616" s="50" t="s">
        <v>3463</v>
      </c>
      <c r="H616" s="57">
        <v>1700</v>
      </c>
      <c r="I616" s="227">
        <v>-170</v>
      </c>
      <c r="J616" s="57">
        <f t="shared" si="73"/>
        <v>1530</v>
      </c>
      <c r="K616" s="50">
        <v>1</v>
      </c>
      <c r="L616" s="57">
        <f t="shared" si="74"/>
        <v>1530</v>
      </c>
      <c r="M616" s="228">
        <f t="shared" si="75"/>
        <v>1683</v>
      </c>
      <c r="N616" s="18" t="s">
        <v>34</v>
      </c>
      <c r="O616" s="50"/>
      <c r="P616" s="52" t="s">
        <v>1608</v>
      </c>
    </row>
    <row r="617" spans="1:16" ht="21.75" customHeight="1" x14ac:dyDescent="0.4">
      <c r="A617" s="62">
        <v>45588</v>
      </c>
      <c r="B617" s="32" t="s">
        <v>3462</v>
      </c>
      <c r="C617" s="32"/>
      <c r="D617" s="18" t="s">
        <v>17</v>
      </c>
      <c r="E617" s="63" t="s">
        <v>332</v>
      </c>
      <c r="F617" s="63" t="s">
        <v>3555</v>
      </c>
      <c r="G617" s="50" t="s">
        <v>3996</v>
      </c>
      <c r="H617" s="57">
        <v>1700</v>
      </c>
      <c r="I617" s="227">
        <v>-170</v>
      </c>
      <c r="J617" s="57">
        <f t="shared" si="73"/>
        <v>1530</v>
      </c>
      <c r="K617" s="50">
        <v>2</v>
      </c>
      <c r="L617" s="57">
        <f t="shared" si="74"/>
        <v>3060</v>
      </c>
      <c r="M617" s="228">
        <f t="shared" si="75"/>
        <v>3366</v>
      </c>
      <c r="N617" s="18" t="s">
        <v>34</v>
      </c>
      <c r="O617" s="50"/>
      <c r="P617" s="52" t="s">
        <v>1608</v>
      </c>
    </row>
    <row r="618" spans="1:16" ht="21.75" customHeight="1" x14ac:dyDescent="0.4">
      <c r="A618" s="62">
        <v>45588</v>
      </c>
      <c r="B618" s="32" t="s">
        <v>3462</v>
      </c>
      <c r="C618" s="32"/>
      <c r="D618" s="18" t="s">
        <v>17</v>
      </c>
      <c r="E618" s="63" t="s">
        <v>576</v>
      </c>
      <c r="F618" s="63" t="s">
        <v>3997</v>
      </c>
      <c r="G618" s="50" t="s">
        <v>3998</v>
      </c>
      <c r="H618" s="57">
        <v>80000</v>
      </c>
      <c r="I618" s="227">
        <v>-8000</v>
      </c>
      <c r="J618" s="57">
        <f t="shared" si="73"/>
        <v>72000</v>
      </c>
      <c r="K618" s="50">
        <v>1</v>
      </c>
      <c r="L618" s="57">
        <f t="shared" si="74"/>
        <v>72000</v>
      </c>
      <c r="M618" s="228">
        <f t="shared" si="75"/>
        <v>79200</v>
      </c>
      <c r="N618" s="18" t="s">
        <v>34</v>
      </c>
      <c r="O618" s="50"/>
      <c r="P618" s="52" t="s">
        <v>1608</v>
      </c>
    </row>
    <row r="619" spans="1:16" ht="21.75" customHeight="1" x14ac:dyDescent="0.4">
      <c r="A619" s="62">
        <v>45588</v>
      </c>
      <c r="B619" s="32" t="s">
        <v>3462</v>
      </c>
      <c r="C619" s="32"/>
      <c r="D619" s="96" t="s">
        <v>198</v>
      </c>
      <c r="E619" s="63"/>
      <c r="F619" s="63"/>
      <c r="G619" s="50" t="s">
        <v>2491</v>
      </c>
      <c r="H619" s="57">
        <v>-10000</v>
      </c>
      <c r="I619" s="227"/>
      <c r="J619" s="57">
        <f t="shared" ref="J619:J664" si="76">SUM(H619:I619)</f>
        <v>-10000</v>
      </c>
      <c r="K619" s="50">
        <v>1</v>
      </c>
      <c r="L619" s="57">
        <f t="shared" si="74"/>
        <v>-10000</v>
      </c>
      <c r="M619" s="228">
        <f t="shared" si="75"/>
        <v>-11000</v>
      </c>
      <c r="N619" s="18" t="s">
        <v>34</v>
      </c>
      <c r="O619" s="50" t="s">
        <v>4001</v>
      </c>
    </row>
    <row r="620" spans="1:16" ht="21.75" customHeight="1" x14ac:dyDescent="0.4">
      <c r="A620" s="62">
        <v>45588</v>
      </c>
      <c r="B620" s="32" t="s">
        <v>249</v>
      </c>
      <c r="C620" s="32"/>
      <c r="D620" s="18" t="s">
        <v>17</v>
      </c>
      <c r="E620" s="63" t="s">
        <v>328</v>
      </c>
      <c r="F620" s="63" t="s">
        <v>3883</v>
      </c>
      <c r="G620" s="50" t="s">
        <v>3999</v>
      </c>
      <c r="H620" s="57">
        <v>40000</v>
      </c>
      <c r="I620" s="227">
        <v>-20000</v>
      </c>
      <c r="J620" s="57">
        <f t="shared" si="76"/>
        <v>20000</v>
      </c>
      <c r="K620" s="50">
        <v>1</v>
      </c>
      <c r="L620" s="57">
        <f t="shared" si="74"/>
        <v>20000</v>
      </c>
      <c r="M620" s="228">
        <f t="shared" si="75"/>
        <v>22000</v>
      </c>
      <c r="N620" s="18" t="s">
        <v>34</v>
      </c>
      <c r="O620" s="50"/>
      <c r="P620" s="52" t="s">
        <v>1557</v>
      </c>
    </row>
    <row r="621" spans="1:16" ht="21.75" customHeight="1" x14ac:dyDescent="0.4">
      <c r="A621" s="62">
        <v>45588</v>
      </c>
      <c r="B621" s="32" t="s">
        <v>249</v>
      </c>
      <c r="C621" s="32"/>
      <c r="D621" s="18" t="s">
        <v>17</v>
      </c>
      <c r="E621" s="63" t="s">
        <v>332</v>
      </c>
      <c r="F621" s="63" t="s">
        <v>3554</v>
      </c>
      <c r="G621" s="50" t="s">
        <v>4000</v>
      </c>
      <c r="H621" s="57">
        <v>2700</v>
      </c>
      <c r="I621" s="227">
        <v>-270</v>
      </c>
      <c r="J621" s="57">
        <f t="shared" si="76"/>
        <v>2430</v>
      </c>
      <c r="K621" s="50">
        <v>1</v>
      </c>
      <c r="L621" s="57">
        <f t="shared" si="74"/>
        <v>2430</v>
      </c>
      <c r="M621" s="228">
        <f t="shared" si="75"/>
        <v>2673</v>
      </c>
      <c r="N621" s="18" t="s">
        <v>34</v>
      </c>
      <c r="O621" s="50"/>
      <c r="P621" s="52" t="s">
        <v>1557</v>
      </c>
    </row>
    <row r="622" spans="1:16" ht="21.75" customHeight="1" x14ac:dyDescent="0.4">
      <c r="A622" s="62">
        <v>45588</v>
      </c>
      <c r="B622" s="32" t="s">
        <v>503</v>
      </c>
      <c r="C622" s="32"/>
      <c r="D622" s="18" t="s">
        <v>4003</v>
      </c>
      <c r="E622" s="63" t="s">
        <v>292</v>
      </c>
      <c r="F622" s="63" t="s">
        <v>1051</v>
      </c>
      <c r="G622" s="50" t="s">
        <v>4012</v>
      </c>
      <c r="H622" s="57">
        <v>5500</v>
      </c>
      <c r="I622" s="227"/>
      <c r="J622" s="57">
        <f t="shared" si="76"/>
        <v>5500</v>
      </c>
      <c r="K622" s="50">
        <v>2</v>
      </c>
      <c r="L622" s="57">
        <f t="shared" si="74"/>
        <v>11000</v>
      </c>
      <c r="M622" s="228">
        <f t="shared" si="75"/>
        <v>12100</v>
      </c>
      <c r="N622" s="18" t="s">
        <v>34</v>
      </c>
      <c r="O622" s="50"/>
    </row>
    <row r="623" spans="1:16" ht="21.75" customHeight="1" x14ac:dyDescent="0.4">
      <c r="A623" s="62">
        <v>45589</v>
      </c>
      <c r="B623" s="32" t="s">
        <v>4013</v>
      </c>
      <c r="C623" s="32"/>
      <c r="D623" s="18" t="s">
        <v>2892</v>
      </c>
      <c r="E623" s="63" t="s">
        <v>23</v>
      </c>
      <c r="F623" s="63"/>
      <c r="G623" s="50" t="s">
        <v>4014</v>
      </c>
      <c r="H623" s="57">
        <v>15000</v>
      </c>
      <c r="I623" s="227"/>
      <c r="J623" s="57">
        <f t="shared" si="76"/>
        <v>15000</v>
      </c>
      <c r="K623" s="50">
        <v>1</v>
      </c>
      <c r="L623" s="57">
        <f t="shared" si="74"/>
        <v>15000</v>
      </c>
      <c r="M623" s="228">
        <f t="shared" si="75"/>
        <v>16500</v>
      </c>
      <c r="N623" s="18" t="s">
        <v>4015</v>
      </c>
      <c r="O623" s="50"/>
    </row>
    <row r="624" spans="1:16" ht="21.75" customHeight="1" x14ac:dyDescent="0.4">
      <c r="A624" s="62">
        <v>45589</v>
      </c>
      <c r="B624" s="32" t="s">
        <v>3794</v>
      </c>
      <c r="C624" s="32"/>
      <c r="D624" s="18" t="s">
        <v>2892</v>
      </c>
      <c r="E624" s="63" t="s">
        <v>23</v>
      </c>
      <c r="F624" s="63"/>
      <c r="G624" s="50" t="s">
        <v>220</v>
      </c>
      <c r="H624" s="57">
        <v>10000</v>
      </c>
      <c r="I624" s="227"/>
      <c r="J624" s="57">
        <f t="shared" si="76"/>
        <v>10000</v>
      </c>
      <c r="K624" s="50">
        <v>1</v>
      </c>
      <c r="L624" s="57">
        <f t="shared" si="74"/>
        <v>10000</v>
      </c>
      <c r="M624" s="228">
        <f t="shared" si="75"/>
        <v>11000</v>
      </c>
      <c r="N624" s="18" t="s">
        <v>25</v>
      </c>
      <c r="O624" s="50"/>
    </row>
    <row r="625" spans="1:16" ht="21.75" customHeight="1" x14ac:dyDescent="0.4">
      <c r="A625" s="62">
        <v>45589</v>
      </c>
      <c r="B625" s="32" t="s">
        <v>1608</v>
      </c>
      <c r="C625" s="32"/>
      <c r="D625" s="18" t="s">
        <v>17</v>
      </c>
      <c r="E625" s="63" t="s">
        <v>2205</v>
      </c>
      <c r="F625" s="63"/>
      <c r="G625" s="50" t="s">
        <v>3530</v>
      </c>
      <c r="H625" s="57">
        <v>4000</v>
      </c>
      <c r="I625" s="227">
        <v>-2900</v>
      </c>
      <c r="J625" s="57">
        <f t="shared" si="76"/>
        <v>1100</v>
      </c>
      <c r="K625" s="50">
        <v>1</v>
      </c>
      <c r="L625" s="57">
        <f t="shared" si="74"/>
        <v>1100</v>
      </c>
      <c r="M625" s="228">
        <f t="shared" si="75"/>
        <v>1210</v>
      </c>
      <c r="N625" s="18" t="s">
        <v>20</v>
      </c>
      <c r="O625" s="50"/>
    </row>
    <row r="626" spans="1:16" ht="21.75" customHeight="1" x14ac:dyDescent="0.4">
      <c r="A626" s="62">
        <v>45589</v>
      </c>
      <c r="B626" s="32" t="s">
        <v>2986</v>
      </c>
      <c r="C626" s="32"/>
      <c r="D626" s="18" t="s">
        <v>17</v>
      </c>
      <c r="E626" s="63" t="s">
        <v>2205</v>
      </c>
      <c r="F626" s="63"/>
      <c r="G626" s="50" t="s">
        <v>476</v>
      </c>
      <c r="H626" s="57">
        <v>3500</v>
      </c>
      <c r="I626" s="227"/>
      <c r="J626" s="57">
        <f t="shared" si="76"/>
        <v>3500</v>
      </c>
      <c r="K626" s="50">
        <v>1</v>
      </c>
      <c r="L626" s="57">
        <f t="shared" si="74"/>
        <v>3500</v>
      </c>
      <c r="M626" s="228">
        <f t="shared" si="75"/>
        <v>3850</v>
      </c>
      <c r="N626" s="18" t="s">
        <v>20</v>
      </c>
      <c r="O626" s="50"/>
    </row>
    <row r="627" spans="1:16" ht="21.75" customHeight="1" x14ac:dyDescent="0.4">
      <c r="A627" s="62">
        <v>45590</v>
      </c>
      <c r="B627" s="32" t="s">
        <v>148</v>
      </c>
      <c r="C627" s="32"/>
      <c r="D627" s="18" t="s">
        <v>27</v>
      </c>
      <c r="E627" s="63" t="s">
        <v>28</v>
      </c>
      <c r="F627" s="63"/>
      <c r="G627" s="50" t="s">
        <v>3663</v>
      </c>
      <c r="H627" s="57">
        <v>17500</v>
      </c>
      <c r="I627" s="227"/>
      <c r="J627" s="57">
        <f t="shared" si="76"/>
        <v>17500</v>
      </c>
      <c r="K627" s="50">
        <v>1</v>
      </c>
      <c r="L627" s="57">
        <f t="shared" si="74"/>
        <v>17500</v>
      </c>
      <c r="M627" s="228">
        <f t="shared" si="75"/>
        <v>19250</v>
      </c>
      <c r="N627" s="18" t="s">
        <v>20</v>
      </c>
      <c r="O627" s="50"/>
    </row>
    <row r="628" spans="1:16" ht="21.75" customHeight="1" x14ac:dyDescent="0.4">
      <c r="A628" s="62">
        <v>45590</v>
      </c>
      <c r="B628" s="32" t="s">
        <v>4016</v>
      </c>
      <c r="C628" s="32"/>
      <c r="D628" s="18" t="s">
        <v>17</v>
      </c>
      <c r="E628" s="63" t="s">
        <v>332</v>
      </c>
      <c r="F628" s="63" t="s">
        <v>3555</v>
      </c>
      <c r="G628" s="50" t="s">
        <v>4019</v>
      </c>
      <c r="H628" s="57">
        <v>1500</v>
      </c>
      <c r="I628" s="227">
        <v>-150</v>
      </c>
      <c r="J628" s="57">
        <f t="shared" si="76"/>
        <v>1350</v>
      </c>
      <c r="K628" s="50">
        <v>1</v>
      </c>
      <c r="L628" s="57">
        <f t="shared" si="74"/>
        <v>1350</v>
      </c>
      <c r="M628" s="228">
        <f t="shared" si="75"/>
        <v>1485</v>
      </c>
      <c r="N628" s="18" t="s">
        <v>20</v>
      </c>
      <c r="O628" s="50"/>
    </row>
    <row r="629" spans="1:16" ht="21.75" customHeight="1" x14ac:dyDescent="0.4">
      <c r="A629" s="62">
        <v>45591</v>
      </c>
      <c r="B629" s="32" t="s">
        <v>582</v>
      </c>
      <c r="C629" s="32"/>
      <c r="D629" s="18" t="s">
        <v>17</v>
      </c>
      <c r="E629" s="63" t="s">
        <v>328</v>
      </c>
      <c r="F629" s="63" t="s">
        <v>3597</v>
      </c>
      <c r="G629" s="50" t="s">
        <v>4020</v>
      </c>
      <c r="H629" s="57">
        <v>5100</v>
      </c>
      <c r="I629" s="227">
        <v>-510</v>
      </c>
      <c r="J629" s="57">
        <f t="shared" si="76"/>
        <v>4590</v>
      </c>
      <c r="K629" s="50">
        <v>3</v>
      </c>
      <c r="L629" s="57">
        <f t="shared" si="74"/>
        <v>13770</v>
      </c>
      <c r="M629" s="228">
        <f t="shared" si="75"/>
        <v>15147</v>
      </c>
      <c r="N629" s="18" t="s">
        <v>20</v>
      </c>
      <c r="O629" s="50"/>
      <c r="P629" s="52" t="s">
        <v>4031</v>
      </c>
    </row>
    <row r="630" spans="1:16" ht="21.75" customHeight="1" x14ac:dyDescent="0.4">
      <c r="A630" s="62">
        <v>45591</v>
      </c>
      <c r="B630" s="32" t="s">
        <v>2057</v>
      </c>
      <c r="C630" s="32"/>
      <c r="D630" s="18" t="s">
        <v>17</v>
      </c>
      <c r="E630" s="63" t="s">
        <v>332</v>
      </c>
      <c r="F630" s="63" t="s">
        <v>3553</v>
      </c>
      <c r="G630" s="50" t="s">
        <v>4021</v>
      </c>
      <c r="H630" s="57">
        <v>1800</v>
      </c>
      <c r="I630" s="227">
        <v>-180</v>
      </c>
      <c r="J630" s="57">
        <f t="shared" si="76"/>
        <v>1620</v>
      </c>
      <c r="K630" s="50">
        <v>1</v>
      </c>
      <c r="L630" s="57">
        <f t="shared" si="74"/>
        <v>1620</v>
      </c>
      <c r="M630" s="228">
        <f t="shared" si="75"/>
        <v>1782</v>
      </c>
      <c r="N630" s="18" t="s">
        <v>20</v>
      </c>
      <c r="O630" s="50"/>
    </row>
    <row r="631" spans="1:16" ht="21.75" customHeight="1" x14ac:dyDescent="0.4">
      <c r="A631" s="62">
        <v>45591</v>
      </c>
      <c r="B631" s="32" t="s">
        <v>3666</v>
      </c>
      <c r="C631" s="32"/>
      <c r="D631" s="18" t="s">
        <v>4017</v>
      </c>
      <c r="E631" s="63" t="s">
        <v>332</v>
      </c>
      <c r="F631" s="63" t="s">
        <v>790</v>
      </c>
      <c r="G631" s="50" t="s">
        <v>4022</v>
      </c>
      <c r="H631" s="57">
        <v>6000</v>
      </c>
      <c r="I631" s="227"/>
      <c r="J631" s="57">
        <f t="shared" si="76"/>
        <v>6000</v>
      </c>
      <c r="K631" s="50">
        <v>1</v>
      </c>
      <c r="L631" s="57">
        <f t="shared" si="74"/>
        <v>6000</v>
      </c>
      <c r="M631" s="228">
        <f t="shared" si="75"/>
        <v>6600</v>
      </c>
      <c r="N631" s="18" t="s">
        <v>25</v>
      </c>
      <c r="O631" s="50"/>
    </row>
    <row r="632" spans="1:16" ht="21.75" customHeight="1" x14ac:dyDescent="0.4">
      <c r="A632" s="62">
        <v>45591</v>
      </c>
      <c r="B632" s="32" t="s">
        <v>3666</v>
      </c>
      <c r="C632" s="32"/>
      <c r="D632" s="18" t="s">
        <v>887</v>
      </c>
      <c r="E632" s="63"/>
      <c r="F632" s="63"/>
      <c r="G632" s="50" t="s">
        <v>4023</v>
      </c>
      <c r="H632" s="57">
        <v>1510</v>
      </c>
      <c r="I632" s="227"/>
      <c r="J632" s="57">
        <f t="shared" si="76"/>
        <v>1510</v>
      </c>
      <c r="K632" s="50">
        <v>1</v>
      </c>
      <c r="L632" s="57">
        <f t="shared" si="74"/>
        <v>1510</v>
      </c>
      <c r="M632" s="228">
        <f t="shared" si="75"/>
        <v>1661</v>
      </c>
      <c r="N632" s="18" t="s">
        <v>25</v>
      </c>
      <c r="O632" s="50"/>
    </row>
    <row r="633" spans="1:16" ht="21.75" customHeight="1" x14ac:dyDescent="0.4">
      <c r="A633" s="62">
        <v>45592</v>
      </c>
      <c r="B633" s="32" t="s">
        <v>2363</v>
      </c>
      <c r="C633" s="32"/>
      <c r="D633" s="18" t="s">
        <v>27</v>
      </c>
      <c r="E633" s="63" t="s">
        <v>28</v>
      </c>
      <c r="F633" s="63"/>
      <c r="G633" s="50" t="s">
        <v>3663</v>
      </c>
      <c r="H633" s="57">
        <v>17500</v>
      </c>
      <c r="I633" s="227"/>
      <c r="J633" s="57">
        <f t="shared" si="76"/>
        <v>17500</v>
      </c>
      <c r="K633" s="50">
        <v>1</v>
      </c>
      <c r="L633" s="57">
        <f t="shared" si="74"/>
        <v>17500</v>
      </c>
      <c r="M633" s="228">
        <f t="shared" si="75"/>
        <v>19250</v>
      </c>
      <c r="N633" s="18" t="s">
        <v>20</v>
      </c>
      <c r="O633" s="50"/>
    </row>
    <row r="634" spans="1:16" ht="21.75" customHeight="1" x14ac:dyDescent="0.4">
      <c r="A634" s="62">
        <v>45593</v>
      </c>
      <c r="B634" s="32" t="s">
        <v>4024</v>
      </c>
      <c r="C634" s="32"/>
      <c r="D634" s="18" t="s">
        <v>27</v>
      </c>
      <c r="E634" s="63" t="s">
        <v>28</v>
      </c>
      <c r="F634" s="63"/>
      <c r="G634" s="50" t="s">
        <v>30</v>
      </c>
      <c r="H634" s="57">
        <v>15000</v>
      </c>
      <c r="I634" s="227"/>
      <c r="J634" s="57">
        <f t="shared" si="76"/>
        <v>15000</v>
      </c>
      <c r="K634" s="50">
        <v>1</v>
      </c>
      <c r="L634" s="57">
        <f t="shared" si="74"/>
        <v>15000</v>
      </c>
      <c r="M634" s="228">
        <f t="shared" si="75"/>
        <v>16500</v>
      </c>
      <c r="N634" s="18" t="s">
        <v>25</v>
      </c>
      <c r="O634" s="50"/>
    </row>
    <row r="635" spans="1:16" ht="21.75" customHeight="1" x14ac:dyDescent="0.4">
      <c r="A635" s="62">
        <v>45593</v>
      </c>
      <c r="B635" s="32" t="s">
        <v>4024</v>
      </c>
      <c r="C635" s="32"/>
      <c r="D635" s="18" t="s">
        <v>27</v>
      </c>
      <c r="E635" s="63" t="s">
        <v>28</v>
      </c>
      <c r="F635" s="63"/>
      <c r="G635" s="50" t="s">
        <v>4018</v>
      </c>
      <c r="H635" s="57">
        <v>8500</v>
      </c>
      <c r="I635" s="227"/>
      <c r="J635" s="57">
        <f t="shared" si="76"/>
        <v>8500</v>
      </c>
      <c r="K635" s="50">
        <v>1</v>
      </c>
      <c r="L635" s="57">
        <f t="shared" si="74"/>
        <v>8500</v>
      </c>
      <c r="M635" s="228">
        <f t="shared" si="75"/>
        <v>9350</v>
      </c>
      <c r="N635" s="18" t="s">
        <v>25</v>
      </c>
      <c r="O635" s="50"/>
    </row>
    <row r="636" spans="1:16" ht="21.75" customHeight="1" x14ac:dyDescent="0.4">
      <c r="A636" s="62">
        <v>45593</v>
      </c>
      <c r="B636" s="32" t="s">
        <v>4024</v>
      </c>
      <c r="C636" s="32"/>
      <c r="D636" s="18" t="s">
        <v>27</v>
      </c>
      <c r="E636" s="63" t="s">
        <v>103</v>
      </c>
      <c r="F636" s="63"/>
      <c r="G636" s="50" t="s">
        <v>1222</v>
      </c>
      <c r="H636" s="57">
        <v>2500</v>
      </c>
      <c r="I636" s="227"/>
      <c r="J636" s="57">
        <f t="shared" si="76"/>
        <v>2500</v>
      </c>
      <c r="K636" s="50">
        <v>1</v>
      </c>
      <c r="L636" s="57">
        <f t="shared" si="74"/>
        <v>2500</v>
      </c>
      <c r="M636" s="228">
        <f t="shared" si="75"/>
        <v>2750</v>
      </c>
      <c r="N636" s="18" t="s">
        <v>25</v>
      </c>
      <c r="O636" s="50"/>
    </row>
    <row r="637" spans="1:16" ht="21.75" customHeight="1" x14ac:dyDescent="0.4">
      <c r="A637" s="62">
        <v>45595</v>
      </c>
      <c r="B637" s="32" t="s">
        <v>4025</v>
      </c>
      <c r="C637" s="32"/>
      <c r="D637" s="18" t="s">
        <v>17</v>
      </c>
      <c r="E637" s="63" t="s">
        <v>328</v>
      </c>
      <c r="F637" s="63" t="s">
        <v>3883</v>
      </c>
      <c r="G637" s="50" t="s">
        <v>4026</v>
      </c>
      <c r="H637" s="57">
        <v>17000</v>
      </c>
      <c r="I637" s="227">
        <v>-3400</v>
      </c>
      <c r="J637" s="57">
        <f t="shared" si="76"/>
        <v>13600</v>
      </c>
      <c r="K637" s="50">
        <v>1</v>
      </c>
      <c r="L637" s="57">
        <f t="shared" si="74"/>
        <v>13600</v>
      </c>
      <c r="M637" s="228">
        <f t="shared" si="75"/>
        <v>14960</v>
      </c>
      <c r="N637" s="18" t="s">
        <v>34</v>
      </c>
      <c r="O637" s="50"/>
      <c r="P637" s="52" t="s">
        <v>1557</v>
      </c>
    </row>
    <row r="638" spans="1:16" ht="21.75" customHeight="1" x14ac:dyDescent="0.4">
      <c r="A638" s="62">
        <v>45595</v>
      </c>
      <c r="B638" s="32" t="s">
        <v>4025</v>
      </c>
      <c r="C638" s="32"/>
      <c r="D638" s="18" t="s">
        <v>17</v>
      </c>
      <c r="E638" s="63" t="s">
        <v>328</v>
      </c>
      <c r="F638" s="63" t="s">
        <v>3595</v>
      </c>
      <c r="G638" s="50" t="s">
        <v>4027</v>
      </c>
      <c r="H638" s="57">
        <v>40000</v>
      </c>
      <c r="I638" s="227">
        <v>-8000</v>
      </c>
      <c r="J638" s="57">
        <f t="shared" si="76"/>
        <v>32000</v>
      </c>
      <c r="K638" s="50">
        <v>1</v>
      </c>
      <c r="L638" s="57">
        <f t="shared" si="74"/>
        <v>32000</v>
      </c>
      <c r="M638" s="228">
        <f t="shared" si="75"/>
        <v>35200</v>
      </c>
      <c r="N638" s="18" t="s">
        <v>34</v>
      </c>
      <c r="O638" s="50"/>
      <c r="P638" s="52" t="s">
        <v>1557</v>
      </c>
    </row>
    <row r="639" spans="1:16" ht="21.75" customHeight="1" x14ac:dyDescent="0.4">
      <c r="A639" s="62">
        <v>45595</v>
      </c>
      <c r="B639" s="32" t="s">
        <v>4025</v>
      </c>
      <c r="C639" s="32"/>
      <c r="D639" s="18" t="s">
        <v>17</v>
      </c>
      <c r="E639" s="63" t="s">
        <v>576</v>
      </c>
      <c r="F639" s="63" t="s">
        <v>3997</v>
      </c>
      <c r="G639" s="50" t="s">
        <v>4028</v>
      </c>
      <c r="H639" s="57">
        <v>80000</v>
      </c>
      <c r="I639" s="227">
        <v>-16000</v>
      </c>
      <c r="J639" s="57">
        <f t="shared" si="76"/>
        <v>64000</v>
      </c>
      <c r="K639" s="50">
        <v>1</v>
      </c>
      <c r="L639" s="57">
        <f t="shared" si="74"/>
        <v>64000</v>
      </c>
      <c r="M639" s="228">
        <f t="shared" si="75"/>
        <v>70400</v>
      </c>
      <c r="N639" s="18" t="s">
        <v>34</v>
      </c>
      <c r="O639" s="50"/>
      <c r="P639" s="52" t="s">
        <v>1557</v>
      </c>
    </row>
    <row r="640" spans="1:16" ht="21.75" customHeight="1" x14ac:dyDescent="0.4">
      <c r="A640" s="62">
        <v>45595</v>
      </c>
      <c r="B640" s="32" t="s">
        <v>4025</v>
      </c>
      <c r="C640" s="32"/>
      <c r="D640" s="18" t="s">
        <v>17</v>
      </c>
      <c r="E640" s="63" t="s">
        <v>576</v>
      </c>
      <c r="F640" s="63" t="s">
        <v>3543</v>
      </c>
      <c r="G640" s="50" t="s">
        <v>4029</v>
      </c>
      <c r="H640" s="57">
        <v>43000</v>
      </c>
      <c r="I640" s="227">
        <v>-6400</v>
      </c>
      <c r="J640" s="57">
        <f t="shared" si="76"/>
        <v>36600</v>
      </c>
      <c r="K640" s="50">
        <v>1</v>
      </c>
      <c r="L640" s="57">
        <f t="shared" si="74"/>
        <v>36600</v>
      </c>
      <c r="M640" s="228">
        <f t="shared" si="75"/>
        <v>40260</v>
      </c>
      <c r="N640" s="18" t="s">
        <v>34</v>
      </c>
      <c r="O640" s="50"/>
      <c r="P640" s="52" t="s">
        <v>1557</v>
      </c>
    </row>
    <row r="641" spans="1:16" ht="21.75" customHeight="1" x14ac:dyDescent="0.4">
      <c r="A641" s="62">
        <v>45595</v>
      </c>
      <c r="B641" s="32" t="s">
        <v>4025</v>
      </c>
      <c r="C641" s="32"/>
      <c r="D641" s="18" t="s">
        <v>17</v>
      </c>
      <c r="E641" s="63" t="s">
        <v>332</v>
      </c>
      <c r="F641" s="63" t="s">
        <v>3555</v>
      </c>
      <c r="G641" s="50" t="s">
        <v>3173</v>
      </c>
      <c r="H641" s="57">
        <v>1200</v>
      </c>
      <c r="I641" s="227"/>
      <c r="J641" s="57">
        <f t="shared" si="76"/>
        <v>1200</v>
      </c>
      <c r="K641" s="50">
        <v>2</v>
      </c>
      <c r="L641" s="57">
        <f t="shared" si="74"/>
        <v>2400</v>
      </c>
      <c r="M641" s="228">
        <f t="shared" si="75"/>
        <v>2640</v>
      </c>
      <c r="N641" s="18" t="s">
        <v>34</v>
      </c>
      <c r="O641" s="50"/>
      <c r="P641" s="52" t="s">
        <v>1557</v>
      </c>
    </row>
    <row r="642" spans="1:16" ht="21.75" customHeight="1" x14ac:dyDescent="0.4">
      <c r="A642" s="62">
        <v>45595</v>
      </c>
      <c r="B642" s="32" t="s">
        <v>4030</v>
      </c>
      <c r="C642" s="32"/>
      <c r="D642" s="18" t="s">
        <v>27</v>
      </c>
      <c r="E642" s="63" t="s">
        <v>28</v>
      </c>
      <c r="F642" s="63"/>
      <c r="G642" s="50" t="s">
        <v>73</v>
      </c>
      <c r="H642" s="57">
        <v>2000</v>
      </c>
      <c r="I642" s="227"/>
      <c r="J642" s="57">
        <f t="shared" si="76"/>
        <v>2000</v>
      </c>
      <c r="K642" s="50">
        <v>1</v>
      </c>
      <c r="L642" s="57">
        <f t="shared" si="74"/>
        <v>2000</v>
      </c>
      <c r="M642" s="228">
        <f t="shared" si="75"/>
        <v>2200</v>
      </c>
      <c r="N642" s="18" t="s">
        <v>34</v>
      </c>
      <c r="O642" s="50"/>
    </row>
    <row r="643" spans="1:16" ht="21.75" customHeight="1" x14ac:dyDescent="0.4">
      <c r="A643" s="62">
        <v>45595</v>
      </c>
      <c r="B643" s="32" t="s">
        <v>3411</v>
      </c>
      <c r="C643" s="32"/>
      <c r="D643" s="18" t="s">
        <v>4032</v>
      </c>
      <c r="E643" s="63" t="s">
        <v>426</v>
      </c>
      <c r="F643" s="63" t="s">
        <v>4033</v>
      </c>
      <c r="G643" s="50" t="s">
        <v>4034</v>
      </c>
      <c r="H643" s="57">
        <v>1800</v>
      </c>
      <c r="I643" s="227">
        <v>-180</v>
      </c>
      <c r="J643" s="57">
        <f t="shared" si="76"/>
        <v>1620</v>
      </c>
      <c r="K643" s="50">
        <v>1</v>
      </c>
      <c r="L643" s="57">
        <f t="shared" si="74"/>
        <v>1620</v>
      </c>
      <c r="M643" s="228">
        <f t="shared" si="75"/>
        <v>1782</v>
      </c>
      <c r="N643" s="18" t="s">
        <v>4035</v>
      </c>
      <c r="O643" s="50"/>
    </row>
    <row r="644" spans="1:16" ht="21.75" customHeight="1" x14ac:dyDescent="0.4">
      <c r="A644" s="62">
        <v>45595</v>
      </c>
      <c r="B644" s="32" t="s">
        <v>4036</v>
      </c>
      <c r="C644" s="32"/>
      <c r="D644" s="18" t="s">
        <v>27</v>
      </c>
      <c r="E644" s="63" t="s">
        <v>103</v>
      </c>
      <c r="F644" s="63"/>
      <c r="G644" s="50" t="s">
        <v>104</v>
      </c>
      <c r="H644" s="57">
        <v>2500</v>
      </c>
      <c r="I644" s="227"/>
      <c r="J644" s="57">
        <f t="shared" si="76"/>
        <v>2500</v>
      </c>
      <c r="K644" s="50">
        <v>1</v>
      </c>
      <c r="L644" s="57">
        <f t="shared" si="74"/>
        <v>2500</v>
      </c>
      <c r="M644" s="228">
        <f t="shared" si="75"/>
        <v>2750</v>
      </c>
      <c r="N644" s="18" t="s">
        <v>4035</v>
      </c>
      <c r="O644" s="50"/>
    </row>
    <row r="645" spans="1:16" ht="21.75" customHeight="1" x14ac:dyDescent="0.4">
      <c r="A645" s="62">
        <v>45595</v>
      </c>
      <c r="B645" s="32" t="s">
        <v>3755</v>
      </c>
      <c r="C645" s="32"/>
      <c r="D645" s="18" t="s">
        <v>2892</v>
      </c>
      <c r="E645" s="63" t="s">
        <v>23</v>
      </c>
      <c r="F645" s="63"/>
      <c r="G645" s="50" t="s">
        <v>220</v>
      </c>
      <c r="H645" s="57">
        <v>10000</v>
      </c>
      <c r="I645" s="227"/>
      <c r="J645" s="57">
        <f t="shared" si="76"/>
        <v>10000</v>
      </c>
      <c r="K645" s="50">
        <v>1</v>
      </c>
      <c r="L645" s="57">
        <f t="shared" si="74"/>
        <v>10000</v>
      </c>
      <c r="M645" s="228">
        <f t="shared" si="75"/>
        <v>11000</v>
      </c>
      <c r="N645" s="18" t="s">
        <v>34</v>
      </c>
      <c r="O645" s="50"/>
    </row>
    <row r="646" spans="1:16" ht="21.75" customHeight="1" x14ac:dyDescent="0.4">
      <c r="A646" s="62">
        <v>45595</v>
      </c>
      <c r="B646" s="32" t="s">
        <v>3755</v>
      </c>
      <c r="C646" s="32"/>
      <c r="D646" s="18" t="s">
        <v>4032</v>
      </c>
      <c r="E646" s="63" t="s">
        <v>328</v>
      </c>
      <c r="F646" s="63" t="s">
        <v>788</v>
      </c>
      <c r="G646" s="50" t="s">
        <v>4037</v>
      </c>
      <c r="H646" s="57">
        <v>50000</v>
      </c>
      <c r="I646" s="227">
        <v>-15000</v>
      </c>
      <c r="J646" s="57">
        <f t="shared" si="76"/>
        <v>35000</v>
      </c>
      <c r="K646" s="50">
        <v>1</v>
      </c>
      <c r="L646" s="57">
        <f t="shared" si="74"/>
        <v>35000</v>
      </c>
      <c r="M646" s="228">
        <f t="shared" si="75"/>
        <v>38500</v>
      </c>
      <c r="N646" s="18" t="s">
        <v>34</v>
      </c>
      <c r="O646" s="50"/>
      <c r="P646" s="52" t="s">
        <v>4041</v>
      </c>
    </row>
    <row r="647" spans="1:16" ht="21.75" customHeight="1" x14ac:dyDescent="0.4">
      <c r="A647" s="62">
        <v>45595</v>
      </c>
      <c r="B647" s="32" t="s">
        <v>3755</v>
      </c>
      <c r="C647" s="32"/>
      <c r="D647" s="18" t="s">
        <v>4032</v>
      </c>
      <c r="E647" s="63" t="s">
        <v>330</v>
      </c>
      <c r="F647" s="63" t="s">
        <v>557</v>
      </c>
      <c r="G647" s="50" t="s">
        <v>4038</v>
      </c>
      <c r="H647" s="57">
        <v>5000</v>
      </c>
      <c r="I647" s="227"/>
      <c r="J647" s="57">
        <f t="shared" si="76"/>
        <v>5000</v>
      </c>
      <c r="K647" s="50">
        <v>1</v>
      </c>
      <c r="L647" s="57">
        <f t="shared" si="74"/>
        <v>5000</v>
      </c>
      <c r="M647" s="228">
        <f t="shared" si="75"/>
        <v>5500</v>
      </c>
      <c r="N647" s="18" t="s">
        <v>34</v>
      </c>
      <c r="O647" s="50"/>
      <c r="P647" s="52" t="s">
        <v>4041</v>
      </c>
    </row>
    <row r="648" spans="1:16" ht="21.75" customHeight="1" x14ac:dyDescent="0.4">
      <c r="A648" s="62">
        <v>45595</v>
      </c>
      <c r="B648" s="32" t="s">
        <v>3755</v>
      </c>
      <c r="C648" s="32"/>
      <c r="D648" s="18" t="s">
        <v>4032</v>
      </c>
      <c r="E648" s="63" t="s">
        <v>332</v>
      </c>
      <c r="F648" s="63" t="s">
        <v>4039</v>
      </c>
      <c r="G648" s="50" t="s">
        <v>4040</v>
      </c>
      <c r="H648" s="57">
        <v>1200</v>
      </c>
      <c r="I648" s="227">
        <v>-120</v>
      </c>
      <c r="J648" s="57">
        <f t="shared" si="76"/>
        <v>1080</v>
      </c>
      <c r="K648" s="50">
        <v>1</v>
      </c>
      <c r="L648" s="57">
        <f t="shared" si="74"/>
        <v>1080</v>
      </c>
      <c r="M648" s="228">
        <f t="shared" si="75"/>
        <v>1188</v>
      </c>
      <c r="N648" s="18" t="s">
        <v>34</v>
      </c>
      <c r="O648" s="50"/>
      <c r="P648" s="52" t="s">
        <v>4041</v>
      </c>
    </row>
    <row r="649" spans="1:16" ht="21.75" customHeight="1" x14ac:dyDescent="0.4">
      <c r="A649" s="62">
        <v>45595</v>
      </c>
      <c r="B649" s="32" t="s">
        <v>4042</v>
      </c>
      <c r="C649" s="32"/>
      <c r="D649" s="18" t="s">
        <v>2892</v>
      </c>
      <c r="E649" s="63" t="s">
        <v>23</v>
      </c>
      <c r="F649" s="63"/>
      <c r="G649" s="50" t="s">
        <v>4043</v>
      </c>
      <c r="H649" s="57">
        <v>15000</v>
      </c>
      <c r="I649" s="227">
        <v>-5000</v>
      </c>
      <c r="J649" s="57">
        <f t="shared" si="76"/>
        <v>10000</v>
      </c>
      <c r="K649" s="50">
        <v>1</v>
      </c>
      <c r="L649" s="57">
        <f t="shared" si="74"/>
        <v>10000</v>
      </c>
      <c r="M649" s="228">
        <f t="shared" si="75"/>
        <v>11000</v>
      </c>
      <c r="N649" s="18" t="s">
        <v>4035</v>
      </c>
      <c r="O649" s="50"/>
    </row>
    <row r="650" spans="1:16" ht="21.75" customHeight="1" x14ac:dyDescent="0.4">
      <c r="A650" s="62">
        <v>45596</v>
      </c>
      <c r="B650" s="32" t="s">
        <v>4044</v>
      </c>
      <c r="C650" s="32"/>
      <c r="D650" s="18" t="s">
        <v>4045</v>
      </c>
      <c r="E650" s="63" t="s">
        <v>332</v>
      </c>
      <c r="F650" s="63" t="s">
        <v>4046</v>
      </c>
      <c r="G650" s="50" t="s">
        <v>4047</v>
      </c>
      <c r="H650" s="57">
        <v>1600</v>
      </c>
      <c r="I650" s="227">
        <v>-160</v>
      </c>
      <c r="J650" s="57">
        <f t="shared" si="76"/>
        <v>1440</v>
      </c>
      <c r="K650" s="50">
        <v>10</v>
      </c>
      <c r="L650" s="57">
        <f t="shared" si="74"/>
        <v>14400</v>
      </c>
      <c r="M650" s="228">
        <f t="shared" si="75"/>
        <v>15840</v>
      </c>
      <c r="N650" s="18" t="s">
        <v>34</v>
      </c>
      <c r="O650" s="50"/>
    </row>
    <row r="651" spans="1:16" ht="21.75" customHeight="1" x14ac:dyDescent="0.4">
      <c r="A651" s="62">
        <v>45596</v>
      </c>
      <c r="B651" s="32" t="s">
        <v>4044</v>
      </c>
      <c r="C651" s="32"/>
      <c r="D651" s="18" t="s">
        <v>4045</v>
      </c>
      <c r="E651" s="63" t="s">
        <v>332</v>
      </c>
      <c r="F651" s="63" t="s">
        <v>4046</v>
      </c>
      <c r="G651" s="50" t="s">
        <v>4048</v>
      </c>
      <c r="H651" s="57">
        <v>1550</v>
      </c>
      <c r="I651" s="227">
        <v>-155</v>
      </c>
      <c r="J651" s="57">
        <f t="shared" si="76"/>
        <v>1395</v>
      </c>
      <c r="K651" s="50">
        <v>1</v>
      </c>
      <c r="L651" s="57">
        <f t="shared" ref="L651:L664" si="77">SUM(J651*K651)</f>
        <v>1395</v>
      </c>
      <c r="M651" s="228">
        <f t="shared" ref="M651:M664" si="78">ROUNDDOWN(L651*1.1,0)</f>
        <v>1534</v>
      </c>
      <c r="N651" s="18" t="s">
        <v>34</v>
      </c>
      <c r="O651" s="50"/>
    </row>
    <row r="652" spans="1:16" ht="21.75" customHeight="1" x14ac:dyDescent="0.4">
      <c r="A652" s="62">
        <v>45596</v>
      </c>
      <c r="B652" s="32" t="s">
        <v>3666</v>
      </c>
      <c r="C652" s="32"/>
      <c r="D652" s="18" t="s">
        <v>4045</v>
      </c>
      <c r="E652" s="63" t="s">
        <v>292</v>
      </c>
      <c r="F652" s="63" t="s">
        <v>1051</v>
      </c>
      <c r="G652" s="50" t="s">
        <v>4049</v>
      </c>
      <c r="H652" s="57">
        <v>5500</v>
      </c>
      <c r="I652" s="227"/>
      <c r="J652" s="57">
        <f t="shared" si="76"/>
        <v>5500</v>
      </c>
      <c r="K652" s="50">
        <v>1</v>
      </c>
      <c r="L652" s="57">
        <f t="shared" si="77"/>
        <v>5500</v>
      </c>
      <c r="M652" s="228">
        <f t="shared" si="78"/>
        <v>6050</v>
      </c>
      <c r="N652" s="18" t="s">
        <v>34</v>
      </c>
      <c r="O652" s="50"/>
    </row>
    <row r="653" spans="1:16" ht="21.75" customHeight="1" x14ac:dyDescent="0.4">
      <c r="A653" s="62">
        <v>45596</v>
      </c>
      <c r="B653" s="32" t="s">
        <v>3666</v>
      </c>
      <c r="C653" s="32"/>
      <c r="D653" s="18" t="s">
        <v>17</v>
      </c>
      <c r="E653" s="63" t="s">
        <v>292</v>
      </c>
      <c r="F653" s="63" t="s">
        <v>4050</v>
      </c>
      <c r="G653" s="50" t="s">
        <v>4051</v>
      </c>
      <c r="H653" s="57">
        <v>6300</v>
      </c>
      <c r="I653" s="227">
        <v>-630</v>
      </c>
      <c r="J653" s="57">
        <f t="shared" si="76"/>
        <v>5670</v>
      </c>
      <c r="K653" s="50">
        <v>1</v>
      </c>
      <c r="L653" s="57">
        <f t="shared" si="77"/>
        <v>5670</v>
      </c>
      <c r="M653" s="228">
        <f t="shared" si="78"/>
        <v>6237</v>
      </c>
      <c r="N653" s="18" t="s">
        <v>34</v>
      </c>
      <c r="O653" s="50"/>
    </row>
    <row r="654" spans="1:16" ht="21.75" customHeight="1" x14ac:dyDescent="0.4">
      <c r="A654" s="62">
        <v>45596</v>
      </c>
      <c r="B654" s="32" t="s">
        <v>3666</v>
      </c>
      <c r="C654" s="32"/>
      <c r="D654" s="18" t="s">
        <v>4045</v>
      </c>
      <c r="E654" s="63" t="s">
        <v>292</v>
      </c>
      <c r="F654" s="63" t="s">
        <v>3642</v>
      </c>
      <c r="G654" s="50" t="s">
        <v>4052</v>
      </c>
      <c r="H654" s="57">
        <v>6300</v>
      </c>
      <c r="I654" s="227">
        <v>-630</v>
      </c>
      <c r="J654" s="57">
        <f t="shared" si="76"/>
        <v>5670</v>
      </c>
      <c r="K654" s="50">
        <v>1</v>
      </c>
      <c r="L654" s="57">
        <f t="shared" si="77"/>
        <v>5670</v>
      </c>
      <c r="M654" s="228">
        <f t="shared" si="78"/>
        <v>6237</v>
      </c>
      <c r="N654" s="18" t="s">
        <v>34</v>
      </c>
      <c r="O654" s="50"/>
    </row>
    <row r="655" spans="1:16" ht="21.75" customHeight="1" x14ac:dyDescent="0.4">
      <c r="A655" s="62">
        <v>45597</v>
      </c>
      <c r="B655" s="32" t="s">
        <v>4059</v>
      </c>
      <c r="C655" s="32"/>
      <c r="D655" s="18" t="s">
        <v>22</v>
      </c>
      <c r="E655" s="63" t="s">
        <v>1496</v>
      </c>
      <c r="F655" s="63"/>
      <c r="G655" s="50" t="s">
        <v>49</v>
      </c>
      <c r="H655" s="57">
        <v>3000</v>
      </c>
      <c r="I655" s="227"/>
      <c r="J655" s="57">
        <f t="shared" si="76"/>
        <v>3000</v>
      </c>
      <c r="K655" s="50">
        <v>1</v>
      </c>
      <c r="L655" s="57">
        <f t="shared" si="77"/>
        <v>3000</v>
      </c>
      <c r="M655" s="228">
        <f t="shared" si="78"/>
        <v>3300</v>
      </c>
      <c r="N655" s="18" t="s">
        <v>25</v>
      </c>
      <c r="O655" s="50" t="s">
        <v>1954</v>
      </c>
    </row>
    <row r="656" spans="1:16" ht="21.75" customHeight="1" x14ac:dyDescent="0.4">
      <c r="A656" s="62">
        <v>45598</v>
      </c>
      <c r="B656" s="32" t="s">
        <v>839</v>
      </c>
      <c r="C656" s="32"/>
      <c r="D656" s="18" t="s">
        <v>17</v>
      </c>
      <c r="E656" s="63" t="s">
        <v>332</v>
      </c>
      <c r="F656" s="63" t="s">
        <v>3555</v>
      </c>
      <c r="G656" s="50" t="s">
        <v>4053</v>
      </c>
      <c r="H656" s="57">
        <v>1900</v>
      </c>
      <c r="I656" s="227">
        <v>-190</v>
      </c>
      <c r="J656" s="57">
        <f t="shared" si="76"/>
        <v>1710</v>
      </c>
      <c r="K656" s="50">
        <v>1</v>
      </c>
      <c r="L656" s="57">
        <f t="shared" si="77"/>
        <v>1710</v>
      </c>
      <c r="M656" s="228">
        <f t="shared" si="78"/>
        <v>1881</v>
      </c>
      <c r="N656" s="18" t="s">
        <v>25</v>
      </c>
      <c r="O656" s="50"/>
    </row>
    <row r="657" spans="1:16" ht="21.75" customHeight="1" x14ac:dyDescent="0.4">
      <c r="A657" s="62">
        <v>45598</v>
      </c>
      <c r="B657" s="32" t="s">
        <v>4061</v>
      </c>
      <c r="C657" s="32"/>
      <c r="D657" s="18" t="s">
        <v>22</v>
      </c>
      <c r="E657" s="63" t="s">
        <v>260</v>
      </c>
      <c r="F657" s="63"/>
      <c r="G657" s="50" t="s">
        <v>96</v>
      </c>
      <c r="H657" s="57">
        <v>15000</v>
      </c>
      <c r="I657" s="227"/>
      <c r="J657" s="57">
        <f t="shared" si="76"/>
        <v>15000</v>
      </c>
      <c r="K657" s="50">
        <v>1</v>
      </c>
      <c r="L657" s="57">
        <f t="shared" si="77"/>
        <v>15000</v>
      </c>
      <c r="M657" s="228">
        <f t="shared" si="78"/>
        <v>16500</v>
      </c>
      <c r="N657" s="18" t="s">
        <v>25</v>
      </c>
      <c r="O657" s="50" t="s">
        <v>1954</v>
      </c>
    </row>
    <row r="658" spans="1:16" ht="21.75" customHeight="1" x14ac:dyDescent="0.4">
      <c r="A658" s="62">
        <v>45599</v>
      </c>
      <c r="B658" s="32" t="s">
        <v>4062</v>
      </c>
      <c r="C658" s="32"/>
      <c r="D658" s="18" t="s">
        <v>22</v>
      </c>
      <c r="E658" s="63" t="s">
        <v>1496</v>
      </c>
      <c r="F658" s="63"/>
      <c r="G658" s="50" t="s">
        <v>3470</v>
      </c>
      <c r="H658" s="57">
        <v>2000</v>
      </c>
      <c r="I658" s="227"/>
      <c r="J658" s="57">
        <f t="shared" si="76"/>
        <v>2000</v>
      </c>
      <c r="K658" s="50">
        <v>1</v>
      </c>
      <c r="L658" s="57">
        <f t="shared" si="77"/>
        <v>2000</v>
      </c>
      <c r="M658" s="228">
        <f t="shared" si="78"/>
        <v>2200</v>
      </c>
      <c r="N658" s="18" t="s">
        <v>20</v>
      </c>
      <c r="O658" s="50"/>
    </row>
    <row r="659" spans="1:16" ht="21.75" customHeight="1" x14ac:dyDescent="0.4">
      <c r="A659" s="62">
        <v>45599</v>
      </c>
      <c r="B659" s="32" t="s">
        <v>4063</v>
      </c>
      <c r="C659" s="32"/>
      <c r="D659" s="18" t="s">
        <v>22</v>
      </c>
      <c r="E659" s="63" t="s">
        <v>1496</v>
      </c>
      <c r="F659" s="63"/>
      <c r="G659" s="50" t="s">
        <v>3470</v>
      </c>
      <c r="H659" s="57">
        <v>2000</v>
      </c>
      <c r="I659" s="227"/>
      <c r="J659" s="57">
        <f t="shared" si="76"/>
        <v>2000</v>
      </c>
      <c r="K659" s="50">
        <v>1</v>
      </c>
      <c r="L659" s="57">
        <f t="shared" si="77"/>
        <v>2000</v>
      </c>
      <c r="M659" s="228">
        <f t="shared" si="78"/>
        <v>2200</v>
      </c>
      <c r="N659" s="18" t="s">
        <v>20</v>
      </c>
      <c r="O659" s="50"/>
    </row>
    <row r="660" spans="1:16" ht="21.75" customHeight="1" x14ac:dyDescent="0.4">
      <c r="A660" s="62">
        <v>45599</v>
      </c>
      <c r="B660" s="32" t="s">
        <v>4064</v>
      </c>
      <c r="C660" s="32"/>
      <c r="D660" s="18" t="s">
        <v>17</v>
      </c>
      <c r="E660" s="63" t="s">
        <v>426</v>
      </c>
      <c r="F660" s="63" t="s">
        <v>994</v>
      </c>
      <c r="G660" s="50" t="s">
        <v>4065</v>
      </c>
      <c r="H660" s="57">
        <v>1800</v>
      </c>
      <c r="I660" s="227">
        <v>-180</v>
      </c>
      <c r="J660" s="57">
        <f t="shared" si="76"/>
        <v>1620</v>
      </c>
      <c r="K660" s="50">
        <v>1</v>
      </c>
      <c r="L660" s="57">
        <f t="shared" si="77"/>
        <v>1620</v>
      </c>
      <c r="M660" s="228">
        <f t="shared" si="78"/>
        <v>1782</v>
      </c>
      <c r="N660" s="18" t="s">
        <v>20</v>
      </c>
      <c r="O660" s="50"/>
    </row>
    <row r="661" spans="1:16" ht="21.75" customHeight="1" x14ac:dyDescent="0.4">
      <c r="A661" s="62">
        <v>45600</v>
      </c>
      <c r="B661" s="32" t="s">
        <v>4066</v>
      </c>
      <c r="C661" s="32"/>
      <c r="D661" s="18" t="s">
        <v>27</v>
      </c>
      <c r="E661" s="63" t="s">
        <v>28</v>
      </c>
      <c r="F661" s="63"/>
      <c r="G661" s="50" t="s">
        <v>4054</v>
      </c>
      <c r="H661" s="57">
        <v>2000</v>
      </c>
      <c r="I661" s="227"/>
      <c r="J661" s="57">
        <f t="shared" si="76"/>
        <v>2000</v>
      </c>
      <c r="K661" s="50">
        <v>1</v>
      </c>
      <c r="L661" s="57">
        <f t="shared" si="77"/>
        <v>2000</v>
      </c>
      <c r="M661" s="228">
        <f t="shared" si="78"/>
        <v>2200</v>
      </c>
      <c r="N661" s="18" t="s">
        <v>20</v>
      </c>
      <c r="O661" s="50"/>
    </row>
    <row r="662" spans="1:16" ht="21.75" customHeight="1" x14ac:dyDescent="0.4">
      <c r="A662" s="62">
        <v>45600</v>
      </c>
      <c r="B662" s="32" t="s">
        <v>678</v>
      </c>
      <c r="C662" s="32"/>
      <c r="D662" s="18" t="s">
        <v>17</v>
      </c>
      <c r="E662" s="63" t="s">
        <v>332</v>
      </c>
      <c r="F662" s="63" t="s">
        <v>3550</v>
      </c>
      <c r="G662" s="50" t="s">
        <v>4067</v>
      </c>
      <c r="H662" s="57">
        <v>1800</v>
      </c>
      <c r="I662" s="227">
        <v>-180</v>
      </c>
      <c r="J662" s="57">
        <f t="shared" si="76"/>
        <v>1620</v>
      </c>
      <c r="K662" s="50">
        <v>1</v>
      </c>
      <c r="L662" s="57">
        <f t="shared" si="77"/>
        <v>1620</v>
      </c>
      <c r="M662" s="228">
        <f t="shared" si="78"/>
        <v>1782</v>
      </c>
      <c r="N662" s="18" t="s">
        <v>20</v>
      </c>
      <c r="O662" s="50"/>
    </row>
    <row r="663" spans="1:16" ht="21.75" customHeight="1" x14ac:dyDescent="0.4">
      <c r="A663" s="62">
        <v>45600</v>
      </c>
      <c r="B663" s="32" t="s">
        <v>4068</v>
      </c>
      <c r="C663" s="32"/>
      <c r="D663" s="18" t="s">
        <v>22</v>
      </c>
      <c r="E663" s="63" t="s">
        <v>2484</v>
      </c>
      <c r="F663" s="63"/>
      <c r="G663" s="63" t="s">
        <v>461</v>
      </c>
      <c r="H663" s="57">
        <v>5000</v>
      </c>
      <c r="I663" s="227"/>
      <c r="J663" s="57">
        <f t="shared" si="76"/>
        <v>5000</v>
      </c>
      <c r="K663" s="50">
        <v>1</v>
      </c>
      <c r="L663" s="57">
        <f t="shared" si="77"/>
        <v>5000</v>
      </c>
      <c r="M663" s="228">
        <f t="shared" si="78"/>
        <v>5500</v>
      </c>
      <c r="N663" s="18" t="s">
        <v>20</v>
      </c>
      <c r="O663" s="490" t="s">
        <v>1954</v>
      </c>
    </row>
    <row r="664" spans="1:16" ht="21.75" customHeight="1" x14ac:dyDescent="0.4">
      <c r="A664" s="62">
        <v>45600</v>
      </c>
      <c r="B664" s="32" t="s">
        <v>4068</v>
      </c>
      <c r="C664" s="32"/>
      <c r="D664" s="18" t="s">
        <v>22</v>
      </c>
      <c r="E664" s="63" t="s">
        <v>1496</v>
      </c>
      <c r="F664" s="63"/>
      <c r="G664" s="50" t="s">
        <v>49</v>
      </c>
      <c r="H664" s="57">
        <v>3000</v>
      </c>
      <c r="I664" s="227"/>
      <c r="J664" s="57">
        <f t="shared" si="76"/>
        <v>3000</v>
      </c>
      <c r="K664" s="50">
        <v>1</v>
      </c>
      <c r="L664" s="57">
        <f t="shared" si="77"/>
        <v>3000</v>
      </c>
      <c r="M664" s="228">
        <f t="shared" si="78"/>
        <v>3300</v>
      </c>
      <c r="N664" s="18" t="s">
        <v>20</v>
      </c>
      <c r="O664" s="491"/>
    </row>
    <row r="665" spans="1:16" ht="21.75" customHeight="1" x14ac:dyDescent="0.4">
      <c r="A665" s="62">
        <v>45602</v>
      </c>
      <c r="B665" s="32" t="s">
        <v>3117</v>
      </c>
      <c r="C665" s="32"/>
      <c r="D665" s="18" t="s">
        <v>17</v>
      </c>
      <c r="E665" s="63" t="s">
        <v>328</v>
      </c>
      <c r="F665" s="63" t="s">
        <v>3599</v>
      </c>
      <c r="G665" s="50" t="s">
        <v>4079</v>
      </c>
      <c r="H665" s="57">
        <v>72000</v>
      </c>
      <c r="I665" s="227">
        <v>-21600</v>
      </c>
      <c r="J665" s="57">
        <f t="shared" ref="J665:J696" si="79">SUM(H665:I665)</f>
        <v>50400</v>
      </c>
      <c r="K665" s="50">
        <v>1</v>
      </c>
      <c r="L665" s="57">
        <f t="shared" ref="L665:L696" si="80">SUM(J665*K665)</f>
        <v>50400</v>
      </c>
      <c r="M665" s="228">
        <f t="shared" ref="M665:M696" si="81">ROUNDDOWN(L665*1.1,0)</f>
        <v>55440</v>
      </c>
      <c r="N665" s="18" t="s">
        <v>20</v>
      </c>
      <c r="O665" s="50"/>
    </row>
    <row r="666" spans="1:16" ht="21.75" customHeight="1" x14ac:dyDescent="0.4">
      <c r="A666" s="62">
        <v>45601</v>
      </c>
      <c r="B666" s="32" t="s">
        <v>4069</v>
      </c>
      <c r="C666" s="32"/>
      <c r="D666" s="18" t="s">
        <v>17</v>
      </c>
      <c r="E666" s="63" t="s">
        <v>4071</v>
      </c>
      <c r="F666" s="63"/>
      <c r="G666" s="50" t="s">
        <v>4072</v>
      </c>
      <c r="H666" s="57">
        <v>4000</v>
      </c>
      <c r="I666" s="227">
        <v>-400</v>
      </c>
      <c r="J666" s="57">
        <f t="shared" si="79"/>
        <v>3600</v>
      </c>
      <c r="K666" s="50">
        <v>1</v>
      </c>
      <c r="L666" s="57">
        <f t="shared" si="80"/>
        <v>3600</v>
      </c>
      <c r="M666" s="228">
        <f t="shared" si="81"/>
        <v>3960</v>
      </c>
      <c r="N666" s="18" t="s">
        <v>34</v>
      </c>
      <c r="O666" s="50"/>
    </row>
    <row r="667" spans="1:16" ht="21.75" customHeight="1" x14ac:dyDescent="0.4">
      <c r="A667" s="62">
        <v>45602</v>
      </c>
      <c r="B667" s="32" t="s">
        <v>1292</v>
      </c>
      <c r="C667" s="32"/>
      <c r="D667" s="18" t="s">
        <v>2457</v>
      </c>
      <c r="E667" s="63" t="s">
        <v>1615</v>
      </c>
      <c r="F667" s="63"/>
      <c r="G667" s="50" t="s">
        <v>4055</v>
      </c>
      <c r="H667" s="57">
        <v>15000</v>
      </c>
      <c r="I667" s="227"/>
      <c r="J667" s="57">
        <f t="shared" si="79"/>
        <v>15000</v>
      </c>
      <c r="K667" s="50">
        <v>1</v>
      </c>
      <c r="L667" s="57">
        <f t="shared" si="80"/>
        <v>15000</v>
      </c>
      <c r="M667" s="228">
        <f t="shared" si="81"/>
        <v>16500</v>
      </c>
      <c r="N667" s="18" t="s">
        <v>34</v>
      </c>
      <c r="O667" s="50"/>
    </row>
    <row r="668" spans="1:16" ht="21.75" customHeight="1" x14ac:dyDescent="0.4">
      <c r="A668" s="62">
        <v>45602</v>
      </c>
      <c r="B668" s="32" t="s">
        <v>4073</v>
      </c>
      <c r="C668" s="32"/>
      <c r="D668" s="18" t="s">
        <v>22</v>
      </c>
      <c r="E668" s="63" t="s">
        <v>23</v>
      </c>
      <c r="F668" s="63"/>
      <c r="G668" s="50" t="s">
        <v>220</v>
      </c>
      <c r="H668" s="57">
        <v>10000</v>
      </c>
      <c r="I668" s="227"/>
      <c r="J668" s="57">
        <f t="shared" si="79"/>
        <v>10000</v>
      </c>
      <c r="K668" s="50">
        <v>1</v>
      </c>
      <c r="L668" s="57">
        <f t="shared" si="80"/>
        <v>10000</v>
      </c>
      <c r="M668" s="228">
        <f t="shared" si="81"/>
        <v>11000</v>
      </c>
      <c r="N668" s="18" t="s">
        <v>34</v>
      </c>
      <c r="O668" s="50"/>
    </row>
    <row r="669" spans="1:16" ht="21.75" customHeight="1" x14ac:dyDescent="0.4">
      <c r="A669" s="62">
        <v>45609</v>
      </c>
      <c r="B669" s="32" t="s">
        <v>2486</v>
      </c>
      <c r="C669" s="32"/>
      <c r="D669" s="18" t="s">
        <v>4104</v>
      </c>
      <c r="E669" s="63" t="s">
        <v>328</v>
      </c>
      <c r="F669" s="63" t="s">
        <v>4105</v>
      </c>
      <c r="G669" s="50" t="s">
        <v>4106</v>
      </c>
      <c r="H669" s="57">
        <v>52000</v>
      </c>
      <c r="I669" s="227">
        <v>-10400</v>
      </c>
      <c r="J669" s="57">
        <f t="shared" si="79"/>
        <v>41600</v>
      </c>
      <c r="K669" s="50">
        <v>1</v>
      </c>
      <c r="L669" s="57">
        <f t="shared" si="80"/>
        <v>41600</v>
      </c>
      <c r="M669" s="228">
        <f t="shared" si="81"/>
        <v>45760</v>
      </c>
      <c r="N669" s="18" t="s">
        <v>34</v>
      </c>
      <c r="O669" s="50"/>
      <c r="P669" s="52" t="s">
        <v>4137</v>
      </c>
    </row>
    <row r="670" spans="1:16" ht="21.75" customHeight="1" x14ac:dyDescent="0.4">
      <c r="A670" s="62">
        <v>45602</v>
      </c>
      <c r="B670" s="32" t="s">
        <v>4073</v>
      </c>
      <c r="C670" s="32"/>
      <c r="D670" s="18" t="s">
        <v>17</v>
      </c>
      <c r="E670" s="63" t="s">
        <v>330</v>
      </c>
      <c r="F670" s="63" t="s">
        <v>3543</v>
      </c>
      <c r="G670" s="50" t="s">
        <v>200</v>
      </c>
      <c r="H670" s="57">
        <v>5500</v>
      </c>
      <c r="I670" s="227"/>
      <c r="J670" s="57">
        <f t="shared" si="79"/>
        <v>5500</v>
      </c>
      <c r="K670" s="50">
        <v>1</v>
      </c>
      <c r="L670" s="57">
        <f t="shared" si="80"/>
        <v>5500</v>
      </c>
      <c r="M670" s="228">
        <f t="shared" si="81"/>
        <v>6050</v>
      </c>
      <c r="N670" s="18" t="s">
        <v>34</v>
      </c>
      <c r="O670" s="50"/>
      <c r="P670" s="52" t="s">
        <v>4137</v>
      </c>
    </row>
    <row r="671" spans="1:16" ht="21.75" customHeight="1" x14ac:dyDescent="0.4">
      <c r="A671" s="62">
        <v>45602</v>
      </c>
      <c r="B671" s="32" t="s">
        <v>4073</v>
      </c>
      <c r="C671" s="32"/>
      <c r="D671" s="18" t="s">
        <v>17</v>
      </c>
      <c r="E671" s="63" t="s">
        <v>332</v>
      </c>
      <c r="F671" s="63" t="s">
        <v>3555</v>
      </c>
      <c r="G671" s="50" t="s">
        <v>46</v>
      </c>
      <c r="H671" s="57">
        <v>1300</v>
      </c>
      <c r="I671" s="227">
        <v>-130</v>
      </c>
      <c r="J671" s="57">
        <f t="shared" si="79"/>
        <v>1170</v>
      </c>
      <c r="K671" s="50">
        <v>1</v>
      </c>
      <c r="L671" s="57">
        <f t="shared" si="80"/>
        <v>1170</v>
      </c>
      <c r="M671" s="228">
        <f t="shared" si="81"/>
        <v>1287</v>
      </c>
      <c r="N671" s="18" t="s">
        <v>34</v>
      </c>
      <c r="O671" s="50"/>
      <c r="P671" s="52" t="s">
        <v>4137</v>
      </c>
    </row>
    <row r="672" spans="1:16" ht="21.75" customHeight="1" x14ac:dyDescent="0.4">
      <c r="A672" s="62">
        <v>45602</v>
      </c>
      <c r="B672" s="32" t="s">
        <v>4073</v>
      </c>
      <c r="C672" s="32"/>
      <c r="D672" s="96" t="s">
        <v>198</v>
      </c>
      <c r="E672" s="63"/>
      <c r="F672" s="63"/>
      <c r="G672" s="50" t="s">
        <v>2491</v>
      </c>
      <c r="H672" s="57">
        <v>-10000</v>
      </c>
      <c r="I672" s="227"/>
      <c r="J672" s="57">
        <f t="shared" si="79"/>
        <v>-10000</v>
      </c>
      <c r="K672" s="50">
        <v>1</v>
      </c>
      <c r="L672" s="57">
        <f t="shared" si="80"/>
        <v>-10000</v>
      </c>
      <c r="M672" s="228">
        <f t="shared" si="81"/>
        <v>-11000</v>
      </c>
      <c r="N672" s="18" t="s">
        <v>34</v>
      </c>
      <c r="O672" s="50" t="s">
        <v>4122</v>
      </c>
    </row>
    <row r="673" spans="1:16" ht="21.75" customHeight="1" x14ac:dyDescent="0.4">
      <c r="A673" s="62">
        <v>45602</v>
      </c>
      <c r="B673" s="32" t="s">
        <v>4074</v>
      </c>
      <c r="C673" s="32"/>
      <c r="D673" s="18" t="s">
        <v>2457</v>
      </c>
      <c r="E673" s="63" t="s">
        <v>1615</v>
      </c>
      <c r="F673" s="63"/>
      <c r="G673" s="50" t="s">
        <v>4056</v>
      </c>
      <c r="H673" s="57">
        <v>15000</v>
      </c>
      <c r="I673" s="227"/>
      <c r="J673" s="57">
        <f t="shared" si="79"/>
        <v>15000</v>
      </c>
      <c r="K673" s="50">
        <v>1</v>
      </c>
      <c r="L673" s="57">
        <f t="shared" si="80"/>
        <v>15000</v>
      </c>
      <c r="M673" s="228">
        <f t="shared" si="81"/>
        <v>16500</v>
      </c>
      <c r="N673" s="18" t="s">
        <v>25</v>
      </c>
      <c r="O673" s="50"/>
    </row>
    <row r="674" spans="1:16" ht="21.75" customHeight="1" x14ac:dyDescent="0.4">
      <c r="A674" s="62">
        <v>45602</v>
      </c>
      <c r="B674" s="32" t="s">
        <v>3117</v>
      </c>
      <c r="C674" s="32"/>
      <c r="D674" s="18" t="s">
        <v>22</v>
      </c>
      <c r="E674" s="63" t="s">
        <v>23</v>
      </c>
      <c r="F674" s="63"/>
      <c r="G674" s="50" t="s">
        <v>220</v>
      </c>
      <c r="H674" s="57">
        <v>10000</v>
      </c>
      <c r="I674" s="227"/>
      <c r="J674" s="57">
        <f t="shared" si="79"/>
        <v>10000</v>
      </c>
      <c r="K674" s="50">
        <v>1</v>
      </c>
      <c r="L674" s="57">
        <f t="shared" si="80"/>
        <v>10000</v>
      </c>
      <c r="M674" s="228">
        <f t="shared" si="81"/>
        <v>11000</v>
      </c>
      <c r="N674" s="18" t="s">
        <v>20</v>
      </c>
      <c r="O674" s="50"/>
    </row>
    <row r="675" spans="1:16" ht="21.75" customHeight="1" x14ac:dyDescent="0.4">
      <c r="A675" s="62">
        <v>45609</v>
      </c>
      <c r="B675" s="32" t="s">
        <v>2486</v>
      </c>
      <c r="C675" s="32"/>
      <c r="D675" s="18" t="s">
        <v>4104</v>
      </c>
      <c r="E675" s="63" t="s">
        <v>328</v>
      </c>
      <c r="F675" s="63" t="s">
        <v>4105</v>
      </c>
      <c r="G675" s="50" t="s">
        <v>4107</v>
      </c>
      <c r="H675" s="57">
        <v>33000</v>
      </c>
      <c r="I675" s="227">
        <v>-6600</v>
      </c>
      <c r="J675" s="57">
        <f t="shared" si="79"/>
        <v>26400</v>
      </c>
      <c r="K675" s="50">
        <v>1</v>
      </c>
      <c r="L675" s="57">
        <f t="shared" si="80"/>
        <v>26400</v>
      </c>
      <c r="M675" s="228">
        <f t="shared" si="81"/>
        <v>29040</v>
      </c>
      <c r="N675" s="18" t="s">
        <v>34</v>
      </c>
      <c r="O675" s="50"/>
      <c r="P675" s="52" t="s">
        <v>4138</v>
      </c>
    </row>
    <row r="676" spans="1:16" ht="21.75" customHeight="1" x14ac:dyDescent="0.4">
      <c r="A676" s="62">
        <v>45602</v>
      </c>
      <c r="B676" s="32" t="s">
        <v>3117</v>
      </c>
      <c r="C676" s="32"/>
      <c r="D676" s="18" t="s">
        <v>17</v>
      </c>
      <c r="E676" s="63" t="s">
        <v>576</v>
      </c>
      <c r="F676" s="63" t="s">
        <v>3997</v>
      </c>
      <c r="G676" s="50" t="s">
        <v>4080</v>
      </c>
      <c r="H676" s="57">
        <v>80000</v>
      </c>
      <c r="I676" s="227">
        <v>-8000</v>
      </c>
      <c r="J676" s="57">
        <f t="shared" si="79"/>
        <v>72000</v>
      </c>
      <c r="K676" s="50">
        <v>1</v>
      </c>
      <c r="L676" s="57">
        <f t="shared" si="80"/>
        <v>72000</v>
      </c>
      <c r="M676" s="228">
        <f t="shared" si="81"/>
        <v>79200</v>
      </c>
      <c r="N676" s="18" t="s">
        <v>20</v>
      </c>
      <c r="O676" s="50"/>
      <c r="P676" s="52" t="s">
        <v>4138</v>
      </c>
    </row>
    <row r="677" spans="1:16" ht="21.75" customHeight="1" x14ac:dyDescent="0.4">
      <c r="A677" s="62">
        <v>45602</v>
      </c>
      <c r="B677" s="32" t="s">
        <v>3117</v>
      </c>
      <c r="C677" s="32"/>
      <c r="D677" s="18" t="s">
        <v>17</v>
      </c>
      <c r="E677" s="63" t="s">
        <v>332</v>
      </c>
      <c r="F677" s="63" t="s">
        <v>3555</v>
      </c>
      <c r="G677" s="50" t="s">
        <v>85</v>
      </c>
      <c r="H677" s="57">
        <v>1300</v>
      </c>
      <c r="I677" s="227">
        <v>-130</v>
      </c>
      <c r="J677" s="57">
        <f t="shared" si="79"/>
        <v>1170</v>
      </c>
      <c r="K677" s="50">
        <v>1</v>
      </c>
      <c r="L677" s="57">
        <f t="shared" si="80"/>
        <v>1170</v>
      </c>
      <c r="M677" s="228">
        <f t="shared" si="81"/>
        <v>1287</v>
      </c>
      <c r="N677" s="18" t="s">
        <v>20</v>
      </c>
      <c r="O677" s="50"/>
      <c r="P677" s="52" t="s">
        <v>4138</v>
      </c>
    </row>
    <row r="678" spans="1:16" ht="21.75" customHeight="1" x14ac:dyDescent="0.4">
      <c r="A678" s="62">
        <v>45602</v>
      </c>
      <c r="B678" s="32" t="s">
        <v>3117</v>
      </c>
      <c r="C678" s="32"/>
      <c r="D678" s="96" t="s">
        <v>198</v>
      </c>
      <c r="E678" s="63"/>
      <c r="F678" s="63"/>
      <c r="G678" s="50" t="s">
        <v>2491</v>
      </c>
      <c r="H678" s="57">
        <v>-10000</v>
      </c>
      <c r="I678" s="227"/>
      <c r="J678" s="57">
        <f t="shared" si="79"/>
        <v>-10000</v>
      </c>
      <c r="K678" s="50">
        <v>1</v>
      </c>
      <c r="L678" s="57">
        <f t="shared" si="80"/>
        <v>-10000</v>
      </c>
      <c r="M678" s="228">
        <f t="shared" si="81"/>
        <v>-11000</v>
      </c>
      <c r="N678" s="18" t="s">
        <v>20</v>
      </c>
      <c r="O678" s="50" t="s">
        <v>4121</v>
      </c>
    </row>
    <row r="679" spans="1:16" ht="21.75" customHeight="1" x14ac:dyDescent="0.4">
      <c r="A679" s="62">
        <v>45602</v>
      </c>
      <c r="B679" s="32" t="s">
        <v>4024</v>
      </c>
      <c r="C679" s="32"/>
      <c r="D679" s="18" t="s">
        <v>27</v>
      </c>
      <c r="E679" s="63" t="s">
        <v>103</v>
      </c>
      <c r="F679" s="63"/>
      <c r="G679" s="50" t="s">
        <v>104</v>
      </c>
      <c r="H679" s="57">
        <v>2500</v>
      </c>
      <c r="I679" s="227"/>
      <c r="J679" s="57">
        <f t="shared" si="79"/>
        <v>2500</v>
      </c>
      <c r="K679" s="50">
        <v>1</v>
      </c>
      <c r="L679" s="57">
        <f t="shared" si="80"/>
        <v>2500</v>
      </c>
      <c r="M679" s="228">
        <f t="shared" si="81"/>
        <v>2750</v>
      </c>
      <c r="N679" s="18" t="s">
        <v>20</v>
      </c>
      <c r="O679" s="50"/>
    </row>
    <row r="680" spans="1:16" ht="21.75" customHeight="1" x14ac:dyDescent="0.4">
      <c r="A680" s="62">
        <v>45603</v>
      </c>
      <c r="B680" s="32" t="s">
        <v>162</v>
      </c>
      <c r="C680" s="32"/>
      <c r="D680" s="18" t="s">
        <v>27</v>
      </c>
      <c r="E680" s="63" t="s">
        <v>28</v>
      </c>
      <c r="F680" s="63"/>
      <c r="G680" s="50" t="s">
        <v>73</v>
      </c>
      <c r="H680" s="57">
        <v>2000</v>
      </c>
      <c r="I680" s="227"/>
      <c r="J680" s="57">
        <f t="shared" si="79"/>
        <v>2000</v>
      </c>
      <c r="K680" s="50">
        <v>1</v>
      </c>
      <c r="L680" s="57">
        <f t="shared" si="80"/>
        <v>2000</v>
      </c>
      <c r="M680" s="228">
        <f t="shared" si="81"/>
        <v>2200</v>
      </c>
      <c r="N680" s="18" t="s">
        <v>20</v>
      </c>
      <c r="O680" s="50"/>
    </row>
    <row r="681" spans="1:16" ht="21.75" customHeight="1" x14ac:dyDescent="0.4">
      <c r="A681" s="62">
        <v>45612</v>
      </c>
      <c r="B681" s="32" t="s">
        <v>4118</v>
      </c>
      <c r="C681" s="32"/>
      <c r="D681" s="18" t="s">
        <v>4104</v>
      </c>
      <c r="E681" s="63" t="s">
        <v>328</v>
      </c>
      <c r="F681" s="63" t="s">
        <v>4105</v>
      </c>
      <c r="G681" s="50" t="s">
        <v>4119</v>
      </c>
      <c r="H681" s="57">
        <v>72000</v>
      </c>
      <c r="I681" s="227">
        <v>-21600</v>
      </c>
      <c r="J681" s="57">
        <f t="shared" si="79"/>
        <v>50400</v>
      </c>
      <c r="K681" s="50">
        <v>1</v>
      </c>
      <c r="L681" s="57">
        <f t="shared" si="80"/>
        <v>50400</v>
      </c>
      <c r="M681" s="228">
        <f t="shared" si="81"/>
        <v>55440</v>
      </c>
      <c r="N681" s="18" t="s">
        <v>34</v>
      </c>
      <c r="O681" s="50"/>
      <c r="P681" s="52" t="s">
        <v>4138</v>
      </c>
    </row>
    <row r="682" spans="1:16" ht="21.75" customHeight="1" x14ac:dyDescent="0.4">
      <c r="A682" s="62">
        <v>45603</v>
      </c>
      <c r="B682" s="32" t="s">
        <v>4075</v>
      </c>
      <c r="C682" s="32"/>
      <c r="D682" s="18" t="s">
        <v>17</v>
      </c>
      <c r="E682" s="63" t="s">
        <v>332</v>
      </c>
      <c r="F682" s="63" t="s">
        <v>3555</v>
      </c>
      <c r="G682" s="50" t="s">
        <v>4077</v>
      </c>
      <c r="H682" s="57">
        <v>1700</v>
      </c>
      <c r="I682" s="227"/>
      <c r="J682" s="57">
        <f t="shared" si="79"/>
        <v>1700</v>
      </c>
      <c r="K682" s="50">
        <v>2</v>
      </c>
      <c r="L682" s="57">
        <f t="shared" si="80"/>
        <v>3400</v>
      </c>
      <c r="M682" s="228">
        <f t="shared" si="81"/>
        <v>3740</v>
      </c>
      <c r="N682" s="18" t="s">
        <v>25</v>
      </c>
      <c r="O682" s="50"/>
      <c r="P682" s="52" t="s">
        <v>4138</v>
      </c>
    </row>
    <row r="683" spans="1:16" ht="21.75" customHeight="1" x14ac:dyDescent="0.4">
      <c r="A683" s="62">
        <v>45604</v>
      </c>
      <c r="B683" s="32" t="s">
        <v>4057</v>
      </c>
      <c r="C683" s="32"/>
      <c r="D683" s="18" t="s">
        <v>2457</v>
      </c>
      <c r="E683" s="63" t="s">
        <v>1615</v>
      </c>
      <c r="F683" s="63"/>
      <c r="G683" s="50" t="s">
        <v>4055</v>
      </c>
      <c r="H683" s="57">
        <v>15000</v>
      </c>
      <c r="I683" s="227"/>
      <c r="J683" s="57">
        <f t="shared" si="79"/>
        <v>15000</v>
      </c>
      <c r="K683" s="50">
        <v>2</v>
      </c>
      <c r="L683" s="57">
        <f t="shared" si="80"/>
        <v>30000</v>
      </c>
      <c r="M683" s="228">
        <f t="shared" si="81"/>
        <v>33000</v>
      </c>
      <c r="N683" s="18" t="s">
        <v>20</v>
      </c>
      <c r="O683" s="50" t="s">
        <v>4058</v>
      </c>
    </row>
    <row r="684" spans="1:16" ht="21.75" customHeight="1" x14ac:dyDescent="0.4">
      <c r="A684" s="62">
        <v>45619</v>
      </c>
      <c r="B684" s="32" t="s">
        <v>4155</v>
      </c>
      <c r="C684" s="32"/>
      <c r="D684" s="18" t="s">
        <v>4139</v>
      </c>
      <c r="E684" s="63" t="s">
        <v>328</v>
      </c>
      <c r="F684" s="63" t="s">
        <v>4158</v>
      </c>
      <c r="G684" s="50" t="s">
        <v>4159</v>
      </c>
      <c r="H684" s="57">
        <v>60000</v>
      </c>
      <c r="I684" s="227">
        <v>-12000</v>
      </c>
      <c r="J684" s="57">
        <f t="shared" si="79"/>
        <v>48000</v>
      </c>
      <c r="K684" s="50">
        <v>1</v>
      </c>
      <c r="L684" s="57">
        <f t="shared" si="80"/>
        <v>48000</v>
      </c>
      <c r="M684" s="228">
        <f t="shared" si="81"/>
        <v>52800</v>
      </c>
      <c r="N684" s="18" t="s">
        <v>34</v>
      </c>
      <c r="O684" s="50"/>
      <c r="P684" s="52" t="s">
        <v>4137</v>
      </c>
    </row>
    <row r="685" spans="1:16" ht="21.75" customHeight="1" x14ac:dyDescent="0.4">
      <c r="A685" s="62">
        <v>45604</v>
      </c>
      <c r="B685" s="32" t="s">
        <v>4061</v>
      </c>
      <c r="C685" s="32"/>
      <c r="D685" s="18" t="s">
        <v>4081</v>
      </c>
      <c r="E685" s="63" t="s">
        <v>330</v>
      </c>
      <c r="F685" s="63" t="s">
        <v>4084</v>
      </c>
      <c r="G685" s="50" t="s">
        <v>4085</v>
      </c>
      <c r="H685" s="57">
        <v>5000</v>
      </c>
      <c r="I685" s="227"/>
      <c r="J685" s="57">
        <f t="shared" si="79"/>
        <v>5000</v>
      </c>
      <c r="K685" s="50">
        <v>1</v>
      </c>
      <c r="L685" s="57">
        <f t="shared" si="80"/>
        <v>5000</v>
      </c>
      <c r="M685" s="228">
        <f t="shared" si="81"/>
        <v>5500</v>
      </c>
      <c r="N685" s="18" t="s">
        <v>34</v>
      </c>
      <c r="O685" s="50"/>
      <c r="P685" s="52" t="s">
        <v>4137</v>
      </c>
    </row>
    <row r="686" spans="1:16" ht="21.75" customHeight="1" x14ac:dyDescent="0.4">
      <c r="A686" s="62">
        <v>45604</v>
      </c>
      <c r="B686" s="32" t="s">
        <v>4061</v>
      </c>
      <c r="C686" s="32"/>
      <c r="D686" s="18" t="s">
        <v>4081</v>
      </c>
      <c r="E686" s="63" t="s">
        <v>332</v>
      </c>
      <c r="F686" s="63" t="s">
        <v>3554</v>
      </c>
      <c r="G686" s="50" t="s">
        <v>4086</v>
      </c>
      <c r="H686" s="57">
        <v>1200</v>
      </c>
      <c r="I686" s="227"/>
      <c r="J686" s="57">
        <f t="shared" si="79"/>
        <v>1200</v>
      </c>
      <c r="K686" s="50">
        <v>1</v>
      </c>
      <c r="L686" s="57">
        <f t="shared" si="80"/>
        <v>1200</v>
      </c>
      <c r="M686" s="228">
        <f t="shared" si="81"/>
        <v>1320</v>
      </c>
      <c r="N686" s="18" t="s">
        <v>34</v>
      </c>
      <c r="O686" s="50"/>
      <c r="P686" s="52" t="s">
        <v>4137</v>
      </c>
    </row>
    <row r="687" spans="1:16" ht="21.75" customHeight="1" x14ac:dyDescent="0.4">
      <c r="A687" s="62">
        <v>45605</v>
      </c>
      <c r="B687" s="32" t="s">
        <v>4060</v>
      </c>
      <c r="C687" s="32"/>
      <c r="D687" s="18" t="s">
        <v>27</v>
      </c>
      <c r="E687" s="63" t="s">
        <v>28</v>
      </c>
      <c r="F687" s="63"/>
      <c r="G687" s="50" t="s">
        <v>30</v>
      </c>
      <c r="H687" s="57">
        <v>15000</v>
      </c>
      <c r="I687" s="227"/>
      <c r="J687" s="57">
        <f t="shared" si="79"/>
        <v>15000</v>
      </c>
      <c r="K687" s="50">
        <v>1</v>
      </c>
      <c r="L687" s="57">
        <f t="shared" si="80"/>
        <v>15000</v>
      </c>
      <c r="M687" s="228">
        <f t="shared" si="81"/>
        <v>16500</v>
      </c>
      <c r="N687" s="18" t="s">
        <v>25</v>
      </c>
      <c r="O687" s="50"/>
    </row>
    <row r="688" spans="1:16" ht="21.75" customHeight="1" x14ac:dyDescent="0.4">
      <c r="A688" s="62">
        <v>45605</v>
      </c>
      <c r="B688" s="32" t="s">
        <v>4060</v>
      </c>
      <c r="C688" s="32"/>
      <c r="D688" s="18" t="s">
        <v>27</v>
      </c>
      <c r="E688" s="63" t="s">
        <v>28</v>
      </c>
      <c r="F688" s="63"/>
      <c r="G688" s="50" t="s">
        <v>29</v>
      </c>
      <c r="H688" s="57">
        <v>13120</v>
      </c>
      <c r="I688" s="227"/>
      <c r="J688" s="57">
        <f t="shared" si="79"/>
        <v>13120</v>
      </c>
      <c r="K688" s="50">
        <v>1</v>
      </c>
      <c r="L688" s="57">
        <f t="shared" si="80"/>
        <v>13120</v>
      </c>
      <c r="M688" s="228">
        <f t="shared" si="81"/>
        <v>14432</v>
      </c>
      <c r="N688" s="18" t="s">
        <v>25</v>
      </c>
      <c r="O688" s="50"/>
    </row>
    <row r="689" spans="1:16" ht="21.75" customHeight="1" x14ac:dyDescent="0.4">
      <c r="A689" s="62">
        <v>45605</v>
      </c>
      <c r="B689" s="32" t="s">
        <v>644</v>
      </c>
      <c r="C689" s="32"/>
      <c r="D689" s="18" t="s">
        <v>4081</v>
      </c>
      <c r="E689" s="63" t="s">
        <v>292</v>
      </c>
      <c r="F689" s="63" t="s">
        <v>1051</v>
      </c>
      <c r="G689" s="50" t="s">
        <v>4087</v>
      </c>
      <c r="H689" s="57">
        <v>4000</v>
      </c>
      <c r="I689" s="227">
        <v>-400</v>
      </c>
      <c r="J689" s="57">
        <f t="shared" si="79"/>
        <v>3600</v>
      </c>
      <c r="K689" s="50">
        <v>1</v>
      </c>
      <c r="L689" s="57">
        <f t="shared" si="80"/>
        <v>3600</v>
      </c>
      <c r="M689" s="228">
        <f t="shared" si="81"/>
        <v>3960</v>
      </c>
      <c r="N689" s="18" t="s">
        <v>4088</v>
      </c>
      <c r="O689" s="50"/>
    </row>
    <row r="690" spans="1:16" ht="21.75" customHeight="1" x14ac:dyDescent="0.4">
      <c r="A690" s="62">
        <v>45606</v>
      </c>
      <c r="B690" s="32" t="s">
        <v>4089</v>
      </c>
      <c r="C690" s="32"/>
      <c r="D690" s="18" t="s">
        <v>22</v>
      </c>
      <c r="E690" s="63" t="s">
        <v>1496</v>
      </c>
      <c r="F690" s="63"/>
      <c r="G690" s="50" t="s">
        <v>2422</v>
      </c>
      <c r="H690" s="57">
        <v>2000</v>
      </c>
      <c r="I690" s="227"/>
      <c r="J690" s="57">
        <f t="shared" si="79"/>
        <v>2000</v>
      </c>
      <c r="K690" s="50">
        <v>1</v>
      </c>
      <c r="L690" s="57">
        <f t="shared" si="80"/>
        <v>2000</v>
      </c>
      <c r="M690" s="228">
        <f t="shared" si="81"/>
        <v>2200</v>
      </c>
      <c r="N690" s="18" t="s">
        <v>4090</v>
      </c>
      <c r="O690" s="50"/>
    </row>
    <row r="691" spans="1:16" ht="21.75" customHeight="1" x14ac:dyDescent="0.4">
      <c r="A691" s="62">
        <v>45607</v>
      </c>
      <c r="B691" s="32" t="s">
        <v>1455</v>
      </c>
      <c r="C691" s="32"/>
      <c r="D691" s="18" t="s">
        <v>4091</v>
      </c>
      <c r="E691" s="63" t="s">
        <v>292</v>
      </c>
      <c r="F691" s="63" t="s">
        <v>1051</v>
      </c>
      <c r="G691" s="50" t="s">
        <v>4092</v>
      </c>
      <c r="H691" s="57">
        <v>3200</v>
      </c>
      <c r="I691" s="227">
        <v>-800</v>
      </c>
      <c r="J691" s="57">
        <f t="shared" si="79"/>
        <v>2400</v>
      </c>
      <c r="K691" s="50">
        <v>1</v>
      </c>
      <c r="L691" s="57">
        <f t="shared" si="80"/>
        <v>2400</v>
      </c>
      <c r="M691" s="228">
        <f t="shared" si="81"/>
        <v>2640</v>
      </c>
      <c r="N691" s="18" t="s">
        <v>25</v>
      </c>
      <c r="O691" s="50"/>
    </row>
    <row r="692" spans="1:16" ht="21.75" customHeight="1" x14ac:dyDescent="0.4">
      <c r="A692" s="62">
        <v>45607</v>
      </c>
      <c r="B692" s="32" t="s">
        <v>4093</v>
      </c>
      <c r="C692" s="32"/>
      <c r="D692" s="18" t="s">
        <v>22</v>
      </c>
      <c r="E692" s="63" t="s">
        <v>23</v>
      </c>
      <c r="F692" s="63"/>
      <c r="G692" s="50" t="s">
        <v>4094</v>
      </c>
      <c r="H692" s="57">
        <v>15000</v>
      </c>
      <c r="I692" s="227"/>
      <c r="J692" s="57">
        <f t="shared" si="79"/>
        <v>15000</v>
      </c>
      <c r="K692" s="50">
        <v>1</v>
      </c>
      <c r="L692" s="57">
        <f t="shared" si="80"/>
        <v>15000</v>
      </c>
      <c r="M692" s="228">
        <f t="shared" si="81"/>
        <v>16500</v>
      </c>
      <c r="N692" s="18" t="s">
        <v>25</v>
      </c>
      <c r="O692" s="50" t="s">
        <v>1954</v>
      </c>
    </row>
    <row r="693" spans="1:16" ht="21.75" customHeight="1" x14ac:dyDescent="0.4">
      <c r="A693" s="62">
        <v>45619</v>
      </c>
      <c r="B693" s="32" t="s">
        <v>4166</v>
      </c>
      <c r="C693" s="32"/>
      <c r="D693" s="18" t="s">
        <v>4168</v>
      </c>
      <c r="E693" s="63" t="s">
        <v>328</v>
      </c>
      <c r="F693" s="63" t="s">
        <v>4170</v>
      </c>
      <c r="G693" s="50" t="s">
        <v>4171</v>
      </c>
      <c r="H693" s="57">
        <v>48000</v>
      </c>
      <c r="I693" s="227">
        <v>-14400</v>
      </c>
      <c r="J693" s="57">
        <f t="shared" si="79"/>
        <v>33600</v>
      </c>
      <c r="K693" s="50">
        <v>2</v>
      </c>
      <c r="L693" s="57">
        <f t="shared" si="80"/>
        <v>67200</v>
      </c>
      <c r="M693" s="228">
        <f t="shared" si="81"/>
        <v>73920</v>
      </c>
      <c r="N693" s="18" t="s">
        <v>34</v>
      </c>
      <c r="O693" s="50"/>
      <c r="P693" s="52" t="s">
        <v>4137</v>
      </c>
    </row>
    <row r="694" spans="1:16" ht="21.75" customHeight="1" x14ac:dyDescent="0.4">
      <c r="A694" s="62">
        <v>45607</v>
      </c>
      <c r="B694" s="32" t="s">
        <v>4093</v>
      </c>
      <c r="C694" s="32"/>
      <c r="D694" s="18" t="s">
        <v>4091</v>
      </c>
      <c r="E694" s="63" t="s">
        <v>4096</v>
      </c>
      <c r="F694" s="63" t="s">
        <v>4097</v>
      </c>
      <c r="G694" s="50" t="s">
        <v>4098</v>
      </c>
      <c r="H694" s="57">
        <v>90000</v>
      </c>
      <c r="I694" s="227">
        <v>-9000</v>
      </c>
      <c r="J694" s="57">
        <f t="shared" si="79"/>
        <v>81000</v>
      </c>
      <c r="K694" s="50">
        <v>1</v>
      </c>
      <c r="L694" s="57">
        <f t="shared" si="80"/>
        <v>81000</v>
      </c>
      <c r="M694" s="228">
        <f t="shared" si="81"/>
        <v>89100</v>
      </c>
      <c r="N694" s="18" t="s">
        <v>34</v>
      </c>
      <c r="O694" s="50"/>
      <c r="P694" s="52" t="s">
        <v>4137</v>
      </c>
    </row>
    <row r="695" spans="1:16" ht="21.75" customHeight="1" x14ac:dyDescent="0.4">
      <c r="A695" s="62">
        <v>45607</v>
      </c>
      <c r="B695" s="32" t="s">
        <v>4093</v>
      </c>
      <c r="C695" s="32"/>
      <c r="D695" s="18" t="s">
        <v>4091</v>
      </c>
      <c r="E695" s="63" t="s">
        <v>332</v>
      </c>
      <c r="F695" s="63" t="s">
        <v>3554</v>
      </c>
      <c r="G695" s="50" t="s">
        <v>4099</v>
      </c>
      <c r="H695" s="57">
        <v>1200</v>
      </c>
      <c r="I695" s="227"/>
      <c r="J695" s="57">
        <f t="shared" si="79"/>
        <v>1200</v>
      </c>
      <c r="K695" s="50">
        <v>1</v>
      </c>
      <c r="L695" s="57">
        <f t="shared" si="80"/>
        <v>1200</v>
      </c>
      <c r="M695" s="228">
        <f t="shared" si="81"/>
        <v>1320</v>
      </c>
      <c r="N695" s="18" t="s">
        <v>34</v>
      </c>
      <c r="O695" s="50" t="s">
        <v>4125</v>
      </c>
      <c r="P695" s="52" t="s">
        <v>4137</v>
      </c>
    </row>
    <row r="696" spans="1:16" ht="21.75" customHeight="1" x14ac:dyDescent="0.4">
      <c r="A696" s="62">
        <v>45609</v>
      </c>
      <c r="B696" s="32" t="s">
        <v>4024</v>
      </c>
      <c r="C696" s="32"/>
      <c r="D696" s="18" t="s">
        <v>27</v>
      </c>
      <c r="E696" s="63" t="s">
        <v>103</v>
      </c>
      <c r="F696" s="63"/>
      <c r="G696" s="50" t="s">
        <v>104</v>
      </c>
      <c r="H696" s="57">
        <v>2500</v>
      </c>
      <c r="I696" s="227"/>
      <c r="J696" s="57">
        <f t="shared" si="79"/>
        <v>2500</v>
      </c>
      <c r="K696" s="50">
        <v>1</v>
      </c>
      <c r="L696" s="57">
        <f t="shared" si="80"/>
        <v>2500</v>
      </c>
      <c r="M696" s="228">
        <f t="shared" si="81"/>
        <v>2750</v>
      </c>
      <c r="N696" s="18" t="s">
        <v>4101</v>
      </c>
      <c r="O696" s="50"/>
    </row>
    <row r="697" spans="1:16" ht="21.75" customHeight="1" x14ac:dyDescent="0.4">
      <c r="A697" s="62">
        <v>45609</v>
      </c>
      <c r="B697" s="32" t="s">
        <v>3411</v>
      </c>
      <c r="C697" s="32"/>
      <c r="D697" s="18" t="s">
        <v>2457</v>
      </c>
      <c r="E697" s="63" t="s">
        <v>1615</v>
      </c>
      <c r="F697" s="63"/>
      <c r="G697" s="50" t="s">
        <v>4102</v>
      </c>
      <c r="H697" s="57">
        <v>15000</v>
      </c>
      <c r="I697" s="227"/>
      <c r="J697" s="57">
        <f t="shared" ref="J697:J715" si="82">SUM(H697:I697)</f>
        <v>15000</v>
      </c>
      <c r="K697" s="50">
        <v>1</v>
      </c>
      <c r="L697" s="57">
        <f t="shared" ref="L697:L715" si="83">SUM(J697*K697)</f>
        <v>15000</v>
      </c>
      <c r="M697" s="228">
        <f t="shared" ref="M697:M715" si="84">ROUNDDOWN(L697*1.1,0)</f>
        <v>16500</v>
      </c>
      <c r="N697" s="18" t="s">
        <v>25</v>
      </c>
      <c r="O697" s="50"/>
    </row>
    <row r="698" spans="1:16" ht="21.75" customHeight="1" x14ac:dyDescent="0.4">
      <c r="A698" s="62">
        <v>45609</v>
      </c>
      <c r="B698" s="32" t="s">
        <v>2486</v>
      </c>
      <c r="C698" s="32"/>
      <c r="D698" s="18" t="s">
        <v>22</v>
      </c>
      <c r="E698" s="63" t="s">
        <v>23</v>
      </c>
      <c r="F698" s="63"/>
      <c r="G698" s="50" t="s">
        <v>4103</v>
      </c>
      <c r="H698" s="57">
        <v>15000</v>
      </c>
      <c r="I698" s="227"/>
      <c r="J698" s="57">
        <f t="shared" si="82"/>
        <v>15000</v>
      </c>
      <c r="K698" s="50">
        <v>1</v>
      </c>
      <c r="L698" s="57">
        <f t="shared" si="83"/>
        <v>15000</v>
      </c>
      <c r="M698" s="228">
        <f t="shared" si="84"/>
        <v>16500</v>
      </c>
      <c r="N698" s="18" t="s">
        <v>34</v>
      </c>
      <c r="O698" s="50"/>
    </row>
    <row r="699" spans="1:16" ht="21.75" customHeight="1" x14ac:dyDescent="0.4">
      <c r="A699" s="62">
        <v>45624</v>
      </c>
      <c r="B699" s="32" t="s">
        <v>4191</v>
      </c>
      <c r="C699" s="32"/>
      <c r="D699" s="18" t="s">
        <v>4189</v>
      </c>
      <c r="E699" s="63" t="s">
        <v>328</v>
      </c>
      <c r="F699" s="63" t="s">
        <v>4193</v>
      </c>
      <c r="G699" s="50" t="s">
        <v>4194</v>
      </c>
      <c r="H699" s="57">
        <v>60000</v>
      </c>
      <c r="I699" s="227">
        <v>-12000</v>
      </c>
      <c r="J699" s="57">
        <f t="shared" si="82"/>
        <v>48000</v>
      </c>
      <c r="K699" s="50">
        <v>1</v>
      </c>
      <c r="L699" s="57">
        <f t="shared" si="83"/>
        <v>48000</v>
      </c>
      <c r="M699" s="228">
        <f t="shared" si="84"/>
        <v>52800</v>
      </c>
      <c r="N699" s="18" t="s">
        <v>34</v>
      </c>
      <c r="O699" s="50"/>
      <c r="P699" s="52" t="s">
        <v>4138</v>
      </c>
    </row>
    <row r="700" spans="1:16" ht="21.75" customHeight="1" x14ac:dyDescent="0.4">
      <c r="A700" s="62">
        <v>45619</v>
      </c>
      <c r="B700" s="32" t="s">
        <v>4150</v>
      </c>
      <c r="C700" s="32"/>
      <c r="D700" s="18" t="s">
        <v>4139</v>
      </c>
      <c r="E700" s="63" t="s">
        <v>328</v>
      </c>
      <c r="F700" s="63" t="s">
        <v>4152</v>
      </c>
      <c r="G700" s="50" t="s">
        <v>4153</v>
      </c>
      <c r="H700" s="57">
        <v>63000</v>
      </c>
      <c r="I700" s="227">
        <v>-12600</v>
      </c>
      <c r="J700" s="57">
        <f t="shared" si="82"/>
        <v>50400</v>
      </c>
      <c r="K700" s="50">
        <v>1</v>
      </c>
      <c r="L700" s="57">
        <f t="shared" si="83"/>
        <v>50400</v>
      </c>
      <c r="M700" s="228">
        <f t="shared" si="84"/>
        <v>55440</v>
      </c>
      <c r="N700" s="18" t="s">
        <v>34</v>
      </c>
      <c r="O700" s="50"/>
      <c r="P700" s="52" t="s">
        <v>4138</v>
      </c>
    </row>
    <row r="701" spans="1:16" ht="21.75" customHeight="1" x14ac:dyDescent="0.4">
      <c r="A701" s="62">
        <v>45609</v>
      </c>
      <c r="B701" s="32" t="s">
        <v>2486</v>
      </c>
      <c r="C701" s="32"/>
      <c r="D701" s="18" t="s">
        <v>4104</v>
      </c>
      <c r="E701" s="63" t="s">
        <v>4110</v>
      </c>
      <c r="F701" s="63" t="s">
        <v>4111</v>
      </c>
      <c r="G701" s="50" t="s">
        <v>4112</v>
      </c>
      <c r="H701" s="57">
        <v>80000</v>
      </c>
      <c r="I701" s="227"/>
      <c r="J701" s="57">
        <f t="shared" si="82"/>
        <v>80000</v>
      </c>
      <c r="K701" s="50">
        <v>1</v>
      </c>
      <c r="L701" s="57">
        <f t="shared" si="83"/>
        <v>80000</v>
      </c>
      <c r="M701" s="228">
        <f t="shared" si="84"/>
        <v>88000</v>
      </c>
      <c r="N701" s="18" t="s">
        <v>34</v>
      </c>
      <c r="O701" s="50"/>
      <c r="P701" s="52" t="s">
        <v>4138</v>
      </c>
    </row>
    <row r="702" spans="1:16" ht="21.75" customHeight="1" x14ac:dyDescent="0.4">
      <c r="A702" s="62">
        <v>45609</v>
      </c>
      <c r="B702" s="32" t="s">
        <v>2486</v>
      </c>
      <c r="C702" s="32"/>
      <c r="D702" s="18" t="s">
        <v>17</v>
      </c>
      <c r="E702" s="63" t="s">
        <v>332</v>
      </c>
      <c r="F702" s="63" t="s">
        <v>4108</v>
      </c>
      <c r="G702" s="50" t="s">
        <v>4109</v>
      </c>
      <c r="H702" s="57">
        <v>1700</v>
      </c>
      <c r="I702" s="227"/>
      <c r="J702" s="57">
        <f t="shared" si="82"/>
        <v>1700</v>
      </c>
      <c r="K702" s="50">
        <v>2</v>
      </c>
      <c r="L702" s="57">
        <f t="shared" si="83"/>
        <v>3400</v>
      </c>
      <c r="M702" s="228">
        <f t="shared" si="84"/>
        <v>3740</v>
      </c>
      <c r="N702" s="18" t="s">
        <v>34</v>
      </c>
      <c r="O702" s="50"/>
      <c r="P702" s="52" t="s">
        <v>4138</v>
      </c>
    </row>
    <row r="703" spans="1:16" ht="21.75" customHeight="1" x14ac:dyDescent="0.4">
      <c r="A703" s="62">
        <v>45609</v>
      </c>
      <c r="B703" s="32" t="s">
        <v>2486</v>
      </c>
      <c r="C703" s="32"/>
      <c r="D703" s="96" t="s">
        <v>198</v>
      </c>
      <c r="E703" s="63"/>
      <c r="F703" s="63"/>
      <c r="G703" s="50" t="s">
        <v>2491</v>
      </c>
      <c r="H703" s="57">
        <v>-15000</v>
      </c>
      <c r="I703" s="227"/>
      <c r="J703" s="57">
        <f t="shared" si="82"/>
        <v>-15000</v>
      </c>
      <c r="K703" s="50">
        <v>1</v>
      </c>
      <c r="L703" s="57">
        <f t="shared" si="83"/>
        <v>-15000</v>
      </c>
      <c r="M703" s="228">
        <f t="shared" si="84"/>
        <v>-16500</v>
      </c>
      <c r="N703" s="18" t="s">
        <v>34</v>
      </c>
      <c r="O703" s="50" t="s">
        <v>4123</v>
      </c>
    </row>
    <row r="704" spans="1:16" ht="21.75" customHeight="1" x14ac:dyDescent="0.4">
      <c r="A704" s="62">
        <v>45609</v>
      </c>
      <c r="B704" s="32" t="s">
        <v>139</v>
      </c>
      <c r="C704" s="32"/>
      <c r="D704" s="18" t="s">
        <v>2457</v>
      </c>
      <c r="E704" s="63" t="s">
        <v>1615</v>
      </c>
      <c r="F704" s="63"/>
      <c r="G704" s="50" t="s">
        <v>4102</v>
      </c>
      <c r="H704" s="57">
        <v>15000</v>
      </c>
      <c r="I704" s="227"/>
      <c r="J704" s="57">
        <f t="shared" si="82"/>
        <v>15000</v>
      </c>
      <c r="K704" s="50">
        <v>1</v>
      </c>
      <c r="L704" s="57">
        <f t="shared" si="83"/>
        <v>15000</v>
      </c>
      <c r="M704" s="228">
        <f t="shared" si="84"/>
        <v>16500</v>
      </c>
      <c r="N704" s="18" t="s">
        <v>25</v>
      </c>
      <c r="O704" s="50"/>
    </row>
    <row r="705" spans="1:16" ht="21.75" customHeight="1" x14ac:dyDescent="0.4">
      <c r="A705" s="62">
        <v>45609</v>
      </c>
      <c r="B705" s="32" t="s">
        <v>3117</v>
      </c>
      <c r="C705" s="32"/>
      <c r="D705" s="18" t="s">
        <v>17</v>
      </c>
      <c r="E705" s="63" t="s">
        <v>332</v>
      </c>
      <c r="F705" s="63" t="s">
        <v>4108</v>
      </c>
      <c r="G705" s="50" t="s">
        <v>4113</v>
      </c>
      <c r="H705" s="57">
        <v>17550</v>
      </c>
      <c r="I705" s="227"/>
      <c r="J705" s="57">
        <f t="shared" si="82"/>
        <v>17550</v>
      </c>
      <c r="K705" s="50">
        <v>1</v>
      </c>
      <c r="L705" s="57">
        <f t="shared" si="83"/>
        <v>17550</v>
      </c>
      <c r="M705" s="228">
        <f t="shared" si="84"/>
        <v>19305</v>
      </c>
      <c r="N705" s="18" t="s">
        <v>4101</v>
      </c>
      <c r="O705" s="50"/>
    </row>
    <row r="706" spans="1:16" ht="21.75" customHeight="1" x14ac:dyDescent="0.4">
      <c r="A706" s="62">
        <v>45611</v>
      </c>
      <c r="B706" s="32" t="s">
        <v>678</v>
      </c>
      <c r="C706" s="32"/>
      <c r="D706" s="18" t="s">
        <v>4104</v>
      </c>
      <c r="E706" s="63" t="s">
        <v>4110</v>
      </c>
      <c r="F706" s="63" t="s">
        <v>4111</v>
      </c>
      <c r="G706" s="50" t="s">
        <v>4114</v>
      </c>
      <c r="H706" s="57">
        <v>80000</v>
      </c>
      <c r="I706" s="227">
        <v>-8000</v>
      </c>
      <c r="J706" s="57">
        <f t="shared" si="82"/>
        <v>72000</v>
      </c>
      <c r="K706" s="50">
        <v>1</v>
      </c>
      <c r="L706" s="57">
        <f t="shared" si="83"/>
        <v>72000</v>
      </c>
      <c r="M706" s="228">
        <f t="shared" si="84"/>
        <v>79200</v>
      </c>
      <c r="N706" s="18" t="s">
        <v>4101</v>
      </c>
      <c r="O706" s="50"/>
      <c r="P706" s="52" t="s">
        <v>4138</v>
      </c>
    </row>
    <row r="707" spans="1:16" ht="21.75" customHeight="1" x14ac:dyDescent="0.4">
      <c r="A707" s="62">
        <v>45611</v>
      </c>
      <c r="B707" s="32" t="s">
        <v>582</v>
      </c>
      <c r="C707" s="32"/>
      <c r="D707" s="18" t="s">
        <v>4104</v>
      </c>
      <c r="E707" s="63" t="s">
        <v>4110</v>
      </c>
      <c r="F707" s="63" t="s">
        <v>4111</v>
      </c>
      <c r="G707" s="50" t="s">
        <v>4114</v>
      </c>
      <c r="H707" s="57">
        <v>80000</v>
      </c>
      <c r="I707" s="227">
        <v>-8000</v>
      </c>
      <c r="J707" s="57">
        <f t="shared" si="82"/>
        <v>72000</v>
      </c>
      <c r="K707" s="50">
        <v>1</v>
      </c>
      <c r="L707" s="57">
        <f t="shared" si="83"/>
        <v>72000</v>
      </c>
      <c r="M707" s="228">
        <f t="shared" si="84"/>
        <v>79200</v>
      </c>
      <c r="N707" s="18" t="s">
        <v>4101</v>
      </c>
      <c r="O707" s="50"/>
      <c r="P707" s="52" t="s">
        <v>4138</v>
      </c>
    </row>
    <row r="708" spans="1:16" ht="21.75" customHeight="1" x14ac:dyDescent="0.4">
      <c r="A708" s="62">
        <v>45611</v>
      </c>
      <c r="B708" s="32" t="s">
        <v>4115</v>
      </c>
      <c r="C708" s="32"/>
      <c r="D708" s="18" t="s">
        <v>4104</v>
      </c>
      <c r="E708" s="63" t="s">
        <v>332</v>
      </c>
      <c r="F708" s="63" t="s">
        <v>4108</v>
      </c>
      <c r="G708" s="50" t="s">
        <v>4116</v>
      </c>
      <c r="H708" s="57">
        <v>1700</v>
      </c>
      <c r="I708" s="227">
        <v>-170</v>
      </c>
      <c r="J708" s="57">
        <f t="shared" si="82"/>
        <v>1530</v>
      </c>
      <c r="K708" s="50">
        <v>1</v>
      </c>
      <c r="L708" s="57">
        <f t="shared" si="83"/>
        <v>1530</v>
      </c>
      <c r="M708" s="228">
        <f t="shared" si="84"/>
        <v>1683</v>
      </c>
      <c r="N708" s="18" t="s">
        <v>4101</v>
      </c>
      <c r="O708" s="50"/>
    </row>
    <row r="709" spans="1:16" ht="21.75" customHeight="1" x14ac:dyDescent="0.4">
      <c r="A709" s="62">
        <v>45612</v>
      </c>
      <c r="B709" s="32" t="s">
        <v>4117</v>
      </c>
      <c r="C709" s="32"/>
      <c r="D709" s="18" t="s">
        <v>22</v>
      </c>
      <c r="E709" s="63" t="s">
        <v>1496</v>
      </c>
      <c r="F709" s="63"/>
      <c r="G709" s="50" t="s">
        <v>3470</v>
      </c>
      <c r="H709" s="57">
        <v>2000</v>
      </c>
      <c r="I709" s="227"/>
      <c r="J709" s="57">
        <f t="shared" si="82"/>
        <v>2000</v>
      </c>
      <c r="K709" s="50">
        <v>1</v>
      </c>
      <c r="L709" s="57">
        <f t="shared" si="83"/>
        <v>2000</v>
      </c>
      <c r="M709" s="228">
        <f t="shared" si="84"/>
        <v>2200</v>
      </c>
      <c r="N709" s="18" t="s">
        <v>4101</v>
      </c>
      <c r="O709" s="50"/>
    </row>
    <row r="710" spans="1:16" ht="21.75" customHeight="1" x14ac:dyDescent="0.4">
      <c r="A710" s="62">
        <v>45612</v>
      </c>
      <c r="B710" s="32" t="s">
        <v>4118</v>
      </c>
      <c r="C710" s="32"/>
      <c r="D710" s="18" t="s">
        <v>22</v>
      </c>
      <c r="E710" s="63" t="s">
        <v>23</v>
      </c>
      <c r="F710" s="63"/>
      <c r="G710" s="50" t="s">
        <v>220</v>
      </c>
      <c r="H710" s="57">
        <v>10000</v>
      </c>
      <c r="I710" s="227"/>
      <c r="J710" s="57">
        <f t="shared" si="82"/>
        <v>10000</v>
      </c>
      <c r="K710" s="50">
        <v>1</v>
      </c>
      <c r="L710" s="57">
        <f t="shared" si="83"/>
        <v>10000</v>
      </c>
      <c r="M710" s="228">
        <f t="shared" si="84"/>
        <v>11000</v>
      </c>
      <c r="N710" s="18" t="s">
        <v>34</v>
      </c>
      <c r="O710" s="50"/>
    </row>
    <row r="711" spans="1:16" ht="21.75" customHeight="1" x14ac:dyDescent="0.4">
      <c r="A711" s="62">
        <v>45602</v>
      </c>
      <c r="B711" s="32" t="s">
        <v>4073</v>
      </c>
      <c r="C711" s="32"/>
      <c r="D711" s="18" t="s">
        <v>17</v>
      </c>
      <c r="E711" s="63" t="s">
        <v>328</v>
      </c>
      <c r="F711" s="63" t="s">
        <v>3960</v>
      </c>
      <c r="G711" s="50" t="s">
        <v>4078</v>
      </c>
      <c r="H711" s="57">
        <v>42000</v>
      </c>
      <c r="I711" s="227">
        <v>-12600</v>
      </c>
      <c r="J711" s="57">
        <f t="shared" si="82"/>
        <v>29400</v>
      </c>
      <c r="K711" s="50">
        <v>1</v>
      </c>
      <c r="L711" s="57">
        <f t="shared" si="83"/>
        <v>29400</v>
      </c>
      <c r="M711" s="228">
        <f t="shared" si="84"/>
        <v>32340</v>
      </c>
      <c r="N711" s="18" t="s">
        <v>34</v>
      </c>
      <c r="O711" s="50"/>
      <c r="P711" s="52" t="s">
        <v>4138</v>
      </c>
    </row>
    <row r="712" spans="1:16" ht="21.75" customHeight="1" x14ac:dyDescent="0.4">
      <c r="A712" s="62">
        <v>45612</v>
      </c>
      <c r="B712" s="32" t="s">
        <v>4118</v>
      </c>
      <c r="C712" s="32"/>
      <c r="D712" s="18" t="s">
        <v>4104</v>
      </c>
      <c r="E712" s="63" t="s">
        <v>4110</v>
      </c>
      <c r="F712" s="63" t="s">
        <v>4111</v>
      </c>
      <c r="G712" s="50" t="s">
        <v>4112</v>
      </c>
      <c r="H712" s="57">
        <v>80000</v>
      </c>
      <c r="I712" s="227">
        <v>-16000</v>
      </c>
      <c r="J712" s="57">
        <f t="shared" si="82"/>
        <v>64000</v>
      </c>
      <c r="K712" s="50">
        <v>1</v>
      </c>
      <c r="L712" s="57">
        <f t="shared" si="83"/>
        <v>64000</v>
      </c>
      <c r="M712" s="228">
        <f t="shared" si="84"/>
        <v>70400</v>
      </c>
      <c r="N712" s="18" t="s">
        <v>34</v>
      </c>
      <c r="O712" s="50"/>
      <c r="P712" s="52" t="s">
        <v>4138</v>
      </c>
    </row>
    <row r="713" spans="1:16" ht="21.75" customHeight="1" x14ac:dyDescent="0.4">
      <c r="A713" s="62">
        <v>45612</v>
      </c>
      <c r="B713" s="32" t="s">
        <v>4118</v>
      </c>
      <c r="C713" s="32"/>
      <c r="D713" s="18" t="s">
        <v>4104</v>
      </c>
      <c r="E713" s="63" t="s">
        <v>332</v>
      </c>
      <c r="F713" s="63" t="s">
        <v>4108</v>
      </c>
      <c r="G713" s="50" t="s">
        <v>85</v>
      </c>
      <c r="H713" s="57">
        <v>1200</v>
      </c>
      <c r="I713" s="227">
        <v>-120</v>
      </c>
      <c r="J713" s="57">
        <f t="shared" si="82"/>
        <v>1080</v>
      </c>
      <c r="K713" s="50">
        <v>1</v>
      </c>
      <c r="L713" s="57">
        <f t="shared" si="83"/>
        <v>1080</v>
      </c>
      <c r="M713" s="228">
        <f t="shared" si="84"/>
        <v>1188</v>
      </c>
      <c r="N713" s="18" t="s">
        <v>34</v>
      </c>
      <c r="O713" s="50"/>
      <c r="P713" s="52" t="s">
        <v>4138</v>
      </c>
    </row>
    <row r="714" spans="1:16" ht="21.75" customHeight="1" x14ac:dyDescent="0.4">
      <c r="A714" s="62">
        <v>45612</v>
      </c>
      <c r="B714" s="32" t="s">
        <v>4118</v>
      </c>
      <c r="C714" s="32"/>
      <c r="D714" s="96" t="s">
        <v>198</v>
      </c>
      <c r="E714" s="63"/>
      <c r="F714" s="63"/>
      <c r="G714" s="50" t="s">
        <v>2491</v>
      </c>
      <c r="H714" s="57">
        <v>-10000</v>
      </c>
      <c r="I714" s="227"/>
      <c r="J714" s="57">
        <f t="shared" si="82"/>
        <v>-10000</v>
      </c>
      <c r="K714" s="50">
        <v>1</v>
      </c>
      <c r="L714" s="57">
        <f t="shared" si="83"/>
        <v>-10000</v>
      </c>
      <c r="M714" s="228">
        <f t="shared" si="84"/>
        <v>-11000</v>
      </c>
      <c r="N714" s="18" t="s">
        <v>34</v>
      </c>
      <c r="O714" s="50" t="s">
        <v>4124</v>
      </c>
    </row>
    <row r="715" spans="1:16" ht="21.75" customHeight="1" x14ac:dyDescent="0.4">
      <c r="A715" s="62">
        <v>45612</v>
      </c>
      <c r="B715" s="32" t="s">
        <v>4120</v>
      </c>
      <c r="C715" s="32"/>
      <c r="D715" s="18" t="s">
        <v>4104</v>
      </c>
      <c r="E715" s="63" t="s">
        <v>332</v>
      </c>
      <c r="F715" s="63" t="s">
        <v>4111</v>
      </c>
      <c r="G715" s="50" t="s">
        <v>4112</v>
      </c>
      <c r="H715" s="57">
        <v>80000</v>
      </c>
      <c r="I715" s="227">
        <v>-16000</v>
      </c>
      <c r="J715" s="57">
        <f t="shared" si="82"/>
        <v>64000</v>
      </c>
      <c r="K715" s="50">
        <v>1</v>
      </c>
      <c r="L715" s="57">
        <f t="shared" si="83"/>
        <v>64000</v>
      </c>
      <c r="M715" s="228">
        <f t="shared" si="84"/>
        <v>70400</v>
      </c>
      <c r="N715" s="18" t="s">
        <v>34</v>
      </c>
      <c r="O715" s="50"/>
      <c r="P715" s="52" t="s">
        <v>4138</v>
      </c>
    </row>
    <row r="716" spans="1:16" ht="21.75" customHeight="1" x14ac:dyDescent="0.4">
      <c r="A716" s="62">
        <v>45613</v>
      </c>
      <c r="B716" s="32" t="s">
        <v>4093</v>
      </c>
      <c r="C716" s="32"/>
      <c r="D716" s="96" t="s">
        <v>198</v>
      </c>
      <c r="E716" s="63" t="s">
        <v>455</v>
      </c>
      <c r="F716" s="63" t="s">
        <v>3551</v>
      </c>
      <c r="G716" s="50" t="s">
        <v>4099</v>
      </c>
      <c r="H716" s="57">
        <v>-1200</v>
      </c>
      <c r="I716" s="227"/>
      <c r="J716" s="57">
        <v>-1200</v>
      </c>
      <c r="K716" s="50">
        <v>1</v>
      </c>
      <c r="L716" s="57">
        <v>-1200</v>
      </c>
      <c r="M716" s="232">
        <v>-1320</v>
      </c>
      <c r="N716" s="18" t="s">
        <v>4235</v>
      </c>
      <c r="O716" s="130" t="s">
        <v>4234</v>
      </c>
    </row>
    <row r="717" spans="1:16" ht="21.75" customHeight="1" x14ac:dyDescent="0.4">
      <c r="A717" s="62">
        <v>45613</v>
      </c>
      <c r="B717" s="32" t="s">
        <v>4127</v>
      </c>
      <c r="C717" s="32"/>
      <c r="D717" s="18" t="s">
        <v>4128</v>
      </c>
      <c r="E717" s="63" t="s">
        <v>4129</v>
      </c>
      <c r="F717" s="63"/>
      <c r="G717" s="50" t="s">
        <v>4130</v>
      </c>
      <c r="H717" s="57">
        <v>3000</v>
      </c>
      <c r="I717" s="227">
        <v>-300</v>
      </c>
      <c r="J717" s="57">
        <f t="shared" ref="J717:J748" si="85">SUM(H717:I717)</f>
        <v>2700</v>
      </c>
      <c r="K717" s="50">
        <v>1</v>
      </c>
      <c r="L717" s="57">
        <f t="shared" ref="L717:L748" si="86">SUM(J717*K717)</f>
        <v>2700</v>
      </c>
      <c r="M717" s="228">
        <f t="shared" ref="M717:M748" si="87">ROUNDDOWN(L717*1.1,0)</f>
        <v>2970</v>
      </c>
      <c r="N717" s="18" t="s">
        <v>4131</v>
      </c>
      <c r="O717" s="50"/>
      <c r="P717" s="52" t="s">
        <v>2141</v>
      </c>
    </row>
    <row r="718" spans="1:16" ht="21.75" customHeight="1" x14ac:dyDescent="0.4">
      <c r="A718" s="62">
        <v>45613</v>
      </c>
      <c r="B718" s="32" t="s">
        <v>139</v>
      </c>
      <c r="C718" s="32"/>
      <c r="D718" s="18" t="s">
        <v>4132</v>
      </c>
      <c r="E718" s="63" t="s">
        <v>4133</v>
      </c>
      <c r="F718" s="63" t="s">
        <v>4134</v>
      </c>
      <c r="G718" s="50" t="s">
        <v>4008</v>
      </c>
      <c r="H718" s="57">
        <v>80000</v>
      </c>
      <c r="I718" s="227">
        <v>-8000</v>
      </c>
      <c r="J718" s="57">
        <f t="shared" si="85"/>
        <v>72000</v>
      </c>
      <c r="K718" s="50">
        <v>1</v>
      </c>
      <c r="L718" s="57">
        <f t="shared" si="86"/>
        <v>72000</v>
      </c>
      <c r="M718" s="228">
        <f t="shared" si="87"/>
        <v>79200</v>
      </c>
      <c r="N718" s="18" t="s">
        <v>34</v>
      </c>
      <c r="O718" s="50"/>
      <c r="P718" s="52" t="s">
        <v>4138</v>
      </c>
    </row>
    <row r="719" spans="1:16" ht="21.75" customHeight="1" x14ac:dyDescent="0.4">
      <c r="A719" s="62">
        <v>45613</v>
      </c>
      <c r="B719" s="32" t="s">
        <v>139</v>
      </c>
      <c r="C719" s="32"/>
      <c r="D719" s="18" t="s">
        <v>4132</v>
      </c>
      <c r="E719" s="63" t="s">
        <v>332</v>
      </c>
      <c r="F719" s="63" t="s">
        <v>4135</v>
      </c>
      <c r="G719" s="50" t="s">
        <v>4136</v>
      </c>
      <c r="H719" s="57">
        <v>1900</v>
      </c>
      <c r="I719" s="227">
        <v>-190</v>
      </c>
      <c r="J719" s="57">
        <f t="shared" si="85"/>
        <v>1710</v>
      </c>
      <c r="K719" s="50">
        <v>1</v>
      </c>
      <c r="L719" s="57">
        <f t="shared" si="86"/>
        <v>1710</v>
      </c>
      <c r="M719" s="228">
        <f t="shared" si="87"/>
        <v>1881</v>
      </c>
      <c r="N719" s="18" t="s">
        <v>34</v>
      </c>
      <c r="O719" s="50"/>
      <c r="P719" s="52" t="s">
        <v>4138</v>
      </c>
    </row>
    <row r="720" spans="1:16" ht="21.75" customHeight="1" x14ac:dyDescent="0.4">
      <c r="A720" s="62">
        <v>45614</v>
      </c>
      <c r="B720" s="222" t="s">
        <v>4231</v>
      </c>
      <c r="C720" s="222"/>
      <c r="D720" s="18" t="s">
        <v>22</v>
      </c>
      <c r="E720" s="63" t="s">
        <v>1496</v>
      </c>
      <c r="F720" s="63"/>
      <c r="G720" s="50" t="s">
        <v>49</v>
      </c>
      <c r="H720" s="57">
        <v>3000</v>
      </c>
      <c r="I720" s="227"/>
      <c r="J720" s="57">
        <f t="shared" si="85"/>
        <v>3000</v>
      </c>
      <c r="K720" s="50">
        <v>1</v>
      </c>
      <c r="L720" s="57">
        <f t="shared" si="86"/>
        <v>3000</v>
      </c>
      <c r="M720" s="232">
        <f t="shared" si="87"/>
        <v>3300</v>
      </c>
      <c r="N720" s="18" t="s">
        <v>4233</v>
      </c>
      <c r="O720" s="130" t="s">
        <v>4234</v>
      </c>
    </row>
    <row r="721" spans="1:16" ht="21.75" customHeight="1" x14ac:dyDescent="0.4">
      <c r="A721" s="62">
        <v>45614</v>
      </c>
      <c r="B721" s="32" t="s">
        <v>3510</v>
      </c>
      <c r="C721" s="32"/>
      <c r="D721" s="18" t="s">
        <v>4139</v>
      </c>
      <c r="E721" s="63" t="s">
        <v>292</v>
      </c>
      <c r="F721" s="63" t="s">
        <v>1433</v>
      </c>
      <c r="G721" s="50" t="s">
        <v>4140</v>
      </c>
      <c r="H721" s="57">
        <v>4200</v>
      </c>
      <c r="I721" s="227"/>
      <c r="J721" s="57">
        <f t="shared" si="85"/>
        <v>4200</v>
      </c>
      <c r="K721" s="50">
        <v>1</v>
      </c>
      <c r="L721" s="57">
        <f t="shared" si="86"/>
        <v>4200</v>
      </c>
      <c r="M721" s="228">
        <f t="shared" si="87"/>
        <v>4620</v>
      </c>
      <c r="N721" s="18" t="s">
        <v>25</v>
      </c>
      <c r="O721" s="50"/>
    </row>
    <row r="722" spans="1:16" ht="21.75" customHeight="1" x14ac:dyDescent="0.4">
      <c r="A722" s="62">
        <v>45614</v>
      </c>
      <c r="B722" s="32" t="s">
        <v>4141</v>
      </c>
      <c r="C722" s="32"/>
      <c r="D722" s="18" t="s">
        <v>22</v>
      </c>
      <c r="E722" s="63" t="s">
        <v>1496</v>
      </c>
      <c r="F722" s="63"/>
      <c r="G722" s="50" t="s">
        <v>49</v>
      </c>
      <c r="H722" s="57">
        <v>3000</v>
      </c>
      <c r="I722" s="227"/>
      <c r="J722" s="57">
        <f t="shared" si="85"/>
        <v>3000</v>
      </c>
      <c r="K722" s="50">
        <v>1</v>
      </c>
      <c r="L722" s="57">
        <f t="shared" si="86"/>
        <v>3000</v>
      </c>
      <c r="M722" s="228">
        <f t="shared" si="87"/>
        <v>3300</v>
      </c>
      <c r="N722" s="18" t="s">
        <v>4142</v>
      </c>
      <c r="O722" s="50" t="s">
        <v>1954</v>
      </c>
    </row>
    <row r="723" spans="1:16" ht="21.75" customHeight="1" x14ac:dyDescent="0.4">
      <c r="A723" s="62">
        <v>45621</v>
      </c>
      <c r="B723" s="32" t="s">
        <v>554</v>
      </c>
      <c r="C723" s="32"/>
      <c r="D723" s="18" t="s">
        <v>4176</v>
      </c>
      <c r="E723" s="63" t="s">
        <v>328</v>
      </c>
      <c r="F723" s="63" t="s">
        <v>4178</v>
      </c>
      <c r="G723" s="50" t="s">
        <v>4179</v>
      </c>
      <c r="H723" s="57">
        <v>58000</v>
      </c>
      <c r="I723" s="227">
        <v>-17400</v>
      </c>
      <c r="J723" s="57">
        <f t="shared" si="85"/>
        <v>40600</v>
      </c>
      <c r="K723" s="50">
        <v>1</v>
      </c>
      <c r="L723" s="57">
        <f t="shared" si="86"/>
        <v>40600</v>
      </c>
      <c r="M723" s="228">
        <f t="shared" si="87"/>
        <v>44660</v>
      </c>
      <c r="N723" s="18" t="s">
        <v>34</v>
      </c>
      <c r="O723" s="50"/>
      <c r="P723" s="52" t="s">
        <v>4156</v>
      </c>
    </row>
    <row r="724" spans="1:16" ht="21.75" customHeight="1" x14ac:dyDescent="0.4">
      <c r="A724" s="62">
        <v>45616</v>
      </c>
      <c r="B724" s="32" t="s">
        <v>4143</v>
      </c>
      <c r="C724" s="32"/>
      <c r="D724" s="18" t="s">
        <v>4139</v>
      </c>
      <c r="E724" s="63" t="s">
        <v>330</v>
      </c>
      <c r="F724" s="63" t="s">
        <v>4145</v>
      </c>
      <c r="G724" s="50" t="s">
        <v>4146</v>
      </c>
      <c r="H724" s="57">
        <v>5500</v>
      </c>
      <c r="I724" s="227"/>
      <c r="J724" s="57">
        <f t="shared" si="85"/>
        <v>5500</v>
      </c>
      <c r="K724" s="50">
        <v>1</v>
      </c>
      <c r="L724" s="57">
        <f t="shared" si="86"/>
        <v>5500</v>
      </c>
      <c r="M724" s="228">
        <f t="shared" si="87"/>
        <v>6050</v>
      </c>
      <c r="N724" s="18" t="s">
        <v>25</v>
      </c>
      <c r="O724" s="50"/>
      <c r="P724" s="52" t="s">
        <v>4156</v>
      </c>
    </row>
    <row r="725" spans="1:16" ht="21.75" customHeight="1" x14ac:dyDescent="0.4">
      <c r="A725" s="62">
        <v>45616</v>
      </c>
      <c r="B725" s="32" t="s">
        <v>4143</v>
      </c>
      <c r="C725" s="32"/>
      <c r="D725" s="18" t="s">
        <v>4139</v>
      </c>
      <c r="E725" s="63" t="s">
        <v>332</v>
      </c>
      <c r="F725" s="63" t="s">
        <v>4147</v>
      </c>
      <c r="G725" s="50" t="s">
        <v>1521</v>
      </c>
      <c r="H725" s="57">
        <v>1300</v>
      </c>
      <c r="I725" s="227">
        <v>-130</v>
      </c>
      <c r="J725" s="57">
        <f t="shared" si="85"/>
        <v>1170</v>
      </c>
      <c r="K725" s="50">
        <v>1</v>
      </c>
      <c r="L725" s="57">
        <f t="shared" si="86"/>
        <v>1170</v>
      </c>
      <c r="M725" s="228">
        <f t="shared" si="87"/>
        <v>1287</v>
      </c>
      <c r="N725" s="18" t="s">
        <v>25</v>
      </c>
      <c r="O725" s="50"/>
      <c r="P725" s="52" t="s">
        <v>4156</v>
      </c>
    </row>
    <row r="726" spans="1:16" ht="21.75" customHeight="1" x14ac:dyDescent="0.4">
      <c r="A726" s="62">
        <v>45617</v>
      </c>
      <c r="B726" s="32" t="s">
        <v>179</v>
      </c>
      <c r="C726" s="32"/>
      <c r="D726" s="18" t="s">
        <v>4139</v>
      </c>
      <c r="E726" s="63" t="s">
        <v>332</v>
      </c>
      <c r="F726" s="63" t="s">
        <v>4147</v>
      </c>
      <c r="G726" s="50" t="s">
        <v>4148</v>
      </c>
      <c r="H726" s="57">
        <v>1700</v>
      </c>
      <c r="I726" s="227">
        <v>-170</v>
      </c>
      <c r="J726" s="57">
        <f t="shared" si="85"/>
        <v>1530</v>
      </c>
      <c r="K726" s="50">
        <v>1</v>
      </c>
      <c r="L726" s="57">
        <f t="shared" si="86"/>
        <v>1530</v>
      </c>
      <c r="M726" s="228">
        <f t="shared" si="87"/>
        <v>1683</v>
      </c>
      <c r="N726" s="18" t="s">
        <v>4142</v>
      </c>
      <c r="O726" s="50"/>
    </row>
    <row r="727" spans="1:16" ht="21.75" customHeight="1" x14ac:dyDescent="0.4">
      <c r="A727" s="62">
        <v>45617</v>
      </c>
      <c r="B727" s="32" t="s">
        <v>1541</v>
      </c>
      <c r="C727" s="32"/>
      <c r="D727" s="18" t="s">
        <v>4139</v>
      </c>
      <c r="E727" s="63" t="s">
        <v>426</v>
      </c>
      <c r="F727" s="63" t="s">
        <v>4149</v>
      </c>
      <c r="G727" s="50" t="s">
        <v>3844</v>
      </c>
      <c r="H727" s="57">
        <v>1800</v>
      </c>
      <c r="I727" s="227">
        <v>-180</v>
      </c>
      <c r="J727" s="57">
        <f t="shared" si="85"/>
        <v>1620</v>
      </c>
      <c r="K727" s="50">
        <v>1</v>
      </c>
      <c r="L727" s="57">
        <f t="shared" si="86"/>
        <v>1620</v>
      </c>
      <c r="M727" s="228">
        <f t="shared" si="87"/>
        <v>1782</v>
      </c>
      <c r="N727" s="18" t="s">
        <v>25</v>
      </c>
      <c r="O727" s="50"/>
    </row>
    <row r="728" spans="1:16" ht="21.75" customHeight="1" x14ac:dyDescent="0.4">
      <c r="A728" s="62">
        <v>45618</v>
      </c>
      <c r="B728" s="32" t="s">
        <v>4024</v>
      </c>
      <c r="C728" s="32"/>
      <c r="D728" s="18" t="s">
        <v>27</v>
      </c>
      <c r="E728" s="63" t="s">
        <v>103</v>
      </c>
      <c r="F728" s="63"/>
      <c r="G728" s="50" t="s">
        <v>104</v>
      </c>
      <c r="H728" s="57">
        <v>2500</v>
      </c>
      <c r="I728" s="227"/>
      <c r="J728" s="57">
        <f t="shared" si="85"/>
        <v>2500</v>
      </c>
      <c r="K728" s="50">
        <v>1</v>
      </c>
      <c r="L728" s="57">
        <f t="shared" si="86"/>
        <v>2500</v>
      </c>
      <c r="M728" s="228">
        <f t="shared" si="87"/>
        <v>2750</v>
      </c>
      <c r="N728" s="18" t="s">
        <v>4142</v>
      </c>
      <c r="O728" s="50"/>
    </row>
    <row r="729" spans="1:16" ht="21.75" customHeight="1" x14ac:dyDescent="0.4">
      <c r="A729" s="62">
        <v>45619</v>
      </c>
      <c r="B729" s="32" t="s">
        <v>4150</v>
      </c>
      <c r="C729" s="32"/>
      <c r="D729" s="18" t="s">
        <v>22</v>
      </c>
      <c r="E729" s="63" t="s">
        <v>23</v>
      </c>
      <c r="F729" s="63"/>
      <c r="G729" s="50" t="s">
        <v>4151</v>
      </c>
      <c r="H729" s="57">
        <v>15000</v>
      </c>
      <c r="I729" s="227"/>
      <c r="J729" s="57">
        <f t="shared" si="85"/>
        <v>15000</v>
      </c>
      <c r="K729" s="50">
        <v>1</v>
      </c>
      <c r="L729" s="57">
        <f t="shared" si="86"/>
        <v>15000</v>
      </c>
      <c r="M729" s="228">
        <f t="shared" si="87"/>
        <v>16500</v>
      </c>
      <c r="N729" s="18" t="s">
        <v>25</v>
      </c>
      <c r="O729" s="50"/>
    </row>
    <row r="730" spans="1:16" ht="21.75" customHeight="1" x14ac:dyDescent="0.4">
      <c r="A730" s="62">
        <v>45604</v>
      </c>
      <c r="B730" s="32" t="s">
        <v>4061</v>
      </c>
      <c r="C730" s="32"/>
      <c r="D730" s="18" t="s">
        <v>4081</v>
      </c>
      <c r="E730" s="63" t="s">
        <v>328</v>
      </c>
      <c r="F730" s="63" t="s">
        <v>4082</v>
      </c>
      <c r="G730" s="50" t="s">
        <v>4083</v>
      </c>
      <c r="H730" s="57">
        <v>55000</v>
      </c>
      <c r="I730" s="227">
        <v>-11000</v>
      </c>
      <c r="J730" s="57">
        <f t="shared" si="85"/>
        <v>44000</v>
      </c>
      <c r="K730" s="50">
        <v>1</v>
      </c>
      <c r="L730" s="57">
        <f t="shared" si="86"/>
        <v>44000</v>
      </c>
      <c r="M730" s="228">
        <f t="shared" si="87"/>
        <v>48400</v>
      </c>
      <c r="N730" s="18" t="s">
        <v>34</v>
      </c>
      <c r="O730" s="50"/>
      <c r="P730" s="52" t="s">
        <v>4157</v>
      </c>
    </row>
    <row r="731" spans="1:16" ht="21.75" customHeight="1" x14ac:dyDescent="0.4">
      <c r="A731" s="62">
        <v>45619</v>
      </c>
      <c r="B731" s="32" t="s">
        <v>4150</v>
      </c>
      <c r="C731" s="32"/>
      <c r="D731" s="18" t="s">
        <v>4139</v>
      </c>
      <c r="E731" s="63" t="s">
        <v>332</v>
      </c>
      <c r="F731" s="63" t="s">
        <v>3554</v>
      </c>
      <c r="G731" s="50" t="s">
        <v>4154</v>
      </c>
      <c r="H731" s="57">
        <v>1200</v>
      </c>
      <c r="I731" s="227"/>
      <c r="J731" s="57">
        <f t="shared" si="85"/>
        <v>1200</v>
      </c>
      <c r="K731" s="50">
        <v>1</v>
      </c>
      <c r="L731" s="57">
        <f t="shared" si="86"/>
        <v>1200</v>
      </c>
      <c r="M731" s="228">
        <f t="shared" si="87"/>
        <v>1320</v>
      </c>
      <c r="N731" s="18" t="s">
        <v>34</v>
      </c>
      <c r="O731" s="50"/>
      <c r="P731" s="52" t="s">
        <v>4157</v>
      </c>
    </row>
    <row r="732" spans="1:16" ht="21.75" customHeight="1" x14ac:dyDescent="0.4">
      <c r="A732" s="62">
        <v>45619</v>
      </c>
      <c r="B732" s="32" t="s">
        <v>4150</v>
      </c>
      <c r="C732" s="32"/>
      <c r="D732" s="18" t="s">
        <v>4139</v>
      </c>
      <c r="E732" s="63" t="s">
        <v>330</v>
      </c>
      <c r="F732" s="63" t="s">
        <v>4145</v>
      </c>
      <c r="G732" s="50" t="s">
        <v>4146</v>
      </c>
      <c r="H732" s="57">
        <v>5500</v>
      </c>
      <c r="I732" s="227"/>
      <c r="J732" s="57">
        <f t="shared" si="85"/>
        <v>5500</v>
      </c>
      <c r="K732" s="50">
        <v>1</v>
      </c>
      <c r="L732" s="57">
        <f t="shared" si="86"/>
        <v>5500</v>
      </c>
      <c r="M732" s="228">
        <f t="shared" si="87"/>
        <v>6050</v>
      </c>
      <c r="N732" s="18" t="s">
        <v>34</v>
      </c>
      <c r="O732" s="50"/>
      <c r="P732" s="52" t="s">
        <v>4157</v>
      </c>
    </row>
    <row r="733" spans="1:16" ht="21.75" customHeight="1" x14ac:dyDescent="0.4">
      <c r="A733" s="62">
        <v>45619</v>
      </c>
      <c r="B733" s="32" t="s">
        <v>4155</v>
      </c>
      <c r="C733" s="32"/>
      <c r="D733" s="18" t="s">
        <v>22</v>
      </c>
      <c r="E733" s="63" t="s">
        <v>23</v>
      </c>
      <c r="F733" s="63"/>
      <c r="G733" s="50" t="s">
        <v>96</v>
      </c>
      <c r="H733" s="57">
        <v>15000</v>
      </c>
      <c r="I733" s="227">
        <v>-5000</v>
      </c>
      <c r="J733" s="57">
        <f t="shared" si="85"/>
        <v>10000</v>
      </c>
      <c r="K733" s="50">
        <v>1</v>
      </c>
      <c r="L733" s="57">
        <f t="shared" si="86"/>
        <v>10000</v>
      </c>
      <c r="M733" s="228">
        <f t="shared" si="87"/>
        <v>11000</v>
      </c>
      <c r="N733" s="18" t="s">
        <v>25</v>
      </c>
      <c r="O733" s="50" t="s">
        <v>3404</v>
      </c>
    </row>
    <row r="734" spans="1:16" ht="21.75" customHeight="1" x14ac:dyDescent="0.4">
      <c r="A734" s="62">
        <v>45616</v>
      </c>
      <c r="B734" s="32" t="s">
        <v>4143</v>
      </c>
      <c r="C734" s="32"/>
      <c r="D734" s="18" t="s">
        <v>4139</v>
      </c>
      <c r="E734" s="63" t="s">
        <v>328</v>
      </c>
      <c r="F734" s="63" t="s">
        <v>3598</v>
      </c>
      <c r="G734" s="50" t="s">
        <v>4144</v>
      </c>
      <c r="H734" s="57">
        <v>55000</v>
      </c>
      <c r="I734" s="227">
        <v>-55000</v>
      </c>
      <c r="J734" s="57">
        <f t="shared" si="85"/>
        <v>0</v>
      </c>
      <c r="K734" s="50">
        <v>1</v>
      </c>
      <c r="L734" s="57">
        <f t="shared" si="86"/>
        <v>0</v>
      </c>
      <c r="M734" s="228">
        <f t="shared" si="87"/>
        <v>0</v>
      </c>
      <c r="N734" s="18" t="s">
        <v>25</v>
      </c>
      <c r="O734" s="50"/>
      <c r="P734" s="52" t="s">
        <v>1608</v>
      </c>
    </row>
    <row r="735" spans="1:16" ht="21.75" customHeight="1" x14ac:dyDescent="0.4">
      <c r="A735" s="62">
        <v>45619</v>
      </c>
      <c r="B735" s="32" t="s">
        <v>4155</v>
      </c>
      <c r="C735" s="32"/>
      <c r="D735" s="18" t="s">
        <v>4139</v>
      </c>
      <c r="E735" s="63" t="s">
        <v>4160</v>
      </c>
      <c r="F735" s="63" t="s">
        <v>4161</v>
      </c>
      <c r="G735" s="50" t="s">
        <v>4162</v>
      </c>
      <c r="H735" s="57">
        <v>80000</v>
      </c>
      <c r="I735" s="227"/>
      <c r="J735" s="57">
        <f t="shared" si="85"/>
        <v>80000</v>
      </c>
      <c r="K735" s="50">
        <v>1</v>
      </c>
      <c r="L735" s="57">
        <f t="shared" si="86"/>
        <v>80000</v>
      </c>
      <c r="M735" s="228">
        <f t="shared" si="87"/>
        <v>88000</v>
      </c>
      <c r="N735" s="18" t="s">
        <v>34</v>
      </c>
      <c r="O735" s="50"/>
      <c r="P735" s="52" t="s">
        <v>1608</v>
      </c>
    </row>
    <row r="736" spans="1:16" ht="21.75" customHeight="1" x14ac:dyDescent="0.4">
      <c r="A736" s="62">
        <v>45619</v>
      </c>
      <c r="B736" s="32" t="s">
        <v>3964</v>
      </c>
      <c r="C736" s="32"/>
      <c r="D736" s="18" t="s">
        <v>22</v>
      </c>
      <c r="E736" s="63" t="s">
        <v>23</v>
      </c>
      <c r="F736" s="63"/>
      <c r="G736" s="50" t="s">
        <v>4163</v>
      </c>
      <c r="H736" s="57">
        <v>10000</v>
      </c>
      <c r="I736" s="227"/>
      <c r="J736" s="57">
        <f t="shared" si="85"/>
        <v>10000</v>
      </c>
      <c r="K736" s="50">
        <v>1</v>
      </c>
      <c r="L736" s="57">
        <f t="shared" si="86"/>
        <v>10000</v>
      </c>
      <c r="M736" s="228">
        <f t="shared" si="87"/>
        <v>11000</v>
      </c>
      <c r="N736" s="18" t="s">
        <v>4142</v>
      </c>
      <c r="O736" s="50"/>
    </row>
    <row r="737" spans="1:16" ht="21.75" customHeight="1" x14ac:dyDescent="0.4">
      <c r="A737" s="62">
        <v>45626</v>
      </c>
      <c r="B737" s="32" t="s">
        <v>4223</v>
      </c>
      <c r="C737" s="32"/>
      <c r="D737" s="18" t="s">
        <v>4225</v>
      </c>
      <c r="E737" s="63" t="s">
        <v>328</v>
      </c>
      <c r="F737" s="63" t="s">
        <v>4226</v>
      </c>
      <c r="G737" s="50" t="s">
        <v>4227</v>
      </c>
      <c r="H737" s="57">
        <v>55000</v>
      </c>
      <c r="I737" s="227">
        <v>-11000</v>
      </c>
      <c r="J737" s="57">
        <f t="shared" si="85"/>
        <v>44000</v>
      </c>
      <c r="K737" s="50">
        <v>1</v>
      </c>
      <c r="L737" s="57">
        <f t="shared" si="86"/>
        <v>44000</v>
      </c>
      <c r="M737" s="228">
        <f t="shared" si="87"/>
        <v>48400</v>
      </c>
      <c r="N737" s="18" t="s">
        <v>34</v>
      </c>
      <c r="O737" s="50"/>
      <c r="P737" s="52" t="s">
        <v>4156</v>
      </c>
    </row>
    <row r="738" spans="1:16" ht="21.75" customHeight="1" x14ac:dyDescent="0.4">
      <c r="A738" s="62">
        <v>45619</v>
      </c>
      <c r="B738" s="32" t="s">
        <v>3964</v>
      </c>
      <c r="C738" s="32"/>
      <c r="D738" s="18" t="s">
        <v>4139</v>
      </c>
      <c r="E738" s="63" t="s">
        <v>4160</v>
      </c>
      <c r="F738" s="63" t="s">
        <v>1443</v>
      </c>
      <c r="G738" s="50" t="s">
        <v>4164</v>
      </c>
      <c r="H738" s="57">
        <v>65000</v>
      </c>
      <c r="I738" s="227">
        <v>-6500</v>
      </c>
      <c r="J738" s="57">
        <f t="shared" si="85"/>
        <v>58500</v>
      </c>
      <c r="K738" s="50">
        <v>1</v>
      </c>
      <c r="L738" s="57">
        <f t="shared" si="86"/>
        <v>58500</v>
      </c>
      <c r="M738" s="228">
        <f t="shared" si="87"/>
        <v>64350</v>
      </c>
      <c r="N738" s="18" t="s">
        <v>4142</v>
      </c>
      <c r="O738" s="50"/>
      <c r="P738" s="52" t="s">
        <v>4156</v>
      </c>
    </row>
    <row r="739" spans="1:16" ht="21.75" customHeight="1" x14ac:dyDescent="0.4">
      <c r="A739" s="62">
        <v>45619</v>
      </c>
      <c r="B739" s="32" t="s">
        <v>3964</v>
      </c>
      <c r="C739" s="32"/>
      <c r="D739" s="18" t="s">
        <v>4139</v>
      </c>
      <c r="E739" s="63" t="s">
        <v>332</v>
      </c>
      <c r="F739" s="63" t="s">
        <v>4147</v>
      </c>
      <c r="G739" s="50" t="s">
        <v>3558</v>
      </c>
      <c r="H739" s="57">
        <v>1900</v>
      </c>
      <c r="I739" s="227">
        <v>-190</v>
      </c>
      <c r="J739" s="57">
        <f t="shared" si="85"/>
        <v>1710</v>
      </c>
      <c r="K739" s="50">
        <v>1</v>
      </c>
      <c r="L739" s="57">
        <f t="shared" si="86"/>
        <v>1710</v>
      </c>
      <c r="M739" s="228">
        <f t="shared" si="87"/>
        <v>1881</v>
      </c>
      <c r="N739" s="18" t="s">
        <v>4142</v>
      </c>
      <c r="O739" s="50"/>
      <c r="P739" s="52" t="s">
        <v>4156</v>
      </c>
    </row>
    <row r="740" spans="1:16" ht="21.75" customHeight="1" x14ac:dyDescent="0.4">
      <c r="A740" s="62">
        <v>45619</v>
      </c>
      <c r="B740" s="32" t="s">
        <v>1608</v>
      </c>
      <c r="C740" s="32"/>
      <c r="D740" s="18" t="s">
        <v>4139</v>
      </c>
      <c r="E740" s="63" t="s">
        <v>292</v>
      </c>
      <c r="F740" s="63" t="s">
        <v>1051</v>
      </c>
      <c r="G740" s="50" t="s">
        <v>4165</v>
      </c>
      <c r="H740" s="57">
        <v>5500</v>
      </c>
      <c r="I740" s="227">
        <v>-628</v>
      </c>
      <c r="J740" s="57">
        <f t="shared" si="85"/>
        <v>4872</v>
      </c>
      <c r="K740" s="50">
        <v>2</v>
      </c>
      <c r="L740" s="57">
        <f t="shared" si="86"/>
        <v>9744</v>
      </c>
      <c r="M740" s="228">
        <f t="shared" si="87"/>
        <v>10718</v>
      </c>
      <c r="N740" s="18" t="s">
        <v>4142</v>
      </c>
      <c r="O740" s="50"/>
    </row>
    <row r="741" spans="1:16" ht="21.75" customHeight="1" x14ac:dyDescent="0.4">
      <c r="A741" s="62">
        <v>45619</v>
      </c>
      <c r="B741" s="32" t="s">
        <v>4166</v>
      </c>
      <c r="C741" s="32"/>
      <c r="D741" s="18" t="s">
        <v>22</v>
      </c>
      <c r="E741" s="63" t="s">
        <v>23</v>
      </c>
      <c r="F741" s="63"/>
      <c r="G741" s="50" t="s">
        <v>4167</v>
      </c>
      <c r="H741" s="57">
        <v>20000</v>
      </c>
      <c r="I741" s="227"/>
      <c r="J741" s="57">
        <f t="shared" si="85"/>
        <v>20000</v>
      </c>
      <c r="K741" s="50">
        <v>1</v>
      </c>
      <c r="L741" s="57">
        <f t="shared" si="86"/>
        <v>20000</v>
      </c>
      <c r="M741" s="228">
        <f t="shared" si="87"/>
        <v>22000</v>
      </c>
      <c r="N741" s="18" t="s">
        <v>25</v>
      </c>
      <c r="O741" s="50"/>
    </row>
    <row r="742" spans="1:16" ht="21.75" customHeight="1" x14ac:dyDescent="0.4">
      <c r="A742" s="62">
        <v>45601</v>
      </c>
      <c r="B742" s="32" t="s">
        <v>4069</v>
      </c>
      <c r="C742" s="32"/>
      <c r="D742" s="18" t="s">
        <v>17</v>
      </c>
      <c r="E742" s="63" t="s">
        <v>328</v>
      </c>
      <c r="F742" s="63" t="s">
        <v>788</v>
      </c>
      <c r="G742" s="50" t="s">
        <v>4070</v>
      </c>
      <c r="H742" s="57">
        <v>12000</v>
      </c>
      <c r="I742" s="227">
        <v>-2400</v>
      </c>
      <c r="J742" s="57">
        <f t="shared" si="85"/>
        <v>9600</v>
      </c>
      <c r="K742" s="50">
        <v>1</v>
      </c>
      <c r="L742" s="57">
        <f t="shared" si="86"/>
        <v>9600</v>
      </c>
      <c r="M742" s="228">
        <f t="shared" si="87"/>
        <v>10560</v>
      </c>
      <c r="N742" s="18" t="s">
        <v>34</v>
      </c>
      <c r="O742" s="50"/>
      <c r="P742" s="52" t="s">
        <v>4173</v>
      </c>
    </row>
    <row r="743" spans="1:16" ht="21.75" customHeight="1" x14ac:dyDescent="0.4">
      <c r="A743" s="62">
        <v>45603</v>
      </c>
      <c r="B743" s="32" t="s">
        <v>4075</v>
      </c>
      <c r="C743" s="32"/>
      <c r="D743" s="18" t="s">
        <v>17</v>
      </c>
      <c r="E743" s="63" t="s">
        <v>328</v>
      </c>
      <c r="F743" s="63" t="s">
        <v>788</v>
      </c>
      <c r="G743" s="50" t="s">
        <v>4076</v>
      </c>
      <c r="H743" s="57">
        <v>13000</v>
      </c>
      <c r="I743" s="227"/>
      <c r="J743" s="57">
        <f t="shared" si="85"/>
        <v>13000</v>
      </c>
      <c r="K743" s="50">
        <v>2</v>
      </c>
      <c r="L743" s="57">
        <f t="shared" si="86"/>
        <v>26000</v>
      </c>
      <c r="M743" s="228">
        <f t="shared" si="87"/>
        <v>28600</v>
      </c>
      <c r="N743" s="18" t="s">
        <v>34</v>
      </c>
      <c r="O743" s="50"/>
      <c r="P743" s="52" t="s">
        <v>4173</v>
      </c>
    </row>
    <row r="744" spans="1:16" ht="21.75" customHeight="1" x14ac:dyDescent="0.4">
      <c r="A744" s="62">
        <v>45619</v>
      </c>
      <c r="B744" s="32" t="s">
        <v>4166</v>
      </c>
      <c r="C744" s="32"/>
      <c r="D744" s="18" t="s">
        <v>4168</v>
      </c>
      <c r="E744" s="63" t="s">
        <v>332</v>
      </c>
      <c r="F744" s="63" t="s">
        <v>3554</v>
      </c>
      <c r="G744" s="50" t="s">
        <v>4172</v>
      </c>
      <c r="H744" s="57">
        <v>2600</v>
      </c>
      <c r="I744" s="227">
        <v>-260</v>
      </c>
      <c r="J744" s="57">
        <f t="shared" si="85"/>
        <v>2340</v>
      </c>
      <c r="K744" s="50">
        <v>3</v>
      </c>
      <c r="L744" s="57">
        <f t="shared" si="86"/>
        <v>7020</v>
      </c>
      <c r="M744" s="228">
        <f t="shared" si="87"/>
        <v>7722</v>
      </c>
      <c r="N744" s="18" t="s">
        <v>34</v>
      </c>
      <c r="O744" s="50"/>
      <c r="P744" s="52" t="s">
        <v>4173</v>
      </c>
    </row>
    <row r="745" spans="1:16" ht="21.75" customHeight="1" x14ac:dyDescent="0.4">
      <c r="A745" s="62">
        <v>45619</v>
      </c>
      <c r="B745" s="32" t="s">
        <v>4166</v>
      </c>
      <c r="C745" s="32"/>
      <c r="D745" s="18" t="s">
        <v>27</v>
      </c>
      <c r="E745" s="63" t="s">
        <v>28</v>
      </c>
      <c r="F745" s="63"/>
      <c r="G745" s="50" t="s">
        <v>219</v>
      </c>
      <c r="H745" s="57">
        <v>4370</v>
      </c>
      <c r="I745" s="227"/>
      <c r="J745" s="57">
        <f t="shared" si="85"/>
        <v>4370</v>
      </c>
      <c r="K745" s="50">
        <v>1</v>
      </c>
      <c r="L745" s="57">
        <f t="shared" si="86"/>
        <v>4370</v>
      </c>
      <c r="M745" s="228">
        <f t="shared" si="87"/>
        <v>4807</v>
      </c>
      <c r="N745" s="18" t="s">
        <v>34</v>
      </c>
      <c r="O745" s="50"/>
    </row>
    <row r="746" spans="1:16" ht="21.75" customHeight="1" x14ac:dyDescent="0.4">
      <c r="A746" s="62">
        <v>45619</v>
      </c>
      <c r="B746" s="32" t="s">
        <v>4166</v>
      </c>
      <c r="C746" s="32"/>
      <c r="D746" s="18" t="s">
        <v>27</v>
      </c>
      <c r="E746" s="63" t="s">
        <v>28</v>
      </c>
      <c r="F746" s="63"/>
      <c r="G746" s="50" t="s">
        <v>3663</v>
      </c>
      <c r="H746" s="57">
        <v>17500</v>
      </c>
      <c r="I746" s="227"/>
      <c r="J746" s="57">
        <f t="shared" si="85"/>
        <v>17500</v>
      </c>
      <c r="K746" s="50">
        <v>1</v>
      </c>
      <c r="L746" s="57">
        <f t="shared" si="86"/>
        <v>17500</v>
      </c>
      <c r="M746" s="228">
        <f t="shared" si="87"/>
        <v>19250</v>
      </c>
      <c r="N746" s="18" t="s">
        <v>34</v>
      </c>
      <c r="O746" s="50"/>
    </row>
    <row r="747" spans="1:16" ht="21.75" customHeight="1" x14ac:dyDescent="0.4">
      <c r="A747" s="62">
        <v>45621</v>
      </c>
      <c r="B747" s="32" t="s">
        <v>4174</v>
      </c>
      <c r="C747" s="32"/>
      <c r="D747" s="18" t="s">
        <v>27</v>
      </c>
      <c r="E747" s="63" t="s">
        <v>28</v>
      </c>
      <c r="F747" s="63"/>
      <c r="G747" s="50" t="s">
        <v>73</v>
      </c>
      <c r="H747" s="57">
        <v>2000</v>
      </c>
      <c r="I747" s="227"/>
      <c r="J747" s="57">
        <f t="shared" si="85"/>
        <v>2000</v>
      </c>
      <c r="K747" s="50">
        <v>3</v>
      </c>
      <c r="L747" s="57">
        <f t="shared" si="86"/>
        <v>6000</v>
      </c>
      <c r="M747" s="228">
        <f t="shared" si="87"/>
        <v>6600</v>
      </c>
      <c r="N747" s="18" t="s">
        <v>4175</v>
      </c>
      <c r="O747" s="50"/>
    </row>
    <row r="748" spans="1:16" ht="21.75" customHeight="1" x14ac:dyDescent="0.4">
      <c r="A748" s="62">
        <v>45621</v>
      </c>
      <c r="B748" s="32" t="s">
        <v>3415</v>
      </c>
      <c r="C748" s="32"/>
      <c r="D748" s="18" t="s">
        <v>4176</v>
      </c>
      <c r="E748" s="63" t="s">
        <v>332</v>
      </c>
      <c r="F748" s="63" t="s">
        <v>3554</v>
      </c>
      <c r="G748" s="50" t="s">
        <v>4177</v>
      </c>
      <c r="H748" s="57">
        <v>1200</v>
      </c>
      <c r="I748" s="227">
        <v>-120</v>
      </c>
      <c r="J748" s="57">
        <f t="shared" si="85"/>
        <v>1080</v>
      </c>
      <c r="K748" s="50">
        <v>1</v>
      </c>
      <c r="L748" s="57">
        <f t="shared" si="86"/>
        <v>1080</v>
      </c>
      <c r="M748" s="228">
        <f t="shared" si="87"/>
        <v>1188</v>
      </c>
      <c r="N748" s="18" t="s">
        <v>4175</v>
      </c>
      <c r="O748" s="50"/>
    </row>
    <row r="749" spans="1:16" ht="21.75" customHeight="1" x14ac:dyDescent="0.4">
      <c r="A749" s="62">
        <v>45621</v>
      </c>
      <c r="B749" s="32" t="s">
        <v>554</v>
      </c>
      <c r="C749" s="32"/>
      <c r="D749" s="18" t="s">
        <v>22</v>
      </c>
      <c r="E749" s="63" t="s">
        <v>23</v>
      </c>
      <c r="F749" s="63"/>
      <c r="G749" s="50" t="s">
        <v>220</v>
      </c>
      <c r="H749" s="57">
        <v>10000</v>
      </c>
      <c r="I749" s="227"/>
      <c r="J749" s="57">
        <f t="shared" ref="J749:J780" si="88">SUM(H749:I749)</f>
        <v>10000</v>
      </c>
      <c r="K749" s="50">
        <v>1</v>
      </c>
      <c r="L749" s="57">
        <f t="shared" ref="L749:L780" si="89">SUM(J749*K749)</f>
        <v>10000</v>
      </c>
      <c r="M749" s="228">
        <f t="shared" ref="M749:M780" si="90">ROUNDDOWN(L749*1.1,0)</f>
        <v>11000</v>
      </c>
      <c r="N749" s="18" t="s">
        <v>34</v>
      </c>
      <c r="O749" s="50"/>
    </row>
    <row r="750" spans="1:16" ht="21.75" customHeight="1" x14ac:dyDescent="0.4">
      <c r="A750" s="62">
        <v>45619</v>
      </c>
      <c r="B750" s="32" t="s">
        <v>3964</v>
      </c>
      <c r="C750" s="32"/>
      <c r="D750" s="18" t="s">
        <v>4139</v>
      </c>
      <c r="E750" s="63" t="s">
        <v>328</v>
      </c>
      <c r="F750" s="63" t="s">
        <v>788</v>
      </c>
      <c r="G750" s="50" t="s">
        <v>3620</v>
      </c>
      <c r="H750" s="57">
        <v>70000</v>
      </c>
      <c r="I750" s="227">
        <v>-21000</v>
      </c>
      <c r="J750" s="57">
        <f t="shared" si="88"/>
        <v>49000</v>
      </c>
      <c r="K750" s="50">
        <v>1</v>
      </c>
      <c r="L750" s="57">
        <f t="shared" si="89"/>
        <v>49000</v>
      </c>
      <c r="M750" s="228">
        <f t="shared" si="90"/>
        <v>53900</v>
      </c>
      <c r="N750" s="18" t="s">
        <v>4142</v>
      </c>
      <c r="O750" s="50"/>
      <c r="P750" s="52" t="s">
        <v>4188</v>
      </c>
    </row>
    <row r="751" spans="1:16" ht="21.75" customHeight="1" x14ac:dyDescent="0.4">
      <c r="A751" s="62">
        <v>45621</v>
      </c>
      <c r="B751" s="32" t="s">
        <v>554</v>
      </c>
      <c r="C751" s="32"/>
      <c r="D751" s="18" t="s">
        <v>4176</v>
      </c>
      <c r="E751" s="63" t="s">
        <v>332</v>
      </c>
      <c r="F751" s="63" t="s">
        <v>4180</v>
      </c>
      <c r="G751" s="50" t="s">
        <v>3558</v>
      </c>
      <c r="H751" s="57">
        <v>1900</v>
      </c>
      <c r="I751" s="227">
        <v>-190</v>
      </c>
      <c r="J751" s="57">
        <f t="shared" si="88"/>
        <v>1710</v>
      </c>
      <c r="K751" s="50">
        <v>1</v>
      </c>
      <c r="L751" s="57">
        <f t="shared" si="89"/>
        <v>1710</v>
      </c>
      <c r="M751" s="228">
        <f t="shared" si="90"/>
        <v>1881</v>
      </c>
      <c r="N751" s="18" t="s">
        <v>34</v>
      </c>
      <c r="O751" s="50"/>
      <c r="P751" s="52" t="s">
        <v>4188</v>
      </c>
    </row>
    <row r="752" spans="1:16" ht="21.75" customHeight="1" x14ac:dyDescent="0.4">
      <c r="A752" s="62">
        <v>45621</v>
      </c>
      <c r="B752" s="32" t="s">
        <v>554</v>
      </c>
      <c r="C752" s="32"/>
      <c r="D752" s="96" t="s">
        <v>198</v>
      </c>
      <c r="E752" s="63"/>
      <c r="F752" s="63"/>
      <c r="G752" s="50" t="s">
        <v>2491</v>
      </c>
      <c r="H752" s="57">
        <v>-10000</v>
      </c>
      <c r="I752" s="227"/>
      <c r="J752" s="57">
        <f t="shared" si="88"/>
        <v>-10000</v>
      </c>
      <c r="K752" s="50">
        <v>1</v>
      </c>
      <c r="L752" s="57">
        <f t="shared" si="89"/>
        <v>-10000</v>
      </c>
      <c r="M752" s="228">
        <f t="shared" si="90"/>
        <v>-11000</v>
      </c>
      <c r="N752" s="18" t="s">
        <v>34</v>
      </c>
      <c r="O752" s="50"/>
    </row>
    <row r="753" spans="1:16" ht="21.75" customHeight="1" x14ac:dyDescent="0.4">
      <c r="A753" s="62">
        <v>45622</v>
      </c>
      <c r="B753" s="32" t="s">
        <v>2363</v>
      </c>
      <c r="C753" s="32"/>
      <c r="D753" s="18" t="s">
        <v>27</v>
      </c>
      <c r="E753" s="63" t="s">
        <v>28</v>
      </c>
      <c r="F753" s="63"/>
      <c r="G753" s="50" t="s">
        <v>3663</v>
      </c>
      <c r="H753" s="57">
        <v>17500</v>
      </c>
      <c r="I753" s="227"/>
      <c r="J753" s="57">
        <f t="shared" si="88"/>
        <v>17500</v>
      </c>
      <c r="K753" s="50">
        <v>1</v>
      </c>
      <c r="L753" s="57">
        <f t="shared" si="89"/>
        <v>17500</v>
      </c>
      <c r="M753" s="228">
        <f t="shared" si="90"/>
        <v>19250</v>
      </c>
      <c r="N753" s="18" t="s">
        <v>4175</v>
      </c>
      <c r="O753" s="50"/>
    </row>
    <row r="754" spans="1:16" ht="21.75" customHeight="1" x14ac:dyDescent="0.4">
      <c r="A754" s="62">
        <v>45623</v>
      </c>
      <c r="B754" s="32" t="s">
        <v>4181</v>
      </c>
      <c r="C754" s="32"/>
      <c r="D754" s="18" t="s">
        <v>4176</v>
      </c>
      <c r="E754" s="63" t="s">
        <v>292</v>
      </c>
      <c r="F754" s="63" t="s">
        <v>1051</v>
      </c>
      <c r="G754" s="50" t="s">
        <v>4182</v>
      </c>
      <c r="H754" s="57">
        <v>5500</v>
      </c>
      <c r="I754" s="227"/>
      <c r="J754" s="57">
        <f t="shared" si="88"/>
        <v>5500</v>
      </c>
      <c r="K754" s="50">
        <v>1</v>
      </c>
      <c r="L754" s="57">
        <f t="shared" si="89"/>
        <v>5500</v>
      </c>
      <c r="M754" s="228">
        <f t="shared" si="90"/>
        <v>6050</v>
      </c>
      <c r="N754" s="18" t="s">
        <v>25</v>
      </c>
      <c r="O754" s="50"/>
    </row>
    <row r="755" spans="1:16" ht="21.75" customHeight="1" x14ac:dyDescent="0.4">
      <c r="A755" s="62">
        <v>45623</v>
      </c>
      <c r="B755" s="32" t="s">
        <v>554</v>
      </c>
      <c r="C755" s="32"/>
      <c r="D755" s="96" t="s">
        <v>198</v>
      </c>
      <c r="E755" s="63" t="s">
        <v>32</v>
      </c>
      <c r="F755" s="63" t="s">
        <v>4200</v>
      </c>
      <c r="G755" s="50" t="s">
        <v>4197</v>
      </c>
      <c r="H755" s="57">
        <v>-11600</v>
      </c>
      <c r="I755" s="227"/>
      <c r="J755" s="57">
        <f t="shared" si="88"/>
        <v>-11600</v>
      </c>
      <c r="K755" s="50">
        <v>1</v>
      </c>
      <c r="L755" s="57">
        <f t="shared" si="89"/>
        <v>-11600</v>
      </c>
      <c r="M755" s="232">
        <f t="shared" si="90"/>
        <v>-12760</v>
      </c>
      <c r="N755" s="18" t="s">
        <v>4199</v>
      </c>
      <c r="O755" s="50" t="s">
        <v>4198</v>
      </c>
    </row>
    <row r="756" spans="1:16" ht="21.75" customHeight="1" x14ac:dyDescent="0.4">
      <c r="A756" s="62">
        <v>45623</v>
      </c>
      <c r="B756" s="32" t="s">
        <v>554</v>
      </c>
      <c r="C756" s="32"/>
      <c r="D756" s="123" t="s">
        <v>27</v>
      </c>
      <c r="E756" s="63" t="s">
        <v>28</v>
      </c>
      <c r="F756" s="63"/>
      <c r="G756" s="50" t="s">
        <v>3663</v>
      </c>
      <c r="H756" s="57">
        <v>17500</v>
      </c>
      <c r="I756" s="227"/>
      <c r="J756" s="57">
        <f t="shared" si="88"/>
        <v>17500</v>
      </c>
      <c r="K756" s="50">
        <v>1</v>
      </c>
      <c r="L756" s="57">
        <f t="shared" si="89"/>
        <v>17500</v>
      </c>
      <c r="M756" s="232">
        <f t="shared" si="90"/>
        <v>19250</v>
      </c>
      <c r="N756" s="18" t="s">
        <v>4199</v>
      </c>
      <c r="O756" s="56"/>
    </row>
    <row r="757" spans="1:16" ht="21.75" customHeight="1" x14ac:dyDescent="0.4">
      <c r="A757" s="62">
        <v>45623</v>
      </c>
      <c r="B757" s="32" t="s">
        <v>678</v>
      </c>
      <c r="C757" s="32"/>
      <c r="D757" s="18" t="s">
        <v>4176</v>
      </c>
      <c r="E757" s="63" t="s">
        <v>292</v>
      </c>
      <c r="F757" s="63" t="s">
        <v>3642</v>
      </c>
      <c r="G757" s="50" t="s">
        <v>4183</v>
      </c>
      <c r="H757" s="57">
        <v>6300</v>
      </c>
      <c r="I757" s="227">
        <v>-630</v>
      </c>
      <c r="J757" s="57">
        <f t="shared" si="88"/>
        <v>5670</v>
      </c>
      <c r="K757" s="50">
        <v>2</v>
      </c>
      <c r="L757" s="57">
        <f t="shared" si="89"/>
        <v>11340</v>
      </c>
      <c r="M757" s="228">
        <f t="shared" si="90"/>
        <v>12474</v>
      </c>
      <c r="N757" s="18" t="s">
        <v>34</v>
      </c>
      <c r="O757" s="50"/>
    </row>
    <row r="758" spans="1:16" ht="21.75" customHeight="1" x14ac:dyDescent="0.4">
      <c r="A758" s="62">
        <v>45623</v>
      </c>
      <c r="B758" s="32" t="s">
        <v>4184</v>
      </c>
      <c r="C758" s="32"/>
      <c r="D758" s="18" t="s">
        <v>4176</v>
      </c>
      <c r="E758" s="63" t="s">
        <v>4185</v>
      </c>
      <c r="F758" s="63" t="s">
        <v>4186</v>
      </c>
      <c r="G758" s="50" t="s">
        <v>4187</v>
      </c>
      <c r="H758" s="57">
        <v>80000</v>
      </c>
      <c r="I758" s="227">
        <v>-32000</v>
      </c>
      <c r="J758" s="57">
        <f t="shared" si="88"/>
        <v>48000</v>
      </c>
      <c r="K758" s="50">
        <v>1</v>
      </c>
      <c r="L758" s="57">
        <f t="shared" si="89"/>
        <v>48000</v>
      </c>
      <c r="M758" s="228">
        <f t="shared" si="90"/>
        <v>52800</v>
      </c>
      <c r="N758" s="18" t="s">
        <v>34</v>
      </c>
      <c r="O758" s="50"/>
    </row>
    <row r="759" spans="1:16" ht="21.75" customHeight="1" x14ac:dyDescent="0.4">
      <c r="A759" s="62">
        <v>45623</v>
      </c>
      <c r="B759" s="32" t="s">
        <v>3418</v>
      </c>
      <c r="C759" s="32"/>
      <c r="D759" s="18" t="s">
        <v>4189</v>
      </c>
      <c r="E759" s="63" t="s">
        <v>292</v>
      </c>
      <c r="F759" s="63" t="s">
        <v>1051</v>
      </c>
      <c r="G759" s="50" t="s">
        <v>4190</v>
      </c>
      <c r="H759" s="57">
        <v>5500</v>
      </c>
      <c r="I759" s="227">
        <v>-628</v>
      </c>
      <c r="J759" s="57">
        <f t="shared" si="88"/>
        <v>4872</v>
      </c>
      <c r="K759" s="50">
        <v>1</v>
      </c>
      <c r="L759" s="57">
        <f t="shared" si="89"/>
        <v>4872</v>
      </c>
      <c r="M759" s="228">
        <f t="shared" si="90"/>
        <v>5359</v>
      </c>
      <c r="N759" s="18" t="s">
        <v>25</v>
      </c>
      <c r="O759" s="50"/>
    </row>
    <row r="760" spans="1:16" ht="21.75" customHeight="1" x14ac:dyDescent="0.4">
      <c r="A760" s="62">
        <v>45623</v>
      </c>
      <c r="B760" s="37" t="s">
        <v>4236</v>
      </c>
      <c r="C760" s="222"/>
      <c r="D760" s="18" t="s">
        <v>22</v>
      </c>
      <c r="E760" s="63" t="s">
        <v>1496</v>
      </c>
      <c r="F760" s="63"/>
      <c r="G760" s="50" t="s">
        <v>49</v>
      </c>
      <c r="H760" s="57">
        <v>3000</v>
      </c>
      <c r="I760" s="227"/>
      <c r="J760" s="57">
        <f t="shared" si="88"/>
        <v>3000</v>
      </c>
      <c r="K760" s="50">
        <v>1</v>
      </c>
      <c r="L760" s="57">
        <f t="shared" si="89"/>
        <v>3000</v>
      </c>
      <c r="M760" s="232">
        <f t="shared" si="90"/>
        <v>3300</v>
      </c>
      <c r="N760" s="18" t="s">
        <v>4233</v>
      </c>
      <c r="O760" s="130" t="s">
        <v>4234</v>
      </c>
      <c r="P760" s="50"/>
    </row>
    <row r="761" spans="1:16" ht="21.75" customHeight="1" x14ac:dyDescent="0.4">
      <c r="A761" s="62">
        <v>45624</v>
      </c>
      <c r="B761" s="32" t="s">
        <v>4191</v>
      </c>
      <c r="C761" s="32"/>
      <c r="D761" s="18" t="s">
        <v>22</v>
      </c>
      <c r="E761" s="63" t="s">
        <v>23</v>
      </c>
      <c r="F761" s="63"/>
      <c r="G761" s="50" t="s">
        <v>4192</v>
      </c>
      <c r="H761" s="57">
        <v>15000</v>
      </c>
      <c r="I761" s="227"/>
      <c r="J761" s="57">
        <f t="shared" si="88"/>
        <v>15000</v>
      </c>
      <c r="K761" s="50">
        <v>1</v>
      </c>
      <c r="L761" s="57">
        <f t="shared" si="89"/>
        <v>15000</v>
      </c>
      <c r="M761" s="228">
        <f t="shared" si="90"/>
        <v>16500</v>
      </c>
      <c r="N761" s="18" t="s">
        <v>25</v>
      </c>
      <c r="O761" s="50" t="s">
        <v>1954</v>
      </c>
    </row>
    <row r="762" spans="1:16" ht="21.75" customHeight="1" x14ac:dyDescent="0.4">
      <c r="A762" s="62">
        <v>45619</v>
      </c>
      <c r="B762" s="32" t="s">
        <v>4166</v>
      </c>
      <c r="C762" s="32"/>
      <c r="D762" s="18" t="s">
        <v>4168</v>
      </c>
      <c r="E762" s="63" t="s">
        <v>328</v>
      </c>
      <c r="F762" s="63" t="s">
        <v>788</v>
      </c>
      <c r="G762" s="50" t="s">
        <v>4169</v>
      </c>
      <c r="H762" s="57">
        <v>55000</v>
      </c>
      <c r="I762" s="227">
        <v>-16500</v>
      </c>
      <c r="J762" s="57">
        <f t="shared" si="88"/>
        <v>38500</v>
      </c>
      <c r="K762" s="50">
        <v>1</v>
      </c>
      <c r="L762" s="57">
        <f t="shared" si="89"/>
        <v>38500</v>
      </c>
      <c r="M762" s="228">
        <f t="shared" si="90"/>
        <v>42350</v>
      </c>
      <c r="N762" s="18" t="s">
        <v>34</v>
      </c>
      <c r="O762" s="50"/>
    </row>
    <row r="763" spans="1:16" ht="21.75" customHeight="1" x14ac:dyDescent="0.4">
      <c r="A763" s="62">
        <v>45624</v>
      </c>
      <c r="B763" s="32" t="s">
        <v>4191</v>
      </c>
      <c r="C763" s="32"/>
      <c r="D763" s="18" t="s">
        <v>4189</v>
      </c>
      <c r="E763" s="63" t="s">
        <v>4195</v>
      </c>
      <c r="F763" s="63" t="s">
        <v>4196</v>
      </c>
      <c r="G763" s="50" t="s">
        <v>4008</v>
      </c>
      <c r="H763" s="57">
        <v>80000</v>
      </c>
      <c r="I763" s="227"/>
      <c r="J763" s="57">
        <f t="shared" si="88"/>
        <v>80000</v>
      </c>
      <c r="K763" s="50">
        <v>1</v>
      </c>
      <c r="L763" s="57">
        <f t="shared" si="89"/>
        <v>80000</v>
      </c>
      <c r="M763" s="228">
        <f t="shared" si="90"/>
        <v>88000</v>
      </c>
      <c r="N763" s="18" t="s">
        <v>34</v>
      </c>
      <c r="O763" s="50"/>
    </row>
    <row r="764" spans="1:16" ht="21.75" customHeight="1" x14ac:dyDescent="0.4">
      <c r="A764" s="62">
        <v>45624</v>
      </c>
      <c r="B764" s="32" t="s">
        <v>179</v>
      </c>
      <c r="C764" s="32"/>
      <c r="D764" s="18" t="s">
        <v>4201</v>
      </c>
      <c r="E764" s="63" t="s">
        <v>332</v>
      </c>
      <c r="F764" s="63" t="s">
        <v>4202</v>
      </c>
      <c r="G764" s="50" t="s">
        <v>4148</v>
      </c>
      <c r="H764" s="57">
        <v>1700</v>
      </c>
      <c r="I764" s="227">
        <v>-170</v>
      </c>
      <c r="J764" s="57">
        <f t="shared" si="88"/>
        <v>1530</v>
      </c>
      <c r="K764" s="50">
        <v>2</v>
      </c>
      <c r="L764" s="57">
        <f t="shared" si="89"/>
        <v>3060</v>
      </c>
      <c r="M764" s="228">
        <f t="shared" si="90"/>
        <v>3366</v>
      </c>
      <c r="N764" s="18" t="s">
        <v>4203</v>
      </c>
      <c r="O764" s="50"/>
    </row>
    <row r="765" spans="1:16" ht="21.75" customHeight="1" x14ac:dyDescent="0.4">
      <c r="A765" s="62">
        <v>45624</v>
      </c>
      <c r="B765" s="32" t="s">
        <v>148</v>
      </c>
      <c r="C765" s="32"/>
      <c r="D765" s="18" t="s">
        <v>27</v>
      </c>
      <c r="E765" s="63" t="s">
        <v>28</v>
      </c>
      <c r="F765" s="63"/>
      <c r="G765" s="50" t="s">
        <v>3663</v>
      </c>
      <c r="H765" s="57">
        <v>17500</v>
      </c>
      <c r="I765" s="227"/>
      <c r="J765" s="57">
        <f t="shared" si="88"/>
        <v>17500</v>
      </c>
      <c r="K765" s="50">
        <v>1</v>
      </c>
      <c r="L765" s="57">
        <f t="shared" si="89"/>
        <v>17500</v>
      </c>
      <c r="M765" s="228">
        <f t="shared" si="90"/>
        <v>19250</v>
      </c>
      <c r="N765" s="18" t="s">
        <v>4203</v>
      </c>
      <c r="O765" s="50"/>
    </row>
    <row r="766" spans="1:16" ht="21.75" customHeight="1" x14ac:dyDescent="0.4">
      <c r="A766" s="62">
        <v>45624</v>
      </c>
      <c r="B766" s="32" t="s">
        <v>148</v>
      </c>
      <c r="C766" s="32"/>
      <c r="D766" s="18" t="s">
        <v>4201</v>
      </c>
      <c r="E766" s="63" t="s">
        <v>292</v>
      </c>
      <c r="F766" s="63" t="s">
        <v>1051</v>
      </c>
      <c r="G766" s="50" t="s">
        <v>3654</v>
      </c>
      <c r="H766" s="57">
        <v>3200</v>
      </c>
      <c r="I766" s="227">
        <v>-320</v>
      </c>
      <c r="J766" s="57">
        <f t="shared" si="88"/>
        <v>2880</v>
      </c>
      <c r="K766" s="50">
        <v>1</v>
      </c>
      <c r="L766" s="57">
        <f t="shared" si="89"/>
        <v>2880</v>
      </c>
      <c r="M766" s="228">
        <f t="shared" si="90"/>
        <v>3168</v>
      </c>
      <c r="N766" s="18" t="s">
        <v>4203</v>
      </c>
      <c r="O766" s="50"/>
    </row>
    <row r="767" spans="1:16" ht="21.75" customHeight="1" x14ac:dyDescent="0.4">
      <c r="A767" s="62">
        <v>45607</v>
      </c>
      <c r="B767" s="32" t="s">
        <v>4093</v>
      </c>
      <c r="C767" s="32"/>
      <c r="D767" s="18" t="s">
        <v>4091</v>
      </c>
      <c r="E767" s="63" t="s">
        <v>328</v>
      </c>
      <c r="F767" s="63" t="s">
        <v>3595</v>
      </c>
      <c r="G767" s="50" t="s">
        <v>4095</v>
      </c>
      <c r="H767" s="57">
        <v>50000</v>
      </c>
      <c r="I767" s="227">
        <v>-10000</v>
      </c>
      <c r="J767" s="57">
        <f t="shared" si="88"/>
        <v>40000</v>
      </c>
      <c r="K767" s="50">
        <v>1</v>
      </c>
      <c r="L767" s="57">
        <f t="shared" si="89"/>
        <v>40000</v>
      </c>
      <c r="M767" s="228">
        <f t="shared" si="90"/>
        <v>44000</v>
      </c>
      <c r="N767" s="18" t="s">
        <v>34</v>
      </c>
      <c r="O767" s="50"/>
      <c r="P767" s="52" t="s">
        <v>4219</v>
      </c>
    </row>
    <row r="768" spans="1:16" ht="21.75" customHeight="1" x14ac:dyDescent="0.4">
      <c r="A768" s="62">
        <v>45625</v>
      </c>
      <c r="B768" s="32" t="s">
        <v>4204</v>
      </c>
      <c r="C768" s="32"/>
      <c r="D768" s="18" t="s">
        <v>4201</v>
      </c>
      <c r="E768" s="63" t="s">
        <v>328</v>
      </c>
      <c r="F768" s="63" t="s">
        <v>4205</v>
      </c>
      <c r="G768" s="50" t="s">
        <v>4206</v>
      </c>
      <c r="H768" s="57">
        <v>40000</v>
      </c>
      <c r="I768" s="227">
        <v>-8000</v>
      </c>
      <c r="J768" s="57">
        <f t="shared" si="88"/>
        <v>32000</v>
      </c>
      <c r="K768" s="50">
        <v>1</v>
      </c>
      <c r="L768" s="57">
        <f t="shared" si="89"/>
        <v>32000</v>
      </c>
      <c r="M768" s="228">
        <f t="shared" si="90"/>
        <v>35200</v>
      </c>
      <c r="N768" s="18" t="s">
        <v>4218</v>
      </c>
      <c r="O768" s="50"/>
      <c r="P768" s="52" t="s">
        <v>4219</v>
      </c>
    </row>
    <row r="769" spans="1:16" ht="21.75" customHeight="1" x14ac:dyDescent="0.4">
      <c r="A769" s="62">
        <v>45625</v>
      </c>
      <c r="B769" s="32" t="s">
        <v>4204</v>
      </c>
      <c r="C769" s="32"/>
      <c r="D769" s="18" t="s">
        <v>4201</v>
      </c>
      <c r="E769" s="63" t="s">
        <v>328</v>
      </c>
      <c r="F769" s="63" t="s">
        <v>4205</v>
      </c>
      <c r="G769" s="50" t="s">
        <v>4207</v>
      </c>
      <c r="H769" s="57">
        <v>25000</v>
      </c>
      <c r="I769" s="227">
        <v>-5000</v>
      </c>
      <c r="J769" s="57">
        <f t="shared" si="88"/>
        <v>20000</v>
      </c>
      <c r="K769" s="50">
        <v>2</v>
      </c>
      <c r="L769" s="57">
        <f t="shared" si="89"/>
        <v>40000</v>
      </c>
      <c r="M769" s="228">
        <f t="shared" si="90"/>
        <v>44000</v>
      </c>
      <c r="N769" s="18" t="s">
        <v>4218</v>
      </c>
      <c r="O769" s="50"/>
      <c r="P769" s="52" t="s">
        <v>4219</v>
      </c>
    </row>
    <row r="770" spans="1:16" ht="21.75" customHeight="1" x14ac:dyDescent="0.4">
      <c r="A770" s="62">
        <v>45625</v>
      </c>
      <c r="B770" s="32" t="s">
        <v>4204</v>
      </c>
      <c r="C770" s="32"/>
      <c r="D770" s="18" t="s">
        <v>4201</v>
      </c>
      <c r="E770" s="63" t="s">
        <v>4209</v>
      </c>
      <c r="F770" s="63" t="s">
        <v>4210</v>
      </c>
      <c r="G770" s="50" t="s">
        <v>4211</v>
      </c>
      <c r="H770" s="57">
        <v>80000</v>
      </c>
      <c r="I770" s="227">
        <v>-4000</v>
      </c>
      <c r="J770" s="57">
        <f t="shared" si="88"/>
        <v>76000</v>
      </c>
      <c r="K770" s="50">
        <v>1</v>
      </c>
      <c r="L770" s="57">
        <f t="shared" si="89"/>
        <v>76000</v>
      </c>
      <c r="M770" s="228">
        <f t="shared" si="90"/>
        <v>83600</v>
      </c>
      <c r="N770" s="18" t="s">
        <v>4218</v>
      </c>
      <c r="O770" s="50"/>
      <c r="P770" s="52" t="s">
        <v>4219</v>
      </c>
    </row>
    <row r="771" spans="1:16" ht="21.75" customHeight="1" x14ac:dyDescent="0.4">
      <c r="A771" s="62">
        <v>45625</v>
      </c>
      <c r="B771" s="32" t="s">
        <v>4204</v>
      </c>
      <c r="C771" s="32"/>
      <c r="D771" s="18" t="s">
        <v>4201</v>
      </c>
      <c r="E771" s="63" t="s">
        <v>4209</v>
      </c>
      <c r="F771" s="63" t="s">
        <v>4210</v>
      </c>
      <c r="G771" s="50" t="s">
        <v>4212</v>
      </c>
      <c r="H771" s="57">
        <v>52000</v>
      </c>
      <c r="I771" s="227">
        <v>-2600</v>
      </c>
      <c r="J771" s="57">
        <f t="shared" si="88"/>
        <v>49400</v>
      </c>
      <c r="K771" s="50">
        <v>1</v>
      </c>
      <c r="L771" s="57">
        <f t="shared" si="89"/>
        <v>49400</v>
      </c>
      <c r="M771" s="228">
        <f t="shared" si="90"/>
        <v>54340</v>
      </c>
      <c r="N771" s="18" t="s">
        <v>4218</v>
      </c>
      <c r="O771" s="50"/>
      <c r="P771" s="52" t="s">
        <v>4219</v>
      </c>
    </row>
    <row r="772" spans="1:16" ht="21.75" customHeight="1" x14ac:dyDescent="0.4">
      <c r="A772" s="62">
        <v>45625</v>
      </c>
      <c r="B772" s="32" t="s">
        <v>4204</v>
      </c>
      <c r="C772" s="32"/>
      <c r="D772" s="18" t="s">
        <v>4201</v>
      </c>
      <c r="E772" s="63" t="s">
        <v>4209</v>
      </c>
      <c r="F772" s="63" t="s">
        <v>4210</v>
      </c>
      <c r="G772" s="50" t="s">
        <v>4213</v>
      </c>
      <c r="H772" s="57">
        <v>52000</v>
      </c>
      <c r="I772" s="227">
        <v>-2600</v>
      </c>
      <c r="J772" s="57">
        <f t="shared" si="88"/>
        <v>49400</v>
      </c>
      <c r="K772" s="50">
        <v>1</v>
      </c>
      <c r="L772" s="57">
        <f t="shared" si="89"/>
        <v>49400</v>
      </c>
      <c r="M772" s="228">
        <f t="shared" si="90"/>
        <v>54340</v>
      </c>
      <c r="N772" s="18" t="s">
        <v>4218</v>
      </c>
      <c r="O772" s="50"/>
      <c r="P772" s="52" t="s">
        <v>4219</v>
      </c>
    </row>
    <row r="773" spans="1:16" ht="21.75" customHeight="1" x14ac:dyDescent="0.4">
      <c r="A773" s="62">
        <v>45625</v>
      </c>
      <c r="B773" s="32" t="s">
        <v>4204</v>
      </c>
      <c r="C773" s="32"/>
      <c r="D773" s="18" t="s">
        <v>4201</v>
      </c>
      <c r="E773" s="63" t="s">
        <v>4209</v>
      </c>
      <c r="F773" s="63" t="s">
        <v>4210</v>
      </c>
      <c r="G773" s="50" t="s">
        <v>4214</v>
      </c>
      <c r="H773" s="57">
        <v>50000</v>
      </c>
      <c r="I773" s="227">
        <v>-2500</v>
      </c>
      <c r="J773" s="57">
        <f t="shared" si="88"/>
        <v>47500</v>
      </c>
      <c r="K773" s="50">
        <v>1</v>
      </c>
      <c r="L773" s="57">
        <f t="shared" si="89"/>
        <v>47500</v>
      </c>
      <c r="M773" s="228">
        <f t="shared" si="90"/>
        <v>52250</v>
      </c>
      <c r="N773" s="18" t="s">
        <v>4218</v>
      </c>
      <c r="O773" s="50"/>
      <c r="P773" s="52" t="s">
        <v>4219</v>
      </c>
    </row>
    <row r="774" spans="1:16" ht="21.75" customHeight="1" x14ac:dyDescent="0.4">
      <c r="A774" s="62">
        <v>45625</v>
      </c>
      <c r="B774" s="32" t="s">
        <v>4204</v>
      </c>
      <c r="C774" s="32"/>
      <c r="D774" s="18" t="s">
        <v>4201</v>
      </c>
      <c r="E774" s="63" t="s">
        <v>4209</v>
      </c>
      <c r="F774" s="63" t="s">
        <v>4210</v>
      </c>
      <c r="G774" s="50" t="s">
        <v>4215</v>
      </c>
      <c r="H774" s="57">
        <v>50000</v>
      </c>
      <c r="I774" s="227">
        <v>-2500</v>
      </c>
      <c r="J774" s="57">
        <f t="shared" si="88"/>
        <v>47500</v>
      </c>
      <c r="K774" s="50">
        <v>1</v>
      </c>
      <c r="L774" s="57">
        <f t="shared" si="89"/>
        <v>47500</v>
      </c>
      <c r="M774" s="228">
        <f t="shared" si="90"/>
        <v>52250</v>
      </c>
      <c r="N774" s="18" t="s">
        <v>4218</v>
      </c>
      <c r="O774" s="50"/>
      <c r="P774" s="52" t="s">
        <v>4219</v>
      </c>
    </row>
    <row r="775" spans="1:16" ht="21.75" customHeight="1" x14ac:dyDescent="0.4">
      <c r="A775" s="62">
        <v>45625</v>
      </c>
      <c r="B775" s="32" t="s">
        <v>4204</v>
      </c>
      <c r="C775" s="32"/>
      <c r="D775" s="18" t="s">
        <v>4201</v>
      </c>
      <c r="E775" s="63" t="s">
        <v>332</v>
      </c>
      <c r="F775" s="63" t="s">
        <v>4202</v>
      </c>
      <c r="G775" s="50" t="s">
        <v>4216</v>
      </c>
      <c r="H775" s="57">
        <v>1300</v>
      </c>
      <c r="I775" s="227"/>
      <c r="J775" s="57">
        <f t="shared" si="88"/>
        <v>1300</v>
      </c>
      <c r="K775" s="50">
        <v>5</v>
      </c>
      <c r="L775" s="57">
        <f t="shared" si="89"/>
        <v>6500</v>
      </c>
      <c r="M775" s="228">
        <f t="shared" si="90"/>
        <v>7150</v>
      </c>
      <c r="N775" s="18" t="s">
        <v>4218</v>
      </c>
      <c r="O775" s="50"/>
      <c r="P775" s="52" t="s">
        <v>4219</v>
      </c>
    </row>
    <row r="776" spans="1:16" ht="21.75" customHeight="1" x14ac:dyDescent="0.4">
      <c r="A776" s="62">
        <v>45625</v>
      </c>
      <c r="B776" s="32" t="s">
        <v>4204</v>
      </c>
      <c r="C776" s="32"/>
      <c r="D776" s="18" t="s">
        <v>22</v>
      </c>
      <c r="E776" s="63" t="s">
        <v>23</v>
      </c>
      <c r="F776" s="63"/>
      <c r="G776" s="50" t="s">
        <v>4217</v>
      </c>
      <c r="H776" s="57">
        <v>20000</v>
      </c>
      <c r="I776" s="227">
        <v>-5000</v>
      </c>
      <c r="J776" s="57">
        <f t="shared" si="88"/>
        <v>15000</v>
      </c>
      <c r="K776" s="50">
        <v>1</v>
      </c>
      <c r="L776" s="57">
        <f t="shared" si="89"/>
        <v>15000</v>
      </c>
      <c r="M776" s="228">
        <f t="shared" si="90"/>
        <v>16500</v>
      </c>
      <c r="N776" s="18" t="s">
        <v>4218</v>
      </c>
      <c r="O776" s="50" t="s">
        <v>3773</v>
      </c>
    </row>
    <row r="777" spans="1:16" ht="21.75" customHeight="1" x14ac:dyDescent="0.4">
      <c r="A777" s="62">
        <v>45625</v>
      </c>
      <c r="B777" s="32" t="s">
        <v>4024</v>
      </c>
      <c r="C777" s="32"/>
      <c r="D777" s="18" t="s">
        <v>27</v>
      </c>
      <c r="E777" s="63" t="s">
        <v>103</v>
      </c>
      <c r="F777" s="63"/>
      <c r="G777" s="50" t="s">
        <v>104</v>
      </c>
      <c r="H777" s="57">
        <v>2500</v>
      </c>
      <c r="I777" s="227"/>
      <c r="J777" s="57">
        <f t="shared" si="88"/>
        <v>2500</v>
      </c>
      <c r="K777" s="50">
        <v>1</v>
      </c>
      <c r="L777" s="57">
        <f t="shared" si="89"/>
        <v>2500</v>
      </c>
      <c r="M777" s="228">
        <f t="shared" si="90"/>
        <v>2750</v>
      </c>
      <c r="N777" s="18" t="s">
        <v>4220</v>
      </c>
      <c r="O777" s="50"/>
    </row>
    <row r="778" spans="1:16" ht="21.75" customHeight="1" x14ac:dyDescent="0.4">
      <c r="A778" s="62">
        <v>45625</v>
      </c>
      <c r="B778" s="32" t="s">
        <v>4221</v>
      </c>
      <c r="C778" s="32"/>
      <c r="D778" s="18" t="s">
        <v>22</v>
      </c>
      <c r="E778" s="63" t="s">
        <v>23</v>
      </c>
      <c r="F778" s="63"/>
      <c r="G778" s="50" t="s">
        <v>4222</v>
      </c>
      <c r="H778" s="57">
        <v>10000</v>
      </c>
      <c r="I778" s="227"/>
      <c r="J778" s="57">
        <f t="shared" si="88"/>
        <v>10000</v>
      </c>
      <c r="K778" s="50">
        <v>1</v>
      </c>
      <c r="L778" s="57">
        <f t="shared" si="89"/>
        <v>10000</v>
      </c>
      <c r="M778" s="228">
        <f t="shared" si="90"/>
        <v>11000</v>
      </c>
      <c r="N778" s="18" t="s">
        <v>4220</v>
      </c>
      <c r="O778" s="50"/>
    </row>
    <row r="779" spans="1:16" ht="21.75" customHeight="1" x14ac:dyDescent="0.4">
      <c r="A779" s="62">
        <v>45626</v>
      </c>
      <c r="B779" s="32" t="s">
        <v>4223</v>
      </c>
      <c r="C779" s="32"/>
      <c r="D779" s="18" t="s">
        <v>22</v>
      </c>
      <c r="E779" s="63" t="s">
        <v>23</v>
      </c>
      <c r="F779" s="63"/>
      <c r="G779" s="50" t="s">
        <v>4224</v>
      </c>
      <c r="H779" s="57">
        <v>15000</v>
      </c>
      <c r="I779" s="227"/>
      <c r="J779" s="57">
        <f t="shared" si="88"/>
        <v>15000</v>
      </c>
      <c r="K779" s="50">
        <v>1</v>
      </c>
      <c r="L779" s="57">
        <f t="shared" si="89"/>
        <v>15000</v>
      </c>
      <c r="M779" s="228">
        <f t="shared" si="90"/>
        <v>16500</v>
      </c>
      <c r="N779" s="18" t="s">
        <v>34</v>
      </c>
      <c r="O779" s="50"/>
    </row>
    <row r="780" spans="1:16" ht="21.75" customHeight="1" x14ac:dyDescent="0.4">
      <c r="A780" s="62">
        <v>45625</v>
      </c>
      <c r="B780" s="32" t="s">
        <v>4204</v>
      </c>
      <c r="C780" s="32"/>
      <c r="D780" s="18" t="s">
        <v>4201</v>
      </c>
      <c r="E780" s="63" t="s">
        <v>328</v>
      </c>
      <c r="F780" s="63" t="s">
        <v>4205</v>
      </c>
      <c r="G780" s="50" t="s">
        <v>4208</v>
      </c>
      <c r="H780" s="57">
        <v>25000</v>
      </c>
      <c r="I780" s="227">
        <v>-5000</v>
      </c>
      <c r="J780" s="57">
        <f t="shared" si="88"/>
        <v>20000</v>
      </c>
      <c r="K780" s="50">
        <v>2</v>
      </c>
      <c r="L780" s="57">
        <f t="shared" si="89"/>
        <v>40000</v>
      </c>
      <c r="M780" s="228">
        <f t="shared" si="90"/>
        <v>44000</v>
      </c>
      <c r="N780" s="18" t="s">
        <v>4218</v>
      </c>
      <c r="O780" s="50"/>
      <c r="P780" s="52" t="s">
        <v>4230</v>
      </c>
    </row>
    <row r="781" spans="1:16" ht="21.75" customHeight="1" x14ac:dyDescent="0.4">
      <c r="A781" s="62">
        <v>45626</v>
      </c>
      <c r="B781" s="32" t="s">
        <v>4223</v>
      </c>
      <c r="C781" s="32"/>
      <c r="D781" s="18" t="s">
        <v>4225</v>
      </c>
      <c r="E781" s="63" t="s">
        <v>332</v>
      </c>
      <c r="F781" s="63" t="s">
        <v>4228</v>
      </c>
      <c r="G781" s="50" t="s">
        <v>4229</v>
      </c>
      <c r="H781" s="57">
        <v>1300</v>
      </c>
      <c r="I781" s="227"/>
      <c r="J781" s="57">
        <f t="shared" ref="J781:J813" si="91">SUM(H781:I781)</f>
        <v>1300</v>
      </c>
      <c r="K781" s="50">
        <v>1</v>
      </c>
      <c r="L781" s="57">
        <f t="shared" ref="L781:L782" si="92">SUM(J781*K781)</f>
        <v>1300</v>
      </c>
      <c r="M781" s="228">
        <f t="shared" ref="M781:M782" si="93">ROUNDDOWN(L781*1.1,0)</f>
        <v>1430</v>
      </c>
      <c r="N781" s="18" t="s">
        <v>34</v>
      </c>
      <c r="O781" s="50"/>
      <c r="P781" s="52" t="s">
        <v>4230</v>
      </c>
    </row>
    <row r="782" spans="1:16" ht="21.75" customHeight="1" x14ac:dyDescent="0.4">
      <c r="A782" s="62">
        <v>45626</v>
      </c>
      <c r="B782" s="32" t="s">
        <v>4223</v>
      </c>
      <c r="C782" s="32"/>
      <c r="D782" s="96" t="s">
        <v>198</v>
      </c>
      <c r="E782" s="63"/>
      <c r="F782" s="63"/>
      <c r="G782" s="50" t="s">
        <v>2491</v>
      </c>
      <c r="H782" s="57">
        <v>-15000</v>
      </c>
      <c r="I782" s="227"/>
      <c r="J782" s="57">
        <f t="shared" si="91"/>
        <v>-15000</v>
      </c>
      <c r="K782" s="50">
        <v>1</v>
      </c>
      <c r="L782" s="57">
        <f t="shared" si="92"/>
        <v>-15000</v>
      </c>
      <c r="M782" s="228">
        <f t="shared" si="93"/>
        <v>-16500</v>
      </c>
      <c r="N782" s="18" t="s">
        <v>34</v>
      </c>
      <c r="O782" s="50"/>
    </row>
    <row r="783" spans="1:16" ht="21.75" customHeight="1" x14ac:dyDescent="0.4">
      <c r="A783" s="62">
        <v>45626</v>
      </c>
      <c r="B783" s="32" t="s">
        <v>4237</v>
      </c>
      <c r="C783" s="32"/>
      <c r="D783" s="18" t="s">
        <v>4232</v>
      </c>
      <c r="E783" s="63" t="s">
        <v>4238</v>
      </c>
      <c r="F783" s="63"/>
      <c r="G783" s="50"/>
      <c r="H783" s="57">
        <v>2273</v>
      </c>
      <c r="I783" s="227"/>
      <c r="J783" s="57">
        <f t="shared" si="91"/>
        <v>2273</v>
      </c>
      <c r="K783" s="50">
        <v>35</v>
      </c>
      <c r="L783" s="57">
        <v>79555</v>
      </c>
      <c r="M783" s="232">
        <v>87500</v>
      </c>
      <c r="N783" s="18" t="s">
        <v>4235</v>
      </c>
      <c r="O783" s="50"/>
    </row>
    <row r="784" spans="1:16" ht="21.75" customHeight="1" x14ac:dyDescent="0.4">
      <c r="A784" s="62">
        <v>45627</v>
      </c>
      <c r="B784" s="32" t="s">
        <v>4236</v>
      </c>
      <c r="C784" s="32" t="s">
        <v>4290</v>
      </c>
      <c r="D784" s="18" t="s">
        <v>27</v>
      </c>
      <c r="E784" s="63" t="s">
        <v>28</v>
      </c>
      <c r="F784" s="63"/>
      <c r="G784" s="50" t="s">
        <v>30</v>
      </c>
      <c r="H784" s="57">
        <v>15000</v>
      </c>
      <c r="I784" s="227"/>
      <c r="J784" s="57">
        <f t="shared" si="91"/>
        <v>15000</v>
      </c>
      <c r="K784" s="50">
        <v>1</v>
      </c>
      <c r="L784" s="57">
        <f t="shared" ref="L784:L847" si="94">SUM(J784*K784)</f>
        <v>15000</v>
      </c>
      <c r="M784" s="228">
        <f t="shared" ref="M784:M847" si="95">ROUNDDOWN(L784*1.1,0)</f>
        <v>16500</v>
      </c>
      <c r="N784" s="18" t="s">
        <v>25</v>
      </c>
      <c r="O784" s="50"/>
    </row>
    <row r="785" spans="1:16" ht="21.75" customHeight="1" x14ac:dyDescent="0.4">
      <c r="A785" s="62">
        <v>45627</v>
      </c>
      <c r="B785" s="32" t="s">
        <v>4236</v>
      </c>
      <c r="C785" s="32" t="s">
        <v>4290</v>
      </c>
      <c r="D785" s="18" t="s">
        <v>27</v>
      </c>
      <c r="E785" s="63" t="s">
        <v>28</v>
      </c>
      <c r="F785" s="63"/>
      <c r="G785" s="50" t="s">
        <v>29</v>
      </c>
      <c r="H785" s="57">
        <v>13120</v>
      </c>
      <c r="I785" s="227"/>
      <c r="J785" s="57">
        <f t="shared" si="91"/>
        <v>13120</v>
      </c>
      <c r="K785" s="50">
        <v>1</v>
      </c>
      <c r="L785" s="57">
        <f t="shared" si="94"/>
        <v>13120</v>
      </c>
      <c r="M785" s="228">
        <f t="shared" si="95"/>
        <v>14432</v>
      </c>
      <c r="N785" s="18" t="s">
        <v>25</v>
      </c>
      <c r="O785" s="50"/>
    </row>
    <row r="786" spans="1:16" ht="21.75" customHeight="1" x14ac:dyDescent="0.4">
      <c r="A786" s="62">
        <v>45627</v>
      </c>
      <c r="B786" s="32" t="s">
        <v>4239</v>
      </c>
      <c r="C786" s="32" t="s">
        <v>4291</v>
      </c>
      <c r="D786" s="18" t="s">
        <v>22</v>
      </c>
      <c r="E786" s="63" t="s">
        <v>1496</v>
      </c>
      <c r="F786" s="63"/>
      <c r="G786" s="50" t="s">
        <v>3470</v>
      </c>
      <c r="H786" s="57">
        <v>2000</v>
      </c>
      <c r="I786" s="227"/>
      <c r="J786" s="57">
        <f t="shared" si="91"/>
        <v>2000</v>
      </c>
      <c r="K786" s="50">
        <v>1</v>
      </c>
      <c r="L786" s="57">
        <f t="shared" si="94"/>
        <v>2000</v>
      </c>
      <c r="M786" s="228">
        <f t="shared" si="95"/>
        <v>2200</v>
      </c>
      <c r="N786" s="18" t="s">
        <v>4240</v>
      </c>
      <c r="O786" s="50"/>
    </row>
    <row r="787" spans="1:16" ht="21.75" customHeight="1" x14ac:dyDescent="0.4">
      <c r="A787" s="62">
        <v>45628</v>
      </c>
      <c r="B787" s="32" t="s">
        <v>633</v>
      </c>
      <c r="C787" s="32" t="s">
        <v>4290</v>
      </c>
      <c r="D787" s="18" t="s">
        <v>4241</v>
      </c>
      <c r="E787" s="63" t="s">
        <v>332</v>
      </c>
      <c r="F787" s="63" t="s">
        <v>4242</v>
      </c>
      <c r="G787" s="50" t="s">
        <v>4243</v>
      </c>
      <c r="H787" s="57">
        <v>1300</v>
      </c>
      <c r="I787" s="227">
        <v>-130</v>
      </c>
      <c r="J787" s="57">
        <f t="shared" si="91"/>
        <v>1170</v>
      </c>
      <c r="K787" s="50">
        <v>2</v>
      </c>
      <c r="L787" s="57">
        <f t="shared" si="94"/>
        <v>2340</v>
      </c>
      <c r="M787" s="228">
        <f t="shared" si="95"/>
        <v>2574</v>
      </c>
      <c r="N787" s="18" t="s">
        <v>34</v>
      </c>
      <c r="O787" s="50"/>
    </row>
    <row r="788" spans="1:16" ht="21.75" customHeight="1" x14ac:dyDescent="0.4">
      <c r="A788" s="62">
        <v>45628</v>
      </c>
      <c r="B788" s="32" t="s">
        <v>4221</v>
      </c>
      <c r="C788" s="32" t="s">
        <v>4290</v>
      </c>
      <c r="D788" s="18" t="s">
        <v>4241</v>
      </c>
      <c r="E788" s="63" t="s">
        <v>328</v>
      </c>
      <c r="F788" s="63" t="s">
        <v>4244</v>
      </c>
      <c r="G788" s="50" t="s">
        <v>4245</v>
      </c>
      <c r="H788" s="57">
        <v>72000</v>
      </c>
      <c r="I788" s="227">
        <v>-21600</v>
      </c>
      <c r="J788" s="57">
        <f t="shared" si="91"/>
        <v>50400</v>
      </c>
      <c r="K788" s="50">
        <v>1</v>
      </c>
      <c r="L788" s="57">
        <f t="shared" si="94"/>
        <v>50400</v>
      </c>
      <c r="M788" s="228">
        <f t="shared" si="95"/>
        <v>55440</v>
      </c>
      <c r="N788" s="18" t="s">
        <v>4240</v>
      </c>
      <c r="O788" s="50"/>
      <c r="P788" s="52" t="s">
        <v>4275</v>
      </c>
    </row>
    <row r="789" spans="1:16" ht="21.75" customHeight="1" x14ac:dyDescent="0.4">
      <c r="A789" s="62">
        <v>45628</v>
      </c>
      <c r="B789" s="32" t="s">
        <v>4221</v>
      </c>
      <c r="C789" s="32" t="s">
        <v>4290</v>
      </c>
      <c r="D789" s="18" t="s">
        <v>4241</v>
      </c>
      <c r="E789" s="63" t="s">
        <v>332</v>
      </c>
      <c r="F789" s="63" t="s">
        <v>4246</v>
      </c>
      <c r="G789" s="50" t="s">
        <v>4247</v>
      </c>
      <c r="H789" s="57">
        <v>2400</v>
      </c>
      <c r="I789" s="227">
        <v>-240</v>
      </c>
      <c r="J789" s="57">
        <f t="shared" si="91"/>
        <v>2160</v>
      </c>
      <c r="K789" s="50">
        <v>1</v>
      </c>
      <c r="L789" s="57">
        <f t="shared" si="94"/>
        <v>2160</v>
      </c>
      <c r="M789" s="228">
        <f t="shared" si="95"/>
        <v>2376</v>
      </c>
      <c r="N789" s="18" t="s">
        <v>4240</v>
      </c>
      <c r="O789" s="50"/>
      <c r="P789" s="52" t="s">
        <v>4275</v>
      </c>
    </row>
    <row r="790" spans="1:16" ht="21.75" customHeight="1" x14ac:dyDescent="0.4">
      <c r="A790" s="62">
        <v>45630</v>
      </c>
      <c r="B790" s="32" t="s">
        <v>67</v>
      </c>
      <c r="C790" s="32" t="s">
        <v>4292</v>
      </c>
      <c r="D790" s="18" t="s">
        <v>4241</v>
      </c>
      <c r="E790" s="63" t="s">
        <v>1442</v>
      </c>
      <c r="F790" s="63" t="s">
        <v>1051</v>
      </c>
      <c r="G790" s="50" t="s">
        <v>4248</v>
      </c>
      <c r="H790" s="57">
        <v>18000</v>
      </c>
      <c r="I790" s="227"/>
      <c r="J790" s="57">
        <f t="shared" si="91"/>
        <v>18000</v>
      </c>
      <c r="K790" s="50">
        <v>1</v>
      </c>
      <c r="L790" s="57">
        <f t="shared" si="94"/>
        <v>18000</v>
      </c>
      <c r="M790" s="228">
        <f t="shared" si="95"/>
        <v>19800</v>
      </c>
      <c r="N790" s="18" t="s">
        <v>34</v>
      </c>
      <c r="O790" s="50"/>
    </row>
    <row r="791" spans="1:16" ht="21.75" customHeight="1" x14ac:dyDescent="0.4">
      <c r="A791" s="62">
        <v>45630</v>
      </c>
      <c r="B791" s="32" t="s">
        <v>503</v>
      </c>
      <c r="C791" s="32" t="s">
        <v>4290</v>
      </c>
      <c r="D791" s="18" t="s">
        <v>4241</v>
      </c>
      <c r="E791" s="63" t="s">
        <v>426</v>
      </c>
      <c r="F791" s="63" t="s">
        <v>4249</v>
      </c>
      <c r="G791" s="50" t="s">
        <v>4250</v>
      </c>
      <c r="H791" s="57">
        <v>1800</v>
      </c>
      <c r="I791" s="227">
        <v>-180</v>
      </c>
      <c r="J791" s="57">
        <f t="shared" si="91"/>
        <v>1620</v>
      </c>
      <c r="K791" s="50">
        <v>2</v>
      </c>
      <c r="L791" s="57">
        <f t="shared" si="94"/>
        <v>3240</v>
      </c>
      <c r="M791" s="228">
        <f t="shared" si="95"/>
        <v>3564</v>
      </c>
      <c r="N791" s="487" t="s">
        <v>4254</v>
      </c>
      <c r="O791" s="490" t="s">
        <v>4255</v>
      </c>
    </row>
    <row r="792" spans="1:16" ht="21.75" customHeight="1" x14ac:dyDescent="0.4">
      <c r="A792" s="62">
        <v>45630</v>
      </c>
      <c r="B792" s="32" t="s">
        <v>503</v>
      </c>
      <c r="C792" s="32" t="s">
        <v>4290</v>
      </c>
      <c r="D792" s="18" t="s">
        <v>4241</v>
      </c>
      <c r="E792" s="63" t="s">
        <v>4251</v>
      </c>
      <c r="F792" s="63" t="s">
        <v>4252</v>
      </c>
      <c r="G792" s="50" t="s">
        <v>4253</v>
      </c>
      <c r="H792" s="57">
        <v>3800</v>
      </c>
      <c r="I792" s="227">
        <v>-380</v>
      </c>
      <c r="J792" s="57">
        <f t="shared" si="91"/>
        <v>3420</v>
      </c>
      <c r="K792" s="50">
        <v>2</v>
      </c>
      <c r="L792" s="57">
        <f t="shared" si="94"/>
        <v>6840</v>
      </c>
      <c r="M792" s="228">
        <f t="shared" si="95"/>
        <v>7524</v>
      </c>
      <c r="N792" s="489"/>
      <c r="O792" s="491"/>
    </row>
    <row r="793" spans="1:16" ht="21.75" customHeight="1" x14ac:dyDescent="0.4">
      <c r="A793" s="62">
        <v>45632</v>
      </c>
      <c r="B793" s="32" t="s">
        <v>4024</v>
      </c>
      <c r="C793" s="32" t="s">
        <v>4290</v>
      </c>
      <c r="D793" s="18" t="s">
        <v>27</v>
      </c>
      <c r="E793" s="63" t="s">
        <v>28</v>
      </c>
      <c r="F793" s="63"/>
      <c r="G793" s="50" t="s">
        <v>73</v>
      </c>
      <c r="H793" s="57">
        <v>2000</v>
      </c>
      <c r="I793" s="227"/>
      <c r="J793" s="57">
        <f t="shared" si="91"/>
        <v>2000</v>
      </c>
      <c r="K793" s="50">
        <v>2</v>
      </c>
      <c r="L793" s="57">
        <f t="shared" si="94"/>
        <v>4000</v>
      </c>
      <c r="M793" s="228">
        <f t="shared" si="95"/>
        <v>4400</v>
      </c>
      <c r="N793" s="18" t="s">
        <v>4240</v>
      </c>
      <c r="O793" s="50"/>
    </row>
    <row r="794" spans="1:16" ht="21.75" customHeight="1" x14ac:dyDescent="0.4">
      <c r="A794" s="62">
        <v>45632</v>
      </c>
      <c r="B794" s="32" t="s">
        <v>4024</v>
      </c>
      <c r="C794" s="32" t="s">
        <v>4290</v>
      </c>
      <c r="D794" s="18" t="s">
        <v>27</v>
      </c>
      <c r="E794" s="63" t="s">
        <v>103</v>
      </c>
      <c r="F794" s="63"/>
      <c r="G794" s="50" t="s">
        <v>104</v>
      </c>
      <c r="H794" s="57">
        <v>2500</v>
      </c>
      <c r="I794" s="227"/>
      <c r="J794" s="57">
        <f t="shared" si="91"/>
        <v>2500</v>
      </c>
      <c r="K794" s="50">
        <v>1</v>
      </c>
      <c r="L794" s="57">
        <f t="shared" si="94"/>
        <v>2500</v>
      </c>
      <c r="M794" s="228">
        <f t="shared" si="95"/>
        <v>2750</v>
      </c>
      <c r="N794" s="18" t="s">
        <v>4240</v>
      </c>
      <c r="O794" s="50"/>
    </row>
    <row r="795" spans="1:16" ht="21.75" customHeight="1" x14ac:dyDescent="0.4">
      <c r="A795" s="62">
        <v>45633</v>
      </c>
      <c r="B795" s="32" t="s">
        <v>4256</v>
      </c>
      <c r="C795" s="32" t="s">
        <v>4290</v>
      </c>
      <c r="D795" s="18" t="s">
        <v>4241</v>
      </c>
      <c r="E795" s="63" t="s">
        <v>332</v>
      </c>
      <c r="F795" s="63" t="s">
        <v>3553</v>
      </c>
      <c r="G795" s="50" t="s">
        <v>4257</v>
      </c>
      <c r="H795" s="57">
        <v>1800</v>
      </c>
      <c r="I795" s="227">
        <v>-180</v>
      </c>
      <c r="J795" s="57">
        <f t="shared" si="91"/>
        <v>1620</v>
      </c>
      <c r="K795" s="50">
        <v>6</v>
      </c>
      <c r="L795" s="57">
        <f t="shared" si="94"/>
        <v>9720</v>
      </c>
      <c r="M795" s="228">
        <f t="shared" si="95"/>
        <v>10692</v>
      </c>
      <c r="N795" s="18" t="s">
        <v>34</v>
      </c>
      <c r="O795" s="50"/>
    </row>
    <row r="796" spans="1:16" ht="21.75" customHeight="1" x14ac:dyDescent="0.4">
      <c r="A796" s="62">
        <v>45633</v>
      </c>
      <c r="B796" s="32" t="s">
        <v>4256</v>
      </c>
      <c r="C796" s="32" t="s">
        <v>4290</v>
      </c>
      <c r="D796" s="18" t="s">
        <v>4241</v>
      </c>
      <c r="E796" s="63" t="s">
        <v>332</v>
      </c>
      <c r="F796" s="63" t="s">
        <v>3553</v>
      </c>
      <c r="G796" s="50" t="s">
        <v>4258</v>
      </c>
      <c r="H796" s="57">
        <v>1800</v>
      </c>
      <c r="I796" s="227">
        <v>-180</v>
      </c>
      <c r="J796" s="57">
        <f t="shared" si="91"/>
        <v>1620</v>
      </c>
      <c r="K796" s="50">
        <v>8</v>
      </c>
      <c r="L796" s="57">
        <f t="shared" si="94"/>
        <v>12960</v>
      </c>
      <c r="M796" s="228">
        <f t="shared" si="95"/>
        <v>14256</v>
      </c>
      <c r="N796" s="18" t="s">
        <v>34</v>
      </c>
      <c r="O796" s="50"/>
    </row>
    <row r="797" spans="1:16" ht="21.75" customHeight="1" x14ac:dyDescent="0.4">
      <c r="A797" s="62">
        <v>45633</v>
      </c>
      <c r="B797" s="32" t="s">
        <v>4259</v>
      </c>
      <c r="C797" s="32" t="s">
        <v>4292</v>
      </c>
      <c r="D797" s="18" t="s">
        <v>4241</v>
      </c>
      <c r="E797" s="63" t="s">
        <v>292</v>
      </c>
      <c r="F797" s="63" t="s">
        <v>1051</v>
      </c>
      <c r="G797" s="50" t="s">
        <v>4260</v>
      </c>
      <c r="H797" s="57">
        <v>4000</v>
      </c>
      <c r="I797" s="227">
        <v>-1000</v>
      </c>
      <c r="J797" s="57">
        <f t="shared" si="91"/>
        <v>3000</v>
      </c>
      <c r="K797" s="50">
        <v>1</v>
      </c>
      <c r="L797" s="57">
        <f t="shared" si="94"/>
        <v>3000</v>
      </c>
      <c r="M797" s="228">
        <f t="shared" si="95"/>
        <v>3300</v>
      </c>
      <c r="N797" s="18" t="s">
        <v>25</v>
      </c>
      <c r="O797" s="50"/>
    </row>
    <row r="798" spans="1:16" ht="21.75" customHeight="1" x14ac:dyDescent="0.4">
      <c r="A798" s="62">
        <v>45633</v>
      </c>
      <c r="B798" s="32" t="s">
        <v>4259</v>
      </c>
      <c r="C798" s="32" t="s">
        <v>4292</v>
      </c>
      <c r="D798" s="18" t="s">
        <v>4241</v>
      </c>
      <c r="E798" s="63" t="s">
        <v>4251</v>
      </c>
      <c r="F798" s="63"/>
      <c r="G798" s="50" t="s">
        <v>4261</v>
      </c>
      <c r="H798" s="57">
        <v>1000</v>
      </c>
      <c r="I798" s="227">
        <v>-350</v>
      </c>
      <c r="J798" s="57">
        <f t="shared" si="91"/>
        <v>650</v>
      </c>
      <c r="K798" s="50">
        <v>1</v>
      </c>
      <c r="L798" s="57">
        <f t="shared" si="94"/>
        <v>650</v>
      </c>
      <c r="M798" s="228">
        <f t="shared" si="95"/>
        <v>715</v>
      </c>
      <c r="N798" s="18" t="s">
        <v>25</v>
      </c>
      <c r="O798" s="50"/>
    </row>
    <row r="799" spans="1:16" ht="21.75" customHeight="1" x14ac:dyDescent="0.4">
      <c r="A799" s="62">
        <v>45633</v>
      </c>
      <c r="B799" s="32" t="s">
        <v>582</v>
      </c>
      <c r="C799" s="32" t="s">
        <v>4290</v>
      </c>
      <c r="D799" s="18" t="s">
        <v>22</v>
      </c>
      <c r="E799" s="63" t="s">
        <v>23</v>
      </c>
      <c r="F799" s="63"/>
      <c r="G799" s="50" t="s">
        <v>220</v>
      </c>
      <c r="H799" s="57">
        <v>10000</v>
      </c>
      <c r="I799" s="227"/>
      <c r="J799" s="57">
        <f t="shared" si="91"/>
        <v>10000</v>
      </c>
      <c r="K799" s="50">
        <v>1</v>
      </c>
      <c r="L799" s="57">
        <f t="shared" si="94"/>
        <v>10000</v>
      </c>
      <c r="M799" s="228">
        <f t="shared" si="95"/>
        <v>11000</v>
      </c>
      <c r="N799" s="18" t="s">
        <v>4240</v>
      </c>
      <c r="O799" s="50"/>
    </row>
    <row r="800" spans="1:16" ht="21.75" customHeight="1" x14ac:dyDescent="0.4">
      <c r="A800" s="62">
        <v>45633</v>
      </c>
      <c r="B800" s="32" t="s">
        <v>582</v>
      </c>
      <c r="C800" s="32" t="s">
        <v>4290</v>
      </c>
      <c r="D800" s="18" t="s">
        <v>4241</v>
      </c>
      <c r="E800" s="63" t="s">
        <v>328</v>
      </c>
      <c r="F800" s="63" t="s">
        <v>788</v>
      </c>
      <c r="G800" s="50" t="s">
        <v>4262</v>
      </c>
      <c r="H800" s="57">
        <v>55000</v>
      </c>
      <c r="I800" s="227">
        <v>-16500</v>
      </c>
      <c r="J800" s="57">
        <f t="shared" si="91"/>
        <v>38500</v>
      </c>
      <c r="K800" s="50">
        <v>1</v>
      </c>
      <c r="L800" s="57">
        <f t="shared" si="94"/>
        <v>38500</v>
      </c>
      <c r="M800" s="228">
        <f t="shared" si="95"/>
        <v>42350</v>
      </c>
      <c r="N800" s="18" t="s">
        <v>4240</v>
      </c>
      <c r="O800" s="50"/>
      <c r="P800" s="52" t="s">
        <v>1557</v>
      </c>
    </row>
    <row r="801" spans="1:16" ht="21.75" customHeight="1" x14ac:dyDescent="0.4">
      <c r="A801" s="62">
        <v>45633</v>
      </c>
      <c r="B801" s="32" t="s">
        <v>582</v>
      </c>
      <c r="C801" s="32" t="s">
        <v>4290</v>
      </c>
      <c r="D801" s="18" t="s">
        <v>4241</v>
      </c>
      <c r="E801" s="63" t="s">
        <v>328</v>
      </c>
      <c r="F801" s="63" t="s">
        <v>788</v>
      </c>
      <c r="G801" s="50" t="s">
        <v>4263</v>
      </c>
      <c r="H801" s="57">
        <v>35000</v>
      </c>
      <c r="I801" s="227">
        <v>-17500</v>
      </c>
      <c r="J801" s="57">
        <f t="shared" si="91"/>
        <v>17500</v>
      </c>
      <c r="K801" s="50">
        <v>1</v>
      </c>
      <c r="L801" s="57">
        <f t="shared" si="94"/>
        <v>17500</v>
      </c>
      <c r="M801" s="228">
        <f t="shared" si="95"/>
        <v>19250</v>
      </c>
      <c r="N801" s="18" t="s">
        <v>4240</v>
      </c>
      <c r="O801" s="50" t="s">
        <v>4264</v>
      </c>
      <c r="P801" s="52" t="s">
        <v>1557</v>
      </c>
    </row>
    <row r="802" spans="1:16" ht="21.75" customHeight="1" x14ac:dyDescent="0.4">
      <c r="A802" s="62">
        <v>45633</v>
      </c>
      <c r="B802" s="32" t="s">
        <v>582</v>
      </c>
      <c r="C802" s="32" t="s">
        <v>4290</v>
      </c>
      <c r="D802" s="96" t="s">
        <v>198</v>
      </c>
      <c r="E802" s="63"/>
      <c r="F802" s="63"/>
      <c r="G802" s="50" t="s">
        <v>2491</v>
      </c>
      <c r="H802" s="57">
        <v>-10000</v>
      </c>
      <c r="I802" s="227"/>
      <c r="J802" s="57">
        <f t="shared" si="91"/>
        <v>-10000</v>
      </c>
      <c r="K802" s="50">
        <v>1</v>
      </c>
      <c r="L802" s="57">
        <f t="shared" si="94"/>
        <v>-10000</v>
      </c>
      <c r="M802" s="228">
        <f t="shared" si="95"/>
        <v>-11000</v>
      </c>
      <c r="N802" s="18" t="s">
        <v>4240</v>
      </c>
      <c r="O802" s="50" t="s">
        <v>4334</v>
      </c>
    </row>
    <row r="803" spans="1:16" ht="21.75" customHeight="1" x14ac:dyDescent="0.4">
      <c r="A803" s="62">
        <v>45634</v>
      </c>
      <c r="B803" s="32" t="s">
        <v>4265</v>
      </c>
      <c r="C803" s="32" t="s">
        <v>4291</v>
      </c>
      <c r="D803" s="18" t="s">
        <v>22</v>
      </c>
      <c r="E803" s="63" t="s">
        <v>23</v>
      </c>
      <c r="F803" s="63"/>
      <c r="G803" s="50" t="s">
        <v>96</v>
      </c>
      <c r="H803" s="57">
        <v>15000</v>
      </c>
      <c r="I803" s="227"/>
      <c r="J803" s="57">
        <f t="shared" si="91"/>
        <v>15000</v>
      </c>
      <c r="K803" s="50">
        <v>1</v>
      </c>
      <c r="L803" s="57">
        <f t="shared" si="94"/>
        <v>15000</v>
      </c>
      <c r="M803" s="228">
        <f t="shared" si="95"/>
        <v>16500</v>
      </c>
      <c r="N803" s="18" t="s">
        <v>25</v>
      </c>
      <c r="O803" s="50" t="s">
        <v>1954</v>
      </c>
    </row>
    <row r="804" spans="1:16" ht="21.75" customHeight="1" x14ac:dyDescent="0.4">
      <c r="A804" s="62">
        <v>45634</v>
      </c>
      <c r="B804" s="32" t="s">
        <v>4266</v>
      </c>
      <c r="C804" s="32" t="s">
        <v>4290</v>
      </c>
      <c r="D804" s="18" t="s">
        <v>27</v>
      </c>
      <c r="E804" s="63" t="s">
        <v>28</v>
      </c>
      <c r="F804" s="63"/>
      <c r="G804" s="50" t="s">
        <v>73</v>
      </c>
      <c r="H804" s="57">
        <v>2000</v>
      </c>
      <c r="I804" s="227"/>
      <c r="J804" s="57">
        <f t="shared" si="91"/>
        <v>2000</v>
      </c>
      <c r="K804" s="50">
        <v>3</v>
      </c>
      <c r="L804" s="57">
        <f t="shared" si="94"/>
        <v>6000</v>
      </c>
      <c r="M804" s="228">
        <f t="shared" si="95"/>
        <v>6600</v>
      </c>
      <c r="N804" s="18" t="s">
        <v>25</v>
      </c>
      <c r="O804" s="50"/>
    </row>
    <row r="805" spans="1:16" ht="21.75" customHeight="1" x14ac:dyDescent="0.4">
      <c r="A805" s="62">
        <v>45634</v>
      </c>
      <c r="B805" s="32" t="s">
        <v>4265</v>
      </c>
      <c r="C805" s="32" t="s">
        <v>4291</v>
      </c>
      <c r="D805" s="18" t="s">
        <v>4241</v>
      </c>
      <c r="E805" s="63" t="s">
        <v>328</v>
      </c>
      <c r="F805" s="63" t="s">
        <v>4267</v>
      </c>
      <c r="G805" s="50" t="s">
        <v>4268</v>
      </c>
      <c r="H805" s="57">
        <v>42000</v>
      </c>
      <c r="I805" s="227">
        <v>-8400</v>
      </c>
      <c r="J805" s="57">
        <f t="shared" si="91"/>
        <v>33600</v>
      </c>
      <c r="K805" s="50">
        <v>1</v>
      </c>
      <c r="L805" s="57">
        <f t="shared" si="94"/>
        <v>33600</v>
      </c>
      <c r="M805" s="228">
        <f t="shared" si="95"/>
        <v>36960</v>
      </c>
      <c r="N805" s="18" t="s">
        <v>34</v>
      </c>
      <c r="O805" s="50"/>
      <c r="P805" s="52" t="s">
        <v>4276</v>
      </c>
    </row>
    <row r="806" spans="1:16" ht="21.75" customHeight="1" x14ac:dyDescent="0.4">
      <c r="A806" s="62">
        <v>45634</v>
      </c>
      <c r="B806" s="32" t="s">
        <v>4265</v>
      </c>
      <c r="C806" s="32" t="s">
        <v>4291</v>
      </c>
      <c r="D806" s="18" t="s">
        <v>4241</v>
      </c>
      <c r="E806" s="63" t="s">
        <v>330</v>
      </c>
      <c r="F806" s="63" t="s">
        <v>1051</v>
      </c>
      <c r="G806" s="50" t="s">
        <v>4269</v>
      </c>
      <c r="H806" s="57">
        <v>5000</v>
      </c>
      <c r="I806" s="227"/>
      <c r="J806" s="57">
        <f t="shared" si="91"/>
        <v>5000</v>
      </c>
      <c r="K806" s="50">
        <v>1</v>
      </c>
      <c r="L806" s="57">
        <f t="shared" si="94"/>
        <v>5000</v>
      </c>
      <c r="M806" s="228">
        <f t="shared" si="95"/>
        <v>5500</v>
      </c>
      <c r="N806" s="18" t="s">
        <v>34</v>
      </c>
      <c r="O806" s="50"/>
      <c r="P806" s="52" t="s">
        <v>4276</v>
      </c>
    </row>
    <row r="807" spans="1:16" ht="21.75" customHeight="1" x14ac:dyDescent="0.4">
      <c r="A807" s="62">
        <v>45634</v>
      </c>
      <c r="B807" s="32" t="s">
        <v>4265</v>
      </c>
      <c r="C807" s="32" t="s">
        <v>4291</v>
      </c>
      <c r="D807" s="18" t="s">
        <v>4241</v>
      </c>
      <c r="E807" s="63" t="s">
        <v>332</v>
      </c>
      <c r="F807" s="63" t="s">
        <v>4242</v>
      </c>
      <c r="G807" s="50" t="s">
        <v>4270</v>
      </c>
      <c r="H807" s="57">
        <v>1300</v>
      </c>
      <c r="I807" s="227"/>
      <c r="J807" s="57">
        <f t="shared" si="91"/>
        <v>1300</v>
      </c>
      <c r="K807" s="50">
        <v>1</v>
      </c>
      <c r="L807" s="57">
        <f t="shared" si="94"/>
        <v>1300</v>
      </c>
      <c r="M807" s="228">
        <f t="shared" si="95"/>
        <v>1430</v>
      </c>
      <c r="N807" s="18" t="s">
        <v>34</v>
      </c>
      <c r="O807" s="50"/>
      <c r="P807" s="52" t="s">
        <v>4276</v>
      </c>
    </row>
    <row r="808" spans="1:16" ht="21.75" customHeight="1" x14ac:dyDescent="0.4">
      <c r="A808" s="62">
        <v>45634</v>
      </c>
      <c r="B808" s="32" t="s">
        <v>633</v>
      </c>
      <c r="C808" s="32" t="s">
        <v>4290</v>
      </c>
      <c r="D808" s="18" t="s">
        <v>4241</v>
      </c>
      <c r="E808" s="63" t="s">
        <v>292</v>
      </c>
      <c r="F808" s="63" t="s">
        <v>1051</v>
      </c>
      <c r="G808" s="50" t="s">
        <v>4271</v>
      </c>
      <c r="H808" s="57">
        <v>4000</v>
      </c>
      <c r="I808" s="227">
        <v>-400</v>
      </c>
      <c r="J808" s="57">
        <f t="shared" si="91"/>
        <v>3600</v>
      </c>
      <c r="K808" s="50">
        <v>1</v>
      </c>
      <c r="L808" s="57">
        <f t="shared" si="94"/>
        <v>3600</v>
      </c>
      <c r="M808" s="228">
        <f t="shared" si="95"/>
        <v>3960</v>
      </c>
      <c r="N808" s="18" t="s">
        <v>25</v>
      </c>
      <c r="O808" s="50"/>
    </row>
    <row r="809" spans="1:16" ht="21.75" customHeight="1" x14ac:dyDescent="0.4">
      <c r="A809" s="62">
        <v>45634</v>
      </c>
      <c r="B809" s="32" t="s">
        <v>4272</v>
      </c>
      <c r="C809" s="32" t="s">
        <v>4291</v>
      </c>
      <c r="D809" s="18" t="s">
        <v>22</v>
      </c>
      <c r="E809" s="63" t="s">
        <v>23</v>
      </c>
      <c r="F809" s="63"/>
      <c r="G809" s="50" t="s">
        <v>96</v>
      </c>
      <c r="H809" s="57">
        <v>15000</v>
      </c>
      <c r="I809" s="227"/>
      <c r="J809" s="57">
        <f t="shared" si="91"/>
        <v>15000</v>
      </c>
      <c r="K809" s="50">
        <v>1</v>
      </c>
      <c r="L809" s="57">
        <f t="shared" si="94"/>
        <v>15000</v>
      </c>
      <c r="M809" s="228">
        <f t="shared" si="95"/>
        <v>16500</v>
      </c>
      <c r="N809" s="18" t="s">
        <v>25</v>
      </c>
      <c r="O809" s="50" t="s">
        <v>1954</v>
      </c>
    </row>
    <row r="810" spans="1:16" ht="21.75" customHeight="1" x14ac:dyDescent="0.4">
      <c r="A810" s="62">
        <v>45634</v>
      </c>
      <c r="B810" s="32" t="s">
        <v>4272</v>
      </c>
      <c r="C810" s="32" t="s">
        <v>4291</v>
      </c>
      <c r="D810" s="18" t="s">
        <v>4241</v>
      </c>
      <c r="E810" s="63" t="s">
        <v>32</v>
      </c>
      <c r="F810" s="63" t="s">
        <v>3595</v>
      </c>
      <c r="G810" s="50" t="s">
        <v>4273</v>
      </c>
      <c r="H810" s="57">
        <v>50000</v>
      </c>
      <c r="I810" s="227">
        <v>-10000</v>
      </c>
      <c r="J810" s="57">
        <f t="shared" si="91"/>
        <v>40000</v>
      </c>
      <c r="K810" s="50">
        <v>1</v>
      </c>
      <c r="L810" s="57">
        <f t="shared" si="94"/>
        <v>40000</v>
      </c>
      <c r="M810" s="228">
        <f t="shared" si="95"/>
        <v>44000</v>
      </c>
      <c r="N810" s="18" t="s">
        <v>34</v>
      </c>
      <c r="O810" s="50"/>
      <c r="P810" s="52" t="s">
        <v>4276</v>
      </c>
    </row>
    <row r="811" spans="1:16" ht="21.75" customHeight="1" x14ac:dyDescent="0.4">
      <c r="A811" s="62">
        <v>45634</v>
      </c>
      <c r="B811" s="32" t="s">
        <v>4272</v>
      </c>
      <c r="C811" s="32" t="s">
        <v>4291</v>
      </c>
      <c r="D811" s="18" t="s">
        <v>4241</v>
      </c>
      <c r="E811" s="63" t="s">
        <v>2617</v>
      </c>
      <c r="F811" s="63" t="s">
        <v>1051</v>
      </c>
      <c r="G811" s="50" t="s">
        <v>4269</v>
      </c>
      <c r="H811" s="57">
        <v>5000</v>
      </c>
      <c r="I811" s="227"/>
      <c r="J811" s="57">
        <f t="shared" si="91"/>
        <v>5000</v>
      </c>
      <c r="K811" s="50">
        <v>1</v>
      </c>
      <c r="L811" s="57">
        <f t="shared" si="94"/>
        <v>5000</v>
      </c>
      <c r="M811" s="228">
        <f t="shared" si="95"/>
        <v>5500</v>
      </c>
      <c r="N811" s="18" t="s">
        <v>34</v>
      </c>
      <c r="O811" s="50"/>
      <c r="P811" s="52" t="s">
        <v>4276</v>
      </c>
    </row>
    <row r="812" spans="1:16" ht="21.75" customHeight="1" x14ac:dyDescent="0.4">
      <c r="A812" s="62">
        <v>45634</v>
      </c>
      <c r="B812" s="32" t="s">
        <v>4272</v>
      </c>
      <c r="C812" s="32" t="s">
        <v>4291</v>
      </c>
      <c r="D812" s="18" t="s">
        <v>4241</v>
      </c>
      <c r="E812" s="63" t="s">
        <v>455</v>
      </c>
      <c r="F812" s="63" t="s">
        <v>3554</v>
      </c>
      <c r="G812" s="50" t="s">
        <v>4274</v>
      </c>
      <c r="H812" s="57">
        <v>1200</v>
      </c>
      <c r="I812" s="227"/>
      <c r="J812" s="57">
        <f t="shared" si="91"/>
        <v>1200</v>
      </c>
      <c r="K812" s="50">
        <v>1</v>
      </c>
      <c r="L812" s="57">
        <f t="shared" si="94"/>
        <v>1200</v>
      </c>
      <c r="M812" s="228">
        <f t="shared" si="95"/>
        <v>1320</v>
      </c>
      <c r="N812" s="18" t="s">
        <v>34</v>
      </c>
      <c r="O812" s="50"/>
      <c r="P812" s="52" t="s">
        <v>4276</v>
      </c>
    </row>
    <row r="813" spans="1:16" ht="21.75" customHeight="1" x14ac:dyDescent="0.4">
      <c r="A813" s="62">
        <v>45635</v>
      </c>
      <c r="B813" s="32" t="s">
        <v>139</v>
      </c>
      <c r="C813" s="32" t="s">
        <v>4290</v>
      </c>
      <c r="D813" s="18" t="s">
        <v>4277</v>
      </c>
      <c r="E813" s="63" t="s">
        <v>292</v>
      </c>
      <c r="F813" s="63" t="s">
        <v>4278</v>
      </c>
      <c r="G813" s="50" t="s">
        <v>4279</v>
      </c>
      <c r="H813" s="57">
        <v>5800</v>
      </c>
      <c r="I813" s="227">
        <v>-580</v>
      </c>
      <c r="J813" s="57">
        <f t="shared" si="91"/>
        <v>5220</v>
      </c>
      <c r="K813" s="50">
        <v>1</v>
      </c>
      <c r="L813" s="57">
        <f t="shared" si="94"/>
        <v>5220</v>
      </c>
      <c r="M813" s="228">
        <f t="shared" si="95"/>
        <v>5742</v>
      </c>
      <c r="N813" s="18" t="s">
        <v>25</v>
      </c>
      <c r="O813" s="50"/>
    </row>
    <row r="814" spans="1:16" ht="21.75" customHeight="1" x14ac:dyDescent="0.4">
      <c r="A814" s="62">
        <v>45638</v>
      </c>
      <c r="B814" s="32" t="s">
        <v>4280</v>
      </c>
      <c r="C814" s="32" t="s">
        <v>4290</v>
      </c>
      <c r="D814" s="18" t="s">
        <v>27</v>
      </c>
      <c r="E814" s="63" t="s">
        <v>28</v>
      </c>
      <c r="F814" s="63"/>
      <c r="G814" s="50" t="s">
        <v>29</v>
      </c>
      <c r="H814" s="57">
        <v>13120</v>
      </c>
      <c r="I814" s="227"/>
      <c r="J814" s="57">
        <f t="shared" ref="J814:J877" si="96">SUM(H814:I814)</f>
        <v>13120</v>
      </c>
      <c r="K814" s="50">
        <v>1</v>
      </c>
      <c r="L814" s="57">
        <f t="shared" si="94"/>
        <v>13120</v>
      </c>
      <c r="M814" s="228">
        <f t="shared" si="95"/>
        <v>14432</v>
      </c>
      <c r="N814" s="18" t="s">
        <v>25</v>
      </c>
      <c r="O814" s="50"/>
    </row>
    <row r="815" spans="1:16" ht="21.75" customHeight="1" x14ac:dyDescent="0.4">
      <c r="A815" s="62">
        <v>45638</v>
      </c>
      <c r="B815" s="32" t="s">
        <v>4280</v>
      </c>
      <c r="C815" s="32" t="s">
        <v>4290</v>
      </c>
      <c r="D815" s="18" t="s">
        <v>27</v>
      </c>
      <c r="E815" s="63" t="s">
        <v>28</v>
      </c>
      <c r="F815" s="63"/>
      <c r="G815" s="50" t="s">
        <v>4281</v>
      </c>
      <c r="H815" s="57">
        <v>17500</v>
      </c>
      <c r="I815" s="227"/>
      <c r="J815" s="57">
        <f t="shared" si="96"/>
        <v>17500</v>
      </c>
      <c r="K815" s="50">
        <v>1</v>
      </c>
      <c r="L815" s="57">
        <f t="shared" si="94"/>
        <v>17500</v>
      </c>
      <c r="M815" s="228">
        <f t="shared" si="95"/>
        <v>19250</v>
      </c>
      <c r="N815" s="18" t="s">
        <v>25</v>
      </c>
      <c r="O815" s="50"/>
    </row>
    <row r="816" spans="1:16" ht="21.75" customHeight="1" x14ac:dyDescent="0.4">
      <c r="A816" s="62">
        <v>45638</v>
      </c>
      <c r="B816" s="32" t="s">
        <v>1541</v>
      </c>
      <c r="C816" s="32" t="s">
        <v>4290</v>
      </c>
      <c r="D816" s="18" t="s">
        <v>27</v>
      </c>
      <c r="E816" s="63" t="s">
        <v>28</v>
      </c>
      <c r="F816" s="63"/>
      <c r="G816" s="50" t="s">
        <v>3663</v>
      </c>
      <c r="H816" s="57">
        <v>17500</v>
      </c>
      <c r="I816" s="227"/>
      <c r="J816" s="57">
        <f t="shared" si="96"/>
        <v>17500</v>
      </c>
      <c r="K816" s="50">
        <v>1</v>
      </c>
      <c r="L816" s="57">
        <f t="shared" si="94"/>
        <v>17500</v>
      </c>
      <c r="M816" s="228">
        <f t="shared" si="95"/>
        <v>19250</v>
      </c>
      <c r="N816" s="18" t="s">
        <v>25</v>
      </c>
      <c r="O816" s="50"/>
    </row>
    <row r="817" spans="1:16" ht="21.75" customHeight="1" x14ac:dyDescent="0.4">
      <c r="A817" s="62">
        <v>45638</v>
      </c>
      <c r="B817" s="32" t="s">
        <v>179</v>
      </c>
      <c r="C817" s="32" t="s">
        <v>4290</v>
      </c>
      <c r="D817" s="18" t="s">
        <v>4277</v>
      </c>
      <c r="E817" s="63" t="s">
        <v>332</v>
      </c>
      <c r="F817" s="63" t="s">
        <v>4282</v>
      </c>
      <c r="G817" s="50" t="s">
        <v>4283</v>
      </c>
      <c r="H817" s="57">
        <v>1700</v>
      </c>
      <c r="I817" s="227">
        <v>-170</v>
      </c>
      <c r="J817" s="57">
        <f t="shared" si="96"/>
        <v>1530</v>
      </c>
      <c r="K817" s="50">
        <v>3</v>
      </c>
      <c r="L817" s="57">
        <f t="shared" si="94"/>
        <v>4590</v>
      </c>
      <c r="M817" s="228">
        <f t="shared" si="95"/>
        <v>5049</v>
      </c>
      <c r="N817" s="18" t="s">
        <v>4284</v>
      </c>
      <c r="O817" s="50"/>
    </row>
    <row r="818" spans="1:16" ht="21.75" customHeight="1" x14ac:dyDescent="0.4">
      <c r="A818" s="62">
        <v>45640</v>
      </c>
      <c r="B818" s="32" t="s">
        <v>3755</v>
      </c>
      <c r="C818" s="32" t="s">
        <v>4290</v>
      </c>
      <c r="D818" s="18" t="s">
        <v>4285</v>
      </c>
      <c r="E818" s="63" t="s">
        <v>332</v>
      </c>
      <c r="F818" s="63" t="s">
        <v>4286</v>
      </c>
      <c r="G818" s="50" t="s">
        <v>4287</v>
      </c>
      <c r="H818" s="57">
        <v>1300</v>
      </c>
      <c r="I818" s="227">
        <v>-130</v>
      </c>
      <c r="J818" s="57">
        <f t="shared" si="96"/>
        <v>1170</v>
      </c>
      <c r="K818" s="50">
        <v>1</v>
      </c>
      <c r="L818" s="57">
        <f t="shared" si="94"/>
        <v>1170</v>
      </c>
      <c r="M818" s="228">
        <f t="shared" si="95"/>
        <v>1287</v>
      </c>
      <c r="N818" s="18" t="s">
        <v>25</v>
      </c>
      <c r="O818" s="50"/>
    </row>
    <row r="819" spans="1:16" ht="21.75" customHeight="1" x14ac:dyDescent="0.4">
      <c r="A819" s="62">
        <v>45641</v>
      </c>
      <c r="B819" s="32" t="s">
        <v>4294</v>
      </c>
      <c r="C819" s="32" t="s">
        <v>4291</v>
      </c>
      <c r="D819" s="18" t="s">
        <v>22</v>
      </c>
      <c r="E819" s="63" t="s">
        <v>23</v>
      </c>
      <c r="F819" s="63"/>
      <c r="G819" s="50" t="s">
        <v>96</v>
      </c>
      <c r="H819" s="57">
        <v>15000</v>
      </c>
      <c r="I819" s="227"/>
      <c r="J819" s="57">
        <f t="shared" si="96"/>
        <v>15000</v>
      </c>
      <c r="K819" s="50">
        <v>1</v>
      </c>
      <c r="L819" s="57">
        <f t="shared" si="94"/>
        <v>15000</v>
      </c>
      <c r="M819" s="228">
        <f t="shared" si="95"/>
        <v>16500</v>
      </c>
      <c r="N819" s="18" t="s">
        <v>25</v>
      </c>
      <c r="O819" s="50" t="s">
        <v>1954</v>
      </c>
    </row>
    <row r="820" spans="1:16" ht="21.75" customHeight="1" x14ac:dyDescent="0.4">
      <c r="A820" s="62">
        <v>45641</v>
      </c>
      <c r="B820" s="32" t="s">
        <v>4294</v>
      </c>
      <c r="C820" s="32" t="s">
        <v>4291</v>
      </c>
      <c r="D820" s="18" t="s">
        <v>4295</v>
      </c>
      <c r="E820" s="63" t="s">
        <v>328</v>
      </c>
      <c r="F820" s="63" t="s">
        <v>788</v>
      </c>
      <c r="G820" s="50" t="s">
        <v>4296</v>
      </c>
      <c r="H820" s="57">
        <v>60000</v>
      </c>
      <c r="I820" s="227">
        <v>-12000</v>
      </c>
      <c r="J820" s="57">
        <f t="shared" si="96"/>
        <v>48000</v>
      </c>
      <c r="K820" s="50">
        <v>1</v>
      </c>
      <c r="L820" s="57">
        <f t="shared" si="94"/>
        <v>48000</v>
      </c>
      <c r="M820" s="228">
        <f t="shared" si="95"/>
        <v>52800</v>
      </c>
      <c r="N820" s="18" t="s">
        <v>34</v>
      </c>
      <c r="O820" s="50"/>
      <c r="P820" s="52" t="s">
        <v>4332</v>
      </c>
    </row>
    <row r="821" spans="1:16" ht="21.75" customHeight="1" x14ac:dyDescent="0.4">
      <c r="A821" s="62">
        <v>45641</v>
      </c>
      <c r="B821" s="32" t="s">
        <v>4294</v>
      </c>
      <c r="C821" s="32" t="s">
        <v>4291</v>
      </c>
      <c r="D821" s="18" t="s">
        <v>17</v>
      </c>
      <c r="E821" s="63" t="s">
        <v>455</v>
      </c>
      <c r="F821" s="63" t="s">
        <v>3658</v>
      </c>
      <c r="G821" s="50" t="s">
        <v>3173</v>
      </c>
      <c r="H821" s="57">
        <v>1300</v>
      </c>
      <c r="I821" s="227"/>
      <c r="J821" s="57">
        <f t="shared" si="96"/>
        <v>1300</v>
      </c>
      <c r="K821" s="50">
        <v>1</v>
      </c>
      <c r="L821" s="57">
        <f t="shared" si="94"/>
        <v>1300</v>
      </c>
      <c r="M821" s="228">
        <f t="shared" si="95"/>
        <v>1430</v>
      </c>
      <c r="N821" s="18" t="s">
        <v>34</v>
      </c>
      <c r="O821" s="50"/>
      <c r="P821" s="52" t="s">
        <v>4332</v>
      </c>
    </row>
    <row r="822" spans="1:16" ht="21.75" customHeight="1" x14ac:dyDescent="0.4">
      <c r="A822" s="62">
        <v>45641</v>
      </c>
      <c r="B822" s="32" t="s">
        <v>4293</v>
      </c>
      <c r="C822" s="32" t="s">
        <v>4291</v>
      </c>
      <c r="D822" s="18" t="s">
        <v>22</v>
      </c>
      <c r="E822" s="63" t="s">
        <v>1496</v>
      </c>
      <c r="F822" s="63"/>
      <c r="G822" s="50" t="s">
        <v>49</v>
      </c>
      <c r="H822" s="57">
        <v>3000</v>
      </c>
      <c r="I822" s="227"/>
      <c r="J822" s="57">
        <f t="shared" si="96"/>
        <v>3000</v>
      </c>
      <c r="K822" s="50">
        <v>1</v>
      </c>
      <c r="L822" s="57">
        <f t="shared" si="94"/>
        <v>3000</v>
      </c>
      <c r="M822" s="228">
        <f t="shared" si="95"/>
        <v>3300</v>
      </c>
      <c r="N822" s="18" t="s">
        <v>4297</v>
      </c>
      <c r="O822" s="50" t="s">
        <v>1954</v>
      </c>
    </row>
    <row r="823" spans="1:16" ht="21.75" customHeight="1" x14ac:dyDescent="0.4">
      <c r="A823" s="62">
        <v>45641</v>
      </c>
      <c r="B823" s="32" t="s">
        <v>4293</v>
      </c>
      <c r="C823" s="32" t="s">
        <v>4290</v>
      </c>
      <c r="D823" s="18" t="s">
        <v>27</v>
      </c>
      <c r="E823" s="63" t="s">
        <v>28</v>
      </c>
      <c r="F823" s="63"/>
      <c r="G823" s="50" t="s">
        <v>30</v>
      </c>
      <c r="H823" s="57">
        <v>15000</v>
      </c>
      <c r="I823" s="227">
        <v>-5000</v>
      </c>
      <c r="J823" s="57">
        <f t="shared" si="96"/>
        <v>10000</v>
      </c>
      <c r="K823" s="50">
        <v>1</v>
      </c>
      <c r="L823" s="57">
        <f t="shared" si="94"/>
        <v>10000</v>
      </c>
      <c r="M823" s="228">
        <f t="shared" si="95"/>
        <v>11000</v>
      </c>
      <c r="N823" s="18" t="s">
        <v>25</v>
      </c>
      <c r="O823" s="50" t="s">
        <v>4299</v>
      </c>
    </row>
    <row r="824" spans="1:16" ht="21.75" customHeight="1" x14ac:dyDescent="0.4">
      <c r="A824" s="62">
        <v>45641</v>
      </c>
      <c r="B824" s="32" t="s">
        <v>4293</v>
      </c>
      <c r="C824" s="32" t="s">
        <v>4290</v>
      </c>
      <c r="D824" s="18" t="s">
        <v>27</v>
      </c>
      <c r="E824" s="63" t="s">
        <v>28</v>
      </c>
      <c r="F824" s="63"/>
      <c r="G824" s="50" t="s">
        <v>4298</v>
      </c>
      <c r="H824" s="57">
        <v>17500</v>
      </c>
      <c r="I824" s="227"/>
      <c r="J824" s="57">
        <f t="shared" si="96"/>
        <v>17500</v>
      </c>
      <c r="K824" s="50">
        <v>1</v>
      </c>
      <c r="L824" s="57">
        <f t="shared" si="94"/>
        <v>17500</v>
      </c>
      <c r="M824" s="228">
        <f t="shared" si="95"/>
        <v>19250</v>
      </c>
      <c r="N824" s="18" t="s">
        <v>25</v>
      </c>
      <c r="O824" s="50"/>
    </row>
    <row r="825" spans="1:16" ht="21.75" customHeight="1" x14ac:dyDescent="0.4">
      <c r="A825" s="62">
        <v>45642</v>
      </c>
      <c r="B825" s="32" t="s">
        <v>4300</v>
      </c>
      <c r="C825" s="32" t="s">
        <v>4292</v>
      </c>
      <c r="D825" s="18" t="s">
        <v>4295</v>
      </c>
      <c r="E825" s="63" t="s">
        <v>328</v>
      </c>
      <c r="F825" s="63" t="s">
        <v>788</v>
      </c>
      <c r="G825" s="50" t="s">
        <v>4668</v>
      </c>
      <c r="H825" s="57">
        <v>12000</v>
      </c>
      <c r="I825" s="227">
        <v>-6000</v>
      </c>
      <c r="J825" s="57">
        <f t="shared" si="96"/>
        <v>6000</v>
      </c>
      <c r="K825" s="50">
        <v>1</v>
      </c>
      <c r="L825" s="57">
        <f t="shared" si="94"/>
        <v>6000</v>
      </c>
      <c r="M825" s="228">
        <f t="shared" si="95"/>
        <v>6600</v>
      </c>
      <c r="N825" s="18" t="s">
        <v>25</v>
      </c>
      <c r="O825" s="50"/>
    </row>
    <row r="826" spans="1:16" ht="21.75" customHeight="1" x14ac:dyDescent="0.4">
      <c r="A826" s="62">
        <v>45642</v>
      </c>
      <c r="B826" s="32" t="s">
        <v>4024</v>
      </c>
      <c r="C826" s="32" t="s">
        <v>4290</v>
      </c>
      <c r="D826" s="18" t="s">
        <v>27</v>
      </c>
      <c r="E826" s="63" t="s">
        <v>103</v>
      </c>
      <c r="F826" s="63"/>
      <c r="G826" s="50" t="s">
        <v>104</v>
      </c>
      <c r="H826" s="57">
        <v>2500</v>
      </c>
      <c r="I826" s="227"/>
      <c r="J826" s="57">
        <f t="shared" si="96"/>
        <v>2500</v>
      </c>
      <c r="K826" s="50">
        <v>1</v>
      </c>
      <c r="L826" s="57">
        <f t="shared" si="94"/>
        <v>2500</v>
      </c>
      <c r="M826" s="228">
        <f t="shared" si="95"/>
        <v>2750</v>
      </c>
      <c r="N826" s="18" t="s">
        <v>4297</v>
      </c>
      <c r="O826" s="50"/>
    </row>
    <row r="827" spans="1:16" ht="21.75" customHeight="1" x14ac:dyDescent="0.4">
      <c r="A827" s="62">
        <v>45642</v>
      </c>
      <c r="B827" s="32" t="s">
        <v>4301</v>
      </c>
      <c r="C827" s="32" t="s">
        <v>4290</v>
      </c>
      <c r="D827" s="18" t="s">
        <v>4295</v>
      </c>
      <c r="E827" s="63" t="s">
        <v>426</v>
      </c>
      <c r="F827" s="63" t="s">
        <v>4302</v>
      </c>
      <c r="G827" s="50" t="s">
        <v>3798</v>
      </c>
      <c r="H827" s="57">
        <v>1800</v>
      </c>
      <c r="I827" s="227">
        <v>-180</v>
      </c>
      <c r="J827" s="57">
        <f t="shared" si="96"/>
        <v>1620</v>
      </c>
      <c r="K827" s="50">
        <v>1</v>
      </c>
      <c r="L827" s="57">
        <f t="shared" si="94"/>
        <v>1620</v>
      </c>
      <c r="M827" s="228">
        <f t="shared" si="95"/>
        <v>1782</v>
      </c>
      <c r="N827" s="18" t="s">
        <v>4297</v>
      </c>
      <c r="O827" s="50"/>
    </row>
    <row r="828" spans="1:16" ht="21.75" customHeight="1" x14ac:dyDescent="0.4">
      <c r="A828" s="62">
        <v>45645</v>
      </c>
      <c r="B828" s="32" t="s">
        <v>3794</v>
      </c>
      <c r="C828" s="32" t="s">
        <v>4303</v>
      </c>
      <c r="D828" s="18" t="s">
        <v>27</v>
      </c>
      <c r="E828" s="63" t="s">
        <v>28</v>
      </c>
      <c r="F828" s="63"/>
      <c r="G828" s="50" t="s">
        <v>73</v>
      </c>
      <c r="H828" s="57">
        <v>2000</v>
      </c>
      <c r="I828" s="227"/>
      <c r="J828" s="57">
        <f t="shared" si="96"/>
        <v>2000</v>
      </c>
      <c r="K828" s="50">
        <v>2</v>
      </c>
      <c r="L828" s="57">
        <f t="shared" si="94"/>
        <v>4000</v>
      </c>
      <c r="M828" s="228">
        <f t="shared" si="95"/>
        <v>4400</v>
      </c>
      <c r="N828" s="18" t="s">
        <v>25</v>
      </c>
      <c r="O828" s="50"/>
    </row>
    <row r="829" spans="1:16" ht="21.75" customHeight="1" x14ac:dyDescent="0.4">
      <c r="A829" s="62">
        <v>45647</v>
      </c>
      <c r="B829" s="32" t="s">
        <v>2986</v>
      </c>
      <c r="C829" s="32" t="s">
        <v>4303</v>
      </c>
      <c r="D829" s="18" t="s">
        <v>4304</v>
      </c>
      <c r="E829" s="63" t="s">
        <v>18</v>
      </c>
      <c r="F829" s="63" t="s">
        <v>4305</v>
      </c>
      <c r="G829" s="50" t="s">
        <v>3867</v>
      </c>
      <c r="H829" s="57">
        <v>1800</v>
      </c>
      <c r="I829" s="227">
        <v>-180</v>
      </c>
      <c r="J829" s="57">
        <f t="shared" si="96"/>
        <v>1620</v>
      </c>
      <c r="K829" s="50">
        <v>1</v>
      </c>
      <c r="L829" s="57">
        <f t="shared" si="94"/>
        <v>1620</v>
      </c>
      <c r="M829" s="228">
        <f t="shared" si="95"/>
        <v>1782</v>
      </c>
      <c r="N829" s="18" t="s">
        <v>4306</v>
      </c>
      <c r="O829" s="50"/>
    </row>
    <row r="830" spans="1:16" ht="21.75" customHeight="1" x14ac:dyDescent="0.4">
      <c r="A830" s="62">
        <v>45648</v>
      </c>
      <c r="B830" s="32" t="s">
        <v>4307</v>
      </c>
      <c r="C830" s="32" t="s">
        <v>4303</v>
      </c>
      <c r="D830" s="18" t="s">
        <v>22</v>
      </c>
      <c r="E830" s="63" t="s">
        <v>1496</v>
      </c>
      <c r="F830" s="63"/>
      <c r="G830" s="50" t="s">
        <v>51</v>
      </c>
      <c r="H830" s="57">
        <v>4500</v>
      </c>
      <c r="I830" s="227"/>
      <c r="J830" s="57">
        <f t="shared" si="96"/>
        <v>4500</v>
      </c>
      <c r="K830" s="50">
        <v>1</v>
      </c>
      <c r="L830" s="57">
        <f t="shared" si="94"/>
        <v>4500</v>
      </c>
      <c r="M830" s="228">
        <f t="shared" si="95"/>
        <v>4950</v>
      </c>
      <c r="N830" s="18" t="s">
        <v>25</v>
      </c>
      <c r="O830" s="50"/>
    </row>
    <row r="831" spans="1:16" ht="21.75" customHeight="1" x14ac:dyDescent="0.4">
      <c r="A831" s="62">
        <v>45649</v>
      </c>
      <c r="B831" s="32" t="s">
        <v>1836</v>
      </c>
      <c r="C831" s="32" t="s">
        <v>4292</v>
      </c>
      <c r="D831" s="18" t="s">
        <v>4304</v>
      </c>
      <c r="E831" s="63" t="s">
        <v>426</v>
      </c>
      <c r="F831" s="63" t="s">
        <v>4308</v>
      </c>
      <c r="G831" s="50" t="s">
        <v>4309</v>
      </c>
      <c r="H831" s="57">
        <v>1800</v>
      </c>
      <c r="I831" s="227">
        <v>-720</v>
      </c>
      <c r="J831" s="57">
        <f t="shared" si="96"/>
        <v>1080</v>
      </c>
      <c r="K831" s="50">
        <v>3</v>
      </c>
      <c r="L831" s="57">
        <f t="shared" si="94"/>
        <v>3240</v>
      </c>
      <c r="M831" s="228">
        <f t="shared" si="95"/>
        <v>3564</v>
      </c>
      <c r="N831" s="18" t="s">
        <v>25</v>
      </c>
      <c r="O831" s="50"/>
    </row>
    <row r="832" spans="1:16" ht="21.75" customHeight="1" x14ac:dyDescent="0.4">
      <c r="A832" s="62">
        <v>45649</v>
      </c>
      <c r="B832" s="32" t="s">
        <v>1836</v>
      </c>
      <c r="C832" s="32" t="s">
        <v>4292</v>
      </c>
      <c r="D832" s="18" t="s">
        <v>4304</v>
      </c>
      <c r="E832" s="63" t="s">
        <v>426</v>
      </c>
      <c r="F832" s="63" t="s">
        <v>4308</v>
      </c>
      <c r="G832" s="50" t="s">
        <v>4310</v>
      </c>
      <c r="H832" s="57">
        <v>1800</v>
      </c>
      <c r="I832" s="227">
        <v>-720</v>
      </c>
      <c r="J832" s="57">
        <f t="shared" si="96"/>
        <v>1080</v>
      </c>
      <c r="K832" s="50">
        <v>3</v>
      </c>
      <c r="L832" s="57">
        <f t="shared" si="94"/>
        <v>3240</v>
      </c>
      <c r="M832" s="228">
        <f t="shared" si="95"/>
        <v>3564</v>
      </c>
      <c r="N832" s="18" t="s">
        <v>25</v>
      </c>
      <c r="O832" s="50"/>
    </row>
    <row r="833" spans="1:16" ht="21.75" customHeight="1" x14ac:dyDescent="0.4">
      <c r="A833" s="62">
        <v>45649</v>
      </c>
      <c r="B833" s="32" t="s">
        <v>1836</v>
      </c>
      <c r="C833" s="32" t="s">
        <v>4292</v>
      </c>
      <c r="D833" s="18" t="s">
        <v>4304</v>
      </c>
      <c r="E833" s="63" t="s">
        <v>426</v>
      </c>
      <c r="F833" s="63" t="s">
        <v>4308</v>
      </c>
      <c r="G833" s="50" t="s">
        <v>4311</v>
      </c>
      <c r="H833" s="57">
        <v>1800</v>
      </c>
      <c r="I833" s="227">
        <v>-720</v>
      </c>
      <c r="J833" s="57">
        <f t="shared" si="96"/>
        <v>1080</v>
      </c>
      <c r="K833" s="50">
        <v>1</v>
      </c>
      <c r="L833" s="57">
        <f t="shared" si="94"/>
        <v>1080</v>
      </c>
      <c r="M833" s="228">
        <f t="shared" si="95"/>
        <v>1188</v>
      </c>
      <c r="N833" s="18" t="s">
        <v>25</v>
      </c>
      <c r="O833" s="50"/>
    </row>
    <row r="834" spans="1:16" ht="21.75" customHeight="1" x14ac:dyDescent="0.4">
      <c r="A834" s="62">
        <v>45649</v>
      </c>
      <c r="B834" s="32" t="s">
        <v>1836</v>
      </c>
      <c r="C834" s="32" t="s">
        <v>4292</v>
      </c>
      <c r="D834" s="18" t="s">
        <v>4304</v>
      </c>
      <c r="E834" s="63" t="s">
        <v>426</v>
      </c>
      <c r="F834" s="63" t="s">
        <v>4308</v>
      </c>
      <c r="G834" s="50" t="s">
        <v>4311</v>
      </c>
      <c r="H834" s="57">
        <v>1800</v>
      </c>
      <c r="I834" s="227">
        <v>-720</v>
      </c>
      <c r="J834" s="57">
        <f t="shared" si="96"/>
        <v>1080</v>
      </c>
      <c r="K834" s="50">
        <v>1</v>
      </c>
      <c r="L834" s="57">
        <f t="shared" si="94"/>
        <v>1080</v>
      </c>
      <c r="M834" s="228">
        <f t="shared" si="95"/>
        <v>1188</v>
      </c>
      <c r="N834" s="18" t="s">
        <v>25</v>
      </c>
      <c r="O834" s="50"/>
    </row>
    <row r="835" spans="1:16" ht="21.75" customHeight="1" x14ac:dyDescent="0.4">
      <c r="A835" s="62">
        <v>45650</v>
      </c>
      <c r="B835" s="32" t="s">
        <v>2363</v>
      </c>
      <c r="C835" s="32" t="s">
        <v>4303</v>
      </c>
      <c r="D835" s="18" t="s">
        <v>27</v>
      </c>
      <c r="E835" s="63" t="s">
        <v>28</v>
      </c>
      <c r="F835" s="63"/>
      <c r="G835" s="50" t="s">
        <v>3663</v>
      </c>
      <c r="H835" s="57">
        <v>17500</v>
      </c>
      <c r="I835" s="227"/>
      <c r="J835" s="57">
        <f t="shared" si="96"/>
        <v>17500</v>
      </c>
      <c r="K835" s="50">
        <v>1</v>
      </c>
      <c r="L835" s="57">
        <f t="shared" si="94"/>
        <v>17500</v>
      </c>
      <c r="M835" s="228">
        <f t="shared" si="95"/>
        <v>19250</v>
      </c>
      <c r="N835" s="18" t="s">
        <v>4306</v>
      </c>
      <c r="O835" s="50"/>
    </row>
    <row r="836" spans="1:16" ht="21.75" customHeight="1" x14ac:dyDescent="0.4">
      <c r="A836" s="62">
        <v>45651</v>
      </c>
      <c r="B836" s="32" t="s">
        <v>4024</v>
      </c>
      <c r="C836" s="32" t="s">
        <v>2557</v>
      </c>
      <c r="D836" s="18" t="s">
        <v>27</v>
      </c>
      <c r="E836" s="63" t="s">
        <v>103</v>
      </c>
      <c r="F836" s="63"/>
      <c r="G836" s="50" t="s">
        <v>104</v>
      </c>
      <c r="H836" s="57">
        <v>2500</v>
      </c>
      <c r="I836" s="227"/>
      <c r="J836" s="57">
        <f t="shared" si="96"/>
        <v>2500</v>
      </c>
      <c r="K836" s="50">
        <v>1</v>
      </c>
      <c r="L836" s="57">
        <f t="shared" si="94"/>
        <v>2500</v>
      </c>
      <c r="M836" s="228">
        <f t="shared" si="95"/>
        <v>2750</v>
      </c>
      <c r="N836" s="18" t="s">
        <v>4306</v>
      </c>
      <c r="O836" s="50"/>
    </row>
    <row r="837" spans="1:16" ht="21.75" customHeight="1" x14ac:dyDescent="0.4">
      <c r="A837" s="62">
        <v>45651</v>
      </c>
      <c r="B837" s="32" t="s">
        <v>4312</v>
      </c>
      <c r="C837" s="32" t="s">
        <v>4313</v>
      </c>
      <c r="D837" s="18" t="s">
        <v>22</v>
      </c>
      <c r="E837" s="63" t="s">
        <v>1496</v>
      </c>
      <c r="F837" s="63"/>
      <c r="G837" s="50" t="s">
        <v>49</v>
      </c>
      <c r="H837" s="57">
        <v>3000</v>
      </c>
      <c r="I837" s="227"/>
      <c r="J837" s="57">
        <f t="shared" si="96"/>
        <v>3000</v>
      </c>
      <c r="K837" s="50">
        <v>1</v>
      </c>
      <c r="L837" s="57">
        <f t="shared" si="94"/>
        <v>3000</v>
      </c>
      <c r="M837" s="228">
        <f t="shared" si="95"/>
        <v>3300</v>
      </c>
      <c r="N837" s="18" t="s">
        <v>25</v>
      </c>
      <c r="O837" s="50" t="s">
        <v>1954</v>
      </c>
    </row>
    <row r="838" spans="1:16" ht="21.75" customHeight="1" x14ac:dyDescent="0.4">
      <c r="A838" s="62">
        <v>45651</v>
      </c>
      <c r="B838" s="32" t="s">
        <v>4312</v>
      </c>
      <c r="C838" s="32" t="s">
        <v>4303</v>
      </c>
      <c r="D838" s="18" t="s">
        <v>27</v>
      </c>
      <c r="E838" s="63" t="s">
        <v>28</v>
      </c>
      <c r="F838" s="63"/>
      <c r="G838" s="50" t="s">
        <v>30</v>
      </c>
      <c r="H838" s="57">
        <v>15000</v>
      </c>
      <c r="I838" s="227">
        <v>-7500</v>
      </c>
      <c r="J838" s="57">
        <f t="shared" si="96"/>
        <v>7500</v>
      </c>
      <c r="K838" s="50">
        <v>1</v>
      </c>
      <c r="L838" s="57">
        <f t="shared" si="94"/>
        <v>7500</v>
      </c>
      <c r="M838" s="228">
        <f t="shared" si="95"/>
        <v>8250</v>
      </c>
      <c r="N838" s="18" t="s">
        <v>25</v>
      </c>
      <c r="O838" s="50"/>
    </row>
    <row r="839" spans="1:16" ht="21.75" customHeight="1" x14ac:dyDescent="0.4">
      <c r="A839" s="62">
        <v>45651</v>
      </c>
      <c r="B839" s="32" t="s">
        <v>4312</v>
      </c>
      <c r="C839" s="32" t="s">
        <v>4303</v>
      </c>
      <c r="D839" s="18" t="s">
        <v>27</v>
      </c>
      <c r="E839" s="63" t="s">
        <v>28</v>
      </c>
      <c r="F839" s="63"/>
      <c r="G839" s="50" t="s">
        <v>4314</v>
      </c>
      <c r="H839" s="57">
        <v>12250</v>
      </c>
      <c r="I839" s="227"/>
      <c r="J839" s="57">
        <f t="shared" si="96"/>
        <v>12250</v>
      </c>
      <c r="K839" s="50">
        <v>1</v>
      </c>
      <c r="L839" s="57">
        <f t="shared" si="94"/>
        <v>12250</v>
      </c>
      <c r="M839" s="228">
        <f t="shared" si="95"/>
        <v>13475</v>
      </c>
      <c r="N839" s="18" t="s">
        <v>25</v>
      </c>
      <c r="O839" s="50"/>
    </row>
    <row r="840" spans="1:16" ht="21.75" customHeight="1" x14ac:dyDescent="0.4">
      <c r="A840" s="62">
        <v>45651</v>
      </c>
      <c r="B840" s="32" t="s">
        <v>582</v>
      </c>
      <c r="C840" s="32" t="s">
        <v>4303</v>
      </c>
      <c r="D840" s="18" t="s">
        <v>4304</v>
      </c>
      <c r="E840" s="63" t="s">
        <v>4315</v>
      </c>
      <c r="F840" s="63" t="s">
        <v>3553</v>
      </c>
      <c r="G840" s="50" t="s">
        <v>4316</v>
      </c>
      <c r="H840" s="57">
        <v>15000</v>
      </c>
      <c r="I840" s="227">
        <v>-1500</v>
      </c>
      <c r="J840" s="57">
        <f t="shared" si="96"/>
        <v>13500</v>
      </c>
      <c r="K840" s="50">
        <v>1</v>
      </c>
      <c r="L840" s="57">
        <f t="shared" si="94"/>
        <v>13500</v>
      </c>
      <c r="M840" s="228">
        <f t="shared" si="95"/>
        <v>14850</v>
      </c>
      <c r="N840" s="18" t="s">
        <v>4306</v>
      </c>
      <c r="O840" s="50"/>
      <c r="P840" s="52" t="s">
        <v>4333</v>
      </c>
    </row>
    <row r="841" spans="1:16" ht="21.75" customHeight="1" x14ac:dyDescent="0.4">
      <c r="A841" s="62">
        <v>45652</v>
      </c>
      <c r="B841" s="32" t="s">
        <v>4317</v>
      </c>
      <c r="C841" s="32" t="s">
        <v>4303</v>
      </c>
      <c r="D841" s="18" t="s">
        <v>4304</v>
      </c>
      <c r="E841" s="63" t="s">
        <v>4315</v>
      </c>
      <c r="F841" s="63" t="s">
        <v>3553</v>
      </c>
      <c r="G841" s="50" t="s">
        <v>4319</v>
      </c>
      <c r="H841" s="57">
        <v>15000</v>
      </c>
      <c r="I841" s="227">
        <v>-1500</v>
      </c>
      <c r="J841" s="57">
        <f t="shared" si="96"/>
        <v>13500</v>
      </c>
      <c r="K841" s="50">
        <v>1</v>
      </c>
      <c r="L841" s="57">
        <f t="shared" si="94"/>
        <v>13500</v>
      </c>
      <c r="M841" s="228">
        <f t="shared" si="95"/>
        <v>14850</v>
      </c>
      <c r="N841" s="18" t="s">
        <v>34</v>
      </c>
      <c r="O841" s="50"/>
      <c r="P841" s="52" t="s">
        <v>4332</v>
      </c>
    </row>
    <row r="842" spans="1:16" ht="21.75" customHeight="1" x14ac:dyDescent="0.4">
      <c r="A842" s="62">
        <v>45652</v>
      </c>
      <c r="B842" s="32" t="s">
        <v>4320</v>
      </c>
      <c r="C842" s="32" t="s">
        <v>4292</v>
      </c>
      <c r="D842" s="18" t="s">
        <v>4304</v>
      </c>
      <c r="E842" s="193" t="s">
        <v>4321</v>
      </c>
      <c r="F842" s="193"/>
      <c r="G842" s="159" t="s">
        <v>4322</v>
      </c>
      <c r="H842" s="57">
        <v>15000</v>
      </c>
      <c r="I842" s="227">
        <v>-5250</v>
      </c>
      <c r="J842" s="57">
        <f t="shared" si="96"/>
        <v>9750</v>
      </c>
      <c r="K842" s="50">
        <v>1</v>
      </c>
      <c r="L842" s="57">
        <f t="shared" si="94"/>
        <v>9750</v>
      </c>
      <c r="M842" s="228">
        <f t="shared" si="95"/>
        <v>10725</v>
      </c>
      <c r="N842" s="18" t="s">
        <v>25</v>
      </c>
      <c r="O842" s="50"/>
    </row>
    <row r="843" spans="1:16" ht="21.75" customHeight="1" x14ac:dyDescent="0.4">
      <c r="A843" s="62">
        <v>45652</v>
      </c>
      <c r="B843" s="32" t="s">
        <v>4323</v>
      </c>
      <c r="C843" s="32" t="s">
        <v>4303</v>
      </c>
      <c r="D843" s="18" t="s">
        <v>4304</v>
      </c>
      <c r="E843" s="63" t="s">
        <v>332</v>
      </c>
      <c r="F843" s="63" t="s">
        <v>4324</v>
      </c>
      <c r="G843" s="50" t="s">
        <v>3173</v>
      </c>
      <c r="H843" s="57">
        <v>1300</v>
      </c>
      <c r="I843" s="227">
        <v>-130</v>
      </c>
      <c r="J843" s="57">
        <f t="shared" si="96"/>
        <v>1170</v>
      </c>
      <c r="K843" s="50">
        <v>8</v>
      </c>
      <c r="L843" s="57">
        <f t="shared" si="94"/>
        <v>9360</v>
      </c>
      <c r="M843" s="228">
        <f t="shared" si="95"/>
        <v>10296</v>
      </c>
      <c r="N843" s="18" t="s">
        <v>34</v>
      </c>
      <c r="O843" s="50"/>
    </row>
    <row r="844" spans="1:16" ht="21.75" customHeight="1" x14ac:dyDescent="0.4">
      <c r="A844" s="62">
        <v>45652</v>
      </c>
      <c r="B844" s="32" t="s">
        <v>4325</v>
      </c>
      <c r="C844" s="32" t="s">
        <v>4303</v>
      </c>
      <c r="D844" s="18" t="s">
        <v>4304</v>
      </c>
      <c r="E844" s="63" t="s">
        <v>4315</v>
      </c>
      <c r="F844" s="63" t="s">
        <v>3552</v>
      </c>
      <c r="G844" s="50" t="s">
        <v>4318</v>
      </c>
      <c r="H844" s="57">
        <v>15000</v>
      </c>
      <c r="I844" s="227">
        <v>-1500</v>
      </c>
      <c r="J844" s="57">
        <f t="shared" si="96"/>
        <v>13500</v>
      </c>
      <c r="K844" s="50">
        <v>1</v>
      </c>
      <c r="L844" s="57">
        <f t="shared" si="94"/>
        <v>13500</v>
      </c>
      <c r="M844" s="228">
        <f t="shared" si="95"/>
        <v>14850</v>
      </c>
      <c r="N844" s="18" t="s">
        <v>34</v>
      </c>
      <c r="O844" s="50"/>
      <c r="P844" s="52" t="s">
        <v>4332</v>
      </c>
    </row>
    <row r="845" spans="1:16" ht="21.75" customHeight="1" x14ac:dyDescent="0.4">
      <c r="A845" s="62">
        <v>45652</v>
      </c>
      <c r="B845" s="32" t="s">
        <v>4115</v>
      </c>
      <c r="C845" s="32" t="s">
        <v>4303</v>
      </c>
      <c r="D845" s="18" t="s">
        <v>4304</v>
      </c>
      <c r="E845" s="63" t="s">
        <v>4315</v>
      </c>
      <c r="F845" s="63" t="s">
        <v>3552</v>
      </c>
      <c r="G845" s="50" t="s">
        <v>4318</v>
      </c>
      <c r="H845" s="57">
        <v>15000</v>
      </c>
      <c r="I845" s="227">
        <v>-1500</v>
      </c>
      <c r="J845" s="57">
        <f t="shared" si="96"/>
        <v>13500</v>
      </c>
      <c r="K845" s="50">
        <v>1</v>
      </c>
      <c r="L845" s="57">
        <f t="shared" si="94"/>
        <v>13500</v>
      </c>
      <c r="M845" s="228">
        <f t="shared" si="95"/>
        <v>14850</v>
      </c>
      <c r="N845" s="18" t="s">
        <v>4326</v>
      </c>
      <c r="O845" s="50" t="s">
        <v>4327</v>
      </c>
      <c r="P845" s="52" t="s">
        <v>4332</v>
      </c>
    </row>
    <row r="846" spans="1:16" ht="21.75" customHeight="1" x14ac:dyDescent="0.4">
      <c r="A846" s="62">
        <v>45652</v>
      </c>
      <c r="B846" s="32" t="s">
        <v>148</v>
      </c>
      <c r="C846" s="32" t="s">
        <v>2557</v>
      </c>
      <c r="D846" s="18" t="s">
        <v>27</v>
      </c>
      <c r="E846" s="63" t="s">
        <v>28</v>
      </c>
      <c r="F846" s="63"/>
      <c r="G846" s="50" t="s">
        <v>3663</v>
      </c>
      <c r="H846" s="57">
        <v>17500</v>
      </c>
      <c r="I846" s="227"/>
      <c r="J846" s="57">
        <f t="shared" si="96"/>
        <v>17500</v>
      </c>
      <c r="K846" s="50">
        <v>1</v>
      </c>
      <c r="L846" s="57">
        <f t="shared" si="94"/>
        <v>17500</v>
      </c>
      <c r="M846" s="228">
        <f t="shared" si="95"/>
        <v>19250</v>
      </c>
      <c r="N846" s="18" t="s">
        <v>4306</v>
      </c>
      <c r="O846" s="50"/>
    </row>
    <row r="847" spans="1:16" ht="21.75" customHeight="1" x14ac:dyDescent="0.4">
      <c r="A847" s="62">
        <v>45654</v>
      </c>
      <c r="B847" s="32" t="s">
        <v>4328</v>
      </c>
      <c r="C847" s="32" t="s">
        <v>405</v>
      </c>
      <c r="D847" s="18" t="s">
        <v>22</v>
      </c>
      <c r="E847" s="63" t="s">
        <v>23</v>
      </c>
      <c r="F847" s="63"/>
      <c r="G847" s="50" t="s">
        <v>96</v>
      </c>
      <c r="H847" s="57">
        <v>15000</v>
      </c>
      <c r="I847" s="227"/>
      <c r="J847" s="57">
        <f t="shared" si="96"/>
        <v>15000</v>
      </c>
      <c r="K847" s="50">
        <v>1</v>
      </c>
      <c r="L847" s="57">
        <f t="shared" si="94"/>
        <v>15000</v>
      </c>
      <c r="M847" s="228">
        <f t="shared" si="95"/>
        <v>16500</v>
      </c>
      <c r="N847" s="18" t="s">
        <v>4306</v>
      </c>
      <c r="O847" s="50"/>
    </row>
    <row r="848" spans="1:16" ht="21.75" customHeight="1" x14ac:dyDescent="0.4">
      <c r="A848" s="62">
        <v>45654</v>
      </c>
      <c r="B848" s="32" t="s">
        <v>162</v>
      </c>
      <c r="C848" s="32" t="s">
        <v>2557</v>
      </c>
      <c r="D848" s="18" t="s">
        <v>27</v>
      </c>
      <c r="E848" s="63" t="s">
        <v>28</v>
      </c>
      <c r="F848" s="63"/>
      <c r="G848" s="50" t="s">
        <v>3663</v>
      </c>
      <c r="H848" s="57">
        <v>17500</v>
      </c>
      <c r="I848" s="227"/>
      <c r="J848" s="57">
        <f t="shared" si="96"/>
        <v>17500</v>
      </c>
      <c r="K848" s="50">
        <v>1</v>
      </c>
      <c r="L848" s="57">
        <f t="shared" ref="L848:L885" si="97">SUM(J848*K848)</f>
        <v>17500</v>
      </c>
      <c r="M848" s="228">
        <f t="shared" ref="M848:M885" si="98">ROUNDDOWN(L848*1.1,0)</f>
        <v>19250</v>
      </c>
      <c r="N848" s="18" t="s">
        <v>25</v>
      </c>
      <c r="O848" s="50"/>
    </row>
    <row r="849" spans="1:16" ht="21.75" customHeight="1" x14ac:dyDescent="0.4">
      <c r="A849" s="62">
        <v>45654</v>
      </c>
      <c r="B849" s="32" t="s">
        <v>139</v>
      </c>
      <c r="C849" s="32" t="s">
        <v>4303</v>
      </c>
      <c r="D849" s="18" t="s">
        <v>4304</v>
      </c>
      <c r="E849" s="63" t="s">
        <v>4315</v>
      </c>
      <c r="F849" s="63" t="s">
        <v>3552</v>
      </c>
      <c r="G849" s="50" t="s">
        <v>4316</v>
      </c>
      <c r="H849" s="57">
        <v>15000</v>
      </c>
      <c r="I849" s="227">
        <v>-1500</v>
      </c>
      <c r="J849" s="57">
        <f t="shared" si="96"/>
        <v>13500</v>
      </c>
      <c r="K849" s="50">
        <v>1</v>
      </c>
      <c r="L849" s="57">
        <f t="shared" si="97"/>
        <v>13500</v>
      </c>
      <c r="M849" s="228">
        <f t="shared" si="98"/>
        <v>14850</v>
      </c>
      <c r="N849" s="18" t="s">
        <v>25</v>
      </c>
      <c r="O849" s="50"/>
      <c r="P849" s="52" t="s">
        <v>4332</v>
      </c>
    </row>
    <row r="850" spans="1:16" ht="21.75" customHeight="1" x14ac:dyDescent="0.4">
      <c r="A850" s="62">
        <v>45661</v>
      </c>
      <c r="B850" s="32" t="s">
        <v>3411</v>
      </c>
      <c r="C850" s="32" t="s">
        <v>4329</v>
      </c>
      <c r="D850" s="18" t="s">
        <v>17</v>
      </c>
      <c r="E850" s="63" t="s">
        <v>4330</v>
      </c>
      <c r="F850" s="63" t="s">
        <v>3553</v>
      </c>
      <c r="G850" s="50" t="s">
        <v>4331</v>
      </c>
      <c r="H850" s="57">
        <v>15000</v>
      </c>
      <c r="I850" s="227">
        <v>-1500</v>
      </c>
      <c r="J850" s="57">
        <f t="shared" si="96"/>
        <v>13500</v>
      </c>
      <c r="K850" s="50">
        <v>1</v>
      </c>
      <c r="L850" s="57">
        <f t="shared" si="97"/>
        <v>13500</v>
      </c>
      <c r="M850" s="228">
        <f t="shared" si="98"/>
        <v>14850</v>
      </c>
      <c r="N850" s="18" t="s">
        <v>25</v>
      </c>
      <c r="O850" s="50"/>
      <c r="P850" s="52" t="s">
        <v>4332</v>
      </c>
    </row>
    <row r="851" spans="1:16" ht="21.75" customHeight="1" x14ac:dyDescent="0.4">
      <c r="A851" s="62">
        <v>45661</v>
      </c>
      <c r="B851" s="32" t="s">
        <v>4335</v>
      </c>
      <c r="C851" s="32" t="s">
        <v>4336</v>
      </c>
      <c r="D851" s="18" t="s">
        <v>4337</v>
      </c>
      <c r="E851" s="63" t="s">
        <v>4338</v>
      </c>
      <c r="F851" s="63" t="s">
        <v>3553</v>
      </c>
      <c r="G851" s="50" t="s">
        <v>4339</v>
      </c>
      <c r="H851" s="57">
        <v>15000</v>
      </c>
      <c r="I851" s="227">
        <v>-1500</v>
      </c>
      <c r="J851" s="57">
        <f t="shared" si="96"/>
        <v>13500</v>
      </c>
      <c r="K851" s="50">
        <v>1</v>
      </c>
      <c r="L851" s="57">
        <f t="shared" si="97"/>
        <v>13500</v>
      </c>
      <c r="M851" s="228">
        <f t="shared" si="98"/>
        <v>14850</v>
      </c>
      <c r="N851" s="18" t="s">
        <v>34</v>
      </c>
      <c r="O851" s="50"/>
      <c r="P851" s="52" t="s">
        <v>1608</v>
      </c>
    </row>
    <row r="852" spans="1:16" ht="21.75" customHeight="1" x14ac:dyDescent="0.4">
      <c r="A852" s="62">
        <v>45661</v>
      </c>
      <c r="B852" s="32" t="s">
        <v>4340</v>
      </c>
      <c r="C852" s="32" t="s">
        <v>405</v>
      </c>
      <c r="D852" s="18" t="s">
        <v>22</v>
      </c>
      <c r="E852" s="63" t="s">
        <v>1496</v>
      </c>
      <c r="F852" s="63"/>
      <c r="G852" s="50" t="s">
        <v>49</v>
      </c>
      <c r="H852" s="57">
        <v>3000</v>
      </c>
      <c r="I852" s="227"/>
      <c r="J852" s="57">
        <f t="shared" si="96"/>
        <v>3000</v>
      </c>
      <c r="K852" s="50">
        <v>1</v>
      </c>
      <c r="L852" s="57">
        <f t="shared" si="97"/>
        <v>3000</v>
      </c>
      <c r="M852" s="228">
        <f t="shared" si="98"/>
        <v>3300</v>
      </c>
      <c r="N852" s="18" t="s">
        <v>25</v>
      </c>
      <c r="O852" s="50" t="s">
        <v>1954</v>
      </c>
    </row>
    <row r="853" spans="1:16" ht="21.75" customHeight="1" x14ac:dyDescent="0.4">
      <c r="A853" s="62">
        <v>45661</v>
      </c>
      <c r="B853" s="32" t="s">
        <v>4061</v>
      </c>
      <c r="C853" s="32" t="s">
        <v>405</v>
      </c>
      <c r="D853" s="18" t="s">
        <v>22</v>
      </c>
      <c r="E853" s="63" t="s">
        <v>1496</v>
      </c>
      <c r="F853" s="63"/>
      <c r="G853" s="50" t="s">
        <v>49</v>
      </c>
      <c r="H853" s="57">
        <v>3000</v>
      </c>
      <c r="I853" s="227"/>
      <c r="J853" s="57">
        <f t="shared" si="96"/>
        <v>3000</v>
      </c>
      <c r="K853" s="50">
        <v>1</v>
      </c>
      <c r="L853" s="57">
        <f t="shared" si="97"/>
        <v>3000</v>
      </c>
      <c r="M853" s="228">
        <f t="shared" si="98"/>
        <v>3300</v>
      </c>
      <c r="N853" s="18" t="s">
        <v>25</v>
      </c>
      <c r="O853" s="50"/>
    </row>
    <row r="854" spans="1:16" ht="21.75" customHeight="1" x14ac:dyDescent="0.4">
      <c r="A854" s="62">
        <v>45662</v>
      </c>
      <c r="B854" s="32" t="s">
        <v>4340</v>
      </c>
      <c r="C854" s="32" t="s">
        <v>4341</v>
      </c>
      <c r="D854" s="18" t="s">
        <v>27</v>
      </c>
      <c r="E854" s="63" t="s">
        <v>28</v>
      </c>
      <c r="F854" s="63"/>
      <c r="G854" s="50" t="s">
        <v>30</v>
      </c>
      <c r="H854" s="57">
        <v>15000</v>
      </c>
      <c r="I854" s="227"/>
      <c r="J854" s="57">
        <f t="shared" si="96"/>
        <v>15000</v>
      </c>
      <c r="K854" s="50">
        <v>1</v>
      </c>
      <c r="L854" s="57">
        <f t="shared" si="97"/>
        <v>15000</v>
      </c>
      <c r="M854" s="228">
        <f t="shared" si="98"/>
        <v>16500</v>
      </c>
      <c r="N854" s="18" t="s">
        <v>25</v>
      </c>
      <c r="O854" s="50"/>
    </row>
    <row r="855" spans="1:16" ht="21.75" customHeight="1" x14ac:dyDescent="0.4">
      <c r="A855" s="62">
        <v>45662</v>
      </c>
      <c r="B855" s="32" t="s">
        <v>4340</v>
      </c>
      <c r="C855" s="32" t="s">
        <v>4341</v>
      </c>
      <c r="D855" s="18" t="s">
        <v>27</v>
      </c>
      <c r="E855" s="63" t="s">
        <v>28</v>
      </c>
      <c r="F855" s="63"/>
      <c r="G855" s="50" t="s">
        <v>3664</v>
      </c>
      <c r="H855" s="57">
        <v>17500</v>
      </c>
      <c r="I855" s="227"/>
      <c r="J855" s="57">
        <f t="shared" si="96"/>
        <v>17500</v>
      </c>
      <c r="K855" s="50">
        <v>1</v>
      </c>
      <c r="L855" s="57">
        <f t="shared" si="97"/>
        <v>17500</v>
      </c>
      <c r="M855" s="228">
        <f t="shared" si="98"/>
        <v>19250</v>
      </c>
      <c r="N855" s="18" t="s">
        <v>25</v>
      </c>
      <c r="O855" s="50"/>
    </row>
    <row r="856" spans="1:16" ht="21.75" customHeight="1" x14ac:dyDescent="0.4">
      <c r="A856" s="62">
        <v>45662</v>
      </c>
      <c r="B856" s="32" t="s">
        <v>3666</v>
      </c>
      <c r="C856" s="32" t="s">
        <v>4342</v>
      </c>
      <c r="D856" s="18" t="s">
        <v>4343</v>
      </c>
      <c r="E856" s="63" t="s">
        <v>332</v>
      </c>
      <c r="F856" s="63" t="s">
        <v>3553</v>
      </c>
      <c r="G856" s="50" t="s">
        <v>3831</v>
      </c>
      <c r="H856" s="57">
        <v>1600</v>
      </c>
      <c r="I856" s="227">
        <v>-160</v>
      </c>
      <c r="J856" s="57">
        <f t="shared" si="96"/>
        <v>1440</v>
      </c>
      <c r="K856" s="50">
        <v>2</v>
      </c>
      <c r="L856" s="57">
        <f t="shared" si="97"/>
        <v>2880</v>
      </c>
      <c r="M856" s="228">
        <f t="shared" si="98"/>
        <v>3168</v>
      </c>
      <c r="N856" s="18" t="s">
        <v>34</v>
      </c>
      <c r="O856" s="50"/>
    </row>
    <row r="857" spans="1:16" ht="21.75" customHeight="1" x14ac:dyDescent="0.4">
      <c r="A857" s="62">
        <v>45662</v>
      </c>
      <c r="B857" s="32" t="s">
        <v>3666</v>
      </c>
      <c r="C857" s="32" t="s">
        <v>4342</v>
      </c>
      <c r="D857" s="18" t="s">
        <v>4343</v>
      </c>
      <c r="E857" s="63" t="s">
        <v>292</v>
      </c>
      <c r="F857" s="63" t="s">
        <v>1051</v>
      </c>
      <c r="G857" s="50" t="s">
        <v>4344</v>
      </c>
      <c r="H857" s="57">
        <v>5500</v>
      </c>
      <c r="I857" s="227"/>
      <c r="J857" s="57">
        <f t="shared" si="96"/>
        <v>5500</v>
      </c>
      <c r="K857" s="50">
        <v>1</v>
      </c>
      <c r="L857" s="57">
        <f t="shared" si="97"/>
        <v>5500</v>
      </c>
      <c r="M857" s="228">
        <f t="shared" si="98"/>
        <v>6050</v>
      </c>
      <c r="N857" s="18" t="s">
        <v>34</v>
      </c>
      <c r="O857" s="50"/>
    </row>
    <row r="858" spans="1:16" ht="21.75" customHeight="1" x14ac:dyDescent="0.4">
      <c r="A858" s="62">
        <v>45662</v>
      </c>
      <c r="B858" s="32" t="s">
        <v>3666</v>
      </c>
      <c r="C858" s="32" t="s">
        <v>4342</v>
      </c>
      <c r="D858" s="18" t="s">
        <v>4343</v>
      </c>
      <c r="E858" s="63" t="s">
        <v>292</v>
      </c>
      <c r="F858" s="63" t="s">
        <v>1051</v>
      </c>
      <c r="G858" s="50" t="s">
        <v>4345</v>
      </c>
      <c r="H858" s="57">
        <v>5200</v>
      </c>
      <c r="I858" s="227"/>
      <c r="J858" s="57">
        <f t="shared" si="96"/>
        <v>5200</v>
      </c>
      <c r="K858" s="50">
        <v>1</v>
      </c>
      <c r="L858" s="57">
        <f t="shared" si="97"/>
        <v>5200</v>
      </c>
      <c r="M858" s="228">
        <f t="shared" si="98"/>
        <v>5720</v>
      </c>
      <c r="N858" s="18" t="s">
        <v>4374</v>
      </c>
      <c r="O858" s="50"/>
    </row>
    <row r="859" spans="1:16" ht="21.75" customHeight="1" x14ac:dyDescent="0.4">
      <c r="A859" s="62">
        <v>45662</v>
      </c>
      <c r="B859" s="32" t="s">
        <v>4061</v>
      </c>
      <c r="C859" s="32" t="s">
        <v>2557</v>
      </c>
      <c r="D859" s="18" t="s">
        <v>27</v>
      </c>
      <c r="E859" s="63" t="s">
        <v>28</v>
      </c>
      <c r="F859" s="63"/>
      <c r="G859" s="50" t="s">
        <v>30</v>
      </c>
      <c r="H859" s="57">
        <v>15000</v>
      </c>
      <c r="I859" s="227"/>
      <c r="J859" s="57">
        <f t="shared" si="96"/>
        <v>15000</v>
      </c>
      <c r="K859" s="50">
        <v>1</v>
      </c>
      <c r="L859" s="57">
        <f t="shared" si="97"/>
        <v>15000</v>
      </c>
      <c r="M859" s="228">
        <f t="shared" si="98"/>
        <v>16500</v>
      </c>
      <c r="N859" s="18" t="s">
        <v>25</v>
      </c>
      <c r="O859" s="50"/>
    </row>
    <row r="860" spans="1:16" ht="21.75" customHeight="1" x14ac:dyDescent="0.4">
      <c r="A860" s="62">
        <v>45662</v>
      </c>
      <c r="B860" s="32" t="s">
        <v>4061</v>
      </c>
      <c r="C860" s="32" t="s">
        <v>2557</v>
      </c>
      <c r="D860" s="18" t="s">
        <v>27</v>
      </c>
      <c r="E860" s="63" t="s">
        <v>28</v>
      </c>
      <c r="F860" s="63"/>
      <c r="G860" s="50" t="s">
        <v>4346</v>
      </c>
      <c r="H860" s="57">
        <v>22500</v>
      </c>
      <c r="I860" s="227"/>
      <c r="J860" s="57">
        <f t="shared" si="96"/>
        <v>22500</v>
      </c>
      <c r="K860" s="50">
        <v>1</v>
      </c>
      <c r="L860" s="57">
        <f t="shared" si="97"/>
        <v>22500</v>
      </c>
      <c r="M860" s="228">
        <f t="shared" si="98"/>
        <v>24750</v>
      </c>
      <c r="N860" s="18" t="s">
        <v>25</v>
      </c>
      <c r="O860" s="50"/>
    </row>
    <row r="861" spans="1:16" ht="21.75" customHeight="1" x14ac:dyDescent="0.4">
      <c r="A861" s="62">
        <v>45663</v>
      </c>
      <c r="B861" s="32" t="s">
        <v>1541</v>
      </c>
      <c r="C861" s="32" t="s">
        <v>2557</v>
      </c>
      <c r="D861" s="18" t="s">
        <v>27</v>
      </c>
      <c r="E861" s="63" t="s">
        <v>28</v>
      </c>
      <c r="F861" s="63"/>
      <c r="G861" s="50" t="s">
        <v>3663</v>
      </c>
      <c r="H861" s="57">
        <v>17500</v>
      </c>
      <c r="I861" s="227"/>
      <c r="J861" s="57">
        <f t="shared" si="96"/>
        <v>17500</v>
      </c>
      <c r="K861" s="50">
        <v>1</v>
      </c>
      <c r="L861" s="57">
        <f t="shared" si="97"/>
        <v>17500</v>
      </c>
      <c r="M861" s="228">
        <f t="shared" si="98"/>
        <v>19250</v>
      </c>
      <c r="N861" s="18" t="s">
        <v>25</v>
      </c>
      <c r="O861" s="50"/>
    </row>
    <row r="862" spans="1:16" ht="21.75" customHeight="1" x14ac:dyDescent="0.4">
      <c r="A862" s="62">
        <v>45663</v>
      </c>
      <c r="B862" s="32" t="s">
        <v>162</v>
      </c>
      <c r="C862" s="32" t="s">
        <v>4347</v>
      </c>
      <c r="D862" s="18" t="s">
        <v>4348</v>
      </c>
      <c r="E862" s="63" t="s">
        <v>332</v>
      </c>
      <c r="F862" s="63" t="s">
        <v>4349</v>
      </c>
      <c r="G862" s="50" t="s">
        <v>4113</v>
      </c>
      <c r="H862" s="57">
        <v>17550</v>
      </c>
      <c r="I862" s="227"/>
      <c r="J862" s="57">
        <f t="shared" si="96"/>
        <v>17550</v>
      </c>
      <c r="K862" s="50">
        <v>1</v>
      </c>
      <c r="L862" s="57">
        <f t="shared" si="97"/>
        <v>17550</v>
      </c>
      <c r="M862" s="228">
        <f t="shared" si="98"/>
        <v>19305</v>
      </c>
      <c r="N862" s="18" t="s">
        <v>34</v>
      </c>
      <c r="O862" s="50"/>
      <c r="P862" s="52" t="s">
        <v>4469</v>
      </c>
    </row>
    <row r="863" spans="1:16" ht="21.75" customHeight="1" x14ac:dyDescent="0.4">
      <c r="A863" s="62">
        <v>45663</v>
      </c>
      <c r="B863" s="32" t="s">
        <v>162</v>
      </c>
      <c r="C863" s="32" t="s">
        <v>4347</v>
      </c>
      <c r="D863" s="18" t="s">
        <v>27</v>
      </c>
      <c r="E863" s="63" t="s">
        <v>28</v>
      </c>
      <c r="F863" s="63"/>
      <c r="G863" s="50" t="s">
        <v>73</v>
      </c>
      <c r="H863" s="57">
        <v>2000</v>
      </c>
      <c r="I863" s="227"/>
      <c r="J863" s="57">
        <f t="shared" si="96"/>
        <v>2000</v>
      </c>
      <c r="K863" s="50">
        <v>1</v>
      </c>
      <c r="L863" s="57">
        <f t="shared" si="97"/>
        <v>2000</v>
      </c>
      <c r="M863" s="228">
        <f t="shared" si="98"/>
        <v>2200</v>
      </c>
      <c r="N863" s="18" t="s">
        <v>34</v>
      </c>
      <c r="O863" s="50"/>
    </row>
    <row r="864" spans="1:16" ht="21.75" customHeight="1" x14ac:dyDescent="0.4">
      <c r="A864" s="62">
        <v>45666</v>
      </c>
      <c r="B864" s="32" t="s">
        <v>4340</v>
      </c>
      <c r="C864" s="32" t="s">
        <v>4347</v>
      </c>
      <c r="D864" s="18" t="s">
        <v>4348</v>
      </c>
      <c r="E864" s="63" t="s">
        <v>332</v>
      </c>
      <c r="F864" s="63" t="s">
        <v>3553</v>
      </c>
      <c r="G864" s="50" t="s">
        <v>4352</v>
      </c>
      <c r="H864" s="57">
        <v>1150</v>
      </c>
      <c r="I864" s="227">
        <v>-115</v>
      </c>
      <c r="J864" s="57">
        <f t="shared" si="96"/>
        <v>1035</v>
      </c>
      <c r="K864" s="50">
        <v>1</v>
      </c>
      <c r="L864" s="57">
        <f t="shared" si="97"/>
        <v>1035</v>
      </c>
      <c r="M864" s="228">
        <f t="shared" si="98"/>
        <v>1138</v>
      </c>
      <c r="N864" s="18" t="s">
        <v>25</v>
      </c>
      <c r="O864" s="50"/>
    </row>
    <row r="865" spans="1:16" ht="21.75" customHeight="1" x14ac:dyDescent="0.4">
      <c r="A865" s="62">
        <v>45666</v>
      </c>
      <c r="B865" s="32" t="s">
        <v>179</v>
      </c>
      <c r="C865" s="32" t="s">
        <v>4347</v>
      </c>
      <c r="D865" s="18" t="s">
        <v>4348</v>
      </c>
      <c r="E865" s="63" t="s">
        <v>332</v>
      </c>
      <c r="F865" s="63" t="s">
        <v>4349</v>
      </c>
      <c r="G865" s="50" t="s">
        <v>4350</v>
      </c>
      <c r="H865" s="57">
        <v>1700</v>
      </c>
      <c r="I865" s="227">
        <v>-170</v>
      </c>
      <c r="J865" s="57">
        <f t="shared" si="96"/>
        <v>1530</v>
      </c>
      <c r="K865" s="50">
        <v>1</v>
      </c>
      <c r="L865" s="57">
        <f t="shared" si="97"/>
        <v>1530</v>
      </c>
      <c r="M865" s="228">
        <f t="shared" si="98"/>
        <v>1683</v>
      </c>
      <c r="N865" s="18" t="s">
        <v>4351</v>
      </c>
      <c r="O865" s="50"/>
    </row>
    <row r="866" spans="1:16" ht="21.75" customHeight="1" x14ac:dyDescent="0.4">
      <c r="A866" s="62">
        <v>45666</v>
      </c>
      <c r="B866" s="32" t="s">
        <v>3909</v>
      </c>
      <c r="C866" s="32" t="s">
        <v>4353</v>
      </c>
      <c r="D866" s="18" t="s">
        <v>27</v>
      </c>
      <c r="E866" s="63" t="s">
        <v>28</v>
      </c>
      <c r="F866" s="63"/>
      <c r="G866" s="50" t="s">
        <v>3663</v>
      </c>
      <c r="H866" s="57">
        <v>17500</v>
      </c>
      <c r="I866" s="227"/>
      <c r="J866" s="57">
        <f t="shared" si="96"/>
        <v>17500</v>
      </c>
      <c r="K866" s="50">
        <v>1</v>
      </c>
      <c r="L866" s="57">
        <f t="shared" si="97"/>
        <v>17500</v>
      </c>
      <c r="M866" s="228">
        <f t="shared" si="98"/>
        <v>19250</v>
      </c>
      <c r="N866" s="18" t="s">
        <v>25</v>
      </c>
      <c r="O866" s="50"/>
    </row>
    <row r="867" spans="1:16" ht="21.75" customHeight="1" x14ac:dyDescent="0.4">
      <c r="A867" s="62">
        <v>45666</v>
      </c>
      <c r="B867" s="32" t="s">
        <v>179</v>
      </c>
      <c r="C867" s="32" t="s">
        <v>2557</v>
      </c>
      <c r="D867" s="18" t="s">
        <v>17</v>
      </c>
      <c r="E867" s="63" t="s">
        <v>455</v>
      </c>
      <c r="F867" s="63" t="s">
        <v>3658</v>
      </c>
      <c r="G867" s="50" t="s">
        <v>4354</v>
      </c>
      <c r="H867" s="57">
        <v>1700</v>
      </c>
      <c r="I867" s="227">
        <v>-170</v>
      </c>
      <c r="J867" s="57">
        <v>1530</v>
      </c>
      <c r="K867" s="50">
        <v>1</v>
      </c>
      <c r="L867" s="57">
        <v>1530</v>
      </c>
      <c r="M867" s="228">
        <v>1683</v>
      </c>
      <c r="N867" s="18" t="s">
        <v>20</v>
      </c>
      <c r="O867" s="50"/>
    </row>
    <row r="868" spans="1:16" ht="21.75" customHeight="1" x14ac:dyDescent="0.4">
      <c r="A868" s="62">
        <v>45666</v>
      </c>
      <c r="B868" s="32" t="s">
        <v>2799</v>
      </c>
      <c r="C868" s="32" t="s">
        <v>4353</v>
      </c>
      <c r="D868" s="18" t="s">
        <v>4355</v>
      </c>
      <c r="E868" s="63" t="s">
        <v>700</v>
      </c>
      <c r="F868" s="63" t="s">
        <v>3553</v>
      </c>
      <c r="G868" s="50" t="s">
        <v>4356</v>
      </c>
      <c r="H868" s="57">
        <v>3500</v>
      </c>
      <c r="I868" s="227"/>
      <c r="J868" s="57">
        <f t="shared" si="96"/>
        <v>3500</v>
      </c>
      <c r="K868" s="50">
        <v>2</v>
      </c>
      <c r="L868" s="57">
        <f t="shared" si="97"/>
        <v>7000</v>
      </c>
      <c r="M868" s="228">
        <f t="shared" si="98"/>
        <v>7700</v>
      </c>
      <c r="N868" s="487" t="s">
        <v>4358</v>
      </c>
      <c r="O868" s="490" t="s">
        <v>4359</v>
      </c>
    </row>
    <row r="869" spans="1:16" ht="21.75" customHeight="1" x14ac:dyDescent="0.4">
      <c r="A869" s="62">
        <v>45666</v>
      </c>
      <c r="B869" s="32" t="s">
        <v>2799</v>
      </c>
      <c r="C869" s="32" t="s">
        <v>4353</v>
      </c>
      <c r="D869" s="18" t="s">
        <v>4355</v>
      </c>
      <c r="E869" s="63" t="s">
        <v>700</v>
      </c>
      <c r="F869" s="63" t="s">
        <v>3553</v>
      </c>
      <c r="G869" s="50" t="s">
        <v>4357</v>
      </c>
      <c r="H869" s="57">
        <v>3500</v>
      </c>
      <c r="I869" s="227"/>
      <c r="J869" s="57">
        <f t="shared" si="96"/>
        <v>3500</v>
      </c>
      <c r="K869" s="50">
        <v>1</v>
      </c>
      <c r="L869" s="57">
        <f t="shared" si="97"/>
        <v>3500</v>
      </c>
      <c r="M869" s="228">
        <f t="shared" si="98"/>
        <v>3850</v>
      </c>
      <c r="N869" s="489"/>
      <c r="O869" s="491"/>
    </row>
    <row r="870" spans="1:16" ht="21.75" customHeight="1" x14ac:dyDescent="0.4">
      <c r="A870" s="62">
        <v>45666</v>
      </c>
      <c r="B870" s="32" t="s">
        <v>1455</v>
      </c>
      <c r="C870" s="32" t="s">
        <v>4292</v>
      </c>
      <c r="D870" s="18" t="s">
        <v>4361</v>
      </c>
      <c r="E870" s="63" t="s">
        <v>4362</v>
      </c>
      <c r="F870" s="63" t="s">
        <v>4392</v>
      </c>
      <c r="G870" s="50" t="s">
        <v>4360</v>
      </c>
      <c r="H870" s="57">
        <v>4800</v>
      </c>
      <c r="I870" s="227"/>
      <c r="J870" s="57">
        <f t="shared" si="96"/>
        <v>4800</v>
      </c>
      <c r="K870" s="50">
        <v>1</v>
      </c>
      <c r="L870" s="57">
        <f t="shared" si="97"/>
        <v>4800</v>
      </c>
      <c r="M870" s="228">
        <f t="shared" si="98"/>
        <v>5280</v>
      </c>
      <c r="N870" s="18" t="s">
        <v>4363</v>
      </c>
      <c r="O870" s="50"/>
    </row>
    <row r="871" spans="1:16" ht="21.75" customHeight="1" x14ac:dyDescent="0.4">
      <c r="A871" s="62">
        <v>45667</v>
      </c>
      <c r="B871" s="32" t="s">
        <v>4061</v>
      </c>
      <c r="C871" s="32" t="s">
        <v>4364</v>
      </c>
      <c r="D871" s="18" t="s">
        <v>27</v>
      </c>
      <c r="E871" s="63" t="s">
        <v>28</v>
      </c>
      <c r="F871" s="63"/>
      <c r="G871" s="50" t="s">
        <v>73</v>
      </c>
      <c r="H871" s="57">
        <v>2000</v>
      </c>
      <c r="I871" s="227"/>
      <c r="J871" s="57">
        <f t="shared" si="96"/>
        <v>2000</v>
      </c>
      <c r="K871" s="50">
        <v>3</v>
      </c>
      <c r="L871" s="57">
        <f t="shared" si="97"/>
        <v>6000</v>
      </c>
      <c r="M871" s="228">
        <f t="shared" si="98"/>
        <v>6600</v>
      </c>
      <c r="N871" s="18" t="s">
        <v>25</v>
      </c>
      <c r="O871" s="50"/>
    </row>
    <row r="872" spans="1:16" ht="21.75" customHeight="1" x14ac:dyDescent="0.4">
      <c r="A872" s="62">
        <v>45667</v>
      </c>
      <c r="B872" s="32" t="s">
        <v>4365</v>
      </c>
      <c r="C872" s="32" t="s">
        <v>405</v>
      </c>
      <c r="D872" s="18" t="s">
        <v>22</v>
      </c>
      <c r="E872" s="63" t="s">
        <v>1496</v>
      </c>
      <c r="F872" s="63"/>
      <c r="G872" s="50" t="s">
        <v>49</v>
      </c>
      <c r="H872" s="57">
        <v>3000</v>
      </c>
      <c r="I872" s="227"/>
      <c r="J872" s="57">
        <f t="shared" si="96"/>
        <v>3000</v>
      </c>
      <c r="K872" s="50">
        <v>1</v>
      </c>
      <c r="L872" s="57">
        <f t="shared" si="97"/>
        <v>3000</v>
      </c>
      <c r="M872" s="228">
        <f t="shared" si="98"/>
        <v>3300</v>
      </c>
      <c r="N872" s="18" t="s">
        <v>4366</v>
      </c>
      <c r="O872" s="50" t="s">
        <v>1954</v>
      </c>
    </row>
    <row r="873" spans="1:16" ht="21.75" customHeight="1" x14ac:dyDescent="0.4">
      <c r="A873" s="62">
        <v>45668</v>
      </c>
      <c r="B873" s="32" t="s">
        <v>4378</v>
      </c>
      <c r="C873" s="32" t="s">
        <v>4313</v>
      </c>
      <c r="D873" s="18" t="s">
        <v>22</v>
      </c>
      <c r="E873" s="63" t="s">
        <v>1496</v>
      </c>
      <c r="F873" s="63"/>
      <c r="G873" s="50" t="s">
        <v>3470</v>
      </c>
      <c r="H873" s="57">
        <v>2000</v>
      </c>
      <c r="I873" s="227"/>
      <c r="J873" s="57">
        <f t="shared" si="96"/>
        <v>2000</v>
      </c>
      <c r="K873" s="50">
        <v>1</v>
      </c>
      <c r="L873" s="57">
        <f t="shared" si="97"/>
        <v>2000</v>
      </c>
      <c r="M873" s="228">
        <f t="shared" si="98"/>
        <v>2200</v>
      </c>
      <c r="N873" s="18" t="s">
        <v>25</v>
      </c>
      <c r="O873" s="50"/>
    </row>
    <row r="874" spans="1:16" ht="21.75" customHeight="1" x14ac:dyDescent="0.4">
      <c r="A874" s="62">
        <v>45668</v>
      </c>
      <c r="B874" s="32" t="s">
        <v>4384</v>
      </c>
      <c r="C874" s="32" t="s">
        <v>405</v>
      </c>
      <c r="D874" s="18" t="s">
        <v>22</v>
      </c>
      <c r="E874" s="63" t="s">
        <v>1496</v>
      </c>
      <c r="F874" s="63"/>
      <c r="G874" s="50" t="s">
        <v>49</v>
      </c>
      <c r="H874" s="57">
        <v>3000</v>
      </c>
      <c r="I874" s="227"/>
      <c r="J874" s="57">
        <f t="shared" si="96"/>
        <v>3000</v>
      </c>
      <c r="K874" s="50">
        <v>1</v>
      </c>
      <c r="L874" s="57">
        <f t="shared" si="97"/>
        <v>3000</v>
      </c>
      <c r="M874" s="228">
        <f t="shared" si="98"/>
        <v>3300</v>
      </c>
      <c r="N874" s="18" t="s">
        <v>4387</v>
      </c>
      <c r="O874" s="50"/>
    </row>
    <row r="875" spans="1:16" ht="21.75" customHeight="1" x14ac:dyDescent="0.4">
      <c r="A875" s="62">
        <v>45669</v>
      </c>
      <c r="B875" s="32" t="s">
        <v>4385</v>
      </c>
      <c r="C875" s="32" t="s">
        <v>405</v>
      </c>
      <c r="D875" s="18" t="s">
        <v>22</v>
      </c>
      <c r="E875" s="63" t="s">
        <v>1496</v>
      </c>
      <c r="F875" s="63"/>
      <c r="G875" s="50" t="s">
        <v>49</v>
      </c>
      <c r="H875" s="57">
        <v>3000</v>
      </c>
      <c r="I875" s="227"/>
      <c r="J875" s="57">
        <f t="shared" si="96"/>
        <v>3000</v>
      </c>
      <c r="K875" s="50">
        <v>1</v>
      </c>
      <c r="L875" s="57">
        <f t="shared" si="97"/>
        <v>3000</v>
      </c>
      <c r="M875" s="228">
        <f t="shared" si="98"/>
        <v>3300</v>
      </c>
      <c r="N875" s="18" t="s">
        <v>4387</v>
      </c>
      <c r="O875" s="50"/>
    </row>
    <row r="876" spans="1:16" ht="21.75" customHeight="1" x14ac:dyDescent="0.4">
      <c r="A876" s="62">
        <v>45669</v>
      </c>
      <c r="B876" s="32" t="s">
        <v>1541</v>
      </c>
      <c r="C876" s="32" t="s">
        <v>4367</v>
      </c>
      <c r="D876" s="18" t="s">
        <v>4368</v>
      </c>
      <c r="E876" s="63" t="s">
        <v>292</v>
      </c>
      <c r="F876" s="63" t="s">
        <v>1051</v>
      </c>
      <c r="G876" s="50" t="s">
        <v>4369</v>
      </c>
      <c r="H876" s="57">
        <v>4000</v>
      </c>
      <c r="I876" s="227">
        <v>-400</v>
      </c>
      <c r="J876" s="57">
        <f t="shared" si="96"/>
        <v>3600</v>
      </c>
      <c r="K876" s="50">
        <v>1</v>
      </c>
      <c r="L876" s="57">
        <f t="shared" si="97"/>
        <v>3600</v>
      </c>
      <c r="M876" s="228">
        <f t="shared" si="98"/>
        <v>3960</v>
      </c>
      <c r="N876" s="18" t="s">
        <v>4370</v>
      </c>
      <c r="O876" s="50"/>
    </row>
    <row r="877" spans="1:16" ht="21.75" customHeight="1" x14ac:dyDescent="0.4">
      <c r="A877" s="62">
        <v>45669</v>
      </c>
      <c r="B877" s="32" t="s">
        <v>4371</v>
      </c>
      <c r="C877" s="32" t="s">
        <v>405</v>
      </c>
      <c r="D877" s="18" t="s">
        <v>4372</v>
      </c>
      <c r="E877" s="63" t="s">
        <v>4373</v>
      </c>
      <c r="F877" s="63"/>
      <c r="G877" s="50" t="s">
        <v>3871</v>
      </c>
      <c r="H877" s="57">
        <v>20000</v>
      </c>
      <c r="I877" s="227"/>
      <c r="J877" s="57">
        <f t="shared" si="96"/>
        <v>20000</v>
      </c>
      <c r="K877" s="50">
        <v>1</v>
      </c>
      <c r="L877" s="57">
        <f t="shared" si="97"/>
        <v>20000</v>
      </c>
      <c r="M877" s="228">
        <f t="shared" si="98"/>
        <v>22000</v>
      </c>
      <c r="N877" s="18" t="s">
        <v>4375</v>
      </c>
      <c r="O877" s="50"/>
    </row>
    <row r="878" spans="1:16" ht="21.75" customHeight="1" x14ac:dyDescent="0.4">
      <c r="A878" s="62">
        <v>45669</v>
      </c>
      <c r="B878" s="32" t="s">
        <v>4371</v>
      </c>
      <c r="C878" s="32" t="s">
        <v>405</v>
      </c>
      <c r="D878" s="18" t="s">
        <v>17</v>
      </c>
      <c r="E878" s="63" t="s">
        <v>328</v>
      </c>
      <c r="F878" s="63" t="s">
        <v>788</v>
      </c>
      <c r="G878" s="50" t="s">
        <v>4377</v>
      </c>
      <c r="H878" s="57">
        <v>50000</v>
      </c>
      <c r="I878" s="227">
        <v>-10000</v>
      </c>
      <c r="J878" s="57">
        <f t="shared" ref="J878:J881" si="99">SUM(H878:I878)</f>
        <v>40000</v>
      </c>
      <c r="K878" s="50">
        <v>1</v>
      </c>
      <c r="L878" s="57">
        <f t="shared" ref="L878:L881" si="100">SUM(J878*K878)</f>
        <v>40000</v>
      </c>
      <c r="M878" s="228">
        <f t="shared" ref="M878:M881" si="101">ROUNDDOWN(L878*1.1,0)</f>
        <v>44000</v>
      </c>
      <c r="N878" s="18" t="s">
        <v>4374</v>
      </c>
      <c r="O878" s="50"/>
      <c r="P878" s="52" t="s">
        <v>4391</v>
      </c>
    </row>
    <row r="879" spans="1:16" ht="21.75" customHeight="1" x14ac:dyDescent="0.4">
      <c r="A879" s="62">
        <v>45669</v>
      </c>
      <c r="B879" s="32" t="s">
        <v>4371</v>
      </c>
      <c r="C879" s="32" t="s">
        <v>405</v>
      </c>
      <c r="D879" s="18" t="s">
        <v>17</v>
      </c>
      <c r="E879" s="63" t="s">
        <v>328</v>
      </c>
      <c r="F879" s="63" t="s">
        <v>3595</v>
      </c>
      <c r="G879" s="50" t="s">
        <v>4376</v>
      </c>
      <c r="H879" s="57">
        <v>25000</v>
      </c>
      <c r="I879" s="227">
        <v>-5000</v>
      </c>
      <c r="J879" s="57">
        <f t="shared" si="99"/>
        <v>20000</v>
      </c>
      <c r="K879" s="50">
        <v>2</v>
      </c>
      <c r="L879" s="57">
        <f t="shared" si="100"/>
        <v>40000</v>
      </c>
      <c r="M879" s="228">
        <f t="shared" si="101"/>
        <v>44000</v>
      </c>
      <c r="N879" s="18" t="s">
        <v>4374</v>
      </c>
      <c r="O879" s="50"/>
      <c r="P879" s="52" t="s">
        <v>4391</v>
      </c>
    </row>
    <row r="880" spans="1:16" ht="21.75" customHeight="1" x14ac:dyDescent="0.4">
      <c r="A880" s="62">
        <v>45669</v>
      </c>
      <c r="B880" s="32" t="s">
        <v>4371</v>
      </c>
      <c r="C880" s="32" t="s">
        <v>405</v>
      </c>
      <c r="D880" s="18" t="s">
        <v>17</v>
      </c>
      <c r="E880" s="63" t="s">
        <v>332</v>
      </c>
      <c r="F880" s="63" t="s">
        <v>4379</v>
      </c>
      <c r="G880" s="50" t="s">
        <v>3173</v>
      </c>
      <c r="H880" s="57">
        <v>1300</v>
      </c>
      <c r="I880" s="227"/>
      <c r="J880" s="57">
        <f t="shared" si="99"/>
        <v>1300</v>
      </c>
      <c r="K880" s="50">
        <v>3</v>
      </c>
      <c r="L880" s="57">
        <f t="shared" si="100"/>
        <v>3900</v>
      </c>
      <c r="M880" s="228">
        <f t="shared" si="101"/>
        <v>4290</v>
      </c>
      <c r="N880" s="18" t="s">
        <v>4374</v>
      </c>
      <c r="O880" s="50"/>
      <c r="P880" s="52" t="s">
        <v>4391</v>
      </c>
    </row>
    <row r="881" spans="1:16" ht="21.75" customHeight="1" x14ac:dyDescent="0.4">
      <c r="A881" s="62">
        <v>45669</v>
      </c>
      <c r="B881" s="32" t="s">
        <v>4371</v>
      </c>
      <c r="C881" s="32" t="s">
        <v>405</v>
      </c>
      <c r="D881" s="18" t="s">
        <v>17</v>
      </c>
      <c r="E881" s="63" t="s">
        <v>330</v>
      </c>
      <c r="F881" s="63" t="s">
        <v>790</v>
      </c>
      <c r="G881" s="50" t="s">
        <v>4380</v>
      </c>
      <c r="H881" s="57">
        <v>5000</v>
      </c>
      <c r="I881" s="227"/>
      <c r="J881" s="57">
        <f t="shared" si="99"/>
        <v>5000</v>
      </c>
      <c r="K881" s="50">
        <v>2</v>
      </c>
      <c r="L881" s="57">
        <f t="shared" si="100"/>
        <v>10000</v>
      </c>
      <c r="M881" s="228">
        <f t="shared" si="101"/>
        <v>11000</v>
      </c>
      <c r="N881" s="18" t="s">
        <v>4374</v>
      </c>
      <c r="O881" s="50"/>
      <c r="P881" s="52" t="s">
        <v>4391</v>
      </c>
    </row>
    <row r="882" spans="1:16" ht="21.75" customHeight="1" x14ac:dyDescent="0.4">
      <c r="A882" s="62">
        <v>45670</v>
      </c>
      <c r="B882" s="32" t="s">
        <v>182</v>
      </c>
      <c r="C882" s="32" t="s">
        <v>4381</v>
      </c>
      <c r="D882" s="18" t="s">
        <v>27</v>
      </c>
      <c r="E882" s="63" t="s">
        <v>28</v>
      </c>
      <c r="F882" s="63"/>
      <c r="G882" s="50" t="s">
        <v>4383</v>
      </c>
      <c r="H882" s="57">
        <v>8500</v>
      </c>
      <c r="I882" s="227"/>
      <c r="J882" s="57">
        <f t="shared" ref="J882:J885" si="102">SUM(H882:I882)</f>
        <v>8500</v>
      </c>
      <c r="K882" s="50">
        <v>1</v>
      </c>
      <c r="L882" s="57">
        <f t="shared" si="97"/>
        <v>8500</v>
      </c>
      <c r="M882" s="228">
        <f t="shared" si="98"/>
        <v>9350</v>
      </c>
      <c r="N882" s="18" t="s">
        <v>4382</v>
      </c>
      <c r="O882" s="50"/>
    </row>
    <row r="883" spans="1:16" ht="21.75" customHeight="1" x14ac:dyDescent="0.4">
      <c r="A883" s="62">
        <v>45670</v>
      </c>
      <c r="B883" s="32" t="s">
        <v>182</v>
      </c>
      <c r="C883" s="32" t="s">
        <v>4381</v>
      </c>
      <c r="D883" s="18" t="s">
        <v>27</v>
      </c>
      <c r="E883" s="63" t="s">
        <v>103</v>
      </c>
      <c r="F883" s="63"/>
      <c r="G883" s="50" t="s">
        <v>4388</v>
      </c>
      <c r="H883" s="57">
        <v>2500</v>
      </c>
      <c r="I883" s="227"/>
      <c r="J883" s="57">
        <f t="shared" si="102"/>
        <v>2500</v>
      </c>
      <c r="K883" s="50">
        <v>1</v>
      </c>
      <c r="L883" s="57">
        <f t="shared" si="97"/>
        <v>2500</v>
      </c>
      <c r="M883" s="228">
        <f t="shared" si="98"/>
        <v>2750</v>
      </c>
      <c r="N883" s="18" t="s">
        <v>4386</v>
      </c>
      <c r="O883" s="50"/>
    </row>
    <row r="884" spans="1:16" ht="21.75" customHeight="1" x14ac:dyDescent="0.4">
      <c r="A884" s="62">
        <v>45670</v>
      </c>
      <c r="B884" s="32" t="s">
        <v>182</v>
      </c>
      <c r="C884" s="32" t="s">
        <v>4381</v>
      </c>
      <c r="D884" s="18" t="s">
        <v>27</v>
      </c>
      <c r="E884" s="63" t="s">
        <v>103</v>
      </c>
      <c r="F884" s="63"/>
      <c r="G884" s="50" t="s">
        <v>4388</v>
      </c>
      <c r="H884" s="57">
        <v>2500</v>
      </c>
      <c r="I884" s="227"/>
      <c r="J884" s="57">
        <f t="shared" si="102"/>
        <v>2500</v>
      </c>
      <c r="K884" s="50">
        <v>1</v>
      </c>
      <c r="L884" s="57">
        <f t="shared" si="97"/>
        <v>2500</v>
      </c>
      <c r="M884" s="228">
        <f t="shared" si="98"/>
        <v>2750</v>
      </c>
      <c r="N884" s="18" t="s">
        <v>4386</v>
      </c>
      <c r="O884" s="50"/>
    </row>
    <row r="885" spans="1:16" ht="21.75" customHeight="1" x14ac:dyDescent="0.4">
      <c r="A885" s="62">
        <v>45672</v>
      </c>
      <c r="B885" s="32" t="s">
        <v>4389</v>
      </c>
      <c r="C885" s="32" t="s">
        <v>405</v>
      </c>
      <c r="D885" s="18" t="s">
        <v>22</v>
      </c>
      <c r="E885" s="63" t="s">
        <v>23</v>
      </c>
      <c r="F885" s="63"/>
      <c r="G885" s="50" t="s">
        <v>81</v>
      </c>
      <c r="H885" s="57">
        <v>20000</v>
      </c>
      <c r="I885" s="227"/>
      <c r="J885" s="57">
        <f t="shared" si="102"/>
        <v>20000</v>
      </c>
      <c r="K885" s="50">
        <v>1</v>
      </c>
      <c r="L885" s="57">
        <f t="shared" si="97"/>
        <v>20000</v>
      </c>
      <c r="M885" s="228">
        <f t="shared" si="98"/>
        <v>22000</v>
      </c>
      <c r="N885" s="18" t="s">
        <v>4390</v>
      </c>
      <c r="O885" s="50" t="s">
        <v>1954</v>
      </c>
    </row>
    <row r="886" spans="1:16" ht="21.75" customHeight="1" x14ac:dyDescent="0.4">
      <c r="A886" s="62">
        <v>45673</v>
      </c>
      <c r="B886" s="32" t="s">
        <v>3688</v>
      </c>
      <c r="C886" s="32" t="s">
        <v>2557</v>
      </c>
      <c r="D886" s="18" t="s">
        <v>17</v>
      </c>
      <c r="E886" s="63" t="s">
        <v>332</v>
      </c>
      <c r="F886" s="63" t="s">
        <v>3555</v>
      </c>
      <c r="G886" s="50" t="s">
        <v>3173</v>
      </c>
      <c r="H886" s="57">
        <v>1300</v>
      </c>
      <c r="I886" s="227">
        <v>-130</v>
      </c>
      <c r="J886" s="57">
        <f t="shared" ref="J886:J903" si="103">SUM(H886:I886)</f>
        <v>1170</v>
      </c>
      <c r="K886" s="50">
        <v>2</v>
      </c>
      <c r="L886" s="57">
        <f t="shared" ref="L886:L903" si="104">SUM(J886*K886)</f>
        <v>2340</v>
      </c>
      <c r="M886" s="228">
        <f t="shared" ref="M886:M903" si="105">ROUNDDOWN(L886*1.1,0)</f>
        <v>2574</v>
      </c>
      <c r="N886" s="18" t="s">
        <v>20</v>
      </c>
      <c r="O886" s="50"/>
    </row>
    <row r="887" spans="1:16" ht="21.75" customHeight="1" x14ac:dyDescent="0.4">
      <c r="A887" s="62">
        <v>45674</v>
      </c>
      <c r="B887" s="32" t="s">
        <v>179</v>
      </c>
      <c r="C887" s="32" t="s">
        <v>4393</v>
      </c>
      <c r="D887" s="18" t="s">
        <v>4394</v>
      </c>
      <c r="E887" s="63" t="s">
        <v>332</v>
      </c>
      <c r="F887" s="63" t="s">
        <v>4395</v>
      </c>
      <c r="G887" s="50" t="s">
        <v>4459</v>
      </c>
      <c r="H887" s="57">
        <v>1700</v>
      </c>
      <c r="I887" s="227">
        <v>-170</v>
      </c>
      <c r="J887" s="57">
        <f t="shared" si="103"/>
        <v>1530</v>
      </c>
      <c r="K887" s="50">
        <v>2</v>
      </c>
      <c r="L887" s="57">
        <f t="shared" si="104"/>
        <v>3060</v>
      </c>
      <c r="M887" s="228">
        <f t="shared" si="105"/>
        <v>3366</v>
      </c>
      <c r="N887" s="18" t="s">
        <v>20</v>
      </c>
      <c r="O887" s="50"/>
    </row>
    <row r="888" spans="1:16" ht="21.75" customHeight="1" x14ac:dyDescent="0.4">
      <c r="A888" s="62">
        <v>45674</v>
      </c>
      <c r="B888" s="32" t="s">
        <v>4432</v>
      </c>
      <c r="C888" s="32" t="s">
        <v>4433</v>
      </c>
      <c r="D888" s="18" t="s">
        <v>27</v>
      </c>
      <c r="E888" s="63" t="s">
        <v>28</v>
      </c>
      <c r="F888" s="63"/>
      <c r="G888" s="50" t="s">
        <v>4434</v>
      </c>
      <c r="H888" s="57">
        <v>8500</v>
      </c>
      <c r="I888" s="227"/>
      <c r="J888" s="57">
        <f t="shared" si="103"/>
        <v>8500</v>
      </c>
      <c r="K888" s="50">
        <v>1</v>
      </c>
      <c r="L888" s="57">
        <f t="shared" si="104"/>
        <v>8500</v>
      </c>
      <c r="M888" s="228">
        <f t="shared" si="105"/>
        <v>9350</v>
      </c>
      <c r="N888" s="18" t="s">
        <v>4435</v>
      </c>
      <c r="O888" s="50"/>
    </row>
    <row r="889" spans="1:16" ht="21.75" customHeight="1" x14ac:dyDescent="0.4">
      <c r="A889" s="62">
        <v>45675</v>
      </c>
      <c r="B889" s="32" t="s">
        <v>4365</v>
      </c>
      <c r="C889" s="32" t="s">
        <v>2557</v>
      </c>
      <c r="D889" s="18" t="s">
        <v>27</v>
      </c>
      <c r="E889" s="63" t="s">
        <v>28</v>
      </c>
      <c r="F889" s="63"/>
      <c r="G889" s="50" t="s">
        <v>30</v>
      </c>
      <c r="H889" s="57">
        <v>15000</v>
      </c>
      <c r="I889" s="227"/>
      <c r="J889" s="57">
        <f t="shared" si="103"/>
        <v>15000</v>
      </c>
      <c r="K889" s="50">
        <v>1</v>
      </c>
      <c r="L889" s="57">
        <f t="shared" si="104"/>
        <v>15000</v>
      </c>
      <c r="M889" s="228">
        <f t="shared" si="105"/>
        <v>16500</v>
      </c>
      <c r="N889" s="18" t="s">
        <v>25</v>
      </c>
      <c r="O889" s="50"/>
    </row>
    <row r="890" spans="1:16" ht="21.75" customHeight="1" x14ac:dyDescent="0.4">
      <c r="A890" s="62">
        <v>45675</v>
      </c>
      <c r="B890" s="32" t="s">
        <v>4365</v>
      </c>
      <c r="C890" s="32" t="s">
        <v>2557</v>
      </c>
      <c r="D890" s="18" t="s">
        <v>27</v>
      </c>
      <c r="E890" s="63" t="s">
        <v>28</v>
      </c>
      <c r="F890" s="63"/>
      <c r="G890" s="50" t="s">
        <v>3664</v>
      </c>
      <c r="H890" s="57">
        <v>17500</v>
      </c>
      <c r="I890" s="227"/>
      <c r="J890" s="57">
        <f t="shared" si="103"/>
        <v>17500</v>
      </c>
      <c r="K890" s="50">
        <v>1</v>
      </c>
      <c r="L890" s="57">
        <f t="shared" si="104"/>
        <v>17500</v>
      </c>
      <c r="M890" s="228">
        <f t="shared" si="105"/>
        <v>19250</v>
      </c>
      <c r="N890" s="18" t="s">
        <v>25</v>
      </c>
      <c r="O890" s="50"/>
    </row>
    <row r="891" spans="1:16" ht="21.75" customHeight="1" x14ac:dyDescent="0.4">
      <c r="A891" s="62">
        <v>45675</v>
      </c>
      <c r="B891" s="32" t="s">
        <v>4365</v>
      </c>
      <c r="C891" s="32" t="s">
        <v>2557</v>
      </c>
      <c r="D891" s="18" t="s">
        <v>27</v>
      </c>
      <c r="E891" s="63" t="s">
        <v>4409</v>
      </c>
      <c r="F891" s="63"/>
      <c r="G891" s="50" t="s">
        <v>4396</v>
      </c>
      <c r="H891" s="57">
        <v>8750</v>
      </c>
      <c r="I891" s="227"/>
      <c r="J891" s="57">
        <f t="shared" si="103"/>
        <v>8750</v>
      </c>
      <c r="K891" s="50">
        <v>1</v>
      </c>
      <c r="L891" s="57">
        <f t="shared" si="104"/>
        <v>8750</v>
      </c>
      <c r="M891" s="228">
        <f t="shared" si="105"/>
        <v>9625</v>
      </c>
      <c r="N891" s="18" t="s">
        <v>25</v>
      </c>
      <c r="O891" s="50"/>
    </row>
    <row r="892" spans="1:16" ht="21.75" customHeight="1" x14ac:dyDescent="0.4">
      <c r="A892" s="62">
        <v>45675</v>
      </c>
      <c r="B892" s="32" t="s">
        <v>4397</v>
      </c>
      <c r="C892" s="32" t="s">
        <v>4313</v>
      </c>
      <c r="D892" s="18" t="s">
        <v>22</v>
      </c>
      <c r="E892" s="63" t="s">
        <v>1496</v>
      </c>
      <c r="F892" s="63"/>
      <c r="G892" s="50" t="s">
        <v>49</v>
      </c>
      <c r="H892" s="57">
        <v>3000</v>
      </c>
      <c r="I892" s="227"/>
      <c r="J892" s="57">
        <f t="shared" si="103"/>
        <v>3000</v>
      </c>
      <c r="K892" s="50">
        <v>1</v>
      </c>
      <c r="L892" s="57">
        <f t="shared" si="104"/>
        <v>3000</v>
      </c>
      <c r="M892" s="228">
        <f t="shared" si="105"/>
        <v>3300</v>
      </c>
      <c r="N892" s="18" t="s">
        <v>4398</v>
      </c>
      <c r="O892" s="50" t="s">
        <v>1954</v>
      </c>
    </row>
    <row r="893" spans="1:16" ht="21.75" customHeight="1" x14ac:dyDescent="0.4">
      <c r="A893" s="62">
        <v>45676</v>
      </c>
      <c r="B893" s="32" t="s">
        <v>4399</v>
      </c>
      <c r="C893" s="32" t="s">
        <v>405</v>
      </c>
      <c r="D893" s="18" t="s">
        <v>22</v>
      </c>
      <c r="E893" s="63" t="s">
        <v>23</v>
      </c>
      <c r="F893" s="63"/>
      <c r="G893" s="50" t="s">
        <v>4400</v>
      </c>
      <c r="H893" s="57">
        <v>15000</v>
      </c>
      <c r="I893" s="227"/>
      <c r="J893" s="57">
        <f t="shared" si="103"/>
        <v>15000</v>
      </c>
      <c r="K893" s="50">
        <v>1</v>
      </c>
      <c r="L893" s="57">
        <f t="shared" si="104"/>
        <v>15000</v>
      </c>
      <c r="M893" s="228">
        <f t="shared" si="105"/>
        <v>16500</v>
      </c>
      <c r="N893" s="18" t="s">
        <v>25</v>
      </c>
      <c r="O893" s="50" t="s">
        <v>1954</v>
      </c>
    </row>
    <row r="894" spans="1:16" ht="21.75" customHeight="1" x14ac:dyDescent="0.4">
      <c r="A894" s="62">
        <v>45677</v>
      </c>
      <c r="B894" s="32" t="s">
        <v>3344</v>
      </c>
      <c r="C894" s="32" t="s">
        <v>4401</v>
      </c>
      <c r="D894" s="18" t="s">
        <v>4402</v>
      </c>
      <c r="E894" s="63" t="s">
        <v>332</v>
      </c>
      <c r="F894" s="63" t="s">
        <v>4403</v>
      </c>
      <c r="G894" s="50" t="s">
        <v>4404</v>
      </c>
      <c r="H894" s="57">
        <v>1300</v>
      </c>
      <c r="I894" s="227">
        <v>-130</v>
      </c>
      <c r="J894" s="57">
        <f t="shared" si="103"/>
        <v>1170</v>
      </c>
      <c r="K894" s="50">
        <v>2</v>
      </c>
      <c r="L894" s="57">
        <f t="shared" si="104"/>
        <v>2340</v>
      </c>
      <c r="M894" s="228">
        <f t="shared" si="105"/>
        <v>2574</v>
      </c>
      <c r="N894" s="18" t="s">
        <v>25</v>
      </c>
      <c r="O894" s="50"/>
    </row>
    <row r="895" spans="1:16" ht="21.75" customHeight="1" x14ac:dyDescent="0.4">
      <c r="A895" s="62">
        <v>45679</v>
      </c>
      <c r="B895" s="32" t="s">
        <v>4405</v>
      </c>
      <c r="C895" s="32" t="s">
        <v>405</v>
      </c>
      <c r="D895" s="18" t="s">
        <v>22</v>
      </c>
      <c r="E895" s="63" t="s">
        <v>23</v>
      </c>
      <c r="F895" s="63"/>
      <c r="G895" s="50" t="s">
        <v>96</v>
      </c>
      <c r="H895" s="57">
        <v>15000</v>
      </c>
      <c r="I895" s="227"/>
      <c r="J895" s="57">
        <f t="shared" si="103"/>
        <v>15000</v>
      </c>
      <c r="K895" s="50">
        <v>1</v>
      </c>
      <c r="L895" s="57">
        <f t="shared" si="104"/>
        <v>15000</v>
      </c>
      <c r="M895" s="228">
        <f t="shared" si="105"/>
        <v>16500</v>
      </c>
      <c r="N895" s="18" t="s">
        <v>25</v>
      </c>
      <c r="O895" s="50" t="s">
        <v>1954</v>
      </c>
    </row>
    <row r="896" spans="1:16" ht="21.75" customHeight="1" x14ac:dyDescent="0.4">
      <c r="A896" s="62">
        <v>45679</v>
      </c>
      <c r="B896" s="32" t="s">
        <v>4424</v>
      </c>
      <c r="C896" s="32" t="s">
        <v>4425</v>
      </c>
      <c r="D896" s="18" t="s">
        <v>4416</v>
      </c>
      <c r="E896" s="63" t="s">
        <v>4426</v>
      </c>
      <c r="F896" s="63" t="s">
        <v>4427</v>
      </c>
      <c r="G896" s="50" t="s">
        <v>4428</v>
      </c>
      <c r="H896" s="57">
        <v>55000</v>
      </c>
      <c r="I896" s="227">
        <v>-11000</v>
      </c>
      <c r="J896" s="57">
        <f t="shared" ref="J896" si="106">SUM(H896:I896)</f>
        <v>44000</v>
      </c>
      <c r="K896" s="50">
        <v>1</v>
      </c>
      <c r="L896" s="57">
        <f t="shared" ref="L896" si="107">SUM(J896*K896)</f>
        <v>44000</v>
      </c>
      <c r="M896" s="228">
        <f t="shared" ref="M896" si="108">ROUNDDOWN(L896*1.1,0)</f>
        <v>48400</v>
      </c>
      <c r="N896" s="18" t="s">
        <v>4418</v>
      </c>
      <c r="O896" s="50"/>
      <c r="P896" s="52" t="s">
        <v>4470</v>
      </c>
    </row>
    <row r="897" spans="1:27" ht="21.75" customHeight="1" x14ac:dyDescent="0.4">
      <c r="A897" s="62">
        <v>45679</v>
      </c>
      <c r="B897" s="32" t="s">
        <v>4424</v>
      </c>
      <c r="C897" s="32" t="s">
        <v>4425</v>
      </c>
      <c r="D897" s="18" t="s">
        <v>4416</v>
      </c>
      <c r="E897" s="63" t="s">
        <v>4422</v>
      </c>
      <c r="F897" s="63" t="s">
        <v>3543</v>
      </c>
      <c r="G897" s="50" t="s">
        <v>4429</v>
      </c>
      <c r="H897" s="57">
        <v>5500</v>
      </c>
      <c r="I897" s="227"/>
      <c r="J897" s="57">
        <f t="shared" ref="J897:J898" si="109">SUM(H897:I897)</f>
        <v>5500</v>
      </c>
      <c r="K897" s="50">
        <v>1</v>
      </c>
      <c r="L897" s="57">
        <f t="shared" ref="L897:L898" si="110">SUM(J897*K897)</f>
        <v>5500</v>
      </c>
      <c r="M897" s="228">
        <f t="shared" ref="M897:M898" si="111">ROUNDDOWN(L897*1.1,0)</f>
        <v>6050</v>
      </c>
      <c r="N897" s="18" t="s">
        <v>4418</v>
      </c>
      <c r="O897" s="50"/>
      <c r="P897" s="52" t="s">
        <v>4470</v>
      </c>
    </row>
    <row r="898" spans="1:27" ht="21.75" customHeight="1" x14ac:dyDescent="0.4">
      <c r="A898" s="62">
        <v>45679</v>
      </c>
      <c r="B898" s="32" t="s">
        <v>4424</v>
      </c>
      <c r="C898" s="32" t="s">
        <v>4425</v>
      </c>
      <c r="D898" s="18" t="s">
        <v>4416</v>
      </c>
      <c r="E898" s="63" t="s">
        <v>4430</v>
      </c>
      <c r="F898" s="63" t="s">
        <v>3554</v>
      </c>
      <c r="G898" s="50" t="s">
        <v>4431</v>
      </c>
      <c r="H898" s="57">
        <v>1200</v>
      </c>
      <c r="I898" s="227">
        <v>0</v>
      </c>
      <c r="J898" s="57">
        <f t="shared" si="109"/>
        <v>1200</v>
      </c>
      <c r="K898" s="50">
        <v>1</v>
      </c>
      <c r="L898" s="57">
        <f t="shared" si="110"/>
        <v>1200</v>
      </c>
      <c r="M898" s="228">
        <f t="shared" si="111"/>
        <v>1320</v>
      </c>
      <c r="N898" s="18" t="s">
        <v>4418</v>
      </c>
      <c r="O898" s="50"/>
      <c r="P898" s="52" t="s">
        <v>4470</v>
      </c>
    </row>
    <row r="899" spans="1:27" ht="21.75" customHeight="1" x14ac:dyDescent="0.4">
      <c r="A899" s="62">
        <v>45680</v>
      </c>
      <c r="B899" s="32" t="s">
        <v>4406</v>
      </c>
      <c r="C899" s="32" t="s">
        <v>4407</v>
      </c>
      <c r="D899" s="18" t="s">
        <v>4408</v>
      </c>
      <c r="E899" s="63" t="s">
        <v>28</v>
      </c>
      <c r="F899" s="63"/>
      <c r="G899" s="50" t="s">
        <v>3663</v>
      </c>
      <c r="H899" s="57">
        <v>17500</v>
      </c>
      <c r="I899" s="227"/>
      <c r="J899" s="57">
        <f t="shared" si="103"/>
        <v>17500</v>
      </c>
      <c r="K899" s="50">
        <v>1</v>
      </c>
      <c r="L899" s="57">
        <f t="shared" si="104"/>
        <v>17500</v>
      </c>
      <c r="M899" s="228">
        <f t="shared" si="105"/>
        <v>19250</v>
      </c>
      <c r="N899" s="18" t="s">
        <v>25</v>
      </c>
      <c r="O899" s="50"/>
    </row>
    <row r="900" spans="1:27" ht="21.75" customHeight="1" x14ac:dyDescent="0.4">
      <c r="A900" s="62">
        <v>45680</v>
      </c>
      <c r="B900" s="32" t="s">
        <v>4411</v>
      </c>
      <c r="C900" s="32" t="s">
        <v>4412</v>
      </c>
      <c r="D900" s="18" t="s">
        <v>17</v>
      </c>
      <c r="E900" s="63" t="s">
        <v>4413</v>
      </c>
      <c r="F900" s="63" t="s">
        <v>4414</v>
      </c>
      <c r="G900" s="50" t="s">
        <v>4415</v>
      </c>
      <c r="H900" s="57">
        <v>5200</v>
      </c>
      <c r="I900" s="227"/>
      <c r="J900" s="57">
        <v>5200</v>
      </c>
      <c r="K900" s="50">
        <v>1</v>
      </c>
      <c r="L900" s="57">
        <f t="shared" ref="L900:L901" si="112">SUM(J900*K900)</f>
        <v>5200</v>
      </c>
      <c r="M900" s="228">
        <f t="shared" ref="M900:M901" si="113">ROUNDDOWN(L900*1.1,0)</f>
        <v>5720</v>
      </c>
      <c r="N900" s="18" t="s">
        <v>25</v>
      </c>
      <c r="O900" s="50"/>
    </row>
    <row r="901" spans="1:27" ht="21.75" customHeight="1" x14ac:dyDescent="0.4">
      <c r="A901" s="62">
        <v>45680</v>
      </c>
      <c r="B901" s="32" t="s">
        <v>139</v>
      </c>
      <c r="C901" s="32" t="s">
        <v>2557</v>
      </c>
      <c r="D901" s="18" t="s">
        <v>17</v>
      </c>
      <c r="E901" s="63" t="s">
        <v>292</v>
      </c>
      <c r="F901" s="63" t="s">
        <v>3642</v>
      </c>
      <c r="G901" s="50" t="s">
        <v>4279</v>
      </c>
      <c r="H901" s="57">
        <v>5800</v>
      </c>
      <c r="I901" s="227">
        <v>-580</v>
      </c>
      <c r="J901" s="57">
        <f t="shared" ref="J901" si="114">SUM(H901:I901)</f>
        <v>5220</v>
      </c>
      <c r="K901" s="50">
        <v>1</v>
      </c>
      <c r="L901" s="57">
        <f t="shared" si="112"/>
        <v>5220</v>
      </c>
      <c r="M901" s="228">
        <f t="shared" si="113"/>
        <v>5742</v>
      </c>
      <c r="N901" s="18" t="s">
        <v>25</v>
      </c>
      <c r="O901" s="50"/>
    </row>
    <row r="902" spans="1:27" ht="21.75" customHeight="1" x14ac:dyDescent="0.4">
      <c r="A902" s="62">
        <v>45680</v>
      </c>
      <c r="B902" s="32" t="s">
        <v>4365</v>
      </c>
      <c r="C902" s="32" t="s">
        <v>4412</v>
      </c>
      <c r="D902" s="18" t="s">
        <v>4416</v>
      </c>
      <c r="E902" s="63" t="s">
        <v>332</v>
      </c>
      <c r="F902" s="63" t="s">
        <v>3555</v>
      </c>
      <c r="G902" s="50" t="s">
        <v>4417</v>
      </c>
      <c r="H902" s="57">
        <v>1700</v>
      </c>
      <c r="I902" s="227">
        <v>-170</v>
      </c>
      <c r="J902" s="57">
        <f t="shared" si="103"/>
        <v>1530</v>
      </c>
      <c r="K902" s="50">
        <v>5</v>
      </c>
      <c r="L902" s="57">
        <f t="shared" si="104"/>
        <v>7650</v>
      </c>
      <c r="M902" s="228">
        <f t="shared" si="105"/>
        <v>8415</v>
      </c>
      <c r="N902" s="18" t="s">
        <v>4418</v>
      </c>
      <c r="O902" s="50"/>
    </row>
    <row r="903" spans="1:27" ht="21.75" customHeight="1" x14ac:dyDescent="0.4">
      <c r="A903" s="62">
        <v>45680</v>
      </c>
      <c r="B903" s="32" t="s">
        <v>4419</v>
      </c>
      <c r="C903" s="32" t="s">
        <v>405</v>
      </c>
      <c r="D903" s="18" t="s">
        <v>4416</v>
      </c>
      <c r="E903" s="63" t="s">
        <v>332</v>
      </c>
      <c r="F903" s="63" t="s">
        <v>3553</v>
      </c>
      <c r="G903" s="50" t="s">
        <v>4420</v>
      </c>
      <c r="H903" s="57">
        <v>1200</v>
      </c>
      <c r="I903" s="227"/>
      <c r="J903" s="57">
        <f t="shared" si="103"/>
        <v>1200</v>
      </c>
      <c r="K903" s="50">
        <v>1</v>
      </c>
      <c r="L903" s="57">
        <f t="shared" si="104"/>
        <v>1200</v>
      </c>
      <c r="M903" s="228">
        <f t="shared" si="105"/>
        <v>1320</v>
      </c>
      <c r="N903" s="18" t="s">
        <v>4421</v>
      </c>
      <c r="O903" s="50"/>
      <c r="P903" s="67" t="s">
        <v>4470</v>
      </c>
    </row>
    <row r="904" spans="1:27" ht="21.75" customHeight="1" x14ac:dyDescent="0.4">
      <c r="A904" s="62">
        <v>45680</v>
      </c>
      <c r="B904" s="32" t="s">
        <v>4419</v>
      </c>
      <c r="C904" s="32" t="s">
        <v>405</v>
      </c>
      <c r="D904" s="18" t="s">
        <v>4416</v>
      </c>
      <c r="E904" s="63" t="s">
        <v>330</v>
      </c>
      <c r="F904" s="63" t="s">
        <v>480</v>
      </c>
      <c r="G904" s="50" t="s">
        <v>4422</v>
      </c>
      <c r="H904" s="57">
        <v>4000</v>
      </c>
      <c r="I904" s="227"/>
      <c r="J904" s="57">
        <f t="shared" ref="J904:J905" si="115">SUM(H904:I904)</f>
        <v>4000</v>
      </c>
      <c r="K904" s="50">
        <v>1</v>
      </c>
      <c r="L904" s="57">
        <f t="shared" ref="L904:L923" si="116">SUM(J904*K904)</f>
        <v>4000</v>
      </c>
      <c r="M904" s="228">
        <f t="shared" ref="M904:M930" si="117">ROUNDDOWN(L904*1.1,0)</f>
        <v>4400</v>
      </c>
      <c r="N904" s="18" t="s">
        <v>4421</v>
      </c>
      <c r="O904" s="50"/>
      <c r="P904" s="67" t="s">
        <v>4470</v>
      </c>
    </row>
    <row r="905" spans="1:27" ht="21.75" customHeight="1" x14ac:dyDescent="0.4">
      <c r="A905" s="62">
        <v>45680</v>
      </c>
      <c r="B905" s="32" t="s">
        <v>4419</v>
      </c>
      <c r="C905" s="32" t="s">
        <v>405</v>
      </c>
      <c r="D905" s="18" t="s">
        <v>4416</v>
      </c>
      <c r="E905" s="63" t="s">
        <v>328</v>
      </c>
      <c r="F905" s="63" t="s">
        <v>3595</v>
      </c>
      <c r="G905" s="50" t="s">
        <v>4423</v>
      </c>
      <c r="H905" s="57">
        <v>40000</v>
      </c>
      <c r="I905" s="227">
        <v>-8000</v>
      </c>
      <c r="J905" s="57">
        <f t="shared" si="115"/>
        <v>32000</v>
      </c>
      <c r="K905" s="50">
        <v>1</v>
      </c>
      <c r="L905" s="57">
        <f t="shared" si="116"/>
        <v>32000</v>
      </c>
      <c r="M905" s="228">
        <f t="shared" si="117"/>
        <v>35200</v>
      </c>
      <c r="N905" s="18" t="s">
        <v>4421</v>
      </c>
      <c r="O905" s="50"/>
      <c r="P905" s="67" t="s">
        <v>4470</v>
      </c>
    </row>
    <row r="906" spans="1:27" ht="21.75" customHeight="1" x14ac:dyDescent="0.4">
      <c r="A906" s="151">
        <v>45680</v>
      </c>
      <c r="B906" s="198" t="s">
        <v>3755</v>
      </c>
      <c r="C906" s="198" t="s">
        <v>4412</v>
      </c>
      <c r="D906" s="223" t="s">
        <v>17</v>
      </c>
      <c r="E906" s="116" t="s">
        <v>4413</v>
      </c>
      <c r="F906" s="116" t="s">
        <v>4414</v>
      </c>
      <c r="G906" s="117" t="s">
        <v>3653</v>
      </c>
      <c r="H906" s="118">
        <v>5500</v>
      </c>
      <c r="I906" s="267"/>
      <c r="J906" s="118">
        <f t="shared" ref="J906:J923" si="118">SUM(H906:I906)</f>
        <v>5500</v>
      </c>
      <c r="K906" s="117">
        <v>1</v>
      </c>
      <c r="L906" s="118">
        <f t="shared" si="116"/>
        <v>5500</v>
      </c>
      <c r="M906" s="234">
        <f t="shared" si="117"/>
        <v>6050</v>
      </c>
      <c r="N906" s="223" t="s">
        <v>25</v>
      </c>
      <c r="O906" s="117"/>
    </row>
    <row r="907" spans="1:27" s="50" customFormat="1" ht="21.75" customHeight="1" x14ac:dyDescent="0.4">
      <c r="A907" s="151">
        <v>45681</v>
      </c>
      <c r="B907" s="18" t="s">
        <v>1608</v>
      </c>
      <c r="C907" s="223" t="s">
        <v>2557</v>
      </c>
      <c r="D907" s="223" t="s">
        <v>17</v>
      </c>
      <c r="E907" s="50" t="s">
        <v>4439</v>
      </c>
      <c r="F907" s="50" t="s">
        <v>3553</v>
      </c>
      <c r="G907" s="50" t="s">
        <v>4436</v>
      </c>
      <c r="H907" s="225">
        <v>2470</v>
      </c>
      <c r="I907" s="227"/>
      <c r="J907" s="225">
        <f t="shared" si="118"/>
        <v>2470</v>
      </c>
      <c r="K907" s="225">
        <v>1</v>
      </c>
      <c r="L907" s="225">
        <f t="shared" si="116"/>
        <v>2470</v>
      </c>
      <c r="M907" s="225">
        <f t="shared" si="117"/>
        <v>2717</v>
      </c>
      <c r="N907" s="18" t="s">
        <v>4440</v>
      </c>
      <c r="W907" s="224"/>
      <c r="X907" s="57"/>
      <c r="Y907" s="57"/>
      <c r="Z907" s="57"/>
      <c r="AA907" s="57"/>
    </row>
    <row r="908" spans="1:27" s="50" customFormat="1" ht="21.75" customHeight="1" x14ac:dyDescent="0.4">
      <c r="A908" s="151">
        <v>45681</v>
      </c>
      <c r="B908" s="18" t="s">
        <v>1608</v>
      </c>
      <c r="C908" s="223" t="s">
        <v>2557</v>
      </c>
      <c r="D908" s="223" t="s">
        <v>17</v>
      </c>
      <c r="E908" s="50" t="s">
        <v>4439</v>
      </c>
      <c r="F908" s="50" t="s">
        <v>3553</v>
      </c>
      <c r="G908" s="50" t="s">
        <v>4437</v>
      </c>
      <c r="H908" s="225">
        <v>2470</v>
      </c>
      <c r="I908" s="227"/>
      <c r="J908" s="225">
        <f t="shared" si="118"/>
        <v>2470</v>
      </c>
      <c r="K908" s="225">
        <v>1</v>
      </c>
      <c r="L908" s="225">
        <f t="shared" si="116"/>
        <v>2470</v>
      </c>
      <c r="M908" s="225">
        <f t="shared" si="117"/>
        <v>2717</v>
      </c>
      <c r="N908" s="18" t="s">
        <v>4440</v>
      </c>
      <c r="W908" s="224"/>
      <c r="X908" s="57"/>
      <c r="Y908" s="57"/>
      <c r="Z908" s="57"/>
      <c r="AA908" s="57"/>
    </row>
    <row r="909" spans="1:27" s="50" customFormat="1" ht="21.75" customHeight="1" x14ac:dyDescent="0.4">
      <c r="A909" s="62">
        <v>45681</v>
      </c>
      <c r="B909" s="18" t="s">
        <v>1608</v>
      </c>
      <c r="C909" s="18" t="s">
        <v>2557</v>
      </c>
      <c r="D909" s="18" t="s">
        <v>17</v>
      </c>
      <c r="E909" s="50" t="s">
        <v>4438</v>
      </c>
      <c r="F909" s="50" t="s">
        <v>3553</v>
      </c>
      <c r="G909" s="50" t="s">
        <v>4438</v>
      </c>
      <c r="H909" s="225">
        <v>1200</v>
      </c>
      <c r="I909" s="227"/>
      <c r="J909" s="225">
        <f t="shared" si="118"/>
        <v>1200</v>
      </c>
      <c r="K909" s="225">
        <v>1</v>
      </c>
      <c r="L909" s="225">
        <f t="shared" si="116"/>
        <v>1200</v>
      </c>
      <c r="M909" s="225">
        <f t="shared" si="117"/>
        <v>1320</v>
      </c>
      <c r="N909" s="18" t="s">
        <v>4440</v>
      </c>
      <c r="W909" s="224"/>
      <c r="X909" s="57"/>
      <c r="Y909" s="57"/>
      <c r="Z909" s="57"/>
      <c r="AA909" s="57"/>
    </row>
    <row r="910" spans="1:27" ht="21.75" customHeight="1" x14ac:dyDescent="0.4">
      <c r="A910" s="62">
        <v>45682</v>
      </c>
      <c r="B910" s="32" t="s">
        <v>4445</v>
      </c>
      <c r="C910" s="32" t="s">
        <v>405</v>
      </c>
      <c r="D910" s="18" t="s">
        <v>22</v>
      </c>
      <c r="E910" s="61" t="s">
        <v>23</v>
      </c>
      <c r="F910" s="61"/>
      <c r="G910" s="56" t="s">
        <v>96</v>
      </c>
      <c r="H910" s="226">
        <v>15000</v>
      </c>
      <c r="I910" s="264">
        <v>-5000</v>
      </c>
      <c r="J910" s="225">
        <f t="shared" si="118"/>
        <v>10000</v>
      </c>
      <c r="K910" s="226">
        <v>1</v>
      </c>
      <c r="L910" s="225">
        <f t="shared" si="116"/>
        <v>10000</v>
      </c>
      <c r="M910" s="225">
        <f t="shared" si="117"/>
        <v>11000</v>
      </c>
      <c r="N910" s="60" t="s">
        <v>4441</v>
      </c>
      <c r="O910" s="56" t="s">
        <v>4442</v>
      </c>
    </row>
    <row r="911" spans="1:27" ht="21.75" customHeight="1" x14ac:dyDescent="0.4">
      <c r="A911" s="62">
        <v>45682</v>
      </c>
      <c r="B911" s="32" t="s">
        <v>4445</v>
      </c>
      <c r="C911" s="32" t="s">
        <v>405</v>
      </c>
      <c r="D911" s="18" t="s">
        <v>4443</v>
      </c>
      <c r="E911" s="63" t="s">
        <v>328</v>
      </c>
      <c r="F911" s="63" t="s">
        <v>3598</v>
      </c>
      <c r="G911" s="50" t="s">
        <v>4444</v>
      </c>
      <c r="H911" s="225">
        <v>55000</v>
      </c>
      <c r="I911" s="227">
        <v>-11000</v>
      </c>
      <c r="J911" s="225">
        <f t="shared" si="118"/>
        <v>44000</v>
      </c>
      <c r="K911" s="225">
        <v>1</v>
      </c>
      <c r="L911" s="225">
        <f t="shared" si="116"/>
        <v>44000</v>
      </c>
      <c r="M911" s="225">
        <f t="shared" si="117"/>
        <v>48400</v>
      </c>
      <c r="N911" s="60" t="s">
        <v>4441</v>
      </c>
      <c r="O911" s="490" t="s">
        <v>4446</v>
      </c>
      <c r="P911" s="52" t="s">
        <v>4471</v>
      </c>
    </row>
    <row r="912" spans="1:27" ht="21.75" customHeight="1" x14ac:dyDescent="0.4">
      <c r="A912" s="62">
        <v>45682</v>
      </c>
      <c r="B912" s="32" t="s">
        <v>4445</v>
      </c>
      <c r="C912" s="32" t="s">
        <v>405</v>
      </c>
      <c r="D912" s="18" t="s">
        <v>17</v>
      </c>
      <c r="E912" s="63" t="s">
        <v>455</v>
      </c>
      <c r="F912" s="63" t="s">
        <v>3658</v>
      </c>
      <c r="G912" s="50" t="s">
        <v>3173</v>
      </c>
      <c r="H912" s="225">
        <v>1300</v>
      </c>
      <c r="I912" s="227"/>
      <c r="J912" s="225">
        <f t="shared" si="118"/>
        <v>1300</v>
      </c>
      <c r="K912" s="225">
        <v>1</v>
      </c>
      <c r="L912" s="225">
        <f t="shared" si="116"/>
        <v>1300</v>
      </c>
      <c r="M912" s="225">
        <f t="shared" si="117"/>
        <v>1430</v>
      </c>
      <c r="N912" s="60" t="s">
        <v>4441</v>
      </c>
      <c r="O912" s="499"/>
      <c r="P912" s="52" t="s">
        <v>4471</v>
      </c>
    </row>
    <row r="913" spans="1:16" ht="21.75" customHeight="1" x14ac:dyDescent="0.4">
      <c r="A913" s="62">
        <v>45682</v>
      </c>
      <c r="B913" s="32" t="s">
        <v>4445</v>
      </c>
      <c r="C913" s="32" t="s">
        <v>405</v>
      </c>
      <c r="D913" s="96" t="s">
        <v>198</v>
      </c>
      <c r="E913" s="63"/>
      <c r="F913" s="63"/>
      <c r="G913" s="50" t="s">
        <v>2491</v>
      </c>
      <c r="H913" s="227">
        <v>-10000</v>
      </c>
      <c r="I913" s="227"/>
      <c r="J913" s="227">
        <f t="shared" si="118"/>
        <v>-10000</v>
      </c>
      <c r="K913" s="227">
        <v>1</v>
      </c>
      <c r="L913" s="227">
        <f t="shared" si="116"/>
        <v>-10000</v>
      </c>
      <c r="M913" s="225">
        <f t="shared" si="117"/>
        <v>-11000</v>
      </c>
      <c r="N913" s="60" t="s">
        <v>4441</v>
      </c>
      <c r="O913" s="491"/>
    </row>
    <row r="914" spans="1:16" ht="21.75" customHeight="1" x14ac:dyDescent="0.4">
      <c r="A914" s="62">
        <v>45683</v>
      </c>
      <c r="B914" s="32" t="s">
        <v>2363</v>
      </c>
      <c r="C914" s="32" t="s">
        <v>2557</v>
      </c>
      <c r="D914" s="18" t="s">
        <v>27</v>
      </c>
      <c r="E914" s="63" t="s">
        <v>28</v>
      </c>
      <c r="F914" s="63"/>
      <c r="G914" s="50" t="s">
        <v>3663</v>
      </c>
      <c r="H914" s="57">
        <v>17500</v>
      </c>
      <c r="I914" s="227"/>
      <c r="J914" s="57">
        <f t="shared" si="118"/>
        <v>17500</v>
      </c>
      <c r="K914" s="50">
        <v>1</v>
      </c>
      <c r="L914" s="57">
        <f t="shared" si="116"/>
        <v>17500</v>
      </c>
      <c r="M914" s="228">
        <f t="shared" si="117"/>
        <v>19250</v>
      </c>
      <c r="N914" s="18" t="s">
        <v>20</v>
      </c>
      <c r="O914" s="50"/>
    </row>
    <row r="915" spans="1:16" ht="21.75" customHeight="1" x14ac:dyDescent="0.4">
      <c r="A915" s="62">
        <v>45683</v>
      </c>
      <c r="B915" s="32" t="s">
        <v>4384</v>
      </c>
      <c r="C915" s="32" t="s">
        <v>2557</v>
      </c>
      <c r="D915" s="18" t="s">
        <v>27</v>
      </c>
      <c r="E915" s="63" t="s">
        <v>28</v>
      </c>
      <c r="F915" s="63"/>
      <c r="G915" s="50" t="s">
        <v>318</v>
      </c>
      <c r="H915" s="57">
        <v>15000</v>
      </c>
      <c r="I915" s="227"/>
      <c r="J915" s="57">
        <f t="shared" si="118"/>
        <v>15000</v>
      </c>
      <c r="K915" s="50">
        <v>1</v>
      </c>
      <c r="L915" s="57">
        <f t="shared" si="116"/>
        <v>15000</v>
      </c>
      <c r="M915" s="228">
        <f t="shared" si="117"/>
        <v>16500</v>
      </c>
      <c r="N915" s="18" t="s">
        <v>20</v>
      </c>
      <c r="O915" s="50"/>
    </row>
    <row r="916" spans="1:16" ht="21.75" customHeight="1" x14ac:dyDescent="0.4">
      <c r="A916" s="62">
        <v>45683</v>
      </c>
      <c r="B916" s="32" t="s">
        <v>4384</v>
      </c>
      <c r="C916" s="32" t="s">
        <v>2557</v>
      </c>
      <c r="D916" s="18" t="s">
        <v>27</v>
      </c>
      <c r="E916" s="63" t="s">
        <v>28</v>
      </c>
      <c r="F916" s="63"/>
      <c r="G916" s="50" t="s">
        <v>3663</v>
      </c>
      <c r="H916" s="57">
        <v>17500</v>
      </c>
      <c r="I916" s="227"/>
      <c r="J916" s="57">
        <f t="shared" ref="J916" si="119">SUM(H916:I916)</f>
        <v>17500</v>
      </c>
      <c r="K916" s="50">
        <v>1</v>
      </c>
      <c r="L916" s="57">
        <f t="shared" ref="L916" si="120">SUM(J916*K916)</f>
        <v>17500</v>
      </c>
      <c r="M916" s="228">
        <f t="shared" ref="M916" si="121">ROUNDDOWN(L916*1.1,0)</f>
        <v>19250</v>
      </c>
      <c r="N916" s="18" t="s">
        <v>20</v>
      </c>
      <c r="O916" s="50"/>
    </row>
    <row r="917" spans="1:16" ht="21.75" customHeight="1" x14ac:dyDescent="0.4">
      <c r="A917" s="62">
        <v>45684</v>
      </c>
      <c r="B917" s="32" t="s">
        <v>4447</v>
      </c>
      <c r="C917" s="32" t="s">
        <v>2557</v>
      </c>
      <c r="D917" s="18" t="s">
        <v>17</v>
      </c>
      <c r="E917" s="63" t="s">
        <v>4448</v>
      </c>
      <c r="F917" s="63" t="s">
        <v>3550</v>
      </c>
      <c r="G917" s="50" t="s">
        <v>4449</v>
      </c>
      <c r="H917" s="227">
        <v>1800</v>
      </c>
      <c r="I917" s="227">
        <v>-180</v>
      </c>
      <c r="J917" s="227">
        <f t="shared" si="118"/>
        <v>1620</v>
      </c>
      <c r="K917" s="227">
        <v>1</v>
      </c>
      <c r="L917" s="227">
        <f t="shared" si="116"/>
        <v>1620</v>
      </c>
      <c r="M917" s="225">
        <f t="shared" si="117"/>
        <v>1782</v>
      </c>
      <c r="N917" s="223" t="s">
        <v>25</v>
      </c>
      <c r="O917" s="50"/>
    </row>
    <row r="918" spans="1:16" ht="21.75" customHeight="1" x14ac:dyDescent="0.4">
      <c r="A918" s="62">
        <v>45686</v>
      </c>
      <c r="B918" s="32" t="s">
        <v>4450</v>
      </c>
      <c r="C918" s="32" t="s">
        <v>2557</v>
      </c>
      <c r="D918" s="18" t="s">
        <v>27</v>
      </c>
      <c r="E918" s="63" t="s">
        <v>4465</v>
      </c>
      <c r="F918" s="63"/>
      <c r="G918" s="50" t="s">
        <v>4451</v>
      </c>
      <c r="H918" s="227">
        <v>8500</v>
      </c>
      <c r="I918" s="227"/>
      <c r="J918" s="227">
        <f t="shared" si="118"/>
        <v>8500</v>
      </c>
      <c r="K918" s="227">
        <v>1</v>
      </c>
      <c r="L918" s="227">
        <f t="shared" si="116"/>
        <v>8500</v>
      </c>
      <c r="M918" s="228">
        <f t="shared" si="117"/>
        <v>9350</v>
      </c>
      <c r="N918" s="223" t="s">
        <v>25</v>
      </c>
      <c r="O918" s="50"/>
    </row>
    <row r="919" spans="1:16" ht="21.75" customHeight="1" x14ac:dyDescent="0.4">
      <c r="A919" s="62">
        <v>45686</v>
      </c>
      <c r="B919" s="32" t="s">
        <v>4450</v>
      </c>
      <c r="C919" s="32" t="s">
        <v>2557</v>
      </c>
      <c r="D919" s="18" t="s">
        <v>27</v>
      </c>
      <c r="E919" s="63" t="s">
        <v>28</v>
      </c>
      <c r="F919" s="63"/>
      <c r="G919" s="50" t="s">
        <v>318</v>
      </c>
      <c r="H919" s="227">
        <v>15000</v>
      </c>
      <c r="I919" s="227"/>
      <c r="J919" s="227">
        <f t="shared" si="118"/>
        <v>15000</v>
      </c>
      <c r="K919" s="227">
        <v>1</v>
      </c>
      <c r="L919" s="227">
        <f t="shared" si="116"/>
        <v>15000</v>
      </c>
      <c r="M919" s="228">
        <f t="shared" si="117"/>
        <v>16500</v>
      </c>
      <c r="N919" s="223" t="s">
        <v>25</v>
      </c>
      <c r="O919" s="50"/>
    </row>
    <row r="920" spans="1:16" ht="21.75" customHeight="1" x14ac:dyDescent="0.4">
      <c r="A920" s="62">
        <v>45686</v>
      </c>
      <c r="B920" s="32" t="s">
        <v>148</v>
      </c>
      <c r="C920" s="32" t="s">
        <v>2557</v>
      </c>
      <c r="D920" s="18" t="s">
        <v>27</v>
      </c>
      <c r="E920" s="63" t="s">
        <v>28</v>
      </c>
      <c r="F920" s="63"/>
      <c r="G920" s="50" t="s">
        <v>3663</v>
      </c>
      <c r="H920" s="227">
        <v>17500</v>
      </c>
      <c r="I920" s="227"/>
      <c r="J920" s="227">
        <f t="shared" si="118"/>
        <v>17500</v>
      </c>
      <c r="K920" s="227">
        <v>1</v>
      </c>
      <c r="L920" s="227">
        <f t="shared" si="116"/>
        <v>17500</v>
      </c>
      <c r="M920" s="228">
        <f t="shared" si="117"/>
        <v>19250</v>
      </c>
      <c r="N920" s="18" t="s">
        <v>4452</v>
      </c>
      <c r="O920" s="50"/>
    </row>
    <row r="921" spans="1:16" ht="21.75" customHeight="1" x14ac:dyDescent="0.4">
      <c r="A921" s="62">
        <v>45686</v>
      </c>
      <c r="B921" s="32" t="s">
        <v>148</v>
      </c>
      <c r="C921" s="32" t="s">
        <v>2557</v>
      </c>
      <c r="D921" s="18" t="s">
        <v>4453</v>
      </c>
      <c r="E921" s="63" t="s">
        <v>292</v>
      </c>
      <c r="F921" s="63" t="s">
        <v>1433</v>
      </c>
      <c r="G921" s="50" t="s">
        <v>4454</v>
      </c>
      <c r="H921" s="227">
        <v>4200</v>
      </c>
      <c r="I921" s="227"/>
      <c r="J921" s="227">
        <f t="shared" si="118"/>
        <v>4200</v>
      </c>
      <c r="K921" s="227">
        <v>1</v>
      </c>
      <c r="L921" s="227">
        <f t="shared" si="116"/>
        <v>4200</v>
      </c>
      <c r="M921" s="228">
        <f t="shared" si="117"/>
        <v>4620</v>
      </c>
      <c r="N921" s="18" t="s">
        <v>4452</v>
      </c>
      <c r="O921" s="50"/>
    </row>
    <row r="922" spans="1:16" ht="21.75" customHeight="1" x14ac:dyDescent="0.4">
      <c r="A922" s="62">
        <v>45687</v>
      </c>
      <c r="B922" s="32" t="s">
        <v>3794</v>
      </c>
      <c r="C922" s="32" t="s">
        <v>2557</v>
      </c>
      <c r="D922" s="18" t="s">
        <v>27</v>
      </c>
      <c r="E922" s="63" t="s">
        <v>28</v>
      </c>
      <c r="F922" s="63"/>
      <c r="G922" s="50" t="s">
        <v>73</v>
      </c>
      <c r="H922" s="57">
        <v>2000</v>
      </c>
      <c r="I922" s="227"/>
      <c r="J922" s="57">
        <f t="shared" si="118"/>
        <v>2000</v>
      </c>
      <c r="K922" s="50">
        <v>1</v>
      </c>
      <c r="L922" s="57">
        <f t="shared" si="116"/>
        <v>2000</v>
      </c>
      <c r="M922" s="228">
        <f t="shared" si="117"/>
        <v>2200</v>
      </c>
      <c r="N922" s="18" t="s">
        <v>20</v>
      </c>
      <c r="O922" s="50"/>
    </row>
    <row r="923" spans="1:16" ht="21.75" customHeight="1" x14ac:dyDescent="0.4">
      <c r="A923" s="62">
        <v>45687</v>
      </c>
      <c r="B923" s="32" t="s">
        <v>249</v>
      </c>
      <c r="C923" s="32" t="s">
        <v>4455</v>
      </c>
      <c r="D923" s="18" t="s">
        <v>17</v>
      </c>
      <c r="E923" s="63" t="s">
        <v>328</v>
      </c>
      <c r="F923" s="63" t="s">
        <v>3883</v>
      </c>
      <c r="G923" s="50" t="s">
        <v>4456</v>
      </c>
      <c r="H923" s="57">
        <v>40000</v>
      </c>
      <c r="I923" s="227">
        <v>-20000</v>
      </c>
      <c r="J923" s="57">
        <f t="shared" si="118"/>
        <v>20000</v>
      </c>
      <c r="K923" s="50">
        <v>1</v>
      </c>
      <c r="L923" s="57">
        <f t="shared" si="116"/>
        <v>20000</v>
      </c>
      <c r="M923" s="228">
        <f t="shared" si="117"/>
        <v>22000</v>
      </c>
      <c r="N923" s="18" t="s">
        <v>1121</v>
      </c>
      <c r="O923" s="50"/>
      <c r="P923" s="52" t="s">
        <v>4470</v>
      </c>
    </row>
    <row r="924" spans="1:16" ht="21.75" customHeight="1" x14ac:dyDescent="0.4">
      <c r="A924" s="62">
        <v>45687</v>
      </c>
      <c r="B924" s="32" t="s">
        <v>249</v>
      </c>
      <c r="C924" s="32" t="s">
        <v>4455</v>
      </c>
      <c r="D924" s="18" t="s">
        <v>17</v>
      </c>
      <c r="E924" s="63" t="s">
        <v>455</v>
      </c>
      <c r="F924" s="63" t="s">
        <v>3554</v>
      </c>
      <c r="G924" s="50" t="s">
        <v>4172</v>
      </c>
      <c r="H924" s="57">
        <v>2600</v>
      </c>
      <c r="I924" s="227">
        <v>-260</v>
      </c>
      <c r="J924" s="57">
        <f t="shared" ref="J924:J930" si="122">SUM(H924:I924)</f>
        <v>2340</v>
      </c>
      <c r="K924" s="50">
        <v>1</v>
      </c>
      <c r="L924" s="57">
        <f t="shared" ref="L924:L930" si="123">SUM(J924*K924)</f>
        <v>2340</v>
      </c>
      <c r="M924" s="228">
        <f t="shared" si="117"/>
        <v>2574</v>
      </c>
      <c r="N924" s="18" t="s">
        <v>1121</v>
      </c>
      <c r="O924" s="50"/>
      <c r="P924" s="52" t="s">
        <v>4470</v>
      </c>
    </row>
    <row r="925" spans="1:16" ht="21.75" customHeight="1" x14ac:dyDescent="0.4">
      <c r="A925" s="62">
        <v>45688</v>
      </c>
      <c r="B925" s="32" t="s">
        <v>1256</v>
      </c>
      <c r="C925" s="32" t="s">
        <v>2557</v>
      </c>
      <c r="D925" s="18" t="s">
        <v>27</v>
      </c>
      <c r="E925" s="63" t="s">
        <v>103</v>
      </c>
      <c r="F925" s="63"/>
      <c r="G925" s="50" t="s">
        <v>217</v>
      </c>
      <c r="H925" s="57">
        <v>25000</v>
      </c>
      <c r="I925" s="227"/>
      <c r="J925" s="57">
        <f t="shared" si="122"/>
        <v>25000</v>
      </c>
      <c r="K925" s="50">
        <v>1</v>
      </c>
      <c r="L925" s="57">
        <f t="shared" si="123"/>
        <v>25000</v>
      </c>
      <c r="M925" s="228">
        <f t="shared" si="117"/>
        <v>27500</v>
      </c>
      <c r="N925" s="18" t="s">
        <v>20</v>
      </c>
      <c r="O925" s="50"/>
    </row>
    <row r="926" spans="1:16" ht="21.75" customHeight="1" x14ac:dyDescent="0.4">
      <c r="A926" s="62">
        <v>45688</v>
      </c>
      <c r="B926" s="32" t="s">
        <v>179</v>
      </c>
      <c r="C926" s="32" t="s">
        <v>4457</v>
      </c>
      <c r="D926" s="18" t="s">
        <v>4458</v>
      </c>
      <c r="E926" s="63" t="s">
        <v>332</v>
      </c>
      <c r="F926" s="63" t="s">
        <v>3555</v>
      </c>
      <c r="G926" s="50" t="s">
        <v>4459</v>
      </c>
      <c r="H926" s="57">
        <v>1700</v>
      </c>
      <c r="I926" s="227">
        <v>-170</v>
      </c>
      <c r="J926" s="57">
        <f t="shared" si="122"/>
        <v>1530</v>
      </c>
      <c r="K926" s="50">
        <v>1</v>
      </c>
      <c r="L926" s="57">
        <f t="shared" si="123"/>
        <v>1530</v>
      </c>
      <c r="M926" s="228">
        <f t="shared" si="117"/>
        <v>1683</v>
      </c>
      <c r="N926" s="18" t="s">
        <v>4460</v>
      </c>
      <c r="O926" s="50"/>
    </row>
    <row r="927" spans="1:16" ht="21.75" customHeight="1" x14ac:dyDescent="0.4">
      <c r="A927" s="62">
        <v>45688</v>
      </c>
      <c r="B927" s="32" t="s">
        <v>4461</v>
      </c>
      <c r="C927" s="32" t="s">
        <v>4462</v>
      </c>
      <c r="D927" s="18" t="s">
        <v>22</v>
      </c>
      <c r="E927" s="63" t="s">
        <v>1496</v>
      </c>
      <c r="F927" s="63"/>
      <c r="G927" s="50" t="s">
        <v>2422</v>
      </c>
      <c r="H927" s="57">
        <v>2000</v>
      </c>
      <c r="I927" s="227"/>
      <c r="J927" s="57">
        <f t="shared" si="122"/>
        <v>2000</v>
      </c>
      <c r="K927" s="50">
        <v>1</v>
      </c>
      <c r="L927" s="57">
        <f t="shared" si="123"/>
        <v>2000</v>
      </c>
      <c r="M927" s="228">
        <f t="shared" si="117"/>
        <v>2200</v>
      </c>
      <c r="N927" s="18" t="s">
        <v>25</v>
      </c>
      <c r="O927" s="50"/>
    </row>
    <row r="928" spans="1:16" ht="21.75" customHeight="1" x14ac:dyDescent="0.4">
      <c r="A928" s="62">
        <v>45688</v>
      </c>
      <c r="B928" s="32" t="s">
        <v>4463</v>
      </c>
      <c r="C928" s="32" t="s">
        <v>4457</v>
      </c>
      <c r="D928" s="18" t="s">
        <v>4464</v>
      </c>
      <c r="E928" s="63" t="s">
        <v>28</v>
      </c>
      <c r="F928" s="63"/>
      <c r="G928" s="50" t="s">
        <v>4466</v>
      </c>
      <c r="H928" s="57">
        <v>17500</v>
      </c>
      <c r="I928" s="227"/>
      <c r="J928" s="57">
        <f t="shared" si="122"/>
        <v>17500</v>
      </c>
      <c r="K928" s="50">
        <v>1</v>
      </c>
      <c r="L928" s="57">
        <f t="shared" si="123"/>
        <v>17500</v>
      </c>
      <c r="M928" s="228">
        <f t="shared" si="117"/>
        <v>19250</v>
      </c>
      <c r="N928" s="18" t="s">
        <v>4460</v>
      </c>
      <c r="O928" s="50"/>
    </row>
    <row r="929" spans="1:16" ht="21.75" customHeight="1" x14ac:dyDescent="0.4">
      <c r="A929" s="62">
        <v>45688</v>
      </c>
      <c r="B929" s="32" t="s">
        <v>4463</v>
      </c>
      <c r="C929" s="32" t="s">
        <v>4457</v>
      </c>
      <c r="D929" s="18" t="s">
        <v>4464</v>
      </c>
      <c r="E929" s="63" t="s">
        <v>28</v>
      </c>
      <c r="F929" s="63"/>
      <c r="G929" s="50" t="s">
        <v>4467</v>
      </c>
      <c r="H929" s="57">
        <v>17500</v>
      </c>
      <c r="I929" s="227"/>
      <c r="J929" s="57">
        <f t="shared" si="122"/>
        <v>17500</v>
      </c>
      <c r="K929" s="50">
        <v>1</v>
      </c>
      <c r="L929" s="57">
        <f t="shared" si="123"/>
        <v>17500</v>
      </c>
      <c r="M929" s="228">
        <f t="shared" si="117"/>
        <v>19250</v>
      </c>
      <c r="N929" s="18" t="s">
        <v>4460</v>
      </c>
      <c r="O929" s="50"/>
    </row>
    <row r="930" spans="1:16" ht="21.75" customHeight="1" x14ac:dyDescent="0.4">
      <c r="A930" s="62">
        <v>45688</v>
      </c>
      <c r="B930" s="32" t="s">
        <v>162</v>
      </c>
      <c r="C930" s="32" t="s">
        <v>4457</v>
      </c>
      <c r="D930" s="18" t="s">
        <v>27</v>
      </c>
      <c r="E930" s="63" t="s">
        <v>28</v>
      </c>
      <c r="F930" s="63"/>
      <c r="G930" s="50" t="s">
        <v>73</v>
      </c>
      <c r="H930" s="57">
        <v>2000</v>
      </c>
      <c r="I930" s="227"/>
      <c r="J930" s="57">
        <f t="shared" si="122"/>
        <v>2000</v>
      </c>
      <c r="K930" s="50">
        <v>1</v>
      </c>
      <c r="L930" s="57">
        <f t="shared" si="123"/>
        <v>2000</v>
      </c>
      <c r="M930" s="228">
        <f t="shared" si="117"/>
        <v>2200</v>
      </c>
      <c r="N930" s="18" t="s">
        <v>25</v>
      </c>
      <c r="O930" s="50"/>
    </row>
    <row r="931" spans="1:16" ht="21.75" customHeight="1" x14ac:dyDescent="0.4">
      <c r="A931" s="62">
        <v>45688</v>
      </c>
      <c r="B931" s="32" t="s">
        <v>4468</v>
      </c>
      <c r="C931" s="32" t="s">
        <v>4457</v>
      </c>
      <c r="D931" s="18" t="s">
        <v>4464</v>
      </c>
      <c r="E931" s="63" t="s">
        <v>28</v>
      </c>
      <c r="F931" s="63"/>
      <c r="G931" s="50" t="s">
        <v>4491</v>
      </c>
      <c r="H931" s="57">
        <v>12250</v>
      </c>
      <c r="I931" s="227"/>
      <c r="J931" s="57">
        <f t="shared" ref="J931:J939" si="124">SUM(H931:I931)</f>
        <v>12250</v>
      </c>
      <c r="K931" s="50">
        <v>1</v>
      </c>
      <c r="L931" s="57">
        <f t="shared" ref="L931:L939" si="125">SUM(J931*K931)</f>
        <v>12250</v>
      </c>
      <c r="M931" s="228">
        <f t="shared" ref="M931:M939" si="126">ROUNDDOWN(L931*1.1,0)</f>
        <v>13475</v>
      </c>
      <c r="N931" s="18" t="s">
        <v>25</v>
      </c>
      <c r="O931" s="50"/>
    </row>
    <row r="932" spans="1:16" ht="21.75" customHeight="1" x14ac:dyDescent="0.4">
      <c r="A932" s="62">
        <v>45689</v>
      </c>
      <c r="B932" s="32" t="s">
        <v>4399</v>
      </c>
      <c r="C932" s="32" t="s">
        <v>405</v>
      </c>
      <c r="D932" s="18" t="s">
        <v>17</v>
      </c>
      <c r="E932" s="63" t="s">
        <v>328</v>
      </c>
      <c r="F932" s="63" t="s">
        <v>4542</v>
      </c>
      <c r="G932" s="50" t="s">
        <v>4543</v>
      </c>
      <c r="H932" s="57">
        <v>63000</v>
      </c>
      <c r="I932" s="227">
        <v>-12600</v>
      </c>
      <c r="J932" s="57">
        <f t="shared" si="124"/>
        <v>50400</v>
      </c>
      <c r="K932" s="50">
        <v>2</v>
      </c>
      <c r="L932" s="57">
        <f t="shared" ref="L932" si="127">SUM(J932*K932)</f>
        <v>100800</v>
      </c>
      <c r="M932" s="228">
        <f t="shared" ref="M932" si="128">ROUNDDOWN(L932*1.1,0)</f>
        <v>110880</v>
      </c>
      <c r="N932" s="18" t="s">
        <v>1121</v>
      </c>
      <c r="O932" s="50"/>
    </row>
    <row r="933" spans="1:16" ht="21.75" customHeight="1" x14ac:dyDescent="0.4">
      <c r="A933" s="62">
        <v>45689</v>
      </c>
      <c r="B933" s="32" t="s">
        <v>4399</v>
      </c>
      <c r="C933" s="32" t="s">
        <v>405</v>
      </c>
      <c r="D933" s="18" t="s">
        <v>17</v>
      </c>
      <c r="E933" s="63" t="s">
        <v>332</v>
      </c>
      <c r="F933" s="63" t="s">
        <v>4544</v>
      </c>
      <c r="G933" s="50" t="s">
        <v>4545</v>
      </c>
      <c r="H933" s="57">
        <v>2200</v>
      </c>
      <c r="I933" s="227">
        <v>0</v>
      </c>
      <c r="J933" s="57">
        <f t="shared" ref="J933" si="129">SUM(H933:I933)</f>
        <v>2200</v>
      </c>
      <c r="K933" s="50">
        <v>2</v>
      </c>
      <c r="L933" s="57">
        <f t="shared" ref="L933" si="130">SUM(J933*K933)</f>
        <v>4400</v>
      </c>
      <c r="M933" s="228">
        <f t="shared" ref="M933" si="131">ROUNDDOWN(L933*1.1,0)</f>
        <v>4840</v>
      </c>
      <c r="N933" s="18" t="s">
        <v>1121</v>
      </c>
      <c r="O933" s="50"/>
    </row>
    <row r="934" spans="1:16" ht="21.75" customHeight="1" x14ac:dyDescent="0.4">
      <c r="A934" s="62">
        <v>45689</v>
      </c>
      <c r="B934" s="32" t="s">
        <v>1910</v>
      </c>
      <c r="C934" s="32" t="s">
        <v>2557</v>
      </c>
      <c r="D934" s="18" t="s">
        <v>317</v>
      </c>
      <c r="E934" s="63" t="s">
        <v>4546</v>
      </c>
      <c r="F934" s="63"/>
      <c r="G934" s="50" t="s">
        <v>4658</v>
      </c>
      <c r="H934" s="57">
        <v>25000</v>
      </c>
      <c r="I934" s="227"/>
      <c r="J934" s="57">
        <v>25000</v>
      </c>
      <c r="K934" s="50">
        <v>1</v>
      </c>
      <c r="L934" s="57">
        <f t="shared" ref="L934" si="132">SUM(J934*K934)</f>
        <v>25000</v>
      </c>
      <c r="M934" s="228">
        <f t="shared" ref="M934" si="133">ROUNDDOWN(L934*1.1,0)</f>
        <v>27500</v>
      </c>
      <c r="N934" s="18" t="s">
        <v>4233</v>
      </c>
      <c r="O934" s="50"/>
    </row>
    <row r="935" spans="1:16" ht="21.75" customHeight="1" x14ac:dyDescent="0.4">
      <c r="A935" s="62">
        <v>45689</v>
      </c>
      <c r="B935" s="32" t="s">
        <v>4476</v>
      </c>
      <c r="C935" s="32" t="s">
        <v>4472</v>
      </c>
      <c r="D935" s="18" t="s">
        <v>4473</v>
      </c>
      <c r="E935" s="63" t="s">
        <v>426</v>
      </c>
      <c r="F935" s="63" t="s">
        <v>4474</v>
      </c>
      <c r="G935" s="50" t="s">
        <v>4475</v>
      </c>
      <c r="H935" s="57">
        <v>1800</v>
      </c>
      <c r="I935" s="227">
        <v>-180</v>
      </c>
      <c r="J935" s="57">
        <f t="shared" si="124"/>
        <v>1620</v>
      </c>
      <c r="K935" s="50">
        <v>1</v>
      </c>
      <c r="L935" s="57">
        <f t="shared" si="125"/>
        <v>1620</v>
      </c>
      <c r="M935" s="228">
        <f t="shared" si="126"/>
        <v>1782</v>
      </c>
      <c r="N935" s="18" t="s">
        <v>25</v>
      </c>
      <c r="O935" s="50"/>
    </row>
    <row r="936" spans="1:16" ht="21.75" customHeight="1" x14ac:dyDescent="0.4">
      <c r="A936" s="62">
        <v>45689</v>
      </c>
      <c r="B936" s="32" t="s">
        <v>4476</v>
      </c>
      <c r="C936" s="32" t="s">
        <v>4472</v>
      </c>
      <c r="D936" s="18" t="s">
        <v>4473</v>
      </c>
      <c r="E936" s="63" t="s">
        <v>426</v>
      </c>
      <c r="F936" s="63" t="s">
        <v>4474</v>
      </c>
      <c r="G936" s="50" t="s">
        <v>4477</v>
      </c>
      <c r="H936" s="57">
        <v>1800</v>
      </c>
      <c r="I936" s="227">
        <v>-180</v>
      </c>
      <c r="J936" s="57">
        <f t="shared" si="124"/>
        <v>1620</v>
      </c>
      <c r="K936" s="50">
        <v>1</v>
      </c>
      <c r="L936" s="57">
        <f t="shared" si="125"/>
        <v>1620</v>
      </c>
      <c r="M936" s="228">
        <f t="shared" si="126"/>
        <v>1782</v>
      </c>
      <c r="N936" s="18" t="s">
        <v>25</v>
      </c>
      <c r="O936" s="50"/>
    </row>
    <row r="937" spans="1:16" ht="21.75" customHeight="1" x14ac:dyDescent="0.4">
      <c r="A937" s="62">
        <v>45689</v>
      </c>
      <c r="B937" s="32" t="s">
        <v>619</v>
      </c>
      <c r="C937" s="32" t="s">
        <v>4472</v>
      </c>
      <c r="D937" s="18" t="s">
        <v>4473</v>
      </c>
      <c r="E937" s="63" t="s">
        <v>4482</v>
      </c>
      <c r="F937" s="63"/>
      <c r="G937" s="50" t="s">
        <v>4483</v>
      </c>
      <c r="H937" s="57">
        <v>28000</v>
      </c>
      <c r="I937" s="227">
        <v>-7000</v>
      </c>
      <c r="J937" s="57">
        <f t="shared" si="124"/>
        <v>21000</v>
      </c>
      <c r="K937" s="50">
        <v>1</v>
      </c>
      <c r="L937" s="57">
        <f t="shared" si="125"/>
        <v>21000</v>
      </c>
      <c r="M937" s="228">
        <f t="shared" si="126"/>
        <v>23100</v>
      </c>
      <c r="N937" s="18" t="s">
        <v>4484</v>
      </c>
      <c r="O937" s="50"/>
    </row>
    <row r="938" spans="1:16" ht="21.75" customHeight="1" x14ac:dyDescent="0.4">
      <c r="A938" s="62">
        <v>45689</v>
      </c>
      <c r="B938" s="32" t="s">
        <v>4478</v>
      </c>
      <c r="C938" s="32" t="s">
        <v>4472</v>
      </c>
      <c r="D938" s="18" t="s">
        <v>4473</v>
      </c>
      <c r="E938" s="63" t="s">
        <v>4479</v>
      </c>
      <c r="F938" s="63" t="s">
        <v>4480</v>
      </c>
      <c r="G938" s="50" t="s">
        <v>4481</v>
      </c>
      <c r="H938" s="57">
        <v>4200</v>
      </c>
      <c r="I938" s="227"/>
      <c r="J938" s="57">
        <f t="shared" si="124"/>
        <v>4200</v>
      </c>
      <c r="K938" s="50">
        <v>1</v>
      </c>
      <c r="L938" s="57">
        <f t="shared" si="125"/>
        <v>4200</v>
      </c>
      <c r="M938" s="228">
        <f t="shared" si="126"/>
        <v>4620</v>
      </c>
      <c r="N938" s="18" t="s">
        <v>25</v>
      </c>
      <c r="O938" s="50"/>
    </row>
    <row r="939" spans="1:16" ht="21.75" customHeight="1" x14ac:dyDescent="0.4">
      <c r="A939" s="62">
        <v>45690</v>
      </c>
      <c r="B939" s="32" t="s">
        <v>4485</v>
      </c>
      <c r="C939" s="32" t="s">
        <v>405</v>
      </c>
      <c r="D939" s="18" t="s">
        <v>22</v>
      </c>
      <c r="E939" s="63" t="s">
        <v>23</v>
      </c>
      <c r="F939" s="63"/>
      <c r="G939" s="50" t="s">
        <v>96</v>
      </c>
      <c r="H939" s="57">
        <v>15000</v>
      </c>
      <c r="I939" s="227"/>
      <c r="J939" s="57">
        <f t="shared" si="124"/>
        <v>15000</v>
      </c>
      <c r="K939" s="50">
        <v>1</v>
      </c>
      <c r="L939" s="57">
        <f t="shared" si="125"/>
        <v>15000</v>
      </c>
      <c r="M939" s="228">
        <f t="shared" si="126"/>
        <v>16500</v>
      </c>
      <c r="N939" s="18" t="s">
        <v>25</v>
      </c>
      <c r="O939" s="50" t="s">
        <v>1954</v>
      </c>
    </row>
    <row r="940" spans="1:16" ht="21.75" customHeight="1" x14ac:dyDescent="0.4">
      <c r="A940" s="62">
        <v>45690</v>
      </c>
      <c r="B940" s="32" t="s">
        <v>582</v>
      </c>
      <c r="C940" s="32" t="s">
        <v>2557</v>
      </c>
      <c r="D940" s="18" t="s">
        <v>17</v>
      </c>
      <c r="E940" s="63" t="s">
        <v>3902</v>
      </c>
      <c r="F940" s="63" t="s">
        <v>3553</v>
      </c>
      <c r="G940" s="50" t="s">
        <v>4486</v>
      </c>
      <c r="H940" s="57">
        <v>15000</v>
      </c>
      <c r="I940" s="227">
        <v>-1500</v>
      </c>
      <c r="J940" s="57">
        <f t="shared" ref="J940:J975" si="134">SUM(H940:I940)</f>
        <v>13500</v>
      </c>
      <c r="K940" s="50">
        <v>1</v>
      </c>
      <c r="L940" s="57">
        <f t="shared" ref="L940:L975" si="135">SUM(J940*K940)</f>
        <v>13500</v>
      </c>
      <c r="M940" s="228">
        <f t="shared" ref="M940:M975" si="136">ROUNDDOWN(L940*1.1,0)</f>
        <v>14850</v>
      </c>
      <c r="N940" s="18" t="s">
        <v>20</v>
      </c>
      <c r="O940" s="50"/>
      <c r="P940" s="52" t="s">
        <v>2141</v>
      </c>
    </row>
    <row r="941" spans="1:16" ht="21.75" customHeight="1" x14ac:dyDescent="0.4">
      <c r="A941" s="62">
        <v>45690</v>
      </c>
      <c r="B941" s="32" t="s">
        <v>633</v>
      </c>
      <c r="C941" s="32" t="s">
        <v>2557</v>
      </c>
      <c r="D941" s="18" t="s">
        <v>17</v>
      </c>
      <c r="E941" s="63" t="s">
        <v>3902</v>
      </c>
      <c r="F941" s="63" t="s">
        <v>3552</v>
      </c>
      <c r="G941" s="50" t="s">
        <v>4316</v>
      </c>
      <c r="H941" s="57">
        <v>15000</v>
      </c>
      <c r="I941" s="227">
        <v>-1500</v>
      </c>
      <c r="J941" s="57">
        <f t="shared" si="134"/>
        <v>13500</v>
      </c>
      <c r="K941" s="50">
        <v>1</v>
      </c>
      <c r="L941" s="57">
        <f t="shared" si="135"/>
        <v>13500</v>
      </c>
      <c r="M941" s="228">
        <f t="shared" si="136"/>
        <v>14850</v>
      </c>
      <c r="N941" s="18" t="s">
        <v>25</v>
      </c>
      <c r="O941" s="50"/>
      <c r="P941" s="52" t="s">
        <v>1608</v>
      </c>
    </row>
    <row r="942" spans="1:16" ht="21.75" customHeight="1" x14ac:dyDescent="0.4">
      <c r="A942" s="62">
        <v>45691</v>
      </c>
      <c r="B942" s="32" t="s">
        <v>4487</v>
      </c>
      <c r="C942" s="32" t="s">
        <v>2557</v>
      </c>
      <c r="D942" s="18" t="s">
        <v>27</v>
      </c>
      <c r="E942" s="63" t="s">
        <v>28</v>
      </c>
      <c r="F942" s="63"/>
      <c r="G942" s="50" t="s">
        <v>318</v>
      </c>
      <c r="H942" s="227">
        <v>15000</v>
      </c>
      <c r="I942" s="227"/>
      <c r="J942" s="227">
        <f t="shared" si="134"/>
        <v>15000</v>
      </c>
      <c r="K942" s="227">
        <v>1</v>
      </c>
      <c r="L942" s="227">
        <f t="shared" si="135"/>
        <v>15000</v>
      </c>
      <c r="M942" s="228">
        <f t="shared" si="136"/>
        <v>16500</v>
      </c>
      <c r="N942" s="223" t="s">
        <v>25</v>
      </c>
      <c r="O942" s="50"/>
    </row>
    <row r="943" spans="1:16" ht="21.75" customHeight="1" x14ac:dyDescent="0.4">
      <c r="A943" s="62">
        <v>45691</v>
      </c>
      <c r="B943" s="32" t="s">
        <v>4487</v>
      </c>
      <c r="C943" s="32" t="s">
        <v>2557</v>
      </c>
      <c r="D943" s="18" t="s">
        <v>317</v>
      </c>
      <c r="E943" s="63" t="s">
        <v>28</v>
      </c>
      <c r="F943" s="63"/>
      <c r="G943" s="50" t="s">
        <v>4488</v>
      </c>
      <c r="H943" s="57">
        <v>17500</v>
      </c>
      <c r="I943" s="227"/>
      <c r="J943" s="57">
        <f t="shared" si="134"/>
        <v>17500</v>
      </c>
      <c r="K943" s="50">
        <v>1</v>
      </c>
      <c r="L943" s="57">
        <f t="shared" si="135"/>
        <v>17500</v>
      </c>
      <c r="M943" s="228">
        <f t="shared" si="136"/>
        <v>19250</v>
      </c>
      <c r="N943" s="223" t="s">
        <v>25</v>
      </c>
      <c r="O943" s="50"/>
    </row>
    <row r="944" spans="1:16" ht="21.75" customHeight="1" x14ac:dyDescent="0.4">
      <c r="A944" s="62">
        <v>45695</v>
      </c>
      <c r="B944" s="32" t="s">
        <v>4489</v>
      </c>
      <c r="C944" s="32" t="s">
        <v>2557</v>
      </c>
      <c r="D944" s="18" t="s">
        <v>27</v>
      </c>
      <c r="E944" s="63" t="s">
        <v>28</v>
      </c>
      <c r="F944" s="63"/>
      <c r="G944" s="50" t="s">
        <v>318</v>
      </c>
      <c r="H944" s="227">
        <v>15000</v>
      </c>
      <c r="I944" s="227"/>
      <c r="J944" s="227">
        <f t="shared" si="134"/>
        <v>15000</v>
      </c>
      <c r="K944" s="227">
        <v>1</v>
      </c>
      <c r="L944" s="227">
        <f t="shared" si="135"/>
        <v>15000</v>
      </c>
      <c r="M944" s="228">
        <f t="shared" si="136"/>
        <v>16500</v>
      </c>
      <c r="N944" s="18" t="s">
        <v>20</v>
      </c>
      <c r="O944" s="50"/>
    </row>
    <row r="945" spans="1:16" ht="21.75" customHeight="1" x14ac:dyDescent="0.4">
      <c r="A945" s="62">
        <v>45695</v>
      </c>
      <c r="B945" s="32" t="s">
        <v>4489</v>
      </c>
      <c r="C945" s="32" t="s">
        <v>2557</v>
      </c>
      <c r="D945" s="18" t="s">
        <v>27</v>
      </c>
      <c r="E945" s="63" t="s">
        <v>28</v>
      </c>
      <c r="F945" s="63"/>
      <c r="G945" s="50" t="s">
        <v>29</v>
      </c>
      <c r="H945" s="57">
        <v>13120</v>
      </c>
      <c r="I945" s="227"/>
      <c r="J945" s="57">
        <f t="shared" si="134"/>
        <v>13120</v>
      </c>
      <c r="K945" s="50">
        <v>1</v>
      </c>
      <c r="L945" s="57">
        <f t="shared" si="135"/>
        <v>13120</v>
      </c>
      <c r="M945" s="228">
        <f t="shared" si="136"/>
        <v>14432</v>
      </c>
      <c r="N945" s="18" t="s">
        <v>20</v>
      </c>
      <c r="O945" s="50"/>
    </row>
    <row r="946" spans="1:16" ht="21.75" customHeight="1" x14ac:dyDescent="0.4">
      <c r="A946" s="62">
        <v>45695</v>
      </c>
      <c r="B946" s="32" t="s">
        <v>3395</v>
      </c>
      <c r="C946" s="32" t="s">
        <v>2557</v>
      </c>
      <c r="D946" s="18" t="s">
        <v>22</v>
      </c>
      <c r="E946" s="63" t="s">
        <v>23</v>
      </c>
      <c r="F946" s="63"/>
      <c r="G946" s="50" t="s">
        <v>220</v>
      </c>
      <c r="H946" s="57">
        <v>10000</v>
      </c>
      <c r="I946" s="227"/>
      <c r="J946" s="57">
        <f t="shared" si="134"/>
        <v>10000</v>
      </c>
      <c r="K946" s="50">
        <v>1</v>
      </c>
      <c r="L946" s="57">
        <f t="shared" si="135"/>
        <v>10000</v>
      </c>
      <c r="M946" s="228">
        <f t="shared" si="136"/>
        <v>11000</v>
      </c>
      <c r="N946" s="18" t="s">
        <v>1121</v>
      </c>
      <c r="O946" s="50"/>
      <c r="P946" s="52" t="s">
        <v>2141</v>
      </c>
    </row>
    <row r="947" spans="1:16" ht="21.75" customHeight="1" x14ac:dyDescent="0.4">
      <c r="A947" s="62">
        <v>45694</v>
      </c>
      <c r="B947" s="32" t="s">
        <v>1001</v>
      </c>
      <c r="C947" s="32" t="s">
        <v>4292</v>
      </c>
      <c r="D947" s="18" t="s">
        <v>17</v>
      </c>
      <c r="E947" s="63" t="s">
        <v>292</v>
      </c>
      <c r="F947" s="63" t="s">
        <v>1051</v>
      </c>
      <c r="G947" s="50" t="s">
        <v>4547</v>
      </c>
      <c r="H947" s="57">
        <v>5700</v>
      </c>
      <c r="I947" s="227">
        <v>-676</v>
      </c>
      <c r="J947" s="57">
        <v>5024</v>
      </c>
      <c r="K947" s="50">
        <v>2</v>
      </c>
      <c r="L947" s="57">
        <f t="shared" ref="L947" si="137">SUM(J947*K947)</f>
        <v>10048</v>
      </c>
      <c r="M947" s="228">
        <f t="shared" ref="M947" si="138">ROUNDDOWN(L947*1.1,0)</f>
        <v>11052</v>
      </c>
      <c r="N947" s="18" t="s">
        <v>20</v>
      </c>
      <c r="O947" s="50"/>
    </row>
    <row r="948" spans="1:16" ht="21.75" customHeight="1" x14ac:dyDescent="0.4">
      <c r="A948" s="62">
        <v>45695</v>
      </c>
      <c r="B948" s="32" t="s">
        <v>3395</v>
      </c>
      <c r="C948" s="32" t="s">
        <v>2557</v>
      </c>
      <c r="D948" s="18" t="s">
        <v>17</v>
      </c>
      <c r="E948" s="63" t="s">
        <v>328</v>
      </c>
      <c r="F948" s="63" t="s">
        <v>788</v>
      </c>
      <c r="G948" s="50" t="s">
        <v>4490</v>
      </c>
      <c r="H948" s="57">
        <v>60000</v>
      </c>
      <c r="I948" s="227">
        <v>-12000</v>
      </c>
      <c r="J948" s="57">
        <f t="shared" si="134"/>
        <v>48000</v>
      </c>
      <c r="K948" s="50">
        <v>1</v>
      </c>
      <c r="L948" s="57">
        <f t="shared" si="135"/>
        <v>48000</v>
      </c>
      <c r="M948" s="228">
        <f t="shared" si="136"/>
        <v>52800</v>
      </c>
      <c r="N948" s="18" t="s">
        <v>1121</v>
      </c>
      <c r="O948" s="50"/>
      <c r="P948" s="52" t="s">
        <v>2141</v>
      </c>
    </row>
    <row r="949" spans="1:16" ht="21.75" customHeight="1" x14ac:dyDescent="0.4">
      <c r="A949" s="62">
        <v>45695</v>
      </c>
      <c r="B949" s="32" t="s">
        <v>3395</v>
      </c>
      <c r="C949" s="32" t="s">
        <v>2557</v>
      </c>
      <c r="D949" s="18" t="s">
        <v>17</v>
      </c>
      <c r="E949" s="63" t="s">
        <v>332</v>
      </c>
      <c r="F949" s="63" t="s">
        <v>3555</v>
      </c>
      <c r="G949" s="50" t="s">
        <v>3558</v>
      </c>
      <c r="H949" s="57">
        <v>1900</v>
      </c>
      <c r="I949" s="227">
        <v>-190</v>
      </c>
      <c r="J949" s="57">
        <f t="shared" si="134"/>
        <v>1710</v>
      </c>
      <c r="K949" s="50">
        <v>1</v>
      </c>
      <c r="L949" s="57">
        <f t="shared" si="135"/>
        <v>1710</v>
      </c>
      <c r="M949" s="228">
        <f t="shared" si="136"/>
        <v>1881</v>
      </c>
      <c r="N949" s="18" t="s">
        <v>1121</v>
      </c>
      <c r="O949" s="50"/>
      <c r="P949" s="52" t="s">
        <v>2141</v>
      </c>
    </row>
    <row r="950" spans="1:16" ht="21.75" customHeight="1" x14ac:dyDescent="0.4">
      <c r="A950" s="62">
        <v>45696</v>
      </c>
      <c r="B950" s="32" t="s">
        <v>582</v>
      </c>
      <c r="C950" s="32" t="s">
        <v>2557</v>
      </c>
      <c r="D950" s="18" t="s">
        <v>17</v>
      </c>
      <c r="E950" s="63" t="s">
        <v>3902</v>
      </c>
      <c r="F950" s="63" t="s">
        <v>3553</v>
      </c>
      <c r="G950" s="50" t="s">
        <v>4492</v>
      </c>
      <c r="H950" s="57">
        <v>6600</v>
      </c>
      <c r="I950" s="227">
        <v>-660</v>
      </c>
      <c r="J950" s="57">
        <f t="shared" si="134"/>
        <v>5940</v>
      </c>
      <c r="K950" s="50">
        <v>1</v>
      </c>
      <c r="L950" s="57">
        <f t="shared" si="135"/>
        <v>5940</v>
      </c>
      <c r="M950" s="228">
        <f t="shared" si="136"/>
        <v>6534</v>
      </c>
      <c r="N950" s="18" t="s">
        <v>20</v>
      </c>
      <c r="O950" s="50"/>
    </row>
    <row r="951" spans="1:16" ht="21.75" customHeight="1" x14ac:dyDescent="0.4">
      <c r="A951" s="62">
        <v>45697</v>
      </c>
      <c r="B951" s="32" t="s">
        <v>4493</v>
      </c>
      <c r="C951" s="32" t="s">
        <v>405</v>
      </c>
      <c r="D951" s="18" t="s">
        <v>22</v>
      </c>
      <c r="E951" s="63" t="s">
        <v>23</v>
      </c>
      <c r="F951" s="63"/>
      <c r="G951" s="50" t="s">
        <v>3871</v>
      </c>
      <c r="H951" s="57">
        <v>20000</v>
      </c>
      <c r="I951" s="227">
        <v>-5000</v>
      </c>
      <c r="J951" s="57">
        <f t="shared" si="134"/>
        <v>15000</v>
      </c>
      <c r="K951" s="50">
        <v>1</v>
      </c>
      <c r="L951" s="57">
        <f t="shared" si="135"/>
        <v>15000</v>
      </c>
      <c r="M951" s="228">
        <f t="shared" si="136"/>
        <v>16500</v>
      </c>
      <c r="N951" s="487" t="s">
        <v>25</v>
      </c>
      <c r="O951" s="498" t="s">
        <v>4496</v>
      </c>
    </row>
    <row r="952" spans="1:16" ht="21.75" customHeight="1" x14ac:dyDescent="0.4">
      <c r="A952" s="62">
        <v>45697</v>
      </c>
      <c r="B952" s="32" t="s">
        <v>4494</v>
      </c>
      <c r="C952" s="32" t="s">
        <v>405</v>
      </c>
      <c r="D952" s="18" t="s">
        <v>22</v>
      </c>
      <c r="E952" s="63" t="s">
        <v>23</v>
      </c>
      <c r="F952" s="63"/>
      <c r="G952" s="50" t="s">
        <v>3871</v>
      </c>
      <c r="H952" s="57">
        <v>20000</v>
      </c>
      <c r="I952" s="227">
        <v>-5000</v>
      </c>
      <c r="J952" s="57">
        <f t="shared" si="134"/>
        <v>15000</v>
      </c>
      <c r="K952" s="50">
        <v>1</v>
      </c>
      <c r="L952" s="57">
        <f t="shared" si="135"/>
        <v>15000</v>
      </c>
      <c r="M952" s="228">
        <f t="shared" si="136"/>
        <v>16500</v>
      </c>
      <c r="N952" s="488"/>
      <c r="O952" s="499"/>
    </row>
    <row r="953" spans="1:16" ht="21.75" customHeight="1" x14ac:dyDescent="0.4">
      <c r="A953" s="62">
        <v>45697</v>
      </c>
      <c r="B953" s="32" t="s">
        <v>4495</v>
      </c>
      <c r="C953" s="32" t="s">
        <v>405</v>
      </c>
      <c r="D953" s="18" t="s">
        <v>22</v>
      </c>
      <c r="E953" s="63" t="s">
        <v>23</v>
      </c>
      <c r="F953" s="63"/>
      <c r="G953" s="50" t="s">
        <v>3871</v>
      </c>
      <c r="H953" s="57">
        <v>20000</v>
      </c>
      <c r="I953" s="227">
        <v>-5000</v>
      </c>
      <c r="J953" s="57">
        <f t="shared" si="134"/>
        <v>15000</v>
      </c>
      <c r="K953" s="50">
        <v>1</v>
      </c>
      <c r="L953" s="57">
        <f t="shared" si="135"/>
        <v>15000</v>
      </c>
      <c r="M953" s="228">
        <f t="shared" si="136"/>
        <v>16500</v>
      </c>
      <c r="N953" s="489"/>
      <c r="O953" s="491"/>
    </row>
    <row r="954" spans="1:16" ht="21.75" customHeight="1" x14ac:dyDescent="0.4">
      <c r="A954" s="62">
        <v>45697</v>
      </c>
      <c r="B954" s="32" t="s">
        <v>4494</v>
      </c>
      <c r="C954" s="32" t="s">
        <v>405</v>
      </c>
      <c r="D954" s="18" t="s">
        <v>17</v>
      </c>
      <c r="E954" s="63" t="s">
        <v>328</v>
      </c>
      <c r="F954" s="63" t="s">
        <v>788</v>
      </c>
      <c r="G954" s="50" t="s">
        <v>4497</v>
      </c>
      <c r="H954" s="57">
        <v>55000</v>
      </c>
      <c r="I954" s="227">
        <v>-11000</v>
      </c>
      <c r="J954" s="57">
        <f t="shared" si="134"/>
        <v>44000</v>
      </c>
      <c r="K954" s="50">
        <v>1</v>
      </c>
      <c r="L954" s="57">
        <f t="shared" si="135"/>
        <v>44000</v>
      </c>
      <c r="M954" s="228">
        <f t="shared" si="136"/>
        <v>48400</v>
      </c>
      <c r="N954" s="18" t="s">
        <v>34</v>
      </c>
      <c r="O954" s="490" t="s">
        <v>4502</v>
      </c>
      <c r="P954" s="52" t="s">
        <v>2141</v>
      </c>
    </row>
    <row r="955" spans="1:16" ht="21.75" customHeight="1" x14ac:dyDescent="0.4">
      <c r="A955" s="62">
        <v>45697</v>
      </c>
      <c r="B955" s="32" t="s">
        <v>4494</v>
      </c>
      <c r="C955" s="32" t="s">
        <v>405</v>
      </c>
      <c r="D955" s="18" t="s">
        <v>17</v>
      </c>
      <c r="E955" s="63" t="s">
        <v>330</v>
      </c>
      <c r="F955" s="63" t="s">
        <v>557</v>
      </c>
      <c r="G955" s="50" t="s">
        <v>3819</v>
      </c>
      <c r="H955" s="57">
        <v>5000</v>
      </c>
      <c r="I955" s="227"/>
      <c r="J955" s="57">
        <f t="shared" si="134"/>
        <v>5000</v>
      </c>
      <c r="K955" s="50">
        <v>1</v>
      </c>
      <c r="L955" s="57">
        <f t="shared" si="135"/>
        <v>5000</v>
      </c>
      <c r="M955" s="228">
        <f t="shared" si="136"/>
        <v>5500</v>
      </c>
      <c r="N955" s="18" t="s">
        <v>34</v>
      </c>
      <c r="O955" s="499"/>
      <c r="P955" s="52" t="s">
        <v>2141</v>
      </c>
    </row>
    <row r="956" spans="1:16" ht="21.75" customHeight="1" x14ac:dyDescent="0.4">
      <c r="A956" s="62">
        <v>45697</v>
      </c>
      <c r="B956" s="32" t="s">
        <v>4494</v>
      </c>
      <c r="C956" s="32" t="s">
        <v>405</v>
      </c>
      <c r="D956" s="18" t="s">
        <v>17</v>
      </c>
      <c r="E956" s="63" t="s">
        <v>332</v>
      </c>
      <c r="F956" s="63" t="s">
        <v>3554</v>
      </c>
      <c r="G956" s="50" t="s">
        <v>4501</v>
      </c>
      <c r="H956" s="57">
        <v>1200</v>
      </c>
      <c r="I956" s="227"/>
      <c r="J956" s="57">
        <f t="shared" si="134"/>
        <v>1200</v>
      </c>
      <c r="K956" s="50">
        <v>1</v>
      </c>
      <c r="L956" s="57">
        <f t="shared" si="135"/>
        <v>1200</v>
      </c>
      <c r="M956" s="228">
        <f t="shared" si="136"/>
        <v>1320</v>
      </c>
      <c r="N956" s="18" t="s">
        <v>34</v>
      </c>
      <c r="O956" s="499"/>
      <c r="P956" s="52" t="s">
        <v>2141</v>
      </c>
    </row>
    <row r="957" spans="1:16" ht="21.75" customHeight="1" x14ac:dyDescent="0.4">
      <c r="A957" s="62">
        <v>45697</v>
      </c>
      <c r="B957" s="32" t="s">
        <v>4495</v>
      </c>
      <c r="C957" s="32" t="s">
        <v>405</v>
      </c>
      <c r="D957" s="18" t="s">
        <v>17</v>
      </c>
      <c r="E957" s="63" t="s">
        <v>332</v>
      </c>
      <c r="F957" s="63" t="s">
        <v>3555</v>
      </c>
      <c r="G957" s="50" t="s">
        <v>3173</v>
      </c>
      <c r="H957" s="57">
        <v>1300</v>
      </c>
      <c r="I957" s="227"/>
      <c r="J957" s="57">
        <f t="shared" si="134"/>
        <v>1300</v>
      </c>
      <c r="K957" s="50">
        <v>1</v>
      </c>
      <c r="L957" s="57">
        <f t="shared" si="135"/>
        <v>1300</v>
      </c>
      <c r="M957" s="228">
        <f t="shared" si="136"/>
        <v>1430</v>
      </c>
      <c r="N957" s="18" t="s">
        <v>34</v>
      </c>
      <c r="O957" s="499"/>
      <c r="P957" s="52" t="s">
        <v>1557</v>
      </c>
    </row>
    <row r="958" spans="1:16" ht="21.75" customHeight="1" x14ac:dyDescent="0.4">
      <c r="A958" s="62">
        <v>45697</v>
      </c>
      <c r="B958" s="32" t="s">
        <v>4495</v>
      </c>
      <c r="C958" s="32" t="s">
        <v>405</v>
      </c>
      <c r="D958" s="18" t="s">
        <v>17</v>
      </c>
      <c r="E958" s="63" t="s">
        <v>330</v>
      </c>
      <c r="F958" s="63" t="s">
        <v>557</v>
      </c>
      <c r="G958" s="50" t="s">
        <v>3819</v>
      </c>
      <c r="H958" s="57">
        <v>5000</v>
      </c>
      <c r="I958" s="227"/>
      <c r="J958" s="57">
        <f t="shared" si="134"/>
        <v>5000</v>
      </c>
      <c r="K958" s="50">
        <v>1</v>
      </c>
      <c r="L958" s="57">
        <f t="shared" si="135"/>
        <v>5000</v>
      </c>
      <c r="M958" s="228">
        <f t="shared" si="136"/>
        <v>5500</v>
      </c>
      <c r="N958" s="18" t="s">
        <v>34</v>
      </c>
      <c r="O958" s="499"/>
      <c r="P958" s="52" t="s">
        <v>1557</v>
      </c>
    </row>
    <row r="959" spans="1:16" ht="21.75" customHeight="1" x14ac:dyDescent="0.4">
      <c r="A959" s="62">
        <v>45697</v>
      </c>
      <c r="B959" s="32" t="s">
        <v>4495</v>
      </c>
      <c r="C959" s="32" t="s">
        <v>405</v>
      </c>
      <c r="D959" s="18" t="s">
        <v>17</v>
      </c>
      <c r="E959" s="63" t="s">
        <v>328</v>
      </c>
      <c r="F959" s="63" t="s">
        <v>788</v>
      </c>
      <c r="G959" s="50" t="s">
        <v>4498</v>
      </c>
      <c r="H959" s="57">
        <v>50000</v>
      </c>
      <c r="I959" s="227">
        <v>-10000</v>
      </c>
      <c r="J959" s="57">
        <f t="shared" si="134"/>
        <v>40000</v>
      </c>
      <c r="K959" s="50">
        <v>1</v>
      </c>
      <c r="L959" s="57">
        <f t="shared" si="135"/>
        <v>40000</v>
      </c>
      <c r="M959" s="228">
        <f t="shared" si="136"/>
        <v>44000</v>
      </c>
      <c r="N959" s="18" t="s">
        <v>34</v>
      </c>
      <c r="O959" s="499"/>
      <c r="P959" s="52" t="s">
        <v>1557</v>
      </c>
    </row>
    <row r="960" spans="1:16" ht="21.75" customHeight="1" x14ac:dyDescent="0.4">
      <c r="A960" s="62">
        <v>45697</v>
      </c>
      <c r="B960" s="32" t="s">
        <v>4493</v>
      </c>
      <c r="C960" s="32" t="s">
        <v>405</v>
      </c>
      <c r="D960" s="18" t="s">
        <v>17</v>
      </c>
      <c r="E960" s="63" t="s">
        <v>328</v>
      </c>
      <c r="F960" s="63" t="s">
        <v>3595</v>
      </c>
      <c r="G960" s="50" t="s">
        <v>4499</v>
      </c>
      <c r="H960" s="57">
        <v>40000</v>
      </c>
      <c r="I960" s="227">
        <v>-8000</v>
      </c>
      <c r="J960" s="57">
        <f t="shared" si="134"/>
        <v>32000</v>
      </c>
      <c r="K960" s="50">
        <v>1</v>
      </c>
      <c r="L960" s="57">
        <f t="shared" si="135"/>
        <v>32000</v>
      </c>
      <c r="M960" s="228">
        <f t="shared" si="136"/>
        <v>35200</v>
      </c>
      <c r="N960" s="18" t="s">
        <v>34</v>
      </c>
      <c r="O960" s="499"/>
      <c r="P960" s="52" t="s">
        <v>1557</v>
      </c>
    </row>
    <row r="961" spans="1:16" ht="21.75" customHeight="1" x14ac:dyDescent="0.4">
      <c r="A961" s="62">
        <v>45697</v>
      </c>
      <c r="B961" s="32" t="s">
        <v>4493</v>
      </c>
      <c r="C961" s="32" t="s">
        <v>405</v>
      </c>
      <c r="D961" s="18" t="s">
        <v>17</v>
      </c>
      <c r="E961" s="63" t="s">
        <v>332</v>
      </c>
      <c r="F961" s="63" t="s">
        <v>3554</v>
      </c>
      <c r="G961" s="50" t="s">
        <v>4500</v>
      </c>
      <c r="H961" s="57">
        <v>1200</v>
      </c>
      <c r="I961" s="227"/>
      <c r="J961" s="57">
        <f t="shared" si="134"/>
        <v>1200</v>
      </c>
      <c r="K961" s="50">
        <v>2</v>
      </c>
      <c r="L961" s="57">
        <f t="shared" si="135"/>
        <v>2400</v>
      </c>
      <c r="M961" s="228">
        <f t="shared" si="136"/>
        <v>2640</v>
      </c>
      <c r="N961" s="18" t="s">
        <v>34</v>
      </c>
      <c r="O961" s="499"/>
      <c r="P961" s="52" t="s">
        <v>1557</v>
      </c>
    </row>
    <row r="962" spans="1:16" ht="21.75" customHeight="1" x14ac:dyDescent="0.4">
      <c r="A962" s="62">
        <v>45697</v>
      </c>
      <c r="B962" s="32" t="s">
        <v>4493</v>
      </c>
      <c r="C962" s="32" t="s">
        <v>405</v>
      </c>
      <c r="D962" s="18" t="s">
        <v>17</v>
      </c>
      <c r="E962" s="63" t="s">
        <v>330</v>
      </c>
      <c r="F962" s="63" t="s">
        <v>557</v>
      </c>
      <c r="G962" s="50" t="s">
        <v>3819</v>
      </c>
      <c r="H962" s="57">
        <v>5000</v>
      </c>
      <c r="I962" s="227"/>
      <c r="J962" s="57">
        <f t="shared" si="134"/>
        <v>5000</v>
      </c>
      <c r="K962" s="50">
        <v>2</v>
      </c>
      <c r="L962" s="57">
        <f t="shared" si="135"/>
        <v>10000</v>
      </c>
      <c r="M962" s="228">
        <f t="shared" si="136"/>
        <v>11000</v>
      </c>
      <c r="N962" s="18" t="s">
        <v>34</v>
      </c>
      <c r="O962" s="499"/>
      <c r="P962" s="52" t="s">
        <v>1557</v>
      </c>
    </row>
    <row r="963" spans="1:16" ht="21.75" customHeight="1" x14ac:dyDescent="0.4">
      <c r="A963" s="62">
        <v>45697</v>
      </c>
      <c r="B963" s="32" t="s">
        <v>4493</v>
      </c>
      <c r="C963" s="32" t="s">
        <v>405</v>
      </c>
      <c r="D963" s="18" t="s">
        <v>17</v>
      </c>
      <c r="E963" s="63" t="s">
        <v>328</v>
      </c>
      <c r="F963" s="63" t="s">
        <v>788</v>
      </c>
      <c r="G963" s="50" t="s">
        <v>4497</v>
      </c>
      <c r="H963" s="57">
        <v>55000</v>
      </c>
      <c r="I963" s="227">
        <v>-11000</v>
      </c>
      <c r="J963" s="57">
        <f t="shared" si="134"/>
        <v>44000</v>
      </c>
      <c r="K963" s="50">
        <v>1</v>
      </c>
      <c r="L963" s="57">
        <f t="shared" si="135"/>
        <v>44000</v>
      </c>
      <c r="M963" s="228">
        <f t="shared" si="136"/>
        <v>48400</v>
      </c>
      <c r="N963" s="18" t="s">
        <v>34</v>
      </c>
      <c r="O963" s="491"/>
      <c r="P963" s="52" t="s">
        <v>1557</v>
      </c>
    </row>
    <row r="964" spans="1:16" ht="21.75" customHeight="1" x14ac:dyDescent="0.4">
      <c r="A964" s="62">
        <v>45697</v>
      </c>
      <c r="B964" s="32" t="s">
        <v>4503</v>
      </c>
      <c r="C964" s="32" t="s">
        <v>4292</v>
      </c>
      <c r="D964" s="18" t="s">
        <v>17</v>
      </c>
      <c r="E964" s="63" t="s">
        <v>332</v>
      </c>
      <c r="F964" s="63" t="s">
        <v>3554</v>
      </c>
      <c r="G964" s="50" t="s">
        <v>4504</v>
      </c>
      <c r="H964" s="57">
        <v>1920</v>
      </c>
      <c r="I964" s="227"/>
      <c r="J964" s="57">
        <f t="shared" si="134"/>
        <v>1920</v>
      </c>
      <c r="K964" s="50">
        <v>1</v>
      </c>
      <c r="L964" s="57">
        <f t="shared" si="135"/>
        <v>1920</v>
      </c>
      <c r="M964" s="228">
        <f t="shared" si="136"/>
        <v>2112</v>
      </c>
      <c r="N964" s="18" t="s">
        <v>1516</v>
      </c>
      <c r="O964" s="50"/>
    </row>
    <row r="965" spans="1:16" ht="21.75" customHeight="1" x14ac:dyDescent="0.4">
      <c r="A965" s="62">
        <v>45698</v>
      </c>
      <c r="B965" s="32" t="s">
        <v>2959</v>
      </c>
      <c r="C965" s="32" t="s">
        <v>2557</v>
      </c>
      <c r="D965" s="18" t="s">
        <v>317</v>
      </c>
      <c r="E965" s="63" t="s">
        <v>28</v>
      </c>
      <c r="F965" s="63"/>
      <c r="G965" s="50" t="s">
        <v>4488</v>
      </c>
      <c r="H965" s="57">
        <v>17500</v>
      </c>
      <c r="I965" s="227"/>
      <c r="J965" s="57">
        <f t="shared" si="134"/>
        <v>17500</v>
      </c>
      <c r="K965" s="50">
        <v>1</v>
      </c>
      <c r="L965" s="57">
        <f t="shared" si="135"/>
        <v>17500</v>
      </c>
      <c r="M965" s="228">
        <f t="shared" si="136"/>
        <v>19250</v>
      </c>
      <c r="N965" s="18" t="s">
        <v>1516</v>
      </c>
      <c r="O965" s="50"/>
    </row>
    <row r="966" spans="1:16" ht="21.75" customHeight="1" x14ac:dyDescent="0.4">
      <c r="A966" s="62">
        <v>45698</v>
      </c>
      <c r="B966" s="32" t="s">
        <v>148</v>
      </c>
      <c r="C966" s="32" t="s">
        <v>2557</v>
      </c>
      <c r="D966" s="18" t="s">
        <v>17</v>
      </c>
      <c r="E966" s="63" t="s">
        <v>332</v>
      </c>
      <c r="F966" s="63" t="s">
        <v>3555</v>
      </c>
      <c r="G966" s="50" t="s">
        <v>3173</v>
      </c>
      <c r="H966" s="57">
        <v>1300</v>
      </c>
      <c r="I966" s="227">
        <v>-130</v>
      </c>
      <c r="J966" s="57">
        <f t="shared" si="134"/>
        <v>1170</v>
      </c>
      <c r="K966" s="50">
        <v>3</v>
      </c>
      <c r="L966" s="57">
        <f t="shared" si="135"/>
        <v>3510</v>
      </c>
      <c r="M966" s="228">
        <f t="shared" si="136"/>
        <v>3861</v>
      </c>
      <c r="N966" s="18" t="s">
        <v>20</v>
      </c>
      <c r="O966" s="50"/>
    </row>
    <row r="967" spans="1:16" ht="21.75" customHeight="1" x14ac:dyDescent="0.4">
      <c r="A967" s="62">
        <v>45700</v>
      </c>
      <c r="B967" s="32" t="s">
        <v>67</v>
      </c>
      <c r="C967" s="32" t="s">
        <v>4292</v>
      </c>
      <c r="D967" s="18" t="s">
        <v>17</v>
      </c>
      <c r="E967" s="63" t="s">
        <v>4362</v>
      </c>
      <c r="F967" s="63" t="s">
        <v>4392</v>
      </c>
      <c r="G967" s="63" t="s">
        <v>4505</v>
      </c>
      <c r="H967" s="57">
        <v>10000</v>
      </c>
      <c r="I967" s="227">
        <v>-5200</v>
      </c>
      <c r="J967" s="57">
        <f t="shared" si="134"/>
        <v>4800</v>
      </c>
      <c r="K967" s="50">
        <v>2</v>
      </c>
      <c r="L967" s="57">
        <f t="shared" si="135"/>
        <v>9600</v>
      </c>
      <c r="M967" s="228">
        <f t="shared" si="136"/>
        <v>10560</v>
      </c>
      <c r="N967" s="18" t="s">
        <v>1516</v>
      </c>
      <c r="O967" s="50"/>
    </row>
    <row r="968" spans="1:16" ht="21.75" customHeight="1" x14ac:dyDescent="0.4">
      <c r="A968" s="62">
        <v>45700</v>
      </c>
      <c r="B968" s="32" t="s">
        <v>67</v>
      </c>
      <c r="C968" s="32" t="s">
        <v>4292</v>
      </c>
      <c r="D968" s="18" t="s">
        <v>17</v>
      </c>
      <c r="E968" s="63" t="s">
        <v>1442</v>
      </c>
      <c r="F968" s="63" t="s">
        <v>4507</v>
      </c>
      <c r="G968" s="63" t="s">
        <v>4506</v>
      </c>
      <c r="H968" s="57">
        <v>48000</v>
      </c>
      <c r="I968" s="227">
        <v>-26254</v>
      </c>
      <c r="J968" s="57">
        <f t="shared" si="134"/>
        <v>21746</v>
      </c>
      <c r="K968" s="50">
        <v>1</v>
      </c>
      <c r="L968" s="57">
        <f t="shared" si="135"/>
        <v>21746</v>
      </c>
      <c r="M968" s="228">
        <f t="shared" si="136"/>
        <v>23920</v>
      </c>
      <c r="N968" s="18" t="s">
        <v>1516</v>
      </c>
      <c r="O968" s="50"/>
    </row>
    <row r="969" spans="1:16" ht="21.75" customHeight="1" x14ac:dyDescent="0.4">
      <c r="A969" s="62">
        <v>45700</v>
      </c>
      <c r="B969" s="32" t="s">
        <v>4508</v>
      </c>
      <c r="C969" s="32" t="s">
        <v>405</v>
      </c>
      <c r="D969" s="18" t="s">
        <v>59</v>
      </c>
      <c r="E969" s="63" t="s">
        <v>4321</v>
      </c>
      <c r="F969" s="63"/>
      <c r="G969" s="63" t="s">
        <v>4509</v>
      </c>
      <c r="H969" s="57">
        <v>500</v>
      </c>
      <c r="I969" s="227"/>
      <c r="J969" s="57">
        <f t="shared" si="134"/>
        <v>500</v>
      </c>
      <c r="K969" s="50">
        <v>8</v>
      </c>
      <c r="L969" s="57">
        <f t="shared" si="135"/>
        <v>4000</v>
      </c>
      <c r="M969" s="228">
        <f t="shared" si="136"/>
        <v>4400</v>
      </c>
      <c r="N969" s="18" t="s">
        <v>1516</v>
      </c>
      <c r="O969" s="50"/>
    </row>
    <row r="970" spans="1:16" ht="21.75" customHeight="1" x14ac:dyDescent="0.4">
      <c r="A970" s="62">
        <v>45700</v>
      </c>
      <c r="B970" s="32" t="s">
        <v>4510</v>
      </c>
      <c r="C970" s="32" t="s">
        <v>2557</v>
      </c>
      <c r="D970" s="18" t="s">
        <v>17</v>
      </c>
      <c r="E970" s="63" t="s">
        <v>328</v>
      </c>
      <c r="F970" s="63" t="s">
        <v>788</v>
      </c>
      <c r="G970" s="50" t="s">
        <v>4511</v>
      </c>
      <c r="H970" s="57">
        <v>35000</v>
      </c>
      <c r="I970" s="227">
        <v>-10500</v>
      </c>
      <c r="J970" s="57">
        <f t="shared" si="134"/>
        <v>24500</v>
      </c>
      <c r="K970" s="50">
        <v>2</v>
      </c>
      <c r="L970" s="57">
        <f t="shared" si="135"/>
        <v>49000</v>
      </c>
      <c r="M970" s="228">
        <f t="shared" si="136"/>
        <v>53900</v>
      </c>
      <c r="N970" s="18" t="s">
        <v>34</v>
      </c>
      <c r="O970" s="50"/>
      <c r="P970" s="52" t="s">
        <v>2141</v>
      </c>
    </row>
    <row r="971" spans="1:16" ht="21.75" customHeight="1" x14ac:dyDescent="0.4">
      <c r="A971" s="62">
        <v>45700</v>
      </c>
      <c r="B971" s="32" t="s">
        <v>4510</v>
      </c>
      <c r="C971" s="32" t="s">
        <v>2557</v>
      </c>
      <c r="D971" s="18" t="s">
        <v>17</v>
      </c>
      <c r="E971" s="63" t="s">
        <v>328</v>
      </c>
      <c r="F971" s="63" t="s">
        <v>788</v>
      </c>
      <c r="G971" s="50" t="s">
        <v>4512</v>
      </c>
      <c r="H971" s="57">
        <v>23000</v>
      </c>
      <c r="I971" s="227">
        <v>-6900</v>
      </c>
      <c r="J971" s="57">
        <f t="shared" si="134"/>
        <v>16100</v>
      </c>
      <c r="K971" s="50">
        <v>3</v>
      </c>
      <c r="L971" s="57">
        <f t="shared" si="135"/>
        <v>48300</v>
      </c>
      <c r="M971" s="228">
        <f t="shared" si="136"/>
        <v>53130</v>
      </c>
      <c r="N971" s="18" t="s">
        <v>34</v>
      </c>
      <c r="O971" s="50"/>
      <c r="P971" s="52" t="s">
        <v>2141</v>
      </c>
    </row>
    <row r="972" spans="1:16" ht="21.75" customHeight="1" x14ac:dyDescent="0.4">
      <c r="A972" s="62">
        <v>45700</v>
      </c>
      <c r="B972" s="32" t="s">
        <v>4510</v>
      </c>
      <c r="C972" s="32" t="s">
        <v>2557</v>
      </c>
      <c r="D972" s="18" t="s">
        <v>17</v>
      </c>
      <c r="E972" s="63" t="s">
        <v>332</v>
      </c>
      <c r="F972" s="63" t="s">
        <v>3555</v>
      </c>
      <c r="G972" s="50" t="s">
        <v>3558</v>
      </c>
      <c r="H972" s="57">
        <v>1900</v>
      </c>
      <c r="I972" s="227">
        <v>-190</v>
      </c>
      <c r="J972" s="57">
        <f t="shared" si="134"/>
        <v>1710</v>
      </c>
      <c r="K972" s="50">
        <v>5</v>
      </c>
      <c r="L972" s="57">
        <f t="shared" si="135"/>
        <v>8550</v>
      </c>
      <c r="M972" s="228">
        <f t="shared" si="136"/>
        <v>9405</v>
      </c>
      <c r="N972" s="18" t="s">
        <v>34</v>
      </c>
      <c r="O972" s="50"/>
      <c r="P972" s="52" t="s">
        <v>2141</v>
      </c>
    </row>
    <row r="973" spans="1:16" ht="21.75" customHeight="1" x14ac:dyDescent="0.4">
      <c r="A973" s="62">
        <v>45700</v>
      </c>
      <c r="B973" s="32" t="s">
        <v>4510</v>
      </c>
      <c r="C973" s="32" t="s">
        <v>2557</v>
      </c>
      <c r="D973" s="96" t="s">
        <v>198</v>
      </c>
      <c r="E973" s="63"/>
      <c r="F973" s="63"/>
      <c r="G973" s="236" t="s">
        <v>4513</v>
      </c>
      <c r="H973" s="57">
        <v>-6000</v>
      </c>
      <c r="I973" s="227"/>
      <c r="J973" s="57">
        <f t="shared" si="134"/>
        <v>-6000</v>
      </c>
      <c r="K973" s="50">
        <v>1</v>
      </c>
      <c r="L973" s="57">
        <f t="shared" si="135"/>
        <v>-6000</v>
      </c>
      <c r="M973" s="237">
        <f t="shared" si="136"/>
        <v>-6600</v>
      </c>
      <c r="N973" s="18" t="s">
        <v>34</v>
      </c>
      <c r="O973" s="50"/>
      <c r="P973" s="52" t="s">
        <v>2141</v>
      </c>
    </row>
    <row r="974" spans="1:16" ht="21.75" customHeight="1" x14ac:dyDescent="0.4">
      <c r="A974" s="62">
        <v>45700</v>
      </c>
      <c r="B974" s="32" t="s">
        <v>1219</v>
      </c>
      <c r="C974" s="32" t="s">
        <v>2557</v>
      </c>
      <c r="D974" s="18" t="s">
        <v>17</v>
      </c>
      <c r="E974" s="63" t="s">
        <v>3902</v>
      </c>
      <c r="F974" s="63" t="s">
        <v>3553</v>
      </c>
      <c r="G974" s="50" t="s">
        <v>4316</v>
      </c>
      <c r="H974" s="57">
        <v>15000</v>
      </c>
      <c r="I974" s="227">
        <v>-1500</v>
      </c>
      <c r="J974" s="57">
        <f t="shared" si="134"/>
        <v>13500</v>
      </c>
      <c r="K974" s="50">
        <v>1</v>
      </c>
      <c r="L974" s="57">
        <f t="shared" si="135"/>
        <v>13500</v>
      </c>
      <c r="M974" s="228">
        <f t="shared" si="136"/>
        <v>14850</v>
      </c>
      <c r="N974" s="18" t="s">
        <v>1516</v>
      </c>
      <c r="O974" s="50"/>
    </row>
    <row r="975" spans="1:16" ht="21.75" customHeight="1" x14ac:dyDescent="0.4">
      <c r="A975" s="62">
        <v>45700</v>
      </c>
      <c r="B975" s="32" t="s">
        <v>795</v>
      </c>
      <c r="C975" s="32" t="s">
        <v>2557</v>
      </c>
      <c r="D975" s="18" t="s">
        <v>17</v>
      </c>
      <c r="E975" s="63" t="s">
        <v>576</v>
      </c>
      <c r="F975" s="63" t="s">
        <v>1443</v>
      </c>
      <c r="G975" s="50" t="s">
        <v>4514</v>
      </c>
      <c r="H975" s="57">
        <v>55200</v>
      </c>
      <c r="I975" s="227">
        <v>-35200</v>
      </c>
      <c r="J975" s="57">
        <f t="shared" si="134"/>
        <v>20000</v>
      </c>
      <c r="K975" s="50">
        <v>1</v>
      </c>
      <c r="L975" s="57">
        <f t="shared" si="135"/>
        <v>20000</v>
      </c>
      <c r="M975" s="228">
        <f t="shared" si="136"/>
        <v>22000</v>
      </c>
      <c r="N975" s="18" t="s">
        <v>20</v>
      </c>
      <c r="O975" s="50"/>
      <c r="P975" s="52" t="s">
        <v>2141</v>
      </c>
    </row>
    <row r="976" spans="1:16" ht="21.75" customHeight="1" x14ac:dyDescent="0.4">
      <c r="A976" s="62">
        <v>45701</v>
      </c>
      <c r="B976" s="32" t="s">
        <v>4115</v>
      </c>
      <c r="C976" s="32" t="s">
        <v>2557</v>
      </c>
      <c r="D976" s="18" t="s">
        <v>22</v>
      </c>
      <c r="E976" s="63" t="s">
        <v>23</v>
      </c>
      <c r="F976" s="63"/>
      <c r="G976" s="50" t="s">
        <v>220</v>
      </c>
      <c r="H976" s="57">
        <v>10000</v>
      </c>
      <c r="I976" s="227"/>
      <c r="J976" s="57">
        <f t="shared" ref="J976:J984" si="139">SUM(H976:I976)</f>
        <v>10000</v>
      </c>
      <c r="K976" s="50">
        <v>1</v>
      </c>
      <c r="L976" s="57">
        <f t="shared" ref="L976:L984" si="140">SUM(J976*K976)</f>
        <v>10000</v>
      </c>
      <c r="M976" s="228">
        <f t="shared" ref="M976:M984" si="141">ROUNDDOWN(L976*1.1,0)</f>
        <v>11000</v>
      </c>
      <c r="N976" s="18" t="s">
        <v>4515</v>
      </c>
      <c r="O976" s="50"/>
    </row>
    <row r="977" spans="1:28" ht="21.75" customHeight="1" x14ac:dyDescent="0.4">
      <c r="A977" s="62">
        <v>45701</v>
      </c>
      <c r="B977" s="32" t="s">
        <v>4115</v>
      </c>
      <c r="C977" s="32" t="s">
        <v>2557</v>
      </c>
      <c r="D977" s="18" t="s">
        <v>17</v>
      </c>
      <c r="E977" s="63" t="s">
        <v>328</v>
      </c>
      <c r="F977" s="63" t="s">
        <v>3599</v>
      </c>
      <c r="G977" s="50" t="s">
        <v>3603</v>
      </c>
      <c r="H977" s="57">
        <v>72000</v>
      </c>
      <c r="I977" s="227">
        <v>-21600</v>
      </c>
      <c r="J977" s="57">
        <f t="shared" si="139"/>
        <v>50400</v>
      </c>
      <c r="K977" s="50">
        <v>1</v>
      </c>
      <c r="L977" s="57">
        <f t="shared" si="140"/>
        <v>50400</v>
      </c>
      <c r="M977" s="228">
        <f t="shared" si="141"/>
        <v>55440</v>
      </c>
      <c r="N977" s="18" t="s">
        <v>4515</v>
      </c>
      <c r="O977" s="50"/>
      <c r="P977" s="52" t="s">
        <v>2141</v>
      </c>
    </row>
    <row r="978" spans="1:28" ht="21.75" customHeight="1" x14ac:dyDescent="0.4">
      <c r="A978" s="62">
        <v>45701</v>
      </c>
      <c r="B978" s="32" t="s">
        <v>4115</v>
      </c>
      <c r="C978" s="32" t="s">
        <v>2557</v>
      </c>
      <c r="D978" s="18" t="s">
        <v>17</v>
      </c>
      <c r="E978" s="63" t="s">
        <v>332</v>
      </c>
      <c r="F978" s="63" t="s">
        <v>3555</v>
      </c>
      <c r="G978" s="50" t="s">
        <v>4113</v>
      </c>
      <c r="H978" s="57">
        <v>19500</v>
      </c>
      <c r="I978" s="227">
        <v>-1950</v>
      </c>
      <c r="J978" s="57">
        <f t="shared" si="139"/>
        <v>17550</v>
      </c>
      <c r="K978" s="50">
        <v>1</v>
      </c>
      <c r="L978" s="57">
        <f t="shared" si="140"/>
        <v>17550</v>
      </c>
      <c r="M978" s="228">
        <f t="shared" si="141"/>
        <v>19305</v>
      </c>
      <c r="N978" s="18" t="s">
        <v>4515</v>
      </c>
      <c r="O978" s="50"/>
      <c r="P978" s="52" t="s">
        <v>2141</v>
      </c>
    </row>
    <row r="979" spans="1:28" ht="21.75" customHeight="1" x14ac:dyDescent="0.4">
      <c r="A979" s="62">
        <v>45701</v>
      </c>
      <c r="B979" s="32" t="s">
        <v>3117</v>
      </c>
      <c r="C979" s="32" t="s">
        <v>2557</v>
      </c>
      <c r="D979" s="18" t="s">
        <v>17</v>
      </c>
      <c r="E979" s="63" t="s">
        <v>3902</v>
      </c>
      <c r="F979" s="63" t="s">
        <v>3553</v>
      </c>
      <c r="G979" s="50" t="s">
        <v>4516</v>
      </c>
      <c r="H979" s="57">
        <v>15000</v>
      </c>
      <c r="I979" s="227">
        <v>-1500</v>
      </c>
      <c r="J979" s="57">
        <f t="shared" si="139"/>
        <v>13500</v>
      </c>
      <c r="K979" s="50">
        <v>1</v>
      </c>
      <c r="L979" s="57">
        <f t="shared" si="140"/>
        <v>13500</v>
      </c>
      <c r="M979" s="228">
        <f t="shared" si="141"/>
        <v>14850</v>
      </c>
      <c r="N979" s="18" t="s">
        <v>20</v>
      </c>
      <c r="O979" s="50"/>
    </row>
    <row r="980" spans="1:28" ht="21.75" customHeight="1" x14ac:dyDescent="0.4">
      <c r="A980" s="62">
        <v>45702</v>
      </c>
      <c r="B980" s="32" t="s">
        <v>179</v>
      </c>
      <c r="C980" s="32" t="s">
        <v>2557</v>
      </c>
      <c r="D980" s="18" t="s">
        <v>17</v>
      </c>
      <c r="E980" s="63" t="s">
        <v>426</v>
      </c>
      <c r="F980" s="63" t="s">
        <v>994</v>
      </c>
      <c r="G980" s="50" t="s">
        <v>4517</v>
      </c>
      <c r="H980" s="57">
        <v>1800</v>
      </c>
      <c r="I980" s="227">
        <v>-180</v>
      </c>
      <c r="J980" s="57">
        <f t="shared" si="139"/>
        <v>1620</v>
      </c>
      <c r="K980" s="50">
        <v>1</v>
      </c>
      <c r="L980" s="57">
        <f t="shared" si="140"/>
        <v>1620</v>
      </c>
      <c r="M980" s="228">
        <f t="shared" si="141"/>
        <v>1782</v>
      </c>
      <c r="N980" s="18" t="s">
        <v>20</v>
      </c>
      <c r="O980" s="50"/>
    </row>
    <row r="981" spans="1:28" ht="21.75" customHeight="1" x14ac:dyDescent="0.4">
      <c r="A981" s="62">
        <v>45702</v>
      </c>
      <c r="B981" s="32" t="s">
        <v>179</v>
      </c>
      <c r="C981" s="32" t="s">
        <v>2557</v>
      </c>
      <c r="D981" s="18" t="s">
        <v>17</v>
      </c>
      <c r="E981" s="63" t="s">
        <v>332</v>
      </c>
      <c r="F981" s="63" t="s">
        <v>3555</v>
      </c>
      <c r="G981" s="50" t="s">
        <v>4350</v>
      </c>
      <c r="H981" s="57">
        <v>1700</v>
      </c>
      <c r="I981" s="227">
        <v>-170</v>
      </c>
      <c r="J981" s="57">
        <f t="shared" si="139"/>
        <v>1530</v>
      </c>
      <c r="K981" s="50">
        <v>2</v>
      </c>
      <c r="L981" s="57">
        <f t="shared" si="140"/>
        <v>3060</v>
      </c>
      <c r="M981" s="228">
        <f t="shared" si="141"/>
        <v>3366</v>
      </c>
      <c r="N981" s="18" t="s">
        <v>20</v>
      </c>
      <c r="O981" s="50"/>
    </row>
    <row r="982" spans="1:28" ht="21.75" customHeight="1" x14ac:dyDescent="0.4">
      <c r="A982" s="62">
        <v>45702</v>
      </c>
      <c r="B982" s="32" t="s">
        <v>4518</v>
      </c>
      <c r="C982" s="32" t="s">
        <v>2557</v>
      </c>
      <c r="D982" s="18" t="s">
        <v>17</v>
      </c>
      <c r="E982" s="63" t="s">
        <v>330</v>
      </c>
      <c r="F982" s="63" t="s">
        <v>3543</v>
      </c>
      <c r="G982" s="50" t="s">
        <v>4519</v>
      </c>
      <c r="H982" s="57">
        <v>5500</v>
      </c>
      <c r="I982" s="227">
        <v>0</v>
      </c>
      <c r="J982" s="57">
        <f t="shared" si="139"/>
        <v>5500</v>
      </c>
      <c r="K982" s="50">
        <v>3</v>
      </c>
      <c r="L982" s="57">
        <f t="shared" si="140"/>
        <v>16500</v>
      </c>
      <c r="M982" s="228">
        <f t="shared" si="141"/>
        <v>18150</v>
      </c>
      <c r="N982" s="18" t="s">
        <v>34</v>
      </c>
      <c r="O982" s="50"/>
    </row>
    <row r="983" spans="1:28" ht="21.75" customHeight="1" x14ac:dyDescent="0.4">
      <c r="A983" s="62">
        <v>45702</v>
      </c>
      <c r="B983" s="32" t="s">
        <v>4518</v>
      </c>
      <c r="C983" s="32" t="s">
        <v>2557</v>
      </c>
      <c r="D983" s="18" t="s">
        <v>17</v>
      </c>
      <c r="E983" s="63" t="s">
        <v>332</v>
      </c>
      <c r="F983" s="63" t="s">
        <v>3554</v>
      </c>
      <c r="G983" s="50" t="s">
        <v>4520</v>
      </c>
      <c r="H983" s="57">
        <v>1500</v>
      </c>
      <c r="I983" s="227">
        <v>-150</v>
      </c>
      <c r="J983" s="57">
        <f t="shared" si="139"/>
        <v>1350</v>
      </c>
      <c r="K983" s="50">
        <v>13</v>
      </c>
      <c r="L983" s="57">
        <f t="shared" si="140"/>
        <v>17550</v>
      </c>
      <c r="M983" s="228">
        <f t="shared" si="141"/>
        <v>19305</v>
      </c>
      <c r="N983" s="18" t="s">
        <v>34</v>
      </c>
      <c r="O983" s="50"/>
    </row>
    <row r="984" spans="1:28" ht="21.75" customHeight="1" x14ac:dyDescent="0.4">
      <c r="A984" s="62">
        <v>45703</v>
      </c>
      <c r="B984" s="32" t="s">
        <v>1001</v>
      </c>
      <c r="C984" s="32" t="s">
        <v>4292</v>
      </c>
      <c r="D984" s="18" t="s">
        <v>17</v>
      </c>
      <c r="E984" s="63" t="s">
        <v>328</v>
      </c>
      <c r="F984" s="63" t="s">
        <v>4521</v>
      </c>
      <c r="G984" s="50" t="s">
        <v>4522</v>
      </c>
      <c r="H984" s="57">
        <v>7600</v>
      </c>
      <c r="I984" s="227">
        <v>0</v>
      </c>
      <c r="J984" s="57">
        <f t="shared" si="139"/>
        <v>7600</v>
      </c>
      <c r="K984" s="50">
        <v>6</v>
      </c>
      <c r="L984" s="57">
        <f t="shared" si="140"/>
        <v>45600</v>
      </c>
      <c r="M984" s="228">
        <f t="shared" si="141"/>
        <v>50160</v>
      </c>
      <c r="N984" s="18" t="s">
        <v>20</v>
      </c>
      <c r="O984" s="50"/>
    </row>
    <row r="985" spans="1:28" ht="21.75" customHeight="1" x14ac:dyDescent="0.4">
      <c r="A985" s="62">
        <v>45703</v>
      </c>
      <c r="B985" s="32" t="s">
        <v>4485</v>
      </c>
      <c r="C985" s="32" t="s">
        <v>405</v>
      </c>
      <c r="D985" s="18" t="s">
        <v>17</v>
      </c>
      <c r="E985" s="63" t="s">
        <v>328</v>
      </c>
      <c r="F985" s="63" t="s">
        <v>788</v>
      </c>
      <c r="G985" s="50" t="s">
        <v>4523</v>
      </c>
      <c r="H985" s="57">
        <v>55000</v>
      </c>
      <c r="I985" s="227">
        <v>-11000</v>
      </c>
      <c r="J985" s="57">
        <f t="shared" ref="J985:J1052" si="142">SUM(H985:I985)</f>
        <v>44000</v>
      </c>
      <c r="K985" s="50">
        <v>1</v>
      </c>
      <c r="L985" s="57">
        <f t="shared" ref="L985:L1052" si="143">SUM(J985*K985)</f>
        <v>44000</v>
      </c>
      <c r="M985" s="228">
        <f t="shared" ref="M985:M1052" si="144">ROUNDDOWN(L985*1.1,0)</f>
        <v>48400</v>
      </c>
      <c r="N985" s="18" t="s">
        <v>1516</v>
      </c>
      <c r="O985" s="50"/>
      <c r="P985" s="52" t="s">
        <v>1608</v>
      </c>
    </row>
    <row r="986" spans="1:28" ht="21.75" customHeight="1" x14ac:dyDescent="0.4">
      <c r="A986" s="62">
        <v>45703</v>
      </c>
      <c r="B986" s="32" t="s">
        <v>4485</v>
      </c>
      <c r="C986" s="32" t="s">
        <v>405</v>
      </c>
      <c r="D986" s="18" t="s">
        <v>17</v>
      </c>
      <c r="E986" s="63" t="s">
        <v>332</v>
      </c>
      <c r="F986" s="63" t="s">
        <v>3555</v>
      </c>
      <c r="G986" s="50" t="s">
        <v>3557</v>
      </c>
      <c r="H986" s="57">
        <v>1300</v>
      </c>
      <c r="I986" s="227">
        <v>0</v>
      </c>
      <c r="J986" s="57">
        <f t="shared" si="142"/>
        <v>1300</v>
      </c>
      <c r="K986" s="50">
        <v>1</v>
      </c>
      <c r="L986" s="57">
        <f t="shared" si="143"/>
        <v>1300</v>
      </c>
      <c r="M986" s="228">
        <f t="shared" si="144"/>
        <v>1430</v>
      </c>
      <c r="N986" s="18" t="s">
        <v>1516</v>
      </c>
      <c r="O986" s="50"/>
      <c r="P986" s="52" t="s">
        <v>1608</v>
      </c>
    </row>
    <row r="987" spans="1:28" ht="18.75" x14ac:dyDescent="0.4">
      <c r="A987" s="62">
        <v>45703</v>
      </c>
      <c r="B987" s="32" t="s">
        <v>162</v>
      </c>
      <c r="C987" s="32" t="s">
        <v>2557</v>
      </c>
      <c r="D987" s="18" t="s">
        <v>17</v>
      </c>
      <c r="E987" s="63" t="s">
        <v>292</v>
      </c>
      <c r="F987" s="63" t="s">
        <v>1051</v>
      </c>
      <c r="G987" s="50" t="s">
        <v>3645</v>
      </c>
      <c r="H987" s="57">
        <v>4000</v>
      </c>
      <c r="I987" s="227">
        <v>-400</v>
      </c>
      <c r="J987" s="57">
        <f t="shared" si="142"/>
        <v>3600</v>
      </c>
      <c r="K987" s="50">
        <v>1</v>
      </c>
      <c r="L987" s="57">
        <f t="shared" si="143"/>
        <v>3600</v>
      </c>
      <c r="M987" s="228">
        <f t="shared" si="144"/>
        <v>3960</v>
      </c>
      <c r="N987" s="18" t="s">
        <v>1516</v>
      </c>
      <c r="O987" s="50"/>
    </row>
    <row r="988" spans="1:28" ht="18.75" x14ac:dyDescent="0.4">
      <c r="A988" s="62">
        <v>45704</v>
      </c>
      <c r="B988" s="32" t="s">
        <v>4293</v>
      </c>
      <c r="C988" s="32" t="s">
        <v>2557</v>
      </c>
      <c r="D988" s="123" t="s">
        <v>27</v>
      </c>
      <c r="E988" s="63" t="s">
        <v>28</v>
      </c>
      <c r="F988" s="63"/>
      <c r="G988" s="50" t="s">
        <v>4524</v>
      </c>
      <c r="H988" s="57">
        <v>17500</v>
      </c>
      <c r="I988" s="227"/>
      <c r="J988" s="57">
        <f t="shared" si="142"/>
        <v>17500</v>
      </c>
      <c r="K988" s="50">
        <v>1</v>
      </c>
      <c r="L988" s="57">
        <f t="shared" si="143"/>
        <v>17500</v>
      </c>
      <c r="M988" s="228">
        <f t="shared" si="144"/>
        <v>19250</v>
      </c>
      <c r="N988" s="18" t="s">
        <v>1516</v>
      </c>
      <c r="O988" s="50"/>
    </row>
    <row r="989" spans="1:28" ht="18.75" x14ac:dyDescent="0.4">
      <c r="A989" s="62">
        <v>45704</v>
      </c>
      <c r="B989" s="32" t="s">
        <v>4061</v>
      </c>
      <c r="C989" s="32" t="s">
        <v>2557</v>
      </c>
      <c r="D989" s="18" t="s">
        <v>22</v>
      </c>
      <c r="E989" s="63" t="s">
        <v>23</v>
      </c>
      <c r="F989" s="63"/>
      <c r="G989" s="50" t="s">
        <v>4525</v>
      </c>
      <c r="H989" s="57">
        <v>10000</v>
      </c>
      <c r="I989" s="227"/>
      <c r="J989" s="57">
        <f t="shared" si="142"/>
        <v>10000</v>
      </c>
      <c r="K989" s="50">
        <v>1</v>
      </c>
      <c r="L989" s="57">
        <f t="shared" si="143"/>
        <v>10000</v>
      </c>
      <c r="M989" s="228">
        <f t="shared" si="144"/>
        <v>11000</v>
      </c>
      <c r="N989" s="18" t="s">
        <v>1516</v>
      </c>
      <c r="O989" s="50"/>
    </row>
    <row r="990" spans="1:28" ht="24" customHeight="1" x14ac:dyDescent="0.4">
      <c r="A990" s="62">
        <v>45707</v>
      </c>
      <c r="B990" s="32" t="s">
        <v>4526</v>
      </c>
      <c r="C990" s="32" t="s">
        <v>2557</v>
      </c>
      <c r="D990" s="18" t="s">
        <v>22</v>
      </c>
      <c r="E990" s="63" t="s">
        <v>1496</v>
      </c>
      <c r="F990" s="63"/>
      <c r="G990" s="50" t="s">
        <v>51</v>
      </c>
      <c r="H990" s="57">
        <v>4500</v>
      </c>
      <c r="I990" s="227"/>
      <c r="J990" s="57">
        <f t="shared" si="142"/>
        <v>4500</v>
      </c>
      <c r="K990" s="50">
        <v>1</v>
      </c>
      <c r="L990" s="57">
        <f t="shared" si="143"/>
        <v>4500</v>
      </c>
      <c r="M990" s="228">
        <f t="shared" si="144"/>
        <v>4950</v>
      </c>
      <c r="N990" s="18" t="s">
        <v>20</v>
      </c>
      <c r="O990" s="50"/>
    </row>
    <row r="991" spans="1:28" s="248" customFormat="1" ht="21.75" customHeight="1" x14ac:dyDescent="0.4">
      <c r="A991" s="239">
        <v>45709</v>
      </c>
      <c r="B991" s="240" t="s">
        <v>4061</v>
      </c>
      <c r="C991" s="241" t="s">
        <v>2557</v>
      </c>
      <c r="D991" s="242" t="s">
        <v>17</v>
      </c>
      <c r="E991" s="243" t="s">
        <v>126</v>
      </c>
      <c r="F991" s="244" t="s">
        <v>3543</v>
      </c>
      <c r="G991" s="244" t="s">
        <v>4548</v>
      </c>
      <c r="H991" s="245">
        <v>98000</v>
      </c>
      <c r="I991" s="268">
        <v>-14700</v>
      </c>
      <c r="J991" s="245">
        <f t="shared" si="142"/>
        <v>83300</v>
      </c>
      <c r="K991" s="244">
        <v>1</v>
      </c>
      <c r="L991" s="245">
        <f t="shared" si="143"/>
        <v>83300</v>
      </c>
      <c r="M991" s="246">
        <f t="shared" si="144"/>
        <v>91630</v>
      </c>
      <c r="N991" s="242" t="s">
        <v>34</v>
      </c>
      <c r="O991" s="244"/>
      <c r="P991" s="244"/>
      <c r="Q991" s="247"/>
      <c r="R991" s="247"/>
      <c r="S991" s="247"/>
      <c r="T991" s="247"/>
      <c r="U991" s="247"/>
      <c r="V991" s="247"/>
      <c r="X991" s="249"/>
      <c r="Y991" s="250"/>
      <c r="Z991" s="250"/>
      <c r="AA991" s="250"/>
      <c r="AB991" s="250"/>
    </row>
    <row r="992" spans="1:28" s="248" customFormat="1" ht="21.75" customHeight="1" x14ac:dyDescent="0.4">
      <c r="A992" s="239">
        <v>45709</v>
      </c>
      <c r="B992" s="240" t="s">
        <v>4061</v>
      </c>
      <c r="C992" s="241" t="s">
        <v>2557</v>
      </c>
      <c r="D992" s="96" t="s">
        <v>198</v>
      </c>
      <c r="E992" s="251" t="s">
        <v>23</v>
      </c>
      <c r="F992" s="244" t="s">
        <v>2491</v>
      </c>
      <c r="G992" s="244" t="s">
        <v>2491</v>
      </c>
      <c r="H992" s="245">
        <v>-10000</v>
      </c>
      <c r="I992" s="268"/>
      <c r="J992" s="245">
        <v>-10000</v>
      </c>
      <c r="K992" s="244">
        <v>1</v>
      </c>
      <c r="L992" s="245">
        <f t="shared" si="143"/>
        <v>-10000</v>
      </c>
      <c r="M992" s="252">
        <f t="shared" si="144"/>
        <v>-11000</v>
      </c>
      <c r="N992" s="242" t="s">
        <v>34</v>
      </c>
      <c r="O992" s="244"/>
      <c r="P992" s="244"/>
      <c r="Q992" s="247"/>
      <c r="R992" s="247"/>
      <c r="S992" s="247"/>
      <c r="T992" s="247"/>
      <c r="U992" s="247"/>
      <c r="V992" s="247"/>
      <c r="X992" s="249"/>
      <c r="Y992" s="250"/>
      <c r="Z992" s="250"/>
      <c r="AA992" s="250"/>
      <c r="AB992" s="250"/>
    </row>
    <row r="993" spans="1:28" s="248" customFormat="1" ht="21.75" customHeight="1" x14ac:dyDescent="0.4">
      <c r="A993" s="239">
        <v>45709</v>
      </c>
      <c r="B993" s="240" t="s">
        <v>4529</v>
      </c>
      <c r="C993" s="241" t="s">
        <v>405</v>
      </c>
      <c r="D993" s="242" t="s">
        <v>22</v>
      </c>
      <c r="E993" s="243" t="s">
        <v>4549</v>
      </c>
      <c r="F993" s="244"/>
      <c r="G993" s="244"/>
      <c r="H993" s="245">
        <v>3300</v>
      </c>
      <c r="I993" s="268"/>
      <c r="J993" s="245"/>
      <c r="K993" s="244">
        <v>1</v>
      </c>
      <c r="L993" s="245"/>
      <c r="M993" s="246">
        <v>3300</v>
      </c>
      <c r="N993" s="242" t="s">
        <v>25</v>
      </c>
      <c r="O993" s="244"/>
      <c r="P993" s="244"/>
      <c r="Q993" s="247"/>
      <c r="R993" s="247"/>
      <c r="S993" s="247"/>
      <c r="T993" s="247"/>
      <c r="U993" s="247"/>
      <c r="V993" s="247"/>
      <c r="X993" s="249"/>
      <c r="Y993" s="250"/>
      <c r="Z993" s="250"/>
      <c r="AA993" s="250"/>
      <c r="AB993" s="250"/>
    </row>
    <row r="994" spans="1:28" s="248" customFormat="1" ht="21.75" customHeight="1" x14ac:dyDescent="0.4">
      <c r="A994" s="239">
        <v>45709</v>
      </c>
      <c r="B994" s="240" t="s">
        <v>795</v>
      </c>
      <c r="C994" s="241" t="s">
        <v>2557</v>
      </c>
      <c r="D994" s="242" t="s">
        <v>17</v>
      </c>
      <c r="E994" s="243" t="s">
        <v>332</v>
      </c>
      <c r="F994" s="243" t="s">
        <v>3658</v>
      </c>
      <c r="G994" s="243"/>
      <c r="H994" s="245">
        <v>1485</v>
      </c>
      <c r="I994" s="268"/>
      <c r="J994" s="245"/>
      <c r="K994" s="244">
        <v>1</v>
      </c>
      <c r="L994" s="245"/>
      <c r="M994" s="246">
        <v>1485</v>
      </c>
      <c r="N994" s="242" t="s">
        <v>25</v>
      </c>
      <c r="O994" s="244"/>
      <c r="P994" s="244"/>
      <c r="Q994" s="247"/>
      <c r="R994" s="247"/>
      <c r="S994" s="247"/>
      <c r="T994" s="247"/>
      <c r="U994" s="247"/>
      <c r="V994" s="247"/>
      <c r="X994" s="249"/>
      <c r="Y994" s="250"/>
      <c r="Z994" s="250"/>
      <c r="AA994" s="250"/>
      <c r="AB994" s="250"/>
    </row>
    <row r="995" spans="1:28" ht="21.75" customHeight="1" x14ac:dyDescent="0.4">
      <c r="A995" s="62">
        <v>45708</v>
      </c>
      <c r="B995" s="32" t="s">
        <v>4340</v>
      </c>
      <c r="C995" s="32" t="s">
        <v>2557</v>
      </c>
      <c r="D995" s="18" t="s">
        <v>17</v>
      </c>
      <c r="E995" s="63" t="s">
        <v>332</v>
      </c>
      <c r="F995" s="63" t="s">
        <v>3553</v>
      </c>
      <c r="G995" s="50" t="s">
        <v>4527</v>
      </c>
      <c r="H995" s="57">
        <v>1150</v>
      </c>
      <c r="I995" s="227">
        <v>-115</v>
      </c>
      <c r="J995" s="57">
        <f t="shared" si="142"/>
        <v>1035</v>
      </c>
      <c r="K995" s="50">
        <v>1</v>
      </c>
      <c r="L995" s="57">
        <f t="shared" si="143"/>
        <v>1035</v>
      </c>
      <c r="M995" s="228">
        <f t="shared" si="144"/>
        <v>1138</v>
      </c>
      <c r="N995" s="18" t="s">
        <v>25</v>
      </c>
      <c r="O995" s="50"/>
    </row>
    <row r="996" spans="1:28" ht="21.75" customHeight="1" x14ac:dyDescent="0.4">
      <c r="A996" s="62">
        <v>45710</v>
      </c>
      <c r="B996" s="32" t="s">
        <v>179</v>
      </c>
      <c r="C996" s="32" t="s">
        <v>2557</v>
      </c>
      <c r="D996" s="18" t="s">
        <v>17</v>
      </c>
      <c r="E996" s="63" t="s">
        <v>332</v>
      </c>
      <c r="F996" s="63" t="s">
        <v>3555</v>
      </c>
      <c r="G996" s="50" t="s">
        <v>4350</v>
      </c>
      <c r="H996" s="57">
        <v>1700</v>
      </c>
      <c r="I996" s="227">
        <v>-170</v>
      </c>
      <c r="J996" s="57">
        <f t="shared" si="142"/>
        <v>1530</v>
      </c>
      <c r="K996" s="50">
        <v>1</v>
      </c>
      <c r="L996" s="57">
        <f t="shared" si="143"/>
        <v>1530</v>
      </c>
      <c r="M996" s="228">
        <f t="shared" si="144"/>
        <v>1683</v>
      </c>
      <c r="N996" s="18" t="s">
        <v>20</v>
      </c>
      <c r="O996" s="50"/>
    </row>
    <row r="997" spans="1:28" ht="21.75" customHeight="1" x14ac:dyDescent="0.4">
      <c r="A997" s="62">
        <v>45711</v>
      </c>
      <c r="B997" s="32" t="s">
        <v>3462</v>
      </c>
      <c r="C997" s="32" t="s">
        <v>2557</v>
      </c>
      <c r="D997" s="18" t="s">
        <v>17</v>
      </c>
      <c r="E997" s="63" t="s">
        <v>332</v>
      </c>
      <c r="F997" s="63" t="s">
        <v>3555</v>
      </c>
      <c r="G997" s="50" t="s">
        <v>3463</v>
      </c>
      <c r="H997" s="57">
        <v>1700</v>
      </c>
      <c r="I997" s="227">
        <v>-170</v>
      </c>
      <c r="J997" s="57">
        <f t="shared" si="142"/>
        <v>1530</v>
      </c>
      <c r="K997" s="50">
        <v>1</v>
      </c>
      <c r="L997" s="57">
        <f t="shared" si="143"/>
        <v>1530</v>
      </c>
      <c r="M997" s="228">
        <f t="shared" si="144"/>
        <v>1683</v>
      </c>
      <c r="N997" s="18" t="s">
        <v>25</v>
      </c>
      <c r="O997" s="50"/>
    </row>
    <row r="998" spans="1:28" ht="21.75" customHeight="1" x14ac:dyDescent="0.4">
      <c r="A998" s="62">
        <v>45712</v>
      </c>
      <c r="B998" s="32" t="s">
        <v>4528</v>
      </c>
      <c r="C998" s="32" t="s">
        <v>405</v>
      </c>
      <c r="D998" s="18" t="s">
        <v>22</v>
      </c>
      <c r="E998" s="63" t="s">
        <v>23</v>
      </c>
      <c r="F998" s="63"/>
      <c r="G998" s="50" t="s">
        <v>3872</v>
      </c>
      <c r="H998" s="57">
        <v>15000</v>
      </c>
      <c r="I998" s="227"/>
      <c r="J998" s="57">
        <f t="shared" si="142"/>
        <v>15000</v>
      </c>
      <c r="K998" s="50">
        <v>1</v>
      </c>
      <c r="L998" s="57">
        <f t="shared" si="143"/>
        <v>15000</v>
      </c>
      <c r="M998" s="228">
        <f t="shared" si="144"/>
        <v>16500</v>
      </c>
      <c r="N998" s="18" t="s">
        <v>34</v>
      </c>
      <c r="O998" s="50"/>
    </row>
    <row r="999" spans="1:28" ht="21.75" customHeight="1" x14ac:dyDescent="0.4">
      <c r="A999" s="62">
        <v>45712</v>
      </c>
      <c r="B999" s="32" t="s">
        <v>4528</v>
      </c>
      <c r="C999" s="32" t="s">
        <v>405</v>
      </c>
      <c r="D999" s="18" t="s">
        <v>17</v>
      </c>
      <c r="E999" s="63" t="s">
        <v>328</v>
      </c>
      <c r="F999" s="63" t="s">
        <v>3598</v>
      </c>
      <c r="G999" s="50" t="s">
        <v>4083</v>
      </c>
      <c r="H999" s="57">
        <v>55000</v>
      </c>
      <c r="I999" s="227">
        <v>-11000</v>
      </c>
      <c r="J999" s="57">
        <f t="shared" si="142"/>
        <v>44000</v>
      </c>
      <c r="K999" s="50">
        <v>1</v>
      </c>
      <c r="L999" s="57">
        <f t="shared" si="143"/>
        <v>44000</v>
      </c>
      <c r="M999" s="228">
        <f t="shared" si="144"/>
        <v>48400</v>
      </c>
      <c r="N999" s="18" t="s">
        <v>34</v>
      </c>
      <c r="O999" s="50"/>
      <c r="P999" s="52" t="s">
        <v>1608</v>
      </c>
    </row>
    <row r="1000" spans="1:28" ht="21.75" customHeight="1" x14ac:dyDescent="0.4">
      <c r="A1000" s="62">
        <v>45712</v>
      </c>
      <c r="B1000" s="32" t="s">
        <v>4529</v>
      </c>
      <c r="C1000" s="32" t="s">
        <v>2557</v>
      </c>
      <c r="D1000" s="18" t="s">
        <v>27</v>
      </c>
      <c r="E1000" s="63" t="s">
        <v>28</v>
      </c>
      <c r="F1000" s="63"/>
      <c r="G1000" s="50" t="s">
        <v>318</v>
      </c>
      <c r="H1000" s="57">
        <v>15000</v>
      </c>
      <c r="I1000" s="227"/>
      <c r="J1000" s="57">
        <f t="shared" si="142"/>
        <v>15000</v>
      </c>
      <c r="K1000" s="50">
        <v>1</v>
      </c>
      <c r="L1000" s="57">
        <f t="shared" si="143"/>
        <v>15000</v>
      </c>
      <c r="M1000" s="228">
        <f t="shared" si="144"/>
        <v>16500</v>
      </c>
      <c r="N1000" s="18" t="s">
        <v>25</v>
      </c>
      <c r="O1000" s="50"/>
    </row>
    <row r="1001" spans="1:28" ht="21.75" customHeight="1" x14ac:dyDescent="0.4">
      <c r="A1001" s="62">
        <v>45712</v>
      </c>
      <c r="B1001" s="32" t="s">
        <v>4529</v>
      </c>
      <c r="C1001" s="32" t="s">
        <v>2557</v>
      </c>
      <c r="D1001" s="18" t="s">
        <v>27</v>
      </c>
      <c r="E1001" s="63" t="s">
        <v>28</v>
      </c>
      <c r="F1001" s="63"/>
      <c r="G1001" s="50" t="s">
        <v>3982</v>
      </c>
      <c r="H1001" s="57">
        <v>4375</v>
      </c>
      <c r="I1001" s="227"/>
      <c r="J1001" s="57">
        <f t="shared" si="142"/>
        <v>4375</v>
      </c>
      <c r="K1001" s="50">
        <v>1</v>
      </c>
      <c r="L1001" s="57">
        <f t="shared" si="143"/>
        <v>4375</v>
      </c>
      <c r="M1001" s="228">
        <f t="shared" si="144"/>
        <v>4812</v>
      </c>
      <c r="N1001" s="18" t="s">
        <v>25</v>
      </c>
      <c r="O1001" s="50"/>
    </row>
    <row r="1002" spans="1:28" ht="21.75" customHeight="1" x14ac:dyDescent="0.4">
      <c r="A1002" s="62">
        <v>45712</v>
      </c>
      <c r="B1002" s="32" t="s">
        <v>4529</v>
      </c>
      <c r="C1002" s="32" t="s">
        <v>2557</v>
      </c>
      <c r="D1002" s="18" t="s">
        <v>27</v>
      </c>
      <c r="E1002" s="63" t="s">
        <v>28</v>
      </c>
      <c r="F1002" s="63"/>
      <c r="G1002" s="50" t="s">
        <v>3664</v>
      </c>
      <c r="H1002" s="57">
        <v>17500</v>
      </c>
      <c r="I1002" s="227"/>
      <c r="J1002" s="57">
        <f t="shared" si="142"/>
        <v>17500</v>
      </c>
      <c r="K1002" s="50">
        <v>1</v>
      </c>
      <c r="L1002" s="57">
        <f t="shared" si="143"/>
        <v>17500</v>
      </c>
      <c r="M1002" s="228">
        <f t="shared" si="144"/>
        <v>19250</v>
      </c>
      <c r="N1002" s="18" t="s">
        <v>25</v>
      </c>
      <c r="O1002" s="50"/>
    </row>
    <row r="1003" spans="1:28" ht="21.75" customHeight="1" x14ac:dyDescent="0.4">
      <c r="A1003" s="62">
        <v>45712</v>
      </c>
      <c r="B1003" s="32" t="s">
        <v>4530</v>
      </c>
      <c r="C1003" s="32" t="s">
        <v>405</v>
      </c>
      <c r="D1003" s="18" t="s">
        <v>22</v>
      </c>
      <c r="E1003" s="63" t="s">
        <v>23</v>
      </c>
      <c r="F1003" s="63"/>
      <c r="G1003" s="50" t="s">
        <v>96</v>
      </c>
      <c r="H1003" s="57">
        <v>15000</v>
      </c>
      <c r="I1003" s="227"/>
      <c r="J1003" s="57">
        <f t="shared" si="142"/>
        <v>15000</v>
      </c>
      <c r="K1003" s="50">
        <v>1</v>
      </c>
      <c r="L1003" s="57">
        <f t="shared" si="143"/>
        <v>15000</v>
      </c>
      <c r="M1003" s="228">
        <f t="shared" si="144"/>
        <v>16500</v>
      </c>
      <c r="N1003" s="18" t="s">
        <v>20</v>
      </c>
      <c r="O1003" s="50"/>
    </row>
    <row r="1004" spans="1:28" ht="21.75" customHeight="1" x14ac:dyDescent="0.4">
      <c r="A1004" s="62">
        <v>45712</v>
      </c>
      <c r="B1004" s="32" t="s">
        <v>4530</v>
      </c>
      <c r="C1004" s="32" t="s">
        <v>405</v>
      </c>
      <c r="D1004" s="18" t="s">
        <v>17</v>
      </c>
      <c r="E1004" s="63" t="s">
        <v>328</v>
      </c>
      <c r="F1004" s="63" t="s">
        <v>3960</v>
      </c>
      <c r="G1004" s="50" t="s">
        <v>4078</v>
      </c>
      <c r="H1004" s="57">
        <v>42000</v>
      </c>
      <c r="I1004" s="227">
        <v>-8400</v>
      </c>
      <c r="J1004" s="57">
        <f t="shared" si="142"/>
        <v>33600</v>
      </c>
      <c r="K1004" s="50">
        <v>1</v>
      </c>
      <c r="L1004" s="57">
        <f t="shared" si="143"/>
        <v>33600</v>
      </c>
      <c r="M1004" s="228">
        <f t="shared" si="144"/>
        <v>36960</v>
      </c>
      <c r="N1004" s="18" t="s">
        <v>34</v>
      </c>
      <c r="O1004" s="50"/>
      <c r="P1004" s="52" t="s">
        <v>2141</v>
      </c>
    </row>
    <row r="1005" spans="1:28" ht="21.75" customHeight="1" x14ac:dyDescent="0.4">
      <c r="A1005" s="62">
        <v>45712</v>
      </c>
      <c r="B1005" s="32" t="s">
        <v>4530</v>
      </c>
      <c r="C1005" s="32" t="s">
        <v>405</v>
      </c>
      <c r="D1005" s="18" t="s">
        <v>17</v>
      </c>
      <c r="E1005" s="63" t="s">
        <v>330</v>
      </c>
      <c r="F1005" s="63" t="s">
        <v>790</v>
      </c>
      <c r="G1005" s="50" t="s">
        <v>3819</v>
      </c>
      <c r="H1005" s="57">
        <v>5000</v>
      </c>
      <c r="I1005" s="227"/>
      <c r="J1005" s="57">
        <f t="shared" si="142"/>
        <v>5000</v>
      </c>
      <c r="K1005" s="50">
        <v>1</v>
      </c>
      <c r="L1005" s="57">
        <f t="shared" si="143"/>
        <v>5000</v>
      </c>
      <c r="M1005" s="228">
        <f t="shared" si="144"/>
        <v>5500</v>
      </c>
      <c r="N1005" s="18" t="s">
        <v>34</v>
      </c>
      <c r="O1005" s="50"/>
      <c r="P1005" s="52" t="s">
        <v>2141</v>
      </c>
    </row>
    <row r="1006" spans="1:28" ht="21.75" customHeight="1" x14ac:dyDescent="0.4">
      <c r="A1006" s="62">
        <v>45712</v>
      </c>
      <c r="B1006" s="32" t="s">
        <v>4530</v>
      </c>
      <c r="C1006" s="32" t="s">
        <v>405</v>
      </c>
      <c r="D1006" s="18" t="s">
        <v>17</v>
      </c>
      <c r="E1006" s="63" t="s">
        <v>332</v>
      </c>
      <c r="F1006" s="63" t="s">
        <v>3555</v>
      </c>
      <c r="G1006" s="50" t="s">
        <v>3681</v>
      </c>
      <c r="H1006" s="57">
        <v>1300</v>
      </c>
      <c r="I1006" s="227"/>
      <c r="J1006" s="57">
        <f t="shared" si="142"/>
        <v>1300</v>
      </c>
      <c r="K1006" s="50">
        <v>1</v>
      </c>
      <c r="L1006" s="57">
        <f t="shared" si="143"/>
        <v>1300</v>
      </c>
      <c r="M1006" s="228">
        <f t="shared" si="144"/>
        <v>1430</v>
      </c>
      <c r="N1006" s="18" t="s">
        <v>34</v>
      </c>
      <c r="O1006" s="50"/>
      <c r="P1006" s="52" t="s">
        <v>2141</v>
      </c>
    </row>
    <row r="1007" spans="1:28" s="248" customFormat="1" ht="21.75" customHeight="1" x14ac:dyDescent="0.4">
      <c r="A1007" s="253">
        <v>45712</v>
      </c>
      <c r="B1007" s="241" t="s">
        <v>4540</v>
      </c>
      <c r="C1007" s="242" t="s">
        <v>4313</v>
      </c>
      <c r="D1007" s="242" t="s">
        <v>22</v>
      </c>
      <c r="E1007" s="254" t="s">
        <v>4549</v>
      </c>
      <c r="F1007" s="255"/>
      <c r="G1007" s="256"/>
      <c r="H1007" s="245">
        <v>3000</v>
      </c>
      <c r="I1007" s="268"/>
      <c r="J1007" s="245">
        <f t="shared" si="142"/>
        <v>3000</v>
      </c>
      <c r="K1007" s="257">
        <v>1</v>
      </c>
      <c r="L1007" s="257">
        <f t="shared" si="143"/>
        <v>3000</v>
      </c>
      <c r="M1007" s="257">
        <f t="shared" si="144"/>
        <v>3300</v>
      </c>
      <c r="N1007" s="242" t="s">
        <v>4233</v>
      </c>
      <c r="O1007" s="244" t="s">
        <v>4550</v>
      </c>
      <c r="P1007" s="244"/>
      <c r="Q1007" s="247"/>
      <c r="R1007" s="247"/>
      <c r="S1007" s="247"/>
      <c r="T1007" s="247"/>
      <c r="U1007" s="247"/>
      <c r="V1007" s="247"/>
      <c r="X1007" s="249"/>
      <c r="Y1007" s="250"/>
      <c r="Z1007" s="250"/>
      <c r="AA1007" s="250"/>
      <c r="AB1007" s="250"/>
    </row>
    <row r="1008" spans="1:28" ht="21.75" customHeight="1" x14ac:dyDescent="0.4">
      <c r="A1008" s="62">
        <v>45715</v>
      </c>
      <c r="B1008" s="32" t="s">
        <v>1001</v>
      </c>
      <c r="C1008" s="32" t="s">
        <v>4292</v>
      </c>
      <c r="D1008" s="18" t="s">
        <v>17</v>
      </c>
      <c r="E1008" s="63" t="s">
        <v>332</v>
      </c>
      <c r="F1008" s="63" t="s">
        <v>3553</v>
      </c>
      <c r="G1008" s="63" t="s">
        <v>4356</v>
      </c>
      <c r="H1008" s="57">
        <v>3500</v>
      </c>
      <c r="I1008" s="227">
        <v>-1750</v>
      </c>
      <c r="J1008" s="57">
        <f t="shared" si="142"/>
        <v>1750</v>
      </c>
      <c r="K1008" s="50">
        <v>1</v>
      </c>
      <c r="L1008" s="57">
        <f t="shared" si="143"/>
        <v>1750</v>
      </c>
      <c r="M1008" s="228">
        <f t="shared" si="144"/>
        <v>1925</v>
      </c>
      <c r="N1008" s="18" t="s">
        <v>20</v>
      </c>
      <c r="O1008" s="50"/>
    </row>
    <row r="1009" spans="1:16" ht="21.75" customHeight="1" x14ac:dyDescent="0.4">
      <c r="A1009" s="62">
        <v>45715</v>
      </c>
      <c r="B1009" s="32" t="s">
        <v>1001</v>
      </c>
      <c r="C1009" s="32" t="s">
        <v>4292</v>
      </c>
      <c r="D1009" s="18" t="s">
        <v>17</v>
      </c>
      <c r="E1009" s="63" t="s">
        <v>292</v>
      </c>
      <c r="F1009" s="63" t="s">
        <v>1051</v>
      </c>
      <c r="G1009" s="50" t="s">
        <v>3989</v>
      </c>
      <c r="H1009" s="57">
        <v>5700</v>
      </c>
      <c r="I1009" s="227">
        <v>-828</v>
      </c>
      <c r="J1009" s="57">
        <f t="shared" si="142"/>
        <v>4872</v>
      </c>
      <c r="K1009" s="50">
        <v>1</v>
      </c>
      <c r="L1009" s="57">
        <f t="shared" si="143"/>
        <v>4872</v>
      </c>
      <c r="M1009" s="228">
        <f t="shared" si="144"/>
        <v>5359</v>
      </c>
      <c r="N1009" s="18" t="s">
        <v>20</v>
      </c>
      <c r="O1009" s="50"/>
    </row>
    <row r="1010" spans="1:16" ht="21.75" customHeight="1" x14ac:dyDescent="0.4">
      <c r="A1010" s="62">
        <v>45715</v>
      </c>
      <c r="B1010" s="32" t="s">
        <v>2363</v>
      </c>
      <c r="C1010" s="32" t="s">
        <v>2557</v>
      </c>
      <c r="D1010" s="18" t="s">
        <v>27</v>
      </c>
      <c r="E1010" s="63" t="s">
        <v>28</v>
      </c>
      <c r="F1010" s="63"/>
      <c r="G1010" s="50" t="s">
        <v>3663</v>
      </c>
      <c r="H1010" s="57">
        <v>17500</v>
      </c>
      <c r="I1010" s="227"/>
      <c r="J1010" s="57">
        <f t="shared" si="142"/>
        <v>17500</v>
      </c>
      <c r="K1010" s="50">
        <v>1</v>
      </c>
      <c r="L1010" s="57">
        <f t="shared" si="143"/>
        <v>17500</v>
      </c>
      <c r="M1010" s="228">
        <f t="shared" si="144"/>
        <v>19250</v>
      </c>
      <c r="N1010" s="18" t="s">
        <v>20</v>
      </c>
      <c r="O1010" s="50"/>
    </row>
    <row r="1011" spans="1:16" ht="21.75" customHeight="1" x14ac:dyDescent="0.4">
      <c r="A1011" s="62">
        <v>45715</v>
      </c>
      <c r="B1011" s="32" t="s">
        <v>148</v>
      </c>
      <c r="C1011" s="32" t="s">
        <v>2557</v>
      </c>
      <c r="D1011" s="18" t="s">
        <v>27</v>
      </c>
      <c r="E1011" s="63" t="s">
        <v>28</v>
      </c>
      <c r="F1011" s="63"/>
      <c r="G1011" s="50" t="s">
        <v>3663</v>
      </c>
      <c r="H1011" s="57">
        <v>17500</v>
      </c>
      <c r="I1011" s="227"/>
      <c r="J1011" s="57">
        <f t="shared" si="142"/>
        <v>17500</v>
      </c>
      <c r="K1011" s="50">
        <v>1</v>
      </c>
      <c r="L1011" s="57">
        <f t="shared" si="143"/>
        <v>17500</v>
      </c>
      <c r="M1011" s="228">
        <f t="shared" si="144"/>
        <v>19250</v>
      </c>
      <c r="N1011" s="18" t="s">
        <v>20</v>
      </c>
      <c r="O1011" s="50"/>
    </row>
    <row r="1012" spans="1:16" ht="21.75" customHeight="1" x14ac:dyDescent="0.4">
      <c r="A1012" s="62">
        <v>45716</v>
      </c>
      <c r="B1012" s="32" t="s">
        <v>633</v>
      </c>
      <c r="C1012" s="32" t="s">
        <v>2557</v>
      </c>
      <c r="D1012" s="18" t="s">
        <v>17</v>
      </c>
      <c r="E1012" s="63" t="s">
        <v>662</v>
      </c>
      <c r="F1012" s="63"/>
      <c r="G1012" s="50" t="s">
        <v>4531</v>
      </c>
      <c r="H1012" s="57">
        <v>1000</v>
      </c>
      <c r="I1012" s="227"/>
      <c r="J1012" s="57">
        <f t="shared" si="142"/>
        <v>1000</v>
      </c>
      <c r="K1012" s="50">
        <v>1</v>
      </c>
      <c r="L1012" s="57">
        <f t="shared" si="143"/>
        <v>1000</v>
      </c>
      <c r="M1012" s="228">
        <f t="shared" si="144"/>
        <v>1100</v>
      </c>
      <c r="N1012" s="18" t="s">
        <v>20</v>
      </c>
      <c r="O1012" s="50"/>
    </row>
    <row r="1013" spans="1:16" ht="21.75" customHeight="1" x14ac:dyDescent="0.4">
      <c r="A1013" s="62">
        <v>45716</v>
      </c>
      <c r="B1013" s="32" t="s">
        <v>1910</v>
      </c>
      <c r="C1013" s="32" t="s">
        <v>2557</v>
      </c>
      <c r="D1013" s="18" t="s">
        <v>22</v>
      </c>
      <c r="E1013" s="63" t="s">
        <v>23</v>
      </c>
      <c r="F1013" s="63"/>
      <c r="G1013" s="50" t="s">
        <v>3937</v>
      </c>
      <c r="H1013" s="57">
        <v>10000</v>
      </c>
      <c r="I1013" s="227"/>
      <c r="J1013" s="57">
        <f t="shared" si="142"/>
        <v>10000</v>
      </c>
      <c r="K1013" s="50">
        <v>1</v>
      </c>
      <c r="L1013" s="57">
        <f t="shared" si="143"/>
        <v>10000</v>
      </c>
      <c r="M1013" s="228">
        <f t="shared" si="144"/>
        <v>11000</v>
      </c>
      <c r="N1013" s="18" t="s">
        <v>34</v>
      </c>
      <c r="O1013" s="50"/>
    </row>
    <row r="1014" spans="1:16" ht="21.75" customHeight="1" x14ac:dyDescent="0.4">
      <c r="A1014" s="62">
        <v>45716</v>
      </c>
      <c r="B1014" s="32" t="s">
        <v>1910</v>
      </c>
      <c r="C1014" s="32" t="s">
        <v>2557</v>
      </c>
      <c r="D1014" s="18" t="s">
        <v>17</v>
      </c>
      <c r="E1014" s="63" t="s">
        <v>328</v>
      </c>
      <c r="F1014" s="63" t="s">
        <v>788</v>
      </c>
      <c r="G1014" s="50" t="s">
        <v>3620</v>
      </c>
      <c r="H1014" s="57">
        <v>70000</v>
      </c>
      <c r="I1014" s="227">
        <v>-21000</v>
      </c>
      <c r="J1014" s="57">
        <f t="shared" si="142"/>
        <v>49000</v>
      </c>
      <c r="K1014" s="50">
        <v>1</v>
      </c>
      <c r="L1014" s="57">
        <f t="shared" si="143"/>
        <v>49000</v>
      </c>
      <c r="M1014" s="228">
        <f t="shared" si="144"/>
        <v>53900</v>
      </c>
      <c r="N1014" s="18" t="s">
        <v>34</v>
      </c>
      <c r="O1014" s="50"/>
      <c r="P1014" s="52" t="s">
        <v>1608</v>
      </c>
    </row>
    <row r="1015" spans="1:16" ht="21.75" customHeight="1" x14ac:dyDescent="0.4">
      <c r="A1015" s="62">
        <v>45716</v>
      </c>
      <c r="B1015" s="32" t="s">
        <v>1910</v>
      </c>
      <c r="C1015" s="32" t="s">
        <v>2557</v>
      </c>
      <c r="D1015" s="96" t="s">
        <v>198</v>
      </c>
      <c r="E1015" s="63"/>
      <c r="F1015" s="63"/>
      <c r="G1015" s="50" t="s">
        <v>2491</v>
      </c>
      <c r="H1015" s="57">
        <v>-10000</v>
      </c>
      <c r="I1015" s="227"/>
      <c r="J1015" s="57">
        <f t="shared" si="142"/>
        <v>-10000</v>
      </c>
      <c r="K1015" s="50">
        <v>1</v>
      </c>
      <c r="L1015" s="57">
        <f t="shared" si="143"/>
        <v>-10000</v>
      </c>
      <c r="M1015" s="238">
        <f t="shared" si="144"/>
        <v>-11000</v>
      </c>
      <c r="N1015" s="18" t="s">
        <v>34</v>
      </c>
      <c r="O1015" s="50"/>
    </row>
    <row r="1016" spans="1:16" ht="21.75" customHeight="1" x14ac:dyDescent="0.4">
      <c r="A1016" s="62">
        <v>45716</v>
      </c>
      <c r="B1016" s="32" t="s">
        <v>3418</v>
      </c>
      <c r="C1016" s="32" t="s">
        <v>4292</v>
      </c>
      <c r="D1016" s="18" t="s">
        <v>17</v>
      </c>
      <c r="E1016" s="63" t="s">
        <v>328</v>
      </c>
      <c r="F1016" s="63" t="s">
        <v>788</v>
      </c>
      <c r="G1016" s="50" t="s">
        <v>4532</v>
      </c>
      <c r="H1016" s="57">
        <v>50000</v>
      </c>
      <c r="I1016" s="227">
        <v>-27500</v>
      </c>
      <c r="J1016" s="57">
        <f t="shared" si="142"/>
        <v>22500</v>
      </c>
      <c r="K1016" s="50">
        <v>1</v>
      </c>
      <c r="L1016" s="57">
        <f t="shared" si="143"/>
        <v>22500</v>
      </c>
      <c r="M1016" s="228">
        <f t="shared" si="144"/>
        <v>24750</v>
      </c>
      <c r="N1016" s="18" t="s">
        <v>34</v>
      </c>
      <c r="O1016" s="50"/>
    </row>
    <row r="1017" spans="1:16" ht="21.75" customHeight="1" x14ac:dyDescent="0.4">
      <c r="A1017" s="62">
        <v>45716</v>
      </c>
      <c r="B1017" s="32" t="s">
        <v>3418</v>
      </c>
      <c r="C1017" s="32" t="s">
        <v>4292</v>
      </c>
      <c r="D1017" s="18" t="s">
        <v>17</v>
      </c>
      <c r="E1017" s="63" t="s">
        <v>332</v>
      </c>
      <c r="F1017" s="63" t="s">
        <v>3554</v>
      </c>
      <c r="G1017" s="50" t="s">
        <v>4533</v>
      </c>
      <c r="H1017" s="57">
        <v>2500</v>
      </c>
      <c r="I1017" s="227">
        <v>-1000</v>
      </c>
      <c r="J1017" s="57">
        <f t="shared" si="142"/>
        <v>1500</v>
      </c>
      <c r="K1017" s="50">
        <v>2</v>
      </c>
      <c r="L1017" s="57">
        <f t="shared" si="143"/>
        <v>3000</v>
      </c>
      <c r="M1017" s="228">
        <f t="shared" si="144"/>
        <v>3300</v>
      </c>
      <c r="N1017" s="18" t="s">
        <v>34</v>
      </c>
      <c r="O1017" s="50"/>
    </row>
    <row r="1018" spans="1:16" ht="21.75" customHeight="1" x14ac:dyDescent="0.4">
      <c r="A1018" s="62">
        <v>45716</v>
      </c>
      <c r="B1018" s="32" t="s">
        <v>582</v>
      </c>
      <c r="C1018" s="32" t="s">
        <v>2557</v>
      </c>
      <c r="D1018" s="18" t="s">
        <v>22</v>
      </c>
      <c r="E1018" s="63" t="s">
        <v>23</v>
      </c>
      <c r="F1018" s="63"/>
      <c r="G1018" s="50" t="s">
        <v>220</v>
      </c>
      <c r="H1018" s="57">
        <v>10000</v>
      </c>
      <c r="I1018" s="227"/>
      <c r="J1018" s="57">
        <f t="shared" si="142"/>
        <v>10000</v>
      </c>
      <c r="K1018" s="50">
        <v>1</v>
      </c>
      <c r="L1018" s="57">
        <f t="shared" si="143"/>
        <v>10000</v>
      </c>
      <c r="M1018" s="228">
        <f t="shared" si="144"/>
        <v>11000</v>
      </c>
      <c r="N1018" s="18" t="s">
        <v>34</v>
      </c>
      <c r="O1018" s="501" t="s">
        <v>4539</v>
      </c>
    </row>
    <row r="1019" spans="1:16" ht="21.75" customHeight="1" x14ac:dyDescent="0.4">
      <c r="A1019" s="62">
        <v>45716</v>
      </c>
      <c r="B1019" s="32" t="s">
        <v>582</v>
      </c>
      <c r="C1019" s="32" t="s">
        <v>2557</v>
      </c>
      <c r="D1019" s="18" t="s">
        <v>17</v>
      </c>
      <c r="E1019" s="63" t="s">
        <v>328</v>
      </c>
      <c r="F1019" s="63" t="s">
        <v>788</v>
      </c>
      <c r="G1019" s="50" t="s">
        <v>4536</v>
      </c>
      <c r="H1019" s="57">
        <v>23000</v>
      </c>
      <c r="I1019" s="227">
        <v>-6900</v>
      </c>
      <c r="J1019" s="57">
        <f t="shared" si="142"/>
        <v>16100</v>
      </c>
      <c r="K1019" s="50">
        <v>2</v>
      </c>
      <c r="L1019" s="57">
        <f t="shared" si="143"/>
        <v>32200</v>
      </c>
      <c r="M1019" s="228">
        <f t="shared" si="144"/>
        <v>35420</v>
      </c>
      <c r="N1019" s="18" t="s">
        <v>34</v>
      </c>
      <c r="O1019" s="499"/>
      <c r="P1019" s="52" t="s">
        <v>1557</v>
      </c>
    </row>
    <row r="1020" spans="1:16" ht="21.75" customHeight="1" x14ac:dyDescent="0.4">
      <c r="A1020" s="62">
        <v>45716</v>
      </c>
      <c r="B1020" s="32" t="s">
        <v>582</v>
      </c>
      <c r="C1020" s="32" t="s">
        <v>2557</v>
      </c>
      <c r="D1020" s="18" t="s">
        <v>17</v>
      </c>
      <c r="E1020" s="63" t="s">
        <v>576</v>
      </c>
      <c r="F1020" s="63" t="s">
        <v>480</v>
      </c>
      <c r="G1020" s="50" t="s">
        <v>4537</v>
      </c>
      <c r="H1020" s="57">
        <v>50000</v>
      </c>
      <c r="I1020" s="227">
        <v>-5000</v>
      </c>
      <c r="J1020" s="57">
        <f t="shared" si="142"/>
        <v>45000</v>
      </c>
      <c r="K1020" s="50">
        <v>1</v>
      </c>
      <c r="L1020" s="57">
        <f t="shared" si="143"/>
        <v>45000</v>
      </c>
      <c r="M1020" s="228">
        <f t="shared" si="144"/>
        <v>49500</v>
      </c>
      <c r="N1020" s="18" t="s">
        <v>34</v>
      </c>
      <c r="O1020" s="499"/>
      <c r="P1020" s="52" t="s">
        <v>1557</v>
      </c>
    </row>
    <row r="1021" spans="1:16" ht="21.75" customHeight="1" x14ac:dyDescent="0.4">
      <c r="A1021" s="62">
        <v>45716</v>
      </c>
      <c r="B1021" s="32" t="s">
        <v>582</v>
      </c>
      <c r="C1021" s="32" t="s">
        <v>2557</v>
      </c>
      <c r="D1021" s="18" t="s">
        <v>17</v>
      </c>
      <c r="E1021" s="63" t="s">
        <v>576</v>
      </c>
      <c r="F1021" s="63" t="s">
        <v>480</v>
      </c>
      <c r="G1021" s="50" t="s">
        <v>4538</v>
      </c>
      <c r="H1021" s="57">
        <v>50000</v>
      </c>
      <c r="I1021" s="227">
        <v>-5000</v>
      </c>
      <c r="J1021" s="57">
        <f t="shared" si="142"/>
        <v>45000</v>
      </c>
      <c r="K1021" s="50">
        <v>1</v>
      </c>
      <c r="L1021" s="57">
        <f t="shared" si="143"/>
        <v>45000</v>
      </c>
      <c r="M1021" s="228">
        <f t="shared" si="144"/>
        <v>49500</v>
      </c>
      <c r="N1021" s="18" t="s">
        <v>34</v>
      </c>
      <c r="O1021" s="499"/>
      <c r="P1021" s="52" t="s">
        <v>1557</v>
      </c>
    </row>
    <row r="1022" spans="1:16" ht="21.75" customHeight="1" x14ac:dyDescent="0.4">
      <c r="A1022" s="62">
        <v>45716</v>
      </c>
      <c r="B1022" s="32" t="s">
        <v>582</v>
      </c>
      <c r="C1022" s="32" t="s">
        <v>2557</v>
      </c>
      <c r="D1022" s="96" t="s">
        <v>198</v>
      </c>
      <c r="E1022" s="63"/>
      <c r="F1022" s="63"/>
      <c r="G1022" s="50" t="s">
        <v>2491</v>
      </c>
      <c r="H1022" s="57">
        <v>-10000</v>
      </c>
      <c r="I1022" s="227"/>
      <c r="J1022" s="57">
        <f t="shared" si="142"/>
        <v>-10000</v>
      </c>
      <c r="K1022" s="50">
        <v>1</v>
      </c>
      <c r="L1022" s="57">
        <f t="shared" si="143"/>
        <v>-10000</v>
      </c>
      <c r="M1022" s="238">
        <f t="shared" si="144"/>
        <v>-11000</v>
      </c>
      <c r="N1022" s="18" t="s">
        <v>34</v>
      </c>
      <c r="O1022" s="491"/>
    </row>
    <row r="1023" spans="1:16" ht="21.75" customHeight="1" x14ac:dyDescent="0.4">
      <c r="A1023" s="62">
        <v>45717</v>
      </c>
      <c r="B1023" s="32" t="s">
        <v>4293</v>
      </c>
      <c r="C1023" s="32" t="s">
        <v>2557</v>
      </c>
      <c r="D1023" s="18" t="s">
        <v>27</v>
      </c>
      <c r="E1023" s="63" t="s">
        <v>28</v>
      </c>
      <c r="F1023" s="63"/>
      <c r="G1023" s="50" t="s">
        <v>3663</v>
      </c>
      <c r="H1023" s="57">
        <v>17500</v>
      </c>
      <c r="I1023" s="227"/>
      <c r="J1023" s="57">
        <f t="shared" ref="J1023" si="145">SUM(H1023:I1023)</f>
        <v>17500</v>
      </c>
      <c r="K1023" s="50">
        <v>1</v>
      </c>
      <c r="L1023" s="57">
        <f t="shared" ref="L1023:L1024" si="146">SUM(J1023*K1023)</f>
        <v>17500</v>
      </c>
      <c r="M1023" s="228">
        <f t="shared" ref="M1023:M1024" si="147">ROUNDDOWN(L1023*1.1,0)</f>
        <v>19250</v>
      </c>
      <c r="N1023" s="18" t="s">
        <v>25</v>
      </c>
      <c r="O1023" s="50"/>
    </row>
    <row r="1024" spans="1:16" ht="21.75" customHeight="1" x14ac:dyDescent="0.4">
      <c r="A1024" s="62">
        <v>45717</v>
      </c>
      <c r="B1024" s="32" t="s">
        <v>4534</v>
      </c>
      <c r="C1024" s="32" t="s">
        <v>4313</v>
      </c>
      <c r="D1024" s="18" t="s">
        <v>22</v>
      </c>
      <c r="E1024" s="63" t="s">
        <v>1496</v>
      </c>
      <c r="F1024" s="63"/>
      <c r="G1024" s="50" t="s">
        <v>49</v>
      </c>
      <c r="H1024" s="57">
        <v>3000</v>
      </c>
      <c r="I1024" s="227"/>
      <c r="J1024" s="57">
        <f t="shared" ref="J1024" si="148">SUM(H1024:I1024)</f>
        <v>3000</v>
      </c>
      <c r="K1024" s="50">
        <v>1</v>
      </c>
      <c r="L1024" s="57">
        <f t="shared" si="146"/>
        <v>3000</v>
      </c>
      <c r="M1024" s="228">
        <f t="shared" si="147"/>
        <v>3300</v>
      </c>
      <c r="N1024" s="18" t="s">
        <v>20</v>
      </c>
      <c r="O1024" s="50"/>
    </row>
    <row r="1025" spans="1:29" ht="21.75" customHeight="1" x14ac:dyDescent="0.4">
      <c r="A1025" s="62">
        <v>45717</v>
      </c>
      <c r="B1025" s="32" t="s">
        <v>4535</v>
      </c>
      <c r="C1025" s="32" t="s">
        <v>4313</v>
      </c>
      <c r="D1025" s="18" t="s">
        <v>22</v>
      </c>
      <c r="E1025" s="63" t="s">
        <v>1496</v>
      </c>
      <c r="F1025" s="63"/>
      <c r="G1025" s="50" t="s">
        <v>49</v>
      </c>
      <c r="H1025" s="57">
        <v>3000</v>
      </c>
      <c r="I1025" s="227"/>
      <c r="J1025" s="57">
        <f t="shared" ref="J1025" si="149">SUM(H1025:I1025)</f>
        <v>3000</v>
      </c>
      <c r="K1025" s="50">
        <v>1</v>
      </c>
      <c r="L1025" s="57">
        <f t="shared" ref="L1025" si="150">SUM(J1025*K1025)</f>
        <v>3000</v>
      </c>
      <c r="M1025" s="228">
        <f t="shared" ref="M1025" si="151">ROUNDDOWN(L1025*1.1,0)</f>
        <v>3300</v>
      </c>
      <c r="N1025" s="18" t="s">
        <v>20</v>
      </c>
      <c r="O1025" s="50"/>
    </row>
    <row r="1026" spans="1:29" ht="21.75" customHeight="1" x14ac:dyDescent="0.4">
      <c r="A1026" s="62">
        <v>45717</v>
      </c>
      <c r="B1026" s="32" t="s">
        <v>2970</v>
      </c>
      <c r="C1026" s="32" t="s">
        <v>4313</v>
      </c>
      <c r="D1026" s="18" t="s">
        <v>22</v>
      </c>
      <c r="E1026" s="63" t="s">
        <v>1496</v>
      </c>
      <c r="F1026" s="63"/>
      <c r="G1026" s="76" t="s">
        <v>955</v>
      </c>
      <c r="H1026" s="57">
        <v>7500</v>
      </c>
      <c r="I1026" s="227"/>
      <c r="J1026" s="57">
        <f t="shared" ref="J1026" si="152">SUM(H1026:I1026)</f>
        <v>7500</v>
      </c>
      <c r="K1026" s="50">
        <v>1</v>
      </c>
      <c r="L1026" s="57">
        <f t="shared" ref="L1026" si="153">SUM(J1026*K1026)</f>
        <v>7500</v>
      </c>
      <c r="M1026" s="228">
        <f t="shared" ref="M1026" si="154">ROUNDDOWN(L1026*1.1,0)</f>
        <v>8250</v>
      </c>
      <c r="N1026" s="18" t="s">
        <v>20</v>
      </c>
      <c r="O1026" s="50"/>
      <c r="T1026" s="2"/>
      <c r="U1026" s="39"/>
      <c r="V1026" s="38"/>
      <c r="W1026" s="38"/>
      <c r="Z1026" s="2"/>
      <c r="AA1026" s="2"/>
    </row>
    <row r="1027" spans="1:29" ht="21.75" customHeight="1" x14ac:dyDescent="0.4">
      <c r="A1027" s="62">
        <v>45718</v>
      </c>
      <c r="B1027" s="32" t="s">
        <v>503</v>
      </c>
      <c r="C1027" s="32" t="s">
        <v>2557</v>
      </c>
      <c r="D1027" s="18" t="s">
        <v>17</v>
      </c>
      <c r="E1027" s="63" t="s">
        <v>426</v>
      </c>
      <c r="F1027" s="63" t="s">
        <v>994</v>
      </c>
      <c r="G1027" s="50" t="s">
        <v>3844</v>
      </c>
      <c r="H1027" s="57">
        <v>1800</v>
      </c>
      <c r="I1027" s="227">
        <v>-180</v>
      </c>
      <c r="J1027" s="57">
        <f t="shared" si="142"/>
        <v>1620</v>
      </c>
      <c r="K1027" s="50">
        <v>3</v>
      </c>
      <c r="L1027" s="57">
        <f t="shared" si="143"/>
        <v>4860</v>
      </c>
      <c r="M1027" s="228">
        <f t="shared" si="144"/>
        <v>5346</v>
      </c>
      <c r="N1027" s="18" t="s">
        <v>25</v>
      </c>
      <c r="O1027" s="50"/>
    </row>
    <row r="1028" spans="1:29" ht="21.75" customHeight="1" x14ac:dyDescent="0.4">
      <c r="A1028" s="62">
        <v>45718</v>
      </c>
      <c r="B1028" s="32" t="s">
        <v>4540</v>
      </c>
      <c r="C1028" s="32" t="s">
        <v>405</v>
      </c>
      <c r="D1028" s="18" t="s">
        <v>22</v>
      </c>
      <c r="E1028" s="63" t="s">
        <v>1496</v>
      </c>
      <c r="F1028" s="63"/>
      <c r="G1028" s="50" t="s">
        <v>49</v>
      </c>
      <c r="H1028" s="57">
        <v>3000</v>
      </c>
      <c r="I1028" s="227"/>
      <c r="J1028" s="57">
        <f t="shared" si="142"/>
        <v>3000</v>
      </c>
      <c r="K1028" s="50">
        <v>1</v>
      </c>
      <c r="L1028" s="57">
        <f t="shared" si="143"/>
        <v>3000</v>
      </c>
      <c r="M1028" s="228">
        <f t="shared" si="144"/>
        <v>3300</v>
      </c>
      <c r="N1028" s="18" t="s">
        <v>20</v>
      </c>
      <c r="O1028" s="50"/>
    </row>
    <row r="1029" spans="1:29" ht="21.75" customHeight="1" x14ac:dyDescent="0.4">
      <c r="A1029" s="62">
        <v>45719</v>
      </c>
      <c r="B1029" s="32" t="s">
        <v>4591</v>
      </c>
      <c r="C1029" s="32" t="s">
        <v>405</v>
      </c>
      <c r="D1029" s="96" t="s">
        <v>198</v>
      </c>
      <c r="E1029" s="63" t="s">
        <v>1496</v>
      </c>
      <c r="F1029" s="63"/>
      <c r="G1029" s="50" t="s">
        <v>49</v>
      </c>
      <c r="H1029" s="57">
        <v>3000</v>
      </c>
      <c r="I1029" s="227"/>
      <c r="J1029" s="57">
        <f t="shared" si="142"/>
        <v>3000</v>
      </c>
      <c r="K1029" s="50">
        <v>-1</v>
      </c>
      <c r="L1029" s="57">
        <f t="shared" si="143"/>
        <v>-3000</v>
      </c>
      <c r="M1029" s="238">
        <f t="shared" si="144"/>
        <v>-3300</v>
      </c>
      <c r="N1029" s="18" t="s">
        <v>4233</v>
      </c>
      <c r="O1029" s="50" t="s">
        <v>4592</v>
      </c>
    </row>
    <row r="1030" spans="1:29" ht="21.75" customHeight="1" x14ac:dyDescent="0.4">
      <c r="A1030" s="62">
        <v>45719</v>
      </c>
      <c r="B1030" s="32" t="s">
        <v>4174</v>
      </c>
      <c r="C1030" s="32" t="s">
        <v>2557</v>
      </c>
      <c r="D1030" s="18" t="s">
        <v>27</v>
      </c>
      <c r="E1030" s="63" t="s">
        <v>28</v>
      </c>
      <c r="F1030" s="63"/>
      <c r="G1030" s="50" t="s">
        <v>73</v>
      </c>
      <c r="H1030" s="57">
        <v>2000</v>
      </c>
      <c r="I1030" s="227"/>
      <c r="J1030" s="57">
        <f t="shared" si="142"/>
        <v>2000</v>
      </c>
      <c r="K1030" s="50">
        <v>3</v>
      </c>
      <c r="L1030" s="57">
        <f t="shared" si="143"/>
        <v>6000</v>
      </c>
      <c r="M1030" s="228">
        <f t="shared" si="144"/>
        <v>6600</v>
      </c>
      <c r="N1030" s="18" t="s">
        <v>25</v>
      </c>
      <c r="O1030" s="50" t="s">
        <v>4541</v>
      </c>
    </row>
    <row r="1031" spans="1:29" ht="21.75" customHeight="1" x14ac:dyDescent="0.4">
      <c r="A1031" s="62">
        <v>45720</v>
      </c>
      <c r="B1031" s="32" t="s">
        <v>4593</v>
      </c>
      <c r="C1031" s="32" t="s">
        <v>4313</v>
      </c>
      <c r="D1031" s="18" t="s">
        <v>22</v>
      </c>
      <c r="E1031" s="63" t="s">
        <v>1496</v>
      </c>
      <c r="F1031" s="63"/>
      <c r="G1031" s="50" t="s">
        <v>49</v>
      </c>
      <c r="H1031" s="57">
        <v>3000</v>
      </c>
      <c r="I1031" s="227"/>
      <c r="J1031" s="57">
        <f t="shared" si="142"/>
        <v>3000</v>
      </c>
      <c r="K1031" s="50">
        <v>1</v>
      </c>
      <c r="L1031" s="57">
        <f t="shared" si="143"/>
        <v>3000</v>
      </c>
      <c r="M1031" s="228">
        <f t="shared" si="144"/>
        <v>3300</v>
      </c>
      <c r="N1031" s="18" t="s">
        <v>4386</v>
      </c>
      <c r="O1031" s="50"/>
    </row>
    <row r="1032" spans="1:29" ht="21.75" customHeight="1" x14ac:dyDescent="0.4">
      <c r="A1032" s="62">
        <v>45721</v>
      </c>
      <c r="B1032" s="32" t="s">
        <v>2878</v>
      </c>
      <c r="C1032" s="32" t="s">
        <v>4292</v>
      </c>
      <c r="D1032" s="18" t="s">
        <v>17</v>
      </c>
      <c r="E1032" s="63" t="s">
        <v>845</v>
      </c>
      <c r="F1032" s="63"/>
      <c r="G1032" s="50" t="s">
        <v>4551</v>
      </c>
      <c r="H1032" s="57">
        <v>1000</v>
      </c>
      <c r="I1032" s="227">
        <v>-400</v>
      </c>
      <c r="J1032" s="57">
        <f t="shared" si="142"/>
        <v>600</v>
      </c>
      <c r="K1032" s="50">
        <v>1</v>
      </c>
      <c r="L1032" s="57">
        <f t="shared" si="143"/>
        <v>600</v>
      </c>
      <c r="M1032" s="228">
        <f t="shared" si="144"/>
        <v>660</v>
      </c>
      <c r="N1032" s="18" t="s">
        <v>20</v>
      </c>
      <c r="O1032" s="50"/>
    </row>
    <row r="1033" spans="1:29" ht="21.75" customHeight="1" x14ac:dyDescent="0.4">
      <c r="A1033" s="62">
        <v>45721</v>
      </c>
      <c r="B1033" s="32" t="s">
        <v>4478</v>
      </c>
      <c r="C1033" s="32" t="s">
        <v>2557</v>
      </c>
      <c r="D1033" s="18" t="s">
        <v>17</v>
      </c>
      <c r="E1033" s="63" t="s">
        <v>332</v>
      </c>
      <c r="F1033" s="63" t="s">
        <v>3553</v>
      </c>
      <c r="G1033" s="50" t="s">
        <v>3668</v>
      </c>
      <c r="H1033" s="57">
        <v>1600</v>
      </c>
      <c r="I1033" s="227">
        <v>-160</v>
      </c>
      <c r="J1033" s="57">
        <f t="shared" si="142"/>
        <v>1440</v>
      </c>
      <c r="K1033" s="50">
        <v>1</v>
      </c>
      <c r="L1033" s="57">
        <f t="shared" si="143"/>
        <v>1440</v>
      </c>
      <c r="M1033" s="228">
        <f t="shared" si="144"/>
        <v>1584</v>
      </c>
      <c r="N1033" s="18" t="s">
        <v>25</v>
      </c>
      <c r="O1033" s="50"/>
    </row>
    <row r="1034" spans="1:29" ht="21.75" customHeight="1" x14ac:dyDescent="0.4">
      <c r="A1034" s="62">
        <v>45721</v>
      </c>
      <c r="B1034" s="32" t="s">
        <v>1694</v>
      </c>
      <c r="C1034" s="32" t="s">
        <v>4292</v>
      </c>
      <c r="D1034" s="18" t="s">
        <v>17</v>
      </c>
      <c r="E1034" s="63" t="s">
        <v>4362</v>
      </c>
      <c r="F1034" s="63" t="s">
        <v>3553</v>
      </c>
      <c r="G1034" s="50" t="s">
        <v>4552</v>
      </c>
      <c r="H1034" s="57">
        <v>9800</v>
      </c>
      <c r="I1034" s="227">
        <v>-1470</v>
      </c>
      <c r="J1034" s="57">
        <f t="shared" si="142"/>
        <v>8330</v>
      </c>
      <c r="K1034" s="50">
        <v>1</v>
      </c>
      <c r="L1034" s="57">
        <f t="shared" si="143"/>
        <v>8330</v>
      </c>
      <c r="M1034" s="228">
        <f t="shared" si="144"/>
        <v>9163</v>
      </c>
      <c r="N1034" s="18" t="s">
        <v>25</v>
      </c>
      <c r="O1034" s="50"/>
    </row>
    <row r="1035" spans="1:29" ht="21.75" customHeight="1" x14ac:dyDescent="0.4">
      <c r="A1035" s="62">
        <v>45722</v>
      </c>
      <c r="B1035" s="32" t="s">
        <v>4530</v>
      </c>
      <c r="C1035" s="32" t="s">
        <v>405</v>
      </c>
      <c r="D1035" s="18" t="s">
        <v>17</v>
      </c>
      <c r="E1035" s="63" t="s">
        <v>330</v>
      </c>
      <c r="F1035" s="63" t="s">
        <v>790</v>
      </c>
      <c r="G1035" s="50" t="s">
        <v>3819</v>
      </c>
      <c r="H1035" s="57">
        <v>5000</v>
      </c>
      <c r="I1035" s="227"/>
      <c r="J1035" s="57">
        <f t="shared" si="142"/>
        <v>5000</v>
      </c>
      <c r="K1035" s="50">
        <v>1</v>
      </c>
      <c r="L1035" s="57">
        <f t="shared" si="143"/>
        <v>5000</v>
      </c>
      <c r="M1035" s="228">
        <f t="shared" si="144"/>
        <v>5500</v>
      </c>
      <c r="N1035" s="18" t="s">
        <v>20</v>
      </c>
      <c r="O1035" s="50"/>
      <c r="P1035" s="52" t="s">
        <v>2141</v>
      </c>
    </row>
    <row r="1036" spans="1:29" ht="21.75" customHeight="1" x14ac:dyDescent="0.4">
      <c r="A1036" s="62">
        <v>45722</v>
      </c>
      <c r="B1036" s="32" t="s">
        <v>1059</v>
      </c>
      <c r="C1036" s="32" t="s">
        <v>2557</v>
      </c>
      <c r="D1036" s="18" t="s">
        <v>17</v>
      </c>
      <c r="E1036" s="63" t="s">
        <v>330</v>
      </c>
      <c r="F1036" s="63" t="s">
        <v>3543</v>
      </c>
      <c r="G1036" s="50" t="s">
        <v>3819</v>
      </c>
      <c r="H1036" s="57">
        <v>5500</v>
      </c>
      <c r="I1036" s="227"/>
      <c r="J1036" s="57">
        <f t="shared" si="142"/>
        <v>5500</v>
      </c>
      <c r="K1036" s="50">
        <v>1</v>
      </c>
      <c r="L1036" s="57">
        <f t="shared" si="143"/>
        <v>5500</v>
      </c>
      <c r="M1036" s="228">
        <f t="shared" si="144"/>
        <v>6050</v>
      </c>
      <c r="N1036" s="18" t="s">
        <v>25</v>
      </c>
      <c r="O1036" s="50"/>
    </row>
    <row r="1037" spans="1:29" s="35" customFormat="1" ht="21.75" customHeight="1" x14ac:dyDescent="0.4">
      <c r="A1037" s="190">
        <v>45722</v>
      </c>
      <c r="B1037" s="191" t="s">
        <v>179</v>
      </c>
      <c r="C1037" s="192" t="s">
        <v>2557</v>
      </c>
      <c r="D1037" s="192" t="s">
        <v>17</v>
      </c>
      <c r="E1037" s="193" t="s">
        <v>455</v>
      </c>
      <c r="F1037" s="193" t="s">
        <v>4598</v>
      </c>
      <c r="G1037" s="159" t="s">
        <v>4583</v>
      </c>
      <c r="H1037" s="186">
        <v>1700</v>
      </c>
      <c r="I1037" s="265">
        <v>-170</v>
      </c>
      <c r="J1037" s="186">
        <f t="shared" ref="J1037" si="155">SUM(H1037:I1037)</f>
        <v>1530</v>
      </c>
      <c r="K1037" s="159">
        <v>2</v>
      </c>
      <c r="L1037" s="186">
        <f t="shared" ref="L1037" si="156">SUM(J1037*K1037)</f>
        <v>3060</v>
      </c>
      <c r="M1037" s="231">
        <f t="shared" ref="M1037" si="157">ROUNDDOWN(L1037*1.1,0)</f>
        <v>3366</v>
      </c>
      <c r="N1037" s="192" t="s">
        <v>20</v>
      </c>
      <c r="O1037" s="89"/>
      <c r="P1037" s="192"/>
      <c r="Q1037" s="159"/>
      <c r="R1037" s="189"/>
      <c r="S1037" s="189"/>
      <c r="T1037" s="189"/>
      <c r="U1037" s="189"/>
      <c r="V1037" s="189"/>
      <c r="W1037" s="189"/>
      <c r="Y1037" s="259"/>
      <c r="Z1037" s="260"/>
      <c r="AA1037" s="260"/>
      <c r="AB1037" s="260"/>
      <c r="AC1037" s="260"/>
    </row>
    <row r="1038" spans="1:29" ht="21.75" customHeight="1" x14ac:dyDescent="0.4">
      <c r="A1038" s="62">
        <v>45722</v>
      </c>
      <c r="B1038" s="32" t="s">
        <v>503</v>
      </c>
      <c r="C1038" s="32" t="s">
        <v>2557</v>
      </c>
      <c r="D1038" s="18" t="s">
        <v>17</v>
      </c>
      <c r="E1038" s="63" t="s">
        <v>292</v>
      </c>
      <c r="F1038" s="63" t="s">
        <v>1051</v>
      </c>
      <c r="G1038" s="50" t="s">
        <v>4012</v>
      </c>
      <c r="H1038" s="57">
        <v>5200</v>
      </c>
      <c r="I1038" s="227"/>
      <c r="J1038" s="57">
        <f t="shared" si="142"/>
        <v>5200</v>
      </c>
      <c r="K1038" s="50">
        <v>2</v>
      </c>
      <c r="L1038" s="57">
        <f t="shared" si="143"/>
        <v>10400</v>
      </c>
      <c r="M1038" s="228">
        <f t="shared" si="144"/>
        <v>11440</v>
      </c>
      <c r="N1038" s="18" t="s">
        <v>34</v>
      </c>
      <c r="O1038" s="50"/>
    </row>
    <row r="1039" spans="1:29" ht="21.75" customHeight="1" x14ac:dyDescent="0.4">
      <c r="A1039" s="62">
        <v>45723</v>
      </c>
      <c r="B1039" s="32" t="s">
        <v>4280</v>
      </c>
      <c r="C1039" s="32" t="s">
        <v>2557</v>
      </c>
      <c r="D1039" s="18" t="s">
        <v>17</v>
      </c>
      <c r="E1039" s="63" t="s">
        <v>332</v>
      </c>
      <c r="F1039" s="63" t="s">
        <v>3553</v>
      </c>
      <c r="G1039" s="50" t="s">
        <v>4553</v>
      </c>
      <c r="H1039" s="57">
        <v>1800</v>
      </c>
      <c r="I1039" s="227">
        <v>-180</v>
      </c>
      <c r="J1039" s="57">
        <f t="shared" si="142"/>
        <v>1620</v>
      </c>
      <c r="K1039" s="50">
        <v>1</v>
      </c>
      <c r="L1039" s="57">
        <f t="shared" si="143"/>
        <v>1620</v>
      </c>
      <c r="M1039" s="228">
        <f t="shared" si="144"/>
        <v>1782</v>
      </c>
      <c r="N1039" s="18" t="s">
        <v>25</v>
      </c>
      <c r="O1039" s="50"/>
    </row>
    <row r="1040" spans="1:29" ht="21.75" customHeight="1" x14ac:dyDescent="0.4">
      <c r="A1040" s="62">
        <v>45723</v>
      </c>
      <c r="B1040" s="32" t="s">
        <v>139</v>
      </c>
      <c r="C1040" s="32" t="s">
        <v>2557</v>
      </c>
      <c r="D1040" s="18" t="s">
        <v>17</v>
      </c>
      <c r="E1040" s="63" t="s">
        <v>4556</v>
      </c>
      <c r="F1040" s="63"/>
      <c r="G1040" s="50" t="s">
        <v>4554</v>
      </c>
      <c r="H1040" s="57">
        <v>5900</v>
      </c>
      <c r="I1040" s="227"/>
      <c r="J1040" s="57">
        <f t="shared" si="142"/>
        <v>5900</v>
      </c>
      <c r="K1040" s="50">
        <v>1</v>
      </c>
      <c r="L1040" s="57">
        <f t="shared" si="143"/>
        <v>5900</v>
      </c>
      <c r="M1040" s="228">
        <f t="shared" si="144"/>
        <v>6490</v>
      </c>
      <c r="N1040" s="18" t="s">
        <v>34</v>
      </c>
      <c r="O1040" s="50"/>
    </row>
    <row r="1041" spans="1:29" ht="21.75" customHeight="1" x14ac:dyDescent="0.4">
      <c r="A1041" s="62">
        <v>45723</v>
      </c>
      <c r="B1041" s="32" t="s">
        <v>139</v>
      </c>
      <c r="C1041" s="32" t="s">
        <v>2557</v>
      </c>
      <c r="D1041" s="18" t="s">
        <v>17</v>
      </c>
      <c r="E1041" s="63" t="s">
        <v>3124</v>
      </c>
      <c r="F1041" s="63"/>
      <c r="G1041" s="50" t="s">
        <v>4555</v>
      </c>
      <c r="H1041" s="57">
        <v>13980</v>
      </c>
      <c r="I1041" s="227"/>
      <c r="J1041" s="57">
        <f t="shared" si="142"/>
        <v>13980</v>
      </c>
      <c r="K1041" s="50">
        <v>1</v>
      </c>
      <c r="L1041" s="57">
        <f t="shared" si="143"/>
        <v>13980</v>
      </c>
      <c r="M1041" s="228">
        <f t="shared" si="144"/>
        <v>15378</v>
      </c>
      <c r="N1041" s="18" t="s">
        <v>34</v>
      </c>
      <c r="O1041" s="50"/>
    </row>
    <row r="1042" spans="1:29" ht="21.75" customHeight="1" x14ac:dyDescent="0.4">
      <c r="A1042" s="62">
        <v>45723</v>
      </c>
      <c r="B1042" s="32" t="s">
        <v>2363</v>
      </c>
      <c r="C1042" s="32" t="s">
        <v>2557</v>
      </c>
      <c r="D1042" s="18" t="s">
        <v>22</v>
      </c>
      <c r="E1042" s="63" t="s">
        <v>23</v>
      </c>
      <c r="F1042" s="63"/>
      <c r="G1042" s="50" t="s">
        <v>220</v>
      </c>
      <c r="H1042" s="57">
        <v>10000</v>
      </c>
      <c r="I1042" s="227"/>
      <c r="J1042" s="57">
        <f t="shared" si="142"/>
        <v>10000</v>
      </c>
      <c r="K1042" s="50">
        <v>1</v>
      </c>
      <c r="L1042" s="57">
        <f t="shared" si="143"/>
        <v>10000</v>
      </c>
      <c r="M1042" s="228">
        <f t="shared" si="144"/>
        <v>11000</v>
      </c>
      <c r="N1042" s="18" t="s">
        <v>20</v>
      </c>
      <c r="O1042" s="50"/>
      <c r="P1042" s="52" t="s">
        <v>2141</v>
      </c>
    </row>
    <row r="1043" spans="1:29" ht="21.75" customHeight="1" x14ac:dyDescent="0.4">
      <c r="A1043" s="62">
        <v>45723</v>
      </c>
      <c r="B1043" s="32" t="s">
        <v>2363</v>
      </c>
      <c r="C1043" s="32" t="s">
        <v>2557</v>
      </c>
      <c r="D1043" s="18" t="s">
        <v>17</v>
      </c>
      <c r="E1043" s="63" t="s">
        <v>328</v>
      </c>
      <c r="F1043" s="63" t="s">
        <v>788</v>
      </c>
      <c r="G1043" s="50" t="s">
        <v>3620</v>
      </c>
      <c r="H1043" s="57">
        <v>70000</v>
      </c>
      <c r="I1043" s="227">
        <v>-21000</v>
      </c>
      <c r="J1043" s="57">
        <f t="shared" si="142"/>
        <v>49000</v>
      </c>
      <c r="K1043" s="50">
        <v>1</v>
      </c>
      <c r="L1043" s="57">
        <f t="shared" si="143"/>
        <v>49000</v>
      </c>
      <c r="M1043" s="228">
        <f t="shared" si="144"/>
        <v>53900</v>
      </c>
      <c r="N1043" s="18" t="s">
        <v>20</v>
      </c>
      <c r="O1043" s="50"/>
      <c r="P1043" s="52" t="s">
        <v>1557</v>
      </c>
    </row>
    <row r="1044" spans="1:29" ht="21.75" customHeight="1" x14ac:dyDescent="0.4">
      <c r="A1044" s="62">
        <v>45723</v>
      </c>
      <c r="B1044" s="32" t="s">
        <v>2363</v>
      </c>
      <c r="C1044" s="32" t="s">
        <v>2557</v>
      </c>
      <c r="D1044" s="18" t="s">
        <v>17</v>
      </c>
      <c r="E1044" s="63" t="s">
        <v>332</v>
      </c>
      <c r="F1044" s="63" t="s">
        <v>3555</v>
      </c>
      <c r="G1044" s="50" t="s">
        <v>4557</v>
      </c>
      <c r="H1044" s="57">
        <v>1300</v>
      </c>
      <c r="I1044" s="227">
        <v>-130</v>
      </c>
      <c r="J1044" s="57">
        <f t="shared" si="142"/>
        <v>1170</v>
      </c>
      <c r="K1044" s="50">
        <v>1</v>
      </c>
      <c r="L1044" s="57">
        <f t="shared" si="143"/>
        <v>1170</v>
      </c>
      <c r="M1044" s="228">
        <f t="shared" si="144"/>
        <v>1287</v>
      </c>
      <c r="N1044" s="18" t="s">
        <v>20</v>
      </c>
      <c r="O1044" s="50"/>
      <c r="P1044" s="52" t="s">
        <v>1557</v>
      </c>
    </row>
    <row r="1045" spans="1:29" ht="21.75" customHeight="1" x14ac:dyDescent="0.4">
      <c r="A1045" s="190">
        <v>45723</v>
      </c>
      <c r="B1045" s="191" t="s">
        <v>4607</v>
      </c>
      <c r="C1045" s="191" t="s">
        <v>405</v>
      </c>
      <c r="D1045" s="192" t="s">
        <v>22</v>
      </c>
      <c r="E1045" s="193" t="s">
        <v>1496</v>
      </c>
      <c r="F1045" s="193"/>
      <c r="G1045" s="159" t="s">
        <v>49</v>
      </c>
      <c r="H1045" s="186">
        <v>3000</v>
      </c>
      <c r="I1045" s="265"/>
      <c r="J1045" s="186">
        <f t="shared" ref="J1045" si="158">SUM(H1045:I1045)</f>
        <v>3000</v>
      </c>
      <c r="K1045" s="159">
        <v>2</v>
      </c>
      <c r="L1045" s="186">
        <f t="shared" ref="L1045" si="159">SUM(J1045*K1045)</f>
        <v>6000</v>
      </c>
      <c r="M1045" s="231">
        <f t="shared" ref="M1045" si="160">ROUNDDOWN(L1045*1.1,0)</f>
        <v>6600</v>
      </c>
      <c r="N1045" s="192" t="s">
        <v>25</v>
      </c>
      <c r="O1045" s="159" t="s">
        <v>4608</v>
      </c>
      <c r="P1045" s="18"/>
      <c r="Q1045" s="50"/>
      <c r="V1045" s="52"/>
      <c r="W1045" s="52"/>
      <c r="X1045" s="2"/>
      <c r="Y1045" s="39"/>
      <c r="AB1045" s="38"/>
      <c r="AC1045" s="38"/>
    </row>
    <row r="1046" spans="1:29" ht="21.75" customHeight="1" x14ac:dyDescent="0.4">
      <c r="A1046" s="62">
        <v>45724</v>
      </c>
      <c r="B1046" s="32" t="s">
        <v>3506</v>
      </c>
      <c r="C1046" s="32" t="s">
        <v>2557</v>
      </c>
      <c r="D1046" s="18" t="s">
        <v>27</v>
      </c>
      <c r="E1046" s="63" t="s">
        <v>28</v>
      </c>
      <c r="F1046" s="63"/>
      <c r="G1046" s="50" t="s">
        <v>4018</v>
      </c>
      <c r="H1046" s="57">
        <v>8500</v>
      </c>
      <c r="I1046" s="227"/>
      <c r="J1046" s="57">
        <f t="shared" si="142"/>
        <v>8500</v>
      </c>
      <c r="K1046" s="50">
        <v>1</v>
      </c>
      <c r="L1046" s="57">
        <f t="shared" si="143"/>
        <v>8500</v>
      </c>
      <c r="M1046" s="228">
        <f t="shared" si="144"/>
        <v>9350</v>
      </c>
      <c r="N1046" s="18" t="s">
        <v>25</v>
      </c>
      <c r="O1046" s="50"/>
    </row>
    <row r="1047" spans="1:29" ht="21.75" customHeight="1" x14ac:dyDescent="0.4">
      <c r="A1047" s="62">
        <v>45724</v>
      </c>
      <c r="B1047" s="32" t="s">
        <v>4558</v>
      </c>
      <c r="C1047" s="32" t="s">
        <v>405</v>
      </c>
      <c r="D1047" s="18" t="s">
        <v>17</v>
      </c>
      <c r="E1047" s="63" t="s">
        <v>328</v>
      </c>
      <c r="F1047" s="63" t="s">
        <v>3598</v>
      </c>
      <c r="G1047" s="50" t="s">
        <v>3950</v>
      </c>
      <c r="H1047" s="57">
        <v>45000</v>
      </c>
      <c r="I1047" s="227">
        <v>-9000</v>
      </c>
      <c r="J1047" s="57">
        <f t="shared" si="142"/>
        <v>36000</v>
      </c>
      <c r="K1047" s="50">
        <v>1</v>
      </c>
      <c r="L1047" s="57">
        <f t="shared" si="143"/>
        <v>36000</v>
      </c>
      <c r="M1047" s="228">
        <f t="shared" si="144"/>
        <v>39600</v>
      </c>
      <c r="N1047" s="18" t="s">
        <v>34</v>
      </c>
      <c r="O1047" s="50"/>
      <c r="P1047" s="52" t="s">
        <v>1557</v>
      </c>
    </row>
    <row r="1048" spans="1:29" ht="21.75" customHeight="1" x14ac:dyDescent="0.4">
      <c r="A1048" s="62">
        <v>45724</v>
      </c>
      <c r="B1048" s="32" t="s">
        <v>4558</v>
      </c>
      <c r="C1048" s="32" t="s">
        <v>405</v>
      </c>
      <c r="D1048" s="18" t="s">
        <v>17</v>
      </c>
      <c r="E1048" s="63" t="s">
        <v>328</v>
      </c>
      <c r="F1048" s="63" t="s">
        <v>3598</v>
      </c>
      <c r="G1048" s="50" t="s">
        <v>4559</v>
      </c>
      <c r="H1048" s="57">
        <v>33000</v>
      </c>
      <c r="I1048" s="227">
        <v>-6600</v>
      </c>
      <c r="J1048" s="57">
        <f t="shared" si="142"/>
        <v>26400</v>
      </c>
      <c r="K1048" s="50">
        <v>2</v>
      </c>
      <c r="L1048" s="57">
        <f t="shared" si="143"/>
        <v>52800</v>
      </c>
      <c r="M1048" s="228">
        <f t="shared" si="144"/>
        <v>58080</v>
      </c>
      <c r="N1048" s="18" t="s">
        <v>34</v>
      </c>
      <c r="O1048" s="50"/>
      <c r="P1048" s="52" t="s">
        <v>1557</v>
      </c>
    </row>
    <row r="1049" spans="1:29" ht="21.75" customHeight="1" x14ac:dyDescent="0.4">
      <c r="A1049" s="62">
        <v>45724</v>
      </c>
      <c r="B1049" s="32" t="s">
        <v>4558</v>
      </c>
      <c r="C1049" s="32" t="s">
        <v>405</v>
      </c>
      <c r="D1049" s="18" t="s">
        <v>17</v>
      </c>
      <c r="E1049" s="63" t="s">
        <v>576</v>
      </c>
      <c r="F1049" s="63" t="s">
        <v>790</v>
      </c>
      <c r="G1049" s="50" t="s">
        <v>4560</v>
      </c>
      <c r="H1049" s="57">
        <v>98000</v>
      </c>
      <c r="I1049" s="227">
        <v>-14700</v>
      </c>
      <c r="J1049" s="57">
        <f t="shared" si="142"/>
        <v>83300</v>
      </c>
      <c r="K1049" s="50">
        <v>1</v>
      </c>
      <c r="L1049" s="57">
        <f t="shared" si="143"/>
        <v>83300</v>
      </c>
      <c r="M1049" s="228">
        <f t="shared" si="144"/>
        <v>91630</v>
      </c>
      <c r="N1049" s="18" t="s">
        <v>34</v>
      </c>
      <c r="O1049" s="50"/>
      <c r="P1049" s="52" t="s">
        <v>1557</v>
      </c>
    </row>
    <row r="1050" spans="1:29" ht="21.75" customHeight="1" x14ac:dyDescent="0.4">
      <c r="A1050" s="62">
        <v>45724</v>
      </c>
      <c r="B1050" s="32" t="s">
        <v>4558</v>
      </c>
      <c r="C1050" s="32" t="s">
        <v>405</v>
      </c>
      <c r="D1050" s="18" t="s">
        <v>17</v>
      </c>
      <c r="E1050" s="63" t="s">
        <v>576</v>
      </c>
      <c r="F1050" s="63" t="s">
        <v>3543</v>
      </c>
      <c r="G1050" s="50" t="s">
        <v>4561</v>
      </c>
      <c r="H1050" s="57">
        <v>49000</v>
      </c>
      <c r="I1050" s="227">
        <v>-7350</v>
      </c>
      <c r="J1050" s="57">
        <f t="shared" si="142"/>
        <v>41650</v>
      </c>
      <c r="K1050" s="50">
        <v>1</v>
      </c>
      <c r="L1050" s="57">
        <f t="shared" si="143"/>
        <v>41650</v>
      </c>
      <c r="M1050" s="228">
        <f t="shared" si="144"/>
        <v>45815</v>
      </c>
      <c r="N1050" s="18" t="s">
        <v>34</v>
      </c>
      <c r="O1050" s="50"/>
      <c r="P1050" s="52" t="s">
        <v>1557</v>
      </c>
    </row>
    <row r="1051" spans="1:29" ht="21.75" customHeight="1" x14ac:dyDescent="0.4">
      <c r="A1051" s="62">
        <v>45724</v>
      </c>
      <c r="B1051" s="32" t="s">
        <v>4558</v>
      </c>
      <c r="C1051" s="32" t="s">
        <v>405</v>
      </c>
      <c r="D1051" s="18" t="s">
        <v>17</v>
      </c>
      <c r="E1051" s="63" t="s">
        <v>576</v>
      </c>
      <c r="F1051" s="63" t="s">
        <v>3543</v>
      </c>
      <c r="G1051" s="50" t="s">
        <v>4562</v>
      </c>
      <c r="H1051" s="57">
        <v>49000</v>
      </c>
      <c r="I1051" s="227">
        <v>-7350</v>
      </c>
      <c r="J1051" s="57">
        <f t="shared" si="142"/>
        <v>41650</v>
      </c>
      <c r="K1051" s="50">
        <v>1</v>
      </c>
      <c r="L1051" s="57">
        <f t="shared" si="143"/>
        <v>41650</v>
      </c>
      <c r="M1051" s="228">
        <f t="shared" si="144"/>
        <v>45815</v>
      </c>
      <c r="N1051" s="18" t="s">
        <v>34</v>
      </c>
      <c r="O1051" s="50"/>
      <c r="P1051" s="52" t="s">
        <v>1557</v>
      </c>
    </row>
    <row r="1052" spans="1:29" ht="21.75" customHeight="1" x14ac:dyDescent="0.4">
      <c r="A1052" s="62">
        <v>45724</v>
      </c>
      <c r="B1052" s="32" t="s">
        <v>4558</v>
      </c>
      <c r="C1052" s="32" t="s">
        <v>405</v>
      </c>
      <c r="D1052" s="18" t="s">
        <v>17</v>
      </c>
      <c r="E1052" s="63" t="s">
        <v>332</v>
      </c>
      <c r="F1052" s="63" t="s">
        <v>3555</v>
      </c>
      <c r="G1052" s="50" t="s">
        <v>3557</v>
      </c>
      <c r="H1052" s="57">
        <v>1300</v>
      </c>
      <c r="I1052" s="227"/>
      <c r="J1052" s="57">
        <f t="shared" si="142"/>
        <v>1300</v>
      </c>
      <c r="K1052" s="50">
        <v>3</v>
      </c>
      <c r="L1052" s="57">
        <f t="shared" si="143"/>
        <v>3900</v>
      </c>
      <c r="M1052" s="228">
        <f t="shared" si="144"/>
        <v>4290</v>
      </c>
      <c r="N1052" s="18" t="s">
        <v>34</v>
      </c>
      <c r="O1052" s="50"/>
      <c r="P1052" s="52" t="s">
        <v>1557</v>
      </c>
    </row>
    <row r="1053" spans="1:29" ht="21.75" customHeight="1" x14ac:dyDescent="0.4">
      <c r="A1053" s="62">
        <v>45724</v>
      </c>
      <c r="B1053" s="32" t="s">
        <v>2088</v>
      </c>
      <c r="C1053" s="32" t="s">
        <v>2557</v>
      </c>
      <c r="D1053" s="18" t="s">
        <v>17</v>
      </c>
      <c r="E1053" s="63" t="s">
        <v>426</v>
      </c>
      <c r="F1053" s="63" t="s">
        <v>994</v>
      </c>
      <c r="G1053" s="50" t="s">
        <v>4517</v>
      </c>
      <c r="H1053" s="57">
        <v>1800</v>
      </c>
      <c r="I1053" s="227">
        <v>-180</v>
      </c>
      <c r="J1053" s="57">
        <f t="shared" ref="J1053:J1081" si="161">SUM(H1053:I1053)</f>
        <v>1620</v>
      </c>
      <c r="K1053" s="50">
        <v>1</v>
      </c>
      <c r="L1053" s="57">
        <f t="shared" ref="L1053:L1062" si="162">SUM(J1053*K1053)</f>
        <v>1620</v>
      </c>
      <c r="M1053" s="228">
        <f t="shared" ref="M1053:M1062" si="163">ROUNDDOWN(L1053*1.1,0)</f>
        <v>1782</v>
      </c>
      <c r="N1053" s="18" t="s">
        <v>25</v>
      </c>
      <c r="O1053" s="50"/>
    </row>
    <row r="1054" spans="1:29" ht="21.75" customHeight="1" x14ac:dyDescent="0.4">
      <c r="A1054" s="62">
        <v>45725</v>
      </c>
      <c r="B1054" s="32" t="s">
        <v>1727</v>
      </c>
      <c r="C1054" s="32" t="s">
        <v>405</v>
      </c>
      <c r="D1054" s="18" t="s">
        <v>22</v>
      </c>
      <c r="E1054" s="63" t="s">
        <v>260</v>
      </c>
      <c r="F1054" s="63"/>
      <c r="G1054" s="50" t="s">
        <v>264</v>
      </c>
      <c r="H1054" s="57">
        <v>15000</v>
      </c>
      <c r="I1054" s="227"/>
      <c r="J1054" s="57">
        <f>SUM(H1054:I1054)</f>
        <v>15000</v>
      </c>
      <c r="K1054" s="50">
        <v>1</v>
      </c>
      <c r="L1054" s="57">
        <f>SUM(J1054*K1054)</f>
        <v>15000</v>
      </c>
      <c r="M1054" s="228">
        <f>ROUNDDOWN(L1054*1.1,0)</f>
        <v>16500</v>
      </c>
      <c r="N1054" s="192" t="s">
        <v>20</v>
      </c>
      <c r="O1054" s="89" t="s">
        <v>4597</v>
      </c>
      <c r="P1054" s="52" t="s">
        <v>2878</v>
      </c>
    </row>
    <row r="1055" spans="1:29" ht="21.75" customHeight="1" x14ac:dyDescent="0.4">
      <c r="A1055" s="62">
        <v>45725</v>
      </c>
      <c r="B1055" s="32" t="s">
        <v>405</v>
      </c>
      <c r="C1055" s="32" t="s">
        <v>405</v>
      </c>
      <c r="D1055" s="18" t="s">
        <v>17</v>
      </c>
      <c r="E1055" s="63" t="s">
        <v>332</v>
      </c>
      <c r="F1055" s="63" t="s">
        <v>3553</v>
      </c>
      <c r="G1055" s="50" t="s">
        <v>4565</v>
      </c>
      <c r="H1055" s="57">
        <v>1800</v>
      </c>
      <c r="I1055" s="227"/>
      <c r="J1055" s="57">
        <f>SUM(H1055:I1055)</f>
        <v>1800</v>
      </c>
      <c r="K1055" s="50">
        <v>1</v>
      </c>
      <c r="L1055" s="57">
        <f>SUM(J1055*K1055)</f>
        <v>1800</v>
      </c>
      <c r="M1055" s="228">
        <f>ROUNDDOWN(L1055*1.1,0)</f>
        <v>1980</v>
      </c>
      <c r="N1055" s="18" t="s">
        <v>25</v>
      </c>
      <c r="O1055" s="50" t="s">
        <v>4566</v>
      </c>
    </row>
    <row r="1056" spans="1:29" ht="21.75" customHeight="1" x14ac:dyDescent="0.4">
      <c r="A1056" s="62">
        <v>45725</v>
      </c>
      <c r="B1056" s="32" t="s">
        <v>1257</v>
      </c>
      <c r="C1056" s="32" t="s">
        <v>2557</v>
      </c>
      <c r="D1056" s="18" t="s">
        <v>27</v>
      </c>
      <c r="E1056" s="63" t="s">
        <v>28</v>
      </c>
      <c r="F1056" s="63"/>
      <c r="G1056" s="50" t="s">
        <v>4568</v>
      </c>
      <c r="H1056" s="57">
        <v>2000</v>
      </c>
      <c r="I1056" s="227"/>
      <c r="J1056" s="57">
        <f>SUM(H1056:I1056)</f>
        <v>2000</v>
      </c>
      <c r="K1056" s="50">
        <v>1</v>
      </c>
      <c r="L1056" s="57">
        <f>SUM(J1056*K1056)</f>
        <v>2000</v>
      </c>
      <c r="M1056" s="228">
        <f>ROUNDDOWN(L1056*1.1,0)</f>
        <v>2200</v>
      </c>
      <c r="N1056" s="18" t="s">
        <v>25</v>
      </c>
      <c r="O1056" s="50" t="s">
        <v>4569</v>
      </c>
    </row>
    <row r="1057" spans="1:16" ht="21.75" customHeight="1" x14ac:dyDescent="0.4">
      <c r="A1057" s="62">
        <v>45725</v>
      </c>
      <c r="B1057" s="32" t="s">
        <v>4563</v>
      </c>
      <c r="C1057" s="32" t="s">
        <v>2557</v>
      </c>
      <c r="D1057" s="18" t="s">
        <v>317</v>
      </c>
      <c r="E1057" s="63" t="s">
        <v>28</v>
      </c>
      <c r="F1057" s="63"/>
      <c r="G1057" s="50" t="s">
        <v>318</v>
      </c>
      <c r="H1057" s="57">
        <v>15000</v>
      </c>
      <c r="I1057" s="227"/>
      <c r="J1057" s="57">
        <f>SUM(H1057:I1057)</f>
        <v>15000</v>
      </c>
      <c r="K1057" s="50">
        <v>1</v>
      </c>
      <c r="L1057" s="57">
        <f>SUM(J1057*K1057)</f>
        <v>15000</v>
      </c>
      <c r="M1057" s="228">
        <f>ROUNDDOWN(L1057*1.1,0)</f>
        <v>16500</v>
      </c>
      <c r="N1057" s="18" t="s">
        <v>25</v>
      </c>
      <c r="O1057" s="50"/>
    </row>
    <row r="1058" spans="1:16" ht="21.75" customHeight="1" x14ac:dyDescent="0.4">
      <c r="A1058" s="62">
        <v>45725</v>
      </c>
      <c r="B1058" s="32" t="s">
        <v>4563</v>
      </c>
      <c r="C1058" s="32" t="s">
        <v>2557</v>
      </c>
      <c r="D1058" s="18" t="s">
        <v>317</v>
      </c>
      <c r="E1058" s="63" t="s">
        <v>28</v>
      </c>
      <c r="F1058" s="63"/>
      <c r="G1058" s="50" t="s">
        <v>4564</v>
      </c>
      <c r="H1058" s="57">
        <v>8750</v>
      </c>
      <c r="I1058" s="227"/>
      <c r="J1058" s="57">
        <f t="shared" ref="J1058" si="164">SUM(H1058:I1058)</f>
        <v>8750</v>
      </c>
      <c r="K1058" s="50">
        <v>1</v>
      </c>
      <c r="L1058" s="57">
        <f t="shared" ref="L1058" si="165">SUM(J1058*K1058)</f>
        <v>8750</v>
      </c>
      <c r="M1058" s="228">
        <f t="shared" ref="M1058" si="166">ROUNDDOWN(L1058*1.1,0)</f>
        <v>9625</v>
      </c>
      <c r="N1058" s="18" t="s">
        <v>25</v>
      </c>
      <c r="O1058" s="50"/>
    </row>
    <row r="1059" spans="1:16" ht="21.75" customHeight="1" x14ac:dyDescent="0.4">
      <c r="A1059" s="62">
        <v>45725</v>
      </c>
      <c r="B1059" s="32" t="s">
        <v>162</v>
      </c>
      <c r="C1059" s="32" t="s">
        <v>2557</v>
      </c>
      <c r="D1059" s="18" t="s">
        <v>27</v>
      </c>
      <c r="E1059" s="63" t="s">
        <v>28</v>
      </c>
      <c r="F1059" s="63"/>
      <c r="G1059" s="50" t="s">
        <v>4568</v>
      </c>
      <c r="H1059" s="57">
        <v>2000</v>
      </c>
      <c r="I1059" s="227"/>
      <c r="J1059" s="57">
        <f t="shared" si="161"/>
        <v>2000</v>
      </c>
      <c r="K1059" s="50">
        <v>2</v>
      </c>
      <c r="L1059" s="57">
        <f t="shared" si="162"/>
        <v>4000</v>
      </c>
      <c r="M1059" s="228">
        <f t="shared" si="163"/>
        <v>4400</v>
      </c>
      <c r="N1059" s="18" t="s">
        <v>25</v>
      </c>
      <c r="O1059" s="50" t="s">
        <v>4567</v>
      </c>
    </row>
    <row r="1060" spans="1:16" ht="21.75" customHeight="1" x14ac:dyDescent="0.4">
      <c r="A1060" s="62">
        <v>45726</v>
      </c>
      <c r="B1060" s="32" t="s">
        <v>2879</v>
      </c>
      <c r="C1060" s="32" t="s">
        <v>2557</v>
      </c>
      <c r="D1060" s="18" t="s">
        <v>27</v>
      </c>
      <c r="E1060" s="63" t="s">
        <v>28</v>
      </c>
      <c r="F1060" s="63"/>
      <c r="G1060" s="50" t="s">
        <v>3664</v>
      </c>
      <c r="H1060" s="57">
        <v>17500</v>
      </c>
      <c r="I1060" s="227"/>
      <c r="J1060" s="57">
        <f t="shared" si="161"/>
        <v>17500</v>
      </c>
      <c r="K1060" s="50">
        <v>1</v>
      </c>
      <c r="L1060" s="57">
        <f t="shared" si="162"/>
        <v>17500</v>
      </c>
      <c r="M1060" s="228">
        <f t="shared" si="163"/>
        <v>19250</v>
      </c>
      <c r="N1060" s="18" t="s">
        <v>25</v>
      </c>
      <c r="O1060" s="50" t="s">
        <v>4571</v>
      </c>
    </row>
    <row r="1061" spans="1:16" ht="21.75" customHeight="1" x14ac:dyDescent="0.4">
      <c r="A1061" s="62">
        <v>45726</v>
      </c>
      <c r="B1061" s="32" t="s">
        <v>2879</v>
      </c>
      <c r="C1061" s="32" t="s">
        <v>2557</v>
      </c>
      <c r="D1061" s="18" t="s">
        <v>27</v>
      </c>
      <c r="E1061" s="63" t="s">
        <v>28</v>
      </c>
      <c r="F1061" s="63"/>
      <c r="G1061" s="50" t="s">
        <v>4570</v>
      </c>
      <c r="H1061" s="57">
        <v>12250</v>
      </c>
      <c r="I1061" s="227"/>
      <c r="J1061" s="57">
        <f t="shared" si="161"/>
        <v>12250</v>
      </c>
      <c r="K1061" s="50">
        <v>1</v>
      </c>
      <c r="L1061" s="57">
        <f t="shared" si="162"/>
        <v>12250</v>
      </c>
      <c r="M1061" s="228">
        <f t="shared" si="163"/>
        <v>13475</v>
      </c>
      <c r="N1061" s="18" t="s">
        <v>25</v>
      </c>
      <c r="O1061" s="50"/>
    </row>
    <row r="1062" spans="1:16" ht="21.75" customHeight="1" x14ac:dyDescent="0.4">
      <c r="A1062" s="62">
        <v>45726</v>
      </c>
      <c r="B1062" s="32" t="s">
        <v>927</v>
      </c>
      <c r="C1062" s="32" t="s">
        <v>2557</v>
      </c>
      <c r="D1062" s="18" t="s">
        <v>17</v>
      </c>
      <c r="E1062" s="63" t="s">
        <v>3902</v>
      </c>
      <c r="F1062" s="63" t="s">
        <v>3553</v>
      </c>
      <c r="G1062" s="50" t="s">
        <v>4572</v>
      </c>
      <c r="H1062" s="57">
        <v>12000</v>
      </c>
      <c r="I1062" s="227">
        <v>-1200</v>
      </c>
      <c r="J1062" s="57">
        <f t="shared" si="161"/>
        <v>10800</v>
      </c>
      <c r="K1062" s="50">
        <v>1</v>
      </c>
      <c r="L1062" s="57">
        <f t="shared" si="162"/>
        <v>10800</v>
      </c>
      <c r="M1062" s="228">
        <f t="shared" si="163"/>
        <v>11880</v>
      </c>
      <c r="N1062" s="18" t="s">
        <v>34</v>
      </c>
      <c r="O1062" s="50"/>
    </row>
    <row r="1063" spans="1:16" ht="21.75" customHeight="1" x14ac:dyDescent="0.4">
      <c r="A1063" s="62">
        <v>45728</v>
      </c>
      <c r="B1063" s="32" t="s">
        <v>1727</v>
      </c>
      <c r="C1063" s="32" t="s">
        <v>405</v>
      </c>
      <c r="D1063" s="18" t="s">
        <v>17</v>
      </c>
      <c r="E1063" s="63" t="s">
        <v>328</v>
      </c>
      <c r="F1063" s="63" t="s">
        <v>3599</v>
      </c>
      <c r="G1063" s="50" t="s">
        <v>4573</v>
      </c>
      <c r="H1063" s="57">
        <v>72000</v>
      </c>
      <c r="I1063" s="227">
        <v>-14400</v>
      </c>
      <c r="J1063" s="57">
        <f t="shared" si="161"/>
        <v>57600</v>
      </c>
      <c r="K1063" s="50">
        <v>1</v>
      </c>
      <c r="L1063" s="57">
        <f t="shared" ref="L1063:L1081" si="167">SUM(J1063*K1063)</f>
        <v>57600</v>
      </c>
      <c r="M1063" s="228">
        <f t="shared" ref="M1063:M1081" si="168">ROUNDDOWN(L1063*1.1,0)</f>
        <v>63360</v>
      </c>
      <c r="N1063" s="18" t="s">
        <v>20</v>
      </c>
      <c r="O1063" s="50"/>
      <c r="P1063" s="52" t="s">
        <v>2878</v>
      </c>
    </row>
    <row r="1064" spans="1:16" ht="21.75" customHeight="1" x14ac:dyDescent="0.4">
      <c r="A1064" s="62">
        <v>45728</v>
      </c>
      <c r="B1064" s="32" t="s">
        <v>1727</v>
      </c>
      <c r="C1064" s="32" t="s">
        <v>405</v>
      </c>
      <c r="D1064" s="18" t="s">
        <v>17</v>
      </c>
      <c r="E1064" s="63" t="s">
        <v>332</v>
      </c>
      <c r="F1064" s="63" t="s">
        <v>3550</v>
      </c>
      <c r="G1064" s="50" t="s">
        <v>4574</v>
      </c>
      <c r="H1064" s="57">
        <v>1700</v>
      </c>
      <c r="I1064" s="227"/>
      <c r="J1064" s="57">
        <f t="shared" si="161"/>
        <v>1700</v>
      </c>
      <c r="K1064" s="50">
        <v>1</v>
      </c>
      <c r="L1064" s="57">
        <f t="shared" si="167"/>
        <v>1700</v>
      </c>
      <c r="M1064" s="228">
        <f t="shared" si="168"/>
        <v>1870</v>
      </c>
      <c r="N1064" s="18" t="s">
        <v>20</v>
      </c>
      <c r="O1064" s="50"/>
      <c r="P1064" s="52" t="s">
        <v>2878</v>
      </c>
    </row>
    <row r="1065" spans="1:16" ht="21.75" customHeight="1" x14ac:dyDescent="0.4">
      <c r="A1065" s="62">
        <v>45728</v>
      </c>
      <c r="B1065" s="32" t="s">
        <v>1727</v>
      </c>
      <c r="C1065" s="32" t="s">
        <v>405</v>
      </c>
      <c r="D1065" s="96" t="s">
        <v>198</v>
      </c>
      <c r="E1065" s="63"/>
      <c r="F1065" s="63"/>
      <c r="G1065" s="50" t="s">
        <v>2491</v>
      </c>
      <c r="H1065" s="57">
        <v>-15000</v>
      </c>
      <c r="I1065" s="227"/>
      <c r="J1065" s="57">
        <f t="shared" si="161"/>
        <v>-15000</v>
      </c>
      <c r="K1065" s="50">
        <v>1</v>
      </c>
      <c r="L1065" s="57">
        <f t="shared" si="167"/>
        <v>-15000</v>
      </c>
      <c r="M1065" s="238">
        <f t="shared" si="168"/>
        <v>-16500</v>
      </c>
      <c r="N1065" s="18" t="s">
        <v>20</v>
      </c>
      <c r="O1065" s="50" t="s">
        <v>4576</v>
      </c>
    </row>
    <row r="1066" spans="1:16" ht="21.75" customHeight="1" x14ac:dyDescent="0.4">
      <c r="A1066" s="62">
        <v>45728</v>
      </c>
      <c r="B1066" s="32" t="s">
        <v>3755</v>
      </c>
      <c r="C1066" s="32" t="s">
        <v>2557</v>
      </c>
      <c r="D1066" s="18" t="s">
        <v>17</v>
      </c>
      <c r="E1066" s="63" t="s">
        <v>332</v>
      </c>
      <c r="F1066" s="63" t="s">
        <v>3555</v>
      </c>
      <c r="G1066" s="50" t="s">
        <v>4575</v>
      </c>
      <c r="H1066" s="57">
        <v>1300</v>
      </c>
      <c r="I1066" s="227">
        <v>-130</v>
      </c>
      <c r="J1066" s="57">
        <f t="shared" si="161"/>
        <v>1170</v>
      </c>
      <c r="K1066" s="50">
        <v>11</v>
      </c>
      <c r="L1066" s="57">
        <f t="shared" si="167"/>
        <v>12870</v>
      </c>
      <c r="M1066" s="228">
        <f t="shared" si="168"/>
        <v>14157</v>
      </c>
      <c r="N1066" s="18" t="s">
        <v>34</v>
      </c>
      <c r="O1066" s="50"/>
    </row>
    <row r="1067" spans="1:16" ht="21.75" customHeight="1" x14ac:dyDescent="0.4">
      <c r="A1067" s="62">
        <v>45729</v>
      </c>
      <c r="B1067" s="32" t="s">
        <v>4594</v>
      </c>
      <c r="C1067" s="32" t="s">
        <v>2557</v>
      </c>
      <c r="D1067" s="18" t="s">
        <v>27</v>
      </c>
      <c r="E1067" s="63" t="s">
        <v>103</v>
      </c>
      <c r="F1067" s="63"/>
      <c r="G1067" s="50" t="s">
        <v>1222</v>
      </c>
      <c r="H1067" s="57">
        <v>2500</v>
      </c>
      <c r="I1067" s="227"/>
      <c r="J1067" s="57">
        <f t="shared" si="161"/>
        <v>2500</v>
      </c>
      <c r="K1067" s="50">
        <v>1</v>
      </c>
      <c r="L1067" s="57">
        <f t="shared" si="167"/>
        <v>2500</v>
      </c>
      <c r="M1067" s="228">
        <f t="shared" si="168"/>
        <v>2750</v>
      </c>
      <c r="N1067" s="18" t="s">
        <v>4386</v>
      </c>
      <c r="O1067" s="50"/>
    </row>
    <row r="1068" spans="1:16" ht="21.75" customHeight="1" x14ac:dyDescent="0.4">
      <c r="A1068" s="62">
        <v>45729</v>
      </c>
      <c r="B1068" s="32" t="s">
        <v>2197</v>
      </c>
      <c r="C1068" s="32" t="s">
        <v>2557</v>
      </c>
      <c r="D1068" s="18" t="s">
        <v>27</v>
      </c>
      <c r="E1068" s="63" t="s">
        <v>28</v>
      </c>
      <c r="F1068" s="63"/>
      <c r="G1068" s="50" t="s">
        <v>3663</v>
      </c>
      <c r="H1068" s="57">
        <v>17500</v>
      </c>
      <c r="I1068" s="227"/>
      <c r="J1068" s="57">
        <f t="shared" si="161"/>
        <v>17500</v>
      </c>
      <c r="K1068" s="50">
        <v>1</v>
      </c>
      <c r="L1068" s="57">
        <f t="shared" si="167"/>
        <v>17500</v>
      </c>
      <c r="M1068" s="228">
        <f t="shared" si="168"/>
        <v>19250</v>
      </c>
      <c r="N1068" s="18" t="s">
        <v>25</v>
      </c>
      <c r="O1068" s="50" t="s">
        <v>4569</v>
      </c>
    </row>
    <row r="1069" spans="1:16" ht="21.75" customHeight="1" x14ac:dyDescent="0.4">
      <c r="A1069" s="62">
        <v>45730</v>
      </c>
      <c r="B1069" s="32" t="s">
        <v>4450</v>
      </c>
      <c r="C1069" s="32" t="s">
        <v>2557</v>
      </c>
      <c r="D1069" s="18" t="s">
        <v>22</v>
      </c>
      <c r="E1069" s="50" t="s">
        <v>1496</v>
      </c>
      <c r="F1069" s="18"/>
      <c r="G1069" s="50" t="s">
        <v>1813</v>
      </c>
      <c r="H1069" s="57">
        <v>4500</v>
      </c>
      <c r="I1069" s="227"/>
      <c r="J1069" s="57">
        <f t="shared" ref="J1069" si="169">SUM(H1069:I1069)</f>
        <v>4500</v>
      </c>
      <c r="K1069" s="50">
        <v>1</v>
      </c>
      <c r="L1069" s="57">
        <f t="shared" ref="L1069" si="170">SUM(J1069*K1069)</f>
        <v>4500</v>
      </c>
      <c r="M1069" s="228">
        <f t="shared" ref="M1069" si="171">ROUNDDOWN(L1069*1.1,0)</f>
        <v>4950</v>
      </c>
      <c r="N1069" s="18" t="s">
        <v>20</v>
      </c>
      <c r="O1069" s="50"/>
    </row>
    <row r="1070" spans="1:16" ht="21.75" customHeight="1" x14ac:dyDescent="0.4">
      <c r="A1070" s="62">
        <v>45730</v>
      </c>
      <c r="B1070" s="32" t="s">
        <v>4450</v>
      </c>
      <c r="C1070" s="32" t="s">
        <v>2557</v>
      </c>
      <c r="D1070" s="18" t="s">
        <v>27</v>
      </c>
      <c r="E1070" s="63" t="s">
        <v>28</v>
      </c>
      <c r="F1070" s="63"/>
      <c r="G1070" s="50" t="s">
        <v>3664</v>
      </c>
      <c r="H1070" s="57">
        <v>17500</v>
      </c>
      <c r="I1070" s="227"/>
      <c r="J1070" s="57">
        <v>17500</v>
      </c>
      <c r="K1070" s="50">
        <v>1</v>
      </c>
      <c r="L1070" s="57">
        <f t="shared" ref="L1070" si="172">SUM(J1070*K1070)</f>
        <v>17500</v>
      </c>
      <c r="M1070" s="228">
        <f t="shared" ref="M1070" si="173">ROUNDDOWN(L1070*1.1,0)</f>
        <v>19250</v>
      </c>
      <c r="N1070" s="18" t="s">
        <v>25</v>
      </c>
      <c r="O1070" s="50" t="s">
        <v>4569</v>
      </c>
    </row>
    <row r="1071" spans="1:16" ht="21.75" customHeight="1" x14ac:dyDescent="0.4">
      <c r="A1071" s="62">
        <v>45730</v>
      </c>
      <c r="B1071" s="32" t="s">
        <v>1026</v>
      </c>
      <c r="C1071" s="32" t="s">
        <v>405</v>
      </c>
      <c r="D1071" s="18" t="s">
        <v>17</v>
      </c>
      <c r="E1071" s="63" t="s">
        <v>332</v>
      </c>
      <c r="F1071" s="63" t="s">
        <v>3555</v>
      </c>
      <c r="G1071" s="50" t="s">
        <v>3681</v>
      </c>
      <c r="H1071" s="57">
        <v>1300</v>
      </c>
      <c r="I1071" s="227"/>
      <c r="J1071" s="57">
        <f t="shared" si="161"/>
        <v>1300</v>
      </c>
      <c r="K1071" s="50">
        <v>12</v>
      </c>
      <c r="L1071" s="57">
        <f t="shared" si="167"/>
        <v>15600</v>
      </c>
      <c r="M1071" s="228">
        <f t="shared" si="168"/>
        <v>17160</v>
      </c>
      <c r="N1071" s="18" t="s">
        <v>34</v>
      </c>
      <c r="O1071" s="50"/>
    </row>
    <row r="1072" spans="1:16" ht="21.75" customHeight="1" x14ac:dyDescent="0.4">
      <c r="A1072" s="62">
        <v>45732</v>
      </c>
      <c r="B1072" s="32" t="s">
        <v>580</v>
      </c>
      <c r="C1072" s="32" t="s">
        <v>2557</v>
      </c>
      <c r="D1072" s="18" t="s">
        <v>17</v>
      </c>
      <c r="E1072" s="63" t="s">
        <v>332</v>
      </c>
      <c r="F1072" s="63" t="s">
        <v>3553</v>
      </c>
      <c r="G1072" s="50" t="s">
        <v>4021</v>
      </c>
      <c r="H1072" s="57">
        <v>1800</v>
      </c>
      <c r="I1072" s="227">
        <v>-180</v>
      </c>
      <c r="J1072" s="57">
        <f t="shared" si="161"/>
        <v>1620</v>
      </c>
      <c r="K1072" s="50">
        <v>1</v>
      </c>
      <c r="L1072" s="57">
        <f t="shared" si="167"/>
        <v>1620</v>
      </c>
      <c r="M1072" s="228">
        <f t="shared" si="168"/>
        <v>1782</v>
      </c>
      <c r="N1072" s="18" t="s">
        <v>25</v>
      </c>
      <c r="O1072" s="50"/>
    </row>
    <row r="1073" spans="1:27" ht="21.75" customHeight="1" x14ac:dyDescent="0.4">
      <c r="A1073" s="62">
        <v>45732</v>
      </c>
      <c r="B1073" s="32" t="s">
        <v>580</v>
      </c>
      <c r="C1073" s="32" t="s">
        <v>2557</v>
      </c>
      <c r="D1073" s="18" t="s">
        <v>17</v>
      </c>
      <c r="E1073" s="63" t="s">
        <v>332</v>
      </c>
      <c r="F1073" s="63" t="s">
        <v>3553</v>
      </c>
      <c r="G1073" s="50" t="s">
        <v>4577</v>
      </c>
      <c r="H1073" s="57">
        <v>1800</v>
      </c>
      <c r="I1073" s="227">
        <v>-180</v>
      </c>
      <c r="J1073" s="57">
        <f t="shared" si="161"/>
        <v>1620</v>
      </c>
      <c r="K1073" s="50">
        <v>2</v>
      </c>
      <c r="L1073" s="57">
        <f t="shared" si="167"/>
        <v>3240</v>
      </c>
      <c r="M1073" s="228">
        <f t="shared" si="168"/>
        <v>3564</v>
      </c>
      <c r="N1073" s="18" t="s">
        <v>25</v>
      </c>
      <c r="O1073" s="50"/>
    </row>
    <row r="1074" spans="1:27" ht="21.75" customHeight="1" x14ac:dyDescent="0.4">
      <c r="A1074" s="62">
        <v>45732</v>
      </c>
      <c r="B1074" s="32" t="s">
        <v>139</v>
      </c>
      <c r="C1074" s="32" t="s">
        <v>2557</v>
      </c>
      <c r="D1074" s="18" t="s">
        <v>17</v>
      </c>
      <c r="E1074" s="63" t="s">
        <v>292</v>
      </c>
      <c r="F1074" s="63" t="s">
        <v>3642</v>
      </c>
      <c r="G1074" s="50" t="s">
        <v>684</v>
      </c>
      <c r="H1074" s="57">
        <v>5800</v>
      </c>
      <c r="I1074" s="227">
        <v>-580</v>
      </c>
      <c r="J1074" s="57">
        <f t="shared" si="161"/>
        <v>5220</v>
      </c>
      <c r="K1074" s="50">
        <v>1</v>
      </c>
      <c r="L1074" s="57">
        <f t="shared" si="167"/>
        <v>5220</v>
      </c>
      <c r="M1074" s="228">
        <f t="shared" si="168"/>
        <v>5742</v>
      </c>
      <c r="N1074" s="18" t="s">
        <v>25</v>
      </c>
      <c r="O1074" s="50"/>
    </row>
    <row r="1075" spans="1:27" ht="21.75" customHeight="1" x14ac:dyDescent="0.4">
      <c r="A1075" s="62">
        <v>45733</v>
      </c>
      <c r="B1075" s="32" t="s">
        <v>3117</v>
      </c>
      <c r="C1075" s="32" t="s">
        <v>2557</v>
      </c>
      <c r="D1075" s="18" t="s">
        <v>17</v>
      </c>
      <c r="E1075" s="63" t="s">
        <v>426</v>
      </c>
      <c r="F1075" s="63" t="s">
        <v>994</v>
      </c>
      <c r="G1075" s="50" t="s">
        <v>3592</v>
      </c>
      <c r="H1075" s="57">
        <v>1800</v>
      </c>
      <c r="I1075" s="227">
        <v>-180</v>
      </c>
      <c r="J1075" s="57">
        <f t="shared" si="161"/>
        <v>1620</v>
      </c>
      <c r="K1075" s="50">
        <v>1</v>
      </c>
      <c r="L1075" s="57">
        <f t="shared" si="167"/>
        <v>1620</v>
      </c>
      <c r="M1075" s="228">
        <f t="shared" si="168"/>
        <v>1782</v>
      </c>
      <c r="N1075" s="18" t="s">
        <v>20</v>
      </c>
      <c r="O1075" s="50"/>
    </row>
    <row r="1076" spans="1:27" ht="21.75" customHeight="1" x14ac:dyDescent="0.4">
      <c r="A1076" s="62">
        <v>45735</v>
      </c>
      <c r="B1076" s="32" t="s">
        <v>2836</v>
      </c>
      <c r="C1076" s="32" t="s">
        <v>2557</v>
      </c>
      <c r="D1076" s="18" t="s">
        <v>17</v>
      </c>
      <c r="E1076" s="63" t="s">
        <v>576</v>
      </c>
      <c r="F1076" s="63" t="s">
        <v>632</v>
      </c>
      <c r="G1076" s="50" t="s">
        <v>4590</v>
      </c>
      <c r="H1076" s="57">
        <v>70000</v>
      </c>
      <c r="I1076" s="227">
        <v>-7000</v>
      </c>
      <c r="J1076" s="57">
        <f t="shared" si="161"/>
        <v>63000</v>
      </c>
      <c r="K1076" s="50">
        <v>1</v>
      </c>
      <c r="L1076" s="57">
        <f t="shared" si="167"/>
        <v>63000</v>
      </c>
      <c r="M1076" s="232">
        <f t="shared" si="168"/>
        <v>69300</v>
      </c>
      <c r="N1076" s="18" t="s">
        <v>34</v>
      </c>
      <c r="O1076" s="50"/>
      <c r="P1076" s="52" t="s">
        <v>1557</v>
      </c>
    </row>
    <row r="1077" spans="1:27" ht="21.75" customHeight="1" x14ac:dyDescent="0.4">
      <c r="A1077" s="62">
        <v>45735</v>
      </c>
      <c r="B1077" s="32" t="s">
        <v>4579</v>
      </c>
      <c r="C1077" s="32" t="s">
        <v>2557</v>
      </c>
      <c r="D1077" s="18" t="s">
        <v>317</v>
      </c>
      <c r="E1077" s="63" t="s">
        <v>28</v>
      </c>
      <c r="F1077" s="63"/>
      <c r="G1077" s="50" t="s">
        <v>318</v>
      </c>
      <c r="H1077" s="57">
        <v>15000</v>
      </c>
      <c r="I1077" s="227"/>
      <c r="J1077" s="57">
        <f>SUM(H1077:I1077)</f>
        <v>15000</v>
      </c>
      <c r="K1077" s="50">
        <v>1</v>
      </c>
      <c r="L1077" s="57">
        <f>SUM(J1077*K1077)</f>
        <v>15000</v>
      </c>
      <c r="M1077" s="228">
        <f t="shared" si="168"/>
        <v>16500</v>
      </c>
      <c r="N1077" s="18" t="s">
        <v>25</v>
      </c>
      <c r="O1077" s="50"/>
    </row>
    <row r="1078" spans="1:27" ht="21.75" customHeight="1" x14ac:dyDescent="0.4">
      <c r="A1078" s="62">
        <v>45735</v>
      </c>
      <c r="B1078" s="32" t="s">
        <v>4579</v>
      </c>
      <c r="C1078" s="32" t="s">
        <v>2557</v>
      </c>
      <c r="D1078" s="18" t="s">
        <v>27</v>
      </c>
      <c r="E1078" s="63" t="s">
        <v>28</v>
      </c>
      <c r="F1078" s="63"/>
      <c r="G1078" s="50" t="s">
        <v>3664</v>
      </c>
      <c r="H1078" s="57">
        <v>17500</v>
      </c>
      <c r="I1078" s="227"/>
      <c r="J1078" s="57">
        <f t="shared" ref="J1078" si="174">SUM(H1078:I1078)</f>
        <v>17500</v>
      </c>
      <c r="K1078" s="50">
        <v>1</v>
      </c>
      <c r="L1078" s="57">
        <f t="shared" ref="L1078" si="175">SUM(J1078*K1078)</f>
        <v>17500</v>
      </c>
      <c r="M1078" s="228">
        <f t="shared" si="168"/>
        <v>19250</v>
      </c>
      <c r="N1078" s="18" t="s">
        <v>25</v>
      </c>
      <c r="O1078" s="50"/>
    </row>
    <row r="1079" spans="1:27" ht="21.75" customHeight="1" x14ac:dyDescent="0.4">
      <c r="A1079" s="62">
        <v>45736</v>
      </c>
      <c r="B1079" s="32" t="s">
        <v>4578</v>
      </c>
      <c r="C1079" s="32" t="s">
        <v>4292</v>
      </c>
      <c r="D1079" s="18" t="s">
        <v>17</v>
      </c>
      <c r="E1079" s="63" t="s">
        <v>426</v>
      </c>
      <c r="F1079" s="63" t="s">
        <v>994</v>
      </c>
      <c r="G1079" s="50" t="s">
        <v>3592</v>
      </c>
      <c r="H1079" s="57">
        <v>1800</v>
      </c>
      <c r="I1079" s="227">
        <v>-720</v>
      </c>
      <c r="J1079" s="57">
        <f t="shared" si="161"/>
        <v>1080</v>
      </c>
      <c r="K1079" s="50">
        <v>3</v>
      </c>
      <c r="L1079" s="57">
        <f t="shared" si="167"/>
        <v>3240</v>
      </c>
      <c r="M1079" s="228">
        <f t="shared" si="168"/>
        <v>3564</v>
      </c>
      <c r="N1079" s="18" t="s">
        <v>25</v>
      </c>
      <c r="O1079" s="50"/>
    </row>
    <row r="1080" spans="1:27" ht="21.75" customHeight="1" x14ac:dyDescent="0.4">
      <c r="A1080" s="62">
        <v>45736</v>
      </c>
      <c r="B1080" s="32" t="s">
        <v>4578</v>
      </c>
      <c r="C1080" s="32" t="s">
        <v>4292</v>
      </c>
      <c r="D1080" s="18" t="s">
        <v>17</v>
      </c>
      <c r="E1080" s="63" t="s">
        <v>426</v>
      </c>
      <c r="F1080" s="63" t="s">
        <v>994</v>
      </c>
      <c r="G1080" s="50" t="s">
        <v>3594</v>
      </c>
      <c r="H1080" s="57">
        <v>1800</v>
      </c>
      <c r="I1080" s="227">
        <v>-720</v>
      </c>
      <c r="J1080" s="57">
        <f t="shared" si="161"/>
        <v>1080</v>
      </c>
      <c r="K1080" s="50">
        <v>2</v>
      </c>
      <c r="L1080" s="57">
        <f t="shared" si="167"/>
        <v>2160</v>
      </c>
      <c r="M1080" s="228">
        <f t="shared" si="168"/>
        <v>2376</v>
      </c>
      <c r="N1080" s="18" t="s">
        <v>25</v>
      </c>
      <c r="O1080" s="50"/>
    </row>
    <row r="1081" spans="1:27" ht="21.75" customHeight="1" x14ac:dyDescent="0.4">
      <c r="A1081" s="62">
        <v>45736</v>
      </c>
      <c r="B1081" s="258" t="s">
        <v>2760</v>
      </c>
      <c r="C1081" s="32" t="s">
        <v>2557</v>
      </c>
      <c r="D1081" s="18" t="s">
        <v>317</v>
      </c>
      <c r="E1081" s="63" t="s">
        <v>28</v>
      </c>
      <c r="F1081" s="63"/>
      <c r="G1081" s="50" t="s">
        <v>4582</v>
      </c>
      <c r="H1081" s="57">
        <v>1250</v>
      </c>
      <c r="I1081" s="227"/>
      <c r="J1081" s="57">
        <f t="shared" si="161"/>
        <v>1250</v>
      </c>
      <c r="K1081" s="50">
        <v>1</v>
      </c>
      <c r="L1081" s="57">
        <f t="shared" si="167"/>
        <v>1250</v>
      </c>
      <c r="M1081" s="232">
        <f t="shared" si="168"/>
        <v>1375</v>
      </c>
      <c r="N1081" s="18" t="s">
        <v>20</v>
      </c>
      <c r="O1081" s="50" t="s">
        <v>4580</v>
      </c>
    </row>
    <row r="1082" spans="1:27" ht="21.75" customHeight="1" x14ac:dyDescent="0.4">
      <c r="A1082" s="62">
        <v>45736</v>
      </c>
      <c r="B1082" s="258" t="s">
        <v>2760</v>
      </c>
      <c r="C1082" s="32" t="s">
        <v>2557</v>
      </c>
      <c r="D1082" s="18" t="s">
        <v>27</v>
      </c>
      <c r="E1082" s="63" t="s">
        <v>28</v>
      </c>
      <c r="F1082" s="63"/>
      <c r="G1082" s="50" t="s">
        <v>4582</v>
      </c>
      <c r="H1082" s="57">
        <v>5000</v>
      </c>
      <c r="I1082" s="227"/>
      <c r="J1082" s="57">
        <f t="shared" ref="J1082:J1094" si="176">SUM(H1082:I1082)</f>
        <v>5000</v>
      </c>
      <c r="K1082" s="50">
        <v>1</v>
      </c>
      <c r="L1082" s="57">
        <f t="shared" ref="L1082:L1094" si="177">SUM(J1082*K1082)</f>
        <v>5000</v>
      </c>
      <c r="M1082" s="232">
        <f t="shared" ref="M1082:M1094" si="178">ROUNDDOWN(L1082*1.1,0)</f>
        <v>5500</v>
      </c>
      <c r="N1082" s="18" t="s">
        <v>20</v>
      </c>
      <c r="O1082" s="50" t="s">
        <v>4581</v>
      </c>
    </row>
    <row r="1083" spans="1:27" ht="21.75" customHeight="1" x14ac:dyDescent="0.4">
      <c r="A1083" s="62">
        <v>45737</v>
      </c>
      <c r="B1083" s="32" t="s">
        <v>4526</v>
      </c>
      <c r="C1083" s="32" t="s">
        <v>2557</v>
      </c>
      <c r="D1083" s="18" t="s">
        <v>17</v>
      </c>
      <c r="E1083" s="63" t="s">
        <v>292</v>
      </c>
      <c r="F1083" s="63" t="s">
        <v>1051</v>
      </c>
      <c r="G1083" s="50" t="s">
        <v>3833</v>
      </c>
      <c r="H1083" s="57">
        <v>4000</v>
      </c>
      <c r="I1083" s="227">
        <v>-400</v>
      </c>
      <c r="J1083" s="57">
        <f t="shared" si="176"/>
        <v>3600</v>
      </c>
      <c r="K1083" s="50">
        <v>1</v>
      </c>
      <c r="L1083" s="57">
        <f t="shared" si="177"/>
        <v>3600</v>
      </c>
      <c r="M1083" s="228">
        <f t="shared" si="178"/>
        <v>3960</v>
      </c>
      <c r="N1083" s="18" t="s">
        <v>20</v>
      </c>
      <c r="O1083" s="50"/>
    </row>
    <row r="1084" spans="1:27" s="248" customFormat="1" ht="21.75" customHeight="1" x14ac:dyDescent="0.4">
      <c r="A1084" s="253">
        <v>45737</v>
      </c>
      <c r="B1084" s="241" t="s">
        <v>179</v>
      </c>
      <c r="C1084" s="241" t="s">
        <v>2557</v>
      </c>
      <c r="D1084" s="242" t="s">
        <v>17</v>
      </c>
      <c r="E1084" s="251" t="s">
        <v>332</v>
      </c>
      <c r="F1084" s="251" t="s">
        <v>3555</v>
      </c>
      <c r="G1084" s="244" t="s">
        <v>4583</v>
      </c>
      <c r="H1084" s="245">
        <v>1700</v>
      </c>
      <c r="I1084" s="268">
        <v>-170</v>
      </c>
      <c r="J1084" s="245">
        <f t="shared" si="176"/>
        <v>1530</v>
      </c>
      <c r="K1084" s="244">
        <v>1</v>
      </c>
      <c r="L1084" s="245">
        <f t="shared" si="177"/>
        <v>1530</v>
      </c>
      <c r="M1084" s="246">
        <f t="shared" si="178"/>
        <v>1683</v>
      </c>
      <c r="N1084" s="18" t="s">
        <v>20</v>
      </c>
      <c r="O1084" s="244"/>
      <c r="P1084" s="247"/>
      <c r="Q1084" s="247"/>
      <c r="R1084" s="247"/>
      <c r="S1084" s="247"/>
      <c r="T1084" s="247"/>
      <c r="U1084" s="247"/>
      <c r="W1084" s="249"/>
      <c r="X1084" s="250"/>
      <c r="Y1084" s="250"/>
      <c r="Z1084" s="250"/>
      <c r="AA1084" s="250"/>
    </row>
    <row r="1085" spans="1:27" ht="21.75" customHeight="1" x14ac:dyDescent="0.4">
      <c r="A1085" s="253">
        <v>45739</v>
      </c>
      <c r="B1085" s="32" t="s">
        <v>4584</v>
      </c>
      <c r="C1085" s="32" t="s">
        <v>2557</v>
      </c>
      <c r="D1085" s="18" t="s">
        <v>17</v>
      </c>
      <c r="E1085" s="63" t="s">
        <v>332</v>
      </c>
      <c r="F1085" s="63" t="s">
        <v>3555</v>
      </c>
      <c r="G1085" s="50" t="s">
        <v>4585</v>
      </c>
      <c r="H1085" s="57">
        <v>1700</v>
      </c>
      <c r="I1085" s="227">
        <v>-170</v>
      </c>
      <c r="J1085" s="57">
        <f t="shared" si="176"/>
        <v>1530</v>
      </c>
      <c r="K1085" s="50">
        <v>6</v>
      </c>
      <c r="L1085" s="57">
        <f t="shared" si="177"/>
        <v>9180</v>
      </c>
      <c r="M1085" s="232">
        <f t="shared" si="178"/>
        <v>10098</v>
      </c>
      <c r="N1085" s="18" t="s">
        <v>34</v>
      </c>
      <c r="O1085" s="50"/>
    </row>
    <row r="1086" spans="1:27" ht="21.75" customHeight="1" x14ac:dyDescent="0.4">
      <c r="A1086" s="253">
        <v>45740</v>
      </c>
      <c r="B1086" s="32" t="s">
        <v>1557</v>
      </c>
      <c r="C1086" s="32" t="s">
        <v>4292</v>
      </c>
      <c r="D1086" s="18" t="s">
        <v>17</v>
      </c>
      <c r="E1086" s="63" t="s">
        <v>4362</v>
      </c>
      <c r="F1086" s="63" t="s">
        <v>4392</v>
      </c>
      <c r="G1086" s="50" t="s">
        <v>4586</v>
      </c>
      <c r="H1086" s="57">
        <v>4800</v>
      </c>
      <c r="I1086" s="227"/>
      <c r="J1086" s="57">
        <f t="shared" si="176"/>
        <v>4800</v>
      </c>
      <c r="K1086" s="50">
        <v>3</v>
      </c>
      <c r="L1086" s="57">
        <f t="shared" si="177"/>
        <v>14400</v>
      </c>
      <c r="M1086" s="228">
        <f t="shared" si="178"/>
        <v>15840</v>
      </c>
      <c r="N1086" s="18" t="s">
        <v>25</v>
      </c>
      <c r="O1086" s="50"/>
    </row>
    <row r="1087" spans="1:27" ht="21.75" customHeight="1" x14ac:dyDescent="0.4">
      <c r="A1087" s="253">
        <v>45740</v>
      </c>
      <c r="B1087" s="32" t="s">
        <v>4587</v>
      </c>
      <c r="C1087" s="32" t="s">
        <v>405</v>
      </c>
      <c r="D1087" s="18" t="s">
        <v>22</v>
      </c>
      <c r="E1087" s="63" t="s">
        <v>23</v>
      </c>
      <c r="F1087" s="63"/>
      <c r="G1087" s="50" t="s">
        <v>264</v>
      </c>
      <c r="H1087" s="57">
        <v>15000</v>
      </c>
      <c r="I1087" s="227"/>
      <c r="J1087" s="57">
        <f t="shared" si="176"/>
        <v>15000</v>
      </c>
      <c r="K1087" s="50">
        <v>1</v>
      </c>
      <c r="L1087" s="57">
        <f t="shared" si="177"/>
        <v>15000</v>
      </c>
      <c r="M1087" s="228">
        <f t="shared" si="178"/>
        <v>16500</v>
      </c>
      <c r="N1087" s="18" t="s">
        <v>25</v>
      </c>
      <c r="O1087" s="50"/>
      <c r="P1087" s="52" t="s">
        <v>1608</v>
      </c>
    </row>
    <row r="1088" spans="1:27" ht="21.75" customHeight="1" x14ac:dyDescent="0.4">
      <c r="A1088" s="253">
        <v>45740</v>
      </c>
      <c r="B1088" s="32" t="s">
        <v>148</v>
      </c>
      <c r="C1088" s="32" t="s">
        <v>2557</v>
      </c>
      <c r="D1088" s="18" t="s">
        <v>317</v>
      </c>
      <c r="E1088" s="63" t="s">
        <v>28</v>
      </c>
      <c r="F1088" s="63"/>
      <c r="G1088" s="50" t="s">
        <v>3663</v>
      </c>
      <c r="H1088" s="57">
        <v>17500</v>
      </c>
      <c r="I1088" s="227"/>
      <c r="J1088" s="57">
        <f t="shared" si="176"/>
        <v>17500</v>
      </c>
      <c r="K1088" s="50">
        <v>1</v>
      </c>
      <c r="L1088" s="57">
        <f t="shared" si="177"/>
        <v>17500</v>
      </c>
      <c r="M1088" s="228">
        <f t="shared" si="178"/>
        <v>19250</v>
      </c>
      <c r="N1088" s="18" t="s">
        <v>20</v>
      </c>
      <c r="O1088" s="50"/>
    </row>
    <row r="1089" spans="1:27" ht="21.75" customHeight="1" x14ac:dyDescent="0.4">
      <c r="A1089" s="62">
        <v>45742</v>
      </c>
      <c r="B1089" s="32" t="s">
        <v>633</v>
      </c>
      <c r="C1089" s="32" t="s">
        <v>2557</v>
      </c>
      <c r="D1089" s="18" t="s">
        <v>17</v>
      </c>
      <c r="E1089" s="63" t="s">
        <v>292</v>
      </c>
      <c r="F1089" s="63" t="s">
        <v>1051</v>
      </c>
      <c r="G1089" s="50" t="s">
        <v>3833</v>
      </c>
      <c r="H1089" s="57">
        <v>4000</v>
      </c>
      <c r="I1089" s="227">
        <v>-400</v>
      </c>
      <c r="J1089" s="57">
        <f t="shared" si="176"/>
        <v>3600</v>
      </c>
      <c r="K1089" s="50">
        <v>1</v>
      </c>
      <c r="L1089" s="57">
        <f t="shared" si="177"/>
        <v>3600</v>
      </c>
      <c r="M1089" s="228">
        <f t="shared" si="178"/>
        <v>3960</v>
      </c>
      <c r="N1089" s="18" t="s">
        <v>25</v>
      </c>
      <c r="O1089" s="50"/>
    </row>
    <row r="1090" spans="1:27" ht="21.75" customHeight="1" x14ac:dyDescent="0.4">
      <c r="A1090" s="62">
        <v>45742</v>
      </c>
      <c r="B1090" s="32" t="s">
        <v>2363</v>
      </c>
      <c r="C1090" s="32" t="s">
        <v>2557</v>
      </c>
      <c r="D1090" s="18" t="s">
        <v>27</v>
      </c>
      <c r="E1090" s="63" t="s">
        <v>28</v>
      </c>
      <c r="F1090" s="63"/>
      <c r="G1090" s="50" t="s">
        <v>3663</v>
      </c>
      <c r="H1090" s="57">
        <v>17500</v>
      </c>
      <c r="I1090" s="227"/>
      <c r="J1090" s="57">
        <f t="shared" si="176"/>
        <v>17500</v>
      </c>
      <c r="K1090" s="50">
        <v>1</v>
      </c>
      <c r="L1090" s="57">
        <f t="shared" si="177"/>
        <v>17500</v>
      </c>
      <c r="M1090" s="228">
        <f t="shared" si="178"/>
        <v>19250</v>
      </c>
      <c r="N1090" s="18" t="s">
        <v>20</v>
      </c>
      <c r="O1090" s="50"/>
    </row>
    <row r="1091" spans="1:27" ht="21.75" customHeight="1" x14ac:dyDescent="0.4">
      <c r="A1091" s="62">
        <v>45744</v>
      </c>
      <c r="B1091" s="32" t="s">
        <v>4587</v>
      </c>
      <c r="C1091" s="32" t="s">
        <v>405</v>
      </c>
      <c r="D1091" s="18" t="s">
        <v>17</v>
      </c>
      <c r="E1091" s="63" t="s">
        <v>328</v>
      </c>
      <c r="F1091" s="63" t="s">
        <v>3941</v>
      </c>
      <c r="G1091" s="50" t="s">
        <v>4588</v>
      </c>
      <c r="H1091" s="57">
        <v>63000</v>
      </c>
      <c r="I1091" s="227">
        <v>-9450</v>
      </c>
      <c r="J1091" s="57">
        <f t="shared" si="176"/>
        <v>53550</v>
      </c>
      <c r="K1091" s="50">
        <v>1</v>
      </c>
      <c r="L1091" s="57">
        <f t="shared" si="177"/>
        <v>53550</v>
      </c>
      <c r="M1091" s="228">
        <f t="shared" si="178"/>
        <v>58905</v>
      </c>
      <c r="N1091" s="18" t="s">
        <v>34</v>
      </c>
      <c r="O1091" s="50"/>
      <c r="P1091" s="52" t="s">
        <v>1608</v>
      </c>
    </row>
    <row r="1092" spans="1:27" ht="21.75" customHeight="1" x14ac:dyDescent="0.4">
      <c r="A1092" s="62">
        <v>45744</v>
      </c>
      <c r="B1092" s="32" t="s">
        <v>4587</v>
      </c>
      <c r="C1092" s="32" t="s">
        <v>405</v>
      </c>
      <c r="D1092" s="18" t="s">
        <v>17</v>
      </c>
      <c r="E1092" s="63" t="s">
        <v>330</v>
      </c>
      <c r="F1092" s="63" t="s">
        <v>480</v>
      </c>
      <c r="G1092" s="50" t="s">
        <v>3819</v>
      </c>
      <c r="H1092" s="57">
        <v>4000</v>
      </c>
      <c r="I1092" s="227"/>
      <c r="J1092" s="57">
        <f t="shared" si="176"/>
        <v>4000</v>
      </c>
      <c r="K1092" s="50">
        <v>1</v>
      </c>
      <c r="L1092" s="57">
        <f t="shared" si="177"/>
        <v>4000</v>
      </c>
      <c r="M1092" s="228">
        <f t="shared" si="178"/>
        <v>4400</v>
      </c>
      <c r="N1092" s="18" t="s">
        <v>34</v>
      </c>
      <c r="O1092" s="50"/>
      <c r="P1092" s="52" t="s">
        <v>1608</v>
      </c>
    </row>
    <row r="1093" spans="1:27" ht="21.75" customHeight="1" x14ac:dyDescent="0.4">
      <c r="A1093" s="62">
        <v>45744</v>
      </c>
      <c r="B1093" s="32" t="s">
        <v>4587</v>
      </c>
      <c r="C1093" s="32" t="s">
        <v>405</v>
      </c>
      <c r="D1093" s="18" t="s">
        <v>17</v>
      </c>
      <c r="E1093" s="63" t="s">
        <v>332</v>
      </c>
      <c r="F1093" s="63" t="s">
        <v>3553</v>
      </c>
      <c r="G1093" s="50" t="s">
        <v>4589</v>
      </c>
      <c r="H1093" s="57">
        <v>1200</v>
      </c>
      <c r="I1093" s="227"/>
      <c r="J1093" s="57">
        <f t="shared" si="176"/>
        <v>1200</v>
      </c>
      <c r="K1093" s="50">
        <v>1</v>
      </c>
      <c r="L1093" s="57">
        <f t="shared" si="177"/>
        <v>1200</v>
      </c>
      <c r="M1093" s="228">
        <f t="shared" si="178"/>
        <v>1320</v>
      </c>
      <c r="N1093" s="18" t="s">
        <v>34</v>
      </c>
      <c r="O1093" s="50"/>
      <c r="P1093" s="52" t="s">
        <v>1608</v>
      </c>
    </row>
    <row r="1094" spans="1:27" ht="21.75" customHeight="1" x14ac:dyDescent="0.4">
      <c r="A1094" s="62">
        <v>45745</v>
      </c>
      <c r="B1094" s="32" t="s">
        <v>4595</v>
      </c>
      <c r="C1094" s="32" t="s">
        <v>405</v>
      </c>
      <c r="D1094" s="18" t="s">
        <v>22</v>
      </c>
      <c r="E1094" s="63" t="s">
        <v>1496</v>
      </c>
      <c r="F1094" s="63"/>
      <c r="G1094" s="50" t="s">
        <v>49</v>
      </c>
      <c r="H1094" s="57">
        <v>3000</v>
      </c>
      <c r="I1094" s="227"/>
      <c r="J1094" s="57">
        <f t="shared" si="176"/>
        <v>3000</v>
      </c>
      <c r="K1094" s="50">
        <v>1</v>
      </c>
      <c r="L1094" s="57">
        <f t="shared" si="177"/>
        <v>3000</v>
      </c>
      <c r="M1094" s="228">
        <f t="shared" si="178"/>
        <v>3300</v>
      </c>
      <c r="N1094" s="18" t="s">
        <v>4386</v>
      </c>
      <c r="O1094" s="50"/>
    </row>
    <row r="1095" spans="1:27" s="35" customFormat="1" ht="21.75" customHeight="1" x14ac:dyDescent="0.4">
      <c r="A1095" s="190">
        <v>45747</v>
      </c>
      <c r="B1095" s="191" t="s">
        <v>4596</v>
      </c>
      <c r="C1095" s="191" t="s">
        <v>405</v>
      </c>
      <c r="D1095" s="192" t="s">
        <v>17</v>
      </c>
      <c r="E1095" s="193" t="s">
        <v>455</v>
      </c>
      <c r="F1095" s="193" t="s">
        <v>4598</v>
      </c>
      <c r="G1095" s="159" t="s">
        <v>4599</v>
      </c>
      <c r="H1095" s="186">
        <v>1900</v>
      </c>
      <c r="I1095" s="265">
        <v>-190</v>
      </c>
      <c r="J1095" s="186">
        <v>1710</v>
      </c>
      <c r="K1095" s="159">
        <v>6</v>
      </c>
      <c r="L1095" s="186">
        <v>10260</v>
      </c>
      <c r="M1095" s="231">
        <v>11286</v>
      </c>
      <c r="N1095" s="192" t="s">
        <v>34</v>
      </c>
      <c r="O1095" s="89"/>
      <c r="P1095" s="189"/>
      <c r="Q1095" s="189"/>
      <c r="R1095" s="189"/>
      <c r="S1095" s="189"/>
      <c r="T1095" s="189"/>
      <c r="U1095" s="189"/>
      <c r="W1095" s="259"/>
      <c r="X1095" s="260"/>
      <c r="Y1095" s="260"/>
      <c r="Z1095" s="260"/>
      <c r="AA1095" s="260"/>
    </row>
    <row r="1096" spans="1:27" s="35" customFormat="1" ht="21.75" customHeight="1" x14ac:dyDescent="0.4">
      <c r="A1096" s="190">
        <v>45747</v>
      </c>
      <c r="B1096" s="191" t="s">
        <v>4596</v>
      </c>
      <c r="C1096" s="191" t="s">
        <v>405</v>
      </c>
      <c r="D1096" s="192" t="s">
        <v>17</v>
      </c>
      <c r="E1096" s="193" t="s">
        <v>455</v>
      </c>
      <c r="F1096" s="193" t="s">
        <v>3550</v>
      </c>
      <c r="G1096" s="159" t="s">
        <v>4600</v>
      </c>
      <c r="H1096" s="186">
        <v>1900</v>
      </c>
      <c r="I1096" s="265">
        <v>-190</v>
      </c>
      <c r="J1096" s="186">
        <v>1710</v>
      </c>
      <c r="K1096" s="159">
        <v>10</v>
      </c>
      <c r="L1096" s="186">
        <v>17100</v>
      </c>
      <c r="M1096" s="231">
        <v>18810</v>
      </c>
      <c r="N1096" s="192" t="s">
        <v>34</v>
      </c>
      <c r="O1096" s="89"/>
      <c r="P1096" s="189"/>
      <c r="Q1096" s="189"/>
      <c r="R1096" s="189"/>
      <c r="S1096" s="189"/>
      <c r="T1096" s="189"/>
      <c r="U1096" s="189"/>
      <c r="W1096" s="259"/>
      <c r="X1096" s="260"/>
      <c r="Y1096" s="260"/>
      <c r="Z1096" s="260"/>
      <c r="AA1096" s="260"/>
    </row>
    <row r="1097" spans="1:27" ht="21.75" customHeight="1" x14ac:dyDescent="0.4">
      <c r="A1097" s="62">
        <v>45749</v>
      </c>
      <c r="B1097" s="32" t="s">
        <v>3888</v>
      </c>
      <c r="C1097" s="32" t="s">
        <v>2557</v>
      </c>
      <c r="D1097" s="18" t="s">
        <v>27</v>
      </c>
      <c r="E1097" s="63" t="s">
        <v>28</v>
      </c>
      <c r="F1097" s="63"/>
      <c r="G1097" s="50" t="s">
        <v>3663</v>
      </c>
      <c r="H1097" s="57">
        <v>17500</v>
      </c>
      <c r="I1097" s="227"/>
      <c r="J1097" s="57">
        <f t="shared" ref="J1097:J1164" si="179">SUM(H1097:I1097)</f>
        <v>17500</v>
      </c>
      <c r="K1097" s="50">
        <v>1</v>
      </c>
      <c r="L1097" s="57">
        <f t="shared" ref="L1097:L1164" si="180">SUM(J1097*K1097)</f>
        <v>17500</v>
      </c>
      <c r="M1097" s="228">
        <f t="shared" ref="M1097:M1110" si="181">ROUNDDOWN(L1097*1.1,0)</f>
        <v>19250</v>
      </c>
      <c r="N1097" s="18" t="s">
        <v>20</v>
      </c>
      <c r="O1097" s="50"/>
    </row>
    <row r="1098" spans="1:27" ht="21.75" customHeight="1" x14ac:dyDescent="0.4">
      <c r="A1098" s="62">
        <v>45749</v>
      </c>
      <c r="B1098" s="32" t="s">
        <v>4601</v>
      </c>
      <c r="C1098" s="32" t="s">
        <v>405</v>
      </c>
      <c r="D1098" s="18" t="s">
        <v>22</v>
      </c>
      <c r="E1098" s="63" t="s">
        <v>1496</v>
      </c>
      <c r="F1098" s="63"/>
      <c r="G1098" s="50" t="s">
        <v>2422</v>
      </c>
      <c r="H1098" s="57">
        <v>2000</v>
      </c>
      <c r="I1098" s="227"/>
      <c r="J1098" s="57">
        <f t="shared" si="179"/>
        <v>2000</v>
      </c>
      <c r="K1098" s="50">
        <v>1</v>
      </c>
      <c r="L1098" s="57">
        <f t="shared" si="180"/>
        <v>2000</v>
      </c>
      <c r="M1098" s="228">
        <f t="shared" si="181"/>
        <v>2200</v>
      </c>
      <c r="N1098" s="18" t="s">
        <v>25</v>
      </c>
      <c r="O1098" s="50"/>
    </row>
    <row r="1099" spans="1:27" ht="21.75" customHeight="1" x14ac:dyDescent="0.4">
      <c r="A1099" s="62">
        <v>45749</v>
      </c>
      <c r="B1099" s="261" t="s">
        <v>4677</v>
      </c>
      <c r="C1099" s="32" t="s">
        <v>405</v>
      </c>
      <c r="D1099" s="18" t="s">
        <v>22</v>
      </c>
      <c r="E1099" s="63" t="s">
        <v>256</v>
      </c>
      <c r="F1099" s="63"/>
      <c r="G1099" s="50" t="s">
        <v>257</v>
      </c>
      <c r="H1099" s="57">
        <v>3000</v>
      </c>
      <c r="I1099" s="227"/>
      <c r="J1099" s="57">
        <f t="shared" si="179"/>
        <v>3000</v>
      </c>
      <c r="K1099" s="50">
        <v>1</v>
      </c>
      <c r="L1099" s="57">
        <f t="shared" si="180"/>
        <v>3000</v>
      </c>
      <c r="M1099" s="228">
        <f t="shared" si="181"/>
        <v>3300</v>
      </c>
      <c r="N1099" s="18" t="s">
        <v>4386</v>
      </c>
      <c r="O1099" s="50"/>
    </row>
    <row r="1100" spans="1:27" ht="21.75" customHeight="1" x14ac:dyDescent="0.4">
      <c r="A1100" s="62">
        <v>45749</v>
      </c>
      <c r="B1100" s="261" t="s">
        <v>4678</v>
      </c>
      <c r="C1100" s="32" t="s">
        <v>405</v>
      </c>
      <c r="D1100" s="18" t="s">
        <v>22</v>
      </c>
      <c r="E1100" s="63" t="s">
        <v>256</v>
      </c>
      <c r="F1100" s="63"/>
      <c r="G1100" s="50" t="s">
        <v>257</v>
      </c>
      <c r="H1100" s="57">
        <v>3000</v>
      </c>
      <c r="I1100" s="227"/>
      <c r="J1100" s="57">
        <f t="shared" si="179"/>
        <v>3000</v>
      </c>
      <c r="K1100" s="50">
        <v>1</v>
      </c>
      <c r="L1100" s="57">
        <f t="shared" si="180"/>
        <v>3000</v>
      </c>
      <c r="M1100" s="228">
        <f t="shared" si="181"/>
        <v>3300</v>
      </c>
      <c r="N1100" s="18" t="s">
        <v>4386</v>
      </c>
      <c r="O1100" s="50"/>
    </row>
    <row r="1101" spans="1:27" ht="21.75" customHeight="1" x14ac:dyDescent="0.4">
      <c r="A1101" s="62">
        <v>45750</v>
      </c>
      <c r="B1101" s="32" t="s">
        <v>67</v>
      </c>
      <c r="C1101" s="32" t="s">
        <v>4292</v>
      </c>
      <c r="D1101" s="18" t="s">
        <v>17</v>
      </c>
      <c r="E1101" s="63" t="s">
        <v>426</v>
      </c>
      <c r="F1101" s="63" t="s">
        <v>994</v>
      </c>
      <c r="G1101" s="50" t="s">
        <v>4311</v>
      </c>
      <c r="H1101" s="57">
        <v>1800</v>
      </c>
      <c r="I1101" s="227">
        <v>-720</v>
      </c>
      <c r="J1101" s="57">
        <f t="shared" si="179"/>
        <v>1080</v>
      </c>
      <c r="K1101" s="50">
        <v>2</v>
      </c>
      <c r="L1101" s="57">
        <f t="shared" si="180"/>
        <v>2160</v>
      </c>
      <c r="M1101" s="228">
        <f t="shared" si="181"/>
        <v>2376</v>
      </c>
      <c r="N1101" s="18" t="s">
        <v>25</v>
      </c>
      <c r="O1101" s="50"/>
    </row>
    <row r="1102" spans="1:27" ht="21.75" customHeight="1" x14ac:dyDescent="0.4">
      <c r="A1102" s="62">
        <v>45750</v>
      </c>
      <c r="B1102" s="32" t="s">
        <v>67</v>
      </c>
      <c r="C1102" s="32" t="s">
        <v>4292</v>
      </c>
      <c r="D1102" s="18" t="s">
        <v>17</v>
      </c>
      <c r="E1102" s="63" t="s">
        <v>426</v>
      </c>
      <c r="F1102" s="63" t="s">
        <v>994</v>
      </c>
      <c r="G1102" s="50" t="s">
        <v>4310</v>
      </c>
      <c r="H1102" s="57">
        <v>1800</v>
      </c>
      <c r="I1102" s="227">
        <v>-720</v>
      </c>
      <c r="J1102" s="57">
        <f t="shared" si="179"/>
        <v>1080</v>
      </c>
      <c r="K1102" s="50">
        <v>1</v>
      </c>
      <c r="L1102" s="57">
        <f t="shared" si="180"/>
        <v>1080</v>
      </c>
      <c r="M1102" s="228">
        <f t="shared" si="181"/>
        <v>1188</v>
      </c>
      <c r="N1102" s="18" t="s">
        <v>25</v>
      </c>
      <c r="O1102" s="50"/>
    </row>
    <row r="1103" spans="1:27" ht="21.75" customHeight="1" x14ac:dyDescent="0.4">
      <c r="A1103" s="62">
        <v>45750</v>
      </c>
      <c r="B1103" s="32" t="s">
        <v>67</v>
      </c>
      <c r="C1103" s="32" t="s">
        <v>4292</v>
      </c>
      <c r="D1103" s="18" t="s">
        <v>17</v>
      </c>
      <c r="E1103" s="63" t="s">
        <v>426</v>
      </c>
      <c r="F1103" s="63" t="s">
        <v>994</v>
      </c>
      <c r="G1103" s="50" t="s">
        <v>3736</v>
      </c>
      <c r="H1103" s="57">
        <v>1800</v>
      </c>
      <c r="I1103" s="227">
        <v>-720</v>
      </c>
      <c r="J1103" s="57">
        <f t="shared" si="179"/>
        <v>1080</v>
      </c>
      <c r="K1103" s="50">
        <v>1</v>
      </c>
      <c r="L1103" s="57">
        <f t="shared" si="180"/>
        <v>1080</v>
      </c>
      <c r="M1103" s="228">
        <f t="shared" si="181"/>
        <v>1188</v>
      </c>
      <c r="N1103" s="18" t="s">
        <v>25</v>
      </c>
      <c r="O1103" s="50"/>
    </row>
    <row r="1104" spans="1:27" ht="21.75" customHeight="1" x14ac:dyDescent="0.4">
      <c r="A1104" s="62">
        <v>45750</v>
      </c>
      <c r="B1104" s="32" t="s">
        <v>4602</v>
      </c>
      <c r="C1104" s="32" t="s">
        <v>2557</v>
      </c>
      <c r="D1104" s="18" t="s">
        <v>27</v>
      </c>
      <c r="E1104" s="63" t="s">
        <v>28</v>
      </c>
      <c r="F1104" s="63"/>
      <c r="G1104" s="50" t="s">
        <v>318</v>
      </c>
      <c r="H1104" s="57">
        <v>15000</v>
      </c>
      <c r="I1104" s="227"/>
      <c r="J1104" s="57">
        <f t="shared" si="179"/>
        <v>15000</v>
      </c>
      <c r="K1104" s="50">
        <v>1</v>
      </c>
      <c r="L1104" s="57">
        <f t="shared" si="180"/>
        <v>15000</v>
      </c>
      <c r="M1104" s="228">
        <f t="shared" si="181"/>
        <v>16500</v>
      </c>
      <c r="N1104" s="18" t="s">
        <v>25</v>
      </c>
      <c r="O1104" s="50"/>
    </row>
    <row r="1105" spans="1:16" ht="21.75" customHeight="1" x14ac:dyDescent="0.4">
      <c r="A1105" s="62">
        <v>45750</v>
      </c>
      <c r="B1105" s="32" t="s">
        <v>4603</v>
      </c>
      <c r="C1105" s="32" t="s">
        <v>2557</v>
      </c>
      <c r="D1105" s="18" t="s">
        <v>27</v>
      </c>
      <c r="E1105" s="63" t="s">
        <v>28</v>
      </c>
      <c r="F1105" s="63"/>
      <c r="G1105" s="50" t="s">
        <v>318</v>
      </c>
      <c r="H1105" s="57">
        <v>15000</v>
      </c>
      <c r="I1105" s="227"/>
      <c r="J1105" s="57">
        <f t="shared" si="179"/>
        <v>15000</v>
      </c>
      <c r="K1105" s="50">
        <v>1</v>
      </c>
      <c r="L1105" s="57">
        <f t="shared" si="180"/>
        <v>15000</v>
      </c>
      <c r="M1105" s="228">
        <f t="shared" si="181"/>
        <v>16500</v>
      </c>
      <c r="N1105" s="18" t="s">
        <v>25</v>
      </c>
      <c r="O1105" s="50"/>
    </row>
    <row r="1106" spans="1:16" ht="21.75" customHeight="1" x14ac:dyDescent="0.4">
      <c r="A1106" s="62">
        <v>45750</v>
      </c>
      <c r="B1106" s="32" t="s">
        <v>4604</v>
      </c>
      <c r="C1106" s="32" t="s">
        <v>4313</v>
      </c>
      <c r="D1106" s="18" t="s">
        <v>22</v>
      </c>
      <c r="E1106" s="63" t="s">
        <v>1496</v>
      </c>
      <c r="F1106" s="63"/>
      <c r="G1106" s="50" t="s">
        <v>2422</v>
      </c>
      <c r="H1106" s="57">
        <v>2000</v>
      </c>
      <c r="I1106" s="227"/>
      <c r="J1106" s="57">
        <f t="shared" si="179"/>
        <v>2000</v>
      </c>
      <c r="K1106" s="50">
        <v>1</v>
      </c>
      <c r="L1106" s="57">
        <f t="shared" si="180"/>
        <v>2000</v>
      </c>
      <c r="M1106" s="228">
        <f t="shared" si="181"/>
        <v>2200</v>
      </c>
      <c r="N1106" s="18" t="s">
        <v>20</v>
      </c>
      <c r="O1106" s="50"/>
    </row>
    <row r="1107" spans="1:16" ht="21.75" customHeight="1" x14ac:dyDescent="0.4">
      <c r="A1107" s="62">
        <v>45750</v>
      </c>
      <c r="B1107" s="32" t="s">
        <v>179</v>
      </c>
      <c r="C1107" s="32" t="s">
        <v>2557</v>
      </c>
      <c r="D1107" s="18" t="s">
        <v>17</v>
      </c>
      <c r="E1107" s="63" t="s">
        <v>332</v>
      </c>
      <c r="F1107" s="63" t="s">
        <v>3555</v>
      </c>
      <c r="G1107" s="50" t="s">
        <v>4354</v>
      </c>
      <c r="H1107" s="57">
        <v>1700</v>
      </c>
      <c r="I1107" s="227">
        <v>-170</v>
      </c>
      <c r="J1107" s="57">
        <f t="shared" si="179"/>
        <v>1530</v>
      </c>
      <c r="K1107" s="50">
        <v>2</v>
      </c>
      <c r="L1107" s="57">
        <f t="shared" si="180"/>
        <v>3060</v>
      </c>
      <c r="M1107" s="228">
        <f t="shared" si="181"/>
        <v>3366</v>
      </c>
      <c r="N1107" s="18" t="s">
        <v>20</v>
      </c>
      <c r="O1107" s="50"/>
    </row>
    <row r="1108" spans="1:16" ht="21.75" customHeight="1" x14ac:dyDescent="0.4">
      <c r="A1108" s="62">
        <v>45750</v>
      </c>
      <c r="B1108" s="32" t="s">
        <v>4690</v>
      </c>
      <c r="C1108" s="32" t="s">
        <v>2557</v>
      </c>
      <c r="D1108" s="18" t="s">
        <v>27</v>
      </c>
      <c r="E1108" s="63" t="s">
        <v>28</v>
      </c>
      <c r="F1108" s="63"/>
      <c r="G1108" s="50" t="s">
        <v>318</v>
      </c>
      <c r="H1108" s="57">
        <v>15000</v>
      </c>
      <c r="I1108" s="227"/>
      <c r="J1108" s="57">
        <f t="shared" si="179"/>
        <v>15000</v>
      </c>
      <c r="K1108" s="50">
        <v>1</v>
      </c>
      <c r="L1108" s="57">
        <f t="shared" si="180"/>
        <v>15000</v>
      </c>
      <c r="M1108" s="228">
        <f t="shared" si="181"/>
        <v>16500</v>
      </c>
      <c r="N1108" s="18" t="s">
        <v>25</v>
      </c>
      <c r="O1108" s="50"/>
    </row>
    <row r="1109" spans="1:16" ht="21.75" customHeight="1" x14ac:dyDescent="0.4">
      <c r="A1109" s="62">
        <v>45750</v>
      </c>
      <c r="B1109" s="261" t="s">
        <v>4684</v>
      </c>
      <c r="C1109" s="32" t="s">
        <v>2557</v>
      </c>
      <c r="D1109" s="18" t="s">
        <v>27</v>
      </c>
      <c r="E1109" s="63" t="s">
        <v>103</v>
      </c>
      <c r="F1109" s="63"/>
      <c r="G1109" s="63" t="s">
        <v>364</v>
      </c>
      <c r="H1109" s="57">
        <v>25000</v>
      </c>
      <c r="I1109" s="227"/>
      <c r="J1109" s="57">
        <f t="shared" si="179"/>
        <v>25000</v>
      </c>
      <c r="K1109" s="50">
        <v>1</v>
      </c>
      <c r="L1109" s="57">
        <f t="shared" si="180"/>
        <v>25000</v>
      </c>
      <c r="M1109" s="228">
        <f t="shared" si="181"/>
        <v>27500</v>
      </c>
      <c r="N1109" s="18" t="s">
        <v>4386</v>
      </c>
      <c r="O1109" s="50"/>
    </row>
    <row r="1110" spans="1:16" ht="21.75" customHeight="1" x14ac:dyDescent="0.4">
      <c r="A1110" s="62">
        <v>45750</v>
      </c>
      <c r="B1110" s="261" t="s">
        <v>4683</v>
      </c>
      <c r="C1110" s="32" t="s">
        <v>2557</v>
      </c>
      <c r="D1110" s="18" t="s">
        <v>27</v>
      </c>
      <c r="E1110" s="63" t="s">
        <v>103</v>
      </c>
      <c r="F1110" s="63"/>
      <c r="G1110" s="63" t="s">
        <v>364</v>
      </c>
      <c r="H1110" s="57">
        <v>25000</v>
      </c>
      <c r="I1110" s="227"/>
      <c r="J1110" s="57">
        <f t="shared" si="179"/>
        <v>25000</v>
      </c>
      <c r="K1110" s="50">
        <v>1</v>
      </c>
      <c r="L1110" s="57">
        <f t="shared" si="180"/>
        <v>25000</v>
      </c>
      <c r="M1110" s="228">
        <f t="shared" si="181"/>
        <v>27500</v>
      </c>
      <c r="N1110" s="18" t="s">
        <v>4386</v>
      </c>
      <c r="O1110" s="50"/>
    </row>
    <row r="1111" spans="1:16" ht="21.75" customHeight="1" x14ac:dyDescent="0.4">
      <c r="A1111" s="62">
        <v>45751</v>
      </c>
      <c r="B1111" s="32" t="s">
        <v>4606</v>
      </c>
      <c r="C1111" s="32" t="s">
        <v>4313</v>
      </c>
      <c r="D1111" s="18" t="s">
        <v>22</v>
      </c>
      <c r="E1111" s="63" t="s">
        <v>1496</v>
      </c>
      <c r="F1111" s="63"/>
      <c r="G1111" s="50" t="s">
        <v>2422</v>
      </c>
      <c r="H1111" s="57">
        <v>2000</v>
      </c>
      <c r="I1111" s="227"/>
      <c r="J1111" s="57">
        <f t="shared" si="179"/>
        <v>2000</v>
      </c>
      <c r="K1111" s="50">
        <v>1</v>
      </c>
      <c r="L1111" s="57">
        <f t="shared" si="180"/>
        <v>2000</v>
      </c>
      <c r="M1111" s="228">
        <v>2200</v>
      </c>
      <c r="N1111" s="18" t="s">
        <v>20</v>
      </c>
      <c r="O1111" s="50" t="s">
        <v>4605</v>
      </c>
    </row>
    <row r="1112" spans="1:16" ht="21.75" customHeight="1" x14ac:dyDescent="0.4">
      <c r="A1112" s="62">
        <v>45751</v>
      </c>
      <c r="B1112" s="261" t="s">
        <v>4682</v>
      </c>
      <c r="C1112" s="32" t="s">
        <v>405</v>
      </c>
      <c r="D1112" s="18" t="s">
        <v>22</v>
      </c>
      <c r="E1112" s="63" t="s">
        <v>256</v>
      </c>
      <c r="F1112" s="63"/>
      <c r="G1112" s="50" t="s">
        <v>257</v>
      </c>
      <c r="H1112" s="57">
        <v>3000</v>
      </c>
      <c r="I1112" s="227"/>
      <c r="J1112" s="57">
        <f t="shared" si="179"/>
        <v>3000</v>
      </c>
      <c r="K1112" s="50">
        <v>1</v>
      </c>
      <c r="L1112" s="57">
        <f t="shared" si="180"/>
        <v>3000</v>
      </c>
      <c r="M1112" s="228">
        <f t="shared" ref="M1112:M1179" si="182">ROUNDDOWN(L1112*1.1,0)</f>
        <v>3300</v>
      </c>
      <c r="N1112" s="18" t="s">
        <v>4386</v>
      </c>
      <c r="O1112" s="50"/>
    </row>
    <row r="1113" spans="1:16" ht="21.75" customHeight="1" x14ac:dyDescent="0.4">
      <c r="A1113" s="62">
        <v>45752</v>
      </c>
      <c r="B1113" s="32" t="s">
        <v>957</v>
      </c>
      <c r="C1113" s="32" t="s">
        <v>2557</v>
      </c>
      <c r="D1113" s="18" t="s">
        <v>17</v>
      </c>
      <c r="E1113" s="63" t="s">
        <v>292</v>
      </c>
      <c r="F1113" s="63" t="s">
        <v>1051</v>
      </c>
      <c r="G1113" s="50" t="s">
        <v>4609</v>
      </c>
      <c r="H1113" s="57">
        <v>5200</v>
      </c>
      <c r="I1113" s="227"/>
      <c r="J1113" s="57">
        <f t="shared" si="179"/>
        <v>5200</v>
      </c>
      <c r="K1113" s="50">
        <v>1</v>
      </c>
      <c r="L1113" s="57">
        <f t="shared" si="180"/>
        <v>5200</v>
      </c>
      <c r="M1113" s="228">
        <f t="shared" si="182"/>
        <v>5720</v>
      </c>
      <c r="N1113" s="18" t="s">
        <v>25</v>
      </c>
      <c r="O1113" s="50"/>
    </row>
    <row r="1114" spans="1:16" ht="21.75" customHeight="1" x14ac:dyDescent="0.4">
      <c r="A1114" s="62">
        <v>45752</v>
      </c>
      <c r="B1114" s="32" t="s">
        <v>3117</v>
      </c>
      <c r="C1114" s="32" t="s">
        <v>2557</v>
      </c>
      <c r="D1114" s="18" t="s">
        <v>22</v>
      </c>
      <c r="E1114" s="63" t="s">
        <v>23</v>
      </c>
      <c r="F1114" s="63"/>
      <c r="G1114" s="50" t="s">
        <v>4610</v>
      </c>
      <c r="H1114" s="57">
        <v>10000</v>
      </c>
      <c r="I1114" s="227"/>
      <c r="J1114" s="57">
        <f t="shared" si="179"/>
        <v>10000</v>
      </c>
      <c r="K1114" s="50">
        <v>1</v>
      </c>
      <c r="L1114" s="57">
        <f t="shared" si="180"/>
        <v>10000</v>
      </c>
      <c r="M1114" s="228">
        <f t="shared" si="182"/>
        <v>11000</v>
      </c>
      <c r="N1114" s="18" t="s">
        <v>20</v>
      </c>
      <c r="O1114" s="50"/>
      <c r="P1114" s="52" t="s">
        <v>1557</v>
      </c>
    </row>
    <row r="1115" spans="1:16" ht="21.75" customHeight="1" x14ac:dyDescent="0.4">
      <c r="A1115" s="62">
        <v>45752</v>
      </c>
      <c r="B1115" s="32" t="s">
        <v>3117</v>
      </c>
      <c r="C1115" s="32" t="s">
        <v>2557</v>
      </c>
      <c r="D1115" s="18" t="s">
        <v>17</v>
      </c>
      <c r="E1115" s="63" t="s">
        <v>328</v>
      </c>
      <c r="F1115" s="63" t="s">
        <v>3599</v>
      </c>
      <c r="G1115" s="50" t="s">
        <v>4611</v>
      </c>
      <c r="H1115" s="57">
        <v>52000</v>
      </c>
      <c r="I1115" s="227">
        <v>-15600</v>
      </c>
      <c r="J1115" s="57">
        <f t="shared" si="179"/>
        <v>36400</v>
      </c>
      <c r="K1115" s="50">
        <v>1</v>
      </c>
      <c r="L1115" s="57">
        <f t="shared" si="180"/>
        <v>36400</v>
      </c>
      <c r="M1115" s="228">
        <f t="shared" si="182"/>
        <v>40040</v>
      </c>
      <c r="N1115" s="18" t="s">
        <v>20</v>
      </c>
      <c r="O1115" s="50"/>
      <c r="P1115" s="52" t="s">
        <v>1557</v>
      </c>
    </row>
    <row r="1116" spans="1:16" ht="21.75" customHeight="1" x14ac:dyDescent="0.4">
      <c r="A1116" s="62">
        <v>45752</v>
      </c>
      <c r="B1116" s="32" t="s">
        <v>3117</v>
      </c>
      <c r="C1116" s="32" t="s">
        <v>2557</v>
      </c>
      <c r="D1116" s="18" t="s">
        <v>17</v>
      </c>
      <c r="E1116" s="63" t="s">
        <v>328</v>
      </c>
      <c r="F1116" s="63" t="s">
        <v>3599</v>
      </c>
      <c r="G1116" s="50" t="s">
        <v>4612</v>
      </c>
      <c r="H1116" s="57">
        <v>52000</v>
      </c>
      <c r="I1116" s="227">
        <v>-15600</v>
      </c>
      <c r="J1116" s="57">
        <f t="shared" si="179"/>
        <v>36400</v>
      </c>
      <c r="K1116" s="50">
        <v>1</v>
      </c>
      <c r="L1116" s="57">
        <f t="shared" si="180"/>
        <v>36400</v>
      </c>
      <c r="M1116" s="228">
        <f t="shared" si="182"/>
        <v>40040</v>
      </c>
      <c r="N1116" s="18" t="s">
        <v>20</v>
      </c>
      <c r="O1116" s="50"/>
      <c r="P1116" s="52" t="s">
        <v>1557</v>
      </c>
    </row>
    <row r="1117" spans="1:16" ht="21.75" customHeight="1" x14ac:dyDescent="0.4">
      <c r="A1117" s="62">
        <v>45752</v>
      </c>
      <c r="B1117" s="32" t="s">
        <v>3117</v>
      </c>
      <c r="C1117" s="32" t="s">
        <v>2557</v>
      </c>
      <c r="D1117" s="18" t="s">
        <v>17</v>
      </c>
      <c r="E1117" s="63" t="s">
        <v>576</v>
      </c>
      <c r="F1117" s="63" t="s">
        <v>3543</v>
      </c>
      <c r="G1117" s="50" t="s">
        <v>4613</v>
      </c>
      <c r="H1117" s="57">
        <v>61000</v>
      </c>
      <c r="I1117" s="227">
        <v>-9150</v>
      </c>
      <c r="J1117" s="57">
        <f t="shared" si="179"/>
        <v>51850</v>
      </c>
      <c r="K1117" s="50">
        <v>1</v>
      </c>
      <c r="L1117" s="57">
        <f t="shared" si="180"/>
        <v>51850</v>
      </c>
      <c r="M1117" s="228">
        <f t="shared" si="182"/>
        <v>57035</v>
      </c>
      <c r="N1117" s="18" t="s">
        <v>20</v>
      </c>
      <c r="O1117" s="50"/>
      <c r="P1117" s="52" t="s">
        <v>1557</v>
      </c>
    </row>
    <row r="1118" spans="1:16" ht="21.75" customHeight="1" x14ac:dyDescent="0.4">
      <c r="A1118" s="62">
        <v>45752</v>
      </c>
      <c r="B1118" s="32" t="s">
        <v>3117</v>
      </c>
      <c r="C1118" s="32" t="s">
        <v>2557</v>
      </c>
      <c r="D1118" s="18" t="s">
        <v>17</v>
      </c>
      <c r="E1118" s="63" t="s">
        <v>576</v>
      </c>
      <c r="F1118" s="63" t="s">
        <v>3543</v>
      </c>
      <c r="G1118" s="50" t="s">
        <v>4614</v>
      </c>
      <c r="H1118" s="57">
        <v>61000</v>
      </c>
      <c r="I1118" s="227">
        <v>-9150</v>
      </c>
      <c r="J1118" s="57">
        <f t="shared" si="179"/>
        <v>51850</v>
      </c>
      <c r="K1118" s="50">
        <v>1</v>
      </c>
      <c r="L1118" s="57">
        <f t="shared" si="180"/>
        <v>51850</v>
      </c>
      <c r="M1118" s="228">
        <f t="shared" si="182"/>
        <v>57035</v>
      </c>
      <c r="N1118" s="18" t="s">
        <v>20</v>
      </c>
      <c r="O1118" s="50"/>
      <c r="P1118" s="52" t="s">
        <v>1557</v>
      </c>
    </row>
    <row r="1119" spans="1:16" ht="21.75" customHeight="1" x14ac:dyDescent="0.4">
      <c r="A1119" s="62">
        <v>45752</v>
      </c>
      <c r="B1119" s="32" t="s">
        <v>3117</v>
      </c>
      <c r="C1119" s="32" t="s">
        <v>2557</v>
      </c>
      <c r="D1119" s="18" t="s">
        <v>17</v>
      </c>
      <c r="E1119" s="63" t="s">
        <v>332</v>
      </c>
      <c r="F1119" s="63" t="s">
        <v>3550</v>
      </c>
      <c r="G1119" s="50" t="s">
        <v>4574</v>
      </c>
      <c r="H1119" s="57">
        <v>1700</v>
      </c>
      <c r="I1119" s="227">
        <v>-170</v>
      </c>
      <c r="J1119" s="57">
        <f t="shared" si="179"/>
        <v>1530</v>
      </c>
      <c r="K1119" s="50">
        <v>2</v>
      </c>
      <c r="L1119" s="57">
        <f t="shared" si="180"/>
        <v>3060</v>
      </c>
      <c r="M1119" s="228">
        <f t="shared" si="182"/>
        <v>3366</v>
      </c>
      <c r="N1119" s="18" t="s">
        <v>20</v>
      </c>
      <c r="O1119" s="50"/>
      <c r="P1119" s="52" t="s">
        <v>1557</v>
      </c>
    </row>
    <row r="1120" spans="1:16" ht="21.75" customHeight="1" x14ac:dyDescent="0.4">
      <c r="A1120" s="62">
        <v>45752</v>
      </c>
      <c r="B1120" s="32" t="s">
        <v>3117</v>
      </c>
      <c r="C1120" s="32" t="s">
        <v>2557</v>
      </c>
      <c r="D1120" s="96" t="s">
        <v>198</v>
      </c>
      <c r="E1120" s="63"/>
      <c r="F1120" s="63"/>
      <c r="G1120" s="50" t="s">
        <v>2491</v>
      </c>
      <c r="H1120" s="57">
        <v>-10000</v>
      </c>
      <c r="I1120" s="227"/>
      <c r="J1120" s="57">
        <f t="shared" si="179"/>
        <v>-10000</v>
      </c>
      <c r="K1120" s="50">
        <v>1</v>
      </c>
      <c r="L1120" s="57">
        <f t="shared" si="180"/>
        <v>-10000</v>
      </c>
      <c r="M1120" s="238">
        <f t="shared" si="182"/>
        <v>-11000</v>
      </c>
      <c r="N1120" s="18" t="s">
        <v>20</v>
      </c>
      <c r="O1120" s="50"/>
    </row>
    <row r="1121" spans="1:15" ht="21.75" customHeight="1" x14ac:dyDescent="0.4">
      <c r="A1121" s="62">
        <v>45753</v>
      </c>
      <c r="B1121" s="32" t="s">
        <v>1242</v>
      </c>
      <c r="C1121" s="32" t="s">
        <v>2557</v>
      </c>
      <c r="D1121" s="18" t="s">
        <v>17</v>
      </c>
      <c r="E1121" s="63" t="s">
        <v>59</v>
      </c>
      <c r="F1121" s="63"/>
      <c r="G1121" s="50" t="s">
        <v>4615</v>
      </c>
      <c r="H1121" s="57">
        <v>500</v>
      </c>
      <c r="I1121" s="227"/>
      <c r="J1121" s="57">
        <f t="shared" si="179"/>
        <v>500</v>
      </c>
      <c r="K1121" s="50">
        <v>1</v>
      </c>
      <c r="L1121" s="57">
        <f t="shared" si="180"/>
        <v>500</v>
      </c>
      <c r="M1121" s="228">
        <f t="shared" si="182"/>
        <v>550</v>
      </c>
      <c r="N1121" s="18" t="s">
        <v>25</v>
      </c>
      <c r="O1121" s="50"/>
    </row>
    <row r="1122" spans="1:15" ht="21.75" customHeight="1" x14ac:dyDescent="0.4">
      <c r="A1122" s="62">
        <v>45753</v>
      </c>
      <c r="B1122" s="32" t="s">
        <v>1242</v>
      </c>
      <c r="C1122" s="32" t="s">
        <v>2557</v>
      </c>
      <c r="D1122" s="18" t="s">
        <v>17</v>
      </c>
      <c r="E1122" s="63" t="s">
        <v>332</v>
      </c>
      <c r="F1122" s="63" t="s">
        <v>3554</v>
      </c>
      <c r="G1122" s="50" t="s">
        <v>3879</v>
      </c>
      <c r="H1122" s="57">
        <v>1200</v>
      </c>
      <c r="I1122" s="227">
        <v>-120</v>
      </c>
      <c r="J1122" s="57">
        <f t="shared" si="179"/>
        <v>1080</v>
      </c>
      <c r="K1122" s="50">
        <v>1</v>
      </c>
      <c r="L1122" s="57">
        <f t="shared" si="180"/>
        <v>1080</v>
      </c>
      <c r="M1122" s="228">
        <f t="shared" si="182"/>
        <v>1188</v>
      </c>
      <c r="N1122" s="18" t="s">
        <v>1516</v>
      </c>
      <c r="O1122" s="50"/>
    </row>
    <row r="1123" spans="1:15" ht="21.75" customHeight="1" x14ac:dyDescent="0.4">
      <c r="A1123" s="62">
        <v>45754</v>
      </c>
      <c r="B1123" s="32" t="s">
        <v>420</v>
      </c>
      <c r="C1123" s="32" t="s">
        <v>2557</v>
      </c>
      <c r="D1123" s="18" t="s">
        <v>17</v>
      </c>
      <c r="E1123" s="63" t="s">
        <v>292</v>
      </c>
      <c r="F1123" s="63" t="s">
        <v>1051</v>
      </c>
      <c r="G1123" s="50" t="s">
        <v>3655</v>
      </c>
      <c r="H1123" s="57">
        <v>4000</v>
      </c>
      <c r="I1123" s="227">
        <v>-400</v>
      </c>
      <c r="J1123" s="57">
        <f t="shared" si="179"/>
        <v>3600</v>
      </c>
      <c r="K1123" s="50">
        <v>1</v>
      </c>
      <c r="L1123" s="57">
        <f t="shared" si="180"/>
        <v>3600</v>
      </c>
      <c r="M1123" s="228">
        <f t="shared" si="182"/>
        <v>3960</v>
      </c>
      <c r="N1123" s="18" t="s">
        <v>1516</v>
      </c>
      <c r="O1123" s="50"/>
    </row>
    <row r="1124" spans="1:15" ht="21.75" customHeight="1" x14ac:dyDescent="0.4">
      <c r="A1124" s="62">
        <v>45754</v>
      </c>
      <c r="B1124" s="32" t="s">
        <v>4691</v>
      </c>
      <c r="C1124" s="32" t="s">
        <v>2557</v>
      </c>
      <c r="D1124" s="18" t="s">
        <v>27</v>
      </c>
      <c r="E1124" s="63" t="s">
        <v>28</v>
      </c>
      <c r="F1124" s="63"/>
      <c r="G1124" s="50" t="s">
        <v>318</v>
      </c>
      <c r="H1124" s="57">
        <v>15000</v>
      </c>
      <c r="I1124" s="227"/>
      <c r="J1124" s="57">
        <f t="shared" si="179"/>
        <v>15000</v>
      </c>
      <c r="K1124" s="50">
        <v>1</v>
      </c>
      <c r="L1124" s="57">
        <f t="shared" si="180"/>
        <v>15000</v>
      </c>
      <c r="M1124" s="228">
        <f t="shared" si="182"/>
        <v>16500</v>
      </c>
      <c r="N1124" s="18" t="s">
        <v>1516</v>
      </c>
      <c r="O1124" s="50"/>
    </row>
    <row r="1125" spans="1:15" ht="21.75" customHeight="1" x14ac:dyDescent="0.4">
      <c r="A1125" s="62">
        <v>45754</v>
      </c>
      <c r="B1125" s="32" t="s">
        <v>4578</v>
      </c>
      <c r="C1125" s="32" t="s">
        <v>4292</v>
      </c>
      <c r="D1125" s="18" t="s">
        <v>17</v>
      </c>
      <c r="E1125" s="63" t="s">
        <v>1277</v>
      </c>
      <c r="F1125" s="63" t="s">
        <v>3553</v>
      </c>
      <c r="G1125" s="50" t="s">
        <v>4692</v>
      </c>
      <c r="H1125" s="57">
        <v>83200</v>
      </c>
      <c r="I1125" s="227"/>
      <c r="J1125" s="57">
        <f t="shared" si="179"/>
        <v>83200</v>
      </c>
      <c r="K1125" s="50">
        <v>1</v>
      </c>
      <c r="L1125" s="57">
        <f t="shared" si="180"/>
        <v>83200</v>
      </c>
      <c r="M1125" s="228">
        <f t="shared" si="182"/>
        <v>91520</v>
      </c>
      <c r="N1125" s="18" t="s">
        <v>34</v>
      </c>
      <c r="O1125" s="50"/>
    </row>
    <row r="1126" spans="1:15" ht="21.75" customHeight="1" x14ac:dyDescent="0.4">
      <c r="A1126" s="62">
        <v>45755</v>
      </c>
      <c r="B1126" s="261" t="s">
        <v>4681</v>
      </c>
      <c r="C1126" s="32" t="s">
        <v>405</v>
      </c>
      <c r="D1126" s="18" t="s">
        <v>22</v>
      </c>
      <c r="E1126" s="63" t="s">
        <v>256</v>
      </c>
      <c r="F1126" s="63"/>
      <c r="G1126" s="50" t="s">
        <v>257</v>
      </c>
      <c r="H1126" s="57">
        <v>3000</v>
      </c>
      <c r="I1126" s="227"/>
      <c r="J1126" s="57">
        <f t="shared" si="179"/>
        <v>3000</v>
      </c>
      <c r="K1126" s="50">
        <v>1</v>
      </c>
      <c r="L1126" s="57">
        <f t="shared" si="180"/>
        <v>3000</v>
      </c>
      <c r="M1126" s="228">
        <f t="shared" si="182"/>
        <v>3300</v>
      </c>
      <c r="N1126" s="18" t="s">
        <v>4386</v>
      </c>
      <c r="O1126" s="50"/>
    </row>
    <row r="1127" spans="1:15" ht="21.75" customHeight="1" x14ac:dyDescent="0.4">
      <c r="A1127" s="62">
        <v>45756</v>
      </c>
      <c r="B1127" s="32" t="s">
        <v>162</v>
      </c>
      <c r="C1127" s="32" t="s">
        <v>2557</v>
      </c>
      <c r="D1127" s="18" t="s">
        <v>27</v>
      </c>
      <c r="E1127" s="63" t="s">
        <v>28</v>
      </c>
      <c r="F1127" s="63"/>
      <c r="G1127" s="50" t="s">
        <v>4568</v>
      </c>
      <c r="H1127" s="57">
        <v>2000</v>
      </c>
      <c r="I1127" s="227"/>
      <c r="J1127" s="57">
        <f t="shared" si="179"/>
        <v>2000</v>
      </c>
      <c r="K1127" s="50">
        <v>1</v>
      </c>
      <c r="L1127" s="57">
        <f t="shared" si="180"/>
        <v>2000</v>
      </c>
      <c r="M1127" s="228">
        <f t="shared" si="182"/>
        <v>2200</v>
      </c>
      <c r="N1127" s="18" t="s">
        <v>20</v>
      </c>
      <c r="O1127" s="50" t="s">
        <v>4623</v>
      </c>
    </row>
    <row r="1128" spans="1:15" ht="21.75" customHeight="1" x14ac:dyDescent="0.4">
      <c r="A1128" s="62">
        <v>45756</v>
      </c>
      <c r="B1128" s="32" t="s">
        <v>1059</v>
      </c>
      <c r="C1128" s="32" t="s">
        <v>2557</v>
      </c>
      <c r="D1128" s="18" t="s">
        <v>17</v>
      </c>
      <c r="E1128" s="63" t="s">
        <v>330</v>
      </c>
      <c r="F1128" s="63" t="s">
        <v>557</v>
      </c>
      <c r="G1128" s="50" t="s">
        <v>3819</v>
      </c>
      <c r="H1128" s="57">
        <v>5000</v>
      </c>
      <c r="I1128" s="227"/>
      <c r="J1128" s="57">
        <f t="shared" si="179"/>
        <v>5000</v>
      </c>
      <c r="K1128" s="50">
        <v>1</v>
      </c>
      <c r="L1128" s="57">
        <f t="shared" si="180"/>
        <v>5000</v>
      </c>
      <c r="M1128" s="228">
        <f t="shared" si="182"/>
        <v>5500</v>
      </c>
      <c r="N1128" s="18" t="s">
        <v>34</v>
      </c>
      <c r="O1128" s="50"/>
    </row>
    <row r="1129" spans="1:15" ht="21.75" customHeight="1" x14ac:dyDescent="0.4">
      <c r="A1129" s="62">
        <v>45756</v>
      </c>
      <c r="B1129" s="32" t="s">
        <v>1059</v>
      </c>
      <c r="C1129" s="32" t="s">
        <v>2557</v>
      </c>
      <c r="D1129" s="18" t="s">
        <v>17</v>
      </c>
      <c r="E1129" s="63" t="s">
        <v>332</v>
      </c>
      <c r="F1129" s="63" t="s">
        <v>3553</v>
      </c>
      <c r="G1129" s="50" t="s">
        <v>3668</v>
      </c>
      <c r="H1129" s="57">
        <v>1600</v>
      </c>
      <c r="I1129" s="227">
        <v>-160</v>
      </c>
      <c r="J1129" s="57">
        <f t="shared" si="179"/>
        <v>1440</v>
      </c>
      <c r="K1129" s="50">
        <v>2</v>
      </c>
      <c r="L1129" s="57">
        <f t="shared" si="180"/>
        <v>2880</v>
      </c>
      <c r="M1129" s="228">
        <f t="shared" si="182"/>
        <v>3168</v>
      </c>
      <c r="N1129" s="18" t="s">
        <v>34</v>
      </c>
      <c r="O1129" s="50"/>
    </row>
    <row r="1130" spans="1:15" ht="21.75" customHeight="1" x14ac:dyDescent="0.4">
      <c r="A1130" s="62">
        <v>45756</v>
      </c>
      <c r="B1130" s="32" t="s">
        <v>1059</v>
      </c>
      <c r="C1130" s="32" t="s">
        <v>2557</v>
      </c>
      <c r="D1130" s="18" t="s">
        <v>17</v>
      </c>
      <c r="E1130" s="63" t="s">
        <v>332</v>
      </c>
      <c r="F1130" s="63" t="s">
        <v>3553</v>
      </c>
      <c r="G1130" s="50" t="s">
        <v>4616</v>
      </c>
      <c r="H1130" s="57">
        <v>1600</v>
      </c>
      <c r="I1130" s="227">
        <v>-160</v>
      </c>
      <c r="J1130" s="57">
        <f t="shared" si="179"/>
        <v>1440</v>
      </c>
      <c r="K1130" s="50">
        <v>9</v>
      </c>
      <c r="L1130" s="57">
        <f t="shared" si="180"/>
        <v>12960</v>
      </c>
      <c r="M1130" s="228">
        <f t="shared" si="182"/>
        <v>14256</v>
      </c>
      <c r="N1130" s="18" t="s">
        <v>34</v>
      </c>
      <c r="O1130" s="50"/>
    </row>
    <row r="1131" spans="1:15" ht="21.75" customHeight="1" x14ac:dyDescent="0.4">
      <c r="A1131" s="62">
        <v>45757</v>
      </c>
      <c r="B1131" s="32" t="s">
        <v>4617</v>
      </c>
      <c r="C1131" s="32" t="s">
        <v>405</v>
      </c>
      <c r="D1131" s="18" t="s">
        <v>22</v>
      </c>
      <c r="E1131" s="63" t="s">
        <v>1496</v>
      </c>
      <c r="F1131" s="63"/>
      <c r="G1131" s="50" t="s">
        <v>2422</v>
      </c>
      <c r="H1131" s="57">
        <v>2000</v>
      </c>
      <c r="I1131" s="227"/>
      <c r="J1131" s="57">
        <f t="shared" si="179"/>
        <v>2000</v>
      </c>
      <c r="K1131" s="50">
        <v>1</v>
      </c>
      <c r="L1131" s="57">
        <f t="shared" si="180"/>
        <v>2000</v>
      </c>
      <c r="M1131" s="228">
        <f t="shared" si="182"/>
        <v>2200</v>
      </c>
      <c r="N1131" s="18" t="s">
        <v>20</v>
      </c>
      <c r="O1131" s="50"/>
    </row>
    <row r="1132" spans="1:15" ht="21.75" customHeight="1" x14ac:dyDescent="0.4">
      <c r="A1132" s="62">
        <v>45757</v>
      </c>
      <c r="B1132" s="32" t="s">
        <v>4618</v>
      </c>
      <c r="C1132" s="32" t="s">
        <v>405</v>
      </c>
      <c r="D1132" s="18" t="s">
        <v>22</v>
      </c>
      <c r="E1132" s="63" t="s">
        <v>1496</v>
      </c>
      <c r="F1132" s="63"/>
      <c r="G1132" s="50" t="s">
        <v>2422</v>
      </c>
      <c r="H1132" s="57">
        <v>2000</v>
      </c>
      <c r="I1132" s="227"/>
      <c r="J1132" s="57">
        <f t="shared" si="179"/>
        <v>2000</v>
      </c>
      <c r="K1132" s="50">
        <v>1</v>
      </c>
      <c r="L1132" s="57">
        <f t="shared" si="180"/>
        <v>2000</v>
      </c>
      <c r="M1132" s="228">
        <f t="shared" si="182"/>
        <v>2200</v>
      </c>
      <c r="N1132" s="18" t="s">
        <v>20</v>
      </c>
      <c r="O1132" s="50"/>
    </row>
    <row r="1133" spans="1:15" ht="21.75" customHeight="1" x14ac:dyDescent="0.4">
      <c r="A1133" s="62">
        <v>45757</v>
      </c>
      <c r="B1133" s="32" t="s">
        <v>4619</v>
      </c>
      <c r="C1133" s="32" t="s">
        <v>2557</v>
      </c>
      <c r="D1133" s="18" t="s">
        <v>17</v>
      </c>
      <c r="E1133" s="63" t="s">
        <v>332</v>
      </c>
      <c r="F1133" s="63" t="s">
        <v>3554</v>
      </c>
      <c r="G1133" s="50" t="s">
        <v>4620</v>
      </c>
      <c r="H1133" s="57">
        <v>2600</v>
      </c>
      <c r="I1133" s="227">
        <v>-260</v>
      </c>
      <c r="J1133" s="57">
        <f t="shared" si="179"/>
        <v>2340</v>
      </c>
      <c r="K1133" s="50">
        <v>1</v>
      </c>
      <c r="L1133" s="57">
        <f t="shared" si="180"/>
        <v>2340</v>
      </c>
      <c r="M1133" s="228">
        <f t="shared" si="182"/>
        <v>2574</v>
      </c>
      <c r="N1133" s="18" t="s">
        <v>34</v>
      </c>
      <c r="O1133" s="50"/>
    </row>
    <row r="1134" spans="1:15" ht="21.75" customHeight="1" x14ac:dyDescent="0.4">
      <c r="A1134" s="62">
        <v>45757</v>
      </c>
      <c r="B1134" s="32" t="s">
        <v>4619</v>
      </c>
      <c r="C1134" s="32" t="s">
        <v>2557</v>
      </c>
      <c r="D1134" s="18" t="s">
        <v>17</v>
      </c>
      <c r="E1134" s="63" t="s">
        <v>332</v>
      </c>
      <c r="F1134" s="63" t="s">
        <v>3554</v>
      </c>
      <c r="G1134" s="50" t="s">
        <v>4621</v>
      </c>
      <c r="H1134" s="57">
        <v>2600</v>
      </c>
      <c r="I1134" s="227">
        <v>-260</v>
      </c>
      <c r="J1134" s="57">
        <f t="shared" si="179"/>
        <v>2340</v>
      </c>
      <c r="K1134" s="50">
        <v>11</v>
      </c>
      <c r="L1134" s="57">
        <f t="shared" si="180"/>
        <v>25740</v>
      </c>
      <c r="M1134" s="228">
        <f t="shared" si="182"/>
        <v>28314</v>
      </c>
      <c r="N1134" s="18" t="s">
        <v>34</v>
      </c>
      <c r="O1134" s="50"/>
    </row>
    <row r="1135" spans="1:15" ht="21.75" customHeight="1" x14ac:dyDescent="0.4">
      <c r="A1135" s="62">
        <v>45757</v>
      </c>
      <c r="B1135" s="32" t="s">
        <v>4619</v>
      </c>
      <c r="C1135" s="32" t="s">
        <v>2557</v>
      </c>
      <c r="D1135" s="18" t="s">
        <v>17</v>
      </c>
      <c r="E1135" s="63" t="s">
        <v>426</v>
      </c>
      <c r="F1135" s="63" t="s">
        <v>994</v>
      </c>
      <c r="G1135" s="50" t="s">
        <v>3763</v>
      </c>
      <c r="H1135" s="57">
        <v>1800</v>
      </c>
      <c r="I1135" s="227">
        <v>-180</v>
      </c>
      <c r="J1135" s="57">
        <f t="shared" si="179"/>
        <v>1620</v>
      </c>
      <c r="K1135" s="50">
        <v>1</v>
      </c>
      <c r="L1135" s="57">
        <f t="shared" si="180"/>
        <v>1620</v>
      </c>
      <c r="M1135" s="228">
        <f t="shared" si="182"/>
        <v>1782</v>
      </c>
      <c r="N1135" s="18" t="s">
        <v>34</v>
      </c>
      <c r="O1135" s="50"/>
    </row>
    <row r="1136" spans="1:15" ht="21.75" customHeight="1" x14ac:dyDescent="0.4">
      <c r="A1136" s="62">
        <v>45757</v>
      </c>
      <c r="B1136" s="32" t="s">
        <v>1557</v>
      </c>
      <c r="C1136" s="32" t="s">
        <v>4292</v>
      </c>
      <c r="D1136" s="18" t="s">
        <v>17</v>
      </c>
      <c r="E1136" s="63" t="s">
        <v>576</v>
      </c>
      <c r="F1136" s="63" t="s">
        <v>557</v>
      </c>
      <c r="G1136" s="50" t="s">
        <v>4622</v>
      </c>
      <c r="H1136" s="57">
        <v>55000</v>
      </c>
      <c r="I1136" s="227">
        <v>-20350</v>
      </c>
      <c r="J1136" s="57">
        <f t="shared" si="179"/>
        <v>34650</v>
      </c>
      <c r="K1136" s="50">
        <v>1</v>
      </c>
      <c r="L1136" s="57">
        <f t="shared" si="180"/>
        <v>34650</v>
      </c>
      <c r="M1136" s="228">
        <f t="shared" si="182"/>
        <v>38115</v>
      </c>
      <c r="N1136" s="18" t="s">
        <v>34</v>
      </c>
      <c r="O1136" s="50"/>
    </row>
    <row r="1137" spans="1:16" ht="21.75" customHeight="1" x14ac:dyDescent="0.4">
      <c r="A1137" s="62">
        <v>45758</v>
      </c>
      <c r="B1137" s="32" t="s">
        <v>162</v>
      </c>
      <c r="C1137" s="32" t="s">
        <v>2557</v>
      </c>
      <c r="D1137" s="96" t="s">
        <v>198</v>
      </c>
      <c r="E1137" s="63" t="s">
        <v>28</v>
      </c>
      <c r="F1137" s="63"/>
      <c r="G1137" s="50" t="s">
        <v>4568</v>
      </c>
      <c r="H1137" s="57">
        <v>-2000</v>
      </c>
      <c r="I1137" s="227"/>
      <c r="J1137" s="57">
        <f t="shared" si="179"/>
        <v>-2000</v>
      </c>
      <c r="K1137" s="50">
        <v>1</v>
      </c>
      <c r="L1137" s="57">
        <f t="shared" si="180"/>
        <v>-2000</v>
      </c>
      <c r="M1137" s="238">
        <f t="shared" si="182"/>
        <v>-2200</v>
      </c>
      <c r="N1137" s="18" t="s">
        <v>20</v>
      </c>
      <c r="O1137" s="50" t="s">
        <v>4624</v>
      </c>
    </row>
    <row r="1138" spans="1:16" ht="21.75" customHeight="1" x14ac:dyDescent="0.4">
      <c r="A1138" s="62">
        <v>45758</v>
      </c>
      <c r="B1138" s="32" t="s">
        <v>179</v>
      </c>
      <c r="C1138" s="32" t="s">
        <v>2557</v>
      </c>
      <c r="D1138" s="18" t="s">
        <v>17</v>
      </c>
      <c r="E1138" s="63" t="s">
        <v>426</v>
      </c>
      <c r="F1138" s="63" t="s">
        <v>994</v>
      </c>
      <c r="G1138" s="50" t="s">
        <v>4625</v>
      </c>
      <c r="H1138" s="57">
        <v>1800</v>
      </c>
      <c r="I1138" s="227">
        <v>-180</v>
      </c>
      <c r="J1138" s="57">
        <f t="shared" si="179"/>
        <v>1620</v>
      </c>
      <c r="K1138" s="50">
        <v>2</v>
      </c>
      <c r="L1138" s="57">
        <f t="shared" si="180"/>
        <v>3240</v>
      </c>
      <c r="M1138" s="228">
        <f t="shared" si="182"/>
        <v>3564</v>
      </c>
      <c r="N1138" s="18" t="s">
        <v>20</v>
      </c>
      <c r="O1138" s="50"/>
    </row>
    <row r="1139" spans="1:16" ht="21.75" customHeight="1" x14ac:dyDescent="0.4">
      <c r="A1139" s="62">
        <v>45758</v>
      </c>
      <c r="B1139" s="32" t="s">
        <v>1872</v>
      </c>
      <c r="C1139" s="32" t="s">
        <v>2557</v>
      </c>
      <c r="D1139" s="18" t="s">
        <v>17</v>
      </c>
      <c r="E1139" s="63" t="s">
        <v>426</v>
      </c>
      <c r="F1139" s="63" t="s">
        <v>994</v>
      </c>
      <c r="G1139" s="50" t="s">
        <v>4626</v>
      </c>
      <c r="H1139" s="57">
        <v>1800</v>
      </c>
      <c r="I1139" s="227">
        <v>-180</v>
      </c>
      <c r="J1139" s="57">
        <f t="shared" si="179"/>
        <v>1620</v>
      </c>
      <c r="K1139" s="50">
        <v>1</v>
      </c>
      <c r="L1139" s="57">
        <f t="shared" si="180"/>
        <v>1620</v>
      </c>
      <c r="M1139" s="228">
        <f t="shared" si="182"/>
        <v>1782</v>
      </c>
      <c r="N1139" s="18" t="s">
        <v>25</v>
      </c>
      <c r="O1139" s="50"/>
    </row>
    <row r="1140" spans="1:16" ht="21.75" customHeight="1" x14ac:dyDescent="0.4">
      <c r="A1140" s="62">
        <v>45758</v>
      </c>
      <c r="B1140" s="32" t="s">
        <v>1720</v>
      </c>
      <c r="C1140" s="32" t="s">
        <v>2557</v>
      </c>
      <c r="D1140" s="18" t="s">
        <v>22</v>
      </c>
      <c r="E1140" s="63" t="s">
        <v>1496</v>
      </c>
      <c r="F1140" s="63"/>
      <c r="G1140" s="50" t="s">
        <v>51</v>
      </c>
      <c r="H1140" s="57">
        <v>4500</v>
      </c>
      <c r="I1140" s="227"/>
      <c r="J1140" s="57">
        <f t="shared" si="179"/>
        <v>4500</v>
      </c>
      <c r="K1140" s="50">
        <v>1</v>
      </c>
      <c r="L1140" s="57">
        <f t="shared" si="180"/>
        <v>4500</v>
      </c>
      <c r="M1140" s="228">
        <f t="shared" si="182"/>
        <v>4950</v>
      </c>
      <c r="N1140" s="18" t="s">
        <v>25</v>
      </c>
      <c r="O1140" s="50"/>
    </row>
    <row r="1141" spans="1:16" ht="21.75" customHeight="1" x14ac:dyDescent="0.4">
      <c r="A1141" s="62">
        <v>45758</v>
      </c>
      <c r="B1141" s="32" t="s">
        <v>4679</v>
      </c>
      <c r="C1141" s="32" t="s">
        <v>2557</v>
      </c>
      <c r="D1141" s="18" t="s">
        <v>27</v>
      </c>
      <c r="E1141" s="63" t="s">
        <v>103</v>
      </c>
      <c r="F1141" s="63"/>
      <c r="G1141" s="63" t="s">
        <v>3343</v>
      </c>
      <c r="H1141" s="57">
        <v>18000</v>
      </c>
      <c r="I1141" s="227"/>
      <c r="J1141" s="57">
        <f t="shared" si="179"/>
        <v>18000</v>
      </c>
      <c r="K1141" s="50">
        <v>1</v>
      </c>
      <c r="L1141" s="57">
        <f t="shared" si="180"/>
        <v>18000</v>
      </c>
      <c r="M1141" s="228">
        <f t="shared" si="182"/>
        <v>19800</v>
      </c>
      <c r="N1141" s="18" t="s">
        <v>4386</v>
      </c>
      <c r="O1141" s="50"/>
    </row>
    <row r="1142" spans="1:16" ht="21.75" customHeight="1" x14ac:dyDescent="0.4">
      <c r="A1142" s="62">
        <v>45759</v>
      </c>
      <c r="B1142" s="32" t="s">
        <v>1455</v>
      </c>
      <c r="C1142" s="32" t="s">
        <v>4292</v>
      </c>
      <c r="D1142" s="18" t="s">
        <v>17</v>
      </c>
      <c r="E1142" s="63" t="s">
        <v>292</v>
      </c>
      <c r="F1142" s="63" t="s">
        <v>1051</v>
      </c>
      <c r="G1142" s="50" t="s">
        <v>3653</v>
      </c>
      <c r="H1142" s="57">
        <v>5700</v>
      </c>
      <c r="I1142" s="227">
        <v>-828</v>
      </c>
      <c r="J1142" s="57">
        <f t="shared" si="179"/>
        <v>4872</v>
      </c>
      <c r="K1142" s="50">
        <v>1</v>
      </c>
      <c r="L1142" s="57">
        <f t="shared" si="180"/>
        <v>4872</v>
      </c>
      <c r="M1142" s="228">
        <f t="shared" si="182"/>
        <v>5359</v>
      </c>
      <c r="N1142" s="18" t="s">
        <v>25</v>
      </c>
      <c r="O1142" s="50"/>
    </row>
    <row r="1143" spans="1:16" ht="21.75" customHeight="1" x14ac:dyDescent="0.4">
      <c r="A1143" s="62">
        <v>45759</v>
      </c>
      <c r="B1143" s="32" t="s">
        <v>4503</v>
      </c>
      <c r="C1143" s="32" t="s">
        <v>4292</v>
      </c>
      <c r="D1143" s="18" t="s">
        <v>17</v>
      </c>
      <c r="E1143" s="63" t="s">
        <v>292</v>
      </c>
      <c r="F1143" s="63" t="s">
        <v>3642</v>
      </c>
      <c r="G1143" s="50" t="s">
        <v>4627</v>
      </c>
      <c r="H1143" s="57">
        <v>6300</v>
      </c>
      <c r="I1143" s="227">
        <v>-1575</v>
      </c>
      <c r="J1143" s="57">
        <f t="shared" si="179"/>
        <v>4725</v>
      </c>
      <c r="K1143" s="50">
        <v>1</v>
      </c>
      <c r="L1143" s="57">
        <f t="shared" si="180"/>
        <v>4725</v>
      </c>
      <c r="M1143" s="228">
        <f t="shared" si="182"/>
        <v>5197</v>
      </c>
      <c r="N1143" s="18" t="s">
        <v>34</v>
      </c>
      <c r="O1143" s="50"/>
    </row>
    <row r="1144" spans="1:16" ht="21.75" customHeight="1" x14ac:dyDescent="0.4">
      <c r="A1144" s="62">
        <v>45759</v>
      </c>
      <c r="B1144" s="32" t="s">
        <v>4503</v>
      </c>
      <c r="C1144" s="32" t="s">
        <v>4292</v>
      </c>
      <c r="D1144" s="18" t="s">
        <v>17</v>
      </c>
      <c r="E1144" s="63" t="s">
        <v>292</v>
      </c>
      <c r="F1144" s="63" t="s">
        <v>3642</v>
      </c>
      <c r="G1144" s="50" t="s">
        <v>3652</v>
      </c>
      <c r="H1144" s="57">
        <v>6300</v>
      </c>
      <c r="I1144" s="227">
        <v>-1575</v>
      </c>
      <c r="J1144" s="57">
        <f t="shared" si="179"/>
        <v>4725</v>
      </c>
      <c r="K1144" s="50">
        <v>1</v>
      </c>
      <c r="L1144" s="57">
        <f t="shared" si="180"/>
        <v>4725</v>
      </c>
      <c r="M1144" s="228">
        <f t="shared" si="182"/>
        <v>5197</v>
      </c>
      <c r="N1144" s="18" t="s">
        <v>34</v>
      </c>
      <c r="O1144" s="50"/>
    </row>
    <row r="1145" spans="1:16" ht="21.75" customHeight="1" x14ac:dyDescent="0.4">
      <c r="A1145" s="62">
        <v>45759</v>
      </c>
      <c r="B1145" s="32" t="s">
        <v>4628</v>
      </c>
      <c r="C1145" s="32" t="s">
        <v>2557</v>
      </c>
      <c r="D1145" s="18" t="s">
        <v>17</v>
      </c>
      <c r="E1145" s="63" t="s">
        <v>332</v>
      </c>
      <c r="F1145" s="63" t="s">
        <v>3553</v>
      </c>
      <c r="G1145" s="50" t="s">
        <v>3420</v>
      </c>
      <c r="H1145" s="57">
        <v>1800</v>
      </c>
      <c r="I1145" s="227">
        <v>-180</v>
      </c>
      <c r="J1145" s="57">
        <f t="shared" si="179"/>
        <v>1620</v>
      </c>
      <c r="K1145" s="50">
        <v>1</v>
      </c>
      <c r="L1145" s="57">
        <f t="shared" si="180"/>
        <v>1620</v>
      </c>
      <c r="M1145" s="228">
        <f t="shared" si="182"/>
        <v>1782</v>
      </c>
      <c r="N1145" s="18" t="s">
        <v>20</v>
      </c>
      <c r="O1145" s="50"/>
    </row>
    <row r="1146" spans="1:16" ht="21.75" customHeight="1" x14ac:dyDescent="0.4">
      <c r="A1146" s="62">
        <v>45760</v>
      </c>
      <c r="B1146" s="32" t="s">
        <v>3513</v>
      </c>
      <c r="C1146" s="32" t="s">
        <v>405</v>
      </c>
      <c r="D1146" s="18" t="s">
        <v>22</v>
      </c>
      <c r="E1146" s="63" t="s">
        <v>23</v>
      </c>
      <c r="F1146" s="63"/>
      <c r="G1146" s="50" t="s">
        <v>264</v>
      </c>
      <c r="H1146" s="57">
        <v>15000</v>
      </c>
      <c r="I1146" s="227"/>
      <c r="J1146" s="57">
        <f t="shared" si="179"/>
        <v>15000</v>
      </c>
      <c r="K1146" s="50">
        <v>1</v>
      </c>
      <c r="L1146" s="57">
        <f t="shared" si="180"/>
        <v>15000</v>
      </c>
      <c r="M1146" s="228">
        <f t="shared" si="182"/>
        <v>16500</v>
      </c>
      <c r="N1146" s="18" t="s">
        <v>20</v>
      </c>
      <c r="O1146" s="50"/>
      <c r="P1146" s="52" t="s">
        <v>1557</v>
      </c>
    </row>
    <row r="1147" spans="1:16" ht="21.75" customHeight="1" x14ac:dyDescent="0.4">
      <c r="A1147" s="62">
        <v>45760</v>
      </c>
      <c r="B1147" s="32" t="s">
        <v>4629</v>
      </c>
      <c r="C1147" s="32" t="s">
        <v>405</v>
      </c>
      <c r="D1147" s="18" t="s">
        <v>22</v>
      </c>
      <c r="E1147" s="63" t="s">
        <v>23</v>
      </c>
      <c r="F1147" s="63"/>
      <c r="G1147" s="50" t="s">
        <v>264</v>
      </c>
      <c r="H1147" s="57">
        <v>15000</v>
      </c>
      <c r="I1147" s="227"/>
      <c r="J1147" s="57">
        <f t="shared" si="179"/>
        <v>15000</v>
      </c>
      <c r="K1147" s="50">
        <v>1</v>
      </c>
      <c r="L1147" s="57">
        <f t="shared" si="180"/>
        <v>15000</v>
      </c>
      <c r="M1147" s="228">
        <f t="shared" si="182"/>
        <v>16500</v>
      </c>
      <c r="N1147" s="18" t="s">
        <v>25</v>
      </c>
      <c r="O1147" s="50"/>
      <c r="P1147" s="52" t="s">
        <v>2878</v>
      </c>
    </row>
    <row r="1148" spans="1:16" ht="21.75" customHeight="1" x14ac:dyDescent="0.4">
      <c r="A1148" s="62">
        <v>45760</v>
      </c>
      <c r="B1148" s="32" t="s">
        <v>4629</v>
      </c>
      <c r="C1148" s="32" t="s">
        <v>405</v>
      </c>
      <c r="D1148" s="18" t="s">
        <v>17</v>
      </c>
      <c r="E1148" s="63" t="s">
        <v>328</v>
      </c>
      <c r="F1148" s="63" t="s">
        <v>788</v>
      </c>
      <c r="G1148" s="50" t="s">
        <v>4630</v>
      </c>
      <c r="H1148" s="57">
        <v>50000</v>
      </c>
      <c r="I1148" s="227">
        <v>-10000</v>
      </c>
      <c r="J1148" s="57">
        <f t="shared" si="179"/>
        <v>40000</v>
      </c>
      <c r="K1148" s="50">
        <v>1</v>
      </c>
      <c r="L1148" s="57">
        <f t="shared" si="180"/>
        <v>40000</v>
      </c>
      <c r="M1148" s="228">
        <f t="shared" si="182"/>
        <v>44000</v>
      </c>
      <c r="N1148" s="18" t="s">
        <v>20</v>
      </c>
      <c r="O1148" s="50"/>
      <c r="P1148" s="52" t="s">
        <v>2878</v>
      </c>
    </row>
    <row r="1149" spans="1:16" ht="21.75" customHeight="1" x14ac:dyDescent="0.4">
      <c r="A1149" s="62">
        <v>45760</v>
      </c>
      <c r="B1149" s="32" t="s">
        <v>4629</v>
      </c>
      <c r="C1149" s="32" t="s">
        <v>405</v>
      </c>
      <c r="D1149" s="18" t="s">
        <v>17</v>
      </c>
      <c r="E1149" s="63" t="s">
        <v>576</v>
      </c>
      <c r="F1149" s="63" t="s">
        <v>3543</v>
      </c>
      <c r="G1149" s="50" t="s">
        <v>4631</v>
      </c>
      <c r="H1149" s="57">
        <v>98000</v>
      </c>
      <c r="I1149" s="227">
        <v>-9800</v>
      </c>
      <c r="J1149" s="57">
        <f t="shared" si="179"/>
        <v>88200</v>
      </c>
      <c r="K1149" s="50">
        <v>1</v>
      </c>
      <c r="L1149" s="57">
        <f t="shared" si="180"/>
        <v>88200</v>
      </c>
      <c r="M1149" s="228">
        <f t="shared" si="182"/>
        <v>97020</v>
      </c>
      <c r="N1149" s="18" t="s">
        <v>20</v>
      </c>
      <c r="O1149" s="50"/>
      <c r="P1149" s="52" t="s">
        <v>2878</v>
      </c>
    </row>
    <row r="1150" spans="1:16" ht="21.75" customHeight="1" x14ac:dyDescent="0.4">
      <c r="A1150" s="62">
        <v>45760</v>
      </c>
      <c r="B1150" s="32" t="s">
        <v>4629</v>
      </c>
      <c r="C1150" s="32" t="s">
        <v>405</v>
      </c>
      <c r="D1150" s="18" t="s">
        <v>17</v>
      </c>
      <c r="E1150" s="63" t="s">
        <v>332</v>
      </c>
      <c r="F1150" s="63" t="s">
        <v>3554</v>
      </c>
      <c r="G1150" s="50" t="s">
        <v>3973</v>
      </c>
      <c r="H1150" s="57">
        <v>1200</v>
      </c>
      <c r="I1150" s="227"/>
      <c r="J1150" s="57">
        <f t="shared" si="179"/>
        <v>1200</v>
      </c>
      <c r="K1150" s="50">
        <v>1</v>
      </c>
      <c r="L1150" s="57">
        <f t="shared" si="180"/>
        <v>1200</v>
      </c>
      <c r="M1150" s="228">
        <f t="shared" si="182"/>
        <v>1320</v>
      </c>
      <c r="N1150" s="18" t="s">
        <v>20</v>
      </c>
      <c r="O1150" s="50"/>
      <c r="P1150" s="52" t="s">
        <v>2878</v>
      </c>
    </row>
    <row r="1151" spans="1:16" ht="21.75" customHeight="1" x14ac:dyDescent="0.4">
      <c r="A1151" s="62">
        <v>45760</v>
      </c>
      <c r="B1151" s="32" t="s">
        <v>4632</v>
      </c>
      <c r="C1151" s="32" t="s">
        <v>2557</v>
      </c>
      <c r="D1151" s="18" t="s">
        <v>17</v>
      </c>
      <c r="E1151" s="63" t="s">
        <v>3902</v>
      </c>
      <c r="F1151" s="63"/>
      <c r="G1151" s="50" t="s">
        <v>4316</v>
      </c>
      <c r="H1151" s="57">
        <v>15000</v>
      </c>
      <c r="I1151" s="227">
        <v>-1500</v>
      </c>
      <c r="J1151" s="57">
        <f t="shared" si="179"/>
        <v>13500</v>
      </c>
      <c r="K1151" s="50">
        <v>1</v>
      </c>
      <c r="L1151" s="57">
        <f t="shared" si="180"/>
        <v>13500</v>
      </c>
      <c r="M1151" s="228">
        <f t="shared" si="182"/>
        <v>14850</v>
      </c>
      <c r="N1151" s="18" t="s">
        <v>1516</v>
      </c>
      <c r="O1151" s="50"/>
    </row>
    <row r="1152" spans="1:16" ht="21.75" customHeight="1" x14ac:dyDescent="0.4">
      <c r="A1152" s="62">
        <v>45761</v>
      </c>
      <c r="B1152" s="32" t="s">
        <v>167</v>
      </c>
      <c r="C1152" s="32" t="s">
        <v>2557</v>
      </c>
      <c r="D1152" s="18" t="s">
        <v>17</v>
      </c>
      <c r="E1152" s="63"/>
      <c r="F1152" s="63"/>
      <c r="G1152" s="50" t="s">
        <v>2205</v>
      </c>
      <c r="H1152" s="57">
        <v>3000</v>
      </c>
      <c r="I1152" s="227"/>
      <c r="J1152" s="57">
        <f t="shared" si="179"/>
        <v>3000</v>
      </c>
      <c r="K1152" s="50">
        <v>1</v>
      </c>
      <c r="L1152" s="57">
        <f t="shared" si="180"/>
        <v>3000</v>
      </c>
      <c r="M1152" s="228">
        <f t="shared" si="182"/>
        <v>3300</v>
      </c>
      <c r="N1152" s="18" t="s">
        <v>20</v>
      </c>
      <c r="O1152" s="50"/>
    </row>
    <row r="1153" spans="1:16" ht="21.75" customHeight="1" x14ac:dyDescent="0.4">
      <c r="A1153" s="62">
        <v>45761</v>
      </c>
      <c r="B1153" s="32" t="s">
        <v>4633</v>
      </c>
      <c r="C1153" s="32" t="s">
        <v>405</v>
      </c>
      <c r="D1153" s="18" t="s">
        <v>22</v>
      </c>
      <c r="E1153" s="63" t="s">
        <v>23</v>
      </c>
      <c r="F1153" s="63"/>
      <c r="G1153" s="50" t="s">
        <v>264</v>
      </c>
      <c r="H1153" s="57">
        <v>15000</v>
      </c>
      <c r="I1153" s="227">
        <v>-5000</v>
      </c>
      <c r="J1153" s="57">
        <f t="shared" si="179"/>
        <v>10000</v>
      </c>
      <c r="K1153" s="50">
        <v>1</v>
      </c>
      <c r="L1153" s="57">
        <f t="shared" si="180"/>
        <v>10000</v>
      </c>
      <c r="M1153" s="228">
        <f t="shared" si="182"/>
        <v>11000</v>
      </c>
      <c r="N1153" s="18" t="s">
        <v>34</v>
      </c>
      <c r="O1153" s="50"/>
      <c r="P1153" s="52" t="s">
        <v>1557</v>
      </c>
    </row>
    <row r="1154" spans="1:16" ht="21.75" customHeight="1" x14ac:dyDescent="0.4">
      <c r="A1154" s="62">
        <v>45761</v>
      </c>
      <c r="B1154" s="32" t="s">
        <v>4633</v>
      </c>
      <c r="C1154" s="32" t="s">
        <v>405</v>
      </c>
      <c r="D1154" s="18" t="s">
        <v>17</v>
      </c>
      <c r="E1154" s="63" t="s">
        <v>328</v>
      </c>
      <c r="F1154" s="63" t="s">
        <v>4634</v>
      </c>
      <c r="G1154" s="50" t="s">
        <v>4635</v>
      </c>
      <c r="H1154" s="57">
        <v>60000</v>
      </c>
      <c r="I1154" s="227">
        <v>-12000</v>
      </c>
      <c r="J1154" s="57">
        <f t="shared" si="179"/>
        <v>48000</v>
      </c>
      <c r="K1154" s="50">
        <v>1</v>
      </c>
      <c r="L1154" s="57">
        <f t="shared" si="180"/>
        <v>48000</v>
      </c>
      <c r="M1154" s="228">
        <f t="shared" si="182"/>
        <v>52800</v>
      </c>
      <c r="N1154" s="18" t="s">
        <v>34</v>
      </c>
      <c r="O1154" s="50"/>
      <c r="P1154" s="52" t="s">
        <v>1557</v>
      </c>
    </row>
    <row r="1155" spans="1:16" ht="21.75" customHeight="1" x14ac:dyDescent="0.4">
      <c r="A1155" s="62">
        <v>45761</v>
      </c>
      <c r="B1155" s="32" t="s">
        <v>4633</v>
      </c>
      <c r="C1155" s="32" t="s">
        <v>405</v>
      </c>
      <c r="D1155" s="18" t="s">
        <v>17</v>
      </c>
      <c r="E1155" s="63" t="s">
        <v>328</v>
      </c>
      <c r="F1155" s="63" t="s">
        <v>788</v>
      </c>
      <c r="G1155" s="50" t="s">
        <v>3620</v>
      </c>
      <c r="H1155" s="57">
        <v>70000</v>
      </c>
      <c r="I1155" s="227">
        <v>-14000</v>
      </c>
      <c r="J1155" s="57">
        <f t="shared" si="179"/>
        <v>56000</v>
      </c>
      <c r="K1155" s="50">
        <v>1</v>
      </c>
      <c r="L1155" s="57">
        <f t="shared" si="180"/>
        <v>56000</v>
      </c>
      <c r="M1155" s="228">
        <f t="shared" si="182"/>
        <v>61600</v>
      </c>
      <c r="N1155" s="18" t="s">
        <v>34</v>
      </c>
      <c r="O1155" s="50"/>
      <c r="P1155" s="52" t="s">
        <v>1557</v>
      </c>
    </row>
    <row r="1156" spans="1:16" ht="21.75" customHeight="1" x14ac:dyDescent="0.4">
      <c r="A1156" s="62">
        <v>45761</v>
      </c>
      <c r="B1156" s="32" t="s">
        <v>4633</v>
      </c>
      <c r="C1156" s="32" t="s">
        <v>405</v>
      </c>
      <c r="D1156" s="18" t="s">
        <v>17</v>
      </c>
      <c r="E1156" s="63" t="s">
        <v>576</v>
      </c>
      <c r="F1156" s="63" t="s">
        <v>1443</v>
      </c>
      <c r="G1156" s="50" t="s">
        <v>4636</v>
      </c>
      <c r="H1156" s="57">
        <v>75000</v>
      </c>
      <c r="I1156" s="227"/>
      <c r="J1156" s="57">
        <f t="shared" si="179"/>
        <v>75000</v>
      </c>
      <c r="K1156" s="50">
        <v>1</v>
      </c>
      <c r="L1156" s="57">
        <f t="shared" si="180"/>
        <v>75000</v>
      </c>
      <c r="M1156" s="228">
        <f t="shared" si="182"/>
        <v>82500</v>
      </c>
      <c r="N1156" s="18" t="s">
        <v>34</v>
      </c>
      <c r="O1156" s="50"/>
      <c r="P1156" s="52" t="s">
        <v>1557</v>
      </c>
    </row>
    <row r="1157" spans="1:16" ht="21.75" customHeight="1" x14ac:dyDescent="0.4">
      <c r="A1157" s="62">
        <v>45761</v>
      </c>
      <c r="B1157" s="32" t="s">
        <v>4633</v>
      </c>
      <c r="C1157" s="32" t="s">
        <v>405</v>
      </c>
      <c r="D1157" s="18" t="s">
        <v>17</v>
      </c>
      <c r="E1157" s="63" t="s">
        <v>332</v>
      </c>
      <c r="F1157" s="63" t="s">
        <v>3556</v>
      </c>
      <c r="G1157" s="50" t="s">
        <v>4637</v>
      </c>
      <c r="H1157" s="57">
        <v>1800</v>
      </c>
      <c r="I1157" s="227"/>
      <c r="J1157" s="57">
        <f t="shared" si="179"/>
        <v>1800</v>
      </c>
      <c r="K1157" s="50">
        <v>1</v>
      </c>
      <c r="L1157" s="57">
        <f t="shared" si="180"/>
        <v>1800</v>
      </c>
      <c r="M1157" s="228">
        <f t="shared" si="182"/>
        <v>1980</v>
      </c>
      <c r="N1157" s="18" t="s">
        <v>34</v>
      </c>
      <c r="O1157" s="50"/>
      <c r="P1157" s="52" t="s">
        <v>1557</v>
      </c>
    </row>
    <row r="1158" spans="1:16" ht="21.75" customHeight="1" x14ac:dyDescent="0.4">
      <c r="A1158" s="62">
        <v>45761</v>
      </c>
      <c r="B1158" s="32" t="s">
        <v>4633</v>
      </c>
      <c r="C1158" s="32" t="s">
        <v>405</v>
      </c>
      <c r="D1158" s="18" t="s">
        <v>17</v>
      </c>
      <c r="E1158" s="63" t="s">
        <v>332</v>
      </c>
      <c r="F1158" s="63" t="s">
        <v>3553</v>
      </c>
      <c r="G1158" s="50" t="s">
        <v>4638</v>
      </c>
      <c r="H1158" s="57">
        <v>2000</v>
      </c>
      <c r="I1158" s="227"/>
      <c r="J1158" s="57">
        <f t="shared" si="179"/>
        <v>2000</v>
      </c>
      <c r="K1158" s="50">
        <v>1</v>
      </c>
      <c r="L1158" s="57">
        <f t="shared" si="180"/>
        <v>2000</v>
      </c>
      <c r="M1158" s="228">
        <f t="shared" si="182"/>
        <v>2200</v>
      </c>
      <c r="N1158" s="18" t="s">
        <v>34</v>
      </c>
      <c r="O1158" s="50"/>
      <c r="P1158" s="52" t="s">
        <v>1557</v>
      </c>
    </row>
    <row r="1159" spans="1:16" ht="21.75" customHeight="1" x14ac:dyDescent="0.4">
      <c r="A1159" s="62">
        <v>45761</v>
      </c>
      <c r="B1159" s="32" t="s">
        <v>4639</v>
      </c>
      <c r="C1159" s="32" t="s">
        <v>2557</v>
      </c>
      <c r="D1159" s="18" t="s">
        <v>17</v>
      </c>
      <c r="E1159" s="63" t="s">
        <v>292</v>
      </c>
      <c r="F1159" s="63" t="s">
        <v>1051</v>
      </c>
      <c r="G1159" s="50" t="s">
        <v>4640</v>
      </c>
      <c r="H1159" s="57">
        <v>5200</v>
      </c>
      <c r="I1159" s="227"/>
      <c r="J1159" s="57">
        <f t="shared" si="179"/>
        <v>5200</v>
      </c>
      <c r="K1159" s="50">
        <v>1</v>
      </c>
      <c r="L1159" s="57">
        <f t="shared" si="180"/>
        <v>5200</v>
      </c>
      <c r="M1159" s="228">
        <f t="shared" si="182"/>
        <v>5720</v>
      </c>
      <c r="N1159" s="18" t="s">
        <v>25</v>
      </c>
      <c r="O1159" s="50"/>
    </row>
    <row r="1160" spans="1:16" ht="21.75" customHeight="1" x14ac:dyDescent="0.4">
      <c r="A1160" s="62">
        <v>45761</v>
      </c>
      <c r="B1160" s="32" t="s">
        <v>4639</v>
      </c>
      <c r="C1160" s="32" t="s">
        <v>2557</v>
      </c>
      <c r="D1160" s="18" t="s">
        <v>27</v>
      </c>
      <c r="E1160" s="63" t="s">
        <v>28</v>
      </c>
      <c r="F1160" s="63"/>
      <c r="G1160" s="50" t="s">
        <v>4641</v>
      </c>
      <c r="H1160" s="57">
        <v>2000</v>
      </c>
      <c r="I1160" s="227"/>
      <c r="J1160" s="57">
        <f t="shared" si="179"/>
        <v>2000</v>
      </c>
      <c r="K1160" s="50">
        <v>1</v>
      </c>
      <c r="L1160" s="57">
        <f t="shared" si="180"/>
        <v>2000</v>
      </c>
      <c r="M1160" s="228">
        <f t="shared" si="182"/>
        <v>2200</v>
      </c>
      <c r="N1160" s="18" t="s">
        <v>25</v>
      </c>
      <c r="O1160" s="50"/>
    </row>
    <row r="1161" spans="1:16" ht="21.75" customHeight="1" x14ac:dyDescent="0.4">
      <c r="A1161" s="62">
        <v>45761</v>
      </c>
      <c r="B1161" s="32" t="s">
        <v>4632</v>
      </c>
      <c r="C1161" s="32" t="s">
        <v>2557</v>
      </c>
      <c r="D1161" s="18" t="s">
        <v>17</v>
      </c>
      <c r="E1161" s="63" t="s">
        <v>332</v>
      </c>
      <c r="F1161" s="63" t="s">
        <v>3555</v>
      </c>
      <c r="G1161" s="50" t="s">
        <v>3463</v>
      </c>
      <c r="H1161" s="57">
        <v>1700</v>
      </c>
      <c r="I1161" s="227">
        <v>-170</v>
      </c>
      <c r="J1161" s="57">
        <f t="shared" si="179"/>
        <v>1530</v>
      </c>
      <c r="K1161" s="50">
        <v>1</v>
      </c>
      <c r="L1161" s="57">
        <f t="shared" si="180"/>
        <v>1530</v>
      </c>
      <c r="M1161" s="228">
        <f t="shared" si="182"/>
        <v>1683</v>
      </c>
      <c r="N1161" s="18" t="s">
        <v>25</v>
      </c>
      <c r="O1161" s="50"/>
    </row>
    <row r="1162" spans="1:16" ht="21.75" customHeight="1" x14ac:dyDescent="0.4">
      <c r="A1162" s="62">
        <v>45763</v>
      </c>
      <c r="B1162" s="32" t="s">
        <v>2197</v>
      </c>
      <c r="C1162" s="32" t="s">
        <v>2557</v>
      </c>
      <c r="D1162" s="18" t="s">
        <v>17</v>
      </c>
      <c r="E1162" s="63" t="s">
        <v>328</v>
      </c>
      <c r="F1162" s="63" t="s">
        <v>3597</v>
      </c>
      <c r="G1162" s="50" t="s">
        <v>4642</v>
      </c>
      <c r="H1162" s="57">
        <v>2960</v>
      </c>
      <c r="I1162" s="227">
        <v>-296</v>
      </c>
      <c r="J1162" s="57">
        <f t="shared" si="179"/>
        <v>2664</v>
      </c>
      <c r="K1162" s="50">
        <v>1</v>
      </c>
      <c r="L1162" s="57">
        <f t="shared" si="180"/>
        <v>2664</v>
      </c>
      <c r="M1162" s="228">
        <f t="shared" si="182"/>
        <v>2930</v>
      </c>
      <c r="N1162" s="18" t="s">
        <v>25</v>
      </c>
      <c r="O1162" s="50"/>
    </row>
    <row r="1163" spans="1:16" ht="21.75" customHeight="1" x14ac:dyDescent="0.4">
      <c r="A1163" s="62">
        <v>45763</v>
      </c>
      <c r="B1163" s="32" t="s">
        <v>2197</v>
      </c>
      <c r="C1163" s="32" t="s">
        <v>2557</v>
      </c>
      <c r="D1163" s="18" t="s">
        <v>17</v>
      </c>
      <c r="E1163" s="63" t="s">
        <v>59</v>
      </c>
      <c r="F1163" s="63"/>
      <c r="G1163" s="50" t="s">
        <v>4643</v>
      </c>
      <c r="H1163" s="57">
        <v>1050</v>
      </c>
      <c r="I1163" s="227"/>
      <c r="J1163" s="57">
        <f t="shared" si="179"/>
        <v>1050</v>
      </c>
      <c r="K1163" s="50">
        <v>1</v>
      </c>
      <c r="L1163" s="57">
        <f t="shared" si="180"/>
        <v>1050</v>
      </c>
      <c r="M1163" s="228">
        <f t="shared" si="182"/>
        <v>1155</v>
      </c>
      <c r="N1163" s="18" t="s">
        <v>25</v>
      </c>
      <c r="O1163" s="50"/>
    </row>
    <row r="1164" spans="1:16" ht="21.75" customHeight="1" x14ac:dyDescent="0.4">
      <c r="A1164" s="62">
        <v>45763</v>
      </c>
      <c r="B1164" s="32" t="s">
        <v>2180</v>
      </c>
      <c r="C1164" s="32" t="s">
        <v>2557</v>
      </c>
      <c r="D1164" s="18" t="s">
        <v>17</v>
      </c>
      <c r="E1164" s="63" t="s">
        <v>426</v>
      </c>
      <c r="F1164" s="63" t="s">
        <v>994</v>
      </c>
      <c r="G1164" s="50" t="s">
        <v>4517</v>
      </c>
      <c r="H1164" s="57">
        <v>1800</v>
      </c>
      <c r="I1164" s="227">
        <v>-180</v>
      </c>
      <c r="J1164" s="57">
        <f t="shared" si="179"/>
        <v>1620</v>
      </c>
      <c r="K1164" s="50">
        <v>1</v>
      </c>
      <c r="L1164" s="57">
        <f t="shared" si="180"/>
        <v>1620</v>
      </c>
      <c r="M1164" s="228">
        <f t="shared" si="182"/>
        <v>1782</v>
      </c>
      <c r="N1164" s="18" t="s">
        <v>20</v>
      </c>
      <c r="O1164" s="50"/>
    </row>
    <row r="1165" spans="1:16" ht="21.75" customHeight="1" x14ac:dyDescent="0.4">
      <c r="A1165" s="62">
        <v>45763</v>
      </c>
      <c r="B1165" s="32" t="s">
        <v>1557</v>
      </c>
      <c r="C1165" s="32" t="s">
        <v>4292</v>
      </c>
      <c r="D1165" s="18" t="s">
        <v>17</v>
      </c>
      <c r="E1165" s="63" t="s">
        <v>328</v>
      </c>
      <c r="F1165" s="63" t="s">
        <v>4644</v>
      </c>
      <c r="G1165" s="50" t="s">
        <v>4645</v>
      </c>
      <c r="H1165" s="57">
        <v>25000</v>
      </c>
      <c r="I1165" s="227">
        <v>-13820</v>
      </c>
      <c r="J1165" s="57">
        <f t="shared" ref="J1165:J1233" si="183">SUM(H1165:I1165)</f>
        <v>11180</v>
      </c>
      <c r="K1165" s="50">
        <v>1</v>
      </c>
      <c r="L1165" s="57">
        <f t="shared" ref="L1165:L1233" si="184">SUM(J1165*K1165)</f>
        <v>11180</v>
      </c>
      <c r="M1165" s="228">
        <f t="shared" si="182"/>
        <v>12298</v>
      </c>
      <c r="N1165" s="18" t="s">
        <v>20</v>
      </c>
      <c r="O1165" s="50"/>
    </row>
    <row r="1166" spans="1:16" ht="21.75" customHeight="1" x14ac:dyDescent="0.4">
      <c r="A1166" s="62">
        <v>45763</v>
      </c>
      <c r="B1166" s="32" t="s">
        <v>1557</v>
      </c>
      <c r="C1166" s="32" t="s">
        <v>4292</v>
      </c>
      <c r="D1166" s="18" t="s">
        <v>17</v>
      </c>
      <c r="E1166" s="63" t="s">
        <v>332</v>
      </c>
      <c r="F1166" s="63" t="s">
        <v>3554</v>
      </c>
      <c r="G1166" s="50" t="s">
        <v>3879</v>
      </c>
      <c r="H1166" s="57">
        <v>1200</v>
      </c>
      <c r="I1166" s="227">
        <v>-450</v>
      </c>
      <c r="J1166" s="57">
        <f t="shared" si="183"/>
        <v>750</v>
      </c>
      <c r="K1166" s="50">
        <v>1</v>
      </c>
      <c r="L1166" s="57">
        <f t="shared" si="184"/>
        <v>750</v>
      </c>
      <c r="M1166" s="228">
        <f t="shared" si="182"/>
        <v>825</v>
      </c>
      <c r="N1166" s="18" t="s">
        <v>20</v>
      </c>
      <c r="O1166" s="50"/>
    </row>
    <row r="1167" spans="1:16" ht="21.75" customHeight="1" x14ac:dyDescent="0.4">
      <c r="A1167" s="62">
        <v>45763</v>
      </c>
      <c r="B1167" s="32" t="s">
        <v>1557</v>
      </c>
      <c r="C1167" s="32" t="s">
        <v>4292</v>
      </c>
      <c r="D1167" s="18" t="s">
        <v>17</v>
      </c>
      <c r="E1167" s="63" t="s">
        <v>292</v>
      </c>
      <c r="F1167" s="63" t="s">
        <v>1051</v>
      </c>
      <c r="G1167" s="50" t="s">
        <v>3644</v>
      </c>
      <c r="H1167" s="57">
        <v>5700</v>
      </c>
      <c r="I1167" s="227">
        <v>-676</v>
      </c>
      <c r="J1167" s="57">
        <f t="shared" si="183"/>
        <v>5024</v>
      </c>
      <c r="K1167" s="50">
        <v>1</v>
      </c>
      <c r="L1167" s="57">
        <f t="shared" si="184"/>
        <v>5024</v>
      </c>
      <c r="M1167" s="228">
        <f t="shared" si="182"/>
        <v>5526</v>
      </c>
      <c r="N1167" s="18" t="s">
        <v>20</v>
      </c>
      <c r="O1167" s="50"/>
    </row>
    <row r="1168" spans="1:16" ht="21.75" customHeight="1" x14ac:dyDescent="0.4">
      <c r="A1168" s="62">
        <v>45764</v>
      </c>
      <c r="B1168" s="32" t="s">
        <v>179</v>
      </c>
      <c r="C1168" s="32" t="s">
        <v>2557</v>
      </c>
      <c r="D1168" s="18" t="s">
        <v>17</v>
      </c>
      <c r="E1168" s="63" t="s">
        <v>332</v>
      </c>
      <c r="F1168" s="63" t="s">
        <v>3555</v>
      </c>
      <c r="G1168" s="50" t="s">
        <v>4354</v>
      </c>
      <c r="H1168" s="57">
        <v>1700</v>
      </c>
      <c r="I1168" s="227">
        <v>-170</v>
      </c>
      <c r="J1168" s="57">
        <f t="shared" si="183"/>
        <v>1530</v>
      </c>
      <c r="K1168" s="50">
        <v>1</v>
      </c>
      <c r="L1168" s="57">
        <f t="shared" si="184"/>
        <v>1530</v>
      </c>
      <c r="M1168" s="228">
        <f t="shared" si="182"/>
        <v>1683</v>
      </c>
      <c r="N1168" s="18" t="s">
        <v>20</v>
      </c>
      <c r="O1168" s="50"/>
    </row>
    <row r="1169" spans="1:16" ht="21.75" customHeight="1" x14ac:dyDescent="0.4">
      <c r="A1169" s="62">
        <v>45764</v>
      </c>
      <c r="B1169" s="32" t="s">
        <v>4693</v>
      </c>
      <c r="C1169" s="32" t="s">
        <v>405</v>
      </c>
      <c r="D1169" s="18" t="s">
        <v>22</v>
      </c>
      <c r="E1169" s="63" t="s">
        <v>1496</v>
      </c>
      <c r="F1169" s="63"/>
      <c r="G1169" s="50" t="s">
        <v>2422</v>
      </c>
      <c r="H1169" s="57">
        <v>2000</v>
      </c>
      <c r="I1169" s="227"/>
      <c r="J1169" s="57">
        <f t="shared" si="183"/>
        <v>2000</v>
      </c>
      <c r="K1169" s="50">
        <v>1</v>
      </c>
      <c r="L1169" s="57">
        <f t="shared" si="184"/>
        <v>2000</v>
      </c>
      <c r="M1169" s="228">
        <f t="shared" si="182"/>
        <v>2200</v>
      </c>
      <c r="N1169" s="18" t="s">
        <v>20</v>
      </c>
      <c r="O1169" s="50"/>
    </row>
    <row r="1170" spans="1:16" ht="21.75" customHeight="1" x14ac:dyDescent="0.4">
      <c r="A1170" s="62">
        <v>45764</v>
      </c>
      <c r="B1170" s="32" t="s">
        <v>3117</v>
      </c>
      <c r="C1170" s="32" t="s">
        <v>2557</v>
      </c>
      <c r="D1170" s="18" t="s">
        <v>22</v>
      </c>
      <c r="E1170" s="63" t="s">
        <v>23</v>
      </c>
      <c r="F1170" s="63"/>
      <c r="G1170" s="50" t="s">
        <v>4610</v>
      </c>
      <c r="H1170" s="57">
        <v>10000</v>
      </c>
      <c r="I1170" s="227"/>
      <c r="J1170" s="57">
        <f t="shared" si="183"/>
        <v>10000</v>
      </c>
      <c r="K1170" s="50">
        <v>1</v>
      </c>
      <c r="L1170" s="57">
        <f t="shared" si="184"/>
        <v>10000</v>
      </c>
      <c r="M1170" s="228">
        <f t="shared" si="182"/>
        <v>11000</v>
      </c>
      <c r="N1170" s="18" t="s">
        <v>20</v>
      </c>
      <c r="O1170" s="50"/>
      <c r="P1170" s="52" t="s">
        <v>1557</v>
      </c>
    </row>
    <row r="1171" spans="1:16" ht="21.75" customHeight="1" x14ac:dyDescent="0.4">
      <c r="A1171" s="62">
        <v>45764</v>
      </c>
      <c r="B1171" s="32" t="s">
        <v>3117</v>
      </c>
      <c r="C1171" s="32" t="s">
        <v>2557</v>
      </c>
      <c r="D1171" s="18" t="s">
        <v>17</v>
      </c>
      <c r="E1171" s="63" t="s">
        <v>328</v>
      </c>
      <c r="F1171" s="63" t="s">
        <v>788</v>
      </c>
      <c r="G1171" s="50" t="s">
        <v>4646</v>
      </c>
      <c r="H1171" s="57">
        <v>18000</v>
      </c>
      <c r="I1171" s="227">
        <v>-5400</v>
      </c>
      <c r="J1171" s="57">
        <f t="shared" si="183"/>
        <v>12600</v>
      </c>
      <c r="K1171" s="50">
        <v>1</v>
      </c>
      <c r="L1171" s="57">
        <f t="shared" si="184"/>
        <v>12600</v>
      </c>
      <c r="M1171" s="228">
        <f t="shared" si="182"/>
        <v>13860</v>
      </c>
      <c r="N1171" s="18" t="s">
        <v>20</v>
      </c>
      <c r="O1171" s="50"/>
      <c r="P1171" s="52" t="s">
        <v>1557</v>
      </c>
    </row>
    <row r="1172" spans="1:16" ht="21.75" customHeight="1" x14ac:dyDescent="0.4">
      <c r="A1172" s="62">
        <v>45764</v>
      </c>
      <c r="B1172" s="32" t="s">
        <v>3117</v>
      </c>
      <c r="C1172" s="32" t="s">
        <v>2557</v>
      </c>
      <c r="D1172" s="18" t="s">
        <v>17</v>
      </c>
      <c r="E1172" s="63" t="s">
        <v>328</v>
      </c>
      <c r="F1172" s="63" t="s">
        <v>788</v>
      </c>
      <c r="G1172" s="50" t="s">
        <v>4647</v>
      </c>
      <c r="H1172" s="57">
        <v>18000</v>
      </c>
      <c r="I1172" s="227">
        <v>-5400</v>
      </c>
      <c r="J1172" s="57">
        <f t="shared" si="183"/>
        <v>12600</v>
      </c>
      <c r="K1172" s="50">
        <v>1</v>
      </c>
      <c r="L1172" s="57">
        <f t="shared" si="184"/>
        <v>12600</v>
      </c>
      <c r="M1172" s="228">
        <f t="shared" si="182"/>
        <v>13860</v>
      </c>
      <c r="N1172" s="18" t="s">
        <v>20</v>
      </c>
      <c r="O1172" s="50"/>
      <c r="P1172" s="52" t="s">
        <v>1557</v>
      </c>
    </row>
    <row r="1173" spans="1:16" ht="21.75" customHeight="1" x14ac:dyDescent="0.4">
      <c r="A1173" s="62">
        <v>45764</v>
      </c>
      <c r="B1173" s="32" t="s">
        <v>3117</v>
      </c>
      <c r="C1173" s="32" t="s">
        <v>2557</v>
      </c>
      <c r="D1173" s="18" t="s">
        <v>17</v>
      </c>
      <c r="E1173" s="63" t="s">
        <v>332</v>
      </c>
      <c r="F1173" s="63" t="s">
        <v>3550</v>
      </c>
      <c r="G1173" s="50" t="s">
        <v>4574</v>
      </c>
      <c r="H1173" s="57">
        <v>1700</v>
      </c>
      <c r="I1173" s="227">
        <v>-170</v>
      </c>
      <c r="J1173" s="57">
        <f t="shared" si="183"/>
        <v>1530</v>
      </c>
      <c r="K1173" s="50">
        <v>2</v>
      </c>
      <c r="L1173" s="57">
        <f t="shared" si="184"/>
        <v>3060</v>
      </c>
      <c r="M1173" s="228">
        <f t="shared" si="182"/>
        <v>3366</v>
      </c>
      <c r="N1173" s="18" t="s">
        <v>20</v>
      </c>
      <c r="O1173" s="50"/>
      <c r="P1173" s="52" t="s">
        <v>1557</v>
      </c>
    </row>
    <row r="1174" spans="1:16" ht="21.75" customHeight="1" x14ac:dyDescent="0.4">
      <c r="A1174" s="62">
        <v>45764</v>
      </c>
      <c r="B1174" s="32" t="s">
        <v>3117</v>
      </c>
      <c r="C1174" s="32" t="s">
        <v>2557</v>
      </c>
      <c r="D1174" s="96" t="s">
        <v>198</v>
      </c>
      <c r="E1174" s="63"/>
      <c r="F1174" s="63"/>
      <c r="G1174" s="50" t="s">
        <v>2491</v>
      </c>
      <c r="H1174" s="57">
        <v>-10000</v>
      </c>
      <c r="I1174" s="227"/>
      <c r="J1174" s="57">
        <f t="shared" si="183"/>
        <v>-10000</v>
      </c>
      <c r="K1174" s="50">
        <v>1</v>
      </c>
      <c r="L1174" s="57">
        <f t="shared" si="184"/>
        <v>-10000</v>
      </c>
      <c r="M1174" s="238">
        <f t="shared" si="182"/>
        <v>-11000</v>
      </c>
      <c r="N1174" s="18" t="s">
        <v>20</v>
      </c>
      <c r="O1174" s="50"/>
    </row>
    <row r="1175" spans="1:16" ht="21.75" customHeight="1" x14ac:dyDescent="0.4">
      <c r="A1175" s="62">
        <v>45764</v>
      </c>
      <c r="B1175" s="32" t="s">
        <v>4648</v>
      </c>
      <c r="C1175" s="32" t="s">
        <v>405</v>
      </c>
      <c r="D1175" s="18" t="s">
        <v>22</v>
      </c>
      <c r="E1175" s="63" t="s">
        <v>1496</v>
      </c>
      <c r="F1175" s="63"/>
      <c r="G1175" s="50" t="s">
        <v>49</v>
      </c>
      <c r="H1175" s="57">
        <v>3000</v>
      </c>
      <c r="I1175" s="227"/>
      <c r="J1175" s="57">
        <f t="shared" si="183"/>
        <v>3000</v>
      </c>
      <c r="K1175" s="50">
        <v>1</v>
      </c>
      <c r="L1175" s="57">
        <f t="shared" si="184"/>
        <v>3000</v>
      </c>
      <c r="M1175" s="228">
        <f t="shared" si="182"/>
        <v>3300</v>
      </c>
      <c r="N1175" s="18" t="s">
        <v>20</v>
      </c>
      <c r="O1175" s="50"/>
    </row>
    <row r="1176" spans="1:16" ht="21.75" customHeight="1" x14ac:dyDescent="0.4">
      <c r="A1176" s="62">
        <v>45764</v>
      </c>
      <c r="B1176" s="32" t="s">
        <v>4649</v>
      </c>
      <c r="C1176" s="32" t="s">
        <v>2557</v>
      </c>
      <c r="D1176" s="18" t="s">
        <v>27</v>
      </c>
      <c r="E1176" s="63" t="s">
        <v>28</v>
      </c>
      <c r="F1176" s="63"/>
      <c r="G1176" s="50" t="s">
        <v>318</v>
      </c>
      <c r="H1176" s="57">
        <v>15000</v>
      </c>
      <c r="I1176" s="227"/>
      <c r="J1176" s="57">
        <f t="shared" si="183"/>
        <v>15000</v>
      </c>
      <c r="K1176" s="50">
        <v>1</v>
      </c>
      <c r="L1176" s="57">
        <f t="shared" si="184"/>
        <v>15000</v>
      </c>
      <c r="M1176" s="228">
        <f t="shared" si="182"/>
        <v>16500</v>
      </c>
      <c r="N1176" s="18" t="s">
        <v>25</v>
      </c>
      <c r="O1176" s="50"/>
    </row>
    <row r="1177" spans="1:16" ht="21.75" customHeight="1" x14ac:dyDescent="0.4">
      <c r="A1177" s="62">
        <v>45764</v>
      </c>
      <c r="B1177" s="32" t="s">
        <v>4649</v>
      </c>
      <c r="C1177" s="32" t="s">
        <v>2557</v>
      </c>
      <c r="D1177" s="18" t="s">
        <v>27</v>
      </c>
      <c r="E1177" s="63" t="s">
        <v>28</v>
      </c>
      <c r="F1177" s="63"/>
      <c r="G1177" s="50" t="s">
        <v>3976</v>
      </c>
      <c r="H1177" s="57">
        <v>8750</v>
      </c>
      <c r="I1177" s="227"/>
      <c r="J1177" s="57">
        <f t="shared" si="183"/>
        <v>8750</v>
      </c>
      <c r="K1177" s="50">
        <v>1</v>
      </c>
      <c r="L1177" s="57">
        <f t="shared" si="184"/>
        <v>8750</v>
      </c>
      <c r="M1177" s="228">
        <f t="shared" si="182"/>
        <v>9625</v>
      </c>
      <c r="N1177" s="18" t="s">
        <v>25</v>
      </c>
      <c r="O1177" s="50"/>
    </row>
    <row r="1178" spans="1:16" ht="21.75" customHeight="1" x14ac:dyDescent="0.4">
      <c r="A1178" s="62">
        <v>45764</v>
      </c>
      <c r="B1178" s="32" t="s">
        <v>4649</v>
      </c>
      <c r="C1178" s="32" t="s">
        <v>2557</v>
      </c>
      <c r="D1178" s="18" t="s">
        <v>27</v>
      </c>
      <c r="E1178" s="63" t="s">
        <v>28</v>
      </c>
      <c r="F1178" s="63"/>
      <c r="G1178" s="50" t="s">
        <v>3663</v>
      </c>
      <c r="H1178" s="57">
        <v>17500</v>
      </c>
      <c r="I1178" s="227"/>
      <c r="J1178" s="57">
        <f t="shared" si="183"/>
        <v>17500</v>
      </c>
      <c r="K1178" s="50">
        <v>1</v>
      </c>
      <c r="L1178" s="57">
        <f t="shared" si="184"/>
        <v>17500</v>
      </c>
      <c r="M1178" s="228">
        <f t="shared" si="182"/>
        <v>19250</v>
      </c>
      <c r="N1178" s="18" t="s">
        <v>25</v>
      </c>
      <c r="O1178" s="50"/>
    </row>
    <row r="1179" spans="1:16" ht="21.75" customHeight="1" x14ac:dyDescent="0.4">
      <c r="A1179" s="62">
        <v>45764</v>
      </c>
      <c r="B1179" s="32" t="s">
        <v>4680</v>
      </c>
      <c r="C1179" s="32" t="s">
        <v>405</v>
      </c>
      <c r="D1179" s="18" t="s">
        <v>22</v>
      </c>
      <c r="E1179" s="63" t="s">
        <v>256</v>
      </c>
      <c r="F1179" s="63"/>
      <c r="G1179" s="50" t="s">
        <v>257</v>
      </c>
      <c r="H1179" s="57">
        <v>3000</v>
      </c>
      <c r="I1179" s="227"/>
      <c r="J1179" s="57">
        <f t="shared" si="183"/>
        <v>3000</v>
      </c>
      <c r="K1179" s="50">
        <v>1</v>
      </c>
      <c r="L1179" s="57">
        <f t="shared" si="184"/>
        <v>3000</v>
      </c>
      <c r="M1179" s="228">
        <f t="shared" si="182"/>
        <v>3300</v>
      </c>
      <c r="N1179" s="18" t="s">
        <v>4386</v>
      </c>
      <c r="O1179" s="50"/>
    </row>
    <row r="1180" spans="1:16" ht="21.75" customHeight="1" x14ac:dyDescent="0.4">
      <c r="A1180" s="62">
        <v>45765</v>
      </c>
      <c r="B1180" s="32" t="s">
        <v>503</v>
      </c>
      <c r="C1180" s="32" t="s">
        <v>2557</v>
      </c>
      <c r="D1180" s="18" t="s">
        <v>22</v>
      </c>
      <c r="E1180" s="63" t="s">
        <v>23</v>
      </c>
      <c r="F1180" s="63"/>
      <c r="G1180" s="50" t="s">
        <v>4610</v>
      </c>
      <c r="H1180" s="57">
        <v>10000</v>
      </c>
      <c r="I1180" s="227"/>
      <c r="J1180" s="57">
        <f t="shared" si="183"/>
        <v>10000</v>
      </c>
      <c r="K1180" s="50">
        <v>1</v>
      </c>
      <c r="L1180" s="57">
        <f t="shared" si="184"/>
        <v>10000</v>
      </c>
      <c r="M1180" s="228">
        <f t="shared" ref="M1180:M1250" si="185">ROUNDDOWN(L1180*1.1,0)</f>
        <v>11000</v>
      </c>
      <c r="N1180" s="18" t="s">
        <v>34</v>
      </c>
      <c r="O1180" s="50"/>
      <c r="P1180" s="52" t="s">
        <v>1557</v>
      </c>
    </row>
    <row r="1181" spans="1:16" ht="21" customHeight="1" x14ac:dyDescent="0.4">
      <c r="A1181" s="62">
        <v>45765</v>
      </c>
      <c r="B1181" s="32" t="s">
        <v>503</v>
      </c>
      <c r="C1181" s="32" t="s">
        <v>2557</v>
      </c>
      <c r="D1181" s="18" t="s">
        <v>17</v>
      </c>
      <c r="E1181" s="63" t="s">
        <v>328</v>
      </c>
      <c r="F1181" s="63" t="s">
        <v>3599</v>
      </c>
      <c r="G1181" s="50" t="s">
        <v>3605</v>
      </c>
      <c r="H1181" s="57">
        <v>72000</v>
      </c>
      <c r="I1181" s="227">
        <v>-21600</v>
      </c>
      <c r="J1181" s="57">
        <f t="shared" si="183"/>
        <v>50400</v>
      </c>
      <c r="K1181" s="50">
        <v>1</v>
      </c>
      <c r="L1181" s="57">
        <f t="shared" si="184"/>
        <v>50400</v>
      </c>
      <c r="M1181" s="228">
        <f t="shared" si="185"/>
        <v>55440</v>
      </c>
      <c r="N1181" s="18" t="s">
        <v>34</v>
      </c>
      <c r="O1181" s="50"/>
      <c r="P1181" s="52" t="s">
        <v>1557</v>
      </c>
    </row>
    <row r="1182" spans="1:16" ht="21.75" customHeight="1" x14ac:dyDescent="0.4">
      <c r="A1182" s="62">
        <v>45765</v>
      </c>
      <c r="B1182" s="32" t="s">
        <v>503</v>
      </c>
      <c r="C1182" s="32" t="s">
        <v>2557</v>
      </c>
      <c r="D1182" s="18" t="s">
        <v>17</v>
      </c>
      <c r="E1182" s="63" t="s">
        <v>330</v>
      </c>
      <c r="F1182" s="63" t="s">
        <v>790</v>
      </c>
      <c r="G1182" s="50" t="s">
        <v>3819</v>
      </c>
      <c r="H1182" s="57">
        <v>5000</v>
      </c>
      <c r="I1182" s="227"/>
      <c r="J1182" s="57">
        <f t="shared" si="183"/>
        <v>5000</v>
      </c>
      <c r="K1182" s="50">
        <v>1</v>
      </c>
      <c r="L1182" s="57">
        <f t="shared" si="184"/>
        <v>5000</v>
      </c>
      <c r="M1182" s="228">
        <f t="shared" si="185"/>
        <v>5500</v>
      </c>
      <c r="N1182" s="18" t="s">
        <v>34</v>
      </c>
      <c r="O1182" s="50"/>
      <c r="P1182" s="52" t="s">
        <v>1557</v>
      </c>
    </row>
    <row r="1183" spans="1:16" ht="21.75" customHeight="1" x14ac:dyDescent="0.4">
      <c r="A1183" s="62">
        <v>45765</v>
      </c>
      <c r="B1183" s="32" t="s">
        <v>503</v>
      </c>
      <c r="C1183" s="32" t="s">
        <v>2557</v>
      </c>
      <c r="D1183" s="18" t="s">
        <v>17</v>
      </c>
      <c r="E1183" s="63" t="s">
        <v>332</v>
      </c>
      <c r="F1183" s="63" t="s">
        <v>3553</v>
      </c>
      <c r="G1183" s="50" t="s">
        <v>4650</v>
      </c>
      <c r="H1183" s="57">
        <v>1800</v>
      </c>
      <c r="I1183" s="227">
        <v>-180</v>
      </c>
      <c r="J1183" s="57">
        <f t="shared" si="183"/>
        <v>1620</v>
      </c>
      <c r="K1183" s="50">
        <v>1</v>
      </c>
      <c r="L1183" s="57">
        <f t="shared" si="184"/>
        <v>1620</v>
      </c>
      <c r="M1183" s="228">
        <f t="shared" si="185"/>
        <v>1782</v>
      </c>
      <c r="N1183" s="18" t="s">
        <v>34</v>
      </c>
      <c r="O1183" s="50"/>
      <c r="P1183" s="52" t="s">
        <v>1557</v>
      </c>
    </row>
    <row r="1184" spans="1:16" ht="21.75" customHeight="1" x14ac:dyDescent="0.4">
      <c r="A1184" s="62">
        <v>45765</v>
      </c>
      <c r="B1184" s="32" t="s">
        <v>503</v>
      </c>
      <c r="C1184" s="32" t="s">
        <v>2557</v>
      </c>
      <c r="D1184" s="96" t="s">
        <v>198</v>
      </c>
      <c r="E1184" s="63"/>
      <c r="F1184" s="63"/>
      <c r="G1184" s="50" t="s">
        <v>2491</v>
      </c>
      <c r="H1184" s="57">
        <v>-10000</v>
      </c>
      <c r="I1184" s="227"/>
      <c r="J1184" s="57">
        <f t="shared" si="183"/>
        <v>-10000</v>
      </c>
      <c r="K1184" s="50">
        <v>1</v>
      </c>
      <c r="L1184" s="57">
        <f t="shared" si="184"/>
        <v>-10000</v>
      </c>
      <c r="M1184" s="238">
        <f t="shared" si="185"/>
        <v>-11000</v>
      </c>
      <c r="N1184" s="18" t="s">
        <v>34</v>
      </c>
      <c r="O1184" s="50"/>
    </row>
    <row r="1185" spans="1:27" ht="21.75" customHeight="1" x14ac:dyDescent="0.4">
      <c r="A1185" s="62">
        <v>45766</v>
      </c>
      <c r="B1185" s="32" t="s">
        <v>4651</v>
      </c>
      <c r="C1185" s="32" t="s">
        <v>405</v>
      </c>
      <c r="D1185" s="18" t="s">
        <v>22</v>
      </c>
      <c r="E1185" s="63" t="s">
        <v>23</v>
      </c>
      <c r="F1185" s="63"/>
      <c r="G1185" s="50" t="s">
        <v>264</v>
      </c>
      <c r="H1185" s="57">
        <v>15000</v>
      </c>
      <c r="I1185" s="227"/>
      <c r="J1185" s="57">
        <f t="shared" si="183"/>
        <v>15000</v>
      </c>
      <c r="K1185" s="50">
        <v>1</v>
      </c>
      <c r="L1185" s="57">
        <f t="shared" si="184"/>
        <v>15000</v>
      </c>
      <c r="M1185" s="228">
        <f t="shared" si="185"/>
        <v>16500</v>
      </c>
      <c r="N1185" s="18" t="s">
        <v>20</v>
      </c>
      <c r="O1185" s="50"/>
      <c r="P1185" s="52" t="s">
        <v>2141</v>
      </c>
    </row>
    <row r="1186" spans="1:27" ht="21.75" customHeight="1" x14ac:dyDescent="0.4">
      <c r="A1186" s="62">
        <v>45766</v>
      </c>
      <c r="B1186" s="32" t="s">
        <v>4652</v>
      </c>
      <c r="C1186" s="32" t="s">
        <v>405</v>
      </c>
      <c r="D1186" s="18" t="s">
        <v>22</v>
      </c>
      <c r="E1186" s="63" t="s">
        <v>1496</v>
      </c>
      <c r="F1186" s="63"/>
      <c r="G1186" s="50" t="s">
        <v>49</v>
      </c>
      <c r="H1186" s="57">
        <v>3000</v>
      </c>
      <c r="I1186" s="227"/>
      <c r="J1186" s="57">
        <f t="shared" si="183"/>
        <v>3000</v>
      </c>
      <c r="K1186" s="50">
        <v>1</v>
      </c>
      <c r="L1186" s="57">
        <f t="shared" si="184"/>
        <v>3000</v>
      </c>
      <c r="M1186" s="228">
        <f t="shared" si="185"/>
        <v>3300</v>
      </c>
      <c r="N1186" s="18" t="s">
        <v>20</v>
      </c>
      <c r="O1186" s="50"/>
    </row>
    <row r="1187" spans="1:27" ht="21.75" customHeight="1" x14ac:dyDescent="0.4">
      <c r="A1187" s="62">
        <v>45766</v>
      </c>
      <c r="B1187" s="32" t="s">
        <v>2836</v>
      </c>
      <c r="C1187" s="32" t="s">
        <v>2557</v>
      </c>
      <c r="D1187" s="18" t="s">
        <v>27</v>
      </c>
      <c r="E1187" s="63" t="s">
        <v>28</v>
      </c>
      <c r="F1187" s="63"/>
      <c r="G1187" s="50" t="s">
        <v>4582</v>
      </c>
      <c r="H1187" s="57">
        <v>2500</v>
      </c>
      <c r="I1187" s="227"/>
      <c r="J1187" s="57">
        <f t="shared" si="183"/>
        <v>2500</v>
      </c>
      <c r="K1187" s="50">
        <v>1</v>
      </c>
      <c r="L1187" s="57">
        <f t="shared" si="184"/>
        <v>2500</v>
      </c>
      <c r="M1187" s="228">
        <f t="shared" si="185"/>
        <v>2750</v>
      </c>
      <c r="N1187" s="18" t="s">
        <v>20</v>
      </c>
      <c r="O1187" s="50"/>
    </row>
    <row r="1188" spans="1:27" s="248" customFormat="1" ht="21.75" customHeight="1" x14ac:dyDescent="0.4">
      <c r="A1188" s="62">
        <v>45766</v>
      </c>
      <c r="B1188" s="32" t="s">
        <v>2938</v>
      </c>
      <c r="C1188" s="32" t="s">
        <v>2557</v>
      </c>
      <c r="D1188" s="18" t="s">
        <v>17</v>
      </c>
      <c r="E1188" s="63" t="s">
        <v>332</v>
      </c>
      <c r="F1188" s="63" t="s">
        <v>3553</v>
      </c>
      <c r="G1188" s="50" t="s">
        <v>3900</v>
      </c>
      <c r="H1188" s="57">
        <v>1800</v>
      </c>
      <c r="I1188" s="227">
        <v>-180</v>
      </c>
      <c r="J1188" s="57">
        <f t="shared" si="183"/>
        <v>1620</v>
      </c>
      <c r="K1188" s="50">
        <v>1</v>
      </c>
      <c r="L1188" s="57">
        <f t="shared" si="184"/>
        <v>1620</v>
      </c>
      <c r="M1188" s="228">
        <f t="shared" si="185"/>
        <v>1782</v>
      </c>
      <c r="N1188" s="18" t="s">
        <v>25</v>
      </c>
      <c r="O1188" s="50"/>
      <c r="P1188" s="52"/>
      <c r="Q1188" s="247"/>
      <c r="R1188" s="247"/>
      <c r="S1188" s="247"/>
      <c r="T1188" s="247"/>
      <c r="U1188" s="247"/>
      <c r="W1188" s="249"/>
      <c r="X1188" s="250"/>
      <c r="Y1188" s="250"/>
      <c r="Z1188" s="250"/>
      <c r="AA1188" s="250"/>
    </row>
    <row r="1189" spans="1:27" ht="21.75" customHeight="1" x14ac:dyDescent="0.4">
      <c r="A1189" s="62">
        <v>45766</v>
      </c>
      <c r="B1189" s="32" t="s">
        <v>4651</v>
      </c>
      <c r="C1189" s="32" t="s">
        <v>4313</v>
      </c>
      <c r="D1189" s="18" t="s">
        <v>17</v>
      </c>
      <c r="E1189" s="63" t="s">
        <v>328</v>
      </c>
      <c r="F1189" s="63" t="s">
        <v>3598</v>
      </c>
      <c r="G1189" s="50" t="s">
        <v>3874</v>
      </c>
      <c r="H1189" s="57">
        <v>70000</v>
      </c>
      <c r="I1189" s="227">
        <v>-14000</v>
      </c>
      <c r="J1189" s="57">
        <f t="shared" si="183"/>
        <v>56000</v>
      </c>
      <c r="K1189" s="50">
        <v>1</v>
      </c>
      <c r="L1189" s="57">
        <f t="shared" si="184"/>
        <v>56000</v>
      </c>
      <c r="M1189" s="228">
        <f t="shared" si="185"/>
        <v>61600</v>
      </c>
      <c r="N1189" s="18" t="s">
        <v>34</v>
      </c>
      <c r="O1189" s="50"/>
      <c r="P1189" s="52" t="s">
        <v>2141</v>
      </c>
    </row>
    <row r="1190" spans="1:27" ht="21.75" customHeight="1" x14ac:dyDescent="0.4">
      <c r="A1190" s="62">
        <v>45766</v>
      </c>
      <c r="B1190" s="32" t="s">
        <v>4651</v>
      </c>
      <c r="C1190" s="32" t="s">
        <v>4313</v>
      </c>
      <c r="D1190" s="18" t="s">
        <v>17</v>
      </c>
      <c r="E1190" s="63" t="s">
        <v>332</v>
      </c>
      <c r="F1190" s="63" t="s">
        <v>3555</v>
      </c>
      <c r="G1190" s="50" t="s">
        <v>4653</v>
      </c>
      <c r="H1190" s="57">
        <v>1300</v>
      </c>
      <c r="I1190" s="227"/>
      <c r="J1190" s="57">
        <f t="shared" si="183"/>
        <v>1300</v>
      </c>
      <c r="K1190" s="50">
        <v>1</v>
      </c>
      <c r="L1190" s="57">
        <f t="shared" si="184"/>
        <v>1300</v>
      </c>
      <c r="M1190" s="228">
        <f t="shared" si="185"/>
        <v>1430</v>
      </c>
      <c r="N1190" s="18" t="s">
        <v>34</v>
      </c>
      <c r="O1190" s="50" t="s">
        <v>4654</v>
      </c>
      <c r="P1190" s="52" t="s">
        <v>2141</v>
      </c>
    </row>
    <row r="1191" spans="1:27" ht="21.75" customHeight="1" x14ac:dyDescent="0.4">
      <c r="A1191" s="62">
        <v>45766</v>
      </c>
      <c r="B1191" s="261" t="s">
        <v>4686</v>
      </c>
      <c r="C1191" s="32" t="s">
        <v>2557</v>
      </c>
      <c r="D1191" s="18" t="s">
        <v>27</v>
      </c>
      <c r="E1191" s="63" t="s">
        <v>103</v>
      </c>
      <c r="F1191" s="63"/>
      <c r="G1191" s="63" t="s">
        <v>364</v>
      </c>
      <c r="H1191" s="57">
        <v>25000</v>
      </c>
      <c r="I1191" s="227"/>
      <c r="J1191" s="57">
        <f t="shared" si="183"/>
        <v>25000</v>
      </c>
      <c r="K1191" s="50">
        <v>1</v>
      </c>
      <c r="L1191" s="57">
        <f t="shared" si="184"/>
        <v>25000</v>
      </c>
      <c r="M1191" s="228">
        <f t="shared" si="185"/>
        <v>27500</v>
      </c>
      <c r="N1191" s="18" t="s">
        <v>4386</v>
      </c>
      <c r="O1191" s="50"/>
    </row>
    <row r="1192" spans="1:27" ht="21.75" customHeight="1" x14ac:dyDescent="0.4">
      <c r="A1192" s="62">
        <v>45767</v>
      </c>
      <c r="B1192" s="32" t="s">
        <v>4655</v>
      </c>
      <c r="C1192" s="32" t="s">
        <v>2557</v>
      </c>
      <c r="D1192" s="18" t="s">
        <v>27</v>
      </c>
      <c r="E1192" s="63" t="s">
        <v>28</v>
      </c>
      <c r="F1192" s="63"/>
      <c r="G1192" s="50" t="s">
        <v>4346</v>
      </c>
      <c r="H1192" s="57">
        <v>22500</v>
      </c>
      <c r="I1192" s="227"/>
      <c r="J1192" s="57">
        <f t="shared" si="183"/>
        <v>22500</v>
      </c>
      <c r="K1192" s="50">
        <v>1</v>
      </c>
      <c r="L1192" s="57">
        <f t="shared" si="184"/>
        <v>22500</v>
      </c>
      <c r="M1192" s="228">
        <f t="shared" si="185"/>
        <v>24750</v>
      </c>
      <c r="N1192" s="18" t="s">
        <v>25</v>
      </c>
      <c r="O1192" s="50"/>
    </row>
    <row r="1193" spans="1:27" ht="21.75" customHeight="1" x14ac:dyDescent="0.4">
      <c r="A1193" s="62">
        <v>45767</v>
      </c>
      <c r="B1193" s="32" t="s">
        <v>4656</v>
      </c>
      <c r="C1193" s="32" t="s">
        <v>405</v>
      </c>
      <c r="D1193" s="18" t="s">
        <v>22</v>
      </c>
      <c r="E1193" s="63" t="s">
        <v>23</v>
      </c>
      <c r="F1193" s="63"/>
      <c r="G1193" s="50" t="s">
        <v>264</v>
      </c>
      <c r="H1193" s="57">
        <v>15000</v>
      </c>
      <c r="I1193" s="227"/>
      <c r="J1193" s="57">
        <f t="shared" si="183"/>
        <v>15000</v>
      </c>
      <c r="K1193" s="50">
        <v>1</v>
      </c>
      <c r="L1193" s="57">
        <f t="shared" si="184"/>
        <v>15000</v>
      </c>
      <c r="M1193" s="228">
        <f t="shared" si="185"/>
        <v>16500</v>
      </c>
      <c r="N1193" s="18" t="s">
        <v>34</v>
      </c>
      <c r="O1193" s="50"/>
      <c r="P1193" s="52" t="s">
        <v>1557</v>
      </c>
    </row>
    <row r="1194" spans="1:27" ht="21.75" customHeight="1" x14ac:dyDescent="0.4">
      <c r="A1194" s="62">
        <v>45767</v>
      </c>
      <c r="B1194" s="32" t="s">
        <v>4656</v>
      </c>
      <c r="C1194" s="32" t="s">
        <v>405</v>
      </c>
      <c r="D1194" s="18" t="s">
        <v>17</v>
      </c>
      <c r="E1194" s="63" t="s">
        <v>332</v>
      </c>
      <c r="F1194" s="63" t="s">
        <v>3555</v>
      </c>
      <c r="G1194" s="50" t="s">
        <v>4657</v>
      </c>
      <c r="H1194" s="57">
        <v>1900</v>
      </c>
      <c r="I1194" s="227"/>
      <c r="J1194" s="57">
        <f t="shared" si="183"/>
        <v>1900</v>
      </c>
      <c r="K1194" s="50">
        <v>2</v>
      </c>
      <c r="L1194" s="57">
        <f t="shared" si="184"/>
        <v>3800</v>
      </c>
      <c r="M1194" s="228">
        <f t="shared" si="185"/>
        <v>4180</v>
      </c>
      <c r="N1194" s="18" t="s">
        <v>34</v>
      </c>
      <c r="O1194" s="50"/>
    </row>
    <row r="1195" spans="1:27" ht="21.75" customHeight="1" x14ac:dyDescent="0.4">
      <c r="A1195" s="62">
        <v>45768</v>
      </c>
      <c r="B1195" s="32" t="s">
        <v>4659</v>
      </c>
      <c r="C1195" s="32" t="s">
        <v>2557</v>
      </c>
      <c r="D1195" s="18" t="s">
        <v>27</v>
      </c>
      <c r="E1195" s="63" t="s">
        <v>103</v>
      </c>
      <c r="F1195" s="63"/>
      <c r="G1195" s="50" t="s">
        <v>217</v>
      </c>
      <c r="H1195" s="57">
        <v>25000</v>
      </c>
      <c r="I1195" s="227"/>
      <c r="J1195" s="57">
        <f t="shared" si="183"/>
        <v>25000</v>
      </c>
      <c r="K1195" s="50">
        <v>1</v>
      </c>
      <c r="L1195" s="57">
        <f t="shared" si="184"/>
        <v>25000</v>
      </c>
      <c r="M1195" s="228">
        <f t="shared" si="185"/>
        <v>27500</v>
      </c>
      <c r="N1195" s="18" t="s">
        <v>20</v>
      </c>
      <c r="O1195" s="50"/>
    </row>
    <row r="1196" spans="1:27" ht="21.75" customHeight="1" x14ac:dyDescent="0.4">
      <c r="A1196" s="62">
        <v>45768</v>
      </c>
      <c r="B1196" s="32" t="s">
        <v>4280</v>
      </c>
      <c r="C1196" s="32" t="s">
        <v>2557</v>
      </c>
      <c r="D1196" s="18" t="s">
        <v>17</v>
      </c>
      <c r="E1196" s="63" t="s">
        <v>332</v>
      </c>
      <c r="F1196" s="63" t="s">
        <v>3553</v>
      </c>
      <c r="G1196" s="50" t="s">
        <v>4660</v>
      </c>
      <c r="H1196" s="57">
        <v>1800</v>
      </c>
      <c r="I1196" s="227">
        <v>-180</v>
      </c>
      <c r="J1196" s="57">
        <f t="shared" si="183"/>
        <v>1620</v>
      </c>
      <c r="K1196" s="50">
        <v>1</v>
      </c>
      <c r="L1196" s="57">
        <f t="shared" si="184"/>
        <v>1620</v>
      </c>
      <c r="M1196" s="228">
        <f t="shared" si="185"/>
        <v>1782</v>
      </c>
      <c r="N1196" s="18" t="s">
        <v>25</v>
      </c>
      <c r="O1196" s="50"/>
    </row>
    <row r="1197" spans="1:27" ht="21.75" customHeight="1" x14ac:dyDescent="0.4">
      <c r="A1197" s="253">
        <v>45768</v>
      </c>
      <c r="B1197" s="241" t="s">
        <v>4661</v>
      </c>
      <c r="C1197" s="241" t="s">
        <v>2557</v>
      </c>
      <c r="D1197" s="242" t="s">
        <v>17</v>
      </c>
      <c r="E1197" s="251" t="s">
        <v>1442</v>
      </c>
      <c r="F1197" s="251" t="s">
        <v>3543</v>
      </c>
      <c r="G1197" s="244" t="s">
        <v>4662</v>
      </c>
      <c r="H1197" s="245">
        <v>98000</v>
      </c>
      <c r="I1197" s="268">
        <v>-9800</v>
      </c>
      <c r="J1197" s="245">
        <f t="shared" si="183"/>
        <v>88200</v>
      </c>
      <c r="K1197" s="244">
        <v>1</v>
      </c>
      <c r="L1197" s="245">
        <f t="shared" si="184"/>
        <v>88200</v>
      </c>
      <c r="M1197" s="246">
        <f t="shared" si="185"/>
        <v>97020</v>
      </c>
      <c r="N1197" s="242" t="s">
        <v>34</v>
      </c>
      <c r="O1197" s="244"/>
      <c r="P1197" s="247" t="s">
        <v>2141</v>
      </c>
    </row>
    <row r="1198" spans="1:27" ht="21.75" customHeight="1" x14ac:dyDescent="0.4">
      <c r="A1198" s="62">
        <v>45768</v>
      </c>
      <c r="B1198" s="261" t="s">
        <v>4685</v>
      </c>
      <c r="C1198" s="32" t="s">
        <v>2557</v>
      </c>
      <c r="D1198" s="18" t="s">
        <v>27</v>
      </c>
      <c r="E1198" s="63" t="s">
        <v>103</v>
      </c>
      <c r="F1198" s="63"/>
      <c r="G1198" s="63" t="s">
        <v>364</v>
      </c>
      <c r="H1198" s="57">
        <v>25000</v>
      </c>
      <c r="I1198" s="227"/>
      <c r="J1198" s="57">
        <f t="shared" si="183"/>
        <v>25000</v>
      </c>
      <c r="K1198" s="50">
        <v>1</v>
      </c>
      <c r="L1198" s="57">
        <f t="shared" si="184"/>
        <v>25000</v>
      </c>
      <c r="M1198" s="228">
        <f t="shared" si="185"/>
        <v>27500</v>
      </c>
      <c r="N1198" s="18" t="s">
        <v>4233</v>
      </c>
      <c r="O1198" s="50"/>
    </row>
    <row r="1199" spans="1:27" ht="21.75" customHeight="1" x14ac:dyDescent="0.4">
      <c r="A1199" s="62">
        <v>45770</v>
      </c>
      <c r="B1199" s="32" t="s">
        <v>4503</v>
      </c>
      <c r="C1199" s="32" t="s">
        <v>4292</v>
      </c>
      <c r="D1199" s="18" t="s">
        <v>17</v>
      </c>
      <c r="E1199" s="63" t="s">
        <v>426</v>
      </c>
      <c r="F1199" s="63" t="s">
        <v>994</v>
      </c>
      <c r="G1199" s="50" t="s">
        <v>3844</v>
      </c>
      <c r="H1199" s="57">
        <v>1800</v>
      </c>
      <c r="I1199" s="227">
        <v>-180</v>
      </c>
      <c r="J1199" s="57">
        <f t="shared" si="183"/>
        <v>1620</v>
      </c>
      <c r="K1199" s="50">
        <v>1</v>
      </c>
      <c r="L1199" s="57">
        <f t="shared" si="184"/>
        <v>1620</v>
      </c>
      <c r="M1199" s="228">
        <f t="shared" si="185"/>
        <v>1782</v>
      </c>
      <c r="N1199" s="18" t="s">
        <v>25</v>
      </c>
      <c r="O1199" s="50"/>
    </row>
    <row r="1200" spans="1:27" ht="21.75" customHeight="1" x14ac:dyDescent="0.4">
      <c r="A1200" s="62">
        <v>45770</v>
      </c>
      <c r="B1200" s="32" t="s">
        <v>1447</v>
      </c>
      <c r="C1200" s="32" t="s">
        <v>2557</v>
      </c>
      <c r="D1200" s="18" t="s">
        <v>17</v>
      </c>
      <c r="E1200" s="63" t="s">
        <v>332</v>
      </c>
      <c r="F1200" s="63" t="s">
        <v>3555</v>
      </c>
      <c r="G1200" s="50" t="s">
        <v>4663</v>
      </c>
      <c r="H1200" s="57">
        <v>1700</v>
      </c>
      <c r="I1200" s="227">
        <v>-170</v>
      </c>
      <c r="J1200" s="57">
        <f t="shared" si="183"/>
        <v>1530</v>
      </c>
      <c r="K1200" s="50">
        <v>3</v>
      </c>
      <c r="L1200" s="57">
        <f t="shared" si="184"/>
        <v>4590</v>
      </c>
      <c r="M1200" s="228">
        <f t="shared" si="185"/>
        <v>5049</v>
      </c>
      <c r="N1200" s="18" t="s">
        <v>20</v>
      </c>
      <c r="O1200" s="50"/>
    </row>
    <row r="1201" spans="1:27" ht="21.75" customHeight="1" x14ac:dyDescent="0.4">
      <c r="A1201" s="62">
        <v>45770</v>
      </c>
      <c r="B1201" s="32" t="s">
        <v>1447</v>
      </c>
      <c r="C1201" s="32" t="s">
        <v>2557</v>
      </c>
      <c r="D1201" s="18" t="s">
        <v>17</v>
      </c>
      <c r="E1201" s="63" t="s">
        <v>332</v>
      </c>
      <c r="F1201" s="63" t="s">
        <v>3555</v>
      </c>
      <c r="G1201" s="50" t="s">
        <v>4664</v>
      </c>
      <c r="H1201" s="57">
        <v>1700</v>
      </c>
      <c r="I1201" s="227">
        <v>-170</v>
      </c>
      <c r="J1201" s="57">
        <f t="shared" si="183"/>
        <v>1530</v>
      </c>
      <c r="K1201" s="50">
        <v>2</v>
      </c>
      <c r="L1201" s="57">
        <f t="shared" si="184"/>
        <v>3060</v>
      </c>
      <c r="M1201" s="228">
        <f t="shared" si="185"/>
        <v>3366</v>
      </c>
      <c r="N1201" s="18" t="s">
        <v>20</v>
      </c>
      <c r="O1201" s="50"/>
    </row>
    <row r="1202" spans="1:27" ht="21.75" customHeight="1" x14ac:dyDescent="0.4">
      <c r="A1202" s="62">
        <v>45771</v>
      </c>
      <c r="B1202" s="32" t="s">
        <v>4665</v>
      </c>
      <c r="C1202" s="32" t="s">
        <v>2557</v>
      </c>
      <c r="D1202" s="18" t="s">
        <v>17</v>
      </c>
      <c r="E1202" s="63" t="s">
        <v>426</v>
      </c>
      <c r="F1202" s="63" t="s">
        <v>994</v>
      </c>
      <c r="G1202" s="50" t="s">
        <v>3867</v>
      </c>
      <c r="H1202" s="57">
        <v>1800</v>
      </c>
      <c r="I1202" s="227">
        <v>-180</v>
      </c>
      <c r="J1202" s="57">
        <f t="shared" si="183"/>
        <v>1620</v>
      </c>
      <c r="K1202" s="50">
        <v>1</v>
      </c>
      <c r="L1202" s="57">
        <f t="shared" si="184"/>
        <v>1620</v>
      </c>
      <c r="M1202" s="228">
        <f t="shared" si="185"/>
        <v>1782</v>
      </c>
      <c r="N1202" s="18" t="s">
        <v>25</v>
      </c>
      <c r="O1202" s="50"/>
    </row>
    <row r="1203" spans="1:27" ht="21.75" customHeight="1" x14ac:dyDescent="0.4">
      <c r="A1203" s="62">
        <v>45771</v>
      </c>
      <c r="B1203" s="32" t="s">
        <v>4665</v>
      </c>
      <c r="C1203" s="32" t="s">
        <v>2557</v>
      </c>
      <c r="D1203" s="18" t="s">
        <v>17</v>
      </c>
      <c r="E1203" s="63" t="s">
        <v>426</v>
      </c>
      <c r="F1203" s="63" t="s">
        <v>994</v>
      </c>
      <c r="G1203" s="50" t="s">
        <v>4311</v>
      </c>
      <c r="H1203" s="57">
        <v>1800</v>
      </c>
      <c r="I1203" s="227">
        <v>-180</v>
      </c>
      <c r="J1203" s="57">
        <f t="shared" si="183"/>
        <v>1620</v>
      </c>
      <c r="K1203" s="50">
        <v>1</v>
      </c>
      <c r="L1203" s="57">
        <f t="shared" si="184"/>
        <v>1620</v>
      </c>
      <c r="M1203" s="228">
        <f t="shared" si="185"/>
        <v>1782</v>
      </c>
      <c r="N1203" s="18" t="s">
        <v>25</v>
      </c>
      <c r="O1203" s="50"/>
    </row>
    <row r="1204" spans="1:27" ht="21.75" customHeight="1" x14ac:dyDescent="0.4">
      <c r="A1204" s="62">
        <v>45771</v>
      </c>
      <c r="B1204" s="32" t="s">
        <v>678</v>
      </c>
      <c r="C1204" s="32" t="s">
        <v>2557</v>
      </c>
      <c r="D1204" s="18" t="s">
        <v>17</v>
      </c>
      <c r="E1204" s="63" t="s">
        <v>332</v>
      </c>
      <c r="F1204" s="63" t="s">
        <v>3550</v>
      </c>
      <c r="G1204" s="50" t="s">
        <v>3577</v>
      </c>
      <c r="H1204" s="57">
        <v>1800</v>
      </c>
      <c r="I1204" s="227">
        <v>-180</v>
      </c>
      <c r="J1204" s="57">
        <f t="shared" si="183"/>
        <v>1620</v>
      </c>
      <c r="K1204" s="50">
        <v>1</v>
      </c>
      <c r="L1204" s="57">
        <f t="shared" si="184"/>
        <v>1620</v>
      </c>
      <c r="M1204" s="228">
        <f t="shared" si="185"/>
        <v>1782</v>
      </c>
      <c r="N1204" s="18" t="s">
        <v>20</v>
      </c>
      <c r="O1204" s="50"/>
    </row>
    <row r="1205" spans="1:27" ht="21.75" customHeight="1" x14ac:dyDescent="0.4">
      <c r="A1205" s="62">
        <v>45771</v>
      </c>
      <c r="B1205" s="32" t="s">
        <v>4648</v>
      </c>
      <c r="C1205" s="32" t="s">
        <v>2557</v>
      </c>
      <c r="D1205" s="18" t="s">
        <v>27</v>
      </c>
      <c r="E1205" s="63" t="s">
        <v>28</v>
      </c>
      <c r="F1205" s="63"/>
      <c r="G1205" s="50" t="s">
        <v>318</v>
      </c>
      <c r="H1205" s="57">
        <v>15000</v>
      </c>
      <c r="I1205" s="227"/>
      <c r="J1205" s="57">
        <f t="shared" si="183"/>
        <v>15000</v>
      </c>
      <c r="K1205" s="50">
        <v>1</v>
      </c>
      <c r="L1205" s="57">
        <f t="shared" si="184"/>
        <v>15000</v>
      </c>
      <c r="M1205" s="232">
        <f t="shared" si="185"/>
        <v>16500</v>
      </c>
      <c r="N1205" s="18" t="s">
        <v>20</v>
      </c>
      <c r="O1205" s="50"/>
    </row>
    <row r="1206" spans="1:27" ht="21.75" customHeight="1" x14ac:dyDescent="0.4">
      <c r="A1206" s="62">
        <v>45771</v>
      </c>
      <c r="B1206" s="32" t="s">
        <v>4648</v>
      </c>
      <c r="C1206" s="32" t="s">
        <v>2557</v>
      </c>
      <c r="D1206" s="18" t="s">
        <v>27</v>
      </c>
      <c r="E1206" s="63" t="s">
        <v>28</v>
      </c>
      <c r="F1206" s="63"/>
      <c r="G1206" s="50" t="s">
        <v>3982</v>
      </c>
      <c r="H1206" s="57">
        <v>4375</v>
      </c>
      <c r="I1206" s="227"/>
      <c r="J1206" s="57">
        <f t="shared" si="183"/>
        <v>4375</v>
      </c>
      <c r="K1206" s="50">
        <v>1</v>
      </c>
      <c r="L1206" s="57">
        <f t="shared" si="184"/>
        <v>4375</v>
      </c>
      <c r="M1206" s="232">
        <f t="shared" si="185"/>
        <v>4812</v>
      </c>
      <c r="N1206" s="18" t="s">
        <v>20</v>
      </c>
      <c r="O1206" s="50"/>
    </row>
    <row r="1207" spans="1:27" ht="21.75" customHeight="1" x14ac:dyDescent="0.4">
      <c r="A1207" s="62">
        <v>45771</v>
      </c>
      <c r="B1207" s="32" t="s">
        <v>4648</v>
      </c>
      <c r="C1207" s="32" t="s">
        <v>2557</v>
      </c>
      <c r="D1207" s="18" t="s">
        <v>27</v>
      </c>
      <c r="E1207" s="63" t="s">
        <v>28</v>
      </c>
      <c r="F1207" s="63"/>
      <c r="G1207" s="50" t="s">
        <v>3663</v>
      </c>
      <c r="H1207" s="57">
        <v>17500</v>
      </c>
      <c r="I1207" s="227"/>
      <c r="J1207" s="57">
        <f t="shared" si="183"/>
        <v>17500</v>
      </c>
      <c r="K1207" s="50">
        <v>1</v>
      </c>
      <c r="L1207" s="57">
        <f t="shared" si="184"/>
        <v>17500</v>
      </c>
      <c r="M1207" s="232">
        <f t="shared" si="185"/>
        <v>19250</v>
      </c>
      <c r="N1207" s="18" t="s">
        <v>20</v>
      </c>
      <c r="O1207" s="50"/>
    </row>
    <row r="1208" spans="1:27" ht="21.75" customHeight="1" x14ac:dyDescent="0.4">
      <c r="A1208" s="62">
        <v>45772</v>
      </c>
      <c r="B1208" s="32" t="s">
        <v>2363</v>
      </c>
      <c r="C1208" s="32" t="s">
        <v>2557</v>
      </c>
      <c r="D1208" s="18" t="s">
        <v>27</v>
      </c>
      <c r="E1208" s="63" t="s">
        <v>28</v>
      </c>
      <c r="F1208" s="63"/>
      <c r="G1208" s="50" t="s">
        <v>3663</v>
      </c>
      <c r="H1208" s="57">
        <v>17500</v>
      </c>
      <c r="I1208" s="227"/>
      <c r="J1208" s="57">
        <f t="shared" si="183"/>
        <v>17500</v>
      </c>
      <c r="K1208" s="50">
        <v>1</v>
      </c>
      <c r="L1208" s="57">
        <f t="shared" si="184"/>
        <v>17500</v>
      </c>
      <c r="M1208" s="228">
        <f t="shared" si="185"/>
        <v>19250</v>
      </c>
      <c r="N1208" s="18" t="s">
        <v>20</v>
      </c>
      <c r="O1208" s="50"/>
    </row>
    <row r="1209" spans="1:27" ht="21.75" customHeight="1" x14ac:dyDescent="0.4">
      <c r="A1209" s="62">
        <v>45772</v>
      </c>
      <c r="B1209" s="32" t="s">
        <v>184</v>
      </c>
      <c r="C1209" s="32" t="s">
        <v>2557</v>
      </c>
      <c r="D1209" s="18" t="s">
        <v>17</v>
      </c>
      <c r="E1209" s="63" t="s">
        <v>332</v>
      </c>
      <c r="F1209" s="63" t="s">
        <v>3554</v>
      </c>
      <c r="G1209" s="50" t="s">
        <v>3879</v>
      </c>
      <c r="H1209" s="57">
        <v>1300</v>
      </c>
      <c r="I1209" s="227">
        <v>-130</v>
      </c>
      <c r="J1209" s="57">
        <f t="shared" si="183"/>
        <v>1170</v>
      </c>
      <c r="K1209" s="50">
        <v>12</v>
      </c>
      <c r="L1209" s="57">
        <f t="shared" si="184"/>
        <v>14040</v>
      </c>
      <c r="M1209" s="228">
        <f t="shared" si="185"/>
        <v>15444</v>
      </c>
      <c r="N1209" s="18" t="s">
        <v>34</v>
      </c>
      <c r="O1209" s="50"/>
    </row>
    <row r="1210" spans="1:27" ht="21.75" customHeight="1" x14ac:dyDescent="0.4">
      <c r="A1210" s="62">
        <v>45772</v>
      </c>
      <c r="B1210" s="32" t="s">
        <v>3117</v>
      </c>
      <c r="C1210" s="32" t="s">
        <v>2557</v>
      </c>
      <c r="D1210" s="18" t="s">
        <v>17</v>
      </c>
      <c r="E1210" s="63" t="s">
        <v>292</v>
      </c>
      <c r="F1210" s="63" t="s">
        <v>1051</v>
      </c>
      <c r="G1210" s="50" t="s">
        <v>4666</v>
      </c>
      <c r="H1210" s="57">
        <v>5700</v>
      </c>
      <c r="I1210" s="227"/>
      <c r="J1210" s="57">
        <f t="shared" si="183"/>
        <v>5700</v>
      </c>
      <c r="K1210" s="50">
        <v>1</v>
      </c>
      <c r="L1210" s="57">
        <f t="shared" si="184"/>
        <v>5700</v>
      </c>
      <c r="M1210" s="228">
        <f t="shared" si="185"/>
        <v>6270</v>
      </c>
      <c r="N1210" s="18" t="s">
        <v>20</v>
      </c>
      <c r="O1210" s="50" t="s">
        <v>4667</v>
      </c>
    </row>
    <row r="1211" spans="1:27" ht="21.75" customHeight="1" x14ac:dyDescent="0.4">
      <c r="A1211" s="62">
        <v>45773</v>
      </c>
      <c r="B1211" s="32" t="s">
        <v>139</v>
      </c>
      <c r="C1211" s="32" t="s">
        <v>2557</v>
      </c>
      <c r="D1211" s="18" t="s">
        <v>17</v>
      </c>
      <c r="E1211" s="63" t="s">
        <v>292</v>
      </c>
      <c r="F1211" s="63" t="s">
        <v>3642</v>
      </c>
      <c r="G1211" s="50" t="s">
        <v>4279</v>
      </c>
      <c r="H1211" s="57">
        <v>5800</v>
      </c>
      <c r="I1211" s="227">
        <v>-580</v>
      </c>
      <c r="J1211" s="57">
        <f t="shared" si="183"/>
        <v>5220</v>
      </c>
      <c r="K1211" s="50">
        <v>1</v>
      </c>
      <c r="L1211" s="57">
        <f t="shared" si="184"/>
        <v>5220</v>
      </c>
      <c r="M1211" s="228">
        <f t="shared" si="185"/>
        <v>5742</v>
      </c>
      <c r="N1211" s="18" t="s">
        <v>25</v>
      </c>
      <c r="O1211" s="50"/>
    </row>
    <row r="1212" spans="1:27" s="248" customFormat="1" ht="21.75" customHeight="1" x14ac:dyDescent="0.4">
      <c r="A1212" s="62">
        <v>45774</v>
      </c>
      <c r="B1212" s="32" t="s">
        <v>619</v>
      </c>
      <c r="C1212" s="32" t="s">
        <v>2557</v>
      </c>
      <c r="D1212" s="18" t="s">
        <v>17</v>
      </c>
      <c r="E1212" s="63" t="s">
        <v>332</v>
      </c>
      <c r="F1212" s="63" t="s">
        <v>3555</v>
      </c>
      <c r="G1212" s="50" t="s">
        <v>4557</v>
      </c>
      <c r="H1212" s="57">
        <v>1300</v>
      </c>
      <c r="I1212" s="227">
        <v>-130</v>
      </c>
      <c r="J1212" s="57">
        <f t="shared" si="183"/>
        <v>1170</v>
      </c>
      <c r="K1212" s="50">
        <v>1</v>
      </c>
      <c r="L1212" s="57">
        <f t="shared" si="184"/>
        <v>1170</v>
      </c>
      <c r="M1212" s="228">
        <f t="shared" si="185"/>
        <v>1287</v>
      </c>
      <c r="N1212" s="18" t="s">
        <v>20</v>
      </c>
      <c r="O1212" s="50"/>
      <c r="P1212" s="52"/>
      <c r="Q1212" s="247"/>
      <c r="R1212" s="247"/>
      <c r="S1212" s="247"/>
      <c r="T1212" s="247"/>
      <c r="U1212" s="247"/>
      <c r="W1212" s="249"/>
      <c r="X1212" s="250"/>
      <c r="Y1212" s="250"/>
      <c r="Z1212" s="250"/>
      <c r="AA1212" s="250"/>
    </row>
    <row r="1213" spans="1:27" s="248" customFormat="1" ht="21.75" customHeight="1" x14ac:dyDescent="0.4">
      <c r="A1213" s="62">
        <v>45774</v>
      </c>
      <c r="B1213" s="32" t="s">
        <v>619</v>
      </c>
      <c r="C1213" s="32" t="s">
        <v>2557</v>
      </c>
      <c r="D1213" s="18" t="s">
        <v>17</v>
      </c>
      <c r="E1213" s="63" t="s">
        <v>332</v>
      </c>
      <c r="F1213" s="63" t="s">
        <v>3555</v>
      </c>
      <c r="G1213" s="50" t="s">
        <v>4670</v>
      </c>
      <c r="H1213" s="57">
        <v>1300</v>
      </c>
      <c r="I1213" s="227">
        <v>-130</v>
      </c>
      <c r="J1213" s="57">
        <f t="shared" si="183"/>
        <v>1170</v>
      </c>
      <c r="K1213" s="50">
        <v>1</v>
      </c>
      <c r="L1213" s="57">
        <f t="shared" si="184"/>
        <v>1170</v>
      </c>
      <c r="M1213" s="228">
        <f t="shared" si="185"/>
        <v>1287</v>
      </c>
      <c r="N1213" s="18" t="s">
        <v>20</v>
      </c>
      <c r="O1213" s="50"/>
      <c r="P1213" s="52"/>
      <c r="Q1213" s="247"/>
      <c r="R1213" s="247"/>
      <c r="S1213" s="247"/>
      <c r="T1213" s="247"/>
      <c r="U1213" s="247"/>
      <c r="W1213" s="249"/>
      <c r="X1213" s="250"/>
      <c r="Y1213" s="250"/>
      <c r="Z1213" s="250"/>
      <c r="AA1213" s="250"/>
    </row>
    <row r="1214" spans="1:27" ht="21.75" customHeight="1" x14ac:dyDescent="0.4">
      <c r="A1214" s="62">
        <v>45774</v>
      </c>
      <c r="B1214" s="32" t="s">
        <v>619</v>
      </c>
      <c r="C1214" s="32" t="s">
        <v>2557</v>
      </c>
      <c r="D1214" s="18" t="s">
        <v>17</v>
      </c>
      <c r="E1214" s="63" t="s">
        <v>332</v>
      </c>
      <c r="F1214" s="63" t="s">
        <v>3555</v>
      </c>
      <c r="G1214" s="50" t="s">
        <v>4671</v>
      </c>
      <c r="H1214" s="57">
        <v>1300</v>
      </c>
      <c r="I1214" s="227">
        <v>-130</v>
      </c>
      <c r="J1214" s="57">
        <f t="shared" si="183"/>
        <v>1170</v>
      </c>
      <c r="K1214" s="50">
        <v>1</v>
      </c>
      <c r="L1214" s="57">
        <f t="shared" si="184"/>
        <v>1170</v>
      </c>
      <c r="M1214" s="228">
        <f t="shared" si="185"/>
        <v>1287</v>
      </c>
      <c r="N1214" s="18" t="s">
        <v>20</v>
      </c>
      <c r="O1214" s="50"/>
    </row>
    <row r="1215" spans="1:27" ht="21.75" customHeight="1" x14ac:dyDescent="0.4">
      <c r="A1215" s="62">
        <v>45774</v>
      </c>
      <c r="B1215" s="32" t="s">
        <v>619</v>
      </c>
      <c r="C1215" s="32" t="s">
        <v>2557</v>
      </c>
      <c r="D1215" s="18" t="s">
        <v>17</v>
      </c>
      <c r="E1215" s="63" t="s">
        <v>1277</v>
      </c>
      <c r="F1215" s="63" t="s">
        <v>3553</v>
      </c>
      <c r="G1215" s="50" t="s">
        <v>4694</v>
      </c>
      <c r="H1215" s="57">
        <v>77000</v>
      </c>
      <c r="I1215" s="227">
        <v>-15400</v>
      </c>
      <c r="J1215" s="57">
        <f t="shared" si="183"/>
        <v>61600</v>
      </c>
      <c r="K1215" s="50">
        <v>1</v>
      </c>
      <c r="L1215" s="57">
        <f t="shared" si="184"/>
        <v>61600</v>
      </c>
      <c r="M1215" s="228">
        <f t="shared" si="185"/>
        <v>67760</v>
      </c>
      <c r="N1215" s="18" t="s">
        <v>20</v>
      </c>
      <c r="O1215" s="50"/>
    </row>
    <row r="1216" spans="1:27" ht="21.75" customHeight="1" x14ac:dyDescent="0.4">
      <c r="A1216" s="62">
        <v>45774</v>
      </c>
      <c r="B1216" s="32" t="s">
        <v>3198</v>
      </c>
      <c r="C1216" s="32" t="s">
        <v>2557</v>
      </c>
      <c r="D1216" s="18" t="s">
        <v>22</v>
      </c>
      <c r="E1216" s="63" t="s">
        <v>23</v>
      </c>
      <c r="F1216" s="63"/>
      <c r="G1216" s="50" t="s">
        <v>4610</v>
      </c>
      <c r="H1216" s="57">
        <v>10000</v>
      </c>
      <c r="I1216" s="227"/>
      <c r="J1216" s="57">
        <f t="shared" si="183"/>
        <v>10000</v>
      </c>
      <c r="K1216" s="50">
        <v>1</v>
      </c>
      <c r="L1216" s="57">
        <f t="shared" si="184"/>
        <v>10000</v>
      </c>
      <c r="M1216" s="228">
        <f t="shared" si="185"/>
        <v>11000</v>
      </c>
      <c r="N1216" s="18" t="s">
        <v>25</v>
      </c>
      <c r="O1216" s="50"/>
      <c r="P1216" s="52" t="s">
        <v>1557</v>
      </c>
    </row>
    <row r="1217" spans="1:16" ht="21.75" customHeight="1" x14ac:dyDescent="0.4">
      <c r="A1217" s="62">
        <v>45774</v>
      </c>
      <c r="B1217" s="32" t="s">
        <v>3198</v>
      </c>
      <c r="C1217" s="32" t="s">
        <v>2557</v>
      </c>
      <c r="D1217" s="18" t="s">
        <v>17</v>
      </c>
      <c r="E1217" s="63" t="s">
        <v>328</v>
      </c>
      <c r="F1217" s="63" t="s">
        <v>788</v>
      </c>
      <c r="G1217" s="50" t="s">
        <v>3620</v>
      </c>
      <c r="H1217" s="57">
        <v>70000</v>
      </c>
      <c r="I1217" s="227">
        <v>-21000</v>
      </c>
      <c r="J1217" s="57">
        <f t="shared" si="183"/>
        <v>49000</v>
      </c>
      <c r="K1217" s="50">
        <v>1</v>
      </c>
      <c r="L1217" s="57">
        <f t="shared" si="184"/>
        <v>49000</v>
      </c>
      <c r="M1217" s="228">
        <f t="shared" si="185"/>
        <v>53900</v>
      </c>
      <c r="N1217" s="18" t="s">
        <v>25</v>
      </c>
      <c r="O1217" s="50"/>
      <c r="P1217" s="52" t="s">
        <v>1557</v>
      </c>
    </row>
    <row r="1218" spans="1:16" ht="21.75" customHeight="1" x14ac:dyDescent="0.4">
      <c r="A1218" s="62">
        <v>45774</v>
      </c>
      <c r="B1218" s="32" t="s">
        <v>3198</v>
      </c>
      <c r="C1218" s="32" t="s">
        <v>2557</v>
      </c>
      <c r="D1218" s="18" t="s">
        <v>17</v>
      </c>
      <c r="E1218" s="63" t="s">
        <v>332</v>
      </c>
      <c r="F1218" s="63" t="s">
        <v>3555</v>
      </c>
      <c r="G1218" s="50" t="s">
        <v>4669</v>
      </c>
      <c r="H1218" s="57">
        <v>1900</v>
      </c>
      <c r="I1218" s="227">
        <v>-190</v>
      </c>
      <c r="J1218" s="57">
        <f t="shared" si="183"/>
        <v>1710</v>
      </c>
      <c r="K1218" s="50">
        <v>1</v>
      </c>
      <c r="L1218" s="57">
        <f t="shared" si="184"/>
        <v>1710</v>
      </c>
      <c r="M1218" s="228">
        <f t="shared" si="185"/>
        <v>1881</v>
      </c>
      <c r="N1218" s="18" t="s">
        <v>25</v>
      </c>
      <c r="O1218" s="50"/>
      <c r="P1218" s="52" t="s">
        <v>1557</v>
      </c>
    </row>
    <row r="1219" spans="1:16" ht="21.75" customHeight="1" x14ac:dyDescent="0.4">
      <c r="A1219" s="62">
        <v>45775</v>
      </c>
      <c r="B1219" s="32" t="s">
        <v>4672</v>
      </c>
      <c r="C1219" s="32" t="s">
        <v>405</v>
      </c>
      <c r="D1219" s="18" t="s">
        <v>22</v>
      </c>
      <c r="E1219" s="63" t="s">
        <v>23</v>
      </c>
      <c r="F1219" s="63"/>
      <c r="G1219" s="50" t="s">
        <v>261</v>
      </c>
      <c r="H1219" s="57">
        <v>20000</v>
      </c>
      <c r="I1219" s="227"/>
      <c r="J1219" s="57">
        <f t="shared" si="183"/>
        <v>20000</v>
      </c>
      <c r="K1219" s="50">
        <v>1</v>
      </c>
      <c r="L1219" s="57">
        <f t="shared" si="184"/>
        <v>20000</v>
      </c>
      <c r="M1219" s="228">
        <f t="shared" si="185"/>
        <v>22000</v>
      </c>
      <c r="N1219" s="18" t="s">
        <v>20</v>
      </c>
      <c r="O1219" s="50"/>
      <c r="P1219" s="52" t="s">
        <v>2878</v>
      </c>
    </row>
    <row r="1220" spans="1:16" ht="21.75" customHeight="1" x14ac:dyDescent="0.4">
      <c r="A1220" s="62">
        <v>45775</v>
      </c>
      <c r="B1220" s="32" t="s">
        <v>4673</v>
      </c>
      <c r="C1220" s="32" t="s">
        <v>2557</v>
      </c>
      <c r="D1220" s="18" t="s">
        <v>27</v>
      </c>
      <c r="E1220" s="63" t="s">
        <v>28</v>
      </c>
      <c r="F1220" s="63"/>
      <c r="G1220" s="50" t="s">
        <v>4568</v>
      </c>
      <c r="H1220" s="57">
        <v>2000</v>
      </c>
      <c r="I1220" s="227"/>
      <c r="J1220" s="57">
        <f t="shared" si="183"/>
        <v>2000</v>
      </c>
      <c r="K1220" s="50">
        <v>3</v>
      </c>
      <c r="L1220" s="57">
        <f t="shared" si="184"/>
        <v>6000</v>
      </c>
      <c r="M1220" s="228">
        <f t="shared" si="185"/>
        <v>6600</v>
      </c>
      <c r="N1220" s="18" t="s">
        <v>25</v>
      </c>
      <c r="O1220" s="50"/>
    </row>
    <row r="1221" spans="1:16" ht="21.75" customHeight="1" x14ac:dyDescent="0.4">
      <c r="A1221" s="62">
        <v>45775</v>
      </c>
      <c r="B1221" s="32" t="s">
        <v>148</v>
      </c>
      <c r="C1221" s="32" t="s">
        <v>2557</v>
      </c>
      <c r="D1221" s="18" t="s">
        <v>317</v>
      </c>
      <c r="E1221" s="63" t="s">
        <v>28</v>
      </c>
      <c r="F1221" s="63"/>
      <c r="G1221" s="50" t="s">
        <v>3663</v>
      </c>
      <c r="H1221" s="57">
        <v>17500</v>
      </c>
      <c r="I1221" s="227"/>
      <c r="J1221" s="57">
        <f t="shared" si="183"/>
        <v>17500</v>
      </c>
      <c r="K1221" s="50">
        <v>1</v>
      </c>
      <c r="L1221" s="57">
        <f t="shared" si="184"/>
        <v>17500</v>
      </c>
      <c r="M1221" s="228">
        <f t="shared" si="185"/>
        <v>19250</v>
      </c>
      <c r="N1221" s="18" t="s">
        <v>20</v>
      </c>
      <c r="O1221" s="50"/>
    </row>
    <row r="1222" spans="1:16" ht="21.75" customHeight="1" x14ac:dyDescent="0.4">
      <c r="A1222" s="62">
        <v>45776</v>
      </c>
      <c r="B1222" s="32" t="s">
        <v>1694</v>
      </c>
      <c r="C1222" s="32" t="s">
        <v>4292</v>
      </c>
      <c r="D1222" s="18" t="s">
        <v>17</v>
      </c>
      <c r="E1222" s="63" t="s">
        <v>328</v>
      </c>
      <c r="F1222" s="63" t="s">
        <v>3598</v>
      </c>
      <c r="G1222" s="50" t="s">
        <v>4674</v>
      </c>
      <c r="H1222" s="57">
        <v>28000</v>
      </c>
      <c r="I1222" s="227">
        <v>-12600</v>
      </c>
      <c r="J1222" s="57">
        <f t="shared" si="183"/>
        <v>15400</v>
      </c>
      <c r="K1222" s="50">
        <v>1</v>
      </c>
      <c r="L1222" s="57">
        <f t="shared" si="184"/>
        <v>15400</v>
      </c>
      <c r="M1222" s="228">
        <f t="shared" si="185"/>
        <v>16940</v>
      </c>
      <c r="N1222" s="18" t="s">
        <v>25</v>
      </c>
      <c r="O1222" s="50"/>
    </row>
    <row r="1223" spans="1:16" ht="21.75" customHeight="1" x14ac:dyDescent="0.4">
      <c r="A1223" s="253">
        <v>45776</v>
      </c>
      <c r="B1223" s="241" t="s">
        <v>1694</v>
      </c>
      <c r="C1223" s="241" t="s">
        <v>4292</v>
      </c>
      <c r="D1223" s="242" t="s">
        <v>17</v>
      </c>
      <c r="E1223" s="251" t="s">
        <v>332</v>
      </c>
      <c r="F1223" s="251" t="s">
        <v>3550</v>
      </c>
      <c r="G1223" s="244" t="s">
        <v>4687</v>
      </c>
      <c r="H1223" s="245">
        <v>2000</v>
      </c>
      <c r="I1223" s="268">
        <v>-800</v>
      </c>
      <c r="J1223" s="245">
        <f t="shared" si="183"/>
        <v>1200</v>
      </c>
      <c r="K1223" s="244">
        <v>1</v>
      </c>
      <c r="L1223" s="245">
        <f t="shared" si="184"/>
        <v>1200</v>
      </c>
      <c r="M1223" s="246">
        <f t="shared" si="185"/>
        <v>1320</v>
      </c>
      <c r="N1223" s="242" t="s">
        <v>25</v>
      </c>
      <c r="O1223" s="50"/>
      <c r="P1223" s="247"/>
    </row>
    <row r="1224" spans="1:16" ht="21.75" customHeight="1" x14ac:dyDescent="0.4">
      <c r="A1224" s="253">
        <v>45776</v>
      </c>
      <c r="B1224" s="241" t="s">
        <v>1694</v>
      </c>
      <c r="C1224" s="241" t="s">
        <v>4292</v>
      </c>
      <c r="D1224" s="242" t="s">
        <v>17</v>
      </c>
      <c r="E1224" s="251" t="s">
        <v>292</v>
      </c>
      <c r="F1224" s="251" t="s">
        <v>3642</v>
      </c>
      <c r="G1224" s="244" t="s">
        <v>4688</v>
      </c>
      <c r="H1224" s="245">
        <v>6300</v>
      </c>
      <c r="I1224" s="268">
        <v>-1575</v>
      </c>
      <c r="J1224" s="245">
        <f t="shared" si="183"/>
        <v>4725</v>
      </c>
      <c r="K1224" s="244">
        <v>1</v>
      </c>
      <c r="L1224" s="245">
        <f t="shared" si="184"/>
        <v>4725</v>
      </c>
      <c r="M1224" s="246">
        <f t="shared" si="185"/>
        <v>5197</v>
      </c>
      <c r="N1224" s="242" t="s">
        <v>25</v>
      </c>
      <c r="O1224" s="50"/>
      <c r="P1224" s="247"/>
    </row>
    <row r="1225" spans="1:16" ht="21.75" customHeight="1" x14ac:dyDescent="0.4">
      <c r="A1225" s="62">
        <v>45777</v>
      </c>
      <c r="B1225" s="32" t="s">
        <v>4675</v>
      </c>
      <c r="C1225" s="32" t="s">
        <v>405</v>
      </c>
      <c r="D1225" s="18" t="s">
        <v>22</v>
      </c>
      <c r="E1225" s="63" t="s">
        <v>23</v>
      </c>
      <c r="F1225" s="63"/>
      <c r="G1225" s="50" t="s">
        <v>4610</v>
      </c>
      <c r="H1225" s="57">
        <v>15000</v>
      </c>
      <c r="I1225" s="227">
        <v>-5000</v>
      </c>
      <c r="J1225" s="57">
        <f t="shared" si="183"/>
        <v>10000</v>
      </c>
      <c r="K1225" s="50">
        <v>1</v>
      </c>
      <c r="L1225" s="57">
        <f t="shared" si="184"/>
        <v>10000</v>
      </c>
      <c r="M1225" s="228">
        <f t="shared" si="185"/>
        <v>11000</v>
      </c>
      <c r="N1225" s="18" t="s">
        <v>20</v>
      </c>
      <c r="O1225" s="50"/>
      <c r="P1225" s="52" t="s">
        <v>2141</v>
      </c>
    </row>
    <row r="1226" spans="1:16" ht="21.75" customHeight="1" x14ac:dyDescent="0.4">
      <c r="A1226" s="62">
        <v>45777</v>
      </c>
      <c r="B1226" s="32" t="s">
        <v>4676</v>
      </c>
      <c r="C1226" s="32" t="s">
        <v>405</v>
      </c>
      <c r="D1226" s="18" t="s">
        <v>22</v>
      </c>
      <c r="E1226" s="63" t="s">
        <v>1496</v>
      </c>
      <c r="F1226" s="63"/>
      <c r="G1226" s="50" t="s">
        <v>2422</v>
      </c>
      <c r="H1226" s="57">
        <v>2000</v>
      </c>
      <c r="I1226" s="227"/>
      <c r="J1226" s="57">
        <f t="shared" si="183"/>
        <v>2000</v>
      </c>
      <c r="K1226" s="50">
        <v>1</v>
      </c>
      <c r="L1226" s="57">
        <f t="shared" si="184"/>
        <v>2000</v>
      </c>
      <c r="M1226" s="228">
        <f t="shared" si="185"/>
        <v>2200</v>
      </c>
      <c r="N1226" s="18" t="s">
        <v>25</v>
      </c>
      <c r="O1226" s="50"/>
    </row>
    <row r="1227" spans="1:16" ht="21.75" customHeight="1" x14ac:dyDescent="0.4">
      <c r="A1227" s="62">
        <v>45777</v>
      </c>
      <c r="B1227" s="32" t="s">
        <v>1557</v>
      </c>
      <c r="C1227" s="32" t="s">
        <v>4292</v>
      </c>
      <c r="D1227" s="18" t="s">
        <v>17</v>
      </c>
      <c r="E1227" s="63" t="s">
        <v>845</v>
      </c>
      <c r="F1227" s="63"/>
      <c r="G1227" s="50" t="s">
        <v>2601</v>
      </c>
      <c r="H1227" s="57">
        <v>1000</v>
      </c>
      <c r="I1227" s="227">
        <v>-350</v>
      </c>
      <c r="J1227" s="57">
        <f t="shared" si="183"/>
        <v>650</v>
      </c>
      <c r="K1227" s="50">
        <v>1</v>
      </c>
      <c r="L1227" s="57">
        <f t="shared" si="184"/>
        <v>650</v>
      </c>
      <c r="M1227" s="228">
        <f t="shared" si="185"/>
        <v>715</v>
      </c>
      <c r="N1227" s="18" t="s">
        <v>25</v>
      </c>
      <c r="O1227" s="50"/>
    </row>
    <row r="1228" spans="1:16" ht="21.75" customHeight="1" x14ac:dyDescent="0.4">
      <c r="A1228" s="62">
        <v>45777</v>
      </c>
      <c r="B1228" s="32" t="s">
        <v>4689</v>
      </c>
      <c r="C1228" s="32" t="s">
        <v>405</v>
      </c>
      <c r="D1228" s="18" t="s">
        <v>22</v>
      </c>
      <c r="E1228" s="63" t="s">
        <v>1496</v>
      </c>
      <c r="F1228" s="63"/>
      <c r="G1228" s="50" t="s">
        <v>2422</v>
      </c>
      <c r="H1228" s="57">
        <v>2000</v>
      </c>
      <c r="I1228" s="227"/>
      <c r="J1228" s="57">
        <f t="shared" si="183"/>
        <v>2000</v>
      </c>
      <c r="K1228" s="50">
        <v>1</v>
      </c>
      <c r="L1228" s="57">
        <f t="shared" si="184"/>
        <v>2000</v>
      </c>
      <c r="M1228" s="228">
        <f t="shared" si="185"/>
        <v>2200</v>
      </c>
      <c r="N1228" s="18" t="s">
        <v>25</v>
      </c>
      <c r="O1228" s="50"/>
    </row>
    <row r="1229" spans="1:16" ht="21.75" customHeight="1" x14ac:dyDescent="0.4">
      <c r="A1229" s="62">
        <v>45778</v>
      </c>
      <c r="B1229" s="32" t="s">
        <v>4579</v>
      </c>
      <c r="C1229" s="32" t="s">
        <v>2557</v>
      </c>
      <c r="D1229" s="18" t="s">
        <v>27</v>
      </c>
      <c r="E1229" s="63" t="s">
        <v>28</v>
      </c>
      <c r="F1229" s="63"/>
      <c r="G1229" s="50" t="s">
        <v>3663</v>
      </c>
      <c r="H1229" s="57">
        <v>17500</v>
      </c>
      <c r="I1229" s="227"/>
      <c r="J1229" s="57">
        <f t="shared" si="183"/>
        <v>17500</v>
      </c>
      <c r="K1229" s="50">
        <v>1</v>
      </c>
      <c r="L1229" s="57">
        <f t="shared" si="184"/>
        <v>17500</v>
      </c>
      <c r="M1229" s="228">
        <f t="shared" si="185"/>
        <v>19250</v>
      </c>
      <c r="N1229" s="18" t="s">
        <v>25</v>
      </c>
      <c r="O1229" s="50"/>
    </row>
    <row r="1230" spans="1:16" ht="21.75" customHeight="1" x14ac:dyDescent="0.4">
      <c r="A1230" s="62">
        <v>45778</v>
      </c>
      <c r="B1230" s="32" t="s">
        <v>1256</v>
      </c>
      <c r="C1230" s="32" t="s">
        <v>2557</v>
      </c>
      <c r="D1230" s="18" t="s">
        <v>27</v>
      </c>
      <c r="E1230" s="63" t="s">
        <v>103</v>
      </c>
      <c r="F1230" s="63"/>
      <c r="G1230" s="50" t="s">
        <v>364</v>
      </c>
      <c r="H1230" s="57">
        <v>25000</v>
      </c>
      <c r="I1230" s="227"/>
      <c r="J1230" s="57">
        <f t="shared" si="183"/>
        <v>25000</v>
      </c>
      <c r="K1230" s="50">
        <v>1</v>
      </c>
      <c r="L1230" s="57">
        <f t="shared" si="184"/>
        <v>25000</v>
      </c>
      <c r="M1230" s="228">
        <f t="shared" si="185"/>
        <v>27500</v>
      </c>
      <c r="N1230" s="18" t="s">
        <v>20</v>
      </c>
      <c r="O1230" s="50"/>
    </row>
    <row r="1231" spans="1:16" ht="21.75" customHeight="1" x14ac:dyDescent="0.4">
      <c r="A1231" s="62">
        <v>45778</v>
      </c>
      <c r="B1231" s="32" t="s">
        <v>4697</v>
      </c>
      <c r="C1231" s="32" t="s">
        <v>2557</v>
      </c>
      <c r="D1231" s="18" t="s">
        <v>27</v>
      </c>
      <c r="E1231" s="63" t="s">
        <v>103</v>
      </c>
      <c r="F1231" s="63"/>
      <c r="G1231" s="50" t="s">
        <v>364</v>
      </c>
      <c r="H1231" s="57">
        <v>25000</v>
      </c>
      <c r="I1231" s="227"/>
      <c r="J1231" s="57">
        <f t="shared" si="183"/>
        <v>25000</v>
      </c>
      <c r="K1231" s="50">
        <v>1</v>
      </c>
      <c r="L1231" s="57">
        <f t="shared" si="184"/>
        <v>25000</v>
      </c>
      <c r="M1231" s="228">
        <f t="shared" si="185"/>
        <v>27500</v>
      </c>
      <c r="N1231" s="18" t="s">
        <v>25</v>
      </c>
      <c r="O1231" s="50"/>
    </row>
    <row r="1232" spans="1:16" ht="21.75" customHeight="1" x14ac:dyDescent="0.4">
      <c r="A1232" s="62">
        <v>45779</v>
      </c>
      <c r="B1232" s="32" t="s">
        <v>4695</v>
      </c>
      <c r="C1232" s="32" t="s">
        <v>405</v>
      </c>
      <c r="D1232" s="18" t="s">
        <v>22</v>
      </c>
      <c r="E1232" s="63" t="s">
        <v>1496</v>
      </c>
      <c r="F1232" s="63"/>
      <c r="G1232" s="50" t="s">
        <v>2422</v>
      </c>
      <c r="H1232" s="57">
        <v>2000</v>
      </c>
      <c r="I1232" s="227"/>
      <c r="J1232" s="57">
        <f t="shared" si="183"/>
        <v>2000</v>
      </c>
      <c r="K1232" s="50">
        <v>1</v>
      </c>
      <c r="L1232" s="57">
        <f t="shared" si="184"/>
        <v>2000</v>
      </c>
      <c r="M1232" s="228">
        <f t="shared" si="185"/>
        <v>2200</v>
      </c>
      <c r="N1232" s="18" t="s">
        <v>20</v>
      </c>
      <c r="O1232" s="50"/>
    </row>
    <row r="1233" spans="1:27" ht="21.75" customHeight="1" x14ac:dyDescent="0.4">
      <c r="A1233" s="62">
        <v>45779</v>
      </c>
      <c r="B1233" s="32" t="s">
        <v>139</v>
      </c>
      <c r="C1233" s="32" t="s">
        <v>2557</v>
      </c>
      <c r="D1233" s="18" t="s">
        <v>17</v>
      </c>
      <c r="E1233" s="63" t="s">
        <v>332</v>
      </c>
      <c r="F1233" s="63" t="s">
        <v>3555</v>
      </c>
      <c r="G1233" s="50" t="s">
        <v>4696</v>
      </c>
      <c r="H1233" s="57">
        <v>1900</v>
      </c>
      <c r="I1233" s="227">
        <v>-190</v>
      </c>
      <c r="J1233" s="57">
        <f t="shared" si="183"/>
        <v>1710</v>
      </c>
      <c r="K1233" s="50">
        <v>1</v>
      </c>
      <c r="L1233" s="57">
        <f t="shared" si="184"/>
        <v>1710</v>
      </c>
      <c r="M1233" s="228">
        <f t="shared" si="185"/>
        <v>1881</v>
      </c>
      <c r="N1233" s="18" t="s">
        <v>25</v>
      </c>
      <c r="O1233" s="50"/>
    </row>
    <row r="1234" spans="1:27" ht="21.75" customHeight="1" x14ac:dyDescent="0.4">
      <c r="A1234" s="62">
        <v>45779</v>
      </c>
      <c r="B1234" s="32" t="s">
        <v>2201</v>
      </c>
      <c r="C1234" s="32" t="s">
        <v>2557</v>
      </c>
      <c r="D1234" s="18" t="s">
        <v>27</v>
      </c>
      <c r="E1234" s="63" t="s">
        <v>28</v>
      </c>
      <c r="F1234" s="63"/>
      <c r="G1234" s="50" t="s">
        <v>4641</v>
      </c>
      <c r="H1234" s="57">
        <v>2000</v>
      </c>
      <c r="I1234" s="227"/>
      <c r="J1234" s="57">
        <f t="shared" ref="J1234:J1305" si="186">SUM(H1234:I1234)</f>
        <v>2000</v>
      </c>
      <c r="K1234" s="50">
        <v>3</v>
      </c>
      <c r="L1234" s="57">
        <f t="shared" ref="L1234:L1305" si="187">SUM(J1234*K1234)</f>
        <v>6000</v>
      </c>
      <c r="M1234" s="228">
        <f t="shared" si="185"/>
        <v>6600</v>
      </c>
      <c r="N1234" s="18" t="s">
        <v>25</v>
      </c>
      <c r="O1234" s="50"/>
    </row>
    <row r="1235" spans="1:27" ht="21.75" customHeight="1" x14ac:dyDescent="0.4">
      <c r="A1235" s="62">
        <v>45779</v>
      </c>
      <c r="B1235" s="32" t="s">
        <v>929</v>
      </c>
      <c r="C1235" s="32" t="s">
        <v>2557</v>
      </c>
      <c r="D1235" s="18" t="s">
        <v>27</v>
      </c>
      <c r="E1235" s="63" t="s">
        <v>28</v>
      </c>
      <c r="F1235" s="63"/>
      <c r="G1235" s="50" t="s">
        <v>3663</v>
      </c>
      <c r="H1235" s="57">
        <v>17500</v>
      </c>
      <c r="I1235" s="227"/>
      <c r="J1235" s="57">
        <f t="shared" si="186"/>
        <v>17500</v>
      </c>
      <c r="K1235" s="50">
        <v>1</v>
      </c>
      <c r="L1235" s="57">
        <f t="shared" si="187"/>
        <v>17500</v>
      </c>
      <c r="M1235" s="228">
        <f t="shared" si="185"/>
        <v>19250</v>
      </c>
      <c r="N1235" s="18" t="s">
        <v>25</v>
      </c>
      <c r="O1235" s="50"/>
    </row>
    <row r="1236" spans="1:27" ht="21.75" customHeight="1" x14ac:dyDescent="0.4">
      <c r="A1236" s="62">
        <v>45779</v>
      </c>
      <c r="B1236" s="32" t="s">
        <v>929</v>
      </c>
      <c r="C1236" s="32" t="s">
        <v>2557</v>
      </c>
      <c r="D1236" s="18" t="s">
        <v>27</v>
      </c>
      <c r="E1236" s="63" t="s">
        <v>28</v>
      </c>
      <c r="F1236" s="63"/>
      <c r="G1236" s="50" t="s">
        <v>4314</v>
      </c>
      <c r="H1236" s="57">
        <v>12250</v>
      </c>
      <c r="I1236" s="227"/>
      <c r="J1236" s="57">
        <f t="shared" si="186"/>
        <v>12250</v>
      </c>
      <c r="K1236" s="50">
        <v>1</v>
      </c>
      <c r="L1236" s="57">
        <f t="shared" si="187"/>
        <v>12250</v>
      </c>
      <c r="M1236" s="228">
        <f t="shared" si="185"/>
        <v>13475</v>
      </c>
      <c r="N1236" s="18" t="s">
        <v>25</v>
      </c>
      <c r="O1236" s="50" t="s">
        <v>4698</v>
      </c>
    </row>
    <row r="1237" spans="1:27" ht="21.75" customHeight="1" x14ac:dyDescent="0.4">
      <c r="A1237" s="62">
        <v>45780</v>
      </c>
      <c r="B1237" s="32" t="s">
        <v>4699</v>
      </c>
      <c r="C1237" s="32" t="s">
        <v>405</v>
      </c>
      <c r="D1237" s="18" t="s">
        <v>22</v>
      </c>
      <c r="E1237" s="63" t="s">
        <v>1496</v>
      </c>
      <c r="F1237" s="63"/>
      <c r="G1237" s="50" t="s">
        <v>2422</v>
      </c>
      <c r="H1237" s="57">
        <v>2000</v>
      </c>
      <c r="I1237" s="227"/>
      <c r="J1237" s="57">
        <f t="shared" si="186"/>
        <v>2000</v>
      </c>
      <c r="K1237" s="50">
        <v>1</v>
      </c>
      <c r="L1237" s="57">
        <f t="shared" si="187"/>
        <v>2000</v>
      </c>
      <c r="M1237" s="228">
        <f t="shared" si="185"/>
        <v>2200</v>
      </c>
      <c r="N1237" s="18" t="s">
        <v>25</v>
      </c>
      <c r="O1237" s="50"/>
    </row>
    <row r="1238" spans="1:27" ht="21.75" customHeight="1" x14ac:dyDescent="0.4">
      <c r="A1238" s="62">
        <v>45781</v>
      </c>
      <c r="B1238" s="32" t="s">
        <v>4700</v>
      </c>
      <c r="C1238" s="32" t="s">
        <v>405</v>
      </c>
      <c r="D1238" s="18" t="s">
        <v>22</v>
      </c>
      <c r="E1238" s="63" t="s">
        <v>1496</v>
      </c>
      <c r="F1238" s="63"/>
      <c r="G1238" s="50" t="s">
        <v>2422</v>
      </c>
      <c r="H1238" s="57">
        <v>2000</v>
      </c>
      <c r="I1238" s="227"/>
      <c r="J1238" s="57">
        <f t="shared" si="186"/>
        <v>2000</v>
      </c>
      <c r="K1238" s="50">
        <v>1</v>
      </c>
      <c r="L1238" s="57">
        <f t="shared" si="187"/>
        <v>2000</v>
      </c>
      <c r="M1238" s="228">
        <f t="shared" si="185"/>
        <v>2200</v>
      </c>
      <c r="N1238" s="18" t="s">
        <v>25</v>
      </c>
      <c r="O1238" s="50"/>
    </row>
    <row r="1239" spans="1:27" ht="21.75" customHeight="1" x14ac:dyDescent="0.4">
      <c r="A1239" s="62">
        <v>45781</v>
      </c>
      <c r="B1239" s="32" t="s">
        <v>4700</v>
      </c>
      <c r="C1239" s="32" t="s">
        <v>405</v>
      </c>
      <c r="D1239" s="18" t="s">
        <v>17</v>
      </c>
      <c r="E1239" s="63" t="s">
        <v>426</v>
      </c>
      <c r="F1239" s="63" t="s">
        <v>3555</v>
      </c>
      <c r="G1239" s="50" t="s">
        <v>4701</v>
      </c>
      <c r="H1239" s="57">
        <v>1900</v>
      </c>
      <c r="I1239" s="227">
        <v>-190</v>
      </c>
      <c r="J1239" s="57">
        <f t="shared" si="186"/>
        <v>1710</v>
      </c>
      <c r="K1239" s="50">
        <v>1</v>
      </c>
      <c r="L1239" s="57">
        <f t="shared" si="187"/>
        <v>1710</v>
      </c>
      <c r="M1239" s="228">
        <f t="shared" si="185"/>
        <v>1881</v>
      </c>
      <c r="N1239" s="18" t="s">
        <v>25</v>
      </c>
      <c r="O1239" s="50" t="s">
        <v>4702</v>
      </c>
    </row>
    <row r="1240" spans="1:27" ht="21.75" customHeight="1" x14ac:dyDescent="0.4">
      <c r="A1240" s="62">
        <v>45781</v>
      </c>
      <c r="B1240" s="32" t="s">
        <v>633</v>
      </c>
      <c r="C1240" s="32" t="s">
        <v>2557</v>
      </c>
      <c r="D1240" s="18" t="s">
        <v>17</v>
      </c>
      <c r="E1240" s="63" t="s">
        <v>328</v>
      </c>
      <c r="F1240" s="63" t="s">
        <v>3597</v>
      </c>
      <c r="G1240" s="50" t="s">
        <v>4703</v>
      </c>
      <c r="H1240" s="57">
        <v>6200</v>
      </c>
      <c r="I1240" s="227">
        <v>-620</v>
      </c>
      <c r="J1240" s="57">
        <f t="shared" si="186"/>
        <v>5580</v>
      </c>
      <c r="K1240" s="50">
        <v>1</v>
      </c>
      <c r="L1240" s="57">
        <f t="shared" si="187"/>
        <v>5580</v>
      </c>
      <c r="M1240" s="228">
        <f t="shared" si="185"/>
        <v>6138</v>
      </c>
      <c r="N1240" s="18" t="s">
        <v>25</v>
      </c>
      <c r="O1240" s="50"/>
    </row>
    <row r="1241" spans="1:27" ht="21.75" customHeight="1" x14ac:dyDescent="0.4">
      <c r="A1241" s="62">
        <v>45781</v>
      </c>
      <c r="B1241" s="32" t="s">
        <v>633</v>
      </c>
      <c r="C1241" s="32" t="s">
        <v>2557</v>
      </c>
      <c r="D1241" s="18" t="s">
        <v>17</v>
      </c>
      <c r="E1241" s="63" t="s">
        <v>332</v>
      </c>
      <c r="F1241" s="63" t="s">
        <v>3555</v>
      </c>
      <c r="G1241" s="50" t="s">
        <v>4704</v>
      </c>
      <c r="H1241" s="57">
        <v>1300</v>
      </c>
      <c r="I1241" s="227">
        <v>-130</v>
      </c>
      <c r="J1241" s="57">
        <f t="shared" si="186"/>
        <v>1170</v>
      </c>
      <c r="K1241" s="50">
        <v>1</v>
      </c>
      <c r="L1241" s="57">
        <f t="shared" si="187"/>
        <v>1170</v>
      </c>
      <c r="M1241" s="228">
        <f t="shared" si="185"/>
        <v>1287</v>
      </c>
      <c r="N1241" s="18" t="s">
        <v>25</v>
      </c>
      <c r="O1241" s="50"/>
    </row>
    <row r="1242" spans="1:27" ht="21.75" customHeight="1" x14ac:dyDescent="0.4">
      <c r="A1242" s="62">
        <v>45781</v>
      </c>
      <c r="B1242" s="18" t="s">
        <v>4705</v>
      </c>
      <c r="C1242" s="18" t="s">
        <v>405</v>
      </c>
      <c r="D1242" s="18" t="s">
        <v>22</v>
      </c>
      <c r="E1242" s="57" t="s">
        <v>23</v>
      </c>
      <c r="F1242" s="76"/>
      <c r="G1242" s="57" t="s">
        <v>264</v>
      </c>
      <c r="H1242" s="71">
        <v>15000</v>
      </c>
      <c r="I1242" s="227"/>
      <c r="J1242" s="71">
        <f t="shared" si="186"/>
        <v>15000</v>
      </c>
      <c r="K1242" s="262">
        <v>1</v>
      </c>
      <c r="L1242" s="71">
        <f t="shared" si="187"/>
        <v>15000</v>
      </c>
      <c r="M1242" s="71">
        <f t="shared" si="185"/>
        <v>16500</v>
      </c>
      <c r="N1242" s="18" t="s">
        <v>25</v>
      </c>
      <c r="O1242" s="50"/>
      <c r="S1242" s="2"/>
      <c r="T1242" s="39"/>
      <c r="U1242" s="38"/>
      <c r="V1242" s="38"/>
      <c r="W1242" s="38"/>
      <c r="Y1242" s="2"/>
      <c r="Z1242" s="2"/>
      <c r="AA1242" s="2"/>
    </row>
    <row r="1243" spans="1:27" ht="21.75" customHeight="1" x14ac:dyDescent="0.4">
      <c r="A1243" s="62">
        <v>45781</v>
      </c>
      <c r="B1243" s="18" t="s">
        <v>4705</v>
      </c>
      <c r="C1243" s="18" t="s">
        <v>405</v>
      </c>
      <c r="D1243" s="18" t="s">
        <v>17</v>
      </c>
      <c r="E1243" s="57" t="s">
        <v>328</v>
      </c>
      <c r="F1243" s="76" t="s">
        <v>788</v>
      </c>
      <c r="G1243" s="57" t="s">
        <v>4707</v>
      </c>
      <c r="H1243" s="71">
        <v>60000</v>
      </c>
      <c r="I1243" s="227">
        <v>-12000</v>
      </c>
      <c r="J1243" s="71">
        <f t="shared" si="186"/>
        <v>48000</v>
      </c>
      <c r="K1243" s="262">
        <v>1</v>
      </c>
      <c r="L1243" s="71">
        <f t="shared" si="187"/>
        <v>48000</v>
      </c>
      <c r="M1243" s="71">
        <f t="shared" si="185"/>
        <v>52800</v>
      </c>
      <c r="N1243" s="18" t="s">
        <v>25</v>
      </c>
      <c r="O1243" s="50"/>
      <c r="P1243" s="52" t="s">
        <v>2141</v>
      </c>
      <c r="S1243" s="2"/>
      <c r="T1243" s="39"/>
      <c r="U1243" s="38"/>
      <c r="V1243" s="38"/>
      <c r="W1243" s="38"/>
      <c r="Y1243" s="2"/>
      <c r="Z1243" s="2"/>
      <c r="AA1243" s="2"/>
    </row>
    <row r="1244" spans="1:27" ht="21.75" customHeight="1" x14ac:dyDescent="0.4">
      <c r="A1244" s="62">
        <v>45781</v>
      </c>
      <c r="B1244" s="18" t="s">
        <v>4705</v>
      </c>
      <c r="C1244" s="18" t="s">
        <v>405</v>
      </c>
      <c r="D1244" s="18" t="s">
        <v>17</v>
      </c>
      <c r="E1244" s="57" t="s">
        <v>330</v>
      </c>
      <c r="F1244" s="76" t="s">
        <v>3543</v>
      </c>
      <c r="G1244" s="57" t="s">
        <v>4708</v>
      </c>
      <c r="H1244" s="71">
        <v>5500</v>
      </c>
      <c r="I1244" s="227"/>
      <c r="J1244" s="71">
        <f t="shared" si="186"/>
        <v>5500</v>
      </c>
      <c r="K1244" s="262">
        <v>1</v>
      </c>
      <c r="L1244" s="71">
        <f t="shared" si="187"/>
        <v>5500</v>
      </c>
      <c r="M1244" s="71">
        <f t="shared" si="185"/>
        <v>6050</v>
      </c>
      <c r="N1244" s="18" t="s">
        <v>25</v>
      </c>
      <c r="O1244" s="50"/>
      <c r="P1244" s="52" t="s">
        <v>2141</v>
      </c>
      <c r="S1244" s="2"/>
      <c r="T1244" s="39"/>
      <c r="U1244" s="38"/>
      <c r="V1244" s="38"/>
      <c r="W1244" s="38"/>
      <c r="Y1244" s="2"/>
      <c r="Z1244" s="2"/>
      <c r="AA1244" s="2"/>
    </row>
    <row r="1245" spans="1:27" ht="21.75" customHeight="1" x14ac:dyDescent="0.4">
      <c r="A1245" s="62">
        <v>45781</v>
      </c>
      <c r="B1245" s="18" t="s">
        <v>4705</v>
      </c>
      <c r="C1245" s="18" t="s">
        <v>405</v>
      </c>
      <c r="D1245" s="18" t="s">
        <v>17</v>
      </c>
      <c r="E1245" s="57" t="s">
        <v>332</v>
      </c>
      <c r="F1245" s="76" t="s">
        <v>3555</v>
      </c>
      <c r="G1245" s="57" t="s">
        <v>4653</v>
      </c>
      <c r="H1245" s="71">
        <v>1300</v>
      </c>
      <c r="I1245" s="227"/>
      <c r="J1245" s="71">
        <f t="shared" si="186"/>
        <v>1300</v>
      </c>
      <c r="K1245" s="262">
        <v>1</v>
      </c>
      <c r="L1245" s="71">
        <f t="shared" si="187"/>
        <v>1300</v>
      </c>
      <c r="M1245" s="71">
        <f t="shared" si="185"/>
        <v>1430</v>
      </c>
      <c r="N1245" s="18" t="s">
        <v>25</v>
      </c>
      <c r="O1245" s="50"/>
      <c r="P1245" s="52" t="s">
        <v>2141</v>
      </c>
      <c r="S1245" s="2"/>
      <c r="T1245" s="39"/>
      <c r="U1245" s="38"/>
      <c r="V1245" s="38"/>
      <c r="W1245" s="38"/>
      <c r="Y1245" s="2"/>
      <c r="Z1245" s="2"/>
      <c r="AA1245" s="2"/>
    </row>
    <row r="1246" spans="1:27" ht="21.75" customHeight="1" x14ac:dyDescent="0.4">
      <c r="A1246" s="62">
        <v>45784</v>
      </c>
      <c r="B1246" s="32" t="s">
        <v>4706</v>
      </c>
      <c r="C1246" s="32" t="s">
        <v>2557</v>
      </c>
      <c r="D1246" s="18" t="s">
        <v>27</v>
      </c>
      <c r="E1246" s="63" t="s">
        <v>28</v>
      </c>
      <c r="F1246" s="63"/>
      <c r="G1246" s="50" t="s">
        <v>4314</v>
      </c>
      <c r="H1246" s="57">
        <v>12250</v>
      </c>
      <c r="I1246" s="227"/>
      <c r="J1246" s="57">
        <f>SUM(H1246:I1246)</f>
        <v>12250</v>
      </c>
      <c r="K1246" s="50">
        <v>1</v>
      </c>
      <c r="L1246" s="57">
        <f>SUM(J1246*K1246)</f>
        <v>12250</v>
      </c>
      <c r="M1246" s="228">
        <f>ROUNDDOWN(L1246*1.1,0)</f>
        <v>13475</v>
      </c>
      <c r="N1246" s="18" t="s">
        <v>25</v>
      </c>
      <c r="O1246" s="50"/>
    </row>
    <row r="1247" spans="1:27" ht="21.75" customHeight="1" x14ac:dyDescent="0.4">
      <c r="A1247" s="62">
        <v>45784</v>
      </c>
      <c r="B1247" s="32" t="s">
        <v>3411</v>
      </c>
      <c r="C1247" s="32" t="s">
        <v>2557</v>
      </c>
      <c r="D1247" s="18" t="s">
        <v>22</v>
      </c>
      <c r="E1247" s="63" t="s">
        <v>1496</v>
      </c>
      <c r="F1247" s="63"/>
      <c r="G1247" s="50" t="s">
        <v>687</v>
      </c>
      <c r="H1247" s="57">
        <v>4500</v>
      </c>
      <c r="I1247" s="227"/>
      <c r="J1247" s="57">
        <f t="shared" si="186"/>
        <v>4500</v>
      </c>
      <c r="K1247" s="50">
        <v>1</v>
      </c>
      <c r="L1247" s="57">
        <f t="shared" si="187"/>
        <v>4500</v>
      </c>
      <c r="M1247" s="228">
        <f t="shared" si="185"/>
        <v>4950</v>
      </c>
      <c r="N1247" s="18" t="s">
        <v>25</v>
      </c>
      <c r="O1247" s="50"/>
    </row>
    <row r="1248" spans="1:27" ht="21.75" customHeight="1" x14ac:dyDescent="0.4">
      <c r="A1248" s="62">
        <v>45784</v>
      </c>
      <c r="B1248" s="32" t="s">
        <v>3411</v>
      </c>
      <c r="C1248" s="32" t="s">
        <v>2557</v>
      </c>
      <c r="D1248" s="18" t="s">
        <v>17</v>
      </c>
      <c r="E1248" s="63" t="s">
        <v>845</v>
      </c>
      <c r="F1248" s="63"/>
      <c r="G1248" s="50" t="s">
        <v>2601</v>
      </c>
      <c r="H1248" s="57">
        <v>1000</v>
      </c>
      <c r="I1248" s="227"/>
      <c r="J1248" s="57">
        <f t="shared" si="186"/>
        <v>1000</v>
      </c>
      <c r="K1248" s="50">
        <v>1</v>
      </c>
      <c r="L1248" s="57">
        <f t="shared" si="187"/>
        <v>1000</v>
      </c>
      <c r="M1248" s="228">
        <f t="shared" si="185"/>
        <v>1100</v>
      </c>
      <c r="N1248" s="18" t="s">
        <v>25</v>
      </c>
      <c r="O1248" s="50"/>
    </row>
    <row r="1249" spans="1:16" ht="21.75" customHeight="1" x14ac:dyDescent="0.4">
      <c r="A1249" s="62">
        <v>45784</v>
      </c>
      <c r="B1249" s="32" t="s">
        <v>4709</v>
      </c>
      <c r="C1249" s="32" t="s">
        <v>2557</v>
      </c>
      <c r="D1249" s="18" t="s">
        <v>27</v>
      </c>
      <c r="E1249" s="63" t="s">
        <v>28</v>
      </c>
      <c r="F1249" s="63"/>
      <c r="G1249" s="50" t="s">
        <v>3663</v>
      </c>
      <c r="H1249" s="57">
        <v>17500</v>
      </c>
      <c r="I1249" s="227"/>
      <c r="J1249" s="57">
        <f t="shared" si="186"/>
        <v>17500</v>
      </c>
      <c r="K1249" s="50">
        <v>1</v>
      </c>
      <c r="L1249" s="57">
        <f t="shared" si="187"/>
        <v>17500</v>
      </c>
      <c r="M1249" s="228">
        <f t="shared" si="185"/>
        <v>19250</v>
      </c>
      <c r="N1249" s="18" t="s">
        <v>20</v>
      </c>
      <c r="O1249" s="50"/>
    </row>
    <row r="1250" spans="1:16" ht="21.75" customHeight="1" x14ac:dyDescent="0.4">
      <c r="A1250" s="62">
        <v>45784</v>
      </c>
      <c r="B1250" s="32" t="s">
        <v>4709</v>
      </c>
      <c r="C1250" s="32" t="s">
        <v>2557</v>
      </c>
      <c r="D1250" s="18" t="s">
        <v>27</v>
      </c>
      <c r="E1250" s="63" t="s">
        <v>28</v>
      </c>
      <c r="F1250" s="63"/>
      <c r="G1250" s="50" t="s">
        <v>4641</v>
      </c>
      <c r="H1250" s="57">
        <v>2000</v>
      </c>
      <c r="I1250" s="227"/>
      <c r="J1250" s="57">
        <f t="shared" si="186"/>
        <v>2000</v>
      </c>
      <c r="K1250" s="50">
        <v>1</v>
      </c>
      <c r="L1250" s="57">
        <f t="shared" si="187"/>
        <v>2000</v>
      </c>
      <c r="M1250" s="228">
        <f t="shared" si="185"/>
        <v>2200</v>
      </c>
      <c r="N1250" s="18" t="s">
        <v>20</v>
      </c>
      <c r="O1250" s="50"/>
    </row>
    <row r="1251" spans="1:16" ht="21.75" customHeight="1" x14ac:dyDescent="0.4">
      <c r="A1251" s="62">
        <v>45785</v>
      </c>
      <c r="B1251" s="32" t="s">
        <v>179</v>
      </c>
      <c r="C1251" s="32" t="s">
        <v>2557</v>
      </c>
      <c r="D1251" s="18" t="s">
        <v>17</v>
      </c>
      <c r="E1251" s="63" t="s">
        <v>426</v>
      </c>
      <c r="F1251" s="63" t="s">
        <v>3555</v>
      </c>
      <c r="G1251" s="50" t="s">
        <v>4354</v>
      </c>
      <c r="H1251" s="57">
        <v>1700</v>
      </c>
      <c r="I1251" s="227">
        <v>-170</v>
      </c>
      <c r="J1251" s="57">
        <f t="shared" si="186"/>
        <v>1530</v>
      </c>
      <c r="K1251" s="50">
        <v>2</v>
      </c>
      <c r="L1251" s="57">
        <f t="shared" si="187"/>
        <v>3060</v>
      </c>
      <c r="M1251" s="228">
        <f t="shared" ref="M1251:M1320" si="188">ROUNDDOWN(L1251*1.1,0)</f>
        <v>3366</v>
      </c>
      <c r="N1251" s="18" t="s">
        <v>20</v>
      </c>
      <c r="O1251" s="50"/>
    </row>
    <row r="1252" spans="1:16" ht="21.75" customHeight="1" x14ac:dyDescent="0.4">
      <c r="A1252" s="62">
        <v>45785</v>
      </c>
      <c r="B1252" s="32" t="s">
        <v>179</v>
      </c>
      <c r="C1252" s="32" t="s">
        <v>2557</v>
      </c>
      <c r="D1252" s="18" t="s">
        <v>17</v>
      </c>
      <c r="E1252" s="63" t="s">
        <v>426</v>
      </c>
      <c r="F1252" s="63" t="s">
        <v>994</v>
      </c>
      <c r="G1252" s="50" t="s">
        <v>4517</v>
      </c>
      <c r="H1252" s="57">
        <v>1800</v>
      </c>
      <c r="I1252" s="227">
        <v>-180</v>
      </c>
      <c r="J1252" s="57">
        <f t="shared" si="186"/>
        <v>1620</v>
      </c>
      <c r="K1252" s="50">
        <v>1</v>
      </c>
      <c r="L1252" s="57">
        <f t="shared" si="187"/>
        <v>1620</v>
      </c>
      <c r="M1252" s="228">
        <f t="shared" si="188"/>
        <v>1782</v>
      </c>
      <c r="N1252" s="18" t="s">
        <v>20</v>
      </c>
      <c r="O1252" s="50"/>
    </row>
    <row r="1253" spans="1:16" ht="21.75" customHeight="1" x14ac:dyDescent="0.4">
      <c r="A1253" s="62">
        <v>45785</v>
      </c>
      <c r="B1253" s="32" t="s">
        <v>162</v>
      </c>
      <c r="C1253" s="32" t="s">
        <v>2557</v>
      </c>
      <c r="D1253" s="18" t="s">
        <v>27</v>
      </c>
      <c r="E1253" s="63" t="s">
        <v>28</v>
      </c>
      <c r="F1253" s="63"/>
      <c r="G1253" s="50" t="s">
        <v>4641</v>
      </c>
      <c r="H1253" s="57">
        <v>2000</v>
      </c>
      <c r="I1253" s="227"/>
      <c r="J1253" s="57">
        <f t="shared" si="186"/>
        <v>2000</v>
      </c>
      <c r="K1253" s="50">
        <v>1</v>
      </c>
      <c r="L1253" s="57">
        <f t="shared" si="187"/>
        <v>2000</v>
      </c>
      <c r="M1253" s="228">
        <f t="shared" si="188"/>
        <v>2200</v>
      </c>
      <c r="N1253" s="18" t="s">
        <v>20</v>
      </c>
      <c r="O1253" s="50"/>
    </row>
    <row r="1254" spans="1:16" ht="21.75" customHeight="1" x14ac:dyDescent="0.4">
      <c r="A1254" s="62">
        <v>45785</v>
      </c>
      <c r="B1254" s="32" t="s">
        <v>148</v>
      </c>
      <c r="C1254" s="32" t="s">
        <v>2557</v>
      </c>
      <c r="D1254" s="18" t="s">
        <v>17</v>
      </c>
      <c r="E1254" s="63" t="s">
        <v>426</v>
      </c>
      <c r="F1254" s="63" t="s">
        <v>994</v>
      </c>
      <c r="G1254" s="50" t="s">
        <v>3591</v>
      </c>
      <c r="H1254" s="57">
        <v>1800</v>
      </c>
      <c r="I1254" s="227">
        <v>-180</v>
      </c>
      <c r="J1254" s="57">
        <f t="shared" si="186"/>
        <v>1620</v>
      </c>
      <c r="K1254" s="50">
        <v>3</v>
      </c>
      <c r="L1254" s="57">
        <f t="shared" si="187"/>
        <v>4860</v>
      </c>
      <c r="M1254" s="228">
        <f t="shared" si="188"/>
        <v>5346</v>
      </c>
      <c r="N1254" s="18" t="s">
        <v>20</v>
      </c>
      <c r="O1254" s="50"/>
    </row>
    <row r="1255" spans="1:16" ht="21.75" customHeight="1" x14ac:dyDescent="0.4">
      <c r="A1255" s="62">
        <v>45785</v>
      </c>
      <c r="B1255" s="32" t="s">
        <v>503</v>
      </c>
      <c r="C1255" s="32" t="s">
        <v>2557</v>
      </c>
      <c r="D1255" s="18" t="s">
        <v>17</v>
      </c>
      <c r="E1255" s="63" t="s">
        <v>328</v>
      </c>
      <c r="F1255" s="63" t="s">
        <v>788</v>
      </c>
      <c r="G1255" s="50" t="s">
        <v>4710</v>
      </c>
      <c r="H1255" s="57">
        <v>12000</v>
      </c>
      <c r="I1255" s="227">
        <v>-2400</v>
      </c>
      <c r="J1255" s="57">
        <f t="shared" si="186"/>
        <v>9600</v>
      </c>
      <c r="K1255" s="50">
        <v>1</v>
      </c>
      <c r="L1255" s="57">
        <f t="shared" si="187"/>
        <v>9600</v>
      </c>
      <c r="M1255" s="228">
        <f t="shared" si="188"/>
        <v>10560</v>
      </c>
      <c r="N1255" s="18" t="s">
        <v>34</v>
      </c>
      <c r="O1255" s="50"/>
    </row>
    <row r="1256" spans="1:16" ht="21.75" customHeight="1" x14ac:dyDescent="0.4">
      <c r="A1256" s="62">
        <v>45785</v>
      </c>
      <c r="B1256" s="32" t="s">
        <v>503</v>
      </c>
      <c r="C1256" s="32" t="s">
        <v>2557</v>
      </c>
      <c r="D1256" s="18" t="s">
        <v>17</v>
      </c>
      <c r="E1256" s="63" t="s">
        <v>332</v>
      </c>
      <c r="F1256" s="63" t="s">
        <v>3553</v>
      </c>
      <c r="G1256" s="50" t="s">
        <v>4711</v>
      </c>
      <c r="H1256" s="57">
        <v>1800</v>
      </c>
      <c r="I1256" s="227">
        <v>-180</v>
      </c>
      <c r="J1256" s="57">
        <f t="shared" si="186"/>
        <v>1620</v>
      </c>
      <c r="K1256" s="50">
        <v>7</v>
      </c>
      <c r="L1256" s="57">
        <f t="shared" si="187"/>
        <v>11340</v>
      </c>
      <c r="M1256" s="228">
        <f t="shared" si="188"/>
        <v>12474</v>
      </c>
      <c r="N1256" s="18" t="s">
        <v>34</v>
      </c>
      <c r="O1256" s="50"/>
    </row>
    <row r="1257" spans="1:16" ht="21.75" customHeight="1" x14ac:dyDescent="0.4">
      <c r="A1257" s="62">
        <v>45786</v>
      </c>
      <c r="B1257" s="32" t="s">
        <v>1381</v>
      </c>
      <c r="C1257" s="32" t="s">
        <v>2557</v>
      </c>
      <c r="D1257" s="18" t="s">
        <v>17</v>
      </c>
      <c r="E1257" s="63" t="s">
        <v>328</v>
      </c>
      <c r="F1257" s="63" t="s">
        <v>3597</v>
      </c>
      <c r="G1257" s="50" t="s">
        <v>4712</v>
      </c>
      <c r="H1257" s="57">
        <v>4500</v>
      </c>
      <c r="I1257" s="227">
        <v>-450</v>
      </c>
      <c r="J1257" s="57">
        <f t="shared" si="186"/>
        <v>4050</v>
      </c>
      <c r="K1257" s="50">
        <v>1</v>
      </c>
      <c r="L1257" s="57">
        <f t="shared" si="187"/>
        <v>4050</v>
      </c>
      <c r="M1257" s="228">
        <f t="shared" si="188"/>
        <v>4455</v>
      </c>
      <c r="N1257" s="18" t="s">
        <v>34</v>
      </c>
      <c r="O1257" s="50"/>
    </row>
    <row r="1258" spans="1:16" ht="21.75" customHeight="1" x14ac:dyDescent="0.4">
      <c r="A1258" s="62">
        <v>45786</v>
      </c>
      <c r="B1258" s="32" t="s">
        <v>1861</v>
      </c>
      <c r="C1258" s="32" t="s">
        <v>2557</v>
      </c>
      <c r="D1258" s="18" t="s">
        <v>2457</v>
      </c>
      <c r="E1258" s="63" t="s">
        <v>1615</v>
      </c>
      <c r="F1258" s="63"/>
      <c r="G1258" s="50" t="s">
        <v>4713</v>
      </c>
      <c r="H1258" s="57">
        <v>15000</v>
      </c>
      <c r="I1258" s="227"/>
      <c r="J1258" s="57">
        <f t="shared" si="186"/>
        <v>15000</v>
      </c>
      <c r="K1258" s="50">
        <v>1</v>
      </c>
      <c r="L1258" s="57">
        <f t="shared" si="187"/>
        <v>15000</v>
      </c>
      <c r="M1258" s="228">
        <f t="shared" si="188"/>
        <v>16500</v>
      </c>
      <c r="N1258" s="18" t="s">
        <v>20</v>
      </c>
      <c r="O1258" s="50"/>
    </row>
    <row r="1259" spans="1:16" ht="21.75" customHeight="1" x14ac:dyDescent="0.4">
      <c r="A1259" s="62">
        <v>45786</v>
      </c>
      <c r="B1259" s="32" t="s">
        <v>4714</v>
      </c>
      <c r="C1259" s="32" t="s">
        <v>405</v>
      </c>
      <c r="D1259" s="18" t="s">
        <v>17</v>
      </c>
      <c r="E1259" s="63" t="s">
        <v>1442</v>
      </c>
      <c r="F1259" s="63" t="s">
        <v>480</v>
      </c>
      <c r="G1259" s="50" t="s">
        <v>4715</v>
      </c>
      <c r="H1259" s="57">
        <v>150000</v>
      </c>
      <c r="I1259" s="227">
        <v>-15000</v>
      </c>
      <c r="J1259" s="57">
        <f t="shared" si="186"/>
        <v>135000</v>
      </c>
      <c r="K1259" s="50">
        <v>1</v>
      </c>
      <c r="L1259" s="57">
        <f t="shared" si="187"/>
        <v>135000</v>
      </c>
      <c r="M1259" s="228">
        <f t="shared" si="188"/>
        <v>148500</v>
      </c>
      <c r="N1259" s="18" t="s">
        <v>34</v>
      </c>
      <c r="O1259" s="50"/>
      <c r="P1259" s="52" t="s">
        <v>1557</v>
      </c>
    </row>
    <row r="1260" spans="1:16" ht="21.75" customHeight="1" x14ac:dyDescent="0.4">
      <c r="A1260" s="62">
        <v>45786</v>
      </c>
      <c r="B1260" s="32" t="s">
        <v>4714</v>
      </c>
      <c r="C1260" s="32" t="s">
        <v>405</v>
      </c>
      <c r="D1260" s="18" t="s">
        <v>17</v>
      </c>
      <c r="E1260" s="63" t="s">
        <v>328</v>
      </c>
      <c r="F1260" s="63" t="s">
        <v>3598</v>
      </c>
      <c r="G1260" s="50" t="s">
        <v>4716</v>
      </c>
      <c r="H1260" s="57">
        <v>20000</v>
      </c>
      <c r="I1260" s="227">
        <v>-4000</v>
      </c>
      <c r="J1260" s="57">
        <f t="shared" si="186"/>
        <v>16000</v>
      </c>
      <c r="K1260" s="50">
        <v>2</v>
      </c>
      <c r="L1260" s="57">
        <f t="shared" si="187"/>
        <v>32000</v>
      </c>
      <c r="M1260" s="228">
        <f t="shared" si="188"/>
        <v>35200</v>
      </c>
      <c r="N1260" s="18" t="s">
        <v>34</v>
      </c>
      <c r="O1260" s="50"/>
      <c r="P1260" s="52" t="s">
        <v>1557</v>
      </c>
    </row>
    <row r="1261" spans="1:16" ht="21.75" customHeight="1" x14ac:dyDescent="0.4">
      <c r="A1261" s="62">
        <v>45786</v>
      </c>
      <c r="B1261" s="32" t="s">
        <v>4714</v>
      </c>
      <c r="C1261" s="32" t="s">
        <v>405</v>
      </c>
      <c r="D1261" s="18" t="s">
        <v>17</v>
      </c>
      <c r="E1261" s="63" t="s">
        <v>328</v>
      </c>
      <c r="F1261" s="63" t="s">
        <v>3598</v>
      </c>
      <c r="G1261" s="50" t="s">
        <v>4717</v>
      </c>
      <c r="H1261" s="57">
        <v>20000</v>
      </c>
      <c r="I1261" s="227">
        <v>-4000</v>
      </c>
      <c r="J1261" s="57">
        <f t="shared" si="186"/>
        <v>16000</v>
      </c>
      <c r="K1261" s="50">
        <v>3</v>
      </c>
      <c r="L1261" s="57">
        <f t="shared" si="187"/>
        <v>48000</v>
      </c>
      <c r="M1261" s="228">
        <f t="shared" si="188"/>
        <v>52800</v>
      </c>
      <c r="N1261" s="18" t="s">
        <v>34</v>
      </c>
      <c r="O1261" s="50"/>
      <c r="P1261" s="52" t="s">
        <v>1557</v>
      </c>
    </row>
    <row r="1262" spans="1:16" ht="21.75" customHeight="1" x14ac:dyDescent="0.4">
      <c r="A1262" s="62">
        <v>45786</v>
      </c>
      <c r="B1262" s="32" t="s">
        <v>4714</v>
      </c>
      <c r="C1262" s="32" t="s">
        <v>405</v>
      </c>
      <c r="D1262" s="18" t="s">
        <v>17</v>
      </c>
      <c r="E1262" s="63" t="s">
        <v>328</v>
      </c>
      <c r="F1262" s="63" t="s">
        <v>3598</v>
      </c>
      <c r="G1262" s="50" t="s">
        <v>4718</v>
      </c>
      <c r="H1262" s="57">
        <v>20000</v>
      </c>
      <c r="I1262" s="227">
        <v>-2000</v>
      </c>
      <c r="J1262" s="57">
        <f t="shared" si="186"/>
        <v>18000</v>
      </c>
      <c r="K1262" s="50">
        <v>3</v>
      </c>
      <c r="L1262" s="57">
        <f t="shared" si="187"/>
        <v>54000</v>
      </c>
      <c r="M1262" s="228">
        <f t="shared" si="188"/>
        <v>59400</v>
      </c>
      <c r="N1262" s="18" t="s">
        <v>34</v>
      </c>
      <c r="O1262" s="50"/>
      <c r="P1262" s="52" t="s">
        <v>1557</v>
      </c>
    </row>
    <row r="1263" spans="1:16" ht="21.75" customHeight="1" x14ac:dyDescent="0.4">
      <c r="A1263" s="62">
        <v>45786</v>
      </c>
      <c r="B1263" s="32" t="s">
        <v>4714</v>
      </c>
      <c r="C1263" s="32" t="s">
        <v>405</v>
      </c>
      <c r="D1263" s="18" t="s">
        <v>17</v>
      </c>
      <c r="E1263" s="63" t="s">
        <v>328</v>
      </c>
      <c r="F1263" s="63" t="s">
        <v>3598</v>
      </c>
      <c r="G1263" s="50" t="s">
        <v>4719</v>
      </c>
      <c r="H1263" s="57">
        <v>28000</v>
      </c>
      <c r="I1263" s="227">
        <v>-5600</v>
      </c>
      <c r="J1263" s="57">
        <f t="shared" si="186"/>
        <v>22400</v>
      </c>
      <c r="K1263" s="50">
        <v>1</v>
      </c>
      <c r="L1263" s="57">
        <f t="shared" si="187"/>
        <v>22400</v>
      </c>
      <c r="M1263" s="228">
        <f t="shared" si="188"/>
        <v>24640</v>
      </c>
      <c r="N1263" s="18" t="s">
        <v>34</v>
      </c>
      <c r="O1263" s="50"/>
      <c r="P1263" s="52" t="s">
        <v>1557</v>
      </c>
    </row>
    <row r="1264" spans="1:16" ht="21.75" customHeight="1" x14ac:dyDescent="0.4">
      <c r="A1264" s="62">
        <v>45786</v>
      </c>
      <c r="B1264" s="32" t="s">
        <v>4714</v>
      </c>
      <c r="C1264" s="32" t="s">
        <v>405</v>
      </c>
      <c r="D1264" s="18" t="s">
        <v>17</v>
      </c>
      <c r="E1264" s="63" t="s">
        <v>332</v>
      </c>
      <c r="F1264" s="63" t="s">
        <v>3554</v>
      </c>
      <c r="G1264" s="50" t="s">
        <v>3879</v>
      </c>
      <c r="H1264" s="57">
        <v>1300</v>
      </c>
      <c r="I1264" s="227"/>
      <c r="J1264" s="57">
        <f t="shared" si="186"/>
        <v>1300</v>
      </c>
      <c r="K1264" s="50">
        <v>3</v>
      </c>
      <c r="L1264" s="57">
        <f t="shared" si="187"/>
        <v>3900</v>
      </c>
      <c r="M1264" s="228">
        <f t="shared" si="188"/>
        <v>4290</v>
      </c>
      <c r="N1264" s="18" t="s">
        <v>34</v>
      </c>
      <c r="O1264" s="50"/>
      <c r="P1264" s="52" t="s">
        <v>1557</v>
      </c>
    </row>
    <row r="1265" spans="1:16" ht="21.75" customHeight="1" x14ac:dyDescent="0.4">
      <c r="A1265" s="62">
        <v>45786</v>
      </c>
      <c r="B1265" s="32" t="s">
        <v>4714</v>
      </c>
      <c r="C1265" s="32" t="s">
        <v>405</v>
      </c>
      <c r="D1265" s="18" t="s">
        <v>17</v>
      </c>
      <c r="E1265" s="63" t="s">
        <v>332</v>
      </c>
      <c r="F1265" s="63" t="s">
        <v>3555</v>
      </c>
      <c r="G1265" s="50" t="s">
        <v>4720</v>
      </c>
      <c r="H1265" s="57">
        <v>1900</v>
      </c>
      <c r="I1265" s="227"/>
      <c r="J1265" s="57">
        <f t="shared" si="186"/>
        <v>1900</v>
      </c>
      <c r="K1265" s="50">
        <v>1</v>
      </c>
      <c r="L1265" s="57">
        <f t="shared" si="187"/>
        <v>1900</v>
      </c>
      <c r="M1265" s="228">
        <f t="shared" si="188"/>
        <v>2090</v>
      </c>
      <c r="N1265" s="18" t="s">
        <v>34</v>
      </c>
      <c r="O1265" s="50"/>
      <c r="P1265" s="52" t="s">
        <v>1557</v>
      </c>
    </row>
    <row r="1266" spans="1:16" ht="21.75" customHeight="1" x14ac:dyDescent="0.4">
      <c r="A1266" s="62">
        <v>45786</v>
      </c>
      <c r="B1266" s="32" t="s">
        <v>4714</v>
      </c>
      <c r="C1266" s="32" t="s">
        <v>405</v>
      </c>
      <c r="D1266" s="18" t="s">
        <v>17</v>
      </c>
      <c r="E1266" s="63" t="s">
        <v>332</v>
      </c>
      <c r="F1266" s="63" t="s">
        <v>3553</v>
      </c>
      <c r="G1266" s="50" t="s">
        <v>4721</v>
      </c>
      <c r="H1266" s="57">
        <v>1600</v>
      </c>
      <c r="I1266" s="227"/>
      <c r="J1266" s="57">
        <f t="shared" si="186"/>
        <v>1600</v>
      </c>
      <c r="K1266" s="50">
        <v>5</v>
      </c>
      <c r="L1266" s="57">
        <f t="shared" si="187"/>
        <v>8000</v>
      </c>
      <c r="M1266" s="228">
        <f t="shared" si="188"/>
        <v>8800</v>
      </c>
      <c r="N1266" s="18" t="s">
        <v>34</v>
      </c>
      <c r="O1266" s="50"/>
      <c r="P1266" s="52" t="s">
        <v>1557</v>
      </c>
    </row>
    <row r="1267" spans="1:16" ht="21.75" customHeight="1" x14ac:dyDescent="0.4">
      <c r="A1267" s="62">
        <v>45786</v>
      </c>
      <c r="B1267" s="32" t="s">
        <v>4714</v>
      </c>
      <c r="C1267" s="32" t="s">
        <v>405</v>
      </c>
      <c r="D1267" s="18" t="s">
        <v>17</v>
      </c>
      <c r="E1267" s="63" t="s">
        <v>292</v>
      </c>
      <c r="F1267" s="63" t="s">
        <v>4507</v>
      </c>
      <c r="G1267" s="50" t="s">
        <v>4722</v>
      </c>
      <c r="H1267" s="57">
        <v>9600</v>
      </c>
      <c r="I1267" s="227"/>
      <c r="J1267" s="57">
        <f t="shared" si="186"/>
        <v>9600</v>
      </c>
      <c r="K1267" s="50">
        <v>2</v>
      </c>
      <c r="L1267" s="57">
        <f t="shared" si="187"/>
        <v>19200</v>
      </c>
      <c r="M1267" s="228">
        <f t="shared" si="188"/>
        <v>21120</v>
      </c>
      <c r="N1267" s="18" t="s">
        <v>34</v>
      </c>
      <c r="O1267" s="50"/>
      <c r="P1267" s="52" t="s">
        <v>1557</v>
      </c>
    </row>
    <row r="1268" spans="1:16" ht="21.75" customHeight="1" x14ac:dyDescent="0.4">
      <c r="A1268" s="62">
        <v>45786</v>
      </c>
      <c r="B1268" s="32" t="s">
        <v>3415</v>
      </c>
      <c r="C1268" s="32" t="s">
        <v>2557</v>
      </c>
      <c r="D1268" s="18" t="s">
        <v>17</v>
      </c>
      <c r="E1268" s="63" t="s">
        <v>332</v>
      </c>
      <c r="F1268" s="63" t="s">
        <v>3551</v>
      </c>
      <c r="G1268" s="50" t="s">
        <v>3879</v>
      </c>
      <c r="H1268" s="57">
        <v>1300</v>
      </c>
      <c r="I1268" s="227">
        <v>-130</v>
      </c>
      <c r="J1268" s="57">
        <f t="shared" si="186"/>
        <v>1170</v>
      </c>
      <c r="K1268" s="50">
        <v>2</v>
      </c>
      <c r="L1268" s="57">
        <f t="shared" si="187"/>
        <v>2340</v>
      </c>
      <c r="M1268" s="228">
        <f t="shared" si="188"/>
        <v>2574</v>
      </c>
      <c r="N1268" s="18" t="s">
        <v>20</v>
      </c>
      <c r="O1268" s="50"/>
    </row>
    <row r="1269" spans="1:16" ht="21.75" customHeight="1" x14ac:dyDescent="0.4">
      <c r="A1269" s="62">
        <v>45786</v>
      </c>
      <c r="B1269" s="32" t="s">
        <v>4594</v>
      </c>
      <c r="C1269" s="32" t="s">
        <v>2557</v>
      </c>
      <c r="D1269" s="18" t="s">
        <v>17</v>
      </c>
      <c r="E1269" s="63" t="s">
        <v>292</v>
      </c>
      <c r="F1269" s="63" t="s">
        <v>1051</v>
      </c>
      <c r="G1269" s="50" t="s">
        <v>3644</v>
      </c>
      <c r="H1269" s="57">
        <v>5700</v>
      </c>
      <c r="I1269" s="227"/>
      <c r="J1269" s="57">
        <f t="shared" si="186"/>
        <v>5700</v>
      </c>
      <c r="K1269" s="50">
        <v>2</v>
      </c>
      <c r="L1269" s="57">
        <f t="shared" si="187"/>
        <v>11400</v>
      </c>
      <c r="M1269" s="228">
        <f t="shared" si="188"/>
        <v>12540</v>
      </c>
      <c r="N1269" s="18" t="s">
        <v>34</v>
      </c>
      <c r="O1269" s="50"/>
    </row>
    <row r="1270" spans="1:16" ht="21.75" customHeight="1" x14ac:dyDescent="0.4">
      <c r="A1270" s="62">
        <v>45786</v>
      </c>
      <c r="B1270" s="32" t="s">
        <v>1059</v>
      </c>
      <c r="C1270" s="32" t="s">
        <v>2557</v>
      </c>
      <c r="D1270" s="18" t="s">
        <v>17</v>
      </c>
      <c r="E1270" s="63" t="s">
        <v>332</v>
      </c>
      <c r="F1270" s="63" t="s">
        <v>3552</v>
      </c>
      <c r="G1270" s="50" t="s">
        <v>4723</v>
      </c>
      <c r="H1270" s="57">
        <v>1600</v>
      </c>
      <c r="I1270" s="227">
        <v>-160</v>
      </c>
      <c r="J1270" s="57">
        <f t="shared" si="186"/>
        <v>1440</v>
      </c>
      <c r="K1270" s="50">
        <v>2</v>
      </c>
      <c r="L1270" s="57">
        <f t="shared" si="187"/>
        <v>2880</v>
      </c>
      <c r="M1270" s="228">
        <f t="shared" si="188"/>
        <v>3168</v>
      </c>
      <c r="N1270" s="18" t="s">
        <v>25</v>
      </c>
      <c r="O1270" s="50"/>
    </row>
    <row r="1271" spans="1:16" ht="21.75" customHeight="1" x14ac:dyDescent="0.4">
      <c r="A1271" s="62">
        <v>45787</v>
      </c>
      <c r="B1271" s="32" t="s">
        <v>4724</v>
      </c>
      <c r="C1271" s="32" t="s">
        <v>405</v>
      </c>
      <c r="D1271" s="18" t="s">
        <v>22</v>
      </c>
      <c r="E1271" s="57" t="s">
        <v>23</v>
      </c>
      <c r="F1271" s="76"/>
      <c r="G1271" s="57" t="s">
        <v>264</v>
      </c>
      <c r="H1271" s="57">
        <v>15000</v>
      </c>
      <c r="I1271" s="227"/>
      <c r="J1271" s="57">
        <f t="shared" si="186"/>
        <v>15000</v>
      </c>
      <c r="K1271" s="50">
        <v>1</v>
      </c>
      <c r="L1271" s="57">
        <f t="shared" si="187"/>
        <v>15000</v>
      </c>
      <c r="M1271" s="228">
        <f t="shared" si="188"/>
        <v>16500</v>
      </c>
      <c r="N1271" s="18" t="s">
        <v>25</v>
      </c>
      <c r="O1271" s="50"/>
    </row>
    <row r="1272" spans="1:16" ht="21.75" customHeight="1" x14ac:dyDescent="0.4">
      <c r="A1272" s="62">
        <v>45787</v>
      </c>
      <c r="B1272" s="32" t="s">
        <v>4725</v>
      </c>
      <c r="C1272" s="32" t="s">
        <v>2557</v>
      </c>
      <c r="D1272" s="18" t="s">
        <v>27</v>
      </c>
      <c r="E1272" s="63" t="s">
        <v>28</v>
      </c>
      <c r="F1272" s="63"/>
      <c r="G1272" s="50" t="s">
        <v>318</v>
      </c>
      <c r="H1272" s="57">
        <v>15000</v>
      </c>
      <c r="I1272" s="227"/>
      <c r="J1272" s="57">
        <f t="shared" si="186"/>
        <v>15000</v>
      </c>
      <c r="K1272" s="50">
        <v>1</v>
      </c>
      <c r="L1272" s="57">
        <f t="shared" si="187"/>
        <v>15000</v>
      </c>
      <c r="M1272" s="228">
        <f t="shared" si="188"/>
        <v>16500</v>
      </c>
      <c r="N1272" s="18" t="s">
        <v>25</v>
      </c>
      <c r="O1272" s="50"/>
    </row>
    <row r="1273" spans="1:16" ht="21.75" customHeight="1" x14ac:dyDescent="0.4">
      <c r="A1273" s="62">
        <v>45787</v>
      </c>
      <c r="B1273" s="32" t="s">
        <v>4725</v>
      </c>
      <c r="C1273" s="32" t="s">
        <v>2557</v>
      </c>
      <c r="D1273" s="18" t="s">
        <v>27</v>
      </c>
      <c r="E1273" s="63" t="s">
        <v>28</v>
      </c>
      <c r="F1273" s="63"/>
      <c r="G1273" s="50" t="s">
        <v>3976</v>
      </c>
      <c r="H1273" s="57">
        <v>8750</v>
      </c>
      <c r="I1273" s="227"/>
      <c r="J1273" s="57">
        <f t="shared" si="186"/>
        <v>8750</v>
      </c>
      <c r="K1273" s="50">
        <v>1</v>
      </c>
      <c r="L1273" s="57">
        <f t="shared" si="187"/>
        <v>8750</v>
      </c>
      <c r="M1273" s="228">
        <f t="shared" si="188"/>
        <v>9625</v>
      </c>
      <c r="N1273" s="18" t="s">
        <v>25</v>
      </c>
      <c r="O1273" s="50"/>
    </row>
    <row r="1274" spans="1:16" ht="21.75" customHeight="1" x14ac:dyDescent="0.4">
      <c r="A1274" s="62">
        <v>45788</v>
      </c>
      <c r="B1274" s="32" t="s">
        <v>1694</v>
      </c>
      <c r="C1274" s="32" t="s">
        <v>4292</v>
      </c>
      <c r="D1274" s="18" t="s">
        <v>17</v>
      </c>
      <c r="E1274" s="63" t="s">
        <v>328</v>
      </c>
      <c r="F1274" s="63" t="s">
        <v>3598</v>
      </c>
      <c r="G1274" s="50" t="s">
        <v>4726</v>
      </c>
      <c r="H1274" s="57">
        <v>42000</v>
      </c>
      <c r="I1274" s="227">
        <v>-18900</v>
      </c>
      <c r="J1274" s="57">
        <f t="shared" si="186"/>
        <v>23100</v>
      </c>
      <c r="K1274" s="50">
        <v>2</v>
      </c>
      <c r="L1274" s="57">
        <f t="shared" si="187"/>
        <v>46200</v>
      </c>
      <c r="M1274" s="228">
        <f t="shared" si="188"/>
        <v>50820</v>
      </c>
      <c r="N1274" s="18" t="s">
        <v>34</v>
      </c>
      <c r="O1274" s="50"/>
    </row>
    <row r="1275" spans="1:16" ht="21.75" customHeight="1" x14ac:dyDescent="0.4">
      <c r="A1275" s="62">
        <v>45788</v>
      </c>
      <c r="B1275" s="32" t="s">
        <v>1694</v>
      </c>
      <c r="C1275" s="32" t="s">
        <v>4292</v>
      </c>
      <c r="D1275" s="18" t="s">
        <v>17</v>
      </c>
      <c r="E1275" s="63" t="s">
        <v>1442</v>
      </c>
      <c r="F1275" s="63" t="s">
        <v>632</v>
      </c>
      <c r="G1275" s="50" t="s">
        <v>4727</v>
      </c>
      <c r="H1275" s="57">
        <v>37000</v>
      </c>
      <c r="I1275" s="227">
        <v>-18500</v>
      </c>
      <c r="J1275" s="57">
        <f>SUM(H1275:I1275)</f>
        <v>18500</v>
      </c>
      <c r="K1275" s="50">
        <v>1</v>
      </c>
      <c r="L1275" s="57">
        <f>SUM(J1275*K1275)</f>
        <v>18500</v>
      </c>
      <c r="M1275" s="228">
        <f>ROUNDDOWN(L1275*1.1,0)</f>
        <v>20350</v>
      </c>
      <c r="N1275" s="18" t="s">
        <v>34</v>
      </c>
      <c r="O1275" s="50"/>
    </row>
    <row r="1276" spans="1:16" ht="21.75" customHeight="1" x14ac:dyDescent="0.4">
      <c r="A1276" s="62">
        <v>45788</v>
      </c>
      <c r="B1276" s="32" t="s">
        <v>1694</v>
      </c>
      <c r="C1276" s="32" t="s">
        <v>4292</v>
      </c>
      <c r="D1276" s="18" t="s">
        <v>17</v>
      </c>
      <c r="E1276" s="63" t="s">
        <v>1442</v>
      </c>
      <c r="F1276" s="63" t="s">
        <v>632</v>
      </c>
      <c r="G1276" s="50" t="s">
        <v>4728</v>
      </c>
      <c r="H1276" s="57">
        <v>37000</v>
      </c>
      <c r="I1276" s="227">
        <v>-18500</v>
      </c>
      <c r="J1276" s="57">
        <f>SUM(H1276:I1276)</f>
        <v>18500</v>
      </c>
      <c r="K1276" s="50">
        <v>1</v>
      </c>
      <c r="L1276" s="57">
        <f>SUM(J1276*K1276)</f>
        <v>18500</v>
      </c>
      <c r="M1276" s="228">
        <f>ROUNDDOWN(L1276*1.1,0)</f>
        <v>20350</v>
      </c>
      <c r="N1276" s="18" t="s">
        <v>34</v>
      </c>
      <c r="O1276" s="50"/>
    </row>
    <row r="1277" spans="1:16" ht="21.75" customHeight="1" x14ac:dyDescent="0.4">
      <c r="A1277" s="62">
        <v>45788</v>
      </c>
      <c r="B1277" s="32" t="s">
        <v>4127</v>
      </c>
      <c r="C1277" s="32" t="s">
        <v>2557</v>
      </c>
      <c r="D1277" s="18" t="s">
        <v>2457</v>
      </c>
      <c r="E1277" s="63" t="s">
        <v>1615</v>
      </c>
      <c r="F1277" s="63"/>
      <c r="G1277" s="50" t="s">
        <v>4713</v>
      </c>
      <c r="H1277" s="57">
        <v>15000</v>
      </c>
      <c r="I1277" s="227"/>
      <c r="J1277" s="57">
        <f t="shared" si="186"/>
        <v>15000</v>
      </c>
      <c r="K1277" s="50">
        <v>1</v>
      </c>
      <c r="L1277" s="57">
        <f t="shared" si="187"/>
        <v>15000</v>
      </c>
      <c r="M1277" s="228">
        <f t="shared" si="188"/>
        <v>16500</v>
      </c>
      <c r="N1277" s="18" t="s">
        <v>25</v>
      </c>
      <c r="O1277" s="50"/>
    </row>
    <row r="1278" spans="1:16" ht="21.75" customHeight="1" x14ac:dyDescent="0.4">
      <c r="A1278" s="62">
        <v>45789</v>
      </c>
      <c r="B1278" s="32" t="s">
        <v>4690</v>
      </c>
      <c r="C1278" s="32" t="s">
        <v>2557</v>
      </c>
      <c r="D1278" s="18" t="s">
        <v>2457</v>
      </c>
      <c r="E1278" s="63" t="s">
        <v>1615</v>
      </c>
      <c r="F1278" s="63"/>
      <c r="G1278" s="50" t="s">
        <v>4713</v>
      </c>
      <c r="H1278" s="57">
        <v>15000</v>
      </c>
      <c r="I1278" s="227"/>
      <c r="J1278" s="57">
        <f t="shared" si="186"/>
        <v>15000</v>
      </c>
      <c r="K1278" s="50">
        <v>1</v>
      </c>
      <c r="L1278" s="57">
        <f t="shared" si="187"/>
        <v>15000</v>
      </c>
      <c r="M1278" s="228">
        <f t="shared" si="188"/>
        <v>16500</v>
      </c>
      <c r="N1278" s="18" t="s">
        <v>20</v>
      </c>
      <c r="O1278" s="50"/>
    </row>
    <row r="1279" spans="1:16" ht="21.75" customHeight="1" x14ac:dyDescent="0.4">
      <c r="A1279" s="62">
        <v>45791</v>
      </c>
      <c r="B1279" s="32" t="s">
        <v>4503</v>
      </c>
      <c r="C1279" s="32" t="s">
        <v>4292</v>
      </c>
      <c r="D1279" s="18" t="s">
        <v>17</v>
      </c>
      <c r="E1279" s="63" t="s">
        <v>426</v>
      </c>
      <c r="F1279" s="63" t="s">
        <v>994</v>
      </c>
      <c r="G1279" s="50" t="s">
        <v>3844</v>
      </c>
      <c r="H1279" s="57">
        <v>1800</v>
      </c>
      <c r="I1279" s="227">
        <v>-720</v>
      </c>
      <c r="J1279" s="57">
        <f t="shared" si="186"/>
        <v>1080</v>
      </c>
      <c r="K1279" s="50">
        <v>1</v>
      </c>
      <c r="L1279" s="57">
        <f t="shared" si="187"/>
        <v>1080</v>
      </c>
      <c r="M1279" s="228">
        <f t="shared" si="188"/>
        <v>1188</v>
      </c>
      <c r="N1279" s="18" t="s">
        <v>25</v>
      </c>
      <c r="O1279" s="50"/>
    </row>
    <row r="1280" spans="1:16" ht="21.75" customHeight="1" x14ac:dyDescent="0.4">
      <c r="A1280" s="62">
        <v>45791</v>
      </c>
      <c r="B1280" s="32" t="s">
        <v>4503</v>
      </c>
      <c r="C1280" s="32" t="s">
        <v>4292</v>
      </c>
      <c r="D1280" s="18" t="s">
        <v>17</v>
      </c>
      <c r="E1280" s="63" t="s">
        <v>292</v>
      </c>
      <c r="F1280" s="63" t="s">
        <v>3642</v>
      </c>
      <c r="G1280" s="50" t="s">
        <v>3652</v>
      </c>
      <c r="H1280" s="57">
        <v>6300</v>
      </c>
      <c r="I1280" s="227">
        <v>-1575</v>
      </c>
      <c r="J1280" s="57">
        <f t="shared" si="186"/>
        <v>4725</v>
      </c>
      <c r="K1280" s="50">
        <v>1</v>
      </c>
      <c r="L1280" s="57">
        <f t="shared" si="187"/>
        <v>4725</v>
      </c>
      <c r="M1280" s="228">
        <f t="shared" si="188"/>
        <v>5197</v>
      </c>
      <c r="N1280" s="18" t="s">
        <v>25</v>
      </c>
      <c r="O1280" s="50"/>
    </row>
    <row r="1281" spans="1:16" ht="21.75" customHeight="1" x14ac:dyDescent="0.4">
      <c r="A1281" s="62">
        <v>45792</v>
      </c>
      <c r="B1281" s="32" t="s">
        <v>179</v>
      </c>
      <c r="C1281" s="32" t="s">
        <v>2557</v>
      </c>
      <c r="D1281" s="18" t="s">
        <v>17</v>
      </c>
      <c r="E1281" s="63" t="s">
        <v>332</v>
      </c>
      <c r="F1281" s="63" t="s">
        <v>3555</v>
      </c>
      <c r="G1281" s="50" t="s">
        <v>4354</v>
      </c>
      <c r="H1281" s="57">
        <v>1700</v>
      </c>
      <c r="I1281" s="227">
        <v>-170</v>
      </c>
      <c r="J1281" s="57">
        <f t="shared" si="186"/>
        <v>1530</v>
      </c>
      <c r="K1281" s="50">
        <v>1</v>
      </c>
      <c r="L1281" s="57">
        <f t="shared" si="187"/>
        <v>1530</v>
      </c>
      <c r="M1281" s="228">
        <f t="shared" si="188"/>
        <v>1683</v>
      </c>
      <c r="N1281" s="18" t="s">
        <v>20</v>
      </c>
      <c r="O1281" s="50"/>
    </row>
    <row r="1282" spans="1:16" ht="21.75" customHeight="1" x14ac:dyDescent="0.4">
      <c r="A1282" s="62">
        <v>45792</v>
      </c>
      <c r="B1282" s="32" t="s">
        <v>4709</v>
      </c>
      <c r="C1282" s="32" t="s">
        <v>2557</v>
      </c>
      <c r="D1282" s="18" t="s">
        <v>22</v>
      </c>
      <c r="E1282" s="63" t="s">
        <v>2484</v>
      </c>
      <c r="F1282" s="63"/>
      <c r="G1282" s="50" t="s">
        <v>461</v>
      </c>
      <c r="H1282" s="57">
        <v>5000</v>
      </c>
      <c r="I1282" s="227"/>
      <c r="J1282" s="57">
        <f t="shared" si="186"/>
        <v>5000</v>
      </c>
      <c r="K1282" s="50">
        <v>1</v>
      </c>
      <c r="L1282" s="57">
        <f t="shared" si="187"/>
        <v>5000</v>
      </c>
      <c r="M1282" s="228">
        <f t="shared" si="188"/>
        <v>5500</v>
      </c>
      <c r="N1282" s="18" t="s">
        <v>20</v>
      </c>
      <c r="O1282" s="50"/>
    </row>
    <row r="1283" spans="1:16" ht="21.75" customHeight="1" x14ac:dyDescent="0.4">
      <c r="A1283" s="62">
        <v>45792</v>
      </c>
      <c r="B1283" s="32" t="s">
        <v>4709</v>
      </c>
      <c r="C1283" s="32" t="s">
        <v>2557</v>
      </c>
      <c r="D1283" s="18" t="s">
        <v>17</v>
      </c>
      <c r="E1283" s="63" t="s">
        <v>426</v>
      </c>
      <c r="F1283" s="63" t="s">
        <v>994</v>
      </c>
      <c r="G1283" s="50" t="s">
        <v>3592</v>
      </c>
      <c r="H1283" s="57">
        <v>1800</v>
      </c>
      <c r="I1283" s="227">
        <v>-180</v>
      </c>
      <c r="J1283" s="57">
        <f t="shared" si="186"/>
        <v>1620</v>
      </c>
      <c r="K1283" s="50">
        <v>1</v>
      </c>
      <c r="L1283" s="57">
        <f t="shared" si="187"/>
        <v>1620</v>
      </c>
      <c r="M1283" s="228">
        <f t="shared" si="188"/>
        <v>1782</v>
      </c>
      <c r="N1283" s="18" t="s">
        <v>20</v>
      </c>
      <c r="O1283" s="50"/>
    </row>
    <row r="1284" spans="1:16" ht="21.75" customHeight="1" x14ac:dyDescent="0.4">
      <c r="A1284" s="62">
        <v>45793</v>
      </c>
      <c r="B1284" s="32" t="s">
        <v>4729</v>
      </c>
      <c r="C1284" s="32" t="s">
        <v>405</v>
      </c>
      <c r="D1284" s="18" t="s">
        <v>22</v>
      </c>
      <c r="E1284" s="63" t="s">
        <v>1496</v>
      </c>
      <c r="F1284" s="63"/>
      <c r="G1284" s="50" t="s">
        <v>2422</v>
      </c>
      <c r="H1284" s="57">
        <v>2000</v>
      </c>
      <c r="I1284" s="227"/>
      <c r="J1284" s="57">
        <f t="shared" si="186"/>
        <v>2000</v>
      </c>
      <c r="K1284" s="50">
        <v>1</v>
      </c>
      <c r="L1284" s="57">
        <f t="shared" si="187"/>
        <v>2000</v>
      </c>
      <c r="M1284" s="228">
        <f t="shared" si="188"/>
        <v>2200</v>
      </c>
      <c r="N1284" s="18" t="s">
        <v>25</v>
      </c>
      <c r="O1284" s="50"/>
    </row>
    <row r="1285" spans="1:16" ht="21.75" customHeight="1" x14ac:dyDescent="0.4">
      <c r="A1285" s="62">
        <v>45793</v>
      </c>
      <c r="B1285" s="32" t="s">
        <v>4730</v>
      </c>
      <c r="C1285" s="18" t="s">
        <v>405</v>
      </c>
      <c r="D1285" s="18" t="s">
        <v>22</v>
      </c>
      <c r="E1285" s="57" t="s">
        <v>23</v>
      </c>
      <c r="F1285" s="76"/>
      <c r="G1285" s="57" t="s">
        <v>264</v>
      </c>
      <c r="H1285" s="57">
        <v>15000</v>
      </c>
      <c r="I1285" s="227">
        <v>-5000</v>
      </c>
      <c r="J1285" s="57">
        <f t="shared" si="186"/>
        <v>10000</v>
      </c>
      <c r="K1285" s="50">
        <v>1</v>
      </c>
      <c r="L1285" s="57">
        <f t="shared" si="187"/>
        <v>10000</v>
      </c>
      <c r="M1285" s="228">
        <f t="shared" si="188"/>
        <v>11000</v>
      </c>
      <c r="N1285" s="18" t="s">
        <v>25</v>
      </c>
      <c r="O1285" s="50" t="s">
        <v>863</v>
      </c>
    </row>
    <row r="1286" spans="1:16" ht="21.75" customHeight="1" x14ac:dyDescent="0.4">
      <c r="A1286" s="62">
        <v>45793</v>
      </c>
      <c r="B1286" s="32" t="s">
        <v>4731</v>
      </c>
      <c r="C1286" s="18" t="s">
        <v>405</v>
      </c>
      <c r="D1286" s="18" t="s">
        <v>22</v>
      </c>
      <c r="E1286" s="57" t="s">
        <v>23</v>
      </c>
      <c r="F1286" s="76"/>
      <c r="G1286" s="57" t="s">
        <v>264</v>
      </c>
      <c r="H1286" s="57">
        <v>15000</v>
      </c>
      <c r="I1286" s="227">
        <v>-5000</v>
      </c>
      <c r="J1286" s="57">
        <f t="shared" si="186"/>
        <v>10000</v>
      </c>
      <c r="K1286" s="50">
        <v>1</v>
      </c>
      <c r="L1286" s="57">
        <f t="shared" si="187"/>
        <v>10000</v>
      </c>
      <c r="M1286" s="228">
        <f t="shared" si="188"/>
        <v>11000</v>
      </c>
      <c r="N1286" s="18" t="s">
        <v>20</v>
      </c>
      <c r="O1286" s="50" t="s">
        <v>863</v>
      </c>
    </row>
    <row r="1287" spans="1:16" ht="21.75" customHeight="1" x14ac:dyDescent="0.4">
      <c r="A1287" s="62">
        <v>45793</v>
      </c>
      <c r="B1287" s="32" t="s">
        <v>4731</v>
      </c>
      <c r="C1287" s="18" t="s">
        <v>405</v>
      </c>
      <c r="D1287" s="18" t="s">
        <v>17</v>
      </c>
      <c r="E1287" s="63" t="s">
        <v>328</v>
      </c>
      <c r="F1287" s="63" t="s">
        <v>3960</v>
      </c>
      <c r="G1287" s="50" t="s">
        <v>4732</v>
      </c>
      <c r="H1287" s="57">
        <v>40000</v>
      </c>
      <c r="I1287" s="227">
        <v>-8000</v>
      </c>
      <c r="J1287" s="57">
        <f t="shared" si="186"/>
        <v>32000</v>
      </c>
      <c r="K1287" s="50">
        <v>1</v>
      </c>
      <c r="L1287" s="57">
        <f t="shared" si="187"/>
        <v>32000</v>
      </c>
      <c r="M1287" s="228">
        <f t="shared" si="188"/>
        <v>35200</v>
      </c>
      <c r="N1287" s="18" t="s">
        <v>34</v>
      </c>
      <c r="O1287" s="50"/>
      <c r="P1287" s="52" t="s">
        <v>1557</v>
      </c>
    </row>
    <row r="1288" spans="1:16" ht="21.75" customHeight="1" x14ac:dyDescent="0.4">
      <c r="A1288" s="62">
        <v>45793</v>
      </c>
      <c r="B1288" s="32" t="s">
        <v>4731</v>
      </c>
      <c r="C1288" s="18" t="s">
        <v>405</v>
      </c>
      <c r="D1288" s="18" t="s">
        <v>17</v>
      </c>
      <c r="E1288" s="63" t="s">
        <v>330</v>
      </c>
      <c r="F1288" s="63" t="s">
        <v>790</v>
      </c>
      <c r="G1288" s="50" t="s">
        <v>3819</v>
      </c>
      <c r="H1288" s="57">
        <v>5000</v>
      </c>
      <c r="I1288" s="227"/>
      <c r="J1288" s="57">
        <f t="shared" si="186"/>
        <v>5000</v>
      </c>
      <c r="K1288" s="50">
        <v>1</v>
      </c>
      <c r="L1288" s="57">
        <f t="shared" si="187"/>
        <v>5000</v>
      </c>
      <c r="M1288" s="228">
        <f t="shared" si="188"/>
        <v>5500</v>
      </c>
      <c r="N1288" s="18" t="s">
        <v>34</v>
      </c>
      <c r="O1288" s="50"/>
      <c r="P1288" s="52" t="s">
        <v>1557</v>
      </c>
    </row>
    <row r="1289" spans="1:16" ht="21.75" customHeight="1" x14ac:dyDescent="0.4">
      <c r="A1289" s="62">
        <v>45793</v>
      </c>
      <c r="B1289" s="32" t="s">
        <v>4731</v>
      </c>
      <c r="C1289" s="18" t="s">
        <v>405</v>
      </c>
      <c r="D1289" s="18" t="s">
        <v>17</v>
      </c>
      <c r="E1289" s="63" t="s">
        <v>332</v>
      </c>
      <c r="F1289" s="63" t="s">
        <v>3553</v>
      </c>
      <c r="G1289" s="50" t="s">
        <v>4723</v>
      </c>
      <c r="H1289" s="57">
        <v>1600</v>
      </c>
      <c r="I1289" s="227"/>
      <c r="J1289" s="57">
        <f t="shared" si="186"/>
        <v>1600</v>
      </c>
      <c r="K1289" s="50">
        <v>1</v>
      </c>
      <c r="L1289" s="57">
        <f t="shared" si="187"/>
        <v>1600</v>
      </c>
      <c r="M1289" s="228">
        <f t="shared" si="188"/>
        <v>1760</v>
      </c>
      <c r="N1289" s="18" t="s">
        <v>34</v>
      </c>
      <c r="O1289" s="50"/>
      <c r="P1289" s="52" t="s">
        <v>1557</v>
      </c>
    </row>
    <row r="1290" spans="1:16" ht="21.75" customHeight="1" x14ac:dyDescent="0.4">
      <c r="A1290" s="62">
        <v>45793</v>
      </c>
      <c r="B1290" s="32" t="s">
        <v>2950</v>
      </c>
      <c r="C1290" s="32" t="s">
        <v>2557</v>
      </c>
      <c r="D1290" s="18" t="s">
        <v>17</v>
      </c>
      <c r="E1290" s="63" t="s">
        <v>426</v>
      </c>
      <c r="F1290" s="63" t="s">
        <v>994</v>
      </c>
      <c r="G1290" s="50" t="s">
        <v>3798</v>
      </c>
      <c r="H1290" s="57">
        <v>1800</v>
      </c>
      <c r="I1290" s="227">
        <v>-180</v>
      </c>
      <c r="J1290" s="57">
        <f t="shared" si="186"/>
        <v>1620</v>
      </c>
      <c r="K1290" s="50">
        <v>1</v>
      </c>
      <c r="L1290" s="57">
        <f t="shared" si="187"/>
        <v>1620</v>
      </c>
      <c r="M1290" s="228">
        <f t="shared" si="188"/>
        <v>1782</v>
      </c>
      <c r="N1290" s="18" t="s">
        <v>25</v>
      </c>
      <c r="O1290" s="50"/>
    </row>
    <row r="1291" spans="1:16" ht="21.75" customHeight="1" x14ac:dyDescent="0.4">
      <c r="A1291" s="62">
        <v>45793</v>
      </c>
      <c r="B1291" s="32" t="s">
        <v>343</v>
      </c>
      <c r="C1291" s="32" t="s">
        <v>2557</v>
      </c>
      <c r="D1291" s="18" t="s">
        <v>27</v>
      </c>
      <c r="E1291" s="63" t="s">
        <v>28</v>
      </c>
      <c r="F1291" s="63"/>
      <c r="G1291" s="50" t="s">
        <v>3663</v>
      </c>
      <c r="H1291" s="57">
        <v>17500</v>
      </c>
      <c r="I1291" s="227"/>
      <c r="J1291" s="57">
        <f t="shared" si="186"/>
        <v>17500</v>
      </c>
      <c r="K1291" s="50">
        <v>1</v>
      </c>
      <c r="L1291" s="57">
        <f t="shared" si="187"/>
        <v>17500</v>
      </c>
      <c r="M1291" s="228">
        <f t="shared" si="188"/>
        <v>19250</v>
      </c>
      <c r="N1291" s="18" t="s">
        <v>20</v>
      </c>
      <c r="O1291" s="50" t="s">
        <v>592</v>
      </c>
    </row>
    <row r="1292" spans="1:16" ht="21.75" customHeight="1" x14ac:dyDescent="0.4">
      <c r="A1292" s="62">
        <v>45794</v>
      </c>
      <c r="B1292" s="32" t="s">
        <v>678</v>
      </c>
      <c r="C1292" s="32" t="s">
        <v>2557</v>
      </c>
      <c r="D1292" s="18" t="s">
        <v>17</v>
      </c>
      <c r="E1292" s="63" t="s">
        <v>332</v>
      </c>
      <c r="F1292" s="63" t="s">
        <v>3550</v>
      </c>
      <c r="G1292" s="50" t="s">
        <v>3577</v>
      </c>
      <c r="H1292" s="57">
        <v>1800</v>
      </c>
      <c r="I1292" s="227">
        <v>-180</v>
      </c>
      <c r="J1292" s="57">
        <f t="shared" si="186"/>
        <v>1620</v>
      </c>
      <c r="K1292" s="50">
        <v>1</v>
      </c>
      <c r="L1292" s="57">
        <f t="shared" si="187"/>
        <v>1620</v>
      </c>
      <c r="M1292" s="228">
        <f t="shared" si="188"/>
        <v>1782</v>
      </c>
      <c r="N1292" s="18" t="s">
        <v>20</v>
      </c>
      <c r="O1292" s="50"/>
    </row>
    <row r="1293" spans="1:16" ht="21.75" customHeight="1" x14ac:dyDescent="0.4">
      <c r="A1293" s="62">
        <v>45794</v>
      </c>
      <c r="B1293" s="32" t="s">
        <v>3411</v>
      </c>
      <c r="C1293" s="32" t="s">
        <v>2557</v>
      </c>
      <c r="D1293" s="18" t="s">
        <v>22</v>
      </c>
      <c r="E1293" s="63" t="s">
        <v>1496</v>
      </c>
      <c r="F1293" s="63"/>
      <c r="G1293" s="50" t="s">
        <v>687</v>
      </c>
      <c r="H1293" s="57">
        <v>4500</v>
      </c>
      <c r="I1293" s="227"/>
      <c r="J1293" s="57">
        <f t="shared" si="186"/>
        <v>4500</v>
      </c>
      <c r="K1293" s="50">
        <v>1</v>
      </c>
      <c r="L1293" s="57">
        <f t="shared" si="187"/>
        <v>4500</v>
      </c>
      <c r="M1293" s="228">
        <f t="shared" si="188"/>
        <v>4950</v>
      </c>
      <c r="N1293" s="18" t="s">
        <v>25</v>
      </c>
      <c r="O1293" s="50"/>
    </row>
    <row r="1294" spans="1:16" ht="21.75" customHeight="1" x14ac:dyDescent="0.4">
      <c r="A1294" s="62">
        <v>45794</v>
      </c>
      <c r="B1294" s="32" t="s">
        <v>3411</v>
      </c>
      <c r="C1294" s="32" t="s">
        <v>2557</v>
      </c>
      <c r="D1294" s="18" t="s">
        <v>17</v>
      </c>
      <c r="E1294" s="63" t="s">
        <v>426</v>
      </c>
      <c r="F1294" s="63" t="s">
        <v>994</v>
      </c>
      <c r="G1294" s="50" t="s">
        <v>4733</v>
      </c>
      <c r="H1294" s="57">
        <v>1800</v>
      </c>
      <c r="I1294" s="227">
        <v>-180</v>
      </c>
      <c r="J1294" s="57">
        <f t="shared" si="186"/>
        <v>1620</v>
      </c>
      <c r="K1294" s="50">
        <v>1</v>
      </c>
      <c r="L1294" s="57">
        <f t="shared" si="187"/>
        <v>1620</v>
      </c>
      <c r="M1294" s="228">
        <f t="shared" si="188"/>
        <v>1782</v>
      </c>
      <c r="N1294" s="18" t="s">
        <v>25</v>
      </c>
      <c r="O1294" s="50"/>
    </row>
    <row r="1295" spans="1:16" ht="21.75" customHeight="1" x14ac:dyDescent="0.4">
      <c r="A1295" s="62">
        <v>45794</v>
      </c>
      <c r="B1295" s="32" t="s">
        <v>4734</v>
      </c>
      <c r="C1295" s="32" t="s">
        <v>2557</v>
      </c>
      <c r="D1295" s="18" t="s">
        <v>27</v>
      </c>
      <c r="E1295" s="63" t="s">
        <v>28</v>
      </c>
      <c r="F1295" s="63"/>
      <c r="G1295" s="50" t="s">
        <v>3663</v>
      </c>
      <c r="H1295" s="57">
        <v>17500</v>
      </c>
      <c r="I1295" s="227"/>
      <c r="J1295" s="57">
        <f t="shared" si="186"/>
        <v>17500</v>
      </c>
      <c r="K1295" s="50">
        <v>1</v>
      </c>
      <c r="L1295" s="57">
        <f t="shared" si="187"/>
        <v>17500</v>
      </c>
      <c r="M1295" s="228">
        <f t="shared" si="188"/>
        <v>19250</v>
      </c>
      <c r="N1295" s="18" t="s">
        <v>25</v>
      </c>
      <c r="O1295" s="50"/>
    </row>
    <row r="1296" spans="1:16" ht="21.75" customHeight="1" x14ac:dyDescent="0.4">
      <c r="A1296" s="62">
        <v>45794</v>
      </c>
      <c r="B1296" s="32" t="s">
        <v>4632</v>
      </c>
      <c r="C1296" s="32" t="s">
        <v>2557</v>
      </c>
      <c r="D1296" s="18" t="s">
        <v>17</v>
      </c>
      <c r="E1296" s="63" t="s">
        <v>332</v>
      </c>
      <c r="F1296" s="63" t="s">
        <v>3555</v>
      </c>
      <c r="G1296" s="50" t="s">
        <v>3463</v>
      </c>
      <c r="H1296" s="57">
        <v>1700</v>
      </c>
      <c r="I1296" s="227">
        <v>-170</v>
      </c>
      <c r="J1296" s="57">
        <f t="shared" si="186"/>
        <v>1530</v>
      </c>
      <c r="K1296" s="50">
        <v>1</v>
      </c>
      <c r="L1296" s="57">
        <f t="shared" si="187"/>
        <v>1530</v>
      </c>
      <c r="M1296" s="228">
        <f t="shared" si="188"/>
        <v>1683</v>
      </c>
      <c r="N1296" s="18" t="s">
        <v>25</v>
      </c>
      <c r="O1296" s="50" t="s">
        <v>4735</v>
      </c>
    </row>
    <row r="1297" spans="1:27" ht="21.75" customHeight="1" x14ac:dyDescent="0.4">
      <c r="A1297" s="62">
        <v>45795</v>
      </c>
      <c r="B1297" s="32" t="s">
        <v>4739</v>
      </c>
      <c r="C1297" s="32" t="s">
        <v>2557</v>
      </c>
      <c r="D1297" s="18" t="s">
        <v>17</v>
      </c>
      <c r="E1297" s="63" t="s">
        <v>332</v>
      </c>
      <c r="F1297" s="63" t="s">
        <v>3555</v>
      </c>
      <c r="G1297" s="50" t="s">
        <v>4557</v>
      </c>
      <c r="H1297" s="57">
        <v>1300</v>
      </c>
      <c r="I1297" s="227">
        <v>-130</v>
      </c>
      <c r="J1297" s="57">
        <f t="shared" si="186"/>
        <v>1170</v>
      </c>
      <c r="K1297" s="50">
        <v>1</v>
      </c>
      <c r="L1297" s="57">
        <f t="shared" si="187"/>
        <v>1170</v>
      </c>
      <c r="M1297" s="228">
        <f t="shared" si="188"/>
        <v>1287</v>
      </c>
      <c r="N1297" s="18" t="s">
        <v>25</v>
      </c>
      <c r="O1297" s="50"/>
    </row>
    <row r="1298" spans="1:27" ht="21.75" customHeight="1" x14ac:dyDescent="0.4">
      <c r="A1298" s="62">
        <v>45795</v>
      </c>
      <c r="B1298" s="32" t="s">
        <v>4563</v>
      </c>
      <c r="C1298" s="32" t="s">
        <v>2557</v>
      </c>
      <c r="D1298" s="18" t="s">
        <v>27</v>
      </c>
      <c r="E1298" s="63" t="s">
        <v>28</v>
      </c>
      <c r="F1298" s="63"/>
      <c r="G1298" s="50" t="s">
        <v>4641</v>
      </c>
      <c r="H1298" s="57">
        <v>2000</v>
      </c>
      <c r="I1298" s="227"/>
      <c r="J1298" s="57">
        <f t="shared" si="186"/>
        <v>2000</v>
      </c>
      <c r="K1298" s="50">
        <v>3</v>
      </c>
      <c r="L1298" s="57">
        <f t="shared" si="187"/>
        <v>6000</v>
      </c>
      <c r="M1298" s="228">
        <f t="shared" si="188"/>
        <v>6600</v>
      </c>
      <c r="N1298" s="18" t="s">
        <v>20</v>
      </c>
      <c r="O1298" s="50"/>
    </row>
    <row r="1299" spans="1:27" ht="21.75" customHeight="1" x14ac:dyDescent="0.4">
      <c r="A1299" s="62">
        <v>45795</v>
      </c>
      <c r="B1299" s="32" t="s">
        <v>4738</v>
      </c>
      <c r="C1299" s="32" t="s">
        <v>4292</v>
      </c>
      <c r="D1299" s="18" t="s">
        <v>17</v>
      </c>
      <c r="E1299" s="63" t="s">
        <v>2239</v>
      </c>
      <c r="F1299" s="63" t="s">
        <v>4737</v>
      </c>
      <c r="G1299" s="50" t="s">
        <v>4736</v>
      </c>
      <c r="H1299" s="57">
        <v>56250</v>
      </c>
      <c r="I1299" s="227"/>
      <c r="J1299" s="57">
        <f t="shared" si="186"/>
        <v>56250</v>
      </c>
      <c r="K1299" s="50">
        <v>1</v>
      </c>
      <c r="L1299" s="57">
        <f t="shared" si="187"/>
        <v>56250</v>
      </c>
      <c r="M1299" s="228">
        <f t="shared" si="188"/>
        <v>61875</v>
      </c>
      <c r="N1299" s="18" t="s">
        <v>34</v>
      </c>
      <c r="O1299" s="50"/>
    </row>
    <row r="1300" spans="1:27" ht="21.75" customHeight="1" x14ac:dyDescent="0.4">
      <c r="A1300" s="62">
        <v>45796</v>
      </c>
      <c r="B1300" s="32" t="s">
        <v>139</v>
      </c>
      <c r="C1300" s="32" t="s">
        <v>2557</v>
      </c>
      <c r="D1300" s="18" t="s">
        <v>17</v>
      </c>
      <c r="E1300" s="63" t="s">
        <v>845</v>
      </c>
      <c r="F1300" s="63"/>
      <c r="G1300" s="50" t="s">
        <v>2601</v>
      </c>
      <c r="H1300" s="57">
        <v>1000</v>
      </c>
      <c r="I1300" s="227"/>
      <c r="J1300" s="57">
        <f t="shared" si="186"/>
        <v>1000</v>
      </c>
      <c r="K1300" s="50">
        <v>1</v>
      </c>
      <c r="L1300" s="57">
        <f t="shared" si="187"/>
        <v>1000</v>
      </c>
      <c r="M1300" s="228">
        <f t="shared" si="188"/>
        <v>1100</v>
      </c>
      <c r="N1300" s="18" t="s">
        <v>25</v>
      </c>
      <c r="O1300" s="50"/>
    </row>
    <row r="1301" spans="1:27" ht="21.75" customHeight="1" x14ac:dyDescent="0.4">
      <c r="A1301" s="62">
        <v>45798</v>
      </c>
      <c r="B1301" s="32" t="s">
        <v>1541</v>
      </c>
      <c r="C1301" s="32" t="s">
        <v>2557</v>
      </c>
      <c r="D1301" s="18" t="s">
        <v>27</v>
      </c>
      <c r="E1301" s="63" t="s">
        <v>28</v>
      </c>
      <c r="F1301" s="63"/>
      <c r="G1301" s="50" t="s">
        <v>3663</v>
      </c>
      <c r="H1301" s="57">
        <v>17500</v>
      </c>
      <c r="I1301" s="227"/>
      <c r="J1301" s="57">
        <f t="shared" si="186"/>
        <v>17500</v>
      </c>
      <c r="K1301" s="50">
        <v>1</v>
      </c>
      <c r="L1301" s="57">
        <f t="shared" si="187"/>
        <v>17500</v>
      </c>
      <c r="M1301" s="228">
        <f t="shared" si="188"/>
        <v>19250</v>
      </c>
      <c r="N1301" s="18" t="s">
        <v>25</v>
      </c>
      <c r="O1301" s="50"/>
    </row>
    <row r="1302" spans="1:27" ht="21.75" customHeight="1" x14ac:dyDescent="0.4">
      <c r="A1302" s="62">
        <v>45799</v>
      </c>
      <c r="B1302" s="32" t="s">
        <v>4740</v>
      </c>
      <c r="C1302" s="32" t="s">
        <v>405</v>
      </c>
      <c r="D1302" s="18" t="s">
        <v>22</v>
      </c>
      <c r="E1302" s="57" t="s">
        <v>23</v>
      </c>
      <c r="F1302" s="76"/>
      <c r="G1302" s="57" t="s">
        <v>264</v>
      </c>
      <c r="H1302" s="57">
        <v>15000</v>
      </c>
      <c r="I1302" s="227">
        <v>-7500</v>
      </c>
      <c r="J1302" s="57">
        <f t="shared" si="186"/>
        <v>7500</v>
      </c>
      <c r="K1302" s="50">
        <v>1</v>
      </c>
      <c r="L1302" s="57">
        <f t="shared" si="187"/>
        <v>7500</v>
      </c>
      <c r="M1302" s="228">
        <f t="shared" si="188"/>
        <v>8250</v>
      </c>
      <c r="N1302" s="18" t="s">
        <v>25</v>
      </c>
      <c r="O1302" s="50" t="s">
        <v>4741</v>
      </c>
    </row>
    <row r="1303" spans="1:27" ht="21.75" customHeight="1" x14ac:dyDescent="0.4">
      <c r="A1303" s="62">
        <v>45799</v>
      </c>
      <c r="B1303" s="32" t="s">
        <v>4742</v>
      </c>
      <c r="C1303" s="32" t="s">
        <v>405</v>
      </c>
      <c r="D1303" s="18" t="s">
        <v>17</v>
      </c>
      <c r="E1303" s="63" t="s">
        <v>328</v>
      </c>
      <c r="F1303" s="63" t="s">
        <v>788</v>
      </c>
      <c r="G1303" s="50" t="s">
        <v>4296</v>
      </c>
      <c r="H1303" s="57">
        <v>60000</v>
      </c>
      <c r="I1303" s="227">
        <v>-12000</v>
      </c>
      <c r="J1303" s="57">
        <f t="shared" si="186"/>
        <v>48000</v>
      </c>
      <c r="K1303" s="50">
        <v>1</v>
      </c>
      <c r="L1303" s="57">
        <f t="shared" si="187"/>
        <v>48000</v>
      </c>
      <c r="M1303" s="228">
        <f t="shared" si="188"/>
        <v>52800</v>
      </c>
      <c r="N1303" s="18" t="s">
        <v>34</v>
      </c>
      <c r="O1303" s="50"/>
      <c r="P1303" s="52" t="s">
        <v>1557</v>
      </c>
    </row>
    <row r="1304" spans="1:27" ht="21.75" customHeight="1" x14ac:dyDescent="0.4">
      <c r="A1304" s="62">
        <v>45799</v>
      </c>
      <c r="B1304" s="32" t="s">
        <v>4742</v>
      </c>
      <c r="C1304" s="32" t="s">
        <v>405</v>
      </c>
      <c r="D1304" s="18" t="s">
        <v>17</v>
      </c>
      <c r="E1304" s="63" t="s">
        <v>328</v>
      </c>
      <c r="F1304" s="63" t="s">
        <v>788</v>
      </c>
      <c r="G1304" s="50" t="s">
        <v>4743</v>
      </c>
      <c r="H1304" s="57">
        <v>35000</v>
      </c>
      <c r="I1304" s="227">
        <v>-7000</v>
      </c>
      <c r="J1304" s="57">
        <f t="shared" si="186"/>
        <v>28000</v>
      </c>
      <c r="K1304" s="50">
        <v>1</v>
      </c>
      <c r="L1304" s="57">
        <f t="shared" si="187"/>
        <v>28000</v>
      </c>
      <c r="M1304" s="228">
        <f t="shared" si="188"/>
        <v>30800</v>
      </c>
      <c r="N1304" s="18" t="s">
        <v>34</v>
      </c>
      <c r="O1304" s="50"/>
      <c r="P1304" s="52" t="s">
        <v>1557</v>
      </c>
    </row>
    <row r="1305" spans="1:27" ht="21.75" customHeight="1" x14ac:dyDescent="0.4">
      <c r="A1305" s="62">
        <v>45799</v>
      </c>
      <c r="B1305" s="32" t="s">
        <v>4742</v>
      </c>
      <c r="C1305" s="32" t="s">
        <v>405</v>
      </c>
      <c r="D1305" s="18" t="s">
        <v>17</v>
      </c>
      <c r="E1305" s="63" t="s">
        <v>328</v>
      </c>
      <c r="F1305" s="63" t="s">
        <v>788</v>
      </c>
      <c r="G1305" s="50" t="s">
        <v>4744</v>
      </c>
      <c r="H1305" s="57">
        <v>23000</v>
      </c>
      <c r="I1305" s="227">
        <v>-4600</v>
      </c>
      <c r="J1305" s="57">
        <f t="shared" si="186"/>
        <v>18400</v>
      </c>
      <c r="K1305" s="50">
        <v>3</v>
      </c>
      <c r="L1305" s="57">
        <f t="shared" si="187"/>
        <v>55200</v>
      </c>
      <c r="M1305" s="228">
        <f t="shared" si="188"/>
        <v>60720</v>
      </c>
      <c r="N1305" s="18" t="s">
        <v>34</v>
      </c>
      <c r="O1305" s="50"/>
      <c r="P1305" s="52" t="s">
        <v>1557</v>
      </c>
    </row>
    <row r="1306" spans="1:27" ht="21.75" customHeight="1" x14ac:dyDescent="0.4">
      <c r="A1306" s="62">
        <v>45799</v>
      </c>
      <c r="B1306" s="32" t="s">
        <v>4742</v>
      </c>
      <c r="C1306" s="32" t="s">
        <v>405</v>
      </c>
      <c r="D1306" s="18" t="s">
        <v>17</v>
      </c>
      <c r="E1306" s="63" t="s">
        <v>332</v>
      </c>
      <c r="F1306" s="63" t="s">
        <v>3555</v>
      </c>
      <c r="G1306" s="50" t="s">
        <v>4745</v>
      </c>
      <c r="H1306" s="57">
        <v>1300</v>
      </c>
      <c r="I1306" s="227"/>
      <c r="J1306" s="57">
        <f t="shared" ref="J1306:J1355" si="189">SUM(H1306:I1306)</f>
        <v>1300</v>
      </c>
      <c r="K1306" s="50">
        <v>10</v>
      </c>
      <c r="L1306" s="57">
        <f t="shared" ref="L1306:L1355" si="190">SUM(J1306*K1306)</f>
        <v>13000</v>
      </c>
      <c r="M1306" s="228">
        <f t="shared" si="188"/>
        <v>14300</v>
      </c>
      <c r="N1306" s="18" t="s">
        <v>34</v>
      </c>
      <c r="O1306" s="50"/>
      <c r="P1306" s="52" t="s">
        <v>1557</v>
      </c>
    </row>
    <row r="1307" spans="1:27" ht="21.75" customHeight="1" x14ac:dyDescent="0.4">
      <c r="A1307" s="62">
        <v>45799</v>
      </c>
      <c r="B1307" s="32" t="s">
        <v>4742</v>
      </c>
      <c r="C1307" s="32" t="s">
        <v>405</v>
      </c>
      <c r="D1307" s="18" t="s">
        <v>17</v>
      </c>
      <c r="E1307" s="63" t="s">
        <v>332</v>
      </c>
      <c r="F1307" s="63" t="s">
        <v>3555</v>
      </c>
      <c r="G1307" s="50" t="s">
        <v>4746</v>
      </c>
      <c r="H1307" s="57">
        <v>1300</v>
      </c>
      <c r="I1307" s="227"/>
      <c r="J1307" s="57">
        <f t="shared" si="189"/>
        <v>1300</v>
      </c>
      <c r="K1307" s="50">
        <v>3</v>
      </c>
      <c r="L1307" s="57">
        <f t="shared" si="190"/>
        <v>3900</v>
      </c>
      <c r="M1307" s="228">
        <f t="shared" si="188"/>
        <v>4290</v>
      </c>
      <c r="N1307" s="18" t="s">
        <v>34</v>
      </c>
      <c r="O1307" s="50"/>
      <c r="P1307" s="52" t="s">
        <v>1557</v>
      </c>
    </row>
    <row r="1308" spans="1:27" ht="21.75" customHeight="1" x14ac:dyDescent="0.4">
      <c r="A1308" s="62">
        <v>45800</v>
      </c>
      <c r="B1308" s="32" t="s">
        <v>1059</v>
      </c>
      <c r="C1308" s="32" t="s">
        <v>2557</v>
      </c>
      <c r="D1308" s="18" t="s">
        <v>17</v>
      </c>
      <c r="E1308" s="63" t="s">
        <v>330</v>
      </c>
      <c r="F1308" s="63" t="s">
        <v>557</v>
      </c>
      <c r="G1308" s="50" t="s">
        <v>3819</v>
      </c>
      <c r="H1308" s="57">
        <v>5000</v>
      </c>
      <c r="I1308" s="227"/>
      <c r="J1308" s="57">
        <f t="shared" si="189"/>
        <v>5000</v>
      </c>
      <c r="K1308" s="50">
        <v>2</v>
      </c>
      <c r="L1308" s="57">
        <f t="shared" si="190"/>
        <v>10000</v>
      </c>
      <c r="M1308" s="228">
        <f t="shared" si="188"/>
        <v>11000</v>
      </c>
      <c r="N1308" s="18" t="s">
        <v>25</v>
      </c>
      <c r="O1308" s="50"/>
    </row>
    <row r="1309" spans="1:27" ht="21.75" customHeight="1" x14ac:dyDescent="0.4">
      <c r="A1309" s="62">
        <v>45800</v>
      </c>
      <c r="B1309" s="32" t="s">
        <v>4734</v>
      </c>
      <c r="C1309" s="32" t="s">
        <v>2557</v>
      </c>
      <c r="D1309" s="18" t="s">
        <v>27</v>
      </c>
      <c r="E1309" s="63" t="s">
        <v>28</v>
      </c>
      <c r="F1309" s="63"/>
      <c r="G1309" s="50" t="s">
        <v>4760</v>
      </c>
      <c r="H1309" s="57">
        <v>37500</v>
      </c>
      <c r="I1309" s="227"/>
      <c r="J1309" s="57">
        <f t="shared" si="189"/>
        <v>37500</v>
      </c>
      <c r="K1309" s="50">
        <v>1</v>
      </c>
      <c r="L1309" s="57">
        <f t="shared" si="190"/>
        <v>37500</v>
      </c>
      <c r="M1309" s="228">
        <f t="shared" si="188"/>
        <v>41250</v>
      </c>
      <c r="N1309" s="18" t="s">
        <v>25</v>
      </c>
      <c r="O1309" s="50" t="s">
        <v>4747</v>
      </c>
    </row>
    <row r="1310" spans="1:27" s="297" customFormat="1" ht="21.75" customHeight="1" x14ac:dyDescent="0.4">
      <c r="A1310" s="288">
        <v>45800</v>
      </c>
      <c r="B1310" s="289" t="s">
        <v>4648</v>
      </c>
      <c r="C1310" s="289" t="s">
        <v>2557</v>
      </c>
      <c r="D1310" s="290" t="s">
        <v>27</v>
      </c>
      <c r="E1310" s="291" t="s">
        <v>28</v>
      </c>
      <c r="F1310" s="291"/>
      <c r="G1310" s="292" t="s">
        <v>3663</v>
      </c>
      <c r="H1310" s="293">
        <v>17500</v>
      </c>
      <c r="I1310" s="294"/>
      <c r="J1310" s="293">
        <f t="shared" si="189"/>
        <v>17500</v>
      </c>
      <c r="K1310" s="292">
        <v>1</v>
      </c>
      <c r="L1310" s="293">
        <f t="shared" si="190"/>
        <v>17500</v>
      </c>
      <c r="M1310" s="295">
        <f t="shared" si="188"/>
        <v>19250</v>
      </c>
      <c r="N1310" s="290" t="s">
        <v>25</v>
      </c>
      <c r="O1310" s="292" t="s">
        <v>4747</v>
      </c>
      <c r="P1310" s="296"/>
      <c r="Q1310" s="296"/>
      <c r="R1310" s="296"/>
      <c r="S1310" s="296"/>
      <c r="T1310" s="296"/>
      <c r="U1310" s="296"/>
      <c r="W1310" s="298"/>
      <c r="X1310" s="299"/>
      <c r="Y1310" s="299"/>
      <c r="Z1310" s="299"/>
      <c r="AA1310" s="299"/>
    </row>
    <row r="1311" spans="1:27" ht="21.75" customHeight="1" x14ac:dyDescent="0.4">
      <c r="A1311" s="62">
        <v>45801</v>
      </c>
      <c r="B1311" s="32" t="s">
        <v>4748</v>
      </c>
      <c r="C1311" s="32" t="s">
        <v>2557</v>
      </c>
      <c r="D1311" s="18" t="s">
        <v>17</v>
      </c>
      <c r="E1311" s="63" t="s">
        <v>292</v>
      </c>
      <c r="F1311" s="63" t="s">
        <v>1051</v>
      </c>
      <c r="G1311" s="50" t="s">
        <v>3873</v>
      </c>
      <c r="H1311" s="57">
        <v>3200</v>
      </c>
      <c r="I1311" s="227">
        <v>-320</v>
      </c>
      <c r="J1311" s="57">
        <f t="shared" si="189"/>
        <v>2880</v>
      </c>
      <c r="K1311" s="50">
        <v>1</v>
      </c>
      <c r="L1311" s="57">
        <f t="shared" si="190"/>
        <v>2880</v>
      </c>
      <c r="M1311" s="228">
        <f t="shared" si="188"/>
        <v>3168</v>
      </c>
      <c r="N1311" s="18" t="s">
        <v>25</v>
      </c>
      <c r="O1311" s="50"/>
    </row>
    <row r="1312" spans="1:27" ht="21.75" customHeight="1" x14ac:dyDescent="0.4">
      <c r="A1312" s="62">
        <v>45801</v>
      </c>
      <c r="B1312" s="32" t="s">
        <v>3117</v>
      </c>
      <c r="C1312" s="32" t="s">
        <v>2557</v>
      </c>
      <c r="D1312" s="18" t="s">
        <v>17</v>
      </c>
      <c r="E1312" s="63" t="s">
        <v>426</v>
      </c>
      <c r="F1312" s="63" t="s">
        <v>994</v>
      </c>
      <c r="G1312" s="50" t="s">
        <v>4626</v>
      </c>
      <c r="H1312" s="57">
        <v>1800</v>
      </c>
      <c r="I1312" s="227">
        <v>-180</v>
      </c>
      <c r="J1312" s="57">
        <f t="shared" si="189"/>
        <v>1620</v>
      </c>
      <c r="K1312" s="50">
        <v>1</v>
      </c>
      <c r="L1312" s="57">
        <f t="shared" si="190"/>
        <v>1620</v>
      </c>
      <c r="M1312" s="228">
        <f t="shared" si="188"/>
        <v>1782</v>
      </c>
      <c r="N1312" s="18" t="s">
        <v>20</v>
      </c>
      <c r="O1312" s="50"/>
    </row>
    <row r="1313" spans="1:27" ht="21.75" customHeight="1" x14ac:dyDescent="0.4">
      <c r="A1313" s="62">
        <v>45802</v>
      </c>
      <c r="B1313" s="32" t="s">
        <v>4759</v>
      </c>
      <c r="C1313" s="32" t="s">
        <v>2557</v>
      </c>
      <c r="D1313" s="18" t="s">
        <v>27</v>
      </c>
      <c r="E1313" s="63" t="s">
        <v>28</v>
      </c>
      <c r="F1313" s="63"/>
      <c r="G1313" s="50" t="s">
        <v>3663</v>
      </c>
      <c r="H1313" s="57">
        <v>17500</v>
      </c>
      <c r="I1313" s="227"/>
      <c r="J1313" s="57">
        <f t="shared" ref="J1313" si="191">SUM(H1313:I1313)</f>
        <v>17500</v>
      </c>
      <c r="K1313" s="50">
        <v>1</v>
      </c>
      <c r="L1313" s="57">
        <f t="shared" ref="L1313" si="192">SUM(J1313*K1313)</f>
        <v>17500</v>
      </c>
      <c r="M1313" s="232">
        <f t="shared" ref="M1313" si="193">ROUNDDOWN(L1313*1.1,0)</f>
        <v>19250</v>
      </c>
      <c r="N1313" s="18" t="s">
        <v>25</v>
      </c>
      <c r="O1313" s="50"/>
    </row>
    <row r="1314" spans="1:27" ht="21.75" customHeight="1" x14ac:dyDescent="0.4">
      <c r="A1314" s="62">
        <v>45802</v>
      </c>
      <c r="B1314" s="32" t="s">
        <v>4758</v>
      </c>
      <c r="C1314" s="32" t="s">
        <v>2557</v>
      </c>
      <c r="D1314" s="18" t="s">
        <v>27</v>
      </c>
      <c r="E1314" s="63" t="s">
        <v>28</v>
      </c>
      <c r="F1314" s="63"/>
      <c r="G1314" s="50" t="s">
        <v>3663</v>
      </c>
      <c r="H1314" s="57">
        <v>17500</v>
      </c>
      <c r="I1314" s="227"/>
      <c r="J1314" s="57">
        <f t="shared" ref="J1314" si="194">SUM(H1314:I1314)</f>
        <v>17500</v>
      </c>
      <c r="K1314" s="50">
        <v>1</v>
      </c>
      <c r="L1314" s="57">
        <f t="shared" ref="L1314" si="195">SUM(J1314*K1314)</f>
        <v>17500</v>
      </c>
      <c r="M1314" s="228">
        <f t="shared" ref="M1314" si="196">ROUNDDOWN(L1314*1.1,0)</f>
        <v>19250</v>
      </c>
      <c r="N1314" s="18" t="s">
        <v>25</v>
      </c>
      <c r="O1314" s="50"/>
    </row>
    <row r="1315" spans="1:27" ht="21.75" customHeight="1" x14ac:dyDescent="0.4">
      <c r="A1315" s="62">
        <v>45802</v>
      </c>
      <c r="B1315" s="32" t="s">
        <v>4734</v>
      </c>
      <c r="C1315" s="32" t="s">
        <v>2557</v>
      </c>
      <c r="D1315" s="18" t="s">
        <v>17</v>
      </c>
      <c r="E1315" s="63" t="s">
        <v>332</v>
      </c>
      <c r="F1315" s="63" t="s">
        <v>3555</v>
      </c>
      <c r="G1315" s="50" t="s">
        <v>4749</v>
      </c>
      <c r="H1315" s="57">
        <v>1700</v>
      </c>
      <c r="I1315" s="227">
        <v>-170</v>
      </c>
      <c r="J1315" s="57">
        <f t="shared" si="189"/>
        <v>1530</v>
      </c>
      <c r="K1315" s="50">
        <v>11</v>
      </c>
      <c r="L1315" s="57">
        <f t="shared" si="190"/>
        <v>16830</v>
      </c>
      <c r="M1315" s="228">
        <f t="shared" si="188"/>
        <v>18513</v>
      </c>
      <c r="N1315" s="18" t="s">
        <v>25</v>
      </c>
      <c r="O1315" s="50"/>
    </row>
    <row r="1316" spans="1:27" ht="21.75" customHeight="1" x14ac:dyDescent="0.4">
      <c r="A1316" s="62">
        <v>45802</v>
      </c>
      <c r="B1316" s="32" t="s">
        <v>4734</v>
      </c>
      <c r="C1316" s="32" t="s">
        <v>2557</v>
      </c>
      <c r="D1316" s="18" t="s">
        <v>17</v>
      </c>
      <c r="E1316" s="63" t="s">
        <v>332</v>
      </c>
      <c r="F1316" s="63" t="s">
        <v>3555</v>
      </c>
      <c r="G1316" s="50" t="s">
        <v>4750</v>
      </c>
      <c r="H1316" s="57">
        <v>1700</v>
      </c>
      <c r="I1316" s="227">
        <v>-170</v>
      </c>
      <c r="J1316" s="57">
        <f t="shared" ref="J1316" si="197">SUM(H1316:I1316)</f>
        <v>1530</v>
      </c>
      <c r="K1316" s="50">
        <v>2</v>
      </c>
      <c r="L1316" s="57">
        <f t="shared" si="190"/>
        <v>3060</v>
      </c>
      <c r="M1316" s="228">
        <f t="shared" si="188"/>
        <v>3366</v>
      </c>
      <c r="N1316" s="18" t="s">
        <v>25</v>
      </c>
      <c r="O1316" s="50"/>
    </row>
    <row r="1317" spans="1:27" ht="21.75" customHeight="1" x14ac:dyDescent="0.4">
      <c r="A1317" s="62">
        <v>45802</v>
      </c>
      <c r="B1317" s="32" t="s">
        <v>4751</v>
      </c>
      <c r="C1317" s="32" t="s">
        <v>405</v>
      </c>
      <c r="D1317" s="18" t="s">
        <v>17</v>
      </c>
      <c r="E1317" s="63" t="s">
        <v>332</v>
      </c>
      <c r="F1317" s="63" t="s">
        <v>3555</v>
      </c>
      <c r="G1317" s="50" t="s">
        <v>4755</v>
      </c>
      <c r="H1317" s="57">
        <v>1300</v>
      </c>
      <c r="I1317" s="227"/>
      <c r="J1317" s="57">
        <f t="shared" si="189"/>
        <v>1300</v>
      </c>
      <c r="K1317" s="50">
        <v>1</v>
      </c>
      <c r="L1317" s="57">
        <f t="shared" si="190"/>
        <v>1300</v>
      </c>
      <c r="M1317" s="228">
        <f t="shared" si="188"/>
        <v>1430</v>
      </c>
      <c r="N1317" s="18" t="s">
        <v>20</v>
      </c>
      <c r="O1317" s="50"/>
    </row>
    <row r="1318" spans="1:27" ht="21.75" customHeight="1" x14ac:dyDescent="0.4">
      <c r="A1318" s="62">
        <v>45802</v>
      </c>
      <c r="B1318" s="32" t="s">
        <v>4742</v>
      </c>
      <c r="C1318" s="32" t="s">
        <v>405</v>
      </c>
      <c r="D1318" s="18" t="s">
        <v>17</v>
      </c>
      <c r="E1318" s="63" t="s">
        <v>328</v>
      </c>
      <c r="F1318" s="63" t="s">
        <v>788</v>
      </c>
      <c r="G1318" s="50" t="s">
        <v>4754</v>
      </c>
      <c r="H1318" s="57">
        <v>15000</v>
      </c>
      <c r="I1318" s="227">
        <v>-3000</v>
      </c>
      <c r="J1318" s="57">
        <f t="shared" si="189"/>
        <v>12000</v>
      </c>
      <c r="K1318" s="50">
        <v>5</v>
      </c>
      <c r="L1318" s="57">
        <f t="shared" si="190"/>
        <v>60000</v>
      </c>
      <c r="M1318" s="228">
        <f t="shared" si="188"/>
        <v>66000</v>
      </c>
      <c r="N1318" s="18" t="s">
        <v>34</v>
      </c>
      <c r="O1318" s="50"/>
      <c r="P1318" s="52" t="s">
        <v>1557</v>
      </c>
    </row>
    <row r="1319" spans="1:27" ht="21.75" customHeight="1" x14ac:dyDescent="0.4">
      <c r="A1319" s="62">
        <v>45802</v>
      </c>
      <c r="B1319" s="32" t="s">
        <v>179</v>
      </c>
      <c r="C1319" s="32" t="s">
        <v>2557</v>
      </c>
      <c r="D1319" s="18" t="s">
        <v>17</v>
      </c>
      <c r="E1319" s="63" t="s">
        <v>332</v>
      </c>
      <c r="F1319" s="63" t="s">
        <v>3555</v>
      </c>
      <c r="G1319" s="50" t="s">
        <v>4756</v>
      </c>
      <c r="H1319" s="57">
        <v>1700</v>
      </c>
      <c r="I1319" s="227">
        <v>-170</v>
      </c>
      <c r="J1319" s="57">
        <f t="shared" si="189"/>
        <v>1530</v>
      </c>
      <c r="K1319" s="50">
        <v>1</v>
      </c>
      <c r="L1319" s="57">
        <f t="shared" si="190"/>
        <v>1530</v>
      </c>
      <c r="M1319" s="228">
        <f t="shared" si="188"/>
        <v>1683</v>
      </c>
      <c r="N1319" s="18" t="s">
        <v>20</v>
      </c>
      <c r="O1319" s="50" t="s">
        <v>4762</v>
      </c>
    </row>
    <row r="1320" spans="1:27" ht="21.75" customHeight="1" x14ac:dyDescent="0.4">
      <c r="A1320" s="62">
        <v>45802</v>
      </c>
      <c r="B1320" s="32" t="s">
        <v>4752</v>
      </c>
      <c r="C1320" s="32" t="s">
        <v>4292</v>
      </c>
      <c r="D1320" s="18" t="s">
        <v>17</v>
      </c>
      <c r="E1320" s="63" t="s">
        <v>2239</v>
      </c>
      <c r="F1320" s="63" t="s">
        <v>790</v>
      </c>
      <c r="G1320" s="50" t="s">
        <v>4753</v>
      </c>
      <c r="H1320" s="57">
        <v>28350</v>
      </c>
      <c r="I1320" s="227"/>
      <c r="J1320" s="57">
        <f t="shared" si="189"/>
        <v>28350</v>
      </c>
      <c r="K1320" s="50">
        <v>1</v>
      </c>
      <c r="L1320" s="57">
        <f t="shared" si="190"/>
        <v>28350</v>
      </c>
      <c r="M1320" s="228">
        <f t="shared" si="188"/>
        <v>31185</v>
      </c>
      <c r="N1320" s="18" t="s">
        <v>34</v>
      </c>
      <c r="O1320" s="50"/>
    </row>
    <row r="1321" spans="1:27" ht="21.75" customHeight="1" x14ac:dyDescent="0.4">
      <c r="A1321" s="62">
        <v>45802</v>
      </c>
      <c r="B1321" s="32" t="s">
        <v>4757</v>
      </c>
      <c r="C1321" s="32" t="s">
        <v>2557</v>
      </c>
      <c r="D1321" s="18" t="s">
        <v>27</v>
      </c>
      <c r="E1321" s="63" t="s">
        <v>28</v>
      </c>
      <c r="F1321" s="63"/>
      <c r="G1321" s="50" t="s">
        <v>4346</v>
      </c>
      <c r="H1321" s="57">
        <v>22500</v>
      </c>
      <c r="I1321" s="227"/>
      <c r="J1321" s="57">
        <f t="shared" si="189"/>
        <v>22500</v>
      </c>
      <c r="K1321" s="50">
        <v>1</v>
      </c>
      <c r="L1321" s="57">
        <f t="shared" si="190"/>
        <v>22500</v>
      </c>
      <c r="M1321" s="232">
        <f t="shared" ref="M1321:M1355" si="198">ROUNDDOWN(L1321*1.1,0)</f>
        <v>24750</v>
      </c>
      <c r="N1321" s="18" t="s">
        <v>25</v>
      </c>
      <c r="O1321" s="50"/>
    </row>
    <row r="1322" spans="1:27" ht="21.75" customHeight="1" x14ac:dyDescent="0.4">
      <c r="A1322" s="62">
        <v>45803</v>
      </c>
      <c r="B1322" s="32" t="s">
        <v>4739</v>
      </c>
      <c r="C1322" s="32" t="s">
        <v>2557</v>
      </c>
      <c r="D1322" s="18" t="s">
        <v>17</v>
      </c>
      <c r="E1322" s="63" t="s">
        <v>332</v>
      </c>
      <c r="F1322" s="63" t="s">
        <v>3555</v>
      </c>
      <c r="G1322" s="50" t="s">
        <v>4755</v>
      </c>
      <c r="H1322" s="57">
        <v>1300</v>
      </c>
      <c r="I1322" s="227">
        <v>-130</v>
      </c>
      <c r="J1322" s="57">
        <f t="shared" si="189"/>
        <v>1170</v>
      </c>
      <c r="K1322" s="50">
        <v>1</v>
      </c>
      <c r="L1322" s="57">
        <f t="shared" si="190"/>
        <v>1170</v>
      </c>
      <c r="M1322" s="228">
        <f t="shared" si="198"/>
        <v>1287</v>
      </c>
      <c r="N1322" s="18" t="s">
        <v>25</v>
      </c>
      <c r="O1322" s="50"/>
    </row>
    <row r="1323" spans="1:27" ht="21.75" customHeight="1" x14ac:dyDescent="0.4">
      <c r="A1323" s="62">
        <v>45803</v>
      </c>
      <c r="B1323" s="32" t="s">
        <v>148</v>
      </c>
      <c r="C1323" s="32" t="s">
        <v>2557</v>
      </c>
      <c r="D1323" s="18" t="s">
        <v>27</v>
      </c>
      <c r="E1323" s="63" t="s">
        <v>28</v>
      </c>
      <c r="F1323" s="63"/>
      <c r="G1323" s="50" t="s">
        <v>3664</v>
      </c>
      <c r="H1323" s="57">
        <v>17500</v>
      </c>
      <c r="I1323" s="227"/>
      <c r="J1323" s="57">
        <f t="shared" si="189"/>
        <v>17500</v>
      </c>
      <c r="K1323" s="50">
        <v>1</v>
      </c>
      <c r="L1323" s="57">
        <f t="shared" si="190"/>
        <v>17500</v>
      </c>
      <c r="M1323" s="232">
        <f t="shared" si="198"/>
        <v>19250</v>
      </c>
      <c r="N1323" s="18" t="s">
        <v>20</v>
      </c>
      <c r="O1323" s="50"/>
    </row>
    <row r="1324" spans="1:27" s="35" customFormat="1" ht="21.75" customHeight="1" x14ac:dyDescent="0.4">
      <c r="A1324" s="190">
        <v>45804</v>
      </c>
      <c r="B1324" s="191" t="s">
        <v>208</v>
      </c>
      <c r="C1324" s="191"/>
      <c r="D1324" s="192" t="s">
        <v>17</v>
      </c>
      <c r="E1324" s="193" t="s">
        <v>845</v>
      </c>
      <c r="F1324" s="193"/>
      <c r="G1324" s="159" t="s">
        <v>2601</v>
      </c>
      <c r="H1324" s="186">
        <v>1000</v>
      </c>
      <c r="I1324" s="265">
        <v>-400</v>
      </c>
      <c r="J1324" s="186">
        <f t="shared" si="189"/>
        <v>600</v>
      </c>
      <c r="K1324" s="159">
        <v>1</v>
      </c>
      <c r="L1324" s="186">
        <f t="shared" si="190"/>
        <v>600</v>
      </c>
      <c r="M1324" s="231">
        <f t="shared" si="198"/>
        <v>660</v>
      </c>
      <c r="N1324" s="192" t="s">
        <v>20</v>
      </c>
      <c r="O1324" s="159"/>
      <c r="P1324" s="189"/>
      <c r="Q1324" s="189"/>
      <c r="R1324" s="189"/>
      <c r="S1324" s="189"/>
      <c r="T1324" s="189"/>
      <c r="U1324" s="189"/>
      <c r="W1324" s="259"/>
      <c r="X1324" s="260"/>
      <c r="Y1324" s="260"/>
      <c r="Z1324" s="260"/>
      <c r="AA1324" s="260"/>
    </row>
    <row r="1325" spans="1:27" ht="21.75" customHeight="1" x14ac:dyDescent="0.4">
      <c r="A1325" s="62">
        <v>45805</v>
      </c>
      <c r="B1325" s="32" t="s">
        <v>633</v>
      </c>
      <c r="C1325" s="32" t="s">
        <v>2557</v>
      </c>
      <c r="D1325" s="18" t="s">
        <v>17</v>
      </c>
      <c r="E1325" s="63" t="s">
        <v>292</v>
      </c>
      <c r="F1325" s="63" t="s">
        <v>1051</v>
      </c>
      <c r="G1325" s="50" t="s">
        <v>3833</v>
      </c>
      <c r="H1325" s="57">
        <v>4000</v>
      </c>
      <c r="I1325" s="227">
        <v>-400</v>
      </c>
      <c r="J1325" s="57">
        <f t="shared" si="189"/>
        <v>3600</v>
      </c>
      <c r="K1325" s="50">
        <v>1</v>
      </c>
      <c r="L1325" s="57">
        <f t="shared" si="190"/>
        <v>3600</v>
      </c>
      <c r="M1325" s="228">
        <f t="shared" si="198"/>
        <v>3960</v>
      </c>
      <c r="N1325" s="18" t="s">
        <v>25</v>
      </c>
      <c r="O1325" s="50"/>
    </row>
    <row r="1326" spans="1:27" ht="21.75" customHeight="1" x14ac:dyDescent="0.4">
      <c r="A1326" s="62">
        <v>45805</v>
      </c>
      <c r="B1326" s="32" t="s">
        <v>4757</v>
      </c>
      <c r="C1326" s="32" t="s">
        <v>2557</v>
      </c>
      <c r="D1326" s="18" t="s">
        <v>27</v>
      </c>
      <c r="E1326" s="63" t="s">
        <v>28</v>
      </c>
      <c r="F1326" s="63"/>
      <c r="G1326" s="50" t="s">
        <v>318</v>
      </c>
      <c r="H1326" s="57">
        <v>15000</v>
      </c>
      <c r="I1326" s="227"/>
      <c r="J1326" s="57">
        <f t="shared" si="189"/>
        <v>15000</v>
      </c>
      <c r="K1326" s="50">
        <v>1</v>
      </c>
      <c r="L1326" s="57">
        <f t="shared" ref="L1326:L1328" si="199">SUM(J1326*K1326)</f>
        <v>15000</v>
      </c>
      <c r="M1326" s="232">
        <f t="shared" ref="M1326:M1328" si="200">ROUNDDOWN(L1326*1.1,0)</f>
        <v>16500</v>
      </c>
      <c r="N1326" s="18" t="s">
        <v>25</v>
      </c>
      <c r="O1326" s="50"/>
    </row>
    <row r="1327" spans="1:27" ht="21.75" customHeight="1" x14ac:dyDescent="0.4">
      <c r="A1327" s="62">
        <v>45805</v>
      </c>
      <c r="B1327" s="32" t="s">
        <v>2363</v>
      </c>
      <c r="C1327" s="32" t="s">
        <v>2557</v>
      </c>
      <c r="D1327" s="18" t="s">
        <v>27</v>
      </c>
      <c r="E1327" s="63" t="s">
        <v>28</v>
      </c>
      <c r="F1327" s="63"/>
      <c r="G1327" s="50" t="s">
        <v>3664</v>
      </c>
      <c r="H1327" s="57">
        <v>17500</v>
      </c>
      <c r="I1327" s="227"/>
      <c r="J1327" s="57">
        <f t="shared" si="189"/>
        <v>17500</v>
      </c>
      <c r="K1327" s="50">
        <v>1</v>
      </c>
      <c r="L1327" s="57">
        <f t="shared" si="199"/>
        <v>17500</v>
      </c>
      <c r="M1327" s="228">
        <f t="shared" si="200"/>
        <v>19250</v>
      </c>
      <c r="N1327" s="18" t="s">
        <v>20</v>
      </c>
      <c r="O1327" s="50"/>
    </row>
    <row r="1328" spans="1:27" ht="21.75" customHeight="1" x14ac:dyDescent="0.4">
      <c r="A1328" s="62">
        <v>45805</v>
      </c>
      <c r="B1328" s="32" t="s">
        <v>4563</v>
      </c>
      <c r="C1328" s="32" t="s">
        <v>2557</v>
      </c>
      <c r="D1328" s="96" t="s">
        <v>198</v>
      </c>
      <c r="E1328" s="63" t="s">
        <v>28</v>
      </c>
      <c r="F1328" s="63"/>
      <c r="G1328" s="50" t="s">
        <v>4568</v>
      </c>
      <c r="H1328" s="57">
        <v>-2000</v>
      </c>
      <c r="I1328" s="227"/>
      <c r="J1328" s="57">
        <f t="shared" si="189"/>
        <v>-2000</v>
      </c>
      <c r="K1328" s="50">
        <v>3</v>
      </c>
      <c r="L1328" s="57">
        <f t="shared" si="199"/>
        <v>-6000</v>
      </c>
      <c r="M1328" s="270">
        <f t="shared" si="200"/>
        <v>-6600</v>
      </c>
      <c r="N1328" s="18" t="s">
        <v>20</v>
      </c>
      <c r="O1328" s="50" t="s">
        <v>4763</v>
      </c>
    </row>
    <row r="1329" spans="1:27" ht="21.75" customHeight="1" x14ac:dyDescent="0.4">
      <c r="A1329" s="62">
        <v>45806</v>
      </c>
      <c r="B1329" s="32" t="s">
        <v>4761</v>
      </c>
      <c r="C1329" s="32" t="s">
        <v>405</v>
      </c>
      <c r="D1329" s="18" t="s">
        <v>22</v>
      </c>
      <c r="E1329" s="63" t="s">
        <v>1496</v>
      </c>
      <c r="F1329" s="63"/>
      <c r="G1329" s="50" t="s">
        <v>49</v>
      </c>
      <c r="H1329" s="57">
        <v>3000</v>
      </c>
      <c r="I1329" s="227"/>
      <c r="J1329" s="57">
        <f t="shared" si="189"/>
        <v>3000</v>
      </c>
      <c r="K1329" s="50">
        <v>1</v>
      </c>
      <c r="L1329" s="57">
        <f t="shared" si="190"/>
        <v>3000</v>
      </c>
      <c r="M1329" s="228">
        <f t="shared" si="198"/>
        <v>3300</v>
      </c>
      <c r="N1329" s="18" t="s">
        <v>25</v>
      </c>
      <c r="O1329" s="50" t="s">
        <v>4764</v>
      </c>
    </row>
    <row r="1330" spans="1:27" ht="21.75" customHeight="1" x14ac:dyDescent="0.4">
      <c r="A1330" s="62">
        <v>45807</v>
      </c>
      <c r="B1330" s="32" t="s">
        <v>678</v>
      </c>
      <c r="C1330" s="32" t="s">
        <v>2557</v>
      </c>
      <c r="D1330" s="18" t="s">
        <v>17</v>
      </c>
      <c r="E1330" s="63" t="s">
        <v>332</v>
      </c>
      <c r="F1330" s="63" t="s">
        <v>3550</v>
      </c>
      <c r="G1330" s="50" t="s">
        <v>3577</v>
      </c>
      <c r="H1330" s="57">
        <v>1800</v>
      </c>
      <c r="I1330" s="227">
        <v>-180</v>
      </c>
      <c r="J1330" s="57">
        <f t="shared" si="189"/>
        <v>1620</v>
      </c>
      <c r="K1330" s="50">
        <v>1</v>
      </c>
      <c r="L1330" s="57">
        <f t="shared" si="190"/>
        <v>1620</v>
      </c>
      <c r="M1330" s="228">
        <f t="shared" si="198"/>
        <v>1782</v>
      </c>
      <c r="N1330" s="18" t="s">
        <v>20</v>
      </c>
      <c r="O1330" s="50"/>
    </row>
    <row r="1331" spans="1:27" ht="21.75" customHeight="1" x14ac:dyDescent="0.4">
      <c r="A1331" s="62">
        <v>45807</v>
      </c>
      <c r="B1331" s="32" t="s">
        <v>795</v>
      </c>
      <c r="C1331" s="32" t="s">
        <v>2557</v>
      </c>
      <c r="D1331" s="18" t="s">
        <v>22</v>
      </c>
      <c r="E1331" s="63" t="s">
        <v>23</v>
      </c>
      <c r="F1331" s="63"/>
      <c r="G1331" s="50" t="s">
        <v>4610</v>
      </c>
      <c r="H1331" s="57">
        <v>10000</v>
      </c>
      <c r="I1331" s="227"/>
      <c r="J1331" s="57">
        <f t="shared" si="189"/>
        <v>10000</v>
      </c>
      <c r="K1331" s="50">
        <v>1</v>
      </c>
      <c r="L1331" s="57">
        <f t="shared" si="190"/>
        <v>10000</v>
      </c>
      <c r="M1331" s="228">
        <f t="shared" si="198"/>
        <v>11000</v>
      </c>
      <c r="N1331" s="18" t="s">
        <v>34</v>
      </c>
      <c r="O1331" s="50"/>
    </row>
    <row r="1332" spans="1:27" ht="21.75" customHeight="1" x14ac:dyDescent="0.4">
      <c r="A1332" s="62">
        <v>45807</v>
      </c>
      <c r="B1332" s="32" t="s">
        <v>795</v>
      </c>
      <c r="C1332" s="32" t="s">
        <v>2557</v>
      </c>
      <c r="D1332" s="18" t="s">
        <v>17</v>
      </c>
      <c r="E1332" s="63" t="s">
        <v>328</v>
      </c>
      <c r="F1332" s="63" t="s">
        <v>3595</v>
      </c>
      <c r="G1332" s="50" t="s">
        <v>4765</v>
      </c>
      <c r="H1332" s="57">
        <v>40000</v>
      </c>
      <c r="I1332" s="227">
        <v>-12000</v>
      </c>
      <c r="J1332" s="57">
        <f t="shared" si="189"/>
        <v>28000</v>
      </c>
      <c r="K1332" s="50">
        <v>1</v>
      </c>
      <c r="L1332" s="57">
        <f t="shared" si="190"/>
        <v>28000</v>
      </c>
      <c r="M1332" s="228">
        <f t="shared" si="198"/>
        <v>30800</v>
      </c>
      <c r="N1332" s="18" t="s">
        <v>34</v>
      </c>
      <c r="O1332" s="50"/>
      <c r="P1332" s="52" t="s">
        <v>1557</v>
      </c>
    </row>
    <row r="1333" spans="1:27" ht="21.75" customHeight="1" x14ac:dyDescent="0.4">
      <c r="A1333" s="62">
        <v>45807</v>
      </c>
      <c r="B1333" s="32" t="s">
        <v>795</v>
      </c>
      <c r="C1333" s="32" t="s">
        <v>2557</v>
      </c>
      <c r="D1333" s="18" t="s">
        <v>17</v>
      </c>
      <c r="E1333" s="63" t="s">
        <v>1442</v>
      </c>
      <c r="F1333" s="63" t="s">
        <v>1051</v>
      </c>
      <c r="G1333" s="50" t="s">
        <v>4766</v>
      </c>
      <c r="H1333" s="57">
        <v>98000</v>
      </c>
      <c r="I1333" s="227"/>
      <c r="J1333" s="57">
        <f t="shared" si="189"/>
        <v>98000</v>
      </c>
      <c r="K1333" s="50">
        <v>1</v>
      </c>
      <c r="L1333" s="57">
        <f t="shared" si="190"/>
        <v>98000</v>
      </c>
      <c r="M1333" s="228">
        <f t="shared" si="198"/>
        <v>107800</v>
      </c>
      <c r="N1333" s="18" t="s">
        <v>34</v>
      </c>
      <c r="O1333" s="50"/>
      <c r="P1333" s="52" t="s">
        <v>1557</v>
      </c>
    </row>
    <row r="1334" spans="1:27" ht="21.75" customHeight="1" x14ac:dyDescent="0.4">
      <c r="A1334" s="62">
        <v>45807</v>
      </c>
      <c r="B1334" s="32" t="s">
        <v>795</v>
      </c>
      <c r="C1334" s="32" t="s">
        <v>2557</v>
      </c>
      <c r="D1334" s="96" t="s">
        <v>198</v>
      </c>
      <c r="E1334" s="63"/>
      <c r="F1334" s="63"/>
      <c r="G1334" s="50" t="s">
        <v>2491</v>
      </c>
      <c r="H1334" s="57">
        <v>-10000</v>
      </c>
      <c r="I1334" s="227"/>
      <c r="J1334" s="57">
        <f t="shared" si="189"/>
        <v>-10000</v>
      </c>
      <c r="K1334" s="50">
        <v>1</v>
      </c>
      <c r="L1334" s="57">
        <f t="shared" si="190"/>
        <v>-10000</v>
      </c>
      <c r="M1334" s="237">
        <f t="shared" si="198"/>
        <v>-11000</v>
      </c>
      <c r="N1334" s="18" t="s">
        <v>34</v>
      </c>
      <c r="O1334" s="50"/>
    </row>
    <row r="1335" spans="1:27" ht="21.75" customHeight="1" x14ac:dyDescent="0.4">
      <c r="A1335" s="62">
        <v>45807</v>
      </c>
      <c r="B1335" s="32" t="s">
        <v>4767</v>
      </c>
      <c r="C1335" s="32" t="s">
        <v>2557</v>
      </c>
      <c r="D1335" s="18" t="s">
        <v>17</v>
      </c>
      <c r="E1335" s="63" t="s">
        <v>328</v>
      </c>
      <c r="F1335" s="63" t="s">
        <v>788</v>
      </c>
      <c r="G1335" s="50" t="s">
        <v>4768</v>
      </c>
      <c r="H1335" s="57">
        <v>15000</v>
      </c>
      <c r="I1335" s="227">
        <v>-3000</v>
      </c>
      <c r="J1335" s="57">
        <f t="shared" si="189"/>
        <v>12000</v>
      </c>
      <c r="K1335" s="50">
        <v>5</v>
      </c>
      <c r="L1335" s="57">
        <f t="shared" si="190"/>
        <v>60000</v>
      </c>
      <c r="M1335" s="237">
        <f t="shared" si="198"/>
        <v>66000</v>
      </c>
      <c r="N1335" s="18" t="s">
        <v>20</v>
      </c>
      <c r="O1335" s="50"/>
      <c r="P1335" s="52" t="s">
        <v>1557</v>
      </c>
    </row>
    <row r="1336" spans="1:27" ht="21.75" customHeight="1" x14ac:dyDescent="0.4">
      <c r="A1336" s="62">
        <v>45807</v>
      </c>
      <c r="B1336" s="32" t="s">
        <v>4767</v>
      </c>
      <c r="C1336" s="32" t="s">
        <v>2557</v>
      </c>
      <c r="D1336" s="18" t="s">
        <v>17</v>
      </c>
      <c r="E1336" s="63" t="s">
        <v>328</v>
      </c>
      <c r="F1336" s="63" t="s">
        <v>3597</v>
      </c>
      <c r="G1336" s="50" t="s">
        <v>4769</v>
      </c>
      <c r="H1336" s="57">
        <v>5300</v>
      </c>
      <c r="I1336" s="227">
        <v>-530</v>
      </c>
      <c r="J1336" s="57">
        <f t="shared" si="189"/>
        <v>4770</v>
      </c>
      <c r="K1336" s="50">
        <v>1</v>
      </c>
      <c r="L1336" s="57">
        <f t="shared" si="190"/>
        <v>4770</v>
      </c>
      <c r="M1336" s="237">
        <f t="shared" si="198"/>
        <v>5247</v>
      </c>
      <c r="N1336" s="18" t="s">
        <v>20</v>
      </c>
      <c r="O1336" s="50"/>
      <c r="P1336" s="52" t="s">
        <v>1557</v>
      </c>
    </row>
    <row r="1337" spans="1:27" ht="21.75" customHeight="1" x14ac:dyDescent="0.4">
      <c r="A1337" s="62">
        <v>45808</v>
      </c>
      <c r="B1337" s="32" t="s">
        <v>4770</v>
      </c>
      <c r="C1337" s="32" t="s">
        <v>2557</v>
      </c>
      <c r="D1337" s="18" t="s">
        <v>27</v>
      </c>
      <c r="E1337" s="63" t="s">
        <v>28</v>
      </c>
      <c r="F1337" s="63"/>
      <c r="G1337" s="50" t="s">
        <v>318</v>
      </c>
      <c r="H1337" s="57">
        <v>15000</v>
      </c>
      <c r="I1337" s="227"/>
      <c r="J1337" s="57">
        <f t="shared" si="189"/>
        <v>15000</v>
      </c>
      <c r="K1337" s="50">
        <v>1</v>
      </c>
      <c r="L1337" s="57">
        <f t="shared" si="190"/>
        <v>15000</v>
      </c>
      <c r="M1337" s="228">
        <f t="shared" si="198"/>
        <v>16500</v>
      </c>
      <c r="N1337" s="18" t="s">
        <v>25</v>
      </c>
      <c r="O1337" s="490" t="s">
        <v>4771</v>
      </c>
    </row>
    <row r="1338" spans="1:27" ht="21.75" customHeight="1" x14ac:dyDescent="0.4">
      <c r="A1338" s="62">
        <v>45808</v>
      </c>
      <c r="B1338" s="32" t="s">
        <v>2950</v>
      </c>
      <c r="C1338" s="32" t="s">
        <v>2557</v>
      </c>
      <c r="D1338" s="18" t="s">
        <v>22</v>
      </c>
      <c r="E1338" s="63" t="s">
        <v>23</v>
      </c>
      <c r="F1338" s="63"/>
      <c r="G1338" s="50" t="s">
        <v>4610</v>
      </c>
      <c r="H1338" s="57">
        <v>10000</v>
      </c>
      <c r="I1338" s="227"/>
      <c r="J1338" s="57">
        <f t="shared" si="189"/>
        <v>10000</v>
      </c>
      <c r="K1338" s="50">
        <v>1</v>
      </c>
      <c r="L1338" s="57">
        <f t="shared" si="190"/>
        <v>10000</v>
      </c>
      <c r="M1338" s="228">
        <f t="shared" si="198"/>
        <v>11000</v>
      </c>
      <c r="N1338" s="18" t="s">
        <v>25</v>
      </c>
      <c r="O1338" s="491"/>
    </row>
    <row r="1339" spans="1:27" ht="21.75" customHeight="1" x14ac:dyDescent="0.4">
      <c r="A1339" s="62">
        <v>45808</v>
      </c>
      <c r="B1339" s="32" t="s">
        <v>4770</v>
      </c>
      <c r="C1339" s="32" t="s">
        <v>2557</v>
      </c>
      <c r="D1339" s="18" t="s">
        <v>27</v>
      </c>
      <c r="E1339" s="63" t="s">
        <v>28</v>
      </c>
      <c r="F1339" s="63"/>
      <c r="G1339" s="50" t="s">
        <v>2851</v>
      </c>
      <c r="H1339" s="57">
        <v>12250</v>
      </c>
      <c r="I1339" s="227"/>
      <c r="J1339" s="57">
        <f t="shared" si="189"/>
        <v>12250</v>
      </c>
      <c r="K1339" s="50">
        <v>1</v>
      </c>
      <c r="L1339" s="57">
        <f t="shared" si="190"/>
        <v>12250</v>
      </c>
      <c r="M1339" s="228">
        <f t="shared" si="198"/>
        <v>13475</v>
      </c>
      <c r="N1339" s="18" t="s">
        <v>25</v>
      </c>
      <c r="O1339" s="50"/>
    </row>
    <row r="1340" spans="1:27" ht="21.75" customHeight="1" x14ac:dyDescent="0.4">
      <c r="A1340" s="62">
        <v>45808</v>
      </c>
      <c r="B1340" s="32" t="s">
        <v>3117</v>
      </c>
      <c r="C1340" s="32" t="s">
        <v>2557</v>
      </c>
      <c r="D1340" s="18" t="s">
        <v>17</v>
      </c>
      <c r="E1340" s="63" t="s">
        <v>292</v>
      </c>
      <c r="F1340" s="63" t="s">
        <v>1051</v>
      </c>
      <c r="G1340" s="50" t="s">
        <v>4772</v>
      </c>
      <c r="H1340" s="57">
        <v>5700</v>
      </c>
      <c r="I1340" s="227"/>
      <c r="J1340" s="57">
        <f t="shared" si="189"/>
        <v>5700</v>
      </c>
      <c r="K1340" s="50">
        <v>1</v>
      </c>
      <c r="L1340" s="57">
        <f t="shared" si="190"/>
        <v>5700</v>
      </c>
      <c r="M1340" s="228">
        <f t="shared" si="198"/>
        <v>6270</v>
      </c>
      <c r="N1340" s="18" t="s">
        <v>20</v>
      </c>
      <c r="O1340" s="50"/>
    </row>
    <row r="1341" spans="1:27" ht="21.75" customHeight="1" x14ac:dyDescent="0.4">
      <c r="A1341" s="62">
        <v>45808</v>
      </c>
      <c r="B1341" s="32" t="s">
        <v>1295</v>
      </c>
      <c r="C1341" s="32" t="s">
        <v>2557</v>
      </c>
      <c r="D1341" s="18" t="s">
        <v>27</v>
      </c>
      <c r="E1341" s="63" t="s">
        <v>28</v>
      </c>
      <c r="F1341" s="63"/>
      <c r="G1341" s="50" t="s">
        <v>318</v>
      </c>
      <c r="H1341" s="57">
        <v>15000</v>
      </c>
      <c r="I1341" s="227"/>
      <c r="J1341" s="57">
        <f t="shared" si="189"/>
        <v>15000</v>
      </c>
      <c r="K1341" s="50">
        <v>1</v>
      </c>
      <c r="L1341" s="57">
        <f t="shared" si="190"/>
        <v>15000</v>
      </c>
      <c r="M1341" s="228">
        <f t="shared" si="198"/>
        <v>16500</v>
      </c>
      <c r="N1341" s="18" t="s">
        <v>25</v>
      </c>
      <c r="O1341" s="50"/>
    </row>
    <row r="1342" spans="1:27" ht="21.75" customHeight="1" x14ac:dyDescent="0.4">
      <c r="A1342" s="62">
        <v>45808</v>
      </c>
      <c r="B1342" s="32" t="s">
        <v>1295</v>
      </c>
      <c r="C1342" s="32" t="s">
        <v>2557</v>
      </c>
      <c r="D1342" s="18" t="s">
        <v>27</v>
      </c>
      <c r="E1342" s="63" t="s">
        <v>28</v>
      </c>
      <c r="F1342" s="63"/>
      <c r="G1342" s="50" t="s">
        <v>3663</v>
      </c>
      <c r="H1342" s="57">
        <v>17500</v>
      </c>
      <c r="I1342" s="227"/>
      <c r="J1342" s="57">
        <f t="shared" si="189"/>
        <v>17500</v>
      </c>
      <c r="K1342" s="50">
        <v>1</v>
      </c>
      <c r="L1342" s="57">
        <f t="shared" si="190"/>
        <v>17500</v>
      </c>
      <c r="M1342" s="228">
        <f t="shared" si="198"/>
        <v>19250</v>
      </c>
      <c r="N1342" s="18" t="s">
        <v>25</v>
      </c>
      <c r="O1342" s="50"/>
    </row>
    <row r="1343" spans="1:27" ht="21.75" customHeight="1" x14ac:dyDescent="0.4">
      <c r="A1343" s="62">
        <v>45809</v>
      </c>
      <c r="B1343" s="18" t="s">
        <v>4705</v>
      </c>
      <c r="C1343" s="18" t="s">
        <v>405</v>
      </c>
      <c r="D1343" s="18" t="s">
        <v>22</v>
      </c>
      <c r="E1343" s="57" t="s">
        <v>23</v>
      </c>
      <c r="F1343" s="76"/>
      <c r="G1343" s="57" t="s">
        <v>264</v>
      </c>
      <c r="H1343" s="71">
        <v>15000</v>
      </c>
      <c r="I1343" s="227"/>
      <c r="J1343" s="71">
        <f t="shared" si="189"/>
        <v>15000</v>
      </c>
      <c r="K1343" s="262">
        <v>1</v>
      </c>
      <c r="L1343" s="71">
        <f t="shared" si="190"/>
        <v>15000</v>
      </c>
      <c r="M1343" s="71">
        <f t="shared" si="198"/>
        <v>16500</v>
      </c>
      <c r="N1343" s="18" t="s">
        <v>25</v>
      </c>
      <c r="O1343" s="50"/>
      <c r="S1343" s="2"/>
      <c r="T1343" s="39"/>
      <c r="U1343" s="38"/>
      <c r="V1343" s="38"/>
      <c r="W1343" s="38"/>
      <c r="Y1343" s="2"/>
      <c r="Z1343" s="2"/>
      <c r="AA1343" s="2"/>
    </row>
    <row r="1344" spans="1:27" ht="21.75" customHeight="1" x14ac:dyDescent="0.4">
      <c r="A1344" s="62"/>
      <c r="B1344" s="32"/>
      <c r="C1344" s="32"/>
      <c r="D1344" s="18"/>
      <c r="E1344" s="63"/>
      <c r="F1344" s="63"/>
      <c r="G1344" s="50"/>
      <c r="H1344" s="57"/>
      <c r="I1344" s="227"/>
      <c r="J1344" s="57">
        <f t="shared" si="189"/>
        <v>0</v>
      </c>
      <c r="K1344" s="50"/>
      <c r="L1344" s="57">
        <f t="shared" si="190"/>
        <v>0</v>
      </c>
      <c r="M1344" s="228">
        <f t="shared" si="198"/>
        <v>0</v>
      </c>
      <c r="N1344" s="18"/>
      <c r="O1344" s="50"/>
    </row>
    <row r="1345" spans="1:15" ht="21.75" customHeight="1" x14ac:dyDescent="0.4">
      <c r="A1345" s="62"/>
      <c r="B1345" s="32"/>
      <c r="C1345" s="32"/>
      <c r="D1345" s="18"/>
      <c r="E1345" s="63"/>
      <c r="F1345" s="63"/>
      <c r="G1345" s="50"/>
      <c r="H1345" s="57"/>
      <c r="I1345" s="227"/>
      <c r="J1345" s="57">
        <f t="shared" si="189"/>
        <v>0</v>
      </c>
      <c r="K1345" s="50"/>
      <c r="L1345" s="57">
        <f t="shared" si="190"/>
        <v>0</v>
      </c>
      <c r="M1345" s="228">
        <f t="shared" si="198"/>
        <v>0</v>
      </c>
      <c r="N1345" s="18"/>
      <c r="O1345" s="50"/>
    </row>
    <row r="1346" spans="1:15" ht="21.75" customHeight="1" x14ac:dyDescent="0.4">
      <c r="A1346" s="62"/>
      <c r="B1346" s="32"/>
      <c r="C1346" s="32"/>
      <c r="D1346" s="18"/>
      <c r="E1346" s="63"/>
      <c r="F1346" s="63"/>
      <c r="G1346" s="50"/>
      <c r="H1346" s="57"/>
      <c r="I1346" s="227"/>
      <c r="J1346" s="57">
        <f t="shared" si="189"/>
        <v>0</v>
      </c>
      <c r="K1346" s="50"/>
      <c r="L1346" s="57">
        <f t="shared" si="190"/>
        <v>0</v>
      </c>
      <c r="M1346" s="228">
        <f t="shared" si="198"/>
        <v>0</v>
      </c>
      <c r="N1346" s="18"/>
      <c r="O1346" s="50"/>
    </row>
    <row r="1347" spans="1:15" ht="21.75" customHeight="1" x14ac:dyDescent="0.4">
      <c r="A1347" s="62"/>
      <c r="B1347" s="32"/>
      <c r="C1347" s="32"/>
      <c r="D1347" s="18"/>
      <c r="E1347" s="63"/>
      <c r="F1347" s="63"/>
      <c r="G1347" s="50"/>
      <c r="H1347" s="57"/>
      <c r="I1347" s="227"/>
      <c r="J1347" s="57">
        <f t="shared" si="189"/>
        <v>0</v>
      </c>
      <c r="K1347" s="50"/>
      <c r="L1347" s="57">
        <f t="shared" si="190"/>
        <v>0</v>
      </c>
      <c r="M1347" s="228">
        <f t="shared" si="198"/>
        <v>0</v>
      </c>
      <c r="N1347" s="18"/>
      <c r="O1347" s="50"/>
    </row>
    <row r="1348" spans="1:15" ht="21.75" customHeight="1" x14ac:dyDescent="0.4">
      <c r="A1348" s="62"/>
      <c r="B1348" s="32"/>
      <c r="C1348" s="32"/>
      <c r="D1348" s="18"/>
      <c r="E1348" s="63"/>
      <c r="F1348" s="63"/>
      <c r="G1348" s="50"/>
      <c r="H1348" s="57"/>
      <c r="I1348" s="227"/>
      <c r="J1348" s="57">
        <f t="shared" si="189"/>
        <v>0</v>
      </c>
      <c r="K1348" s="50"/>
      <c r="L1348" s="57">
        <f t="shared" si="190"/>
        <v>0</v>
      </c>
      <c r="M1348" s="228">
        <f t="shared" si="198"/>
        <v>0</v>
      </c>
      <c r="N1348" s="18"/>
      <c r="O1348" s="50"/>
    </row>
    <row r="1349" spans="1:15" ht="21.75" customHeight="1" x14ac:dyDescent="0.4">
      <c r="A1349" s="62"/>
      <c r="B1349" s="32"/>
      <c r="C1349" s="32"/>
      <c r="D1349" s="18"/>
      <c r="E1349" s="63"/>
      <c r="F1349" s="63"/>
      <c r="G1349" s="50"/>
      <c r="H1349" s="57"/>
      <c r="I1349" s="227"/>
      <c r="J1349" s="57">
        <f t="shared" si="189"/>
        <v>0</v>
      </c>
      <c r="K1349" s="50"/>
      <c r="L1349" s="57">
        <f t="shared" si="190"/>
        <v>0</v>
      </c>
      <c r="M1349" s="228">
        <f t="shared" si="198"/>
        <v>0</v>
      </c>
      <c r="N1349" s="18"/>
      <c r="O1349" s="50"/>
    </row>
    <row r="1350" spans="1:15" ht="21.75" customHeight="1" x14ac:dyDescent="0.4">
      <c r="A1350" s="62"/>
      <c r="B1350" s="32"/>
      <c r="C1350" s="32"/>
      <c r="D1350" s="18"/>
      <c r="E1350" s="63"/>
      <c r="F1350" s="63"/>
      <c r="G1350" s="50"/>
      <c r="H1350" s="57"/>
      <c r="I1350" s="227"/>
      <c r="J1350" s="57">
        <f t="shared" si="189"/>
        <v>0</v>
      </c>
      <c r="K1350" s="50"/>
      <c r="L1350" s="57">
        <f t="shared" si="190"/>
        <v>0</v>
      </c>
      <c r="M1350" s="228">
        <f t="shared" si="198"/>
        <v>0</v>
      </c>
      <c r="N1350" s="18"/>
      <c r="O1350" s="50"/>
    </row>
    <row r="1351" spans="1:15" ht="21.75" customHeight="1" x14ac:dyDescent="0.4">
      <c r="A1351" s="62"/>
      <c r="B1351" s="32"/>
      <c r="C1351" s="32"/>
      <c r="D1351" s="18"/>
      <c r="E1351" s="63"/>
      <c r="F1351" s="63"/>
      <c r="G1351" s="50"/>
      <c r="H1351" s="57"/>
      <c r="I1351" s="227"/>
      <c r="J1351" s="57">
        <f t="shared" si="189"/>
        <v>0</v>
      </c>
      <c r="K1351" s="50"/>
      <c r="L1351" s="57">
        <f t="shared" si="190"/>
        <v>0</v>
      </c>
      <c r="M1351" s="228">
        <f t="shared" si="198"/>
        <v>0</v>
      </c>
      <c r="N1351" s="18"/>
      <c r="O1351" s="50"/>
    </row>
    <row r="1352" spans="1:15" ht="21.75" customHeight="1" x14ac:dyDescent="0.4">
      <c r="A1352" s="62"/>
      <c r="B1352" s="32"/>
      <c r="C1352" s="32"/>
      <c r="D1352" s="18"/>
      <c r="E1352" s="63"/>
      <c r="F1352" s="63"/>
      <c r="G1352" s="50"/>
      <c r="H1352" s="57"/>
      <c r="I1352" s="227"/>
      <c r="J1352" s="57">
        <f t="shared" si="189"/>
        <v>0</v>
      </c>
      <c r="K1352" s="50"/>
      <c r="L1352" s="57">
        <f t="shared" si="190"/>
        <v>0</v>
      </c>
      <c r="M1352" s="228">
        <f t="shared" si="198"/>
        <v>0</v>
      </c>
      <c r="N1352" s="18"/>
      <c r="O1352" s="50"/>
    </row>
    <row r="1353" spans="1:15" ht="21.75" customHeight="1" x14ac:dyDescent="0.4">
      <c r="A1353" s="62"/>
      <c r="B1353" s="32"/>
      <c r="C1353" s="32"/>
      <c r="D1353" s="18"/>
      <c r="E1353" s="63"/>
      <c r="F1353" s="63"/>
      <c r="G1353" s="50"/>
      <c r="H1353" s="57"/>
      <c r="I1353" s="227"/>
      <c r="J1353" s="57">
        <f t="shared" si="189"/>
        <v>0</v>
      </c>
      <c r="K1353" s="50"/>
      <c r="L1353" s="57">
        <f t="shared" si="190"/>
        <v>0</v>
      </c>
      <c r="M1353" s="228">
        <f t="shared" si="198"/>
        <v>0</v>
      </c>
      <c r="N1353" s="18"/>
      <c r="O1353" s="50"/>
    </row>
    <row r="1354" spans="1:15" ht="21.75" customHeight="1" x14ac:dyDescent="0.4">
      <c r="A1354" s="62"/>
      <c r="B1354" s="32"/>
      <c r="C1354" s="32"/>
      <c r="D1354" s="18"/>
      <c r="E1354" s="63"/>
      <c r="F1354" s="63"/>
      <c r="G1354" s="50"/>
      <c r="H1354" s="57"/>
      <c r="I1354" s="227"/>
      <c r="J1354" s="57">
        <f t="shared" si="189"/>
        <v>0</v>
      </c>
      <c r="K1354" s="50"/>
      <c r="L1354" s="57">
        <f t="shared" si="190"/>
        <v>0</v>
      </c>
      <c r="M1354" s="228">
        <f t="shared" si="198"/>
        <v>0</v>
      </c>
      <c r="N1354" s="18"/>
      <c r="O1354" s="50"/>
    </row>
    <row r="1355" spans="1:15" ht="21.75" customHeight="1" x14ac:dyDescent="0.4">
      <c r="A1355" s="62"/>
      <c r="B1355" s="32"/>
      <c r="C1355" s="32"/>
      <c r="D1355" s="18"/>
      <c r="E1355" s="63"/>
      <c r="F1355" s="63"/>
      <c r="G1355" s="50"/>
      <c r="H1355" s="57"/>
      <c r="I1355" s="227"/>
      <c r="J1355" s="57">
        <f t="shared" si="189"/>
        <v>0</v>
      </c>
      <c r="K1355" s="50"/>
      <c r="L1355" s="57">
        <f t="shared" si="190"/>
        <v>0</v>
      </c>
      <c r="M1355" s="228">
        <f t="shared" si="198"/>
        <v>0</v>
      </c>
      <c r="N1355" s="18"/>
      <c r="O1355" s="50"/>
    </row>
    <row r="1356" spans="1:15" ht="21.75" customHeight="1" x14ac:dyDescent="0.4">
      <c r="A1356" s="62"/>
      <c r="B1356" s="32"/>
      <c r="C1356" s="32"/>
      <c r="D1356" s="18"/>
      <c r="E1356" s="63"/>
      <c r="F1356" s="63"/>
      <c r="G1356" s="50"/>
      <c r="H1356" s="57"/>
      <c r="I1356" s="227"/>
      <c r="J1356" s="57"/>
      <c r="K1356" s="50"/>
      <c r="L1356" s="57"/>
      <c r="M1356" s="228"/>
      <c r="N1356" s="18"/>
      <c r="O1356" s="50"/>
    </row>
    <row r="1357" spans="1:15" ht="21.75" customHeight="1" x14ac:dyDescent="0.4">
      <c r="A1357" s="62"/>
      <c r="B1357" s="32"/>
      <c r="C1357" s="32"/>
      <c r="D1357" s="18"/>
      <c r="E1357" s="63"/>
      <c r="F1357" s="63"/>
      <c r="G1357" s="50"/>
      <c r="H1357" s="57"/>
      <c r="I1357" s="227"/>
      <c r="J1357" s="57"/>
      <c r="K1357" s="50"/>
      <c r="L1357" s="57"/>
      <c r="M1357" s="228"/>
      <c r="N1357" s="18"/>
      <c r="O1357" s="50"/>
    </row>
    <row r="1358" spans="1:15" ht="21.75" customHeight="1" x14ac:dyDescent="0.4">
      <c r="A1358" s="62"/>
      <c r="B1358" s="32"/>
      <c r="C1358" s="32"/>
      <c r="D1358" s="18"/>
      <c r="E1358" s="63"/>
      <c r="F1358" s="63"/>
      <c r="G1358" s="50"/>
      <c r="H1358" s="57"/>
      <c r="I1358" s="227"/>
      <c r="J1358" s="57"/>
      <c r="K1358" s="50"/>
      <c r="L1358" s="57"/>
      <c r="M1358" s="228"/>
      <c r="N1358" s="18"/>
      <c r="O1358" s="50"/>
    </row>
    <row r="1359" spans="1:15" ht="21.75" customHeight="1" x14ac:dyDescent="0.4">
      <c r="A1359" s="62"/>
      <c r="B1359" s="32"/>
      <c r="C1359" s="32"/>
      <c r="D1359" s="18"/>
      <c r="E1359" s="63"/>
      <c r="F1359" s="63"/>
      <c r="G1359" s="50"/>
      <c r="H1359" s="57"/>
      <c r="I1359" s="227"/>
      <c r="J1359" s="57"/>
      <c r="K1359" s="50"/>
      <c r="L1359" s="57"/>
      <c r="M1359" s="228"/>
      <c r="N1359" s="18"/>
      <c r="O1359" s="50"/>
    </row>
    <row r="1360" spans="1:15" ht="21.75" customHeight="1" x14ac:dyDescent="0.4">
      <c r="A1360" s="62"/>
      <c r="B1360" s="32"/>
      <c r="C1360" s="32"/>
      <c r="D1360" s="18"/>
      <c r="E1360" s="63"/>
      <c r="F1360" s="63"/>
      <c r="G1360" s="50"/>
      <c r="H1360" s="57"/>
      <c r="I1360" s="227"/>
      <c r="J1360" s="57"/>
      <c r="K1360" s="50"/>
      <c r="L1360" s="57"/>
      <c r="M1360" s="228"/>
      <c r="N1360" s="18"/>
      <c r="O1360" s="50"/>
    </row>
    <row r="1361" spans="1:15" ht="21.75" customHeight="1" x14ac:dyDescent="0.4">
      <c r="A1361" s="62"/>
      <c r="B1361" s="32"/>
      <c r="C1361" s="32"/>
      <c r="D1361" s="18"/>
      <c r="E1361" s="63"/>
      <c r="F1361" s="63"/>
      <c r="G1361" s="50"/>
      <c r="H1361" s="57"/>
      <c r="I1361" s="227"/>
      <c r="J1361" s="57"/>
      <c r="K1361" s="50"/>
      <c r="L1361" s="57"/>
      <c r="M1361" s="228"/>
      <c r="N1361" s="18"/>
      <c r="O1361" s="50"/>
    </row>
    <row r="1362" spans="1:15" ht="21.75" customHeight="1" x14ac:dyDescent="0.4">
      <c r="A1362" s="62"/>
      <c r="B1362" s="32"/>
      <c r="C1362" s="32"/>
      <c r="D1362" s="18"/>
      <c r="E1362" s="63"/>
      <c r="F1362" s="63"/>
      <c r="G1362" s="50"/>
      <c r="H1362" s="57"/>
      <c r="I1362" s="227"/>
      <c r="J1362" s="57"/>
      <c r="K1362" s="50"/>
      <c r="L1362" s="57"/>
      <c r="M1362" s="228"/>
      <c r="N1362" s="18"/>
      <c r="O1362" s="50"/>
    </row>
    <row r="1363" spans="1:15" ht="21.75" customHeight="1" x14ac:dyDescent="0.4">
      <c r="A1363" s="62"/>
      <c r="B1363" s="32"/>
      <c r="C1363" s="32"/>
      <c r="D1363" s="18"/>
      <c r="E1363" s="63"/>
      <c r="F1363" s="63"/>
      <c r="G1363" s="50"/>
      <c r="H1363" s="57"/>
      <c r="I1363" s="227"/>
      <c r="J1363" s="57"/>
      <c r="K1363" s="50"/>
      <c r="L1363" s="57"/>
      <c r="M1363" s="228"/>
      <c r="N1363" s="18"/>
      <c r="O1363" s="50"/>
    </row>
    <row r="1364" spans="1:15" ht="21.75" customHeight="1" x14ac:dyDescent="0.4">
      <c r="A1364" s="62"/>
      <c r="B1364" s="32"/>
      <c r="C1364" s="32"/>
      <c r="D1364" s="18"/>
      <c r="E1364" s="63"/>
      <c r="F1364" s="63"/>
      <c r="G1364" s="50"/>
      <c r="H1364" s="57"/>
      <c r="I1364" s="227"/>
      <c r="J1364" s="57"/>
      <c r="K1364" s="50"/>
      <c r="L1364" s="57"/>
      <c r="M1364" s="228"/>
      <c r="N1364" s="18"/>
      <c r="O1364" s="50"/>
    </row>
    <row r="1365" spans="1:15" ht="21.75" customHeight="1" x14ac:dyDescent="0.4">
      <c r="A1365" s="62"/>
      <c r="B1365" s="32"/>
      <c r="C1365" s="32"/>
      <c r="D1365" s="18"/>
      <c r="E1365" s="63"/>
      <c r="F1365" s="63"/>
      <c r="G1365" s="50"/>
      <c r="H1365" s="57"/>
      <c r="I1365" s="227"/>
      <c r="J1365" s="57"/>
      <c r="K1365" s="50"/>
      <c r="L1365" s="57"/>
      <c r="M1365" s="228"/>
      <c r="N1365" s="18"/>
      <c r="O1365" s="50"/>
    </row>
    <row r="1366" spans="1:15" ht="21.75" customHeight="1" x14ac:dyDescent="0.4">
      <c r="A1366" s="62"/>
      <c r="B1366" s="32"/>
      <c r="C1366" s="32"/>
      <c r="D1366" s="18"/>
      <c r="E1366" s="63"/>
      <c r="F1366" s="63"/>
      <c r="G1366" s="50"/>
      <c r="H1366" s="57"/>
      <c r="I1366" s="227"/>
      <c r="J1366" s="57"/>
      <c r="K1366" s="50"/>
      <c r="L1366" s="57"/>
      <c r="M1366" s="228"/>
      <c r="N1366" s="18"/>
      <c r="O1366" s="50"/>
    </row>
    <row r="1367" spans="1:15" ht="21.75" customHeight="1" x14ac:dyDescent="0.4">
      <c r="A1367" s="62"/>
      <c r="B1367" s="32"/>
      <c r="C1367" s="32"/>
      <c r="D1367" s="18"/>
      <c r="E1367" s="63"/>
      <c r="F1367" s="63"/>
      <c r="G1367" s="50"/>
      <c r="H1367" s="57"/>
      <c r="I1367" s="227"/>
      <c r="J1367" s="57"/>
      <c r="K1367" s="50"/>
      <c r="L1367" s="57"/>
      <c r="M1367" s="228"/>
      <c r="N1367" s="18"/>
      <c r="O1367" s="50"/>
    </row>
    <row r="1368" spans="1:15" ht="21.75" customHeight="1" x14ac:dyDescent="0.4">
      <c r="A1368" s="62"/>
      <c r="B1368" s="32"/>
      <c r="C1368" s="32"/>
      <c r="D1368" s="18"/>
      <c r="E1368" s="63"/>
      <c r="F1368" s="63"/>
      <c r="G1368" s="50"/>
      <c r="H1368" s="57"/>
      <c r="I1368" s="227"/>
      <c r="J1368" s="57"/>
      <c r="K1368" s="50"/>
      <c r="L1368" s="57"/>
      <c r="M1368" s="228"/>
      <c r="N1368" s="18"/>
      <c r="O1368" s="50"/>
    </row>
    <row r="1369" spans="1:15" ht="21.75" customHeight="1" x14ac:dyDescent="0.4">
      <c r="A1369" s="62"/>
      <c r="B1369" s="32"/>
      <c r="C1369" s="32"/>
      <c r="D1369" s="18"/>
      <c r="E1369" s="63"/>
      <c r="F1369" s="63"/>
      <c r="G1369" s="50"/>
      <c r="H1369" s="57"/>
      <c r="I1369" s="227"/>
      <c r="J1369" s="57"/>
      <c r="K1369" s="50"/>
      <c r="L1369" s="57"/>
      <c r="M1369" s="228"/>
      <c r="N1369" s="18"/>
      <c r="O1369" s="50"/>
    </row>
    <row r="1370" spans="1:15" ht="21.75" customHeight="1" x14ac:dyDescent="0.4">
      <c r="A1370" s="62"/>
      <c r="B1370" s="32"/>
      <c r="C1370" s="32"/>
      <c r="D1370" s="18"/>
      <c r="E1370" s="63"/>
      <c r="F1370" s="63"/>
      <c r="G1370" s="50"/>
      <c r="H1370" s="57"/>
      <c r="I1370" s="227"/>
      <c r="J1370" s="57"/>
      <c r="K1370" s="50"/>
      <c r="L1370" s="57"/>
      <c r="M1370" s="228"/>
      <c r="N1370" s="18"/>
      <c r="O1370" s="50"/>
    </row>
    <row r="1371" spans="1:15" ht="21.75" customHeight="1" x14ac:dyDescent="0.4">
      <c r="A1371" s="62"/>
      <c r="B1371" s="32"/>
      <c r="C1371" s="32"/>
      <c r="D1371" s="18"/>
      <c r="E1371" s="63"/>
      <c r="F1371" s="63"/>
      <c r="G1371" s="50"/>
      <c r="H1371" s="57"/>
      <c r="I1371" s="227"/>
      <c r="J1371" s="57"/>
      <c r="K1371" s="50"/>
      <c r="L1371" s="57"/>
      <c r="M1371" s="228"/>
      <c r="N1371" s="18"/>
      <c r="O1371" s="50"/>
    </row>
    <row r="1372" spans="1:15" ht="21.75" customHeight="1" x14ac:dyDescent="0.4">
      <c r="A1372" s="62"/>
      <c r="B1372" s="32"/>
      <c r="C1372" s="32"/>
      <c r="D1372" s="18"/>
      <c r="E1372" s="63"/>
      <c r="F1372" s="63"/>
      <c r="G1372" s="50"/>
      <c r="H1372" s="57"/>
      <c r="I1372" s="227"/>
      <c r="J1372" s="57"/>
      <c r="K1372" s="50"/>
      <c r="L1372" s="57"/>
      <c r="M1372" s="228"/>
      <c r="N1372" s="18"/>
      <c r="O1372" s="50"/>
    </row>
    <row r="1373" spans="1:15" ht="21.75" customHeight="1" x14ac:dyDescent="0.4">
      <c r="A1373" s="62"/>
      <c r="B1373" s="32"/>
      <c r="C1373" s="32"/>
      <c r="D1373" s="18"/>
      <c r="E1373" s="63"/>
      <c r="F1373" s="63"/>
      <c r="G1373" s="50"/>
      <c r="H1373" s="57"/>
      <c r="I1373" s="227"/>
      <c r="J1373" s="57"/>
      <c r="K1373" s="50"/>
      <c r="L1373" s="57"/>
      <c r="M1373" s="228"/>
      <c r="N1373" s="18"/>
      <c r="O1373" s="50"/>
    </row>
    <row r="1374" spans="1:15" ht="21.75" customHeight="1" x14ac:dyDescent="0.4">
      <c r="A1374" s="62"/>
      <c r="B1374" s="32"/>
      <c r="C1374" s="32"/>
      <c r="D1374" s="18"/>
      <c r="E1374" s="63"/>
      <c r="F1374" s="63"/>
      <c r="G1374" s="50"/>
      <c r="H1374" s="57"/>
      <c r="I1374" s="227"/>
      <c r="J1374" s="57"/>
      <c r="K1374" s="50"/>
      <c r="L1374" s="57"/>
      <c r="M1374" s="228"/>
      <c r="N1374" s="18"/>
      <c r="O1374" s="50"/>
    </row>
    <row r="1375" spans="1:15" ht="21.75" customHeight="1" x14ac:dyDescent="0.4">
      <c r="A1375" s="62"/>
      <c r="B1375" s="32"/>
      <c r="C1375" s="32"/>
      <c r="D1375" s="18"/>
      <c r="E1375" s="63"/>
      <c r="F1375" s="63"/>
      <c r="G1375" s="50"/>
      <c r="H1375" s="57"/>
      <c r="I1375" s="227"/>
      <c r="J1375" s="57"/>
      <c r="K1375" s="50"/>
      <c r="L1375" s="57"/>
      <c r="M1375" s="228"/>
      <c r="N1375" s="18"/>
      <c r="O1375" s="50"/>
    </row>
    <row r="1376" spans="1:15" ht="21.75" customHeight="1" x14ac:dyDescent="0.4">
      <c r="A1376" s="62"/>
      <c r="B1376" s="32"/>
      <c r="C1376" s="32"/>
      <c r="D1376" s="18"/>
      <c r="E1376" s="63"/>
      <c r="F1376" s="63"/>
      <c r="G1376" s="50"/>
      <c r="H1376" s="57"/>
      <c r="I1376" s="227"/>
      <c r="J1376" s="57"/>
      <c r="K1376" s="50"/>
      <c r="L1376" s="57"/>
      <c r="M1376" s="228"/>
      <c r="N1376" s="18"/>
      <c r="O1376" s="50"/>
    </row>
    <row r="1377" spans="1:15" ht="21.75" customHeight="1" x14ac:dyDescent="0.4">
      <c r="A1377" s="62"/>
      <c r="B1377" s="32"/>
      <c r="C1377" s="32"/>
      <c r="D1377" s="18"/>
      <c r="E1377" s="63"/>
      <c r="F1377" s="63"/>
      <c r="G1377" s="50"/>
      <c r="H1377" s="57"/>
      <c r="I1377" s="227"/>
      <c r="J1377" s="57"/>
      <c r="K1377" s="50"/>
      <c r="L1377" s="57"/>
      <c r="M1377" s="228"/>
      <c r="N1377" s="18"/>
      <c r="O1377" s="50"/>
    </row>
    <row r="1378" spans="1:15" ht="21.75" customHeight="1" x14ac:dyDescent="0.4">
      <c r="A1378" s="62"/>
      <c r="B1378" s="32"/>
      <c r="C1378" s="32"/>
      <c r="D1378" s="18"/>
      <c r="E1378" s="63"/>
      <c r="F1378" s="63"/>
      <c r="G1378" s="50"/>
      <c r="H1378" s="57"/>
      <c r="I1378" s="227"/>
      <c r="J1378" s="57"/>
      <c r="K1378" s="50"/>
      <c r="L1378" s="57"/>
      <c r="M1378" s="228"/>
      <c r="N1378" s="18"/>
      <c r="O1378" s="50"/>
    </row>
    <row r="1379" spans="1:15" ht="21.75" customHeight="1" x14ac:dyDescent="0.4">
      <c r="A1379" s="62"/>
      <c r="B1379" s="32"/>
      <c r="C1379" s="32"/>
      <c r="D1379" s="18"/>
      <c r="E1379" s="63"/>
      <c r="F1379" s="63"/>
      <c r="G1379" s="50"/>
      <c r="H1379" s="57"/>
      <c r="I1379" s="227"/>
      <c r="J1379" s="57"/>
      <c r="K1379" s="50"/>
      <c r="L1379" s="57"/>
      <c r="M1379" s="228"/>
      <c r="N1379" s="18"/>
      <c r="O1379" s="50"/>
    </row>
    <row r="1380" spans="1:15" ht="21.75" customHeight="1" x14ac:dyDescent="0.4">
      <c r="A1380" s="62"/>
      <c r="B1380" s="32"/>
      <c r="C1380" s="32"/>
      <c r="D1380" s="18"/>
      <c r="E1380" s="63"/>
      <c r="F1380" s="63"/>
      <c r="G1380" s="50"/>
      <c r="H1380" s="57"/>
      <c r="I1380" s="227"/>
      <c r="J1380" s="57"/>
      <c r="K1380" s="50"/>
      <c r="L1380" s="57"/>
      <c r="M1380" s="228"/>
      <c r="N1380" s="18"/>
      <c r="O1380" s="50"/>
    </row>
    <row r="1381" spans="1:15" ht="21.75" customHeight="1" x14ac:dyDescent="0.4">
      <c r="A1381" s="62"/>
      <c r="B1381" s="32"/>
      <c r="C1381" s="32"/>
      <c r="D1381" s="18"/>
      <c r="E1381" s="63"/>
      <c r="F1381" s="63"/>
      <c r="G1381" s="50"/>
      <c r="H1381" s="57"/>
      <c r="I1381" s="227"/>
      <c r="J1381" s="57"/>
      <c r="K1381" s="50"/>
      <c r="L1381" s="57"/>
      <c r="M1381" s="228"/>
      <c r="N1381" s="18"/>
      <c r="O1381" s="50"/>
    </row>
    <row r="1382" spans="1:15" ht="21.75" customHeight="1" x14ac:dyDescent="0.4">
      <c r="A1382" s="62"/>
      <c r="B1382" s="32"/>
      <c r="C1382" s="32"/>
      <c r="D1382" s="18"/>
      <c r="E1382" s="63"/>
      <c r="F1382" s="63"/>
      <c r="G1382" s="50"/>
      <c r="H1382" s="57"/>
      <c r="I1382" s="227"/>
      <c r="J1382" s="57"/>
      <c r="K1382" s="50"/>
      <c r="L1382" s="57"/>
      <c r="M1382" s="228"/>
      <c r="N1382" s="18"/>
      <c r="O1382" s="50"/>
    </row>
    <row r="1383" spans="1:15" ht="21.75" customHeight="1" x14ac:dyDescent="0.4">
      <c r="A1383" s="62"/>
      <c r="B1383" s="32"/>
      <c r="C1383" s="32"/>
      <c r="D1383" s="18"/>
      <c r="E1383" s="63"/>
      <c r="F1383" s="63"/>
      <c r="G1383" s="50"/>
      <c r="H1383" s="57"/>
      <c r="I1383" s="227"/>
      <c r="J1383" s="57"/>
      <c r="K1383" s="50"/>
      <c r="L1383" s="57"/>
      <c r="M1383" s="228"/>
      <c r="N1383" s="18"/>
      <c r="O1383" s="50"/>
    </row>
    <row r="1384" spans="1:15" ht="21.75" customHeight="1" x14ac:dyDescent="0.4">
      <c r="A1384" s="62"/>
      <c r="B1384" s="32"/>
      <c r="C1384" s="32"/>
      <c r="D1384" s="18"/>
      <c r="E1384" s="63"/>
      <c r="F1384" s="63"/>
      <c r="G1384" s="50"/>
      <c r="H1384" s="57"/>
      <c r="I1384" s="227"/>
      <c r="J1384" s="57"/>
      <c r="K1384" s="50"/>
      <c r="L1384" s="57"/>
      <c r="M1384" s="228"/>
      <c r="N1384" s="18"/>
      <c r="O1384" s="50"/>
    </row>
    <row r="1385" spans="1:15" ht="21.75" customHeight="1" x14ac:dyDescent="0.4">
      <c r="A1385" s="62"/>
      <c r="B1385" s="32"/>
      <c r="C1385" s="32"/>
      <c r="D1385" s="18"/>
      <c r="E1385" s="63"/>
      <c r="F1385" s="63"/>
      <c r="G1385" s="50"/>
      <c r="H1385" s="57"/>
      <c r="I1385" s="227"/>
      <c r="J1385" s="57"/>
      <c r="K1385" s="50"/>
      <c r="L1385" s="57"/>
      <c r="M1385" s="228"/>
      <c r="N1385" s="18"/>
      <c r="O1385" s="50"/>
    </row>
    <row r="1386" spans="1:15" ht="21.75" customHeight="1" x14ac:dyDescent="0.4">
      <c r="A1386" s="62"/>
      <c r="B1386" s="32"/>
      <c r="C1386" s="32"/>
      <c r="D1386" s="18"/>
      <c r="E1386" s="63"/>
      <c r="F1386" s="63"/>
      <c r="G1386" s="50"/>
      <c r="H1386" s="57"/>
      <c r="I1386" s="227"/>
      <c r="J1386" s="57"/>
      <c r="K1386" s="50"/>
      <c r="L1386" s="57"/>
      <c r="M1386" s="228"/>
      <c r="N1386" s="18"/>
      <c r="O1386" s="50"/>
    </row>
    <row r="1387" spans="1:15" ht="21.75" customHeight="1" x14ac:dyDescent="0.4">
      <c r="A1387" s="62"/>
      <c r="B1387" s="32"/>
      <c r="C1387" s="32"/>
      <c r="D1387" s="18"/>
      <c r="E1387" s="63"/>
      <c r="F1387" s="63"/>
      <c r="G1387" s="50"/>
      <c r="H1387" s="57"/>
      <c r="I1387" s="227"/>
      <c r="J1387" s="57"/>
      <c r="K1387" s="50"/>
      <c r="L1387" s="57"/>
      <c r="M1387" s="228"/>
      <c r="N1387" s="18"/>
      <c r="O1387" s="50"/>
    </row>
    <row r="1388" spans="1:15" ht="21.75" customHeight="1" x14ac:dyDescent="0.4">
      <c r="A1388" s="62"/>
      <c r="B1388" s="32"/>
      <c r="C1388" s="32"/>
      <c r="D1388" s="18"/>
      <c r="E1388" s="63"/>
      <c r="F1388" s="63"/>
      <c r="G1388" s="50"/>
      <c r="H1388" s="57"/>
      <c r="I1388" s="227"/>
      <c r="J1388" s="57"/>
      <c r="K1388" s="50"/>
      <c r="L1388" s="57"/>
      <c r="M1388" s="228"/>
      <c r="N1388" s="18"/>
      <c r="O1388" s="50"/>
    </row>
    <row r="1389" spans="1:15" ht="21.75" customHeight="1" x14ac:dyDescent="0.4">
      <c r="A1389" s="62"/>
      <c r="B1389" s="32"/>
      <c r="C1389" s="32"/>
      <c r="D1389" s="18"/>
      <c r="E1389" s="63"/>
      <c r="F1389" s="63"/>
      <c r="G1389" s="50"/>
      <c r="H1389" s="57"/>
      <c r="I1389" s="227"/>
      <c r="J1389" s="57"/>
      <c r="K1389" s="50"/>
      <c r="L1389" s="57"/>
      <c r="M1389" s="228"/>
      <c r="N1389" s="18"/>
      <c r="O1389" s="50"/>
    </row>
    <row r="1390" spans="1:15" ht="21.75" customHeight="1" x14ac:dyDescent="0.4">
      <c r="A1390" s="62"/>
      <c r="B1390" s="32"/>
      <c r="C1390" s="32"/>
      <c r="D1390" s="18"/>
      <c r="E1390" s="63"/>
      <c r="F1390" s="63"/>
      <c r="G1390" s="50"/>
      <c r="H1390" s="57"/>
      <c r="I1390" s="227"/>
      <c r="J1390" s="57"/>
      <c r="K1390" s="50"/>
      <c r="L1390" s="57"/>
      <c r="M1390" s="228"/>
      <c r="N1390" s="18"/>
      <c r="O1390" s="50"/>
    </row>
    <row r="1391" spans="1:15" ht="21.75" customHeight="1" x14ac:dyDescent="0.4">
      <c r="A1391" s="62"/>
      <c r="B1391" s="32"/>
      <c r="C1391" s="32"/>
      <c r="D1391" s="18"/>
      <c r="E1391" s="63"/>
      <c r="F1391" s="63"/>
      <c r="G1391" s="50"/>
      <c r="H1391" s="57"/>
      <c r="I1391" s="227"/>
      <c r="J1391" s="57"/>
      <c r="K1391" s="50"/>
      <c r="L1391" s="57"/>
      <c r="M1391" s="228"/>
      <c r="N1391" s="18"/>
      <c r="O1391" s="50"/>
    </row>
    <row r="1392" spans="1:15" ht="21.75" customHeight="1" x14ac:dyDescent="0.4">
      <c r="A1392" s="62"/>
      <c r="B1392" s="32"/>
      <c r="C1392" s="32"/>
      <c r="D1392" s="18"/>
      <c r="E1392" s="63"/>
      <c r="F1392" s="63"/>
      <c r="G1392" s="50"/>
      <c r="H1392" s="57"/>
      <c r="I1392" s="227"/>
      <c r="J1392" s="57"/>
      <c r="K1392" s="50"/>
      <c r="L1392" s="57"/>
      <c r="M1392" s="228"/>
      <c r="N1392" s="18"/>
      <c r="O1392" s="50"/>
    </row>
    <row r="1393" spans="1:15" ht="21.75" customHeight="1" x14ac:dyDescent="0.4">
      <c r="A1393" s="62"/>
      <c r="B1393" s="32"/>
      <c r="C1393" s="32"/>
      <c r="D1393" s="18"/>
      <c r="E1393" s="63"/>
      <c r="F1393" s="63"/>
      <c r="G1393" s="50"/>
      <c r="H1393" s="57"/>
      <c r="I1393" s="227"/>
      <c r="J1393" s="57"/>
      <c r="K1393" s="50"/>
      <c r="L1393" s="57"/>
      <c r="M1393" s="228"/>
      <c r="N1393" s="18"/>
      <c r="O1393" s="50"/>
    </row>
    <row r="1394" spans="1:15" ht="21.75" customHeight="1" x14ac:dyDescent="0.4">
      <c r="A1394" s="62"/>
      <c r="B1394" s="32"/>
      <c r="C1394" s="32"/>
      <c r="D1394" s="18"/>
      <c r="E1394" s="63"/>
      <c r="F1394" s="63"/>
      <c r="G1394" s="50"/>
      <c r="H1394" s="57"/>
      <c r="I1394" s="227"/>
      <c r="J1394" s="57"/>
      <c r="K1394" s="50"/>
      <c r="L1394" s="57"/>
      <c r="M1394" s="228"/>
      <c r="N1394" s="18"/>
      <c r="O1394" s="50"/>
    </row>
    <row r="1395" spans="1:15" ht="21.75" customHeight="1" x14ac:dyDescent="0.4">
      <c r="A1395" s="62"/>
      <c r="B1395" s="32"/>
      <c r="C1395" s="32"/>
      <c r="D1395" s="18"/>
      <c r="E1395" s="63"/>
      <c r="F1395" s="63"/>
      <c r="G1395" s="50"/>
      <c r="H1395" s="57"/>
      <c r="I1395" s="227"/>
      <c r="J1395" s="57"/>
      <c r="K1395" s="50"/>
      <c r="L1395" s="57"/>
      <c r="M1395" s="228"/>
      <c r="N1395" s="18"/>
      <c r="O1395" s="50"/>
    </row>
    <row r="1396" spans="1:15" ht="21.75" customHeight="1" x14ac:dyDescent="0.4">
      <c r="A1396" s="62"/>
      <c r="B1396" s="32"/>
      <c r="C1396" s="32"/>
      <c r="D1396" s="18"/>
      <c r="E1396" s="63"/>
      <c r="F1396" s="63"/>
      <c r="G1396" s="50"/>
      <c r="H1396" s="57"/>
      <c r="I1396" s="227"/>
      <c r="J1396" s="57"/>
      <c r="K1396" s="50"/>
      <c r="L1396" s="57"/>
      <c r="M1396" s="228"/>
      <c r="N1396" s="18"/>
      <c r="O1396" s="50"/>
    </row>
    <row r="1397" spans="1:15" ht="21.75" customHeight="1" x14ac:dyDescent="0.4">
      <c r="A1397" s="62"/>
      <c r="B1397" s="32"/>
      <c r="C1397" s="32"/>
      <c r="D1397" s="18"/>
      <c r="E1397" s="63"/>
      <c r="F1397" s="63"/>
      <c r="G1397" s="50"/>
      <c r="H1397" s="57"/>
      <c r="I1397" s="227"/>
      <c r="J1397" s="57"/>
      <c r="K1397" s="50"/>
      <c r="L1397" s="57"/>
      <c r="M1397" s="228"/>
      <c r="N1397" s="18"/>
      <c r="O1397" s="50"/>
    </row>
    <row r="1398" spans="1:15" ht="21.75" customHeight="1" x14ac:dyDescent="0.4">
      <c r="A1398" s="62"/>
      <c r="B1398" s="32"/>
      <c r="C1398" s="32"/>
      <c r="D1398" s="18"/>
      <c r="E1398" s="63"/>
      <c r="F1398" s="63"/>
      <c r="G1398" s="50"/>
      <c r="H1398" s="57"/>
      <c r="I1398" s="227"/>
      <c r="J1398" s="57"/>
      <c r="K1398" s="50"/>
      <c r="L1398" s="57"/>
      <c r="M1398" s="228"/>
      <c r="N1398" s="18"/>
      <c r="O1398" s="50"/>
    </row>
    <row r="1399" spans="1:15" ht="21.75" customHeight="1" x14ac:dyDescent="0.4">
      <c r="A1399" s="62"/>
      <c r="B1399" s="32"/>
      <c r="C1399" s="32"/>
      <c r="D1399" s="18"/>
      <c r="E1399" s="63"/>
      <c r="F1399" s="63"/>
      <c r="G1399" s="50"/>
      <c r="H1399" s="57"/>
      <c r="I1399" s="227"/>
      <c r="J1399" s="57"/>
      <c r="K1399" s="50"/>
      <c r="L1399" s="57"/>
      <c r="M1399" s="228"/>
      <c r="N1399" s="18"/>
      <c r="O1399" s="50"/>
    </row>
    <row r="1400" spans="1:15" ht="21.75" customHeight="1" x14ac:dyDescent="0.4">
      <c r="A1400" s="62"/>
      <c r="B1400" s="32"/>
      <c r="C1400" s="32"/>
      <c r="D1400" s="18"/>
      <c r="E1400" s="63"/>
      <c r="F1400" s="63"/>
      <c r="G1400" s="50"/>
      <c r="H1400" s="57"/>
      <c r="I1400" s="227"/>
      <c r="J1400" s="57"/>
      <c r="K1400" s="50"/>
      <c r="L1400" s="57"/>
      <c r="M1400" s="228"/>
      <c r="N1400" s="18"/>
      <c r="O1400" s="50"/>
    </row>
    <row r="1401" spans="1:15" ht="21.75" customHeight="1" x14ac:dyDescent="0.4">
      <c r="A1401" s="62"/>
      <c r="B1401" s="32"/>
      <c r="C1401" s="32"/>
      <c r="D1401" s="18"/>
      <c r="E1401" s="63"/>
      <c r="F1401" s="63"/>
      <c r="G1401" s="50"/>
      <c r="H1401" s="57"/>
      <c r="I1401" s="227"/>
      <c r="J1401" s="57"/>
      <c r="K1401" s="50"/>
      <c r="L1401" s="57"/>
      <c r="M1401" s="228"/>
      <c r="N1401" s="18"/>
      <c r="O1401" s="50"/>
    </row>
    <row r="1402" spans="1:15" ht="21.75" customHeight="1" x14ac:dyDescent="0.4">
      <c r="A1402" s="62"/>
      <c r="B1402" s="32"/>
      <c r="C1402" s="32"/>
      <c r="D1402" s="18"/>
      <c r="E1402" s="63"/>
      <c r="F1402" s="63"/>
      <c r="G1402" s="50"/>
      <c r="H1402" s="57"/>
      <c r="I1402" s="227"/>
      <c r="J1402" s="57"/>
      <c r="K1402" s="50"/>
      <c r="L1402" s="57"/>
      <c r="M1402" s="228"/>
      <c r="N1402" s="18"/>
      <c r="O1402" s="50"/>
    </row>
    <row r="1403" spans="1:15" ht="21.75" customHeight="1" x14ac:dyDescent="0.4">
      <c r="A1403" s="62"/>
      <c r="B1403" s="32"/>
      <c r="C1403" s="32"/>
      <c r="D1403" s="18"/>
      <c r="E1403" s="63"/>
      <c r="F1403" s="63"/>
      <c r="G1403" s="50"/>
      <c r="H1403" s="57"/>
      <c r="I1403" s="227"/>
      <c r="J1403" s="57"/>
      <c r="K1403" s="50"/>
      <c r="L1403" s="57"/>
      <c r="M1403" s="228"/>
      <c r="N1403" s="18"/>
      <c r="O1403" s="50"/>
    </row>
    <row r="1404" spans="1:15" ht="21.75" customHeight="1" x14ac:dyDescent="0.4">
      <c r="A1404" s="62"/>
      <c r="B1404" s="32"/>
      <c r="C1404" s="32"/>
      <c r="D1404" s="18"/>
      <c r="E1404" s="63"/>
      <c r="F1404" s="63"/>
      <c r="G1404" s="50"/>
      <c r="H1404" s="57"/>
      <c r="I1404" s="227"/>
      <c r="J1404" s="57"/>
      <c r="K1404" s="50"/>
      <c r="L1404" s="57"/>
      <c r="M1404" s="228"/>
      <c r="N1404" s="18"/>
      <c r="O1404" s="50"/>
    </row>
    <row r="1405" spans="1:15" ht="21.75" customHeight="1" x14ac:dyDescent="0.4">
      <c r="A1405" s="62"/>
      <c r="B1405" s="32"/>
      <c r="C1405" s="32"/>
      <c r="D1405" s="18"/>
      <c r="E1405" s="63"/>
      <c r="F1405" s="63"/>
      <c r="G1405" s="50"/>
      <c r="H1405" s="57"/>
      <c r="I1405" s="227"/>
      <c r="J1405" s="57"/>
      <c r="K1405" s="50"/>
      <c r="L1405" s="57"/>
      <c r="M1405" s="228"/>
      <c r="N1405" s="18"/>
      <c r="O1405" s="50"/>
    </row>
    <row r="1406" spans="1:15" ht="21.75" customHeight="1" x14ac:dyDescent="0.4">
      <c r="A1406" s="62"/>
      <c r="B1406" s="32"/>
      <c r="C1406" s="32"/>
      <c r="D1406" s="18"/>
      <c r="E1406" s="63"/>
      <c r="F1406" s="63"/>
      <c r="G1406" s="50"/>
      <c r="H1406" s="57"/>
      <c r="I1406" s="227"/>
      <c r="J1406" s="57"/>
      <c r="K1406" s="50"/>
      <c r="L1406" s="57"/>
      <c r="M1406" s="228"/>
      <c r="N1406" s="18"/>
      <c r="O1406" s="50"/>
    </row>
    <row r="1407" spans="1:15" ht="21.75" customHeight="1" x14ac:dyDescent="0.4">
      <c r="A1407" s="62"/>
      <c r="B1407" s="32"/>
      <c r="C1407" s="32"/>
      <c r="D1407" s="18"/>
      <c r="E1407" s="63"/>
      <c r="F1407" s="63"/>
      <c r="G1407" s="50"/>
      <c r="H1407" s="57"/>
      <c r="I1407" s="227"/>
      <c r="J1407" s="57"/>
      <c r="K1407" s="50"/>
      <c r="L1407" s="57"/>
      <c r="M1407" s="228"/>
      <c r="N1407" s="18"/>
      <c r="O1407" s="50"/>
    </row>
    <row r="1408" spans="1:15" ht="21.75" customHeight="1" x14ac:dyDescent="0.4">
      <c r="A1408" s="62"/>
      <c r="B1408" s="32"/>
      <c r="C1408" s="32"/>
      <c r="D1408" s="18"/>
      <c r="E1408" s="63"/>
      <c r="F1408" s="63"/>
      <c r="G1408" s="50"/>
      <c r="H1408" s="57"/>
      <c r="I1408" s="227"/>
      <c r="J1408" s="57"/>
      <c r="K1408" s="50"/>
      <c r="L1408" s="57"/>
      <c r="M1408" s="228"/>
      <c r="N1408" s="18"/>
      <c r="O1408" s="50"/>
    </row>
    <row r="1409" spans="1:15" ht="21.75" customHeight="1" x14ac:dyDescent="0.4">
      <c r="A1409" s="62"/>
      <c r="B1409" s="32"/>
      <c r="C1409" s="32"/>
      <c r="D1409" s="18"/>
      <c r="E1409" s="63"/>
      <c r="F1409" s="63"/>
      <c r="G1409" s="50"/>
      <c r="H1409" s="57"/>
      <c r="I1409" s="227"/>
      <c r="J1409" s="57"/>
      <c r="K1409" s="50"/>
      <c r="L1409" s="57"/>
      <c r="M1409" s="228"/>
      <c r="N1409" s="18"/>
      <c r="O1409" s="50"/>
    </row>
    <row r="1410" spans="1:15" ht="21.75" customHeight="1" x14ac:dyDescent="0.4">
      <c r="A1410" s="62"/>
      <c r="B1410" s="32"/>
      <c r="C1410" s="32"/>
      <c r="D1410" s="18"/>
      <c r="E1410" s="63"/>
      <c r="F1410" s="63"/>
      <c r="G1410" s="50"/>
      <c r="H1410" s="57"/>
      <c r="I1410" s="227"/>
      <c r="J1410" s="57"/>
      <c r="K1410" s="50"/>
      <c r="L1410" s="57"/>
      <c r="M1410" s="228"/>
      <c r="N1410" s="18"/>
      <c r="O1410" s="50"/>
    </row>
    <row r="1411" spans="1:15" ht="21.75" customHeight="1" x14ac:dyDescent="0.4">
      <c r="A1411" s="62"/>
      <c r="B1411" s="32"/>
      <c r="C1411" s="32"/>
      <c r="D1411" s="18"/>
      <c r="E1411" s="63"/>
      <c r="F1411" s="63"/>
      <c r="G1411" s="50"/>
      <c r="H1411" s="57"/>
      <c r="I1411" s="227"/>
      <c r="J1411" s="57"/>
      <c r="K1411" s="50"/>
      <c r="L1411" s="57"/>
      <c r="M1411" s="228"/>
      <c r="N1411" s="18"/>
      <c r="O1411" s="50"/>
    </row>
    <row r="1412" spans="1:15" ht="21.75" customHeight="1" x14ac:dyDescent="0.4">
      <c r="A1412" s="62"/>
      <c r="B1412" s="32"/>
      <c r="C1412" s="32"/>
      <c r="D1412" s="18"/>
      <c r="E1412" s="63"/>
      <c r="F1412" s="63"/>
      <c r="G1412" s="50"/>
      <c r="H1412" s="57"/>
      <c r="I1412" s="227"/>
      <c r="J1412" s="57"/>
      <c r="K1412" s="50"/>
      <c r="L1412" s="57"/>
      <c r="M1412" s="228"/>
      <c r="N1412" s="18"/>
      <c r="O1412" s="50"/>
    </row>
    <row r="1413" spans="1:15" ht="21.75" customHeight="1" x14ac:dyDescent="0.4">
      <c r="A1413" s="62"/>
      <c r="B1413" s="32"/>
      <c r="C1413" s="32"/>
      <c r="D1413" s="18"/>
      <c r="E1413" s="63"/>
      <c r="F1413" s="63"/>
      <c r="G1413" s="50"/>
      <c r="H1413" s="57"/>
      <c r="I1413" s="227"/>
      <c r="J1413" s="57"/>
      <c r="K1413" s="50"/>
      <c r="L1413" s="57"/>
      <c r="M1413" s="228"/>
      <c r="N1413" s="18"/>
      <c r="O1413" s="50"/>
    </row>
    <row r="1414" spans="1:15" ht="21.75" customHeight="1" x14ac:dyDescent="0.4">
      <c r="A1414" s="62"/>
      <c r="B1414" s="32"/>
      <c r="C1414" s="32"/>
      <c r="D1414" s="18"/>
      <c r="E1414" s="63"/>
      <c r="F1414" s="63"/>
      <c r="G1414" s="50"/>
      <c r="H1414" s="57"/>
      <c r="I1414" s="227"/>
      <c r="J1414" s="57"/>
      <c r="K1414" s="50"/>
      <c r="L1414" s="57"/>
      <c r="M1414" s="228"/>
      <c r="N1414" s="18"/>
      <c r="O1414" s="50"/>
    </row>
    <row r="1415" spans="1:15" ht="21.75" customHeight="1" x14ac:dyDescent="0.4">
      <c r="A1415" s="62"/>
      <c r="B1415" s="32"/>
      <c r="C1415" s="32"/>
      <c r="D1415" s="18"/>
      <c r="E1415" s="63"/>
      <c r="F1415" s="63"/>
      <c r="G1415" s="50"/>
      <c r="H1415" s="57"/>
      <c r="I1415" s="227"/>
      <c r="J1415" s="57"/>
      <c r="K1415" s="50"/>
      <c r="L1415" s="57"/>
      <c r="M1415" s="228"/>
      <c r="N1415" s="18"/>
      <c r="O1415" s="50"/>
    </row>
    <row r="1416" spans="1:15" ht="21.75" customHeight="1" x14ac:dyDescent="0.4">
      <c r="A1416" s="62"/>
      <c r="B1416" s="32"/>
      <c r="C1416" s="32"/>
      <c r="D1416" s="18"/>
      <c r="E1416" s="63"/>
      <c r="F1416" s="63"/>
      <c r="G1416" s="50"/>
      <c r="H1416" s="57"/>
      <c r="I1416" s="227"/>
      <c r="J1416" s="57"/>
      <c r="K1416" s="50"/>
      <c r="L1416" s="57"/>
      <c r="M1416" s="228"/>
      <c r="N1416" s="18"/>
      <c r="O1416" s="50"/>
    </row>
    <row r="1417" spans="1:15" ht="21.75" customHeight="1" x14ac:dyDescent="0.4">
      <c r="A1417" s="62"/>
      <c r="B1417" s="32"/>
      <c r="C1417" s="32"/>
      <c r="D1417" s="18"/>
      <c r="E1417" s="63"/>
      <c r="F1417" s="63"/>
      <c r="G1417" s="50"/>
      <c r="H1417" s="57"/>
      <c r="I1417" s="227"/>
      <c r="J1417" s="57"/>
      <c r="K1417" s="50"/>
      <c r="L1417" s="57"/>
      <c r="M1417" s="228"/>
      <c r="N1417" s="18"/>
      <c r="O1417" s="50"/>
    </row>
    <row r="1418" spans="1:15" ht="21.75" customHeight="1" x14ac:dyDescent="0.4">
      <c r="A1418" s="62"/>
      <c r="B1418" s="32"/>
      <c r="C1418" s="32"/>
      <c r="D1418" s="18"/>
      <c r="E1418" s="63"/>
      <c r="F1418" s="63"/>
      <c r="G1418" s="50"/>
      <c r="H1418" s="57"/>
      <c r="I1418" s="227"/>
      <c r="J1418" s="57"/>
      <c r="K1418" s="50"/>
      <c r="L1418" s="57"/>
      <c r="M1418" s="228"/>
      <c r="N1418" s="18"/>
      <c r="O1418" s="50"/>
    </row>
    <row r="1419" spans="1:15" ht="21.75" customHeight="1" x14ac:dyDescent="0.4">
      <c r="A1419" s="62"/>
      <c r="B1419" s="32"/>
      <c r="C1419" s="32"/>
      <c r="D1419" s="18"/>
      <c r="E1419" s="63"/>
      <c r="F1419" s="63"/>
      <c r="G1419" s="50"/>
      <c r="H1419" s="57"/>
      <c r="I1419" s="227"/>
      <c r="J1419" s="57"/>
      <c r="K1419" s="50"/>
      <c r="L1419" s="57"/>
      <c r="M1419" s="228"/>
      <c r="N1419" s="18"/>
      <c r="O1419" s="50"/>
    </row>
    <row r="1420" spans="1:15" ht="21.75" customHeight="1" x14ac:dyDescent="0.4">
      <c r="A1420" s="62"/>
      <c r="B1420" s="32"/>
      <c r="C1420" s="32"/>
      <c r="D1420" s="18"/>
      <c r="E1420" s="63"/>
      <c r="F1420" s="63"/>
      <c r="G1420" s="50"/>
      <c r="H1420" s="57"/>
      <c r="I1420" s="227"/>
      <c r="J1420" s="57"/>
      <c r="K1420" s="50"/>
      <c r="L1420" s="57"/>
      <c r="M1420" s="228"/>
      <c r="N1420" s="18"/>
      <c r="O1420" s="50"/>
    </row>
    <row r="1421" spans="1:15" ht="21.75" customHeight="1" x14ac:dyDescent="0.4">
      <c r="A1421" s="62"/>
      <c r="B1421" s="32"/>
      <c r="C1421" s="32"/>
      <c r="D1421" s="18"/>
      <c r="E1421" s="63"/>
      <c r="F1421" s="63"/>
      <c r="G1421" s="50"/>
      <c r="H1421" s="57"/>
      <c r="I1421" s="227"/>
      <c r="J1421" s="57"/>
      <c r="K1421" s="50"/>
      <c r="L1421" s="57"/>
      <c r="M1421" s="228"/>
      <c r="N1421" s="18"/>
      <c r="O1421" s="50"/>
    </row>
    <row r="1422" spans="1:15" ht="21.75" customHeight="1" x14ac:dyDescent="0.4">
      <c r="A1422" s="62"/>
      <c r="B1422" s="32"/>
      <c r="C1422" s="32"/>
      <c r="D1422" s="18"/>
      <c r="E1422" s="63"/>
      <c r="F1422" s="63"/>
      <c r="G1422" s="50"/>
      <c r="H1422" s="57"/>
      <c r="I1422" s="227"/>
      <c r="J1422" s="57"/>
      <c r="K1422" s="50"/>
      <c r="L1422" s="57"/>
      <c r="M1422" s="228"/>
      <c r="N1422" s="18"/>
      <c r="O1422" s="50"/>
    </row>
    <row r="1423" spans="1:15" ht="21.75" customHeight="1" x14ac:dyDescent="0.4">
      <c r="A1423" s="62"/>
      <c r="B1423" s="32"/>
      <c r="C1423" s="32"/>
      <c r="D1423" s="18"/>
      <c r="E1423" s="63"/>
      <c r="F1423" s="63"/>
      <c r="G1423" s="50"/>
      <c r="H1423" s="57"/>
      <c r="I1423" s="227"/>
      <c r="J1423" s="57"/>
      <c r="K1423" s="50"/>
      <c r="L1423" s="57"/>
      <c r="M1423" s="228"/>
      <c r="N1423" s="18"/>
      <c r="O1423" s="50"/>
    </row>
    <row r="1424" spans="1:15" ht="21.75" customHeight="1" x14ac:dyDescent="0.4">
      <c r="A1424" s="62"/>
      <c r="B1424" s="32"/>
      <c r="C1424" s="32"/>
      <c r="D1424" s="18"/>
      <c r="E1424" s="63"/>
      <c r="F1424" s="63"/>
      <c r="G1424" s="50"/>
      <c r="H1424" s="57"/>
      <c r="I1424" s="227"/>
      <c r="J1424" s="57"/>
      <c r="K1424" s="50"/>
      <c r="L1424" s="57"/>
      <c r="M1424" s="228"/>
      <c r="N1424" s="18"/>
      <c r="O1424" s="50"/>
    </row>
    <row r="1425" spans="1:15" ht="21.75" customHeight="1" x14ac:dyDescent="0.4">
      <c r="A1425" s="62"/>
      <c r="B1425" s="32"/>
      <c r="C1425" s="32"/>
      <c r="D1425" s="18"/>
      <c r="E1425" s="63"/>
      <c r="F1425" s="63"/>
      <c r="G1425" s="50"/>
      <c r="H1425" s="57"/>
      <c r="I1425" s="227"/>
      <c r="J1425" s="57"/>
      <c r="K1425" s="50"/>
      <c r="L1425" s="57"/>
      <c r="M1425" s="228"/>
      <c r="N1425" s="18"/>
      <c r="O1425" s="50"/>
    </row>
    <row r="1426" spans="1:15" ht="21.75" customHeight="1" x14ac:dyDescent="0.4">
      <c r="A1426" s="62"/>
      <c r="B1426" s="32"/>
      <c r="C1426" s="32"/>
      <c r="D1426" s="18"/>
      <c r="E1426" s="63"/>
      <c r="F1426" s="63"/>
      <c r="G1426" s="50"/>
      <c r="H1426" s="57"/>
      <c r="I1426" s="227"/>
      <c r="J1426" s="57"/>
      <c r="K1426" s="50"/>
      <c r="L1426" s="57"/>
      <c r="M1426" s="228"/>
      <c r="N1426" s="18"/>
      <c r="O1426" s="50"/>
    </row>
    <row r="1427" spans="1:15" ht="21.75" customHeight="1" x14ac:dyDescent="0.4">
      <c r="A1427" s="62"/>
      <c r="B1427" s="32"/>
      <c r="C1427" s="32"/>
      <c r="D1427" s="18"/>
      <c r="E1427" s="63"/>
      <c r="F1427" s="63"/>
      <c r="G1427" s="50"/>
      <c r="H1427" s="57"/>
      <c r="I1427" s="227"/>
      <c r="J1427" s="57"/>
      <c r="K1427" s="50"/>
      <c r="L1427" s="57"/>
      <c r="M1427" s="228"/>
      <c r="N1427" s="18"/>
      <c r="O1427" s="50"/>
    </row>
    <row r="1428" spans="1:15" ht="21.75" customHeight="1" x14ac:dyDescent="0.4">
      <c r="A1428" s="62"/>
      <c r="B1428" s="32"/>
      <c r="C1428" s="32"/>
      <c r="D1428" s="18"/>
      <c r="E1428" s="63"/>
      <c r="F1428" s="63"/>
      <c r="G1428" s="50"/>
      <c r="H1428" s="57"/>
      <c r="I1428" s="227"/>
      <c r="J1428" s="57"/>
      <c r="K1428" s="50"/>
      <c r="L1428" s="57"/>
      <c r="M1428" s="228"/>
      <c r="N1428" s="18"/>
      <c r="O1428" s="50"/>
    </row>
    <row r="1429" spans="1:15" ht="21.75" customHeight="1" x14ac:dyDescent="0.4">
      <c r="A1429" s="62"/>
      <c r="B1429" s="32"/>
      <c r="C1429" s="32"/>
      <c r="D1429" s="18"/>
      <c r="E1429" s="63"/>
      <c r="F1429" s="63"/>
      <c r="G1429" s="50"/>
      <c r="H1429" s="57"/>
      <c r="I1429" s="227"/>
      <c r="J1429" s="57"/>
      <c r="K1429" s="50"/>
      <c r="L1429" s="57"/>
      <c r="M1429" s="228"/>
      <c r="N1429" s="18"/>
      <c r="O1429" s="50"/>
    </row>
    <row r="1430" spans="1:15" ht="21.75" customHeight="1" x14ac:dyDescent="0.4">
      <c r="A1430" s="62"/>
      <c r="B1430" s="32"/>
      <c r="C1430" s="32"/>
      <c r="D1430" s="18"/>
      <c r="E1430" s="63"/>
      <c r="F1430" s="63"/>
      <c r="G1430" s="50"/>
      <c r="H1430" s="57"/>
      <c r="I1430" s="227"/>
      <c r="J1430" s="57"/>
      <c r="K1430" s="50"/>
      <c r="L1430" s="57"/>
      <c r="M1430" s="228"/>
      <c r="N1430" s="18"/>
      <c r="O1430" s="50"/>
    </row>
    <row r="1431" spans="1:15" ht="21.75" customHeight="1" x14ac:dyDescent="0.4">
      <c r="A1431" s="62"/>
      <c r="B1431" s="32"/>
      <c r="C1431" s="32"/>
      <c r="D1431" s="18"/>
      <c r="E1431" s="63"/>
      <c r="F1431" s="63"/>
      <c r="G1431" s="50"/>
      <c r="H1431" s="57"/>
      <c r="I1431" s="227"/>
      <c r="J1431" s="57"/>
      <c r="K1431" s="50"/>
      <c r="L1431" s="57"/>
      <c r="M1431" s="228"/>
      <c r="N1431" s="18"/>
      <c r="O1431" s="50"/>
    </row>
    <row r="1432" spans="1:15" ht="21.75" customHeight="1" x14ac:dyDescent="0.4">
      <c r="A1432" s="62"/>
      <c r="B1432" s="32"/>
      <c r="C1432" s="32"/>
      <c r="D1432" s="18"/>
      <c r="E1432" s="63"/>
      <c r="F1432" s="63"/>
      <c r="G1432" s="50"/>
      <c r="H1432" s="57"/>
      <c r="I1432" s="227"/>
      <c r="J1432" s="57"/>
      <c r="K1432" s="50"/>
      <c r="L1432" s="57"/>
      <c r="M1432" s="228"/>
      <c r="N1432" s="18"/>
      <c r="O1432" s="50"/>
    </row>
    <row r="1433" spans="1:15" ht="21.75" customHeight="1" x14ac:dyDescent="0.4">
      <c r="A1433" s="62"/>
      <c r="B1433" s="32"/>
      <c r="C1433" s="32"/>
      <c r="D1433" s="18"/>
      <c r="E1433" s="63"/>
      <c r="F1433" s="63"/>
      <c r="G1433" s="50"/>
      <c r="H1433" s="57"/>
      <c r="I1433" s="227"/>
      <c r="J1433" s="57"/>
      <c r="K1433" s="50"/>
      <c r="L1433" s="57"/>
      <c r="M1433" s="228"/>
      <c r="N1433" s="18"/>
      <c r="O1433" s="50"/>
    </row>
    <row r="1434" spans="1:15" ht="21.75" customHeight="1" x14ac:dyDescent="0.4">
      <c r="A1434" s="62"/>
      <c r="B1434" s="32"/>
      <c r="C1434" s="32"/>
      <c r="D1434" s="18"/>
      <c r="E1434" s="63"/>
      <c r="F1434" s="63"/>
      <c r="G1434" s="50"/>
      <c r="H1434" s="57"/>
      <c r="I1434" s="227"/>
      <c r="J1434" s="57"/>
      <c r="K1434" s="50"/>
      <c r="L1434" s="57"/>
      <c r="M1434" s="228"/>
      <c r="N1434" s="18"/>
      <c r="O1434" s="50"/>
    </row>
    <row r="1435" spans="1:15" ht="21.75" customHeight="1" x14ac:dyDescent="0.4">
      <c r="A1435" s="62"/>
      <c r="B1435" s="32"/>
      <c r="C1435" s="32"/>
      <c r="D1435" s="18"/>
      <c r="E1435" s="63"/>
      <c r="F1435" s="63"/>
      <c r="G1435" s="50"/>
      <c r="H1435" s="57"/>
      <c r="I1435" s="227"/>
      <c r="J1435" s="57"/>
      <c r="K1435" s="50"/>
      <c r="L1435" s="57"/>
      <c r="M1435" s="228"/>
      <c r="N1435" s="18"/>
      <c r="O1435" s="50"/>
    </row>
    <row r="1436" spans="1:15" ht="21.75" customHeight="1" x14ac:dyDescent="0.4">
      <c r="A1436" s="62"/>
      <c r="B1436" s="32"/>
      <c r="C1436" s="32"/>
      <c r="D1436" s="18"/>
      <c r="E1436" s="63"/>
      <c r="F1436" s="63"/>
      <c r="G1436" s="50"/>
      <c r="H1436" s="57"/>
      <c r="I1436" s="227"/>
      <c r="J1436" s="57"/>
      <c r="K1436" s="50"/>
      <c r="L1436" s="57"/>
      <c r="M1436" s="228"/>
      <c r="N1436" s="18"/>
      <c r="O1436" s="50"/>
    </row>
    <row r="1437" spans="1:15" ht="21.75" customHeight="1" x14ac:dyDescent="0.4">
      <c r="A1437" s="62"/>
      <c r="B1437" s="32"/>
      <c r="C1437" s="32"/>
      <c r="D1437" s="18"/>
      <c r="E1437" s="63"/>
      <c r="F1437" s="63"/>
      <c r="G1437" s="50"/>
      <c r="H1437" s="57"/>
      <c r="I1437" s="227"/>
      <c r="J1437" s="57"/>
      <c r="K1437" s="50"/>
      <c r="L1437" s="57"/>
      <c r="M1437" s="228"/>
      <c r="N1437" s="18"/>
      <c r="O1437" s="50"/>
    </row>
    <row r="1438" spans="1:15" ht="21.75" customHeight="1" x14ac:dyDescent="0.4">
      <c r="A1438" s="62"/>
      <c r="B1438" s="32"/>
      <c r="C1438" s="32"/>
      <c r="D1438" s="18"/>
      <c r="E1438" s="63"/>
      <c r="F1438" s="63"/>
      <c r="G1438" s="50"/>
      <c r="H1438" s="57"/>
      <c r="I1438" s="227"/>
      <c r="J1438" s="57"/>
      <c r="K1438" s="50"/>
      <c r="L1438" s="57"/>
      <c r="M1438" s="228"/>
      <c r="N1438" s="18"/>
      <c r="O1438" s="50"/>
    </row>
    <row r="1439" spans="1:15" ht="21.75" customHeight="1" x14ac:dyDescent="0.4">
      <c r="A1439" s="62"/>
      <c r="B1439" s="32"/>
      <c r="C1439" s="32"/>
      <c r="D1439" s="18"/>
      <c r="E1439" s="63"/>
      <c r="F1439" s="63"/>
      <c r="G1439" s="50"/>
      <c r="H1439" s="57"/>
      <c r="I1439" s="227"/>
      <c r="J1439" s="57"/>
      <c r="K1439" s="50"/>
      <c r="L1439" s="57"/>
      <c r="M1439" s="228"/>
      <c r="N1439" s="18"/>
      <c r="O1439" s="50"/>
    </row>
    <row r="1440" spans="1:15" ht="21.75" customHeight="1" x14ac:dyDescent="0.4">
      <c r="A1440" s="62"/>
      <c r="B1440" s="32"/>
      <c r="C1440" s="32"/>
      <c r="D1440" s="18"/>
      <c r="E1440" s="63"/>
      <c r="F1440" s="63"/>
      <c r="G1440" s="50"/>
      <c r="H1440" s="57"/>
      <c r="I1440" s="227"/>
      <c r="J1440" s="57"/>
      <c r="K1440" s="50"/>
      <c r="L1440" s="57"/>
      <c r="M1440" s="228"/>
      <c r="N1440" s="18"/>
      <c r="O1440" s="50"/>
    </row>
    <row r="1441" spans="1:15" ht="21.75" customHeight="1" x14ac:dyDescent="0.4">
      <c r="A1441" s="62"/>
      <c r="B1441" s="32"/>
      <c r="C1441" s="32"/>
      <c r="D1441" s="18"/>
      <c r="E1441" s="63"/>
      <c r="F1441" s="63"/>
      <c r="G1441" s="50"/>
      <c r="H1441" s="57"/>
      <c r="I1441" s="227"/>
      <c r="J1441" s="57"/>
      <c r="K1441" s="50"/>
      <c r="L1441" s="57"/>
      <c r="M1441" s="228"/>
      <c r="N1441" s="18"/>
      <c r="O1441" s="50"/>
    </row>
    <row r="1442" spans="1:15" ht="21.75" customHeight="1" x14ac:dyDescent="0.4">
      <c r="A1442" s="62"/>
      <c r="B1442" s="32"/>
      <c r="C1442" s="32"/>
      <c r="D1442" s="18"/>
      <c r="E1442" s="63"/>
      <c r="F1442" s="63"/>
      <c r="G1442" s="50"/>
      <c r="H1442" s="57"/>
      <c r="I1442" s="227"/>
      <c r="J1442" s="57"/>
      <c r="K1442" s="50"/>
      <c r="L1442" s="57"/>
      <c r="M1442" s="228"/>
      <c r="N1442" s="18"/>
      <c r="O1442" s="50"/>
    </row>
    <row r="1443" spans="1:15" ht="21.75" customHeight="1" x14ac:dyDescent="0.4">
      <c r="A1443" s="62"/>
      <c r="B1443" s="32"/>
      <c r="C1443" s="32"/>
      <c r="D1443" s="18"/>
      <c r="E1443" s="63"/>
      <c r="F1443" s="63"/>
      <c r="G1443" s="50"/>
      <c r="H1443" s="57"/>
      <c r="I1443" s="227"/>
      <c r="J1443" s="57"/>
      <c r="K1443" s="50"/>
      <c r="L1443" s="57"/>
      <c r="M1443" s="228"/>
      <c r="N1443" s="18"/>
      <c r="O1443" s="50"/>
    </row>
    <row r="1444" spans="1:15" ht="21.75" customHeight="1" x14ac:dyDescent="0.4">
      <c r="A1444" s="62"/>
      <c r="B1444" s="32"/>
      <c r="C1444" s="32"/>
      <c r="D1444" s="18"/>
      <c r="E1444" s="63"/>
      <c r="F1444" s="63"/>
      <c r="G1444" s="50"/>
      <c r="H1444" s="57"/>
      <c r="I1444" s="227"/>
      <c r="J1444" s="57"/>
      <c r="K1444" s="50"/>
      <c r="L1444" s="57"/>
      <c r="M1444" s="228"/>
      <c r="N1444" s="18"/>
      <c r="O1444" s="50"/>
    </row>
    <row r="1445" spans="1:15" ht="21.75" customHeight="1" x14ac:dyDescent="0.4">
      <c r="A1445" s="62"/>
      <c r="B1445" s="32"/>
      <c r="C1445" s="32"/>
      <c r="D1445" s="18"/>
      <c r="E1445" s="63"/>
      <c r="F1445" s="63"/>
      <c r="G1445" s="50"/>
      <c r="H1445" s="57"/>
      <c r="I1445" s="227"/>
      <c r="J1445" s="57"/>
      <c r="K1445" s="50"/>
      <c r="L1445" s="57"/>
      <c r="M1445" s="228"/>
      <c r="N1445" s="18"/>
      <c r="O1445" s="50"/>
    </row>
    <row r="1446" spans="1:15" ht="21.75" customHeight="1" x14ac:dyDescent="0.4">
      <c r="A1446" s="62"/>
      <c r="B1446" s="32"/>
      <c r="C1446" s="32"/>
      <c r="D1446" s="18"/>
      <c r="E1446" s="63"/>
      <c r="F1446" s="63"/>
      <c r="G1446" s="50"/>
      <c r="H1446" s="57"/>
      <c r="I1446" s="227"/>
      <c r="J1446" s="57"/>
      <c r="K1446" s="50"/>
      <c r="L1446" s="57"/>
      <c r="M1446" s="228"/>
      <c r="N1446" s="18"/>
      <c r="O1446" s="50"/>
    </row>
    <row r="1447" spans="1:15" ht="21.75" customHeight="1" x14ac:dyDescent="0.4">
      <c r="A1447" s="62"/>
      <c r="B1447" s="32"/>
      <c r="C1447" s="32"/>
      <c r="D1447" s="18"/>
      <c r="E1447" s="63"/>
      <c r="F1447" s="63"/>
      <c r="G1447" s="50"/>
      <c r="H1447" s="57"/>
      <c r="I1447" s="227"/>
      <c r="J1447" s="57"/>
      <c r="K1447" s="50"/>
      <c r="L1447" s="57"/>
      <c r="M1447" s="228"/>
      <c r="N1447" s="18"/>
      <c r="O1447" s="50"/>
    </row>
    <row r="1448" spans="1:15" ht="21.75" customHeight="1" x14ac:dyDescent="0.4">
      <c r="A1448" s="62"/>
      <c r="B1448" s="32"/>
      <c r="C1448" s="32"/>
      <c r="D1448" s="18"/>
      <c r="E1448" s="63"/>
      <c r="F1448" s="63"/>
      <c r="G1448" s="50"/>
      <c r="H1448" s="57"/>
      <c r="I1448" s="227"/>
      <c r="J1448" s="57"/>
      <c r="K1448" s="50"/>
      <c r="L1448" s="57"/>
      <c r="M1448" s="228"/>
      <c r="N1448" s="18"/>
      <c r="O1448" s="50"/>
    </row>
    <row r="1449" spans="1:15" ht="21.75" customHeight="1" x14ac:dyDescent="0.4">
      <c r="A1449" s="62"/>
      <c r="B1449" s="32"/>
      <c r="C1449" s="32"/>
      <c r="D1449" s="18"/>
      <c r="E1449" s="63"/>
      <c r="F1449" s="63"/>
      <c r="G1449" s="50"/>
      <c r="H1449" s="57"/>
      <c r="I1449" s="227"/>
      <c r="J1449" s="57"/>
      <c r="K1449" s="50"/>
      <c r="L1449" s="57"/>
      <c r="M1449" s="228"/>
      <c r="N1449" s="18"/>
      <c r="O1449" s="50"/>
    </row>
    <row r="1450" spans="1:15" ht="21.75" customHeight="1" x14ac:dyDescent="0.4">
      <c r="A1450" s="62"/>
      <c r="B1450" s="32"/>
      <c r="C1450" s="32"/>
      <c r="D1450" s="18"/>
      <c r="E1450" s="63"/>
      <c r="F1450" s="63"/>
      <c r="G1450" s="50"/>
      <c r="H1450" s="57"/>
      <c r="I1450" s="227"/>
      <c r="J1450" s="57"/>
      <c r="K1450" s="50"/>
      <c r="L1450" s="57"/>
      <c r="M1450" s="228"/>
      <c r="N1450" s="18"/>
      <c r="O1450" s="50"/>
    </row>
    <row r="1451" spans="1:15" ht="21.75" customHeight="1" x14ac:dyDescent="0.4">
      <c r="A1451" s="62"/>
      <c r="B1451" s="32"/>
      <c r="C1451" s="32"/>
      <c r="D1451" s="18"/>
      <c r="E1451" s="63"/>
      <c r="F1451" s="63"/>
      <c r="G1451" s="50"/>
      <c r="H1451" s="57"/>
      <c r="I1451" s="227"/>
      <c r="J1451" s="57"/>
      <c r="K1451" s="50"/>
      <c r="L1451" s="57"/>
      <c r="M1451" s="228"/>
      <c r="N1451" s="18"/>
      <c r="O1451" s="50"/>
    </row>
    <row r="1452" spans="1:15" ht="21.75" customHeight="1" x14ac:dyDescent="0.4">
      <c r="A1452" s="62"/>
      <c r="B1452" s="32"/>
      <c r="C1452" s="32"/>
      <c r="D1452" s="18"/>
      <c r="E1452" s="63"/>
      <c r="F1452" s="63"/>
      <c r="G1452" s="50"/>
      <c r="H1452" s="57"/>
      <c r="I1452" s="227"/>
      <c r="J1452" s="57"/>
      <c r="K1452" s="50"/>
      <c r="L1452" s="57"/>
      <c r="M1452" s="228"/>
      <c r="N1452" s="18"/>
      <c r="O1452" s="50"/>
    </row>
    <row r="1453" spans="1:15" ht="21.75" customHeight="1" x14ac:dyDescent="0.4">
      <c r="A1453" s="62"/>
      <c r="B1453" s="32"/>
      <c r="C1453" s="32"/>
      <c r="D1453" s="18"/>
      <c r="E1453" s="63"/>
      <c r="F1453" s="63"/>
      <c r="G1453" s="50"/>
      <c r="H1453" s="57"/>
      <c r="I1453" s="227"/>
      <c r="J1453" s="57"/>
      <c r="K1453" s="50"/>
      <c r="L1453" s="57"/>
      <c r="M1453" s="228"/>
      <c r="N1453" s="18"/>
      <c r="O1453" s="50"/>
    </row>
    <row r="1454" spans="1:15" ht="21.75" customHeight="1" x14ac:dyDescent="0.4">
      <c r="A1454" s="62"/>
      <c r="B1454" s="32"/>
      <c r="C1454" s="32"/>
      <c r="D1454" s="18"/>
      <c r="E1454" s="63"/>
      <c r="F1454" s="63"/>
      <c r="G1454" s="50"/>
      <c r="H1454" s="57"/>
      <c r="I1454" s="227"/>
      <c r="J1454" s="57"/>
      <c r="K1454" s="50"/>
      <c r="L1454" s="57"/>
      <c r="M1454" s="228"/>
      <c r="N1454" s="18"/>
      <c r="O1454" s="50"/>
    </row>
    <row r="1455" spans="1:15" ht="21.75" customHeight="1" x14ac:dyDescent="0.4">
      <c r="A1455" s="62"/>
      <c r="B1455" s="32"/>
      <c r="C1455" s="32"/>
      <c r="D1455" s="18"/>
      <c r="E1455" s="63"/>
      <c r="F1455" s="63"/>
      <c r="G1455" s="50"/>
      <c r="H1455" s="57"/>
      <c r="I1455" s="227"/>
      <c r="J1455" s="57"/>
      <c r="K1455" s="50"/>
      <c r="L1455" s="57"/>
      <c r="M1455" s="228"/>
      <c r="N1455" s="18"/>
      <c r="O1455" s="50"/>
    </row>
    <row r="1456" spans="1:15" ht="21.75" customHeight="1" x14ac:dyDescent="0.4">
      <c r="A1456" s="62"/>
      <c r="B1456" s="32"/>
      <c r="C1456" s="32"/>
      <c r="D1456" s="18"/>
      <c r="E1456" s="63"/>
      <c r="F1456" s="63"/>
      <c r="G1456" s="50"/>
      <c r="H1456" s="57"/>
      <c r="I1456" s="227"/>
      <c r="J1456" s="57"/>
      <c r="K1456" s="50"/>
      <c r="L1456" s="57"/>
      <c r="M1456" s="228"/>
      <c r="N1456" s="18"/>
      <c r="O1456" s="50"/>
    </row>
    <row r="1457" spans="1:15" ht="21.75" customHeight="1" x14ac:dyDescent="0.4">
      <c r="A1457" s="62"/>
      <c r="B1457" s="32"/>
      <c r="C1457" s="32"/>
      <c r="D1457" s="18"/>
      <c r="E1457" s="63"/>
      <c r="F1457" s="63"/>
      <c r="G1457" s="50"/>
      <c r="H1457" s="57"/>
      <c r="I1457" s="227"/>
      <c r="J1457" s="57"/>
      <c r="K1457" s="50"/>
      <c r="L1457" s="57"/>
      <c r="M1457" s="228"/>
      <c r="N1457" s="18"/>
      <c r="O1457" s="50"/>
    </row>
    <row r="1458" spans="1:15" ht="21.75" customHeight="1" x14ac:dyDescent="0.4">
      <c r="A1458" s="62"/>
      <c r="B1458" s="32"/>
      <c r="C1458" s="32"/>
      <c r="D1458" s="18"/>
      <c r="E1458" s="63"/>
      <c r="F1458" s="63"/>
      <c r="G1458" s="50"/>
      <c r="H1458" s="57"/>
      <c r="I1458" s="227"/>
      <c r="J1458" s="57"/>
      <c r="K1458" s="50"/>
      <c r="L1458" s="57"/>
      <c r="M1458" s="228"/>
      <c r="N1458" s="18"/>
      <c r="O1458" s="50"/>
    </row>
    <row r="1459" spans="1:15" ht="21.75" customHeight="1" x14ac:dyDescent="0.4">
      <c r="A1459" s="62"/>
      <c r="B1459" s="32"/>
      <c r="C1459" s="32"/>
      <c r="D1459" s="18"/>
      <c r="E1459" s="63"/>
      <c r="F1459" s="63"/>
      <c r="G1459" s="50"/>
      <c r="H1459" s="57"/>
      <c r="I1459" s="227"/>
      <c r="J1459" s="57"/>
      <c r="K1459" s="50"/>
      <c r="L1459" s="57"/>
      <c r="M1459" s="228"/>
      <c r="N1459" s="18"/>
      <c r="O1459" s="50"/>
    </row>
    <row r="1460" spans="1:15" ht="21.75" customHeight="1" x14ac:dyDescent="0.4">
      <c r="A1460" s="62"/>
      <c r="B1460" s="32"/>
      <c r="C1460" s="32"/>
      <c r="D1460" s="18"/>
      <c r="E1460" s="63"/>
      <c r="F1460" s="63"/>
      <c r="G1460" s="50"/>
      <c r="H1460" s="57"/>
      <c r="I1460" s="227"/>
      <c r="J1460" s="57"/>
      <c r="K1460" s="50"/>
      <c r="L1460" s="57"/>
      <c r="M1460" s="228"/>
      <c r="N1460" s="18"/>
      <c r="O1460" s="50"/>
    </row>
    <row r="1461" spans="1:15" ht="21.75" customHeight="1" x14ac:dyDescent="0.4">
      <c r="A1461" s="62"/>
      <c r="B1461" s="32"/>
      <c r="C1461" s="32"/>
      <c r="D1461" s="18"/>
      <c r="E1461" s="63"/>
      <c r="F1461" s="63"/>
      <c r="G1461" s="50"/>
      <c r="H1461" s="57"/>
      <c r="I1461" s="227"/>
      <c r="J1461" s="57"/>
      <c r="K1461" s="50"/>
      <c r="L1461" s="57"/>
      <c r="M1461" s="228"/>
      <c r="N1461" s="18"/>
      <c r="O1461" s="50"/>
    </row>
    <row r="1462" spans="1:15" ht="21.75" customHeight="1" x14ac:dyDescent="0.4">
      <c r="A1462" s="62"/>
      <c r="B1462" s="32"/>
      <c r="C1462" s="32"/>
      <c r="D1462" s="18"/>
      <c r="E1462" s="63"/>
      <c r="F1462" s="63"/>
      <c r="G1462" s="50"/>
      <c r="H1462" s="57"/>
      <c r="I1462" s="227"/>
      <c r="J1462" s="57"/>
      <c r="K1462" s="50"/>
      <c r="L1462" s="57"/>
      <c r="M1462" s="228"/>
      <c r="N1462" s="18"/>
      <c r="O1462" s="50"/>
    </row>
    <row r="1463" spans="1:15" ht="21.75" customHeight="1" x14ac:dyDescent="0.4">
      <c r="A1463" s="62"/>
      <c r="B1463" s="32"/>
      <c r="C1463" s="32"/>
      <c r="D1463" s="18"/>
      <c r="E1463" s="63"/>
      <c r="F1463" s="63"/>
      <c r="G1463" s="50"/>
      <c r="H1463" s="57"/>
      <c r="I1463" s="227"/>
      <c r="J1463" s="57"/>
      <c r="K1463" s="50"/>
      <c r="L1463" s="57"/>
      <c r="M1463" s="228"/>
      <c r="N1463" s="18"/>
      <c r="O1463" s="50"/>
    </row>
    <row r="1464" spans="1:15" ht="21.75" customHeight="1" x14ac:dyDescent="0.4">
      <c r="A1464" s="62"/>
      <c r="B1464" s="32"/>
      <c r="C1464" s="32"/>
      <c r="D1464" s="18"/>
      <c r="E1464" s="63"/>
      <c r="F1464" s="63"/>
      <c r="G1464" s="50"/>
      <c r="H1464" s="57"/>
      <c r="I1464" s="227"/>
      <c r="J1464" s="57"/>
      <c r="K1464" s="50"/>
      <c r="L1464" s="57"/>
      <c r="M1464" s="228"/>
      <c r="N1464" s="18"/>
      <c r="O1464" s="50"/>
    </row>
    <row r="1465" spans="1:15" ht="21.75" customHeight="1" x14ac:dyDescent="0.4">
      <c r="A1465" s="62"/>
      <c r="B1465" s="32"/>
      <c r="C1465" s="32"/>
      <c r="D1465" s="18"/>
      <c r="E1465" s="63"/>
      <c r="F1465" s="63"/>
      <c r="G1465" s="50"/>
      <c r="H1465" s="57"/>
      <c r="I1465" s="227"/>
      <c r="J1465" s="57"/>
      <c r="K1465" s="50"/>
      <c r="L1465" s="57"/>
      <c r="M1465" s="228"/>
      <c r="N1465" s="18"/>
      <c r="O1465" s="50"/>
    </row>
    <row r="1466" spans="1:15" ht="21.75" customHeight="1" x14ac:dyDescent="0.4">
      <c r="A1466" s="62"/>
      <c r="B1466" s="32"/>
      <c r="C1466" s="32"/>
      <c r="D1466" s="18"/>
      <c r="E1466" s="63"/>
      <c r="F1466" s="63"/>
      <c r="G1466" s="50"/>
      <c r="H1466" s="57"/>
      <c r="I1466" s="227"/>
      <c r="J1466" s="57"/>
      <c r="K1466" s="50"/>
      <c r="L1466" s="57"/>
      <c r="M1466" s="228"/>
      <c r="N1466" s="18"/>
      <c r="O1466" s="50"/>
    </row>
    <row r="1467" spans="1:15" ht="21.75" customHeight="1" x14ac:dyDescent="0.4">
      <c r="A1467" s="62"/>
      <c r="B1467" s="32"/>
      <c r="C1467" s="32"/>
      <c r="D1467" s="18"/>
      <c r="E1467" s="63"/>
      <c r="F1467" s="63"/>
      <c r="G1467" s="50"/>
      <c r="H1467" s="57"/>
      <c r="I1467" s="227"/>
      <c r="J1467" s="57"/>
      <c r="K1467" s="50"/>
      <c r="L1467" s="57"/>
      <c r="M1467" s="228"/>
      <c r="N1467" s="18"/>
      <c r="O1467" s="50"/>
    </row>
    <row r="1468" spans="1:15" ht="21.75" customHeight="1" x14ac:dyDescent="0.4">
      <c r="A1468" s="62"/>
      <c r="B1468" s="32"/>
      <c r="C1468" s="32"/>
      <c r="D1468" s="18"/>
      <c r="E1468" s="63"/>
      <c r="F1468" s="63"/>
      <c r="G1468" s="50"/>
      <c r="H1468" s="57"/>
      <c r="I1468" s="227"/>
      <c r="J1468" s="57"/>
      <c r="K1468" s="50"/>
      <c r="L1468" s="57"/>
      <c r="M1468" s="228"/>
      <c r="N1468" s="18"/>
      <c r="O1468" s="50"/>
    </row>
    <row r="1469" spans="1:15" ht="21.75" customHeight="1" x14ac:dyDescent="0.4">
      <c r="A1469" s="62"/>
      <c r="B1469" s="32"/>
      <c r="C1469" s="32"/>
      <c r="D1469" s="18"/>
      <c r="E1469" s="63"/>
      <c r="F1469" s="63"/>
      <c r="G1469" s="50"/>
      <c r="H1469" s="57"/>
      <c r="I1469" s="227"/>
      <c r="J1469" s="57"/>
      <c r="K1469" s="50"/>
      <c r="L1469" s="57"/>
      <c r="M1469" s="228"/>
      <c r="N1469" s="18"/>
      <c r="O1469" s="50"/>
    </row>
    <row r="1470" spans="1:15" ht="21.75" customHeight="1" x14ac:dyDescent="0.4">
      <c r="A1470" s="62"/>
      <c r="B1470" s="32"/>
      <c r="C1470" s="32"/>
      <c r="D1470" s="18"/>
      <c r="E1470" s="63"/>
      <c r="F1470" s="63"/>
      <c r="G1470" s="50"/>
      <c r="H1470" s="57"/>
      <c r="I1470" s="227"/>
      <c r="J1470" s="57"/>
      <c r="K1470" s="50"/>
      <c r="L1470" s="57"/>
      <c r="M1470" s="228"/>
      <c r="N1470" s="18"/>
      <c r="O1470" s="50"/>
    </row>
    <row r="1471" spans="1:15" ht="21.75" customHeight="1" x14ac:dyDescent="0.4">
      <c r="A1471" s="62"/>
      <c r="B1471" s="32"/>
      <c r="C1471" s="32"/>
      <c r="D1471" s="18"/>
      <c r="E1471" s="63"/>
      <c r="F1471" s="63"/>
      <c r="G1471" s="50"/>
      <c r="H1471" s="57"/>
      <c r="I1471" s="227"/>
      <c r="J1471" s="57"/>
      <c r="K1471" s="50"/>
      <c r="L1471" s="57"/>
      <c r="M1471" s="228"/>
      <c r="N1471" s="18"/>
      <c r="O1471" s="50"/>
    </row>
    <row r="1472" spans="1:15" ht="21.75" customHeight="1" x14ac:dyDescent="0.4">
      <c r="A1472" s="62"/>
      <c r="B1472" s="32"/>
      <c r="C1472" s="32"/>
      <c r="D1472" s="18"/>
      <c r="E1472" s="63"/>
      <c r="F1472" s="63"/>
      <c r="G1472" s="50"/>
      <c r="H1472" s="57"/>
      <c r="I1472" s="227"/>
      <c r="J1472" s="57"/>
      <c r="K1472" s="50"/>
      <c r="L1472" s="57"/>
      <c r="M1472" s="228"/>
      <c r="N1472" s="18"/>
      <c r="O1472" s="50"/>
    </row>
    <row r="1473" spans="1:15" ht="21.75" customHeight="1" x14ac:dyDescent="0.4">
      <c r="A1473" s="62"/>
      <c r="B1473" s="32"/>
      <c r="C1473" s="32"/>
      <c r="D1473" s="18"/>
      <c r="E1473" s="63"/>
      <c r="F1473" s="63"/>
      <c r="G1473" s="50"/>
      <c r="H1473" s="57"/>
      <c r="I1473" s="227"/>
      <c r="J1473" s="57"/>
      <c r="K1473" s="50"/>
      <c r="L1473" s="57"/>
      <c r="M1473" s="228"/>
      <c r="N1473" s="18"/>
      <c r="O1473" s="50"/>
    </row>
    <row r="1474" spans="1:15" ht="21.75" customHeight="1" x14ac:dyDescent="0.4">
      <c r="A1474" s="62"/>
      <c r="B1474" s="32"/>
      <c r="C1474" s="32"/>
      <c r="D1474" s="18"/>
      <c r="E1474" s="63"/>
      <c r="F1474" s="63"/>
      <c r="G1474" s="50"/>
      <c r="H1474" s="57"/>
      <c r="I1474" s="227"/>
      <c r="J1474" s="57"/>
      <c r="K1474" s="50"/>
      <c r="L1474" s="57"/>
      <c r="M1474" s="228"/>
      <c r="N1474" s="18"/>
      <c r="O1474" s="50"/>
    </row>
    <row r="1475" spans="1:15" ht="21.75" customHeight="1" x14ac:dyDescent="0.4">
      <c r="A1475" s="62"/>
      <c r="B1475" s="32"/>
      <c r="C1475" s="32"/>
      <c r="D1475" s="18"/>
      <c r="E1475" s="63"/>
      <c r="F1475" s="63"/>
      <c r="G1475" s="50"/>
      <c r="H1475" s="57"/>
      <c r="I1475" s="227"/>
      <c r="J1475" s="57"/>
      <c r="K1475" s="50"/>
      <c r="L1475" s="57"/>
      <c r="M1475" s="228"/>
      <c r="N1475" s="18"/>
      <c r="O1475" s="50"/>
    </row>
    <row r="1476" spans="1:15" ht="21.75" customHeight="1" x14ac:dyDescent="0.4">
      <c r="A1476" s="62"/>
      <c r="B1476" s="32"/>
      <c r="C1476" s="32"/>
      <c r="D1476" s="18"/>
      <c r="E1476" s="63"/>
      <c r="F1476" s="63"/>
      <c r="G1476" s="50"/>
      <c r="H1476" s="57"/>
      <c r="I1476" s="227"/>
      <c r="J1476" s="57"/>
      <c r="K1476" s="50"/>
      <c r="L1476" s="57"/>
      <c r="M1476" s="228"/>
      <c r="N1476" s="18"/>
      <c r="O1476" s="50"/>
    </row>
    <row r="1477" spans="1:15" ht="21.75" customHeight="1" x14ac:dyDescent="0.4">
      <c r="A1477" s="62"/>
      <c r="B1477" s="32"/>
      <c r="C1477" s="32"/>
      <c r="D1477" s="18"/>
      <c r="E1477" s="63"/>
      <c r="F1477" s="63"/>
      <c r="G1477" s="50"/>
      <c r="H1477" s="57"/>
      <c r="I1477" s="227"/>
      <c r="J1477" s="57"/>
      <c r="K1477" s="50"/>
      <c r="L1477" s="57"/>
      <c r="M1477" s="228"/>
      <c r="N1477" s="18"/>
      <c r="O1477" s="50"/>
    </row>
    <row r="1478" spans="1:15" ht="21.75" customHeight="1" x14ac:dyDescent="0.4">
      <c r="A1478" s="62"/>
      <c r="B1478" s="32"/>
      <c r="C1478" s="32"/>
      <c r="D1478" s="18"/>
      <c r="E1478" s="63"/>
      <c r="F1478" s="63"/>
      <c r="G1478" s="50"/>
      <c r="H1478" s="57"/>
      <c r="I1478" s="227"/>
      <c r="J1478" s="57"/>
      <c r="K1478" s="50"/>
      <c r="L1478" s="57"/>
      <c r="M1478" s="228"/>
      <c r="N1478" s="18"/>
      <c r="O1478" s="50"/>
    </row>
    <row r="1479" spans="1:15" ht="21.75" customHeight="1" x14ac:dyDescent="0.4">
      <c r="A1479" s="62"/>
      <c r="B1479" s="32"/>
      <c r="C1479" s="32"/>
      <c r="D1479" s="18"/>
      <c r="E1479" s="63"/>
      <c r="F1479" s="63"/>
      <c r="G1479" s="50"/>
      <c r="H1479" s="57"/>
      <c r="I1479" s="227"/>
      <c r="J1479" s="57"/>
      <c r="K1479" s="50"/>
      <c r="L1479" s="57"/>
      <c r="M1479" s="228"/>
      <c r="N1479" s="18"/>
      <c r="O1479" s="50"/>
    </row>
    <row r="1480" spans="1:15" ht="21.75" customHeight="1" x14ac:dyDescent="0.4">
      <c r="A1480" s="62"/>
      <c r="B1480" s="32"/>
      <c r="C1480" s="32"/>
      <c r="D1480" s="18"/>
      <c r="E1480" s="63"/>
      <c r="F1480" s="63"/>
      <c r="G1480" s="50"/>
      <c r="H1480" s="57"/>
      <c r="I1480" s="227"/>
      <c r="J1480" s="57"/>
      <c r="K1480" s="50"/>
      <c r="L1480" s="57"/>
      <c r="M1480" s="228"/>
      <c r="N1480" s="18"/>
      <c r="O1480" s="50"/>
    </row>
    <row r="1481" spans="1:15" ht="21.75" customHeight="1" x14ac:dyDescent="0.4">
      <c r="A1481" s="62"/>
      <c r="B1481" s="32"/>
      <c r="C1481" s="32"/>
      <c r="D1481" s="18"/>
      <c r="E1481" s="63"/>
      <c r="F1481" s="63"/>
      <c r="G1481" s="50"/>
      <c r="H1481" s="57"/>
      <c r="I1481" s="227"/>
      <c r="J1481" s="57"/>
      <c r="K1481" s="50"/>
      <c r="L1481" s="57"/>
      <c r="M1481" s="228"/>
      <c r="N1481" s="18"/>
      <c r="O1481" s="50"/>
    </row>
    <row r="1482" spans="1:15" ht="21.75" customHeight="1" x14ac:dyDescent="0.4">
      <c r="A1482" s="62"/>
      <c r="B1482" s="32"/>
      <c r="C1482" s="32"/>
      <c r="D1482" s="18"/>
      <c r="E1482" s="63"/>
      <c r="F1482" s="63"/>
      <c r="G1482" s="50"/>
      <c r="H1482" s="57"/>
      <c r="I1482" s="227"/>
      <c r="J1482" s="57"/>
      <c r="K1482" s="50"/>
      <c r="L1482" s="57"/>
      <c r="M1482" s="228"/>
      <c r="N1482" s="18"/>
      <c r="O1482" s="50"/>
    </row>
    <row r="1483" spans="1:15" ht="21.75" customHeight="1" x14ac:dyDescent="0.4">
      <c r="A1483" s="62"/>
      <c r="B1483" s="32"/>
      <c r="C1483" s="32"/>
      <c r="D1483" s="18"/>
      <c r="E1483" s="63"/>
      <c r="F1483" s="63"/>
      <c r="G1483" s="50"/>
      <c r="H1483" s="57"/>
      <c r="I1483" s="227"/>
      <c r="J1483" s="57"/>
      <c r="K1483" s="50"/>
      <c r="L1483" s="57"/>
      <c r="M1483" s="228"/>
      <c r="N1483" s="18"/>
      <c r="O1483" s="50"/>
    </row>
    <row r="1484" spans="1:15" ht="21.75" customHeight="1" x14ac:dyDescent="0.4">
      <c r="A1484" s="62"/>
      <c r="B1484" s="32"/>
      <c r="C1484" s="32"/>
      <c r="D1484" s="18"/>
      <c r="E1484" s="63"/>
      <c r="F1484" s="63"/>
      <c r="G1484" s="50"/>
      <c r="H1484" s="57"/>
      <c r="I1484" s="227"/>
      <c r="J1484" s="57"/>
      <c r="K1484" s="50"/>
      <c r="L1484" s="57"/>
      <c r="M1484" s="228"/>
      <c r="N1484" s="18"/>
      <c r="O1484" s="50"/>
    </row>
    <row r="1485" spans="1:15" ht="21.75" customHeight="1" x14ac:dyDescent="0.4">
      <c r="A1485" s="62"/>
      <c r="B1485" s="32"/>
      <c r="C1485" s="32"/>
      <c r="D1485" s="18"/>
      <c r="E1485" s="63"/>
      <c r="F1485" s="63"/>
      <c r="G1485" s="50"/>
      <c r="H1485" s="57"/>
      <c r="I1485" s="227"/>
      <c r="J1485" s="57"/>
      <c r="K1485" s="50"/>
      <c r="L1485" s="57"/>
      <c r="M1485" s="228"/>
      <c r="N1485" s="18"/>
      <c r="O1485" s="50"/>
    </row>
    <row r="1486" spans="1:15" ht="21.75" customHeight="1" x14ac:dyDescent="0.4">
      <c r="A1486" s="62"/>
      <c r="B1486" s="32"/>
      <c r="C1486" s="32"/>
      <c r="D1486" s="18"/>
      <c r="E1486" s="63"/>
      <c r="F1486" s="63"/>
      <c r="G1486" s="50"/>
      <c r="H1486" s="57"/>
      <c r="I1486" s="227"/>
      <c r="J1486" s="57"/>
      <c r="K1486" s="50"/>
      <c r="L1486" s="57"/>
      <c r="M1486" s="228"/>
      <c r="N1486" s="18"/>
      <c r="O1486" s="50"/>
    </row>
    <row r="1487" spans="1:15" ht="21.75" customHeight="1" x14ac:dyDescent="0.4">
      <c r="A1487" s="62"/>
      <c r="B1487" s="32"/>
      <c r="C1487" s="32"/>
      <c r="D1487" s="18"/>
      <c r="E1487" s="63"/>
      <c r="F1487" s="63"/>
      <c r="G1487" s="50"/>
      <c r="H1487" s="57"/>
      <c r="I1487" s="227"/>
      <c r="J1487" s="57"/>
      <c r="K1487" s="50"/>
      <c r="L1487" s="57"/>
      <c r="M1487" s="228"/>
      <c r="N1487" s="18"/>
      <c r="O1487" s="50"/>
    </row>
    <row r="1488" spans="1:15" ht="21.75" customHeight="1" x14ac:dyDescent="0.4">
      <c r="A1488" s="62"/>
      <c r="B1488" s="32"/>
      <c r="C1488" s="32"/>
      <c r="D1488" s="18"/>
      <c r="E1488" s="63"/>
      <c r="F1488" s="63"/>
      <c r="G1488" s="50"/>
      <c r="H1488" s="57"/>
      <c r="I1488" s="227"/>
      <c r="J1488" s="57"/>
      <c r="K1488" s="50"/>
      <c r="L1488" s="57"/>
      <c r="M1488" s="228"/>
      <c r="N1488" s="18"/>
      <c r="O1488" s="50"/>
    </row>
    <row r="1489" spans="1:15" ht="21.75" customHeight="1" x14ac:dyDescent="0.4">
      <c r="A1489" s="62"/>
      <c r="B1489" s="32"/>
      <c r="C1489" s="32"/>
      <c r="D1489" s="18"/>
      <c r="E1489" s="63"/>
      <c r="F1489" s="63"/>
      <c r="G1489" s="50"/>
      <c r="H1489" s="57"/>
      <c r="I1489" s="227"/>
      <c r="J1489" s="57"/>
      <c r="K1489" s="50"/>
      <c r="L1489" s="57"/>
      <c r="M1489" s="228"/>
      <c r="N1489" s="18"/>
      <c r="O1489" s="50"/>
    </row>
    <row r="1490" spans="1:15" ht="21.75" customHeight="1" x14ac:dyDescent="0.4">
      <c r="A1490" s="62"/>
      <c r="B1490" s="32"/>
      <c r="C1490" s="32"/>
      <c r="D1490" s="18"/>
      <c r="E1490" s="63"/>
      <c r="F1490" s="63"/>
      <c r="G1490" s="50"/>
      <c r="H1490" s="57"/>
      <c r="I1490" s="227"/>
      <c r="J1490" s="57"/>
      <c r="K1490" s="50"/>
      <c r="L1490" s="57"/>
      <c r="M1490" s="228"/>
      <c r="N1490" s="18"/>
      <c r="O1490" s="50"/>
    </row>
    <row r="1491" spans="1:15" ht="21.75" customHeight="1" x14ac:dyDescent="0.4">
      <c r="A1491" s="62"/>
      <c r="B1491" s="32"/>
      <c r="C1491" s="32"/>
      <c r="D1491" s="18"/>
      <c r="E1491" s="63"/>
      <c r="F1491" s="63"/>
      <c r="G1491" s="50"/>
      <c r="H1491" s="57"/>
      <c r="I1491" s="227"/>
      <c r="J1491" s="57"/>
      <c r="K1491" s="50"/>
      <c r="L1491" s="57"/>
      <c r="M1491" s="228"/>
      <c r="N1491" s="18"/>
      <c r="O1491" s="50"/>
    </row>
    <row r="1492" spans="1:15" ht="21.75" customHeight="1" x14ac:dyDescent="0.4">
      <c r="A1492" s="62"/>
      <c r="B1492" s="32"/>
      <c r="C1492" s="32"/>
      <c r="D1492" s="18"/>
      <c r="E1492" s="63"/>
      <c r="F1492" s="63"/>
      <c r="G1492" s="50"/>
      <c r="H1492" s="57"/>
      <c r="I1492" s="227"/>
      <c r="J1492" s="57"/>
      <c r="K1492" s="50"/>
      <c r="L1492" s="57"/>
      <c r="M1492" s="228"/>
      <c r="N1492" s="18"/>
      <c r="O1492" s="50"/>
    </row>
    <row r="1493" spans="1:15" ht="21.75" customHeight="1" x14ac:dyDescent="0.4">
      <c r="A1493" s="62"/>
      <c r="B1493" s="32"/>
      <c r="C1493" s="32"/>
      <c r="D1493" s="18"/>
      <c r="E1493" s="63"/>
      <c r="F1493" s="63"/>
      <c r="G1493" s="50"/>
      <c r="H1493" s="57"/>
      <c r="I1493" s="227"/>
      <c r="J1493" s="57"/>
      <c r="K1493" s="50"/>
      <c r="L1493" s="57"/>
      <c r="M1493" s="228"/>
      <c r="N1493" s="18"/>
      <c r="O1493" s="50"/>
    </row>
    <row r="1494" spans="1:15" ht="21.75" customHeight="1" x14ac:dyDescent="0.4">
      <c r="A1494" s="62"/>
      <c r="B1494" s="32"/>
      <c r="C1494" s="32"/>
      <c r="D1494" s="18"/>
      <c r="E1494" s="63"/>
      <c r="F1494" s="63"/>
      <c r="G1494" s="50"/>
      <c r="H1494" s="57"/>
      <c r="I1494" s="227"/>
      <c r="J1494" s="57"/>
      <c r="K1494" s="50"/>
      <c r="L1494" s="57"/>
      <c r="M1494" s="228"/>
      <c r="N1494" s="18"/>
      <c r="O1494" s="50"/>
    </row>
    <row r="1495" spans="1:15" ht="21.75" customHeight="1" x14ac:dyDescent="0.4">
      <c r="A1495" s="62"/>
      <c r="B1495" s="32"/>
      <c r="C1495" s="32"/>
      <c r="D1495" s="18"/>
      <c r="E1495" s="63"/>
      <c r="F1495" s="63"/>
      <c r="G1495" s="50"/>
      <c r="H1495" s="57"/>
      <c r="I1495" s="227"/>
      <c r="J1495" s="57"/>
      <c r="K1495" s="50"/>
      <c r="L1495" s="57"/>
      <c r="M1495" s="228"/>
      <c r="N1495" s="18"/>
      <c r="O1495" s="50"/>
    </row>
    <row r="1496" spans="1:15" ht="21.75" customHeight="1" x14ac:dyDescent="0.4">
      <c r="A1496" s="62"/>
      <c r="B1496" s="32"/>
      <c r="C1496" s="32"/>
      <c r="D1496" s="18"/>
      <c r="E1496" s="63"/>
      <c r="F1496" s="63"/>
      <c r="G1496" s="50"/>
      <c r="H1496" s="57"/>
      <c r="I1496" s="227"/>
      <c r="J1496" s="57"/>
      <c r="K1496" s="50"/>
      <c r="L1496" s="57"/>
      <c r="M1496" s="228"/>
      <c r="N1496" s="18"/>
      <c r="O1496" s="50"/>
    </row>
    <row r="1497" spans="1:15" ht="21.75" customHeight="1" x14ac:dyDescent="0.4">
      <c r="A1497" s="62"/>
      <c r="B1497" s="32"/>
      <c r="C1497" s="32"/>
      <c r="D1497" s="18"/>
      <c r="E1497" s="63"/>
      <c r="F1497" s="63"/>
      <c r="G1497" s="50"/>
      <c r="H1497" s="57"/>
      <c r="I1497" s="227"/>
      <c r="J1497" s="57"/>
      <c r="K1497" s="50"/>
      <c r="L1497" s="57"/>
      <c r="M1497" s="228"/>
      <c r="N1497" s="18"/>
      <c r="O1497" s="50"/>
    </row>
    <row r="1498" spans="1:15" ht="21.75" customHeight="1" x14ac:dyDescent="0.4">
      <c r="A1498" s="62"/>
      <c r="B1498" s="32"/>
      <c r="C1498" s="32"/>
      <c r="D1498" s="18"/>
      <c r="E1498" s="63"/>
      <c r="F1498" s="63"/>
      <c r="G1498" s="50"/>
      <c r="H1498" s="57"/>
      <c r="I1498" s="227"/>
      <c r="J1498" s="57"/>
      <c r="K1498" s="50"/>
      <c r="L1498" s="57"/>
      <c r="M1498" s="228"/>
      <c r="N1498" s="18"/>
      <c r="O1498" s="50"/>
    </row>
    <row r="1499" spans="1:15" ht="21.75" customHeight="1" x14ac:dyDescent="0.4">
      <c r="A1499" s="62"/>
      <c r="B1499" s="32"/>
      <c r="C1499" s="32"/>
      <c r="D1499" s="18"/>
      <c r="E1499" s="63"/>
      <c r="F1499" s="63"/>
      <c r="G1499" s="50"/>
      <c r="H1499" s="57"/>
      <c r="I1499" s="227"/>
      <c r="J1499" s="57"/>
      <c r="K1499" s="50"/>
      <c r="L1499" s="57"/>
      <c r="M1499" s="228"/>
      <c r="N1499" s="18"/>
      <c r="O1499" s="50"/>
    </row>
    <row r="1500" spans="1:15" ht="21.75" customHeight="1" x14ac:dyDescent="0.4">
      <c r="A1500" s="62"/>
      <c r="B1500" s="32"/>
      <c r="C1500" s="32"/>
      <c r="D1500" s="18"/>
      <c r="E1500" s="63"/>
      <c r="F1500" s="63"/>
      <c r="G1500" s="50"/>
      <c r="H1500" s="57"/>
      <c r="I1500" s="227"/>
      <c r="J1500" s="57"/>
      <c r="K1500" s="50"/>
      <c r="L1500" s="57"/>
      <c r="M1500" s="228"/>
      <c r="N1500" s="18"/>
      <c r="O1500" s="50"/>
    </row>
    <row r="1501" spans="1:15" ht="21.75" customHeight="1" x14ac:dyDescent="0.4">
      <c r="A1501" s="62"/>
      <c r="B1501" s="32"/>
      <c r="C1501" s="32"/>
      <c r="D1501" s="18"/>
      <c r="E1501" s="63"/>
      <c r="F1501" s="63"/>
      <c r="G1501" s="50"/>
      <c r="H1501" s="57"/>
      <c r="I1501" s="227"/>
      <c r="J1501" s="57"/>
      <c r="K1501" s="50"/>
      <c r="L1501" s="57"/>
      <c r="M1501" s="228"/>
      <c r="N1501" s="18"/>
      <c r="O1501" s="50"/>
    </row>
    <row r="1502" spans="1:15" ht="21.75" customHeight="1" x14ac:dyDescent="0.4">
      <c r="A1502" s="62"/>
      <c r="B1502" s="32"/>
      <c r="C1502" s="32"/>
      <c r="D1502" s="18"/>
      <c r="E1502" s="63"/>
      <c r="F1502" s="63"/>
      <c r="G1502" s="50"/>
      <c r="H1502" s="57"/>
      <c r="I1502" s="227"/>
      <c r="J1502" s="57"/>
      <c r="K1502" s="50"/>
      <c r="L1502" s="57"/>
      <c r="M1502" s="228"/>
      <c r="N1502" s="18"/>
      <c r="O1502" s="50"/>
    </row>
    <row r="1503" spans="1:15" ht="21.75" customHeight="1" x14ac:dyDescent="0.4">
      <c r="A1503" s="62"/>
      <c r="B1503" s="32"/>
      <c r="C1503" s="32"/>
      <c r="D1503" s="18"/>
      <c r="E1503" s="63"/>
      <c r="F1503" s="63"/>
      <c r="G1503" s="50"/>
      <c r="H1503" s="57"/>
      <c r="I1503" s="227"/>
      <c r="J1503" s="57"/>
      <c r="K1503" s="50"/>
      <c r="L1503" s="57"/>
      <c r="M1503" s="228"/>
      <c r="N1503" s="18"/>
      <c r="O1503" s="50"/>
    </row>
    <row r="1504" spans="1:15" ht="21.75" customHeight="1" x14ac:dyDescent="0.4">
      <c r="A1504" s="62"/>
      <c r="B1504" s="32"/>
      <c r="C1504" s="32"/>
      <c r="D1504" s="18"/>
      <c r="E1504" s="63"/>
      <c r="F1504" s="63"/>
      <c r="G1504" s="50"/>
      <c r="H1504" s="57"/>
      <c r="I1504" s="227"/>
      <c r="J1504" s="57"/>
      <c r="K1504" s="50"/>
      <c r="L1504" s="57"/>
      <c r="M1504" s="228"/>
      <c r="N1504" s="18"/>
      <c r="O1504" s="50"/>
    </row>
    <row r="1505" spans="1:15" ht="21.75" customHeight="1" x14ac:dyDescent="0.4">
      <c r="A1505" s="62"/>
      <c r="B1505" s="32"/>
      <c r="C1505" s="32"/>
      <c r="D1505" s="18"/>
      <c r="E1505" s="63"/>
      <c r="F1505" s="63"/>
      <c r="G1505" s="50"/>
      <c r="H1505" s="57"/>
      <c r="I1505" s="227"/>
      <c r="J1505" s="57"/>
      <c r="K1505" s="50"/>
      <c r="L1505" s="57"/>
      <c r="M1505" s="228"/>
      <c r="N1505" s="18"/>
      <c r="O1505" s="50"/>
    </row>
    <row r="1506" spans="1:15" ht="21.75" customHeight="1" x14ac:dyDescent="0.4">
      <c r="A1506" s="62"/>
      <c r="B1506" s="32"/>
      <c r="C1506" s="32"/>
      <c r="D1506" s="18"/>
      <c r="E1506" s="63"/>
      <c r="F1506" s="63"/>
      <c r="G1506" s="50"/>
      <c r="H1506" s="57"/>
      <c r="I1506" s="227"/>
      <c r="J1506" s="57"/>
      <c r="K1506" s="50"/>
      <c r="L1506" s="57"/>
      <c r="M1506" s="228"/>
      <c r="N1506" s="18"/>
      <c r="O1506" s="50"/>
    </row>
    <row r="1507" spans="1:15" ht="21.75" customHeight="1" x14ac:dyDescent="0.4">
      <c r="A1507" s="62"/>
      <c r="B1507" s="32"/>
      <c r="C1507" s="32"/>
      <c r="D1507" s="18"/>
      <c r="E1507" s="63"/>
      <c r="F1507" s="63"/>
      <c r="G1507" s="50"/>
      <c r="H1507" s="57"/>
      <c r="I1507" s="227"/>
      <c r="J1507" s="57"/>
      <c r="K1507" s="50"/>
      <c r="L1507" s="57"/>
      <c r="M1507" s="228"/>
      <c r="N1507" s="18"/>
      <c r="O1507" s="50"/>
    </row>
    <row r="1508" spans="1:15" ht="21.75" customHeight="1" x14ac:dyDescent="0.4">
      <c r="A1508" s="62"/>
      <c r="B1508" s="32"/>
      <c r="C1508" s="32"/>
      <c r="D1508" s="18"/>
      <c r="E1508" s="63"/>
      <c r="F1508" s="63"/>
      <c r="G1508" s="50"/>
      <c r="H1508" s="57"/>
      <c r="I1508" s="227"/>
      <c r="J1508" s="57"/>
      <c r="K1508" s="50"/>
      <c r="L1508" s="57"/>
      <c r="M1508" s="228"/>
      <c r="N1508" s="18"/>
      <c r="O1508" s="50"/>
    </row>
    <row r="1509" spans="1:15" ht="21.75" customHeight="1" x14ac:dyDescent="0.4">
      <c r="A1509" s="62"/>
      <c r="B1509" s="32"/>
      <c r="C1509" s="32"/>
      <c r="D1509" s="18"/>
      <c r="E1509" s="63"/>
      <c r="F1509" s="63"/>
      <c r="G1509" s="50"/>
      <c r="H1509" s="57"/>
      <c r="I1509" s="227"/>
      <c r="J1509" s="57"/>
      <c r="K1509" s="50"/>
      <c r="L1509" s="57"/>
      <c r="M1509" s="228"/>
      <c r="N1509" s="18"/>
      <c r="O1509" s="50"/>
    </row>
    <row r="1510" spans="1:15" ht="21.75" customHeight="1" x14ac:dyDescent="0.4">
      <c r="A1510" s="62"/>
      <c r="B1510" s="32"/>
      <c r="C1510" s="32"/>
      <c r="D1510" s="18"/>
      <c r="E1510" s="63"/>
      <c r="F1510" s="63"/>
      <c r="G1510" s="50"/>
      <c r="H1510" s="57"/>
      <c r="I1510" s="227"/>
      <c r="J1510" s="57"/>
      <c r="K1510" s="50"/>
      <c r="L1510" s="57"/>
      <c r="M1510" s="228"/>
      <c r="N1510" s="18"/>
      <c r="O1510" s="50"/>
    </row>
    <row r="1511" spans="1:15" ht="21.75" customHeight="1" x14ac:dyDescent="0.4">
      <c r="A1511" s="62"/>
      <c r="B1511" s="32"/>
      <c r="C1511" s="32"/>
      <c r="D1511" s="18"/>
      <c r="E1511" s="63"/>
      <c r="F1511" s="63"/>
      <c r="G1511" s="50"/>
      <c r="H1511" s="57"/>
      <c r="I1511" s="227"/>
      <c r="J1511" s="57"/>
      <c r="K1511" s="50"/>
      <c r="L1511" s="57"/>
      <c r="M1511" s="228"/>
      <c r="N1511" s="18"/>
      <c r="O1511" s="50"/>
    </row>
    <row r="1512" spans="1:15" ht="21.75" customHeight="1" x14ac:dyDescent="0.4">
      <c r="A1512" s="62"/>
      <c r="B1512" s="32"/>
      <c r="C1512" s="32"/>
      <c r="D1512" s="18"/>
      <c r="E1512" s="63"/>
      <c r="F1512" s="63"/>
      <c r="G1512" s="50"/>
      <c r="H1512" s="57"/>
      <c r="I1512" s="227"/>
      <c r="J1512" s="57"/>
      <c r="K1512" s="50"/>
      <c r="L1512" s="57"/>
      <c r="M1512" s="228"/>
      <c r="N1512" s="18"/>
      <c r="O1512" s="50"/>
    </row>
    <row r="1513" spans="1:15" ht="21.75" customHeight="1" x14ac:dyDescent="0.4">
      <c r="A1513" s="62"/>
      <c r="B1513" s="32"/>
      <c r="C1513" s="32"/>
      <c r="D1513" s="18"/>
      <c r="E1513" s="63"/>
      <c r="F1513" s="63"/>
      <c r="G1513" s="50"/>
      <c r="H1513" s="57"/>
      <c r="I1513" s="227"/>
      <c r="J1513" s="57"/>
      <c r="K1513" s="50"/>
      <c r="L1513" s="57"/>
      <c r="M1513" s="228"/>
      <c r="N1513" s="18"/>
      <c r="O1513" s="50"/>
    </row>
    <row r="1514" spans="1:15" ht="21.75" customHeight="1" x14ac:dyDescent="0.4">
      <c r="A1514" s="62"/>
      <c r="B1514" s="32"/>
      <c r="C1514" s="32"/>
      <c r="D1514" s="18"/>
      <c r="E1514" s="63"/>
      <c r="F1514" s="63"/>
      <c r="G1514" s="50"/>
      <c r="H1514" s="57"/>
      <c r="I1514" s="227"/>
      <c r="J1514" s="57"/>
      <c r="K1514" s="50"/>
      <c r="L1514" s="57"/>
      <c r="M1514" s="228"/>
      <c r="N1514" s="18"/>
      <c r="O1514" s="50"/>
    </row>
    <row r="1515" spans="1:15" ht="21.75" customHeight="1" x14ac:dyDescent="0.4">
      <c r="A1515" s="62"/>
      <c r="B1515" s="32"/>
      <c r="C1515" s="32"/>
      <c r="D1515" s="18"/>
      <c r="E1515" s="63"/>
      <c r="F1515" s="63"/>
      <c r="G1515" s="50"/>
      <c r="H1515" s="57"/>
      <c r="I1515" s="227"/>
      <c r="J1515" s="57"/>
      <c r="K1515" s="50"/>
      <c r="L1515" s="57"/>
      <c r="M1515" s="228"/>
      <c r="N1515" s="18"/>
      <c r="O1515" s="50"/>
    </row>
    <row r="1516" spans="1:15" ht="21.75" customHeight="1" x14ac:dyDescent="0.4">
      <c r="A1516" s="62"/>
      <c r="B1516" s="32"/>
      <c r="C1516" s="32"/>
      <c r="D1516" s="18"/>
      <c r="E1516" s="63"/>
      <c r="F1516" s="63"/>
      <c r="G1516" s="50"/>
      <c r="H1516" s="57"/>
      <c r="I1516" s="227"/>
      <c r="J1516" s="57"/>
      <c r="K1516" s="50"/>
      <c r="L1516" s="57"/>
      <c r="M1516" s="228"/>
      <c r="N1516" s="18"/>
      <c r="O1516" s="50"/>
    </row>
    <row r="1517" spans="1:15" ht="21.75" customHeight="1" x14ac:dyDescent="0.4">
      <c r="A1517" s="62"/>
      <c r="B1517" s="32"/>
      <c r="C1517" s="32"/>
      <c r="D1517" s="18"/>
      <c r="E1517" s="63"/>
      <c r="F1517" s="63"/>
      <c r="G1517" s="50"/>
      <c r="H1517" s="57"/>
      <c r="I1517" s="227"/>
      <c r="J1517" s="57"/>
      <c r="K1517" s="50"/>
      <c r="L1517" s="57"/>
      <c r="M1517" s="228"/>
      <c r="N1517" s="18"/>
      <c r="O1517" s="50"/>
    </row>
    <row r="1518" spans="1:15" ht="21.75" customHeight="1" x14ac:dyDescent="0.4">
      <c r="A1518" s="62"/>
      <c r="B1518" s="32"/>
      <c r="C1518" s="32"/>
      <c r="D1518" s="18"/>
      <c r="E1518" s="63"/>
      <c r="F1518" s="63"/>
      <c r="G1518" s="50"/>
      <c r="H1518" s="57"/>
      <c r="I1518" s="227"/>
      <c r="J1518" s="57"/>
      <c r="K1518" s="50"/>
      <c r="L1518" s="57"/>
      <c r="M1518" s="228"/>
      <c r="N1518" s="18"/>
      <c r="O1518" s="50"/>
    </row>
    <row r="1519" spans="1:15" ht="21.75" customHeight="1" x14ac:dyDescent="0.4">
      <c r="A1519" s="62"/>
      <c r="B1519" s="32"/>
      <c r="C1519" s="32"/>
      <c r="D1519" s="18"/>
      <c r="E1519" s="63"/>
      <c r="F1519" s="63"/>
      <c r="G1519" s="50"/>
      <c r="H1519" s="57"/>
      <c r="I1519" s="227"/>
      <c r="J1519" s="57"/>
      <c r="K1519" s="50"/>
      <c r="L1519" s="57"/>
      <c r="M1519" s="228"/>
      <c r="N1519" s="18"/>
      <c r="O1519" s="50"/>
    </row>
    <row r="1520" spans="1:15" ht="21.75" customHeight="1" x14ac:dyDescent="0.4">
      <c r="A1520" s="62"/>
      <c r="B1520" s="32"/>
      <c r="C1520" s="32"/>
      <c r="D1520" s="18"/>
      <c r="E1520" s="63"/>
      <c r="F1520" s="63"/>
      <c r="G1520" s="50"/>
      <c r="H1520" s="57"/>
      <c r="I1520" s="227"/>
      <c r="J1520" s="57"/>
      <c r="K1520" s="50"/>
      <c r="L1520" s="57"/>
      <c r="M1520" s="228"/>
      <c r="N1520" s="18"/>
      <c r="O1520" s="50"/>
    </row>
    <row r="1521" spans="1:15" ht="21.75" customHeight="1" x14ac:dyDescent="0.4">
      <c r="A1521" s="62"/>
      <c r="B1521" s="32"/>
      <c r="C1521" s="32"/>
      <c r="D1521" s="18"/>
      <c r="E1521" s="63"/>
      <c r="F1521" s="63"/>
      <c r="G1521" s="50"/>
      <c r="H1521" s="57"/>
      <c r="I1521" s="227"/>
      <c r="J1521" s="57"/>
      <c r="K1521" s="50"/>
      <c r="L1521" s="57"/>
      <c r="M1521" s="228"/>
      <c r="N1521" s="18"/>
      <c r="O1521" s="50"/>
    </row>
    <row r="1522" spans="1:15" ht="21.75" customHeight="1" x14ac:dyDescent="0.4">
      <c r="A1522" s="62"/>
      <c r="B1522" s="32"/>
      <c r="C1522" s="32"/>
      <c r="D1522" s="18"/>
      <c r="E1522" s="63"/>
      <c r="F1522" s="63"/>
      <c r="G1522" s="50"/>
      <c r="H1522" s="57"/>
      <c r="I1522" s="227"/>
      <c r="J1522" s="57"/>
      <c r="K1522" s="50"/>
      <c r="L1522" s="57"/>
      <c r="M1522" s="228"/>
      <c r="N1522" s="18"/>
      <c r="O1522" s="50"/>
    </row>
    <row r="1523" spans="1:15" ht="21.75" customHeight="1" x14ac:dyDescent="0.4">
      <c r="A1523" s="62"/>
      <c r="B1523" s="32"/>
      <c r="C1523" s="32"/>
      <c r="D1523" s="18"/>
      <c r="E1523" s="63"/>
      <c r="F1523" s="63"/>
      <c r="G1523" s="50"/>
      <c r="H1523" s="57"/>
      <c r="I1523" s="227"/>
      <c r="J1523" s="57"/>
      <c r="K1523" s="50"/>
      <c r="L1523" s="57"/>
      <c r="M1523" s="228"/>
      <c r="N1523" s="18"/>
      <c r="O1523" s="50"/>
    </row>
    <row r="1524" spans="1:15" ht="21.75" customHeight="1" x14ac:dyDescent="0.4">
      <c r="A1524" s="62"/>
      <c r="B1524" s="32"/>
      <c r="C1524" s="32"/>
      <c r="D1524" s="18"/>
      <c r="E1524" s="63"/>
      <c r="F1524" s="63"/>
      <c r="G1524" s="50"/>
      <c r="H1524" s="57"/>
      <c r="I1524" s="227"/>
      <c r="J1524" s="57"/>
      <c r="K1524" s="50"/>
      <c r="L1524" s="57"/>
      <c r="M1524" s="228"/>
      <c r="N1524" s="18"/>
      <c r="O1524" s="50"/>
    </row>
    <row r="1525" spans="1:15" ht="21.75" customHeight="1" x14ac:dyDescent="0.4">
      <c r="A1525" s="62"/>
      <c r="B1525" s="32"/>
      <c r="C1525" s="32"/>
      <c r="D1525" s="18"/>
      <c r="E1525" s="63"/>
      <c r="F1525" s="63"/>
      <c r="G1525" s="50"/>
      <c r="H1525" s="57"/>
      <c r="I1525" s="227"/>
      <c r="J1525" s="57"/>
      <c r="K1525" s="50"/>
      <c r="L1525" s="57"/>
      <c r="M1525" s="228"/>
      <c r="N1525" s="18"/>
      <c r="O1525" s="50"/>
    </row>
    <row r="1526" spans="1:15" ht="21.75" customHeight="1" x14ac:dyDescent="0.4">
      <c r="A1526" s="62"/>
      <c r="B1526" s="32"/>
      <c r="C1526" s="32"/>
      <c r="D1526" s="18"/>
      <c r="E1526" s="63"/>
      <c r="F1526" s="63"/>
      <c r="G1526" s="50"/>
      <c r="H1526" s="57"/>
      <c r="I1526" s="227"/>
      <c r="J1526" s="57"/>
      <c r="K1526" s="50"/>
      <c r="L1526" s="57"/>
      <c r="M1526" s="228"/>
      <c r="N1526" s="18"/>
      <c r="O1526" s="50"/>
    </row>
    <row r="1527" spans="1:15" ht="21.75" customHeight="1" x14ac:dyDescent="0.4">
      <c r="A1527" s="62"/>
      <c r="B1527" s="32"/>
      <c r="C1527" s="32"/>
      <c r="D1527" s="18"/>
      <c r="E1527" s="63"/>
      <c r="F1527" s="63"/>
      <c r="G1527" s="50"/>
      <c r="H1527" s="57"/>
      <c r="I1527" s="227"/>
      <c r="J1527" s="57"/>
      <c r="K1527" s="50"/>
      <c r="L1527" s="57"/>
      <c r="M1527" s="228"/>
      <c r="N1527" s="18"/>
      <c r="O1527" s="50"/>
    </row>
    <row r="1528" spans="1:15" ht="21.75" customHeight="1" x14ac:dyDescent="0.4">
      <c r="A1528" s="62"/>
      <c r="B1528" s="32"/>
      <c r="C1528" s="32"/>
      <c r="D1528" s="18"/>
      <c r="E1528" s="63"/>
      <c r="F1528" s="63"/>
      <c r="G1528" s="50"/>
      <c r="H1528" s="57"/>
      <c r="I1528" s="227"/>
      <c r="J1528" s="57"/>
      <c r="K1528" s="50"/>
      <c r="L1528" s="57"/>
      <c r="M1528" s="228"/>
      <c r="N1528" s="18"/>
      <c r="O1528" s="50"/>
    </row>
    <row r="1529" spans="1:15" ht="21.75" customHeight="1" x14ac:dyDescent="0.4">
      <c r="A1529" s="62"/>
      <c r="B1529" s="32"/>
      <c r="C1529" s="32"/>
      <c r="D1529" s="18"/>
      <c r="E1529" s="63"/>
      <c r="F1529" s="63"/>
      <c r="G1529" s="50"/>
      <c r="H1529" s="57"/>
      <c r="I1529" s="227"/>
      <c r="J1529" s="57"/>
      <c r="K1529" s="50"/>
      <c r="L1529" s="57"/>
      <c r="M1529" s="228"/>
      <c r="N1529" s="18"/>
      <c r="O1529" s="50"/>
    </row>
    <row r="1530" spans="1:15" ht="21.75" customHeight="1" x14ac:dyDescent="0.4">
      <c r="A1530" s="62"/>
      <c r="B1530" s="32"/>
      <c r="C1530" s="32"/>
      <c r="D1530" s="18"/>
      <c r="E1530" s="63"/>
      <c r="F1530" s="63"/>
      <c r="G1530" s="50"/>
      <c r="H1530" s="57"/>
      <c r="I1530" s="227"/>
      <c r="J1530" s="57"/>
      <c r="K1530" s="50"/>
      <c r="L1530" s="57"/>
      <c r="M1530" s="228"/>
      <c r="N1530" s="18"/>
      <c r="O1530" s="50"/>
    </row>
    <row r="1531" spans="1:15" ht="21.75" customHeight="1" x14ac:dyDescent="0.4">
      <c r="A1531" s="62"/>
      <c r="B1531" s="32"/>
      <c r="C1531" s="32"/>
      <c r="D1531" s="18"/>
      <c r="E1531" s="63"/>
      <c r="F1531" s="63"/>
      <c r="G1531" s="50"/>
      <c r="H1531" s="57"/>
      <c r="I1531" s="227"/>
      <c r="J1531" s="57"/>
      <c r="K1531" s="50"/>
      <c r="L1531" s="57"/>
      <c r="M1531" s="228"/>
      <c r="N1531" s="18"/>
      <c r="O1531" s="50"/>
    </row>
    <row r="1532" spans="1:15" ht="21.75" customHeight="1" x14ac:dyDescent="0.4">
      <c r="A1532" s="62"/>
      <c r="B1532" s="32"/>
      <c r="C1532" s="32"/>
      <c r="D1532" s="18"/>
      <c r="E1532" s="63"/>
      <c r="F1532" s="63"/>
      <c r="G1532" s="50"/>
      <c r="H1532" s="57"/>
      <c r="I1532" s="227"/>
      <c r="J1532" s="57"/>
      <c r="K1532" s="50"/>
      <c r="L1532" s="57"/>
      <c r="M1532" s="228"/>
      <c r="N1532" s="18"/>
      <c r="O1532" s="50"/>
    </row>
    <row r="1533" spans="1:15" ht="21.75" customHeight="1" x14ac:dyDescent="0.4">
      <c r="A1533" s="62"/>
      <c r="B1533" s="32"/>
      <c r="C1533" s="32"/>
      <c r="D1533" s="18"/>
      <c r="E1533" s="63"/>
      <c r="F1533" s="63"/>
      <c r="G1533" s="50"/>
      <c r="H1533" s="57"/>
      <c r="I1533" s="227"/>
      <c r="J1533" s="57"/>
      <c r="K1533" s="50"/>
      <c r="L1533" s="57"/>
      <c r="M1533" s="228"/>
      <c r="N1533" s="18"/>
      <c r="O1533" s="50"/>
    </row>
    <row r="1534" spans="1:15" ht="21.75" customHeight="1" x14ac:dyDescent="0.4">
      <c r="A1534" s="62"/>
      <c r="B1534" s="32"/>
      <c r="C1534" s="32"/>
      <c r="D1534" s="18"/>
      <c r="E1534" s="63"/>
      <c r="F1534" s="63"/>
      <c r="G1534" s="50"/>
      <c r="H1534" s="57"/>
      <c r="I1534" s="227"/>
      <c r="J1534" s="57"/>
      <c r="K1534" s="50"/>
      <c r="L1534" s="57"/>
      <c r="M1534" s="228"/>
      <c r="N1534" s="18"/>
      <c r="O1534" s="50"/>
    </row>
    <row r="1535" spans="1:15" ht="21.75" customHeight="1" x14ac:dyDescent="0.4">
      <c r="A1535" s="62"/>
      <c r="B1535" s="32"/>
      <c r="C1535" s="32"/>
      <c r="D1535" s="18"/>
      <c r="E1535" s="63"/>
      <c r="F1535" s="63"/>
      <c r="G1535" s="50"/>
      <c r="H1535" s="57"/>
      <c r="I1535" s="227"/>
      <c r="J1535" s="57"/>
      <c r="K1535" s="50"/>
      <c r="L1535" s="57"/>
      <c r="M1535" s="228"/>
      <c r="N1535" s="18"/>
      <c r="O1535" s="50"/>
    </row>
    <row r="1536" spans="1:15" ht="21.75" customHeight="1" x14ac:dyDescent="0.4">
      <c r="A1536" s="62"/>
      <c r="B1536" s="32"/>
      <c r="C1536" s="32"/>
      <c r="D1536" s="18"/>
      <c r="E1536" s="63"/>
      <c r="F1536" s="63"/>
      <c r="G1536" s="50"/>
      <c r="H1536" s="57"/>
      <c r="I1536" s="227"/>
      <c r="J1536" s="57"/>
      <c r="K1536" s="50"/>
      <c r="L1536" s="57"/>
      <c r="M1536" s="228"/>
      <c r="N1536" s="18"/>
      <c r="O1536" s="50"/>
    </row>
    <row r="1537" spans="1:15" ht="21.75" customHeight="1" x14ac:dyDescent="0.4">
      <c r="A1537" s="62"/>
      <c r="B1537" s="32"/>
      <c r="C1537" s="32"/>
      <c r="D1537" s="18"/>
      <c r="E1537" s="63"/>
      <c r="F1537" s="63"/>
      <c r="G1537" s="50"/>
      <c r="H1537" s="57"/>
      <c r="I1537" s="227"/>
      <c r="J1537" s="57"/>
      <c r="K1537" s="50"/>
      <c r="L1537" s="57"/>
      <c r="M1537" s="228"/>
      <c r="N1537" s="18"/>
      <c r="O1537" s="50"/>
    </row>
    <row r="1538" spans="1:15" ht="21.75" customHeight="1" x14ac:dyDescent="0.4">
      <c r="A1538" s="62"/>
      <c r="B1538" s="32"/>
      <c r="C1538" s="32"/>
      <c r="D1538" s="18"/>
      <c r="E1538" s="63"/>
      <c r="F1538" s="63"/>
      <c r="G1538" s="50"/>
      <c r="H1538" s="57"/>
      <c r="I1538" s="227"/>
      <c r="J1538" s="57"/>
      <c r="K1538" s="50"/>
      <c r="L1538" s="57"/>
      <c r="M1538" s="228"/>
      <c r="N1538" s="18"/>
      <c r="O1538" s="50"/>
    </row>
    <row r="1539" spans="1:15" ht="21.75" customHeight="1" x14ac:dyDescent="0.4">
      <c r="A1539" s="62"/>
      <c r="B1539" s="32"/>
      <c r="C1539" s="32"/>
      <c r="D1539" s="18"/>
      <c r="E1539" s="63"/>
      <c r="F1539" s="63"/>
      <c r="G1539" s="50"/>
      <c r="H1539" s="57"/>
      <c r="I1539" s="227"/>
      <c r="J1539" s="57"/>
      <c r="K1539" s="50"/>
      <c r="L1539" s="57"/>
      <c r="M1539" s="228"/>
      <c r="N1539" s="18"/>
      <c r="O1539" s="50"/>
    </row>
    <row r="1540" spans="1:15" ht="21.75" customHeight="1" x14ac:dyDescent="0.4">
      <c r="A1540" s="62"/>
      <c r="B1540" s="32"/>
      <c r="C1540" s="32"/>
      <c r="D1540" s="18"/>
      <c r="E1540" s="63"/>
      <c r="F1540" s="63"/>
      <c r="G1540" s="50"/>
      <c r="H1540" s="57"/>
      <c r="I1540" s="227"/>
      <c r="J1540" s="57"/>
      <c r="K1540" s="50"/>
      <c r="L1540" s="57"/>
      <c r="M1540" s="228"/>
      <c r="N1540" s="18"/>
      <c r="O1540" s="50"/>
    </row>
    <row r="1541" spans="1:15" ht="21.75" customHeight="1" x14ac:dyDescent="0.4">
      <c r="A1541" s="62"/>
      <c r="B1541" s="32"/>
      <c r="C1541" s="32"/>
      <c r="D1541" s="18"/>
      <c r="E1541" s="63"/>
      <c r="F1541" s="63"/>
      <c r="G1541" s="50"/>
      <c r="H1541" s="57"/>
      <c r="I1541" s="227"/>
      <c r="J1541" s="57"/>
      <c r="K1541" s="50"/>
      <c r="L1541" s="57"/>
      <c r="M1541" s="228"/>
      <c r="N1541" s="18"/>
      <c r="O1541" s="50"/>
    </row>
    <row r="1542" spans="1:15" ht="21.75" customHeight="1" x14ac:dyDescent="0.4">
      <c r="A1542" s="62"/>
      <c r="B1542" s="32"/>
      <c r="C1542" s="32"/>
      <c r="D1542" s="18"/>
      <c r="E1542" s="63"/>
      <c r="F1542" s="63"/>
      <c r="G1542" s="50"/>
      <c r="H1542" s="57"/>
      <c r="I1542" s="227"/>
      <c r="J1542" s="57"/>
      <c r="K1542" s="50"/>
      <c r="L1542" s="57"/>
      <c r="M1542" s="228"/>
      <c r="N1542" s="18"/>
      <c r="O1542" s="50"/>
    </row>
    <row r="1543" spans="1:15" ht="21.75" customHeight="1" x14ac:dyDescent="0.4">
      <c r="A1543" s="62"/>
      <c r="B1543" s="32"/>
      <c r="C1543" s="32"/>
      <c r="D1543" s="18"/>
      <c r="E1543" s="63"/>
      <c r="F1543" s="63"/>
      <c r="G1543" s="50"/>
      <c r="H1543" s="57"/>
      <c r="I1543" s="227"/>
      <c r="J1543" s="57"/>
      <c r="K1543" s="50"/>
      <c r="L1543" s="57"/>
      <c r="M1543" s="228"/>
      <c r="N1543" s="18"/>
      <c r="O1543" s="50"/>
    </row>
    <row r="1544" spans="1:15" ht="21.75" customHeight="1" x14ac:dyDescent="0.4">
      <c r="A1544" s="62"/>
      <c r="B1544" s="32"/>
      <c r="C1544" s="32"/>
      <c r="D1544" s="18"/>
      <c r="E1544" s="63"/>
      <c r="F1544" s="63"/>
      <c r="G1544" s="50"/>
      <c r="H1544" s="57"/>
      <c r="I1544" s="227"/>
      <c r="J1544" s="57"/>
      <c r="K1544" s="50"/>
      <c r="L1544" s="57"/>
      <c r="M1544" s="228"/>
      <c r="N1544" s="18"/>
      <c r="O1544" s="50"/>
    </row>
    <row r="1545" spans="1:15" ht="21.75" customHeight="1" x14ac:dyDescent="0.4">
      <c r="A1545" s="62"/>
      <c r="B1545" s="32"/>
      <c r="C1545" s="32"/>
      <c r="D1545" s="18"/>
      <c r="E1545" s="63"/>
      <c r="F1545" s="63"/>
      <c r="G1545" s="50"/>
      <c r="H1545" s="57"/>
      <c r="I1545" s="227"/>
      <c r="J1545" s="57"/>
      <c r="K1545" s="50"/>
      <c r="L1545" s="57"/>
      <c r="M1545" s="228"/>
      <c r="N1545" s="18"/>
      <c r="O1545" s="50"/>
    </row>
    <row r="1546" spans="1:15" ht="21.75" customHeight="1" x14ac:dyDescent="0.4">
      <c r="A1546" s="62"/>
      <c r="B1546" s="32"/>
      <c r="C1546" s="32"/>
      <c r="D1546" s="18"/>
      <c r="E1546" s="63"/>
      <c r="F1546" s="63"/>
      <c r="G1546" s="50"/>
      <c r="H1546" s="57"/>
      <c r="I1546" s="227"/>
      <c r="J1546" s="57"/>
      <c r="K1546" s="50"/>
      <c r="L1546" s="57"/>
      <c r="M1546" s="228"/>
      <c r="N1546" s="18"/>
      <c r="O1546" s="50"/>
    </row>
    <row r="1547" spans="1:15" ht="21.75" customHeight="1" x14ac:dyDescent="0.4">
      <c r="A1547" s="62"/>
      <c r="B1547" s="32"/>
      <c r="C1547" s="32"/>
      <c r="D1547" s="18"/>
      <c r="E1547" s="63"/>
      <c r="F1547" s="63"/>
      <c r="G1547" s="50"/>
      <c r="H1547" s="57"/>
      <c r="I1547" s="227"/>
      <c r="J1547" s="57"/>
      <c r="K1547" s="50"/>
      <c r="L1547" s="57"/>
      <c r="M1547" s="228"/>
      <c r="N1547" s="18"/>
      <c r="O1547" s="50"/>
    </row>
    <row r="1548" spans="1:15" ht="21.75" customHeight="1" x14ac:dyDescent="0.4">
      <c r="A1548" s="62"/>
      <c r="B1548" s="32"/>
      <c r="C1548" s="32"/>
      <c r="D1548" s="18"/>
      <c r="E1548" s="63"/>
      <c r="F1548" s="63"/>
      <c r="G1548" s="50"/>
      <c r="H1548" s="57"/>
      <c r="I1548" s="227"/>
      <c r="J1548" s="57"/>
      <c r="K1548" s="50"/>
      <c r="L1548" s="57"/>
      <c r="M1548" s="228"/>
      <c r="N1548" s="18"/>
      <c r="O1548" s="50"/>
    </row>
    <row r="1549" spans="1:15" ht="21.75" customHeight="1" x14ac:dyDescent="0.4">
      <c r="A1549" s="62"/>
      <c r="B1549" s="32"/>
      <c r="C1549" s="32"/>
      <c r="D1549" s="18"/>
      <c r="E1549" s="63"/>
      <c r="F1549" s="63"/>
      <c r="G1549" s="50"/>
      <c r="H1549" s="57"/>
      <c r="I1549" s="227"/>
      <c r="J1549" s="57"/>
      <c r="K1549" s="50"/>
      <c r="L1549" s="57"/>
      <c r="M1549" s="228"/>
      <c r="N1549" s="18"/>
      <c r="O1549" s="50"/>
    </row>
    <row r="1550" spans="1:15" ht="21.75" customHeight="1" x14ac:dyDescent="0.4">
      <c r="A1550" s="62"/>
      <c r="B1550" s="32"/>
      <c r="C1550" s="32"/>
      <c r="D1550" s="18"/>
      <c r="E1550" s="63"/>
      <c r="F1550" s="63"/>
      <c r="G1550" s="50"/>
      <c r="H1550" s="57"/>
      <c r="I1550" s="227"/>
      <c r="J1550" s="57"/>
      <c r="K1550" s="50"/>
      <c r="L1550" s="57"/>
      <c r="M1550" s="228"/>
      <c r="N1550" s="18"/>
      <c r="O1550" s="50"/>
    </row>
    <row r="1551" spans="1:15" ht="21.75" customHeight="1" x14ac:dyDescent="0.4">
      <c r="A1551" s="62"/>
      <c r="B1551" s="32"/>
      <c r="C1551" s="32"/>
      <c r="D1551" s="18"/>
      <c r="E1551" s="63"/>
      <c r="F1551" s="63"/>
      <c r="G1551" s="50"/>
      <c r="H1551" s="57"/>
      <c r="I1551" s="227"/>
      <c r="J1551" s="57"/>
      <c r="K1551" s="50"/>
      <c r="L1551" s="57"/>
      <c r="M1551" s="228"/>
      <c r="N1551" s="18"/>
      <c r="O1551" s="50"/>
    </row>
    <row r="1552" spans="1:15" ht="21.75" customHeight="1" x14ac:dyDescent="0.4">
      <c r="A1552" s="62"/>
      <c r="B1552" s="32"/>
      <c r="C1552" s="32"/>
      <c r="D1552" s="18"/>
      <c r="E1552" s="63"/>
      <c r="F1552" s="63"/>
      <c r="G1552" s="50"/>
      <c r="H1552" s="57"/>
      <c r="I1552" s="227"/>
      <c r="J1552" s="57"/>
      <c r="K1552" s="50"/>
      <c r="L1552" s="57"/>
      <c r="M1552" s="228"/>
      <c r="N1552" s="18"/>
      <c r="O1552" s="50"/>
    </row>
    <row r="1553" spans="1:15" ht="21.75" customHeight="1" x14ac:dyDescent="0.4">
      <c r="A1553" s="62"/>
      <c r="B1553" s="32"/>
      <c r="C1553" s="32"/>
      <c r="D1553" s="18"/>
      <c r="E1553" s="63"/>
      <c r="F1553" s="63"/>
      <c r="G1553" s="50"/>
      <c r="H1553" s="57"/>
      <c r="I1553" s="227"/>
      <c r="J1553" s="57"/>
      <c r="K1553" s="50"/>
      <c r="L1553" s="57"/>
      <c r="M1553" s="228"/>
      <c r="N1553" s="18"/>
      <c r="O1553" s="50"/>
    </row>
    <row r="1554" spans="1:15" ht="21.75" customHeight="1" x14ac:dyDescent="0.4">
      <c r="A1554" s="62"/>
      <c r="B1554" s="32"/>
      <c r="C1554" s="32"/>
      <c r="D1554" s="18"/>
      <c r="E1554" s="63"/>
      <c r="F1554" s="63"/>
      <c r="G1554" s="50"/>
      <c r="H1554" s="57"/>
      <c r="I1554" s="227"/>
      <c r="J1554" s="57"/>
      <c r="K1554" s="50"/>
      <c r="L1554" s="57"/>
      <c r="M1554" s="228"/>
      <c r="N1554" s="18"/>
      <c r="O1554" s="50"/>
    </row>
    <row r="1555" spans="1:15" ht="21.75" customHeight="1" x14ac:dyDescent="0.4">
      <c r="A1555" s="62"/>
      <c r="B1555" s="32"/>
      <c r="C1555" s="32"/>
      <c r="D1555" s="18"/>
      <c r="E1555" s="63"/>
      <c r="F1555" s="63"/>
      <c r="G1555" s="50"/>
      <c r="H1555" s="57"/>
      <c r="I1555" s="227"/>
      <c r="J1555" s="57"/>
      <c r="K1555" s="50"/>
      <c r="L1555" s="57"/>
      <c r="M1555" s="228"/>
      <c r="N1555" s="18"/>
      <c r="O1555" s="50"/>
    </row>
    <row r="1556" spans="1:15" ht="21.75" customHeight="1" x14ac:dyDescent="0.4">
      <c r="A1556" s="62"/>
      <c r="B1556" s="32"/>
      <c r="C1556" s="32"/>
      <c r="D1556" s="18"/>
      <c r="E1556" s="63"/>
      <c r="F1556" s="63"/>
      <c r="G1556" s="50"/>
      <c r="H1556" s="57"/>
      <c r="I1556" s="227"/>
      <c r="J1556" s="57"/>
      <c r="K1556" s="50"/>
      <c r="L1556" s="57"/>
      <c r="M1556" s="228"/>
      <c r="N1556" s="18"/>
      <c r="O1556" s="50"/>
    </row>
    <row r="1557" spans="1:15" ht="21.75" customHeight="1" x14ac:dyDescent="0.4">
      <c r="A1557" s="62"/>
      <c r="B1557" s="32"/>
      <c r="C1557" s="32"/>
      <c r="D1557" s="18"/>
      <c r="E1557" s="63"/>
      <c r="F1557" s="63"/>
      <c r="G1557" s="50"/>
      <c r="H1557" s="57"/>
      <c r="I1557" s="227"/>
      <c r="J1557" s="57"/>
      <c r="K1557" s="50"/>
      <c r="L1557" s="57"/>
      <c r="M1557" s="228"/>
      <c r="N1557" s="18"/>
      <c r="O1557" s="50"/>
    </row>
    <row r="1558" spans="1:15" ht="21.75" customHeight="1" x14ac:dyDescent="0.4">
      <c r="A1558" s="62"/>
      <c r="B1558" s="32"/>
      <c r="C1558" s="32"/>
      <c r="D1558" s="18"/>
      <c r="E1558" s="63"/>
      <c r="F1558" s="63"/>
      <c r="G1558" s="50"/>
      <c r="H1558" s="57"/>
      <c r="I1558" s="227"/>
      <c r="J1558" s="57"/>
      <c r="K1558" s="50"/>
      <c r="L1558" s="57"/>
      <c r="M1558" s="228"/>
      <c r="N1558" s="18"/>
      <c r="O1558" s="50"/>
    </row>
    <row r="1559" spans="1:15" ht="21.75" customHeight="1" x14ac:dyDescent="0.4">
      <c r="A1559" s="62"/>
      <c r="B1559" s="32"/>
      <c r="C1559" s="32"/>
      <c r="D1559" s="18"/>
      <c r="E1559" s="63"/>
      <c r="F1559" s="63"/>
      <c r="G1559" s="50"/>
      <c r="H1559" s="57"/>
      <c r="I1559" s="227"/>
      <c r="J1559" s="57"/>
      <c r="K1559" s="50"/>
      <c r="L1559" s="57"/>
      <c r="M1559" s="228"/>
      <c r="N1559" s="18"/>
      <c r="O1559" s="50"/>
    </row>
    <row r="1560" spans="1:15" ht="21.75" customHeight="1" x14ac:dyDescent="0.4">
      <c r="A1560" s="62"/>
      <c r="B1560" s="32"/>
      <c r="C1560" s="32"/>
      <c r="D1560" s="18"/>
      <c r="E1560" s="63"/>
      <c r="F1560" s="63"/>
      <c r="G1560" s="50"/>
      <c r="H1560" s="57"/>
      <c r="I1560" s="227"/>
      <c r="J1560" s="57"/>
      <c r="K1560" s="50"/>
      <c r="L1560" s="57"/>
      <c r="M1560" s="228"/>
      <c r="N1560" s="18"/>
      <c r="O1560" s="50"/>
    </row>
    <row r="1561" spans="1:15" ht="21.75" customHeight="1" x14ac:dyDescent="0.4">
      <c r="A1561" s="62"/>
      <c r="B1561" s="32"/>
      <c r="C1561" s="32"/>
      <c r="D1561" s="18"/>
      <c r="E1561" s="63"/>
      <c r="F1561" s="63"/>
      <c r="G1561" s="50"/>
      <c r="H1561" s="57"/>
      <c r="I1561" s="227"/>
      <c r="J1561" s="57"/>
      <c r="K1561" s="50"/>
      <c r="L1561" s="57"/>
      <c r="M1561" s="228"/>
      <c r="N1561" s="18"/>
      <c r="O1561" s="50"/>
    </row>
    <row r="1562" spans="1:15" ht="21.75" customHeight="1" x14ac:dyDescent="0.4">
      <c r="A1562" s="62"/>
      <c r="B1562" s="32"/>
      <c r="C1562" s="32"/>
      <c r="D1562" s="18"/>
      <c r="E1562" s="63"/>
      <c r="F1562" s="63"/>
      <c r="G1562" s="50"/>
      <c r="H1562" s="57"/>
      <c r="I1562" s="227"/>
      <c r="J1562" s="57"/>
      <c r="K1562" s="50"/>
      <c r="L1562" s="57"/>
      <c r="M1562" s="228"/>
      <c r="N1562" s="18"/>
      <c r="O1562" s="50"/>
    </row>
    <row r="1563" spans="1:15" ht="21.75" customHeight="1" x14ac:dyDescent="0.4">
      <c r="A1563" s="62"/>
      <c r="B1563" s="32"/>
      <c r="C1563" s="32"/>
      <c r="D1563" s="18"/>
      <c r="E1563" s="63"/>
      <c r="F1563" s="63"/>
      <c r="G1563" s="50"/>
      <c r="H1563" s="57"/>
      <c r="I1563" s="227"/>
      <c r="J1563" s="57"/>
      <c r="K1563" s="50"/>
      <c r="L1563" s="57"/>
      <c r="M1563" s="228"/>
      <c r="N1563" s="18"/>
      <c r="O1563" s="50"/>
    </row>
    <row r="1564" spans="1:15" ht="21.75" customHeight="1" x14ac:dyDescent="0.4">
      <c r="A1564" s="62"/>
      <c r="B1564" s="32"/>
      <c r="C1564" s="32"/>
      <c r="D1564" s="18"/>
      <c r="E1564" s="63"/>
      <c r="F1564" s="63"/>
      <c r="G1564" s="50"/>
      <c r="H1564" s="57"/>
      <c r="I1564" s="227"/>
      <c r="J1564" s="57"/>
      <c r="K1564" s="50"/>
      <c r="L1564" s="57"/>
      <c r="M1564" s="228"/>
      <c r="N1564" s="18"/>
      <c r="O1564" s="50"/>
    </row>
    <row r="1565" spans="1:15" ht="21.75" customHeight="1" x14ac:dyDescent="0.4">
      <c r="A1565" s="62"/>
      <c r="B1565" s="32"/>
      <c r="C1565" s="32"/>
      <c r="D1565" s="18"/>
      <c r="E1565" s="63"/>
      <c r="F1565" s="63"/>
      <c r="G1565" s="50"/>
      <c r="H1565" s="57"/>
      <c r="I1565" s="227"/>
      <c r="J1565" s="57"/>
      <c r="K1565" s="50"/>
      <c r="L1565" s="57"/>
      <c r="M1565" s="228"/>
      <c r="N1565" s="18"/>
      <c r="O1565" s="50"/>
    </row>
    <row r="1566" spans="1:15" ht="21.75" customHeight="1" x14ac:dyDescent="0.4">
      <c r="A1566" s="62"/>
      <c r="B1566" s="32"/>
      <c r="C1566" s="32"/>
      <c r="D1566" s="18"/>
      <c r="E1566" s="63"/>
      <c r="F1566" s="63"/>
      <c r="G1566" s="50"/>
      <c r="H1566" s="57"/>
      <c r="I1566" s="227"/>
      <c r="J1566" s="57"/>
      <c r="K1566" s="50"/>
      <c r="L1566" s="57"/>
      <c r="M1566" s="228"/>
      <c r="N1566" s="18"/>
      <c r="O1566" s="50"/>
    </row>
    <row r="1567" spans="1:15" ht="21.75" customHeight="1" x14ac:dyDescent="0.4">
      <c r="A1567" s="62"/>
      <c r="B1567" s="32"/>
      <c r="C1567" s="32"/>
      <c r="D1567" s="18"/>
      <c r="E1567" s="63"/>
      <c r="F1567" s="63"/>
      <c r="G1567" s="50"/>
      <c r="H1567" s="57"/>
      <c r="I1567" s="227"/>
      <c r="J1567" s="57"/>
      <c r="K1567" s="50"/>
      <c r="L1567" s="57"/>
      <c r="M1567" s="228"/>
      <c r="N1567" s="18"/>
      <c r="O1567" s="50"/>
    </row>
    <row r="1568" spans="1:15" ht="21.75" customHeight="1" x14ac:dyDescent="0.4">
      <c r="A1568" s="62"/>
      <c r="B1568" s="32"/>
      <c r="C1568" s="32"/>
      <c r="D1568" s="18"/>
      <c r="E1568" s="63"/>
      <c r="F1568" s="63"/>
      <c r="G1568" s="50"/>
      <c r="H1568" s="57"/>
      <c r="I1568" s="227"/>
      <c r="J1568" s="57"/>
      <c r="K1568" s="50"/>
      <c r="L1568" s="57"/>
      <c r="M1568" s="228"/>
      <c r="N1568" s="18"/>
      <c r="O1568" s="50"/>
    </row>
    <row r="1569" spans="1:15" ht="21.75" customHeight="1" x14ac:dyDescent="0.4">
      <c r="A1569" s="62"/>
      <c r="B1569" s="32"/>
      <c r="C1569" s="32"/>
      <c r="D1569" s="18"/>
      <c r="E1569" s="63"/>
      <c r="F1569" s="63"/>
      <c r="G1569" s="50"/>
      <c r="H1569" s="57"/>
      <c r="I1569" s="227"/>
      <c r="J1569" s="57"/>
      <c r="K1569" s="50"/>
      <c r="L1569" s="57"/>
      <c r="M1569" s="228"/>
      <c r="N1569" s="18"/>
      <c r="O1569" s="50"/>
    </row>
    <row r="1570" spans="1:15" ht="21.75" customHeight="1" x14ac:dyDescent="0.4">
      <c r="A1570" s="62"/>
      <c r="B1570" s="32"/>
      <c r="C1570" s="32"/>
      <c r="D1570" s="18"/>
      <c r="E1570" s="63"/>
      <c r="F1570" s="63"/>
      <c r="G1570" s="50"/>
      <c r="H1570" s="57"/>
      <c r="I1570" s="227"/>
      <c r="J1570" s="57"/>
      <c r="K1570" s="50"/>
      <c r="L1570" s="57"/>
      <c r="M1570" s="228"/>
      <c r="N1570" s="18"/>
      <c r="O1570" s="50"/>
    </row>
    <row r="1571" spans="1:15" ht="21.75" customHeight="1" x14ac:dyDescent="0.4">
      <c r="A1571" s="62"/>
      <c r="B1571" s="32"/>
      <c r="C1571" s="32"/>
      <c r="D1571" s="18"/>
      <c r="E1571" s="63"/>
      <c r="F1571" s="63"/>
      <c r="G1571" s="50"/>
      <c r="H1571" s="57"/>
      <c r="I1571" s="227"/>
      <c r="J1571" s="57"/>
      <c r="K1571" s="50"/>
      <c r="L1571" s="57"/>
      <c r="M1571" s="228"/>
      <c r="N1571" s="18"/>
      <c r="O1571" s="50"/>
    </row>
    <row r="1572" spans="1:15" ht="21.75" customHeight="1" x14ac:dyDescent="0.4">
      <c r="A1572" s="62"/>
      <c r="B1572" s="32"/>
      <c r="C1572" s="32"/>
      <c r="D1572" s="18"/>
      <c r="E1572" s="63"/>
      <c r="F1572" s="63"/>
      <c r="G1572" s="50"/>
      <c r="H1572" s="57"/>
      <c r="I1572" s="227"/>
      <c r="J1572" s="57"/>
      <c r="K1572" s="50"/>
      <c r="L1572" s="57"/>
      <c r="M1572" s="228"/>
      <c r="N1572" s="18"/>
      <c r="O1572" s="50"/>
    </row>
    <row r="1573" spans="1:15" ht="21.75" customHeight="1" x14ac:dyDescent="0.4">
      <c r="A1573" s="62"/>
      <c r="B1573" s="32"/>
      <c r="C1573" s="32"/>
      <c r="D1573" s="18"/>
      <c r="E1573" s="63"/>
      <c r="F1573" s="63"/>
      <c r="G1573" s="50"/>
      <c r="H1573" s="57"/>
      <c r="I1573" s="227"/>
      <c r="J1573" s="57"/>
      <c r="K1573" s="50"/>
      <c r="L1573" s="57"/>
      <c r="M1573" s="228"/>
      <c r="N1573" s="18"/>
      <c r="O1573" s="50"/>
    </row>
    <row r="1574" spans="1:15" ht="21.75" customHeight="1" x14ac:dyDescent="0.4">
      <c r="A1574" s="62"/>
      <c r="B1574" s="32"/>
      <c r="C1574" s="32"/>
      <c r="D1574" s="18"/>
      <c r="E1574" s="63"/>
      <c r="F1574" s="63"/>
      <c r="G1574" s="50"/>
      <c r="H1574" s="57"/>
      <c r="I1574" s="227"/>
      <c r="J1574" s="57"/>
      <c r="K1574" s="50"/>
      <c r="L1574" s="57"/>
      <c r="M1574" s="228"/>
      <c r="N1574" s="18"/>
      <c r="O1574" s="50"/>
    </row>
    <row r="1575" spans="1:15" ht="21.75" customHeight="1" x14ac:dyDescent="0.4">
      <c r="A1575" s="62"/>
      <c r="B1575" s="32"/>
      <c r="C1575" s="32"/>
      <c r="D1575" s="18"/>
      <c r="E1575" s="63"/>
      <c r="F1575" s="63"/>
      <c r="G1575" s="50"/>
      <c r="H1575" s="57"/>
      <c r="I1575" s="227"/>
      <c r="J1575" s="57"/>
      <c r="K1575" s="50"/>
      <c r="L1575" s="57"/>
      <c r="M1575" s="228"/>
      <c r="N1575" s="18"/>
      <c r="O1575" s="50"/>
    </row>
    <row r="1576" spans="1:15" ht="21.75" customHeight="1" x14ac:dyDescent="0.4">
      <c r="A1576" s="62"/>
      <c r="B1576" s="32"/>
      <c r="C1576" s="32"/>
      <c r="D1576" s="18"/>
      <c r="E1576" s="63"/>
      <c r="F1576" s="63"/>
      <c r="G1576" s="50"/>
      <c r="H1576" s="57"/>
      <c r="I1576" s="227"/>
      <c r="J1576" s="57"/>
      <c r="K1576" s="50"/>
      <c r="L1576" s="57"/>
      <c r="M1576" s="228"/>
      <c r="N1576" s="18"/>
      <c r="O1576" s="50"/>
    </row>
    <row r="1577" spans="1:15" ht="21.75" customHeight="1" x14ac:dyDescent="0.4">
      <c r="A1577" s="62"/>
      <c r="B1577" s="32"/>
      <c r="C1577" s="32"/>
      <c r="D1577" s="18"/>
      <c r="E1577" s="63"/>
      <c r="F1577" s="63"/>
      <c r="G1577" s="50"/>
      <c r="H1577" s="57"/>
      <c r="I1577" s="227"/>
      <c r="J1577" s="57"/>
      <c r="K1577" s="50"/>
      <c r="L1577" s="57"/>
      <c r="M1577" s="228"/>
      <c r="N1577" s="18"/>
      <c r="O1577" s="50"/>
    </row>
    <row r="1578" spans="1:15" ht="21.75" customHeight="1" x14ac:dyDescent="0.4">
      <c r="A1578" s="62"/>
      <c r="B1578" s="32"/>
      <c r="C1578" s="32"/>
      <c r="D1578" s="18"/>
      <c r="E1578" s="63"/>
      <c r="F1578" s="63"/>
      <c r="G1578" s="50"/>
      <c r="H1578" s="57"/>
      <c r="I1578" s="227"/>
      <c r="J1578" s="57"/>
      <c r="K1578" s="50"/>
      <c r="L1578" s="57"/>
      <c r="M1578" s="228"/>
      <c r="N1578" s="18"/>
      <c r="O1578" s="50"/>
    </row>
    <row r="1579" spans="1:15" ht="21.75" customHeight="1" x14ac:dyDescent="0.4">
      <c r="A1579" s="62"/>
      <c r="B1579" s="32"/>
      <c r="C1579" s="32"/>
      <c r="D1579" s="18"/>
      <c r="E1579" s="63"/>
      <c r="F1579" s="63"/>
      <c r="G1579" s="50"/>
      <c r="H1579" s="57"/>
      <c r="I1579" s="227"/>
      <c r="J1579" s="57"/>
      <c r="K1579" s="50"/>
      <c r="L1579" s="57"/>
      <c r="M1579" s="228"/>
      <c r="N1579" s="18"/>
      <c r="O1579" s="50"/>
    </row>
    <row r="1580" spans="1:15" ht="21.75" customHeight="1" x14ac:dyDescent="0.4">
      <c r="A1580" s="62"/>
      <c r="B1580" s="32"/>
      <c r="C1580" s="32"/>
      <c r="D1580" s="18"/>
      <c r="E1580" s="63"/>
      <c r="F1580" s="63"/>
      <c r="G1580" s="50"/>
      <c r="H1580" s="57"/>
      <c r="I1580" s="227"/>
      <c r="J1580" s="57"/>
      <c r="K1580" s="50"/>
      <c r="L1580" s="57"/>
      <c r="M1580" s="228"/>
      <c r="N1580" s="18"/>
      <c r="O1580" s="50"/>
    </row>
    <row r="1581" spans="1:15" ht="21.75" customHeight="1" x14ac:dyDescent="0.4">
      <c r="A1581" s="62"/>
      <c r="B1581" s="32"/>
      <c r="C1581" s="32"/>
      <c r="D1581" s="18"/>
      <c r="E1581" s="63"/>
      <c r="F1581" s="63"/>
      <c r="G1581" s="50"/>
      <c r="H1581" s="57"/>
      <c r="I1581" s="227"/>
      <c r="J1581" s="57"/>
      <c r="K1581" s="50"/>
      <c r="L1581" s="57"/>
      <c r="M1581" s="228"/>
      <c r="N1581" s="18"/>
      <c r="O1581" s="50"/>
    </row>
    <row r="1582" spans="1:15" ht="21.75" customHeight="1" x14ac:dyDescent="0.4">
      <c r="A1582" s="62"/>
      <c r="B1582" s="32"/>
      <c r="C1582" s="32"/>
      <c r="D1582" s="18"/>
      <c r="E1582" s="63"/>
      <c r="F1582" s="63"/>
      <c r="G1582" s="50"/>
      <c r="H1582" s="57"/>
      <c r="I1582" s="227"/>
      <c r="J1582" s="57"/>
      <c r="K1582" s="50"/>
      <c r="L1582" s="57"/>
      <c r="M1582" s="228"/>
      <c r="N1582" s="18"/>
      <c r="O1582" s="50"/>
    </row>
    <row r="1583" spans="1:15" ht="21.75" customHeight="1" x14ac:dyDescent="0.4">
      <c r="A1583" s="62"/>
      <c r="B1583" s="32"/>
      <c r="C1583" s="32"/>
      <c r="D1583" s="18"/>
      <c r="E1583" s="63"/>
      <c r="F1583" s="63"/>
      <c r="G1583" s="50"/>
      <c r="H1583" s="57"/>
      <c r="I1583" s="227"/>
      <c r="J1583" s="57"/>
      <c r="K1583" s="50"/>
      <c r="L1583" s="57"/>
      <c r="M1583" s="228"/>
      <c r="N1583" s="18"/>
      <c r="O1583" s="50"/>
    </row>
    <row r="1584" spans="1:15" ht="21.75" customHeight="1" x14ac:dyDescent="0.4">
      <c r="A1584" s="62"/>
      <c r="B1584" s="32"/>
      <c r="C1584" s="32"/>
      <c r="D1584" s="18"/>
      <c r="E1584" s="63"/>
      <c r="F1584" s="63"/>
      <c r="G1584" s="50"/>
      <c r="H1584" s="57"/>
      <c r="I1584" s="227"/>
      <c r="J1584" s="57"/>
      <c r="K1584" s="50"/>
      <c r="L1584" s="57"/>
      <c r="M1584" s="228"/>
      <c r="N1584" s="18"/>
      <c r="O1584" s="50"/>
    </row>
    <row r="1585" spans="1:15" ht="21.75" customHeight="1" x14ac:dyDescent="0.4">
      <c r="A1585" s="62"/>
      <c r="B1585" s="32"/>
      <c r="C1585" s="32"/>
      <c r="D1585" s="18"/>
      <c r="E1585" s="63"/>
      <c r="F1585" s="63"/>
      <c r="G1585" s="50"/>
      <c r="H1585" s="57"/>
      <c r="I1585" s="227"/>
      <c r="J1585" s="57"/>
      <c r="K1585" s="50"/>
      <c r="L1585" s="57"/>
      <c r="M1585" s="228"/>
      <c r="N1585" s="18"/>
      <c r="O1585" s="50"/>
    </row>
    <row r="1586" spans="1:15" ht="21.75" customHeight="1" x14ac:dyDescent="0.4">
      <c r="A1586" s="62"/>
      <c r="B1586" s="32"/>
      <c r="C1586" s="32"/>
      <c r="D1586" s="18"/>
      <c r="E1586" s="63"/>
      <c r="F1586" s="63"/>
      <c r="G1586" s="50"/>
      <c r="H1586" s="57"/>
      <c r="I1586" s="227"/>
      <c r="J1586" s="57"/>
      <c r="K1586" s="50"/>
      <c r="L1586" s="57"/>
      <c r="M1586" s="228"/>
      <c r="N1586" s="18"/>
      <c r="O1586" s="50"/>
    </row>
    <row r="1587" spans="1:15" ht="21.75" customHeight="1" x14ac:dyDescent="0.4">
      <c r="A1587" s="62"/>
      <c r="B1587" s="32"/>
      <c r="C1587" s="32"/>
      <c r="D1587" s="18"/>
      <c r="E1587" s="63"/>
      <c r="F1587" s="63"/>
      <c r="G1587" s="50"/>
      <c r="H1587" s="57"/>
      <c r="I1587" s="227"/>
      <c r="J1587" s="57"/>
      <c r="K1587" s="50"/>
      <c r="L1587" s="57"/>
      <c r="M1587" s="228"/>
      <c r="N1587" s="18"/>
      <c r="O1587" s="50"/>
    </row>
    <row r="1588" spans="1:15" ht="21.75" customHeight="1" x14ac:dyDescent="0.4">
      <c r="A1588" s="62"/>
      <c r="B1588" s="32"/>
      <c r="C1588" s="32"/>
      <c r="D1588" s="18"/>
      <c r="E1588" s="63"/>
      <c r="F1588" s="63"/>
      <c r="G1588" s="50"/>
      <c r="H1588" s="57"/>
      <c r="I1588" s="227"/>
      <c r="J1588" s="57"/>
      <c r="K1588" s="50"/>
      <c r="L1588" s="57"/>
      <c r="M1588" s="228"/>
      <c r="N1588" s="18"/>
      <c r="O1588" s="50"/>
    </row>
    <row r="1589" spans="1:15" ht="21.75" customHeight="1" x14ac:dyDescent="0.4">
      <c r="A1589" s="62"/>
      <c r="B1589" s="32"/>
      <c r="C1589" s="32"/>
      <c r="D1589" s="18"/>
      <c r="E1589" s="63"/>
      <c r="F1589" s="63"/>
      <c r="G1589" s="50"/>
      <c r="H1589" s="57"/>
      <c r="I1589" s="227"/>
      <c r="J1589" s="57"/>
      <c r="K1589" s="50"/>
      <c r="L1589" s="57"/>
      <c r="M1589" s="228"/>
      <c r="N1589" s="18"/>
      <c r="O1589" s="50"/>
    </row>
    <row r="1590" spans="1:15" ht="21.75" customHeight="1" x14ac:dyDescent="0.4">
      <c r="A1590" s="62"/>
      <c r="B1590" s="32"/>
      <c r="C1590" s="32"/>
      <c r="D1590" s="18"/>
      <c r="E1590" s="63"/>
      <c r="F1590" s="63"/>
      <c r="G1590" s="50"/>
      <c r="H1590" s="57"/>
      <c r="I1590" s="227"/>
      <c r="J1590" s="57"/>
      <c r="K1590" s="50"/>
      <c r="L1590" s="57"/>
      <c r="M1590" s="228"/>
      <c r="N1590" s="18"/>
      <c r="O1590" s="50"/>
    </row>
    <row r="1591" spans="1:15" ht="21.75" customHeight="1" x14ac:dyDescent="0.4">
      <c r="A1591" s="62"/>
      <c r="B1591" s="32"/>
      <c r="C1591" s="32"/>
      <c r="D1591" s="18"/>
      <c r="E1591" s="63"/>
      <c r="F1591" s="63"/>
      <c r="G1591" s="50"/>
      <c r="H1591" s="57"/>
      <c r="I1591" s="227"/>
      <c r="J1591" s="57"/>
      <c r="K1591" s="50"/>
      <c r="L1591" s="57"/>
      <c r="M1591" s="228"/>
      <c r="N1591" s="18"/>
      <c r="O1591" s="50"/>
    </row>
    <row r="1592" spans="1:15" ht="21.75" customHeight="1" x14ac:dyDescent="0.4">
      <c r="A1592" s="62"/>
      <c r="B1592" s="32"/>
      <c r="C1592" s="32"/>
      <c r="D1592" s="18"/>
      <c r="E1592" s="63"/>
      <c r="F1592" s="63"/>
      <c r="G1592" s="50"/>
      <c r="H1592" s="57"/>
      <c r="I1592" s="227"/>
      <c r="J1592" s="57"/>
      <c r="K1592" s="50"/>
      <c r="L1592" s="57"/>
      <c r="M1592" s="228"/>
      <c r="N1592" s="18"/>
      <c r="O1592" s="50"/>
    </row>
    <row r="1593" spans="1:15" ht="21.75" customHeight="1" x14ac:dyDescent="0.4">
      <c r="A1593" s="62"/>
      <c r="B1593" s="32"/>
      <c r="C1593" s="32"/>
      <c r="D1593" s="18"/>
      <c r="E1593" s="63"/>
      <c r="F1593" s="63"/>
      <c r="G1593" s="50"/>
      <c r="H1593" s="57"/>
      <c r="I1593" s="227"/>
      <c r="J1593" s="57"/>
      <c r="K1593" s="50"/>
      <c r="L1593" s="57"/>
      <c r="M1593" s="228"/>
      <c r="N1593" s="18"/>
      <c r="O1593" s="50"/>
    </row>
    <row r="1594" spans="1:15" ht="21.75" customHeight="1" x14ac:dyDescent="0.4">
      <c r="A1594" s="62"/>
      <c r="B1594" s="32"/>
      <c r="C1594" s="32"/>
      <c r="D1594" s="18"/>
      <c r="E1594" s="63"/>
      <c r="F1594" s="63"/>
      <c r="G1594" s="50"/>
      <c r="H1594" s="57"/>
      <c r="I1594" s="227"/>
      <c r="J1594" s="57"/>
      <c r="K1594" s="50"/>
      <c r="L1594" s="57"/>
      <c r="M1594" s="228"/>
      <c r="N1594" s="18"/>
      <c r="O1594" s="50"/>
    </row>
    <row r="1595" spans="1:15" ht="21.75" customHeight="1" x14ac:dyDescent="0.4">
      <c r="A1595" s="62"/>
      <c r="B1595" s="32"/>
      <c r="C1595" s="32"/>
      <c r="D1595" s="18"/>
      <c r="E1595" s="63"/>
      <c r="F1595" s="63"/>
      <c r="G1595" s="50"/>
      <c r="H1595" s="57"/>
      <c r="I1595" s="227"/>
      <c r="J1595" s="57"/>
      <c r="K1595" s="50"/>
      <c r="L1595" s="57"/>
      <c r="M1595" s="228"/>
      <c r="N1595" s="18"/>
      <c r="O1595" s="50"/>
    </row>
    <row r="1596" spans="1:15" ht="21.75" customHeight="1" x14ac:dyDescent="0.4">
      <c r="A1596" s="62"/>
      <c r="B1596" s="32"/>
      <c r="C1596" s="32"/>
      <c r="D1596" s="18"/>
      <c r="E1596" s="63"/>
      <c r="F1596" s="63"/>
      <c r="G1596" s="50"/>
      <c r="H1596" s="57"/>
      <c r="I1596" s="227"/>
      <c r="J1596" s="57"/>
      <c r="K1596" s="50"/>
      <c r="L1596" s="57"/>
      <c r="M1596" s="228"/>
      <c r="N1596" s="18"/>
      <c r="O1596" s="50"/>
    </row>
    <row r="1597" spans="1:15" ht="21.75" customHeight="1" x14ac:dyDescent="0.4">
      <c r="A1597" s="62"/>
      <c r="B1597" s="32"/>
      <c r="C1597" s="32"/>
      <c r="D1597" s="18"/>
      <c r="E1597" s="63"/>
      <c r="F1597" s="63"/>
      <c r="G1597" s="50"/>
      <c r="H1597" s="57"/>
      <c r="I1597" s="227"/>
      <c r="J1597" s="57"/>
      <c r="K1597" s="50"/>
      <c r="L1597" s="57"/>
      <c r="M1597" s="228"/>
      <c r="N1597" s="18"/>
      <c r="O1597" s="50"/>
    </row>
    <row r="1598" spans="1:15" ht="21.75" customHeight="1" x14ac:dyDescent="0.4">
      <c r="A1598" s="62"/>
      <c r="B1598" s="32"/>
      <c r="C1598" s="32"/>
      <c r="D1598" s="18"/>
      <c r="E1598" s="63"/>
      <c r="F1598" s="63"/>
      <c r="G1598" s="50"/>
      <c r="H1598" s="57"/>
      <c r="I1598" s="227"/>
      <c r="J1598" s="57"/>
      <c r="K1598" s="50"/>
      <c r="L1598" s="57"/>
      <c r="M1598" s="228"/>
      <c r="N1598" s="18"/>
      <c r="O1598" s="50"/>
    </row>
    <row r="1599" spans="1:15" ht="21.75" customHeight="1" x14ac:dyDescent="0.4">
      <c r="A1599" s="62"/>
      <c r="B1599" s="32"/>
      <c r="C1599" s="32"/>
      <c r="D1599" s="18"/>
      <c r="E1599" s="63"/>
      <c r="F1599" s="63"/>
      <c r="G1599" s="50"/>
      <c r="H1599" s="57"/>
      <c r="I1599" s="227"/>
      <c r="J1599" s="57"/>
      <c r="K1599" s="50"/>
      <c r="L1599" s="57"/>
      <c r="M1599" s="228"/>
      <c r="N1599" s="18"/>
      <c r="O1599" s="50"/>
    </row>
    <row r="1600" spans="1:15" ht="21.75" customHeight="1" x14ac:dyDescent="0.4">
      <c r="A1600" s="62"/>
      <c r="B1600" s="32"/>
      <c r="C1600" s="32"/>
      <c r="D1600" s="18"/>
      <c r="E1600" s="63"/>
      <c r="F1600" s="63"/>
      <c r="G1600" s="50"/>
      <c r="H1600" s="57"/>
      <c r="I1600" s="227"/>
      <c r="J1600" s="57"/>
      <c r="K1600" s="50"/>
      <c r="L1600" s="57"/>
      <c r="M1600" s="228"/>
      <c r="N1600" s="18"/>
      <c r="O1600" s="50"/>
    </row>
    <row r="1601" spans="1:15" ht="21.75" customHeight="1" x14ac:dyDescent="0.4">
      <c r="A1601" s="62"/>
      <c r="B1601" s="32"/>
      <c r="C1601" s="32"/>
      <c r="D1601" s="18"/>
      <c r="E1601" s="63"/>
      <c r="F1601" s="63"/>
      <c r="G1601" s="50"/>
      <c r="H1601" s="57"/>
      <c r="I1601" s="227"/>
      <c r="J1601" s="57"/>
      <c r="K1601" s="50"/>
      <c r="L1601" s="57"/>
      <c r="M1601" s="228"/>
      <c r="N1601" s="18"/>
      <c r="O1601" s="50"/>
    </row>
    <row r="1602" spans="1:15" ht="21.75" customHeight="1" x14ac:dyDescent="0.4">
      <c r="A1602" s="62"/>
      <c r="B1602" s="32"/>
      <c r="C1602" s="32"/>
      <c r="D1602" s="18"/>
      <c r="E1602" s="63"/>
      <c r="F1602" s="63"/>
      <c r="G1602" s="50"/>
      <c r="H1602" s="57"/>
      <c r="I1602" s="227"/>
      <c r="J1602" s="57"/>
      <c r="K1602" s="50"/>
      <c r="L1602" s="57"/>
      <c r="M1602" s="228"/>
      <c r="N1602" s="18"/>
      <c r="O1602" s="50"/>
    </row>
    <row r="1603" spans="1:15" ht="21.75" customHeight="1" x14ac:dyDescent="0.4">
      <c r="A1603" s="62"/>
      <c r="B1603" s="32"/>
      <c r="C1603" s="32"/>
      <c r="D1603" s="18"/>
      <c r="E1603" s="63"/>
      <c r="F1603" s="63"/>
      <c r="G1603" s="50"/>
      <c r="H1603" s="57"/>
      <c r="I1603" s="227"/>
      <c r="J1603" s="57"/>
      <c r="K1603" s="50"/>
      <c r="L1603" s="57"/>
      <c r="M1603" s="228"/>
      <c r="N1603" s="18"/>
      <c r="O1603" s="50"/>
    </row>
    <row r="1604" spans="1:15" ht="21.75" customHeight="1" x14ac:dyDescent="0.4">
      <c r="A1604" s="62"/>
      <c r="B1604" s="32"/>
      <c r="C1604" s="32"/>
      <c r="D1604" s="18"/>
      <c r="E1604" s="63"/>
      <c r="F1604" s="63"/>
      <c r="G1604" s="50"/>
      <c r="H1604" s="57"/>
      <c r="I1604" s="227"/>
      <c r="J1604" s="57"/>
      <c r="K1604" s="50"/>
      <c r="L1604" s="57"/>
      <c r="M1604" s="228"/>
      <c r="N1604" s="18"/>
      <c r="O1604" s="50"/>
    </row>
    <row r="1605" spans="1:15" ht="21.75" customHeight="1" x14ac:dyDescent="0.4">
      <c r="A1605" s="62"/>
      <c r="B1605" s="32"/>
      <c r="C1605" s="32"/>
      <c r="D1605" s="18"/>
      <c r="E1605" s="63"/>
      <c r="F1605" s="63"/>
      <c r="G1605" s="50"/>
      <c r="H1605" s="57"/>
      <c r="I1605" s="227"/>
      <c r="J1605" s="57"/>
      <c r="K1605" s="50"/>
      <c r="L1605" s="57"/>
      <c r="M1605" s="228"/>
      <c r="N1605" s="18"/>
      <c r="O1605" s="50"/>
    </row>
    <row r="1606" spans="1:15" ht="21.75" customHeight="1" x14ac:dyDescent="0.4">
      <c r="A1606" s="62"/>
      <c r="B1606" s="32"/>
      <c r="C1606" s="32"/>
      <c r="D1606" s="18"/>
      <c r="E1606" s="63"/>
      <c r="F1606" s="63"/>
      <c r="G1606" s="50"/>
      <c r="H1606" s="57"/>
      <c r="I1606" s="227"/>
      <c r="J1606" s="57"/>
      <c r="K1606" s="50"/>
      <c r="L1606" s="57"/>
      <c r="M1606" s="228"/>
      <c r="N1606" s="18"/>
      <c r="O1606" s="50"/>
    </row>
    <row r="1607" spans="1:15" ht="21.75" customHeight="1" x14ac:dyDescent="0.4">
      <c r="A1607" s="62"/>
      <c r="B1607" s="32"/>
      <c r="C1607" s="32"/>
      <c r="D1607" s="18"/>
      <c r="E1607" s="63"/>
      <c r="F1607" s="63"/>
      <c r="G1607" s="50"/>
      <c r="H1607" s="57"/>
      <c r="I1607" s="227"/>
      <c r="J1607" s="57"/>
      <c r="K1607" s="50"/>
      <c r="L1607" s="57"/>
      <c r="M1607" s="228"/>
      <c r="N1607" s="18"/>
      <c r="O1607" s="50"/>
    </row>
    <row r="1608" spans="1:15" ht="21.75" customHeight="1" x14ac:dyDescent="0.4">
      <c r="A1608" s="62"/>
      <c r="B1608" s="32"/>
      <c r="C1608" s="32"/>
      <c r="D1608" s="18"/>
      <c r="E1608" s="63"/>
      <c r="F1608" s="63"/>
      <c r="G1608" s="50"/>
      <c r="H1608" s="57"/>
      <c r="I1608" s="227"/>
      <c r="J1608" s="57"/>
      <c r="K1608" s="50"/>
      <c r="L1608" s="57"/>
      <c r="M1608" s="228"/>
      <c r="N1608" s="18"/>
      <c r="O1608" s="50"/>
    </row>
    <row r="1609" spans="1:15" ht="21.75" customHeight="1" x14ac:dyDescent="0.4">
      <c r="A1609" s="62"/>
      <c r="B1609" s="32"/>
      <c r="C1609" s="32"/>
      <c r="D1609" s="18"/>
      <c r="E1609" s="63"/>
      <c r="F1609" s="63"/>
      <c r="G1609" s="50"/>
      <c r="H1609" s="57"/>
      <c r="I1609" s="227"/>
      <c r="J1609" s="57"/>
      <c r="K1609" s="50"/>
      <c r="L1609" s="57"/>
      <c r="M1609" s="228"/>
      <c r="N1609" s="18"/>
      <c r="O1609" s="50"/>
    </row>
    <row r="1610" spans="1:15" ht="21.75" customHeight="1" x14ac:dyDescent="0.4">
      <c r="A1610" s="62"/>
      <c r="B1610" s="32"/>
      <c r="C1610" s="32"/>
      <c r="D1610" s="18"/>
      <c r="E1610" s="63"/>
      <c r="F1610" s="63"/>
      <c r="G1610" s="50"/>
      <c r="H1610" s="57"/>
      <c r="I1610" s="227"/>
      <c r="J1610" s="57"/>
      <c r="K1610" s="50"/>
      <c r="L1610" s="57"/>
      <c r="M1610" s="228"/>
      <c r="N1610" s="18"/>
      <c r="O1610" s="50"/>
    </row>
    <row r="1611" spans="1:15" ht="21.75" customHeight="1" x14ac:dyDescent="0.4">
      <c r="A1611" s="62"/>
      <c r="B1611" s="32"/>
      <c r="C1611" s="32"/>
      <c r="D1611" s="18"/>
      <c r="E1611" s="63"/>
      <c r="F1611" s="63"/>
      <c r="G1611" s="50"/>
      <c r="H1611" s="57"/>
      <c r="I1611" s="227"/>
      <c r="J1611" s="57"/>
      <c r="K1611" s="50"/>
      <c r="L1611" s="57"/>
      <c r="M1611" s="228"/>
      <c r="N1611" s="18"/>
      <c r="O1611" s="50"/>
    </row>
    <row r="1612" spans="1:15" ht="21.75" customHeight="1" x14ac:dyDescent="0.4">
      <c r="A1612" s="62"/>
      <c r="B1612" s="32"/>
      <c r="C1612" s="32"/>
      <c r="D1612" s="18"/>
      <c r="E1612" s="63"/>
      <c r="F1612" s="63"/>
      <c r="G1612" s="50"/>
      <c r="H1612" s="57"/>
      <c r="I1612" s="227"/>
      <c r="J1612" s="57"/>
      <c r="K1612" s="50"/>
      <c r="L1612" s="57"/>
      <c r="M1612" s="228"/>
      <c r="N1612" s="18"/>
      <c r="O1612" s="50"/>
    </row>
    <row r="1613" spans="1:15" ht="21.75" customHeight="1" x14ac:dyDescent="0.4">
      <c r="A1613" s="62"/>
      <c r="B1613" s="32"/>
      <c r="C1613" s="32"/>
      <c r="D1613" s="18"/>
      <c r="E1613" s="63"/>
      <c r="F1613" s="63"/>
      <c r="G1613" s="50"/>
      <c r="H1613" s="57"/>
      <c r="I1613" s="227"/>
      <c r="J1613" s="57"/>
      <c r="K1613" s="50"/>
      <c r="L1613" s="57"/>
      <c r="M1613" s="228"/>
      <c r="N1613" s="18"/>
      <c r="O1613" s="50"/>
    </row>
    <row r="1614" spans="1:15" ht="21.75" customHeight="1" x14ac:dyDescent="0.4">
      <c r="A1614" s="62"/>
      <c r="B1614" s="32"/>
      <c r="C1614" s="32"/>
      <c r="D1614" s="18"/>
      <c r="E1614" s="63"/>
      <c r="F1614" s="63"/>
      <c r="G1614" s="50"/>
      <c r="H1614" s="57"/>
      <c r="I1614" s="227"/>
      <c r="J1614" s="57"/>
      <c r="K1614" s="50"/>
      <c r="L1614" s="57"/>
      <c r="M1614" s="228"/>
      <c r="N1614" s="18"/>
      <c r="O1614" s="50"/>
    </row>
    <row r="1615" spans="1:15" ht="21.75" customHeight="1" x14ac:dyDescent="0.4">
      <c r="A1615" s="62"/>
      <c r="B1615" s="32"/>
      <c r="C1615" s="32"/>
      <c r="D1615" s="18"/>
      <c r="E1615" s="63"/>
      <c r="F1615" s="63"/>
      <c r="G1615" s="50"/>
      <c r="H1615" s="57"/>
      <c r="I1615" s="227"/>
      <c r="J1615" s="57"/>
      <c r="K1615" s="50"/>
      <c r="L1615" s="57"/>
      <c r="M1615" s="228"/>
      <c r="N1615" s="18"/>
      <c r="O1615" s="50"/>
    </row>
    <row r="1616" spans="1:15" ht="21.75" customHeight="1" x14ac:dyDescent="0.4">
      <c r="A1616" s="62"/>
      <c r="B1616" s="32"/>
      <c r="C1616" s="32"/>
      <c r="D1616" s="18"/>
      <c r="E1616" s="63"/>
      <c r="F1616" s="63"/>
      <c r="G1616" s="50"/>
      <c r="H1616" s="57"/>
      <c r="I1616" s="227"/>
      <c r="J1616" s="57"/>
      <c r="K1616" s="50"/>
      <c r="L1616" s="57"/>
      <c r="M1616" s="228"/>
      <c r="N1616" s="18"/>
      <c r="O1616" s="50"/>
    </row>
    <row r="1617" spans="1:15" ht="21.75" customHeight="1" x14ac:dyDescent="0.4">
      <c r="A1617" s="62"/>
      <c r="B1617" s="32"/>
      <c r="C1617" s="32"/>
      <c r="D1617" s="18"/>
      <c r="E1617" s="63"/>
      <c r="F1617" s="63"/>
      <c r="G1617" s="50"/>
      <c r="H1617" s="57"/>
      <c r="I1617" s="227"/>
      <c r="J1617" s="57"/>
      <c r="K1617" s="50"/>
      <c r="L1617" s="57"/>
      <c r="M1617" s="228"/>
      <c r="N1617" s="18"/>
      <c r="O1617" s="50"/>
    </row>
    <row r="1618" spans="1:15" ht="21.75" customHeight="1" x14ac:dyDescent="0.4">
      <c r="A1618" s="62"/>
      <c r="B1618" s="32"/>
      <c r="C1618" s="32"/>
      <c r="D1618" s="18"/>
      <c r="E1618" s="63"/>
      <c r="F1618" s="63"/>
      <c r="G1618" s="50"/>
      <c r="H1618" s="57"/>
      <c r="I1618" s="227"/>
      <c r="J1618" s="57"/>
      <c r="K1618" s="50"/>
      <c r="L1618" s="57"/>
      <c r="M1618" s="228"/>
      <c r="N1618" s="18"/>
      <c r="O1618" s="50"/>
    </row>
    <row r="1619" spans="1:15" ht="21.75" customHeight="1" x14ac:dyDescent="0.4">
      <c r="A1619" s="62"/>
      <c r="B1619" s="32"/>
      <c r="C1619" s="32"/>
      <c r="D1619" s="18"/>
      <c r="E1619" s="63"/>
      <c r="F1619" s="63"/>
      <c r="G1619" s="50"/>
      <c r="H1619" s="57"/>
      <c r="I1619" s="227"/>
      <c r="J1619" s="57"/>
      <c r="K1619" s="50"/>
      <c r="L1619" s="57"/>
      <c r="M1619" s="228"/>
      <c r="N1619" s="18"/>
      <c r="O1619" s="50"/>
    </row>
    <row r="1620" spans="1:15" ht="21.75" customHeight="1" x14ac:dyDescent="0.4">
      <c r="A1620" s="62"/>
      <c r="B1620" s="32"/>
      <c r="C1620" s="32"/>
      <c r="D1620" s="18"/>
      <c r="E1620" s="63"/>
      <c r="F1620" s="63"/>
      <c r="G1620" s="50"/>
      <c r="H1620" s="57"/>
      <c r="I1620" s="227"/>
      <c r="J1620" s="57"/>
      <c r="K1620" s="50"/>
      <c r="L1620" s="57"/>
      <c r="M1620" s="228"/>
      <c r="N1620" s="18"/>
      <c r="O1620" s="50"/>
    </row>
    <row r="1621" spans="1:15" ht="21.75" customHeight="1" x14ac:dyDescent="0.4">
      <c r="A1621" s="62"/>
      <c r="B1621" s="32"/>
      <c r="C1621" s="32"/>
      <c r="D1621" s="18"/>
      <c r="E1621" s="63"/>
      <c r="F1621" s="63"/>
      <c r="G1621" s="50"/>
      <c r="H1621" s="57"/>
      <c r="I1621" s="227"/>
      <c r="J1621" s="57"/>
      <c r="K1621" s="50"/>
      <c r="L1621" s="57"/>
      <c r="M1621" s="228"/>
      <c r="N1621" s="18"/>
      <c r="O1621" s="50"/>
    </row>
    <row r="1622" spans="1:15" ht="21.75" customHeight="1" x14ac:dyDescent="0.4">
      <c r="A1622" s="62"/>
      <c r="B1622" s="32"/>
      <c r="C1622" s="32"/>
      <c r="D1622" s="18"/>
      <c r="E1622" s="63"/>
      <c r="F1622" s="63"/>
      <c r="G1622" s="50"/>
      <c r="H1622" s="57"/>
      <c r="I1622" s="227"/>
      <c r="J1622" s="57"/>
      <c r="K1622" s="50"/>
      <c r="L1622" s="57"/>
      <c r="M1622" s="228"/>
      <c r="N1622" s="18"/>
      <c r="O1622" s="50"/>
    </row>
    <row r="1623" spans="1:15" ht="21.75" customHeight="1" x14ac:dyDescent="0.4">
      <c r="A1623" s="62"/>
      <c r="B1623" s="32"/>
      <c r="C1623" s="32"/>
      <c r="D1623" s="18"/>
      <c r="E1623" s="63"/>
      <c r="F1623" s="63"/>
      <c r="G1623" s="50"/>
      <c r="H1623" s="57"/>
      <c r="I1623" s="227"/>
      <c r="J1623" s="57"/>
      <c r="K1623" s="50"/>
      <c r="L1623" s="57"/>
      <c r="M1623" s="228"/>
      <c r="N1623" s="18"/>
      <c r="O1623" s="50"/>
    </row>
    <row r="1624" spans="1:15" ht="21.75" customHeight="1" x14ac:dyDescent="0.4">
      <c r="A1624" s="62"/>
      <c r="B1624" s="32"/>
      <c r="C1624" s="32"/>
      <c r="D1624" s="18"/>
      <c r="E1624" s="63"/>
      <c r="F1624" s="63"/>
      <c r="G1624" s="50"/>
      <c r="H1624" s="57"/>
      <c r="I1624" s="227"/>
      <c r="J1624" s="57"/>
      <c r="K1624" s="50"/>
      <c r="L1624" s="57"/>
      <c r="M1624" s="228"/>
      <c r="N1624" s="18"/>
      <c r="O1624" s="50"/>
    </row>
    <row r="1625" spans="1:15" ht="21.75" customHeight="1" x14ac:dyDescent="0.4">
      <c r="A1625" s="62"/>
      <c r="B1625" s="32"/>
      <c r="C1625" s="32"/>
      <c r="D1625" s="18"/>
      <c r="E1625" s="63"/>
      <c r="F1625" s="63"/>
      <c r="G1625" s="50"/>
      <c r="H1625" s="57"/>
      <c r="I1625" s="227"/>
      <c r="J1625" s="57"/>
      <c r="K1625" s="50"/>
      <c r="L1625" s="57"/>
      <c r="M1625" s="228"/>
      <c r="N1625" s="18"/>
      <c r="O1625" s="50"/>
    </row>
    <row r="1626" spans="1:15" ht="21.75" customHeight="1" x14ac:dyDescent="0.4">
      <c r="A1626" s="62"/>
      <c r="B1626" s="32"/>
      <c r="C1626" s="32"/>
      <c r="D1626" s="18"/>
      <c r="E1626" s="63"/>
      <c r="F1626" s="63"/>
      <c r="G1626" s="50"/>
      <c r="H1626" s="57"/>
      <c r="I1626" s="227"/>
      <c r="J1626" s="57"/>
      <c r="K1626" s="50"/>
      <c r="L1626" s="57"/>
      <c r="M1626" s="228"/>
      <c r="N1626" s="18"/>
      <c r="O1626" s="50"/>
    </row>
    <row r="1627" spans="1:15" ht="21.75" customHeight="1" x14ac:dyDescent="0.4">
      <c r="A1627" s="62"/>
      <c r="B1627" s="32"/>
      <c r="C1627" s="32"/>
      <c r="D1627" s="18"/>
      <c r="E1627" s="63"/>
      <c r="F1627" s="63"/>
      <c r="G1627" s="50"/>
      <c r="H1627" s="57"/>
      <c r="I1627" s="227"/>
      <c r="J1627" s="57"/>
      <c r="K1627" s="50"/>
      <c r="L1627" s="57"/>
      <c r="M1627" s="228"/>
      <c r="N1627" s="18"/>
      <c r="O1627" s="50"/>
    </row>
    <row r="1628" spans="1:15" ht="21.75" customHeight="1" x14ac:dyDescent="0.4">
      <c r="A1628" s="62"/>
      <c r="B1628" s="32"/>
      <c r="C1628" s="32"/>
      <c r="D1628" s="18"/>
      <c r="E1628" s="63"/>
      <c r="F1628" s="63"/>
      <c r="G1628" s="50"/>
      <c r="H1628" s="57"/>
      <c r="I1628" s="227"/>
      <c r="J1628" s="57"/>
      <c r="K1628" s="50"/>
      <c r="L1628" s="57"/>
      <c r="M1628" s="228"/>
      <c r="N1628" s="18"/>
      <c r="O1628" s="50"/>
    </row>
    <row r="1629" spans="1:15" ht="21.75" customHeight="1" x14ac:dyDescent="0.4">
      <c r="A1629" s="62"/>
      <c r="B1629" s="32"/>
      <c r="C1629" s="32"/>
      <c r="D1629" s="18"/>
      <c r="E1629" s="63"/>
      <c r="F1629" s="63"/>
      <c r="G1629" s="50"/>
      <c r="H1629" s="57"/>
      <c r="I1629" s="227"/>
      <c r="J1629" s="57"/>
      <c r="K1629" s="50"/>
      <c r="L1629" s="57"/>
      <c r="M1629" s="228"/>
      <c r="N1629" s="18"/>
      <c r="O1629" s="50"/>
    </row>
    <row r="1630" spans="1:15" ht="21.75" customHeight="1" x14ac:dyDescent="0.4">
      <c r="A1630" s="62"/>
      <c r="B1630" s="32"/>
      <c r="C1630" s="32"/>
      <c r="D1630" s="18"/>
      <c r="E1630" s="63"/>
      <c r="F1630" s="63"/>
      <c r="G1630" s="50"/>
      <c r="H1630" s="57"/>
      <c r="I1630" s="227"/>
      <c r="J1630" s="57"/>
      <c r="K1630" s="50"/>
      <c r="L1630" s="57"/>
      <c r="M1630" s="228"/>
      <c r="N1630" s="18"/>
      <c r="O1630" s="50"/>
    </row>
    <row r="1631" spans="1:15" ht="21.75" customHeight="1" x14ac:dyDescent="0.4">
      <c r="A1631" s="62"/>
      <c r="B1631" s="32"/>
      <c r="C1631" s="32"/>
      <c r="D1631" s="18"/>
      <c r="E1631" s="63"/>
      <c r="F1631" s="63"/>
      <c r="G1631" s="50"/>
      <c r="H1631" s="57"/>
      <c r="I1631" s="227"/>
      <c r="J1631" s="57"/>
      <c r="K1631" s="50"/>
      <c r="L1631" s="57"/>
      <c r="M1631" s="228"/>
      <c r="N1631" s="18"/>
      <c r="O1631" s="50"/>
    </row>
    <row r="1632" spans="1:15" ht="21.75" customHeight="1" x14ac:dyDescent="0.4">
      <c r="A1632" s="62"/>
      <c r="B1632" s="32"/>
      <c r="C1632" s="32"/>
      <c r="D1632" s="18"/>
      <c r="E1632" s="63"/>
      <c r="F1632" s="63"/>
      <c r="G1632" s="50"/>
      <c r="H1632" s="57"/>
      <c r="I1632" s="227"/>
      <c r="J1632" s="57"/>
      <c r="K1632" s="50"/>
      <c r="L1632" s="57"/>
      <c r="M1632" s="228"/>
      <c r="N1632" s="18"/>
      <c r="O1632" s="50"/>
    </row>
    <row r="1633" spans="1:15" ht="21.75" customHeight="1" x14ac:dyDescent="0.4">
      <c r="A1633" s="62"/>
      <c r="B1633" s="32"/>
      <c r="C1633" s="32"/>
      <c r="D1633" s="18"/>
      <c r="E1633" s="63"/>
      <c r="F1633" s="63"/>
      <c r="G1633" s="50"/>
      <c r="H1633" s="57"/>
      <c r="I1633" s="227"/>
      <c r="J1633" s="57"/>
      <c r="K1633" s="50"/>
      <c r="L1633" s="57"/>
      <c r="M1633" s="228"/>
      <c r="N1633" s="18"/>
      <c r="O1633" s="50"/>
    </row>
    <row r="1634" spans="1:15" ht="21.75" customHeight="1" x14ac:dyDescent="0.4">
      <c r="A1634" s="62"/>
      <c r="B1634" s="32"/>
      <c r="C1634" s="32"/>
      <c r="D1634" s="18"/>
      <c r="E1634" s="63"/>
      <c r="F1634" s="63"/>
      <c r="G1634" s="50"/>
      <c r="H1634" s="57"/>
      <c r="I1634" s="227"/>
      <c r="J1634" s="57"/>
      <c r="K1634" s="50"/>
      <c r="L1634" s="57"/>
      <c r="M1634" s="228"/>
      <c r="N1634" s="18"/>
      <c r="O1634" s="50"/>
    </row>
    <row r="1635" spans="1:15" ht="21.75" customHeight="1" x14ac:dyDescent="0.4">
      <c r="A1635" s="62"/>
      <c r="B1635" s="32"/>
      <c r="C1635" s="32"/>
      <c r="D1635" s="18"/>
      <c r="E1635" s="63"/>
      <c r="F1635" s="63"/>
      <c r="G1635" s="50"/>
      <c r="H1635" s="57"/>
      <c r="I1635" s="227"/>
      <c r="J1635" s="57"/>
      <c r="K1635" s="50"/>
      <c r="L1635" s="57"/>
      <c r="M1635" s="228"/>
      <c r="N1635" s="18"/>
      <c r="O1635" s="50"/>
    </row>
    <row r="1636" spans="1:15" ht="21.75" customHeight="1" x14ac:dyDescent="0.4">
      <c r="A1636" s="62"/>
      <c r="B1636" s="32"/>
      <c r="C1636" s="32"/>
      <c r="D1636" s="18"/>
      <c r="E1636" s="63"/>
      <c r="F1636" s="63"/>
      <c r="G1636" s="50"/>
      <c r="H1636" s="57"/>
      <c r="I1636" s="227"/>
      <c r="J1636" s="57"/>
      <c r="K1636" s="50"/>
      <c r="L1636" s="57"/>
      <c r="M1636" s="228"/>
      <c r="N1636" s="18"/>
      <c r="O1636" s="50"/>
    </row>
    <row r="1637" spans="1:15" ht="21.75" customHeight="1" x14ac:dyDescent="0.4">
      <c r="A1637" s="62"/>
      <c r="B1637" s="32"/>
      <c r="C1637" s="32"/>
      <c r="D1637" s="18"/>
      <c r="E1637" s="63"/>
      <c r="F1637" s="63"/>
      <c r="G1637" s="50"/>
      <c r="H1637" s="57"/>
      <c r="I1637" s="227"/>
      <c r="J1637" s="57"/>
      <c r="K1637" s="50"/>
      <c r="L1637" s="57"/>
      <c r="M1637" s="228"/>
      <c r="N1637" s="18"/>
      <c r="O1637" s="50"/>
    </row>
    <row r="1638" spans="1:15" ht="21.75" customHeight="1" x14ac:dyDescent="0.4">
      <c r="A1638" s="62"/>
      <c r="B1638" s="32"/>
      <c r="C1638" s="32"/>
      <c r="D1638" s="18"/>
      <c r="E1638" s="63"/>
      <c r="F1638" s="63"/>
      <c r="G1638" s="50"/>
      <c r="H1638" s="57"/>
      <c r="I1638" s="227"/>
      <c r="J1638" s="57"/>
      <c r="K1638" s="50"/>
      <c r="L1638" s="57"/>
      <c r="M1638" s="228"/>
      <c r="N1638" s="18"/>
      <c r="O1638" s="50"/>
    </row>
    <row r="1639" spans="1:15" ht="21.75" customHeight="1" x14ac:dyDescent="0.4">
      <c r="A1639" s="62"/>
      <c r="B1639" s="32"/>
      <c r="C1639" s="32"/>
      <c r="D1639" s="18"/>
      <c r="E1639" s="63"/>
      <c r="F1639" s="63"/>
      <c r="G1639" s="50"/>
      <c r="H1639" s="57"/>
      <c r="I1639" s="227"/>
      <c r="J1639" s="57"/>
      <c r="K1639" s="50"/>
      <c r="L1639" s="57"/>
      <c r="M1639" s="228"/>
      <c r="N1639" s="18"/>
      <c r="O1639" s="50"/>
    </row>
    <row r="1640" spans="1:15" ht="21.75" customHeight="1" x14ac:dyDescent="0.4">
      <c r="A1640" s="62"/>
      <c r="B1640" s="32"/>
      <c r="C1640" s="32"/>
      <c r="D1640" s="18"/>
      <c r="E1640" s="63"/>
      <c r="F1640" s="63"/>
      <c r="G1640" s="50"/>
      <c r="H1640" s="57"/>
      <c r="I1640" s="227"/>
      <c r="J1640" s="57"/>
      <c r="K1640" s="50"/>
      <c r="L1640" s="57"/>
      <c r="M1640" s="228"/>
      <c r="N1640" s="18"/>
      <c r="O1640" s="50"/>
    </row>
    <row r="1641" spans="1:15" ht="21.75" customHeight="1" x14ac:dyDescent="0.4">
      <c r="A1641" s="62"/>
      <c r="B1641" s="32"/>
      <c r="C1641" s="32"/>
      <c r="D1641" s="18"/>
      <c r="E1641" s="63"/>
      <c r="F1641" s="63"/>
      <c r="G1641" s="50"/>
      <c r="H1641" s="57"/>
      <c r="I1641" s="227"/>
      <c r="J1641" s="57"/>
      <c r="K1641" s="50"/>
      <c r="L1641" s="57"/>
      <c r="M1641" s="228"/>
      <c r="N1641" s="18"/>
      <c r="O1641" s="50"/>
    </row>
    <row r="1642" spans="1:15" ht="21.75" customHeight="1" x14ac:dyDescent="0.4">
      <c r="A1642" s="62"/>
      <c r="B1642" s="32"/>
      <c r="C1642" s="32"/>
      <c r="D1642" s="18"/>
      <c r="E1642" s="63"/>
      <c r="F1642" s="63"/>
      <c r="G1642" s="50"/>
      <c r="H1642" s="57"/>
      <c r="I1642" s="227"/>
      <c r="J1642" s="57"/>
      <c r="K1642" s="50"/>
      <c r="L1642" s="57"/>
      <c r="M1642" s="228"/>
      <c r="N1642" s="18"/>
      <c r="O1642" s="50"/>
    </row>
    <row r="1643" spans="1:15" ht="21.75" customHeight="1" x14ac:dyDescent="0.4">
      <c r="A1643" s="62"/>
      <c r="B1643" s="32"/>
      <c r="C1643" s="32"/>
      <c r="D1643" s="18"/>
      <c r="E1643" s="63"/>
      <c r="F1643" s="63"/>
      <c r="G1643" s="50"/>
      <c r="H1643" s="57"/>
      <c r="I1643" s="227"/>
      <c r="J1643" s="57"/>
      <c r="K1643" s="50"/>
      <c r="L1643" s="57"/>
      <c r="M1643" s="228"/>
      <c r="N1643" s="18"/>
      <c r="O1643" s="50"/>
    </row>
    <row r="1644" spans="1:15" ht="21.75" customHeight="1" x14ac:dyDescent="0.4">
      <c r="A1644" s="62"/>
      <c r="B1644" s="32"/>
      <c r="C1644" s="32"/>
      <c r="D1644" s="18"/>
      <c r="E1644" s="63"/>
      <c r="F1644" s="63"/>
      <c r="G1644" s="50"/>
      <c r="H1644" s="57"/>
      <c r="I1644" s="227"/>
      <c r="J1644" s="57"/>
      <c r="K1644" s="50"/>
      <c r="L1644" s="57"/>
      <c r="M1644" s="228"/>
      <c r="N1644" s="18"/>
      <c r="O1644" s="50"/>
    </row>
    <row r="1645" spans="1:15" ht="21.75" customHeight="1" x14ac:dyDescent="0.4">
      <c r="A1645" s="62"/>
      <c r="B1645" s="32"/>
      <c r="C1645" s="32"/>
      <c r="D1645" s="18"/>
      <c r="E1645" s="63"/>
      <c r="F1645" s="63"/>
      <c r="G1645" s="50"/>
      <c r="H1645" s="57"/>
      <c r="I1645" s="227"/>
      <c r="J1645" s="57"/>
      <c r="K1645" s="50"/>
      <c r="L1645" s="57"/>
      <c r="M1645" s="228"/>
      <c r="N1645" s="18"/>
      <c r="O1645" s="50"/>
    </row>
    <row r="1646" spans="1:15" ht="21.75" customHeight="1" x14ac:dyDescent="0.4">
      <c r="A1646" s="62"/>
      <c r="B1646" s="32"/>
      <c r="C1646" s="32"/>
      <c r="D1646" s="18"/>
      <c r="E1646" s="63"/>
      <c r="F1646" s="63"/>
      <c r="G1646" s="50"/>
      <c r="H1646" s="57"/>
      <c r="I1646" s="227"/>
      <c r="J1646" s="57"/>
      <c r="K1646" s="50"/>
      <c r="L1646" s="57"/>
      <c r="M1646" s="228"/>
      <c r="N1646" s="18"/>
      <c r="O1646" s="50"/>
    </row>
    <row r="1647" spans="1:15" ht="21.75" customHeight="1" x14ac:dyDescent="0.4">
      <c r="A1647" s="62"/>
      <c r="B1647" s="32"/>
      <c r="C1647" s="32"/>
      <c r="D1647" s="18"/>
      <c r="E1647" s="63"/>
      <c r="F1647" s="63"/>
      <c r="G1647" s="50"/>
      <c r="H1647" s="57"/>
      <c r="I1647" s="227"/>
      <c r="J1647" s="57"/>
      <c r="K1647" s="50"/>
      <c r="L1647" s="57"/>
      <c r="M1647" s="228"/>
      <c r="N1647" s="18"/>
      <c r="O1647" s="50"/>
    </row>
    <row r="1648" spans="1:15" ht="21.75" customHeight="1" x14ac:dyDescent="0.4">
      <c r="A1648" s="62"/>
      <c r="B1648" s="32"/>
      <c r="C1648" s="32"/>
      <c r="D1648" s="18"/>
      <c r="E1648" s="63"/>
      <c r="F1648" s="63"/>
      <c r="G1648" s="50"/>
      <c r="H1648" s="57"/>
      <c r="I1648" s="227"/>
      <c r="J1648" s="57"/>
      <c r="K1648" s="50"/>
      <c r="L1648" s="57"/>
      <c r="M1648" s="228"/>
      <c r="N1648" s="18"/>
      <c r="O1648" s="50"/>
    </row>
    <row r="1649" spans="1:15" ht="21.75" customHeight="1" x14ac:dyDescent="0.4">
      <c r="A1649" s="62"/>
      <c r="B1649" s="32"/>
      <c r="C1649" s="32"/>
      <c r="D1649" s="18"/>
      <c r="E1649" s="63"/>
      <c r="F1649" s="63"/>
      <c r="G1649" s="50"/>
      <c r="H1649" s="57"/>
      <c r="I1649" s="227"/>
      <c r="J1649" s="57"/>
      <c r="K1649" s="50"/>
      <c r="L1649" s="57"/>
      <c r="M1649" s="228"/>
      <c r="N1649" s="18"/>
      <c r="O1649" s="50"/>
    </row>
    <row r="1650" spans="1:15" ht="21.75" customHeight="1" x14ac:dyDescent="0.4">
      <c r="A1650" s="62"/>
      <c r="B1650" s="32"/>
      <c r="C1650" s="32"/>
      <c r="D1650" s="18"/>
      <c r="E1650" s="63"/>
      <c r="F1650" s="63"/>
      <c r="G1650" s="50"/>
      <c r="H1650" s="57"/>
      <c r="I1650" s="227"/>
      <c r="J1650" s="57"/>
      <c r="K1650" s="50"/>
      <c r="L1650" s="57"/>
      <c r="M1650" s="228"/>
      <c r="N1650" s="18"/>
      <c r="O1650" s="50"/>
    </row>
    <row r="1651" spans="1:15" ht="21.75" customHeight="1" x14ac:dyDescent="0.4">
      <c r="A1651" s="62"/>
      <c r="B1651" s="32"/>
      <c r="C1651" s="32"/>
      <c r="D1651" s="18"/>
      <c r="E1651" s="63"/>
      <c r="F1651" s="63"/>
      <c r="G1651" s="50"/>
      <c r="H1651" s="57"/>
      <c r="I1651" s="227"/>
      <c r="J1651" s="57"/>
      <c r="K1651" s="50"/>
      <c r="L1651" s="57"/>
      <c r="M1651" s="228"/>
      <c r="N1651" s="18"/>
      <c r="O1651" s="50"/>
    </row>
    <row r="1652" spans="1:15" ht="21.75" customHeight="1" x14ac:dyDescent="0.4">
      <c r="A1652" s="62"/>
      <c r="B1652" s="32"/>
      <c r="C1652" s="32"/>
      <c r="D1652" s="18"/>
      <c r="E1652" s="63"/>
      <c r="F1652" s="63"/>
      <c r="G1652" s="50"/>
      <c r="H1652" s="57"/>
      <c r="I1652" s="227"/>
      <c r="J1652" s="57"/>
      <c r="K1652" s="50"/>
      <c r="L1652" s="57"/>
      <c r="M1652" s="228"/>
      <c r="N1652" s="18"/>
      <c r="O1652" s="50"/>
    </row>
    <row r="1653" spans="1:15" ht="21.75" customHeight="1" x14ac:dyDescent="0.4">
      <c r="A1653" s="62"/>
      <c r="B1653" s="32"/>
      <c r="C1653" s="32"/>
      <c r="D1653" s="18"/>
      <c r="E1653" s="63"/>
      <c r="F1653" s="63"/>
      <c r="G1653" s="50"/>
      <c r="H1653" s="57"/>
      <c r="I1653" s="227"/>
      <c r="J1653" s="57"/>
      <c r="K1653" s="50"/>
      <c r="L1653" s="57"/>
      <c r="M1653" s="228"/>
      <c r="N1653" s="18"/>
      <c r="O1653" s="50"/>
    </row>
    <row r="1654" spans="1:15" ht="21.75" customHeight="1" x14ac:dyDescent="0.4">
      <c r="A1654" s="62"/>
      <c r="B1654" s="32"/>
      <c r="C1654" s="32"/>
      <c r="D1654" s="18"/>
      <c r="E1654" s="63"/>
      <c r="F1654" s="63"/>
      <c r="G1654" s="50"/>
      <c r="H1654" s="57"/>
      <c r="I1654" s="227"/>
      <c r="J1654" s="57"/>
      <c r="K1654" s="50"/>
      <c r="L1654" s="57"/>
      <c r="M1654" s="228"/>
      <c r="N1654" s="18"/>
      <c r="O1654" s="50"/>
    </row>
    <row r="1655" spans="1:15" ht="21.75" customHeight="1" x14ac:dyDescent="0.4">
      <c r="A1655" s="62"/>
      <c r="B1655" s="32"/>
      <c r="C1655" s="32"/>
      <c r="D1655" s="18"/>
      <c r="E1655" s="63"/>
      <c r="F1655" s="63"/>
      <c r="G1655" s="50"/>
      <c r="H1655" s="57"/>
      <c r="I1655" s="227"/>
      <c r="J1655" s="57"/>
      <c r="K1655" s="50"/>
      <c r="L1655" s="57"/>
      <c r="M1655" s="228"/>
      <c r="N1655" s="18"/>
      <c r="O1655" s="50"/>
    </row>
    <row r="1656" spans="1:15" ht="21.75" customHeight="1" x14ac:dyDescent="0.4">
      <c r="A1656" s="62"/>
      <c r="B1656" s="32"/>
      <c r="C1656" s="32"/>
      <c r="D1656" s="18"/>
      <c r="E1656" s="63"/>
      <c r="F1656" s="63"/>
      <c r="G1656" s="50"/>
      <c r="H1656" s="57"/>
      <c r="I1656" s="227"/>
      <c r="J1656" s="57"/>
      <c r="K1656" s="50"/>
      <c r="L1656" s="57"/>
      <c r="M1656" s="228"/>
      <c r="N1656" s="18"/>
      <c r="O1656" s="50"/>
    </row>
    <row r="1657" spans="1:15" ht="21.75" customHeight="1" x14ac:dyDescent="0.4">
      <c r="A1657" s="62"/>
      <c r="B1657" s="32"/>
      <c r="C1657" s="32"/>
      <c r="D1657" s="18"/>
      <c r="E1657" s="63"/>
      <c r="F1657" s="63"/>
      <c r="G1657" s="50"/>
      <c r="H1657" s="57"/>
      <c r="I1657" s="227"/>
      <c r="J1657" s="57"/>
      <c r="K1657" s="50"/>
      <c r="L1657" s="57"/>
      <c r="M1657" s="228"/>
      <c r="N1657" s="18"/>
      <c r="O1657" s="50"/>
    </row>
    <row r="1658" spans="1:15" ht="21.75" customHeight="1" x14ac:dyDescent="0.4">
      <c r="A1658" s="62"/>
      <c r="B1658" s="32"/>
      <c r="C1658" s="32"/>
      <c r="D1658" s="18"/>
      <c r="E1658" s="63"/>
      <c r="F1658" s="63"/>
      <c r="G1658" s="50"/>
      <c r="H1658" s="57"/>
      <c r="I1658" s="227"/>
      <c r="J1658" s="57"/>
      <c r="K1658" s="50"/>
      <c r="L1658" s="57"/>
      <c r="M1658" s="228"/>
      <c r="N1658" s="18"/>
      <c r="O1658" s="50"/>
    </row>
    <row r="1659" spans="1:15" ht="21.75" customHeight="1" x14ac:dyDescent="0.4">
      <c r="A1659" s="62"/>
      <c r="B1659" s="32"/>
      <c r="C1659" s="32"/>
      <c r="D1659" s="18"/>
      <c r="E1659" s="63"/>
      <c r="F1659" s="63"/>
      <c r="G1659" s="50"/>
      <c r="H1659" s="57"/>
      <c r="I1659" s="227"/>
      <c r="J1659" s="57"/>
      <c r="K1659" s="50"/>
      <c r="L1659" s="57"/>
      <c r="M1659" s="228"/>
      <c r="N1659" s="18"/>
      <c r="O1659" s="50"/>
    </row>
    <row r="1660" spans="1:15" ht="21.75" customHeight="1" x14ac:dyDescent="0.4">
      <c r="A1660" s="62"/>
      <c r="B1660" s="32"/>
      <c r="C1660" s="32"/>
      <c r="D1660" s="18"/>
      <c r="E1660" s="63"/>
      <c r="F1660" s="63"/>
      <c r="G1660" s="50"/>
      <c r="H1660" s="57"/>
      <c r="I1660" s="227"/>
      <c r="J1660" s="57"/>
      <c r="K1660" s="50"/>
      <c r="L1660" s="57"/>
      <c r="M1660" s="228"/>
      <c r="N1660" s="18"/>
      <c r="O1660" s="50"/>
    </row>
    <row r="1661" spans="1:15" ht="21.75" customHeight="1" x14ac:dyDescent="0.4">
      <c r="A1661" s="62"/>
      <c r="B1661" s="32"/>
      <c r="C1661" s="32"/>
      <c r="D1661" s="18"/>
      <c r="E1661" s="63"/>
      <c r="F1661" s="63"/>
      <c r="G1661" s="50"/>
      <c r="H1661" s="57"/>
      <c r="I1661" s="227"/>
      <c r="J1661" s="57"/>
      <c r="K1661" s="50"/>
      <c r="L1661" s="57"/>
      <c r="M1661" s="228"/>
      <c r="N1661" s="18"/>
      <c r="O1661" s="50"/>
    </row>
    <row r="1662" spans="1:15" ht="21.75" customHeight="1" x14ac:dyDescent="0.4">
      <c r="A1662" s="62"/>
      <c r="B1662" s="32"/>
      <c r="C1662" s="32"/>
      <c r="D1662" s="18"/>
      <c r="E1662" s="63"/>
      <c r="F1662" s="63"/>
      <c r="G1662" s="50"/>
      <c r="H1662" s="57"/>
      <c r="I1662" s="227"/>
      <c r="J1662" s="57"/>
      <c r="K1662" s="50"/>
      <c r="L1662" s="57"/>
      <c r="M1662" s="228"/>
      <c r="N1662" s="18"/>
      <c r="O1662" s="50"/>
    </row>
    <row r="1663" spans="1:15" ht="21.75" customHeight="1" x14ac:dyDescent="0.4">
      <c r="A1663" s="62"/>
      <c r="B1663" s="32"/>
      <c r="C1663" s="32"/>
      <c r="D1663" s="18"/>
      <c r="E1663" s="63"/>
      <c r="F1663" s="63"/>
      <c r="G1663" s="50"/>
      <c r="H1663" s="57"/>
      <c r="I1663" s="227"/>
      <c r="J1663" s="57"/>
      <c r="K1663" s="50"/>
      <c r="L1663" s="57"/>
      <c r="M1663" s="228"/>
      <c r="N1663" s="18"/>
      <c r="O1663" s="50"/>
    </row>
    <row r="1664" spans="1:15" ht="21.75" customHeight="1" x14ac:dyDescent="0.4">
      <c r="A1664" s="62"/>
      <c r="B1664" s="32"/>
      <c r="C1664" s="32"/>
      <c r="D1664" s="18"/>
      <c r="E1664" s="63"/>
      <c r="F1664" s="63"/>
      <c r="G1664" s="50"/>
      <c r="H1664" s="57"/>
      <c r="I1664" s="227"/>
      <c r="J1664" s="57"/>
      <c r="K1664" s="50"/>
      <c r="L1664" s="57"/>
      <c r="M1664" s="228"/>
      <c r="N1664" s="18"/>
      <c r="O1664" s="50"/>
    </row>
    <row r="1665" spans="1:15" ht="21.75" customHeight="1" x14ac:dyDescent="0.4">
      <c r="A1665" s="62"/>
      <c r="B1665" s="32"/>
      <c r="C1665" s="32"/>
      <c r="D1665" s="18"/>
      <c r="E1665" s="63"/>
      <c r="F1665" s="63"/>
      <c r="G1665" s="50"/>
      <c r="H1665" s="57"/>
      <c r="I1665" s="227"/>
      <c r="J1665" s="57"/>
      <c r="K1665" s="50"/>
      <c r="L1665" s="57"/>
      <c r="M1665" s="228"/>
      <c r="N1665" s="18"/>
      <c r="O1665" s="50"/>
    </row>
    <row r="1666" spans="1:15" ht="21.75" customHeight="1" x14ac:dyDescent="0.4">
      <c r="A1666" s="62"/>
      <c r="B1666" s="32"/>
      <c r="C1666" s="32"/>
      <c r="D1666" s="18"/>
      <c r="E1666" s="63"/>
      <c r="F1666" s="63"/>
      <c r="G1666" s="50"/>
      <c r="H1666" s="57"/>
      <c r="I1666" s="227"/>
      <c r="J1666" s="57"/>
      <c r="K1666" s="50"/>
      <c r="L1666" s="57"/>
      <c r="M1666" s="228"/>
      <c r="N1666" s="18"/>
      <c r="O1666" s="50"/>
    </row>
    <row r="1667" spans="1:15" ht="21.75" customHeight="1" x14ac:dyDescent="0.4">
      <c r="A1667" s="62"/>
      <c r="B1667" s="32"/>
      <c r="C1667" s="32"/>
      <c r="D1667" s="18"/>
      <c r="E1667" s="63"/>
      <c r="F1667" s="63"/>
      <c r="G1667" s="50"/>
      <c r="H1667" s="57"/>
      <c r="I1667" s="227"/>
      <c r="J1667" s="57"/>
      <c r="K1667" s="50"/>
      <c r="L1667" s="57"/>
      <c r="M1667" s="228"/>
      <c r="N1667" s="18"/>
      <c r="O1667" s="50"/>
    </row>
    <row r="1668" spans="1:15" ht="21.75" customHeight="1" x14ac:dyDescent="0.4">
      <c r="A1668" s="62"/>
      <c r="B1668" s="32"/>
      <c r="C1668" s="32"/>
      <c r="D1668" s="18"/>
      <c r="E1668" s="63"/>
      <c r="F1668" s="63"/>
      <c r="G1668" s="50"/>
      <c r="H1668" s="57"/>
      <c r="I1668" s="227"/>
      <c r="J1668" s="57"/>
      <c r="K1668" s="50"/>
      <c r="L1668" s="57"/>
      <c r="M1668" s="228"/>
      <c r="N1668" s="18"/>
      <c r="O1668" s="50"/>
    </row>
    <row r="1669" spans="1:15" ht="21.75" customHeight="1" x14ac:dyDescent="0.4">
      <c r="A1669" s="62"/>
      <c r="B1669" s="32"/>
      <c r="C1669" s="32"/>
      <c r="D1669" s="18"/>
      <c r="E1669" s="63"/>
      <c r="F1669" s="63"/>
      <c r="G1669" s="50"/>
      <c r="H1669" s="57"/>
      <c r="I1669" s="227"/>
      <c r="J1669" s="57"/>
      <c r="K1669" s="50"/>
      <c r="L1669" s="57"/>
      <c r="M1669" s="228"/>
      <c r="N1669" s="18"/>
      <c r="O1669" s="50"/>
    </row>
    <row r="1670" spans="1:15" ht="21.75" customHeight="1" x14ac:dyDescent="0.4">
      <c r="A1670" s="62"/>
      <c r="B1670" s="32"/>
      <c r="C1670" s="32"/>
      <c r="D1670" s="18"/>
      <c r="E1670" s="63"/>
      <c r="F1670" s="63"/>
      <c r="G1670" s="50"/>
      <c r="H1670" s="57"/>
      <c r="I1670" s="227"/>
      <c r="J1670" s="57"/>
      <c r="K1670" s="50"/>
      <c r="L1670" s="57"/>
      <c r="M1670" s="228"/>
      <c r="N1670" s="18"/>
      <c r="O1670" s="50"/>
    </row>
    <row r="1671" spans="1:15" ht="21.75" customHeight="1" x14ac:dyDescent="0.4">
      <c r="A1671" s="62"/>
      <c r="B1671" s="32"/>
      <c r="C1671" s="32"/>
      <c r="D1671" s="18"/>
      <c r="E1671" s="63"/>
      <c r="F1671" s="63"/>
      <c r="G1671" s="50"/>
      <c r="H1671" s="57"/>
      <c r="I1671" s="227"/>
      <c r="J1671" s="57"/>
      <c r="K1671" s="50"/>
      <c r="L1671" s="57"/>
      <c r="M1671" s="228"/>
      <c r="N1671" s="18"/>
      <c r="O1671" s="50"/>
    </row>
    <row r="1672" spans="1:15" ht="21.75" customHeight="1" x14ac:dyDescent="0.4">
      <c r="A1672" s="62"/>
      <c r="B1672" s="32"/>
      <c r="C1672" s="32"/>
      <c r="D1672" s="18"/>
      <c r="E1672" s="63"/>
      <c r="F1672" s="63"/>
      <c r="G1672" s="50"/>
      <c r="H1672" s="57"/>
      <c r="I1672" s="227"/>
      <c r="J1672" s="57"/>
      <c r="K1672" s="50"/>
      <c r="L1672" s="57"/>
      <c r="M1672" s="228"/>
      <c r="N1672" s="18"/>
      <c r="O1672" s="50"/>
    </row>
    <row r="1673" spans="1:15" ht="21.75" customHeight="1" x14ac:dyDescent="0.4">
      <c r="A1673" s="62"/>
      <c r="B1673" s="32"/>
      <c r="C1673" s="32"/>
      <c r="D1673" s="18"/>
      <c r="E1673" s="63"/>
      <c r="F1673" s="63"/>
      <c r="G1673" s="50"/>
      <c r="H1673" s="57"/>
      <c r="I1673" s="227"/>
      <c r="J1673" s="57"/>
      <c r="K1673" s="50"/>
      <c r="L1673" s="57"/>
      <c r="M1673" s="228"/>
      <c r="N1673" s="18"/>
      <c r="O1673" s="50"/>
    </row>
    <row r="1674" spans="1:15" ht="21.75" customHeight="1" x14ac:dyDescent="0.4">
      <c r="A1674" s="62"/>
      <c r="B1674" s="32"/>
      <c r="C1674" s="32"/>
      <c r="D1674" s="18"/>
      <c r="E1674" s="63"/>
      <c r="F1674" s="63"/>
      <c r="G1674" s="50"/>
      <c r="H1674" s="57"/>
      <c r="I1674" s="227"/>
      <c r="J1674" s="57"/>
      <c r="K1674" s="50"/>
      <c r="L1674" s="57"/>
      <c r="M1674" s="228"/>
      <c r="N1674" s="18"/>
      <c r="O1674" s="50"/>
    </row>
    <row r="1675" spans="1:15" ht="21.75" customHeight="1" x14ac:dyDescent="0.4">
      <c r="A1675" s="62"/>
      <c r="B1675" s="32"/>
      <c r="C1675" s="32"/>
      <c r="D1675" s="18"/>
      <c r="E1675" s="63"/>
      <c r="F1675" s="63"/>
      <c r="G1675" s="50"/>
      <c r="H1675" s="57"/>
      <c r="I1675" s="227"/>
      <c r="J1675" s="57"/>
      <c r="K1675" s="50"/>
      <c r="L1675" s="57"/>
      <c r="M1675" s="228"/>
      <c r="N1675" s="18"/>
      <c r="O1675" s="50"/>
    </row>
    <row r="1676" spans="1:15" ht="21.75" customHeight="1" x14ac:dyDescent="0.4">
      <c r="A1676" s="62"/>
      <c r="B1676" s="32"/>
      <c r="C1676" s="32"/>
      <c r="D1676" s="18"/>
      <c r="E1676" s="63"/>
      <c r="F1676" s="63"/>
      <c r="G1676" s="50"/>
      <c r="H1676" s="57"/>
      <c r="I1676" s="227"/>
      <c r="J1676" s="57"/>
      <c r="K1676" s="50"/>
      <c r="L1676" s="57"/>
      <c r="M1676" s="228"/>
      <c r="N1676" s="18"/>
      <c r="O1676" s="50"/>
    </row>
    <row r="1677" spans="1:15" ht="21.75" customHeight="1" x14ac:dyDescent="0.4">
      <c r="A1677" s="62"/>
      <c r="B1677" s="32"/>
      <c r="C1677" s="32"/>
      <c r="D1677" s="18"/>
      <c r="E1677" s="63"/>
      <c r="F1677" s="63"/>
      <c r="G1677" s="50"/>
      <c r="H1677" s="57"/>
      <c r="I1677" s="227"/>
      <c r="J1677" s="57"/>
      <c r="K1677" s="50"/>
      <c r="L1677" s="57"/>
      <c r="M1677" s="228"/>
      <c r="N1677" s="18"/>
      <c r="O1677" s="50"/>
    </row>
    <row r="1678" spans="1:15" ht="21.75" customHeight="1" x14ac:dyDescent="0.4">
      <c r="A1678" s="62"/>
      <c r="B1678" s="32"/>
      <c r="C1678" s="32"/>
      <c r="D1678" s="18"/>
      <c r="E1678" s="63"/>
      <c r="F1678" s="63"/>
      <c r="G1678" s="50"/>
      <c r="H1678" s="57"/>
      <c r="I1678" s="227"/>
      <c r="J1678" s="57"/>
      <c r="K1678" s="50"/>
      <c r="L1678" s="57"/>
      <c r="M1678" s="228"/>
      <c r="N1678" s="18"/>
      <c r="O1678" s="50"/>
    </row>
    <row r="1679" spans="1:15" ht="21.75" customHeight="1" x14ac:dyDescent="0.4">
      <c r="A1679" s="62"/>
      <c r="B1679" s="32"/>
      <c r="C1679" s="32"/>
      <c r="D1679" s="18"/>
      <c r="E1679" s="63"/>
      <c r="F1679" s="63"/>
      <c r="G1679" s="50"/>
      <c r="H1679" s="57"/>
      <c r="I1679" s="227"/>
      <c r="J1679" s="57"/>
      <c r="K1679" s="50"/>
      <c r="L1679" s="57"/>
      <c r="M1679" s="228"/>
      <c r="N1679" s="18"/>
      <c r="O1679" s="50"/>
    </row>
    <row r="1680" spans="1:15" ht="21.75" customHeight="1" x14ac:dyDescent="0.4">
      <c r="A1680" s="62"/>
      <c r="B1680" s="32"/>
      <c r="C1680" s="32"/>
      <c r="D1680" s="18"/>
      <c r="E1680" s="63"/>
      <c r="F1680" s="63"/>
      <c r="G1680" s="50"/>
      <c r="H1680" s="57"/>
      <c r="I1680" s="227"/>
      <c r="J1680" s="57"/>
      <c r="K1680" s="50"/>
      <c r="L1680" s="57"/>
      <c r="M1680" s="228"/>
      <c r="N1680" s="18"/>
      <c r="O1680" s="50"/>
    </row>
    <row r="1681" spans="1:15" ht="21.75" customHeight="1" x14ac:dyDescent="0.4">
      <c r="A1681" s="62"/>
      <c r="B1681" s="32"/>
      <c r="C1681" s="32"/>
      <c r="D1681" s="18"/>
      <c r="E1681" s="63"/>
      <c r="F1681" s="63"/>
      <c r="G1681" s="50"/>
      <c r="H1681" s="57"/>
      <c r="I1681" s="227"/>
      <c r="J1681" s="57"/>
      <c r="K1681" s="50"/>
      <c r="L1681" s="57"/>
      <c r="M1681" s="228"/>
      <c r="N1681" s="18"/>
      <c r="O1681" s="50"/>
    </row>
    <row r="1682" spans="1:15" ht="21.75" customHeight="1" x14ac:dyDescent="0.4">
      <c r="A1682" s="62"/>
      <c r="B1682" s="32"/>
      <c r="C1682" s="32"/>
      <c r="D1682" s="18"/>
      <c r="E1682" s="63"/>
      <c r="F1682" s="63"/>
      <c r="G1682" s="50"/>
      <c r="H1682" s="57"/>
      <c r="I1682" s="227"/>
      <c r="J1682" s="57"/>
      <c r="K1682" s="50"/>
      <c r="L1682" s="57"/>
      <c r="M1682" s="228"/>
      <c r="N1682" s="18"/>
      <c r="O1682" s="50"/>
    </row>
    <row r="1683" spans="1:15" ht="21.75" customHeight="1" x14ac:dyDescent="0.4">
      <c r="A1683" s="62"/>
      <c r="B1683" s="32"/>
      <c r="C1683" s="32"/>
      <c r="D1683" s="18"/>
      <c r="E1683" s="63"/>
      <c r="F1683" s="63"/>
      <c r="G1683" s="50"/>
      <c r="H1683" s="57"/>
      <c r="I1683" s="227"/>
      <c r="J1683" s="57"/>
      <c r="K1683" s="50"/>
      <c r="L1683" s="57"/>
      <c r="M1683" s="228"/>
      <c r="N1683" s="18"/>
      <c r="O1683" s="50"/>
    </row>
    <row r="1684" spans="1:15" ht="21.75" customHeight="1" x14ac:dyDescent="0.4">
      <c r="A1684" s="62"/>
      <c r="B1684" s="32"/>
      <c r="C1684" s="32"/>
      <c r="D1684" s="18"/>
      <c r="E1684" s="63"/>
      <c r="F1684" s="63"/>
      <c r="G1684" s="50"/>
      <c r="H1684" s="57"/>
      <c r="I1684" s="227"/>
      <c r="J1684" s="57"/>
      <c r="K1684" s="50"/>
      <c r="L1684" s="57"/>
      <c r="M1684" s="228"/>
      <c r="N1684" s="18"/>
      <c r="O1684" s="50"/>
    </row>
    <row r="1685" spans="1:15" ht="21.75" customHeight="1" x14ac:dyDescent="0.4">
      <c r="A1685" s="62"/>
      <c r="B1685" s="32"/>
      <c r="C1685" s="32"/>
      <c r="D1685" s="18"/>
      <c r="E1685" s="63"/>
      <c r="F1685" s="63"/>
      <c r="G1685" s="50"/>
      <c r="H1685" s="57"/>
      <c r="I1685" s="227"/>
      <c r="J1685" s="57"/>
      <c r="K1685" s="50"/>
      <c r="L1685" s="57"/>
      <c r="M1685" s="228"/>
      <c r="N1685" s="18"/>
      <c r="O1685" s="50"/>
    </row>
    <row r="1686" spans="1:15" ht="21.75" customHeight="1" x14ac:dyDescent="0.4">
      <c r="A1686" s="62"/>
      <c r="B1686" s="32"/>
      <c r="C1686" s="32"/>
      <c r="D1686" s="18"/>
      <c r="E1686" s="63"/>
      <c r="F1686" s="63"/>
      <c r="G1686" s="50"/>
      <c r="H1686" s="57"/>
      <c r="I1686" s="227"/>
      <c r="J1686" s="57"/>
      <c r="K1686" s="50"/>
      <c r="L1686" s="57"/>
      <c r="M1686" s="228"/>
      <c r="N1686" s="18"/>
      <c r="O1686" s="50"/>
    </row>
    <row r="1687" spans="1:15" ht="21.75" customHeight="1" x14ac:dyDescent="0.4">
      <c r="A1687" s="62"/>
      <c r="B1687" s="32"/>
      <c r="C1687" s="32"/>
      <c r="D1687" s="18"/>
      <c r="E1687" s="63"/>
      <c r="F1687" s="63"/>
      <c r="G1687" s="50"/>
      <c r="H1687" s="57"/>
      <c r="I1687" s="227"/>
      <c r="J1687" s="57"/>
      <c r="K1687" s="50"/>
      <c r="L1687" s="57"/>
      <c r="M1687" s="228"/>
      <c r="N1687" s="18"/>
      <c r="O1687" s="50"/>
    </row>
    <row r="1688" spans="1:15" ht="21.75" customHeight="1" x14ac:dyDescent="0.4">
      <c r="A1688" s="62"/>
      <c r="B1688" s="32"/>
      <c r="C1688" s="32"/>
      <c r="D1688" s="18"/>
      <c r="E1688" s="63"/>
      <c r="F1688" s="63"/>
      <c r="G1688" s="50"/>
      <c r="H1688" s="57"/>
      <c r="I1688" s="227"/>
      <c r="J1688" s="57"/>
      <c r="K1688" s="50"/>
      <c r="L1688" s="57"/>
      <c r="M1688" s="228"/>
      <c r="N1688" s="18"/>
      <c r="O1688" s="50"/>
    </row>
    <row r="1689" spans="1:15" ht="21.75" customHeight="1" x14ac:dyDescent="0.4">
      <c r="A1689" s="62"/>
      <c r="B1689" s="32"/>
      <c r="C1689" s="32"/>
      <c r="D1689" s="18"/>
      <c r="E1689" s="63"/>
      <c r="F1689" s="63"/>
      <c r="G1689" s="50"/>
      <c r="H1689" s="57"/>
      <c r="I1689" s="227"/>
      <c r="J1689" s="57"/>
      <c r="K1689" s="50"/>
      <c r="L1689" s="57"/>
      <c r="M1689" s="228"/>
      <c r="N1689" s="18"/>
      <c r="O1689" s="50"/>
    </row>
    <row r="1690" spans="1:15" ht="21.75" customHeight="1" x14ac:dyDescent="0.4">
      <c r="A1690" s="62"/>
      <c r="B1690" s="32"/>
      <c r="C1690" s="32"/>
      <c r="D1690" s="18"/>
      <c r="E1690" s="63"/>
      <c r="F1690" s="63"/>
      <c r="G1690" s="50"/>
      <c r="H1690" s="57"/>
      <c r="I1690" s="227"/>
      <c r="J1690" s="57"/>
      <c r="K1690" s="50"/>
      <c r="L1690" s="57"/>
      <c r="M1690" s="228"/>
      <c r="N1690" s="18"/>
      <c r="O1690" s="50"/>
    </row>
    <row r="1691" spans="1:15" ht="21.75" customHeight="1" x14ac:dyDescent="0.4">
      <c r="A1691" s="62"/>
      <c r="B1691" s="32"/>
      <c r="C1691" s="32"/>
      <c r="D1691" s="18"/>
      <c r="E1691" s="63"/>
      <c r="F1691" s="63"/>
      <c r="G1691" s="50"/>
      <c r="H1691" s="57"/>
      <c r="I1691" s="227"/>
      <c r="J1691" s="57"/>
      <c r="K1691" s="50"/>
      <c r="L1691" s="57"/>
      <c r="M1691" s="228"/>
      <c r="N1691" s="18"/>
      <c r="O1691" s="50"/>
    </row>
    <row r="1692" spans="1:15" ht="21.75" customHeight="1" x14ac:dyDescent="0.4">
      <c r="A1692" s="62"/>
      <c r="B1692" s="32"/>
      <c r="C1692" s="32"/>
      <c r="D1692" s="18"/>
      <c r="E1692" s="63"/>
      <c r="F1692" s="63"/>
      <c r="G1692" s="50"/>
      <c r="H1692" s="57"/>
      <c r="I1692" s="227"/>
      <c r="J1692" s="57"/>
      <c r="K1692" s="50"/>
      <c r="L1692" s="57"/>
      <c r="M1692" s="228"/>
      <c r="N1692" s="18"/>
      <c r="O1692" s="50"/>
    </row>
    <row r="1693" spans="1:15" ht="21.75" customHeight="1" x14ac:dyDescent="0.4">
      <c r="A1693" s="62"/>
      <c r="B1693" s="32"/>
      <c r="C1693" s="32"/>
      <c r="D1693" s="18"/>
      <c r="E1693" s="63"/>
      <c r="F1693" s="63"/>
      <c r="G1693" s="50"/>
      <c r="H1693" s="57"/>
      <c r="I1693" s="227"/>
      <c r="J1693" s="57"/>
      <c r="K1693" s="50"/>
      <c r="L1693" s="57"/>
      <c r="M1693" s="228"/>
      <c r="N1693" s="18"/>
      <c r="O1693" s="50"/>
    </row>
    <row r="1694" spans="1:15" ht="21.75" customHeight="1" x14ac:dyDescent="0.4">
      <c r="A1694" s="62"/>
      <c r="B1694" s="32"/>
      <c r="C1694" s="32"/>
      <c r="D1694" s="18"/>
      <c r="E1694" s="63"/>
      <c r="F1694" s="63"/>
      <c r="G1694" s="50"/>
      <c r="H1694" s="57"/>
      <c r="I1694" s="227"/>
      <c r="J1694" s="57"/>
      <c r="K1694" s="50"/>
      <c r="L1694" s="57"/>
      <c r="M1694" s="228"/>
      <c r="N1694" s="18"/>
      <c r="O1694" s="50"/>
    </row>
    <row r="1695" spans="1:15" ht="21.75" customHeight="1" x14ac:dyDescent="0.4">
      <c r="A1695" s="62"/>
      <c r="B1695" s="32"/>
      <c r="C1695" s="32"/>
      <c r="D1695" s="18"/>
      <c r="E1695" s="63"/>
      <c r="F1695" s="63"/>
      <c r="G1695" s="50"/>
      <c r="H1695" s="57"/>
      <c r="I1695" s="227"/>
      <c r="J1695" s="57"/>
      <c r="K1695" s="50"/>
      <c r="L1695" s="57"/>
      <c r="M1695" s="228"/>
      <c r="N1695" s="18"/>
      <c r="O1695" s="50"/>
    </row>
    <row r="1696" spans="1:15" ht="21.75" customHeight="1" x14ac:dyDescent="0.4">
      <c r="A1696" s="62"/>
      <c r="B1696" s="32"/>
      <c r="C1696" s="32"/>
      <c r="D1696" s="18"/>
      <c r="E1696" s="63"/>
      <c r="F1696" s="63"/>
      <c r="G1696" s="50"/>
      <c r="H1696" s="57"/>
      <c r="I1696" s="227"/>
      <c r="J1696" s="57"/>
      <c r="K1696" s="50"/>
      <c r="L1696" s="57"/>
      <c r="M1696" s="228"/>
      <c r="N1696" s="18"/>
      <c r="O1696" s="50"/>
    </row>
    <row r="1697" spans="1:15" ht="21.75" customHeight="1" x14ac:dyDescent="0.4">
      <c r="A1697" s="62"/>
      <c r="B1697" s="32"/>
      <c r="C1697" s="32"/>
      <c r="D1697" s="18"/>
      <c r="E1697" s="63"/>
      <c r="F1697" s="63"/>
      <c r="G1697" s="50"/>
      <c r="H1697" s="57"/>
      <c r="I1697" s="227"/>
      <c r="J1697" s="57"/>
      <c r="K1697" s="50"/>
      <c r="L1697" s="57"/>
      <c r="M1697" s="228"/>
      <c r="N1697" s="18"/>
      <c r="O1697" s="50"/>
    </row>
    <row r="1698" spans="1:15" ht="21.75" customHeight="1" x14ac:dyDescent="0.4">
      <c r="A1698" s="62"/>
      <c r="B1698" s="32"/>
      <c r="C1698" s="32"/>
      <c r="D1698" s="18"/>
      <c r="E1698" s="63"/>
      <c r="F1698" s="63"/>
      <c r="G1698" s="50"/>
      <c r="H1698" s="57"/>
      <c r="I1698" s="227"/>
      <c r="J1698" s="57"/>
      <c r="K1698" s="50"/>
      <c r="L1698" s="57"/>
      <c r="M1698" s="228"/>
      <c r="N1698" s="18"/>
      <c r="O1698" s="50"/>
    </row>
    <row r="1699" spans="1:15" ht="21.75" customHeight="1" x14ac:dyDescent="0.4">
      <c r="A1699" s="62"/>
      <c r="B1699" s="32"/>
      <c r="C1699" s="32"/>
      <c r="D1699" s="18"/>
      <c r="E1699" s="63"/>
      <c r="F1699" s="63"/>
      <c r="G1699" s="50"/>
      <c r="H1699" s="57"/>
      <c r="I1699" s="227"/>
      <c r="J1699" s="57"/>
      <c r="K1699" s="50"/>
      <c r="L1699" s="57"/>
      <c r="M1699" s="228"/>
      <c r="N1699" s="18"/>
      <c r="O1699" s="50"/>
    </row>
    <row r="1700" spans="1:15" ht="21.75" customHeight="1" x14ac:dyDescent="0.4">
      <c r="A1700" s="62"/>
      <c r="B1700" s="32"/>
      <c r="C1700" s="32"/>
      <c r="D1700" s="18"/>
      <c r="E1700" s="63"/>
      <c r="F1700" s="63"/>
      <c r="G1700" s="50"/>
      <c r="H1700" s="57"/>
      <c r="I1700" s="227"/>
      <c r="J1700" s="57"/>
      <c r="K1700" s="50"/>
      <c r="L1700" s="57"/>
      <c r="M1700" s="228"/>
      <c r="N1700" s="18"/>
      <c r="O1700" s="50"/>
    </row>
    <row r="1701" spans="1:15" ht="21.75" customHeight="1" x14ac:dyDescent="0.4">
      <c r="A1701" s="62"/>
      <c r="B1701" s="32"/>
      <c r="C1701" s="32"/>
      <c r="D1701" s="18"/>
      <c r="E1701" s="63"/>
      <c r="F1701" s="63"/>
      <c r="G1701" s="50"/>
      <c r="H1701" s="57"/>
      <c r="I1701" s="227"/>
      <c r="J1701" s="57"/>
      <c r="K1701" s="50"/>
      <c r="L1701" s="57"/>
      <c r="M1701" s="228"/>
      <c r="N1701" s="18"/>
      <c r="O1701" s="50"/>
    </row>
    <row r="1702" spans="1:15" ht="21.75" customHeight="1" x14ac:dyDescent="0.4">
      <c r="A1702" s="62"/>
      <c r="B1702" s="32"/>
      <c r="C1702" s="32"/>
      <c r="D1702" s="18"/>
      <c r="E1702" s="63"/>
      <c r="F1702" s="63"/>
      <c r="G1702" s="50"/>
      <c r="H1702" s="57"/>
      <c r="I1702" s="227"/>
      <c r="J1702" s="57"/>
      <c r="K1702" s="50"/>
      <c r="L1702" s="57"/>
      <c r="M1702" s="228"/>
      <c r="N1702" s="18"/>
      <c r="O1702" s="50"/>
    </row>
    <row r="1703" spans="1:15" ht="21.75" customHeight="1" x14ac:dyDescent="0.4">
      <c r="A1703" s="62"/>
      <c r="B1703" s="32"/>
      <c r="C1703" s="32"/>
      <c r="D1703" s="18"/>
      <c r="E1703" s="63"/>
      <c r="F1703" s="63"/>
      <c r="G1703" s="50"/>
      <c r="H1703" s="57"/>
      <c r="I1703" s="227"/>
      <c r="J1703" s="57"/>
      <c r="K1703" s="50"/>
      <c r="L1703" s="57"/>
      <c r="M1703" s="228"/>
      <c r="N1703" s="18"/>
      <c r="O1703" s="50"/>
    </row>
    <row r="1704" spans="1:15" ht="21.75" customHeight="1" x14ac:dyDescent="0.4">
      <c r="A1704" s="62"/>
      <c r="B1704" s="32"/>
      <c r="C1704" s="32"/>
      <c r="D1704" s="18"/>
      <c r="E1704" s="63"/>
      <c r="F1704" s="63"/>
      <c r="G1704" s="50"/>
      <c r="H1704" s="57"/>
      <c r="I1704" s="227"/>
      <c r="J1704" s="57"/>
      <c r="K1704" s="50"/>
      <c r="L1704" s="57"/>
      <c r="M1704" s="228"/>
      <c r="N1704" s="18"/>
      <c r="O1704" s="50"/>
    </row>
    <row r="1705" spans="1:15" ht="21.75" customHeight="1" x14ac:dyDescent="0.4">
      <c r="A1705" s="62"/>
      <c r="B1705" s="32"/>
      <c r="C1705" s="32"/>
      <c r="D1705" s="18"/>
      <c r="E1705" s="63"/>
      <c r="F1705" s="63"/>
      <c r="G1705" s="50"/>
      <c r="H1705" s="57"/>
      <c r="I1705" s="227"/>
      <c r="J1705" s="57"/>
      <c r="K1705" s="50"/>
      <c r="L1705" s="57"/>
      <c r="M1705" s="228"/>
      <c r="N1705" s="18"/>
      <c r="O1705" s="50"/>
    </row>
    <row r="1706" spans="1:15" ht="21.75" customHeight="1" x14ac:dyDescent="0.4">
      <c r="A1706" s="62"/>
      <c r="B1706" s="32"/>
      <c r="C1706" s="32"/>
      <c r="D1706" s="18"/>
      <c r="E1706" s="63"/>
      <c r="F1706" s="63"/>
      <c r="G1706" s="50"/>
      <c r="H1706" s="57"/>
      <c r="I1706" s="227"/>
      <c r="J1706" s="57"/>
      <c r="K1706" s="50"/>
      <c r="L1706" s="57"/>
      <c r="M1706" s="228"/>
      <c r="N1706" s="18"/>
      <c r="O1706" s="50"/>
    </row>
    <row r="1707" spans="1:15" ht="21.75" customHeight="1" x14ac:dyDescent="0.4">
      <c r="A1707" s="62"/>
      <c r="B1707" s="32"/>
      <c r="C1707" s="32"/>
      <c r="D1707" s="18"/>
      <c r="E1707" s="63"/>
      <c r="F1707" s="63"/>
      <c r="G1707" s="50"/>
      <c r="H1707" s="57"/>
      <c r="I1707" s="227"/>
      <c r="J1707" s="57"/>
      <c r="K1707" s="50"/>
      <c r="L1707" s="57"/>
      <c r="M1707" s="228"/>
      <c r="N1707" s="18"/>
      <c r="O1707" s="50"/>
    </row>
    <row r="1708" spans="1:15" ht="21.75" customHeight="1" x14ac:dyDescent="0.4">
      <c r="A1708" s="62"/>
      <c r="B1708" s="32"/>
      <c r="C1708" s="32"/>
      <c r="D1708" s="18"/>
      <c r="E1708" s="63"/>
      <c r="F1708" s="63"/>
      <c r="G1708" s="50"/>
      <c r="H1708" s="57"/>
      <c r="I1708" s="227"/>
      <c r="J1708" s="57"/>
      <c r="K1708" s="50"/>
      <c r="L1708" s="57"/>
      <c r="M1708" s="228"/>
      <c r="N1708" s="18"/>
      <c r="O1708" s="50"/>
    </row>
    <row r="1709" spans="1:15" ht="21.75" customHeight="1" x14ac:dyDescent="0.4">
      <c r="A1709" s="62"/>
      <c r="B1709" s="32"/>
      <c r="C1709" s="32"/>
      <c r="D1709" s="18"/>
      <c r="E1709" s="63"/>
      <c r="F1709" s="63"/>
      <c r="G1709" s="50"/>
      <c r="H1709" s="57"/>
      <c r="I1709" s="227"/>
      <c r="J1709" s="57"/>
      <c r="K1709" s="50"/>
      <c r="L1709" s="57"/>
      <c r="M1709" s="228"/>
      <c r="N1709" s="18"/>
      <c r="O1709" s="50"/>
    </row>
    <row r="1710" spans="1:15" ht="21.75" customHeight="1" x14ac:dyDescent="0.4">
      <c r="A1710" s="62"/>
      <c r="B1710" s="32"/>
      <c r="C1710" s="32"/>
      <c r="D1710" s="18"/>
      <c r="E1710" s="63"/>
      <c r="F1710" s="63"/>
      <c r="G1710" s="50"/>
      <c r="H1710" s="57"/>
      <c r="I1710" s="227"/>
      <c r="J1710" s="57"/>
      <c r="K1710" s="50"/>
      <c r="L1710" s="57"/>
      <c r="M1710" s="228"/>
      <c r="N1710" s="18"/>
      <c r="O1710" s="50"/>
    </row>
    <row r="1711" spans="1:15" ht="21.75" customHeight="1" x14ac:dyDescent="0.4">
      <c r="A1711" s="62"/>
      <c r="B1711" s="32"/>
      <c r="C1711" s="32"/>
      <c r="D1711" s="18"/>
      <c r="E1711" s="63"/>
      <c r="F1711" s="63"/>
      <c r="G1711" s="50"/>
      <c r="H1711" s="57"/>
      <c r="I1711" s="227"/>
      <c r="J1711" s="57"/>
      <c r="K1711" s="50"/>
      <c r="L1711" s="57"/>
      <c r="M1711" s="228"/>
      <c r="N1711" s="18"/>
      <c r="O1711" s="50"/>
    </row>
    <row r="1712" spans="1:15" ht="21.75" customHeight="1" x14ac:dyDescent="0.4">
      <c r="A1712" s="62"/>
      <c r="B1712" s="32"/>
      <c r="C1712" s="32"/>
      <c r="D1712" s="18"/>
      <c r="E1712" s="63"/>
      <c r="F1712" s="63"/>
      <c r="G1712" s="50"/>
      <c r="H1712" s="57"/>
      <c r="I1712" s="227"/>
      <c r="J1712" s="57"/>
      <c r="K1712" s="50"/>
      <c r="L1712" s="57"/>
      <c r="M1712" s="228"/>
      <c r="N1712" s="18"/>
      <c r="O1712" s="50"/>
    </row>
    <row r="1713" spans="1:15" ht="21.75" customHeight="1" x14ac:dyDescent="0.4">
      <c r="A1713" s="62"/>
      <c r="B1713" s="32"/>
      <c r="C1713" s="32"/>
      <c r="D1713" s="18"/>
      <c r="E1713" s="63"/>
      <c r="F1713" s="63"/>
      <c r="G1713" s="50"/>
      <c r="H1713" s="57"/>
      <c r="I1713" s="227"/>
      <c r="J1713" s="57"/>
      <c r="K1713" s="50"/>
      <c r="L1713" s="57"/>
      <c r="M1713" s="228"/>
      <c r="N1713" s="18"/>
      <c r="O1713" s="50"/>
    </row>
    <row r="1714" spans="1:15" ht="21.75" customHeight="1" x14ac:dyDescent="0.4">
      <c r="A1714" s="62"/>
      <c r="B1714" s="32"/>
      <c r="C1714" s="32"/>
      <c r="D1714" s="18"/>
      <c r="E1714" s="63"/>
      <c r="F1714" s="63"/>
      <c r="G1714" s="50"/>
      <c r="H1714" s="57"/>
      <c r="I1714" s="227"/>
      <c r="J1714" s="57"/>
      <c r="K1714" s="50"/>
      <c r="L1714" s="57"/>
      <c r="M1714" s="228"/>
      <c r="N1714" s="18"/>
      <c r="O1714" s="50"/>
    </row>
    <row r="1715" spans="1:15" ht="21.75" customHeight="1" x14ac:dyDescent="0.4">
      <c r="A1715" s="62"/>
      <c r="B1715" s="32"/>
      <c r="C1715" s="32"/>
      <c r="D1715" s="18"/>
      <c r="E1715" s="63"/>
      <c r="F1715" s="63"/>
      <c r="G1715" s="50"/>
      <c r="H1715" s="57"/>
      <c r="I1715" s="227"/>
      <c r="J1715" s="57"/>
      <c r="K1715" s="50"/>
      <c r="L1715" s="57"/>
      <c r="M1715" s="228"/>
      <c r="N1715" s="18"/>
      <c r="O1715" s="50"/>
    </row>
    <row r="1716" spans="1:15" ht="21.75" customHeight="1" x14ac:dyDescent="0.4">
      <c r="A1716" s="62"/>
      <c r="B1716" s="32"/>
      <c r="C1716" s="32"/>
      <c r="D1716" s="18"/>
      <c r="E1716" s="63"/>
      <c r="F1716" s="63"/>
      <c r="G1716" s="50"/>
      <c r="H1716" s="57"/>
      <c r="I1716" s="227"/>
      <c r="J1716" s="57"/>
      <c r="K1716" s="50"/>
      <c r="L1716" s="57"/>
      <c r="M1716" s="228"/>
      <c r="N1716" s="18"/>
      <c r="O1716" s="50"/>
    </row>
    <row r="1717" spans="1:15" ht="21.75" customHeight="1" x14ac:dyDescent="0.4">
      <c r="A1717" s="62"/>
      <c r="B1717" s="32"/>
      <c r="C1717" s="32"/>
      <c r="D1717" s="18"/>
      <c r="E1717" s="63"/>
      <c r="F1717" s="63"/>
      <c r="G1717" s="50"/>
      <c r="H1717" s="57"/>
      <c r="I1717" s="227"/>
      <c r="J1717" s="57"/>
      <c r="K1717" s="50"/>
      <c r="L1717" s="57"/>
      <c r="M1717" s="228"/>
      <c r="N1717" s="18"/>
      <c r="O1717" s="50"/>
    </row>
    <row r="1718" spans="1:15" ht="21.75" customHeight="1" x14ac:dyDescent="0.4">
      <c r="A1718" s="62"/>
      <c r="B1718" s="32"/>
      <c r="C1718" s="32"/>
      <c r="D1718" s="18"/>
      <c r="E1718" s="63"/>
      <c r="F1718" s="63"/>
      <c r="G1718" s="50"/>
      <c r="H1718" s="57"/>
      <c r="I1718" s="227"/>
      <c r="J1718" s="57"/>
      <c r="K1718" s="50"/>
      <c r="L1718" s="57"/>
      <c r="M1718" s="228"/>
      <c r="N1718" s="18"/>
      <c r="O1718" s="50"/>
    </row>
    <row r="1719" spans="1:15" ht="21.75" customHeight="1" x14ac:dyDescent="0.4">
      <c r="A1719" s="62"/>
      <c r="B1719" s="32"/>
      <c r="C1719" s="32"/>
      <c r="D1719" s="18"/>
      <c r="E1719" s="63"/>
      <c r="F1719" s="63"/>
      <c r="G1719" s="50"/>
      <c r="H1719" s="57"/>
      <c r="I1719" s="227"/>
      <c r="J1719" s="57"/>
      <c r="K1719" s="50"/>
      <c r="L1719" s="57"/>
      <c r="M1719" s="228"/>
      <c r="N1719" s="18"/>
      <c r="O1719" s="50"/>
    </row>
    <row r="1720" spans="1:15" ht="21.75" customHeight="1" x14ac:dyDescent="0.4">
      <c r="A1720" s="62"/>
      <c r="B1720" s="32"/>
      <c r="C1720" s="32"/>
      <c r="D1720" s="18"/>
      <c r="E1720" s="63"/>
      <c r="F1720" s="63"/>
      <c r="G1720" s="50"/>
      <c r="H1720" s="57"/>
      <c r="I1720" s="227"/>
      <c r="J1720" s="57"/>
      <c r="K1720" s="50"/>
      <c r="L1720" s="57"/>
      <c r="M1720" s="228"/>
      <c r="N1720" s="18"/>
      <c r="O1720" s="50"/>
    </row>
    <row r="1721" spans="1:15" ht="21.75" customHeight="1" x14ac:dyDescent="0.4">
      <c r="A1721" s="62"/>
      <c r="B1721" s="32"/>
      <c r="C1721" s="32"/>
      <c r="D1721" s="18"/>
      <c r="E1721" s="63"/>
      <c r="F1721" s="63"/>
      <c r="G1721" s="50"/>
      <c r="H1721" s="57"/>
      <c r="I1721" s="227"/>
      <c r="J1721" s="57"/>
      <c r="K1721" s="50"/>
      <c r="L1721" s="57"/>
      <c r="M1721" s="228"/>
      <c r="N1721" s="18"/>
      <c r="O1721" s="50"/>
    </row>
    <row r="1722" spans="1:15" ht="21.75" customHeight="1" x14ac:dyDescent="0.4">
      <c r="A1722" s="62"/>
      <c r="B1722" s="32"/>
      <c r="C1722" s="32"/>
      <c r="D1722" s="18"/>
      <c r="E1722" s="63"/>
      <c r="F1722" s="63"/>
      <c r="G1722" s="50"/>
      <c r="H1722" s="57"/>
      <c r="I1722" s="227"/>
      <c r="J1722" s="57"/>
      <c r="K1722" s="50"/>
      <c r="L1722" s="57"/>
      <c r="M1722" s="228"/>
      <c r="N1722" s="18"/>
      <c r="O1722" s="50"/>
    </row>
    <row r="1723" spans="1:15" ht="21.75" customHeight="1" x14ac:dyDescent="0.4">
      <c r="A1723" s="62"/>
      <c r="B1723" s="32"/>
      <c r="C1723" s="32"/>
      <c r="D1723" s="18"/>
      <c r="E1723" s="63"/>
      <c r="F1723" s="63"/>
      <c r="G1723" s="50"/>
      <c r="H1723" s="57"/>
      <c r="I1723" s="227"/>
      <c r="J1723" s="57"/>
      <c r="K1723" s="50"/>
      <c r="L1723" s="57"/>
      <c r="M1723" s="228"/>
      <c r="N1723" s="18"/>
      <c r="O1723" s="50"/>
    </row>
    <row r="1724" spans="1:15" ht="21.75" customHeight="1" x14ac:dyDescent="0.4">
      <c r="A1724" s="62"/>
      <c r="B1724" s="32"/>
      <c r="C1724" s="32"/>
      <c r="D1724" s="18"/>
      <c r="E1724" s="63"/>
      <c r="F1724" s="63"/>
      <c r="G1724" s="50"/>
      <c r="H1724" s="57"/>
      <c r="I1724" s="227"/>
      <c r="J1724" s="57"/>
      <c r="K1724" s="50"/>
      <c r="L1724" s="57"/>
      <c r="M1724" s="228"/>
      <c r="N1724" s="18"/>
      <c r="O1724" s="50"/>
    </row>
    <row r="1725" spans="1:15" ht="21.75" customHeight="1" x14ac:dyDescent="0.4">
      <c r="A1725" s="62"/>
      <c r="B1725" s="32"/>
      <c r="C1725" s="32"/>
      <c r="D1725" s="18"/>
      <c r="E1725" s="63"/>
      <c r="F1725" s="63"/>
      <c r="G1725" s="50"/>
      <c r="H1725" s="57"/>
      <c r="I1725" s="227"/>
      <c r="J1725" s="57"/>
      <c r="K1725" s="50"/>
      <c r="L1725" s="57"/>
      <c r="M1725" s="228"/>
      <c r="N1725" s="18"/>
      <c r="O1725" s="50"/>
    </row>
    <row r="1726" spans="1:15" ht="21.75" customHeight="1" x14ac:dyDescent="0.4">
      <c r="A1726" s="62"/>
      <c r="B1726" s="32"/>
      <c r="C1726" s="32"/>
      <c r="D1726" s="18"/>
      <c r="E1726" s="63"/>
      <c r="F1726" s="63"/>
      <c r="G1726" s="50"/>
      <c r="H1726" s="57"/>
      <c r="I1726" s="227"/>
      <c r="J1726" s="57"/>
      <c r="K1726" s="50"/>
      <c r="L1726" s="57"/>
      <c r="M1726" s="228"/>
      <c r="N1726" s="18"/>
      <c r="O1726" s="50"/>
    </row>
    <row r="1727" spans="1:15" ht="21.75" customHeight="1" x14ac:dyDescent="0.4">
      <c r="A1727" s="62"/>
      <c r="B1727" s="32"/>
      <c r="C1727" s="32"/>
      <c r="D1727" s="18"/>
      <c r="E1727" s="63"/>
      <c r="F1727" s="63"/>
      <c r="G1727" s="50"/>
      <c r="H1727" s="57"/>
      <c r="I1727" s="227"/>
      <c r="J1727" s="57"/>
      <c r="K1727" s="50"/>
      <c r="L1727" s="57"/>
      <c r="M1727" s="228"/>
      <c r="N1727" s="18"/>
      <c r="O1727" s="50"/>
    </row>
    <row r="1728" spans="1:15" ht="21.75" customHeight="1" x14ac:dyDescent="0.4">
      <c r="A1728" s="62"/>
      <c r="B1728" s="32"/>
      <c r="C1728" s="32"/>
      <c r="D1728" s="18"/>
      <c r="E1728" s="63"/>
      <c r="F1728" s="63"/>
      <c r="G1728" s="50"/>
      <c r="H1728" s="57"/>
      <c r="I1728" s="227"/>
      <c r="J1728" s="57"/>
      <c r="K1728" s="50"/>
      <c r="L1728" s="57"/>
      <c r="M1728" s="228"/>
      <c r="N1728" s="18"/>
      <c r="O1728" s="50"/>
    </row>
    <row r="1729" spans="1:15" ht="21.75" customHeight="1" x14ac:dyDescent="0.4">
      <c r="A1729" s="62"/>
      <c r="B1729" s="32"/>
      <c r="C1729" s="32"/>
      <c r="D1729" s="18"/>
      <c r="E1729" s="63"/>
      <c r="F1729" s="63"/>
      <c r="G1729" s="50"/>
      <c r="H1729" s="57"/>
      <c r="I1729" s="227"/>
      <c r="J1729" s="57"/>
      <c r="K1729" s="50"/>
      <c r="L1729" s="57"/>
      <c r="M1729" s="228"/>
      <c r="N1729" s="18"/>
      <c r="O1729" s="50"/>
    </row>
    <row r="1730" spans="1:15" ht="21.75" customHeight="1" x14ac:dyDescent="0.4">
      <c r="A1730" s="62"/>
      <c r="B1730" s="32"/>
      <c r="C1730" s="32"/>
      <c r="D1730" s="18"/>
      <c r="E1730" s="63"/>
      <c r="F1730" s="63"/>
      <c r="G1730" s="50"/>
      <c r="H1730" s="57"/>
      <c r="I1730" s="227"/>
      <c r="J1730" s="57"/>
      <c r="K1730" s="50"/>
      <c r="L1730" s="57"/>
      <c r="M1730" s="228"/>
      <c r="N1730" s="18"/>
      <c r="O1730" s="50"/>
    </row>
    <row r="1731" spans="1:15" ht="21.75" customHeight="1" x14ac:dyDescent="0.4">
      <c r="A1731" s="62"/>
      <c r="B1731" s="32"/>
      <c r="C1731" s="32"/>
      <c r="D1731" s="18"/>
      <c r="E1731" s="63"/>
      <c r="F1731" s="63"/>
      <c r="G1731" s="50"/>
      <c r="H1731" s="57"/>
      <c r="I1731" s="227"/>
      <c r="J1731" s="57"/>
      <c r="K1731" s="50"/>
      <c r="L1731" s="57"/>
      <c r="M1731" s="228"/>
      <c r="N1731" s="18"/>
      <c r="O1731" s="50"/>
    </row>
    <row r="1732" spans="1:15" ht="21.75" customHeight="1" x14ac:dyDescent="0.4">
      <c r="A1732" s="62"/>
      <c r="B1732" s="32"/>
      <c r="C1732" s="32"/>
      <c r="D1732" s="18"/>
      <c r="E1732" s="63"/>
      <c r="F1732" s="63"/>
      <c r="G1732" s="50"/>
      <c r="H1732" s="57"/>
      <c r="I1732" s="227"/>
      <c r="J1732" s="57"/>
      <c r="K1732" s="50"/>
      <c r="L1732" s="57"/>
      <c r="M1732" s="228"/>
      <c r="N1732" s="18"/>
      <c r="O1732" s="50"/>
    </row>
    <row r="1733" spans="1:15" ht="21.75" customHeight="1" x14ac:dyDescent="0.4">
      <c r="A1733" s="62"/>
      <c r="B1733" s="32"/>
      <c r="C1733" s="32"/>
      <c r="D1733" s="18"/>
      <c r="E1733" s="63"/>
      <c r="F1733" s="63"/>
      <c r="G1733" s="50"/>
      <c r="H1733" s="57"/>
      <c r="I1733" s="227"/>
      <c r="J1733" s="57"/>
      <c r="K1733" s="50"/>
      <c r="L1733" s="57"/>
      <c r="M1733" s="228"/>
      <c r="N1733" s="18"/>
      <c r="O1733" s="50"/>
    </row>
    <row r="1734" spans="1:15" ht="21.75" customHeight="1" x14ac:dyDescent="0.4">
      <c r="A1734" s="62"/>
      <c r="B1734" s="32"/>
      <c r="C1734" s="32"/>
      <c r="D1734" s="18"/>
      <c r="E1734" s="63"/>
      <c r="F1734" s="63"/>
      <c r="G1734" s="50"/>
      <c r="H1734" s="57"/>
      <c r="I1734" s="227"/>
      <c r="J1734" s="57"/>
      <c r="K1734" s="50"/>
      <c r="L1734" s="57"/>
      <c r="M1734" s="228"/>
      <c r="N1734" s="18"/>
      <c r="O1734" s="50"/>
    </row>
    <row r="1735" spans="1:15" ht="21.75" customHeight="1" x14ac:dyDescent="0.4">
      <c r="A1735" s="62"/>
      <c r="B1735" s="32"/>
      <c r="C1735" s="32"/>
      <c r="D1735" s="18"/>
      <c r="E1735" s="63"/>
      <c r="F1735" s="63"/>
      <c r="G1735" s="50"/>
      <c r="H1735" s="57"/>
      <c r="I1735" s="227"/>
      <c r="J1735" s="57"/>
      <c r="K1735" s="50"/>
      <c r="L1735" s="57"/>
      <c r="M1735" s="228"/>
      <c r="N1735" s="18"/>
      <c r="O1735" s="50"/>
    </row>
    <row r="1736" spans="1:15" ht="21.75" customHeight="1" x14ac:dyDescent="0.4">
      <c r="A1736" s="62"/>
      <c r="B1736" s="32"/>
      <c r="C1736" s="32"/>
      <c r="D1736" s="18"/>
      <c r="E1736" s="63"/>
      <c r="F1736" s="63"/>
      <c r="G1736" s="50"/>
      <c r="H1736" s="57"/>
      <c r="I1736" s="227"/>
      <c r="J1736" s="57"/>
      <c r="K1736" s="50"/>
      <c r="L1736" s="57"/>
      <c r="M1736" s="228"/>
      <c r="N1736" s="18"/>
      <c r="O1736" s="50"/>
    </row>
    <row r="1737" spans="1:15" ht="21.75" customHeight="1" x14ac:dyDescent="0.4">
      <c r="A1737" s="62"/>
      <c r="B1737" s="32"/>
      <c r="C1737" s="32"/>
      <c r="D1737" s="18"/>
      <c r="E1737" s="63"/>
      <c r="F1737" s="63"/>
      <c r="G1737" s="50"/>
      <c r="H1737" s="57"/>
      <c r="I1737" s="227"/>
      <c r="J1737" s="57"/>
      <c r="K1737" s="50"/>
      <c r="L1737" s="57"/>
      <c r="M1737" s="228"/>
      <c r="N1737" s="18"/>
      <c r="O1737" s="50"/>
    </row>
    <row r="1738" spans="1:15" ht="21.75" customHeight="1" x14ac:dyDescent="0.4">
      <c r="A1738" s="62"/>
      <c r="B1738" s="32"/>
      <c r="C1738" s="32"/>
      <c r="D1738" s="18"/>
      <c r="E1738" s="63"/>
      <c r="F1738" s="63"/>
      <c r="G1738" s="50"/>
      <c r="H1738" s="57"/>
      <c r="I1738" s="227"/>
      <c r="J1738" s="57"/>
      <c r="K1738" s="50"/>
      <c r="L1738" s="57"/>
      <c r="M1738" s="228"/>
      <c r="N1738" s="18"/>
      <c r="O1738" s="50"/>
    </row>
    <row r="1739" spans="1:15" ht="21.75" customHeight="1" x14ac:dyDescent="0.4">
      <c r="A1739" s="62"/>
      <c r="B1739" s="32"/>
      <c r="C1739" s="32"/>
      <c r="D1739" s="18"/>
      <c r="E1739" s="63"/>
      <c r="F1739" s="63"/>
      <c r="G1739" s="50"/>
      <c r="H1739" s="57"/>
      <c r="I1739" s="227"/>
      <c r="J1739" s="57"/>
      <c r="K1739" s="50"/>
      <c r="L1739" s="57"/>
      <c r="M1739" s="228"/>
      <c r="N1739" s="18"/>
      <c r="O1739" s="50"/>
    </row>
    <row r="1740" spans="1:15" ht="21.75" customHeight="1" x14ac:dyDescent="0.4">
      <c r="A1740" s="62"/>
      <c r="B1740" s="32"/>
      <c r="C1740" s="32"/>
      <c r="D1740" s="18"/>
      <c r="E1740" s="63"/>
      <c r="F1740" s="63"/>
      <c r="G1740" s="50"/>
      <c r="H1740" s="57"/>
      <c r="I1740" s="227"/>
      <c r="J1740" s="57"/>
      <c r="K1740" s="50"/>
      <c r="L1740" s="57"/>
      <c r="M1740" s="228"/>
      <c r="N1740" s="18"/>
      <c r="O1740" s="50"/>
    </row>
    <row r="1741" spans="1:15" ht="21.75" customHeight="1" x14ac:dyDescent="0.4">
      <c r="A1741" s="62"/>
      <c r="B1741" s="32"/>
      <c r="C1741" s="32"/>
      <c r="D1741" s="18"/>
      <c r="E1741" s="63"/>
      <c r="F1741" s="63"/>
      <c r="G1741" s="50"/>
      <c r="H1741" s="57"/>
      <c r="I1741" s="227"/>
      <c r="J1741" s="57"/>
      <c r="K1741" s="50"/>
      <c r="L1741" s="57"/>
      <c r="M1741" s="228"/>
      <c r="N1741" s="18"/>
      <c r="O1741" s="50"/>
    </row>
    <row r="1742" spans="1:15" ht="21.75" customHeight="1" x14ac:dyDescent="0.4">
      <c r="A1742" s="62"/>
      <c r="B1742" s="32"/>
      <c r="C1742" s="32"/>
      <c r="D1742" s="18"/>
      <c r="E1742" s="63"/>
      <c r="F1742" s="63"/>
      <c r="G1742" s="50"/>
      <c r="H1742" s="57"/>
      <c r="I1742" s="227"/>
      <c r="J1742" s="57"/>
      <c r="K1742" s="50"/>
      <c r="L1742" s="57"/>
      <c r="M1742" s="228"/>
      <c r="N1742" s="18"/>
      <c r="O1742" s="50"/>
    </row>
    <row r="1743" spans="1:15" ht="21.75" customHeight="1" x14ac:dyDescent="0.4">
      <c r="A1743" s="62"/>
      <c r="B1743" s="32"/>
      <c r="C1743" s="32"/>
      <c r="D1743" s="18"/>
      <c r="E1743" s="63"/>
      <c r="F1743" s="63"/>
      <c r="G1743" s="50"/>
      <c r="H1743" s="57"/>
      <c r="I1743" s="227"/>
      <c r="J1743" s="57"/>
      <c r="K1743" s="50"/>
      <c r="L1743" s="57"/>
      <c r="M1743" s="228"/>
      <c r="N1743" s="18"/>
      <c r="O1743" s="50"/>
    </row>
    <row r="1744" spans="1:15" ht="21.75" customHeight="1" x14ac:dyDescent="0.4">
      <c r="A1744" s="62"/>
      <c r="B1744" s="32"/>
      <c r="C1744" s="32"/>
      <c r="D1744" s="18"/>
      <c r="E1744" s="63"/>
      <c r="F1744" s="63"/>
      <c r="G1744" s="50"/>
      <c r="H1744" s="57"/>
      <c r="I1744" s="227"/>
      <c r="J1744" s="57"/>
      <c r="K1744" s="50"/>
      <c r="L1744" s="57"/>
      <c r="M1744" s="228"/>
      <c r="N1744" s="18"/>
      <c r="O1744" s="50"/>
    </row>
    <row r="1745" spans="1:15" ht="21.75" customHeight="1" x14ac:dyDescent="0.4">
      <c r="A1745" s="62"/>
      <c r="B1745" s="32"/>
      <c r="C1745" s="32"/>
      <c r="D1745" s="18"/>
      <c r="E1745" s="63"/>
      <c r="F1745" s="63"/>
      <c r="G1745" s="50"/>
      <c r="H1745" s="57"/>
      <c r="I1745" s="227"/>
      <c r="J1745" s="57"/>
      <c r="K1745" s="50"/>
      <c r="L1745" s="57"/>
      <c r="M1745" s="228"/>
      <c r="N1745" s="18"/>
      <c r="O1745" s="50"/>
    </row>
    <row r="1746" spans="1:15" ht="21.75" customHeight="1" x14ac:dyDescent="0.4">
      <c r="A1746" s="62"/>
      <c r="B1746" s="32"/>
      <c r="C1746" s="32"/>
      <c r="D1746" s="18"/>
      <c r="E1746" s="63"/>
      <c r="F1746" s="63"/>
      <c r="G1746" s="50"/>
      <c r="H1746" s="57"/>
      <c r="I1746" s="227"/>
      <c r="J1746" s="57"/>
      <c r="K1746" s="50"/>
      <c r="L1746" s="57"/>
      <c r="M1746" s="228"/>
      <c r="N1746" s="18"/>
      <c r="O1746" s="50"/>
    </row>
    <row r="1747" spans="1:15" ht="21.75" customHeight="1" x14ac:dyDescent="0.4">
      <c r="A1747" s="62"/>
      <c r="B1747" s="32"/>
      <c r="C1747" s="32"/>
      <c r="D1747" s="18"/>
      <c r="E1747" s="63"/>
      <c r="F1747" s="63"/>
      <c r="G1747" s="50"/>
      <c r="H1747" s="57"/>
      <c r="I1747" s="227"/>
      <c r="J1747" s="57"/>
      <c r="K1747" s="50"/>
      <c r="L1747" s="57"/>
      <c r="M1747" s="228"/>
      <c r="N1747" s="18"/>
      <c r="O1747" s="50"/>
    </row>
    <row r="1748" spans="1:15" ht="21.75" customHeight="1" x14ac:dyDescent="0.4">
      <c r="A1748" s="62"/>
      <c r="B1748" s="32"/>
      <c r="C1748" s="32"/>
      <c r="D1748" s="18"/>
      <c r="E1748" s="63"/>
      <c r="F1748" s="63"/>
      <c r="G1748" s="50"/>
      <c r="H1748" s="57"/>
      <c r="I1748" s="227"/>
      <c r="J1748" s="57"/>
      <c r="K1748" s="50"/>
      <c r="L1748" s="57"/>
      <c r="M1748" s="228"/>
      <c r="N1748" s="18"/>
      <c r="O1748" s="50"/>
    </row>
    <row r="1749" spans="1:15" ht="21.75" customHeight="1" x14ac:dyDescent="0.4">
      <c r="A1749" s="62"/>
      <c r="B1749" s="32"/>
      <c r="C1749" s="32"/>
      <c r="D1749" s="18"/>
      <c r="E1749" s="63"/>
      <c r="F1749" s="63"/>
      <c r="G1749" s="50"/>
      <c r="H1749" s="57"/>
      <c r="I1749" s="227"/>
      <c r="J1749" s="57"/>
      <c r="K1749" s="50"/>
      <c r="L1749" s="57"/>
      <c r="M1749" s="228"/>
      <c r="N1749" s="18"/>
      <c r="O1749" s="50"/>
    </row>
    <row r="1750" spans="1:15" ht="21.75" customHeight="1" x14ac:dyDescent="0.4">
      <c r="A1750" s="62"/>
      <c r="B1750" s="32"/>
      <c r="C1750" s="32"/>
      <c r="D1750" s="18"/>
      <c r="E1750" s="63"/>
      <c r="F1750" s="63"/>
      <c r="G1750" s="50"/>
      <c r="H1750" s="57"/>
      <c r="I1750" s="227"/>
      <c r="J1750" s="57"/>
      <c r="K1750" s="50"/>
      <c r="L1750" s="57"/>
      <c r="M1750" s="228"/>
      <c r="N1750" s="18"/>
      <c r="O1750" s="50"/>
    </row>
    <row r="1751" spans="1:15" ht="21.75" customHeight="1" x14ac:dyDescent="0.4">
      <c r="A1751" s="62"/>
      <c r="B1751" s="32"/>
      <c r="C1751" s="32"/>
      <c r="D1751" s="18"/>
      <c r="E1751" s="63"/>
      <c r="F1751" s="63"/>
      <c r="G1751" s="50"/>
      <c r="H1751" s="57"/>
      <c r="I1751" s="227"/>
      <c r="J1751" s="57"/>
      <c r="K1751" s="50"/>
      <c r="L1751" s="57"/>
      <c r="M1751" s="228"/>
      <c r="N1751" s="18"/>
      <c r="O1751" s="50"/>
    </row>
    <row r="1752" spans="1:15" ht="21.75" customHeight="1" x14ac:dyDescent="0.4">
      <c r="A1752" s="62"/>
      <c r="B1752" s="32"/>
      <c r="C1752" s="32"/>
      <c r="D1752" s="18"/>
      <c r="E1752" s="63"/>
      <c r="F1752" s="63"/>
      <c r="G1752" s="50"/>
      <c r="H1752" s="57"/>
      <c r="I1752" s="227"/>
      <c r="J1752" s="57"/>
      <c r="K1752" s="50"/>
      <c r="L1752" s="57"/>
      <c r="M1752" s="228"/>
      <c r="N1752" s="18"/>
      <c r="O1752" s="50"/>
    </row>
  </sheetData>
  <autoFilter ref="A1:AC1355" xr:uid="{00000000-0009-0000-0000-000002000000}"/>
  <sortState xmlns:xlrd2="http://schemas.microsoft.com/office/spreadsheetml/2017/richdata2" ref="A1097:P1227">
    <sortCondition ref="A1227"/>
  </sortState>
  <mergeCells count="17">
    <mergeCell ref="O1337:O1338"/>
    <mergeCell ref="N951:N953"/>
    <mergeCell ref="O951:O953"/>
    <mergeCell ref="O954:O963"/>
    <mergeCell ref="O663:O664"/>
    <mergeCell ref="O1018:O1022"/>
    <mergeCell ref="N598:N599"/>
    <mergeCell ref="O911:O913"/>
    <mergeCell ref="N868:N869"/>
    <mergeCell ref="O868:O869"/>
    <mergeCell ref="N791:N792"/>
    <mergeCell ref="O791:O792"/>
    <mergeCell ref="O89:O91"/>
    <mergeCell ref="O127:O128"/>
    <mergeCell ref="O227:O228"/>
    <mergeCell ref="O544:O545"/>
    <mergeCell ref="O598:O599"/>
  </mergeCells>
  <phoneticPr fontId="4"/>
  <pageMargins left="0.7" right="0.7" top="0.75" bottom="0.75" header="0.3" footer="0.3"/>
  <pageSetup paperSize="9" orientation="portrait" horizontalDpi="4294967293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59999389629810485"/>
    <pageSetUpPr fitToPage="1"/>
  </sheetPr>
  <dimension ref="A1:AC1771"/>
  <sheetViews>
    <sheetView tabSelected="1" zoomScale="70" zoomScaleNormal="70" workbookViewId="0">
      <pane xSplit="2" ySplit="1" topLeftCell="C1448" activePane="bottomRight" state="frozen"/>
      <selection pane="topRight" activeCell="C1" sqref="C1"/>
      <selection pane="bottomLeft" activeCell="A2" sqref="A2"/>
      <selection pane="bottomRight" activeCell="E1455" sqref="E1455"/>
    </sheetView>
  </sheetViews>
  <sheetFormatPr defaultColWidth="8.125" defaultRowHeight="21.75" customHeight="1" x14ac:dyDescent="0.4"/>
  <cols>
    <col min="1" max="1" width="12.75" style="417" bestFit="1" customWidth="1"/>
    <col min="2" max="2" width="16.375" style="37" customWidth="1"/>
    <col min="3" max="3" width="13.5" style="37" customWidth="1"/>
    <col min="4" max="4" width="10" style="67" bestFit="1" customWidth="1"/>
    <col min="5" max="5" width="19.5" style="67" customWidth="1"/>
    <col min="6" max="6" width="18" style="67" customWidth="1"/>
    <col min="7" max="7" width="40" style="93" customWidth="1"/>
    <col min="8" max="8" width="12.75" style="418" bestFit="1" customWidth="1"/>
    <col min="9" max="9" width="11.75" style="419" bestFit="1" customWidth="1"/>
    <col min="10" max="10" width="11.5" style="418" bestFit="1" customWidth="1"/>
    <col min="11" max="11" width="10.25" style="67" bestFit="1" customWidth="1"/>
    <col min="12" max="12" width="10.375" style="418" bestFit="1" customWidth="1"/>
    <col min="13" max="13" width="10.875" style="418" bestFit="1" customWidth="1"/>
    <col min="14" max="14" width="12.875" style="67" customWidth="1"/>
    <col min="15" max="15" width="27.875" style="452" customWidth="1"/>
    <col min="16" max="18" width="7" style="18" customWidth="1"/>
    <col min="19" max="19" width="6.5" style="67" customWidth="1"/>
    <col min="20" max="21" width="2.625" style="67" customWidth="1"/>
    <col min="22" max="22" width="2.625" style="37" customWidth="1"/>
    <col min="23" max="23" width="12.5" style="354" customWidth="1"/>
    <col min="24" max="24" width="11.75" style="355" bestFit="1" customWidth="1"/>
    <col min="25" max="27" width="10" style="355" bestFit="1" customWidth="1"/>
    <col min="28" max="28" width="15" style="37" bestFit="1" customWidth="1"/>
    <col min="29" max="16384" width="8.125" style="37"/>
  </cols>
  <sheetData>
    <row r="1" spans="1:29" ht="21.75" customHeight="1" x14ac:dyDescent="0.4">
      <c r="A1" s="144" t="s">
        <v>0</v>
      </c>
      <c r="B1" s="1" t="s">
        <v>1</v>
      </c>
      <c r="C1" s="1" t="s">
        <v>4289</v>
      </c>
      <c r="D1" s="64" t="s">
        <v>2</v>
      </c>
      <c r="E1" s="84" t="s">
        <v>3542</v>
      </c>
      <c r="F1" s="84" t="s">
        <v>3</v>
      </c>
      <c r="G1" s="421" t="s">
        <v>4</v>
      </c>
      <c r="H1" s="87" t="s">
        <v>5</v>
      </c>
      <c r="I1" s="263" t="s">
        <v>6</v>
      </c>
      <c r="J1" s="87" t="s">
        <v>7</v>
      </c>
      <c r="K1" s="64" t="s">
        <v>8</v>
      </c>
      <c r="L1" s="87" t="s">
        <v>9</v>
      </c>
      <c r="M1" s="87" t="s">
        <v>10</v>
      </c>
      <c r="N1" s="64" t="s">
        <v>11</v>
      </c>
      <c r="O1" s="438" t="s">
        <v>12</v>
      </c>
      <c r="P1" s="64" t="s">
        <v>4410</v>
      </c>
      <c r="Q1" s="64" t="s">
        <v>4851</v>
      </c>
      <c r="R1" s="64" t="s">
        <v>4797</v>
      </c>
      <c r="S1" s="161"/>
      <c r="T1" s="161"/>
      <c r="U1" s="161"/>
      <c r="W1" s="3" t="s">
        <v>13</v>
      </c>
      <c r="X1" s="4" t="s">
        <v>6154</v>
      </c>
      <c r="Y1" s="4" t="s">
        <v>8</v>
      </c>
      <c r="Z1" s="4" t="s">
        <v>9</v>
      </c>
      <c r="AA1" s="5" t="s">
        <v>15</v>
      </c>
    </row>
    <row r="2" spans="1:29" ht="21.75" customHeight="1" x14ac:dyDescent="0.4">
      <c r="A2" s="258">
        <v>45809</v>
      </c>
      <c r="B2" s="18" t="s">
        <v>4705</v>
      </c>
      <c r="C2" s="18" t="s">
        <v>405</v>
      </c>
      <c r="D2" s="18" t="s">
        <v>22</v>
      </c>
      <c r="E2" s="350" t="s">
        <v>23</v>
      </c>
      <c r="F2" s="351"/>
      <c r="G2" s="422" t="s">
        <v>264</v>
      </c>
      <c r="H2" s="352">
        <v>15000</v>
      </c>
      <c r="I2" s="353"/>
      <c r="J2" s="352">
        <f t="shared" ref="J2:J4" si="0">SUM(H2:I2)</f>
        <v>15000</v>
      </c>
      <c r="K2" s="352">
        <v>1</v>
      </c>
      <c r="L2" s="352">
        <f t="shared" ref="L2:L10" si="1">SUM(J2*K2)</f>
        <v>15000</v>
      </c>
      <c r="M2" s="352">
        <f t="shared" ref="M2:M10" si="2">ROUNDDOWN(L2*1.1,0)</f>
        <v>16500</v>
      </c>
      <c r="N2" s="18" t="s">
        <v>25</v>
      </c>
      <c r="O2" s="439"/>
      <c r="R2" s="18" t="s">
        <v>4799</v>
      </c>
      <c r="S2" s="37"/>
      <c r="T2" s="354"/>
      <c r="U2" s="355"/>
      <c r="V2" s="355"/>
      <c r="W2" s="355"/>
      <c r="Y2" s="37"/>
      <c r="Z2" s="37"/>
      <c r="AA2" s="37"/>
    </row>
    <row r="3" spans="1:29" ht="21.75" customHeight="1" x14ac:dyDescent="0.4">
      <c r="A3" s="258">
        <v>45809</v>
      </c>
      <c r="B3" s="18" t="s">
        <v>4773</v>
      </c>
      <c r="C3" s="18" t="s">
        <v>405</v>
      </c>
      <c r="D3" s="18" t="s">
        <v>22</v>
      </c>
      <c r="E3" s="18" t="s">
        <v>1496</v>
      </c>
      <c r="F3" s="18"/>
      <c r="G3" s="63" t="s">
        <v>49</v>
      </c>
      <c r="H3" s="350">
        <v>3000</v>
      </c>
      <c r="I3" s="353"/>
      <c r="J3" s="350">
        <f t="shared" si="0"/>
        <v>3000</v>
      </c>
      <c r="K3" s="18">
        <v>1</v>
      </c>
      <c r="L3" s="350">
        <f t="shared" si="1"/>
        <v>3000</v>
      </c>
      <c r="M3" s="356">
        <f t="shared" si="2"/>
        <v>3300</v>
      </c>
      <c r="N3" s="18" t="s">
        <v>4233</v>
      </c>
      <c r="O3" s="439"/>
      <c r="R3" s="18" t="s">
        <v>4799</v>
      </c>
      <c r="S3" s="37"/>
      <c r="T3" s="354"/>
      <c r="U3" s="355"/>
      <c r="V3" s="355"/>
      <c r="W3" s="355"/>
      <c r="Y3" s="37"/>
      <c r="Z3" s="37"/>
      <c r="AA3" s="37"/>
    </row>
    <row r="4" spans="1:29" ht="21.75" customHeight="1" x14ac:dyDescent="0.4">
      <c r="A4" s="258">
        <v>45809</v>
      </c>
      <c r="B4" s="18" t="s">
        <v>4773</v>
      </c>
      <c r="C4" s="18" t="s">
        <v>405</v>
      </c>
      <c r="D4" s="18" t="s">
        <v>22</v>
      </c>
      <c r="E4" s="18" t="s">
        <v>1496</v>
      </c>
      <c r="F4" s="18"/>
      <c r="G4" s="63" t="s">
        <v>2422</v>
      </c>
      <c r="H4" s="350">
        <v>2000</v>
      </c>
      <c r="I4" s="353"/>
      <c r="J4" s="350">
        <f t="shared" si="0"/>
        <v>2000</v>
      </c>
      <c r="K4" s="18">
        <v>1</v>
      </c>
      <c r="L4" s="350">
        <f t="shared" si="1"/>
        <v>2000</v>
      </c>
      <c r="M4" s="356">
        <f t="shared" si="2"/>
        <v>2200</v>
      </c>
      <c r="N4" s="18" t="s">
        <v>20</v>
      </c>
      <c r="O4" s="439"/>
      <c r="R4" s="18" t="s">
        <v>4799</v>
      </c>
      <c r="S4" s="37"/>
      <c r="T4" s="354"/>
      <c r="U4" s="355"/>
      <c r="V4" s="355"/>
      <c r="W4" s="355"/>
      <c r="Y4" s="37"/>
      <c r="Z4" s="37"/>
      <c r="AA4" s="37"/>
    </row>
    <row r="5" spans="1:29" ht="21.75" customHeight="1" x14ac:dyDescent="0.4">
      <c r="A5" s="258">
        <v>45809</v>
      </c>
      <c r="B5" s="18" t="s">
        <v>633</v>
      </c>
      <c r="C5" s="32" t="s">
        <v>2557</v>
      </c>
      <c r="D5" s="18" t="s">
        <v>27</v>
      </c>
      <c r="E5" s="18" t="s">
        <v>28</v>
      </c>
      <c r="F5" s="18"/>
      <c r="G5" s="63" t="s">
        <v>4582</v>
      </c>
      <c r="H5" s="350">
        <v>5000</v>
      </c>
      <c r="I5" s="353"/>
      <c r="J5" s="350">
        <f t="shared" ref="J5" si="3">SUM(H5:I5)</f>
        <v>5000</v>
      </c>
      <c r="K5" s="18">
        <v>1</v>
      </c>
      <c r="L5" s="350">
        <f t="shared" si="1"/>
        <v>5000</v>
      </c>
      <c r="M5" s="357">
        <f t="shared" si="2"/>
        <v>5500</v>
      </c>
      <c r="N5" s="18" t="s">
        <v>1516</v>
      </c>
      <c r="O5" s="454" t="s">
        <v>4800</v>
      </c>
      <c r="R5" s="18" t="s">
        <v>4799</v>
      </c>
      <c r="S5" s="37"/>
      <c r="T5" s="354"/>
      <c r="U5" s="355"/>
      <c r="V5" s="355"/>
      <c r="W5" s="355"/>
      <c r="Y5" s="37"/>
      <c r="Z5" s="37"/>
      <c r="AA5" s="37"/>
    </row>
    <row r="6" spans="1:29" ht="21.75" customHeight="1" x14ac:dyDescent="0.4">
      <c r="A6" s="258">
        <v>45809</v>
      </c>
      <c r="B6" s="32" t="s">
        <v>4774</v>
      </c>
      <c r="C6" s="32" t="s">
        <v>2557</v>
      </c>
      <c r="D6" s="18" t="s">
        <v>17</v>
      </c>
      <c r="E6" s="18" t="s">
        <v>292</v>
      </c>
      <c r="F6" s="18" t="s">
        <v>1051</v>
      </c>
      <c r="G6" s="63" t="s">
        <v>3655</v>
      </c>
      <c r="H6" s="350">
        <v>4000</v>
      </c>
      <c r="I6" s="353">
        <v>-400</v>
      </c>
      <c r="J6" s="350">
        <f t="shared" ref="J6:J10" si="4">SUM(H6:I6)</f>
        <v>3600</v>
      </c>
      <c r="K6" s="18">
        <v>1</v>
      </c>
      <c r="L6" s="350">
        <f t="shared" si="1"/>
        <v>3600</v>
      </c>
      <c r="M6" s="356">
        <f t="shared" si="2"/>
        <v>3960</v>
      </c>
      <c r="N6" s="18" t="s">
        <v>20</v>
      </c>
      <c r="O6" s="439"/>
      <c r="R6" s="18" t="s">
        <v>4799</v>
      </c>
      <c r="S6" s="37"/>
      <c r="T6" s="354"/>
      <c r="U6" s="355"/>
      <c r="V6" s="355"/>
      <c r="W6" s="355"/>
      <c r="Y6" s="37"/>
      <c r="Z6" s="37"/>
      <c r="AA6" s="37"/>
    </row>
    <row r="7" spans="1:29" s="67" customFormat="1" ht="21.75" customHeight="1" x14ac:dyDescent="0.4">
      <c r="A7" s="258">
        <v>45809</v>
      </c>
      <c r="B7" s="18" t="s">
        <v>4705</v>
      </c>
      <c r="C7" s="18" t="s">
        <v>405</v>
      </c>
      <c r="D7" s="18" t="s">
        <v>17</v>
      </c>
      <c r="E7" s="18" t="s">
        <v>328</v>
      </c>
      <c r="F7" s="18" t="s">
        <v>788</v>
      </c>
      <c r="G7" s="63" t="s">
        <v>4775</v>
      </c>
      <c r="H7" s="350">
        <v>35000</v>
      </c>
      <c r="I7" s="353">
        <v>-7000</v>
      </c>
      <c r="J7" s="350">
        <f t="shared" si="4"/>
        <v>28000</v>
      </c>
      <c r="K7" s="18">
        <v>1</v>
      </c>
      <c r="L7" s="350">
        <f t="shared" si="1"/>
        <v>28000</v>
      </c>
      <c r="M7" s="356">
        <f t="shared" si="2"/>
        <v>30800</v>
      </c>
      <c r="N7" s="18" t="s">
        <v>34</v>
      </c>
      <c r="O7" s="439"/>
      <c r="P7" s="18" t="s">
        <v>4839</v>
      </c>
      <c r="Q7" s="18"/>
      <c r="R7" s="18" t="s">
        <v>4799</v>
      </c>
      <c r="V7" s="37"/>
      <c r="W7" s="354"/>
      <c r="X7" s="355"/>
      <c r="Y7" s="355"/>
      <c r="Z7" s="355"/>
      <c r="AA7" s="355"/>
      <c r="AB7" s="37"/>
      <c r="AC7" s="37"/>
    </row>
    <row r="8" spans="1:29" s="67" customFormat="1" ht="21.75" customHeight="1" x14ac:dyDescent="0.4">
      <c r="A8" s="258">
        <v>45809</v>
      </c>
      <c r="B8" s="18" t="s">
        <v>4705</v>
      </c>
      <c r="C8" s="18" t="s">
        <v>405</v>
      </c>
      <c r="D8" s="18" t="s">
        <v>17</v>
      </c>
      <c r="E8" s="18" t="s">
        <v>328</v>
      </c>
      <c r="F8" s="18" t="s">
        <v>788</v>
      </c>
      <c r="G8" s="63" t="s">
        <v>4776</v>
      </c>
      <c r="H8" s="350">
        <v>23000</v>
      </c>
      <c r="I8" s="353">
        <v>-4600</v>
      </c>
      <c r="J8" s="350">
        <f t="shared" si="4"/>
        <v>18400</v>
      </c>
      <c r="K8" s="18">
        <v>2</v>
      </c>
      <c r="L8" s="350">
        <f t="shared" si="1"/>
        <v>36800</v>
      </c>
      <c r="M8" s="356">
        <f t="shared" si="2"/>
        <v>40480</v>
      </c>
      <c r="N8" s="18" t="s">
        <v>34</v>
      </c>
      <c r="O8" s="439"/>
      <c r="P8" s="18" t="s">
        <v>4839</v>
      </c>
      <c r="Q8" s="18"/>
      <c r="R8" s="18" t="s">
        <v>4799</v>
      </c>
      <c r="V8" s="37"/>
      <c r="W8" s="354"/>
      <c r="X8" s="355"/>
      <c r="Y8" s="355"/>
      <c r="Z8" s="355"/>
      <c r="AA8" s="355"/>
      <c r="AB8" s="37"/>
      <c r="AC8" s="37"/>
    </row>
    <row r="9" spans="1:29" s="67" customFormat="1" ht="21.75" customHeight="1" x14ac:dyDescent="0.4">
      <c r="A9" s="258">
        <v>45809</v>
      </c>
      <c r="B9" s="18" t="s">
        <v>4705</v>
      </c>
      <c r="C9" s="18" t="s">
        <v>405</v>
      </c>
      <c r="D9" s="18" t="s">
        <v>17</v>
      </c>
      <c r="E9" s="18" t="s">
        <v>576</v>
      </c>
      <c r="F9" s="18" t="s">
        <v>3543</v>
      </c>
      <c r="G9" s="63" t="s">
        <v>4777</v>
      </c>
      <c r="H9" s="350">
        <v>61000</v>
      </c>
      <c r="I9" s="353">
        <v>-6100</v>
      </c>
      <c r="J9" s="350">
        <f t="shared" si="4"/>
        <v>54900</v>
      </c>
      <c r="K9" s="18">
        <v>1</v>
      </c>
      <c r="L9" s="350">
        <f t="shared" si="1"/>
        <v>54900</v>
      </c>
      <c r="M9" s="356">
        <f t="shared" si="2"/>
        <v>60390</v>
      </c>
      <c r="N9" s="18" t="s">
        <v>34</v>
      </c>
      <c r="O9" s="439"/>
      <c r="P9" s="18" t="s">
        <v>4839</v>
      </c>
      <c r="Q9" s="18"/>
      <c r="R9" s="18" t="s">
        <v>4799</v>
      </c>
      <c r="V9" s="37"/>
      <c r="W9" s="354"/>
      <c r="X9" s="355"/>
      <c r="Y9" s="355"/>
      <c r="Z9" s="355"/>
      <c r="AA9" s="355"/>
      <c r="AB9" s="37"/>
      <c r="AC9" s="37"/>
    </row>
    <row r="10" spans="1:29" s="67" customFormat="1" ht="21.75" customHeight="1" x14ac:dyDescent="0.4">
      <c r="A10" s="258">
        <v>45809</v>
      </c>
      <c r="B10" s="18" t="s">
        <v>4705</v>
      </c>
      <c r="C10" s="18" t="s">
        <v>405</v>
      </c>
      <c r="D10" s="18" t="s">
        <v>17</v>
      </c>
      <c r="E10" s="18" t="s">
        <v>576</v>
      </c>
      <c r="F10" s="18" t="s">
        <v>3543</v>
      </c>
      <c r="G10" s="63" t="s">
        <v>4561</v>
      </c>
      <c r="H10" s="350">
        <v>49000</v>
      </c>
      <c r="I10" s="353">
        <v>-4900</v>
      </c>
      <c r="J10" s="350">
        <f t="shared" si="4"/>
        <v>44100</v>
      </c>
      <c r="K10" s="18">
        <v>1</v>
      </c>
      <c r="L10" s="350">
        <f t="shared" si="1"/>
        <v>44100</v>
      </c>
      <c r="M10" s="356">
        <f t="shared" si="2"/>
        <v>48510</v>
      </c>
      <c r="N10" s="18" t="s">
        <v>34</v>
      </c>
      <c r="O10" s="439"/>
      <c r="P10" s="18" t="s">
        <v>4839</v>
      </c>
      <c r="Q10" s="18"/>
      <c r="R10" s="18" t="s">
        <v>4799</v>
      </c>
      <c r="V10" s="37"/>
      <c r="W10" s="354"/>
      <c r="X10" s="355"/>
      <c r="Y10" s="355"/>
      <c r="Z10" s="355"/>
      <c r="AA10" s="355"/>
      <c r="AB10" s="37"/>
      <c r="AC10" s="37"/>
    </row>
    <row r="11" spans="1:29" s="67" customFormat="1" ht="21.75" customHeight="1" x14ac:dyDescent="0.4">
      <c r="A11" s="258">
        <v>45809</v>
      </c>
      <c r="B11" s="18" t="s">
        <v>4705</v>
      </c>
      <c r="C11" s="18" t="s">
        <v>405</v>
      </c>
      <c r="D11" s="18" t="s">
        <v>17</v>
      </c>
      <c r="E11" s="18" t="s">
        <v>576</v>
      </c>
      <c r="F11" s="18" t="s">
        <v>3543</v>
      </c>
      <c r="G11" s="63" t="s">
        <v>4562</v>
      </c>
      <c r="H11" s="350">
        <v>49000</v>
      </c>
      <c r="I11" s="353">
        <v>-4900</v>
      </c>
      <c r="J11" s="350">
        <f t="shared" ref="J11:J14" si="5">SUM(H11:I11)</f>
        <v>44100</v>
      </c>
      <c r="K11" s="18">
        <v>1</v>
      </c>
      <c r="L11" s="350">
        <f t="shared" ref="L11:L14" si="6">SUM(J11*K11)</f>
        <v>44100</v>
      </c>
      <c r="M11" s="356">
        <f t="shared" ref="M11:M14" si="7">ROUNDDOWN(L11*1.1,0)</f>
        <v>48510</v>
      </c>
      <c r="N11" s="18" t="s">
        <v>34</v>
      </c>
      <c r="O11" s="439"/>
      <c r="P11" s="18" t="s">
        <v>4839</v>
      </c>
      <c r="Q11" s="18"/>
      <c r="R11" s="18" t="s">
        <v>4799</v>
      </c>
      <c r="V11" s="37"/>
      <c r="W11" s="354"/>
      <c r="X11" s="355"/>
      <c r="Y11" s="355"/>
      <c r="Z11" s="355"/>
      <c r="AA11" s="355"/>
      <c r="AB11" s="37"/>
      <c r="AC11" s="37"/>
    </row>
    <row r="12" spans="1:29" s="67" customFormat="1" ht="21.75" customHeight="1" x14ac:dyDescent="0.4">
      <c r="A12" s="258">
        <v>45809</v>
      </c>
      <c r="B12" s="18" t="s">
        <v>4705</v>
      </c>
      <c r="C12" s="18" t="s">
        <v>405</v>
      </c>
      <c r="D12" s="18" t="s">
        <v>17</v>
      </c>
      <c r="E12" s="18" t="s">
        <v>332</v>
      </c>
      <c r="F12" s="18" t="s">
        <v>3555</v>
      </c>
      <c r="G12" s="63" t="s">
        <v>4755</v>
      </c>
      <c r="H12" s="350">
        <v>1300</v>
      </c>
      <c r="I12" s="353"/>
      <c r="J12" s="350">
        <f t="shared" si="5"/>
        <v>1300</v>
      </c>
      <c r="K12" s="18">
        <v>3</v>
      </c>
      <c r="L12" s="350">
        <f t="shared" si="6"/>
        <v>3900</v>
      </c>
      <c r="M12" s="356">
        <f t="shared" si="7"/>
        <v>4290</v>
      </c>
      <c r="N12" s="18" t="s">
        <v>34</v>
      </c>
      <c r="O12" s="439"/>
      <c r="P12" s="18" t="s">
        <v>4839</v>
      </c>
      <c r="Q12" s="18"/>
      <c r="R12" s="18" t="s">
        <v>4799</v>
      </c>
      <c r="V12" s="37"/>
      <c r="W12" s="354"/>
      <c r="X12" s="355"/>
      <c r="Y12" s="355"/>
      <c r="Z12" s="355"/>
      <c r="AA12" s="355"/>
      <c r="AB12" s="37"/>
      <c r="AC12" s="37"/>
    </row>
    <row r="13" spans="1:29" s="67" customFormat="1" ht="21.75" customHeight="1" x14ac:dyDescent="0.4">
      <c r="A13" s="258">
        <v>45809</v>
      </c>
      <c r="B13" s="18" t="s">
        <v>4705</v>
      </c>
      <c r="C13" s="18" t="s">
        <v>405</v>
      </c>
      <c r="D13" s="96" t="s">
        <v>198</v>
      </c>
      <c r="E13" s="18"/>
      <c r="F13" s="18"/>
      <c r="G13" s="63" t="s">
        <v>2491</v>
      </c>
      <c r="H13" s="350">
        <v>-15000</v>
      </c>
      <c r="I13" s="353"/>
      <c r="J13" s="350">
        <f t="shared" si="5"/>
        <v>-15000</v>
      </c>
      <c r="K13" s="18">
        <v>1</v>
      </c>
      <c r="L13" s="350">
        <f t="shared" si="6"/>
        <v>-15000</v>
      </c>
      <c r="M13" s="358">
        <f t="shared" si="7"/>
        <v>-16500</v>
      </c>
      <c r="N13" s="18" t="s">
        <v>34</v>
      </c>
      <c r="O13" s="439"/>
      <c r="P13" s="18"/>
      <c r="Q13" s="18"/>
      <c r="R13" s="18" t="s">
        <v>4799</v>
      </c>
      <c r="V13" s="37"/>
      <c r="W13" s="354"/>
      <c r="X13" s="355"/>
      <c r="Y13" s="355"/>
      <c r="Z13" s="355"/>
      <c r="AA13" s="355"/>
      <c r="AB13" s="37"/>
      <c r="AC13" s="37"/>
    </row>
    <row r="14" spans="1:29" s="67" customFormat="1" ht="21.75" customHeight="1" x14ac:dyDescent="0.4">
      <c r="A14" s="258">
        <v>45809</v>
      </c>
      <c r="B14" s="32" t="s">
        <v>4778</v>
      </c>
      <c r="C14" s="32" t="s">
        <v>2557</v>
      </c>
      <c r="D14" s="18" t="s">
        <v>27</v>
      </c>
      <c r="E14" s="18" t="s">
        <v>28</v>
      </c>
      <c r="F14" s="18"/>
      <c r="G14" s="63" t="s">
        <v>3663</v>
      </c>
      <c r="H14" s="350">
        <v>17500</v>
      </c>
      <c r="I14" s="353"/>
      <c r="J14" s="350">
        <f t="shared" si="5"/>
        <v>17500</v>
      </c>
      <c r="K14" s="18">
        <v>1</v>
      </c>
      <c r="L14" s="350">
        <f t="shared" si="6"/>
        <v>17500</v>
      </c>
      <c r="M14" s="356">
        <f t="shared" si="7"/>
        <v>19250</v>
      </c>
      <c r="N14" s="18" t="s">
        <v>25</v>
      </c>
      <c r="O14" s="439" t="s">
        <v>4801</v>
      </c>
      <c r="P14" s="18"/>
      <c r="Q14" s="18"/>
      <c r="R14" s="18" t="s">
        <v>4799</v>
      </c>
      <c r="V14" s="37"/>
      <c r="W14" s="354"/>
      <c r="X14" s="355"/>
      <c r="Y14" s="355"/>
      <c r="Z14" s="355"/>
      <c r="AA14" s="355"/>
      <c r="AB14" s="37"/>
      <c r="AC14" s="37"/>
    </row>
    <row r="15" spans="1:29" s="67" customFormat="1" ht="21.75" customHeight="1" x14ac:dyDescent="0.4">
      <c r="A15" s="258">
        <v>45809</v>
      </c>
      <c r="B15" s="32" t="s">
        <v>4779</v>
      </c>
      <c r="C15" s="32" t="s">
        <v>4780</v>
      </c>
      <c r="D15" s="18" t="s">
        <v>4781</v>
      </c>
      <c r="E15" s="18" t="s">
        <v>292</v>
      </c>
      <c r="F15" s="18" t="s">
        <v>3642</v>
      </c>
      <c r="G15" s="63" t="s">
        <v>4782</v>
      </c>
      <c r="H15" s="350">
        <v>6300</v>
      </c>
      <c r="I15" s="353">
        <v>-630</v>
      </c>
      <c r="J15" s="350">
        <f t="shared" ref="J15:J24" si="8">SUM(H15:I15)</f>
        <v>5670</v>
      </c>
      <c r="K15" s="18">
        <v>1</v>
      </c>
      <c r="L15" s="350">
        <f t="shared" ref="L15:L21" si="9">SUM(J15*K15)</f>
        <v>5670</v>
      </c>
      <c r="M15" s="356">
        <f t="shared" ref="M15:M21" si="10">ROUNDDOWN(L15*1.1,0)</f>
        <v>6237</v>
      </c>
      <c r="N15" s="18" t="s">
        <v>4783</v>
      </c>
      <c r="O15" s="439"/>
      <c r="P15" s="18"/>
      <c r="Q15" s="18"/>
      <c r="R15" s="18" t="s">
        <v>4799</v>
      </c>
      <c r="V15" s="37"/>
      <c r="W15" s="354"/>
      <c r="X15" s="355"/>
      <c r="Y15" s="355"/>
      <c r="Z15" s="355"/>
      <c r="AA15" s="355"/>
      <c r="AB15" s="37"/>
      <c r="AC15" s="37"/>
    </row>
    <row r="16" spans="1:29" s="67" customFormat="1" ht="21.75" customHeight="1" x14ac:dyDescent="0.4">
      <c r="A16" s="258">
        <v>45810</v>
      </c>
      <c r="B16" s="32" t="s">
        <v>4665</v>
      </c>
      <c r="C16" s="32" t="s">
        <v>2557</v>
      </c>
      <c r="D16" s="18" t="s">
        <v>17</v>
      </c>
      <c r="E16" s="18" t="s">
        <v>426</v>
      </c>
      <c r="F16" s="18" t="s">
        <v>994</v>
      </c>
      <c r="G16" s="63" t="s">
        <v>3867</v>
      </c>
      <c r="H16" s="350">
        <v>1800</v>
      </c>
      <c r="I16" s="353">
        <v>-180</v>
      </c>
      <c r="J16" s="350">
        <f t="shared" si="8"/>
        <v>1620</v>
      </c>
      <c r="K16" s="18">
        <v>1</v>
      </c>
      <c r="L16" s="350">
        <f t="shared" si="9"/>
        <v>1620</v>
      </c>
      <c r="M16" s="356">
        <f t="shared" si="10"/>
        <v>1782</v>
      </c>
      <c r="N16" s="18" t="s">
        <v>25</v>
      </c>
      <c r="O16" s="439"/>
      <c r="P16" s="18"/>
      <c r="Q16" s="18"/>
      <c r="R16" s="18" t="s">
        <v>4799</v>
      </c>
      <c r="V16" s="37"/>
      <c r="W16" s="354"/>
      <c r="X16" s="355"/>
      <c r="Y16" s="355"/>
      <c r="Z16" s="355"/>
      <c r="AA16" s="355"/>
      <c r="AB16" s="37"/>
      <c r="AC16" s="37"/>
    </row>
    <row r="17" spans="1:29" s="67" customFormat="1" ht="21.75" customHeight="1" x14ac:dyDescent="0.4">
      <c r="A17" s="258">
        <v>45810</v>
      </c>
      <c r="B17" s="32" t="s">
        <v>4665</v>
      </c>
      <c r="C17" s="32" t="s">
        <v>2557</v>
      </c>
      <c r="D17" s="18" t="s">
        <v>17</v>
      </c>
      <c r="E17" s="18" t="s">
        <v>426</v>
      </c>
      <c r="F17" s="18" t="s">
        <v>994</v>
      </c>
      <c r="G17" s="63" t="s">
        <v>4311</v>
      </c>
      <c r="H17" s="350">
        <v>1800</v>
      </c>
      <c r="I17" s="353">
        <v>-180</v>
      </c>
      <c r="J17" s="350">
        <f t="shared" si="8"/>
        <v>1620</v>
      </c>
      <c r="K17" s="18">
        <v>1</v>
      </c>
      <c r="L17" s="350">
        <f t="shared" si="9"/>
        <v>1620</v>
      </c>
      <c r="M17" s="356">
        <f t="shared" si="10"/>
        <v>1782</v>
      </c>
      <c r="N17" s="18" t="s">
        <v>25</v>
      </c>
      <c r="O17" s="439"/>
      <c r="P17" s="18"/>
      <c r="Q17" s="18"/>
      <c r="R17" s="18" t="s">
        <v>4799</v>
      </c>
      <c r="V17" s="37"/>
      <c r="W17" s="354"/>
      <c r="X17" s="355"/>
      <c r="Y17" s="355"/>
      <c r="Z17" s="355"/>
      <c r="AA17" s="355"/>
      <c r="AB17" s="37"/>
      <c r="AC17" s="37"/>
    </row>
    <row r="18" spans="1:29" s="67" customFormat="1" ht="21.75" customHeight="1" x14ac:dyDescent="0.4">
      <c r="A18" s="258">
        <v>45810</v>
      </c>
      <c r="B18" s="32" t="s">
        <v>4784</v>
      </c>
      <c r="C18" s="32" t="s">
        <v>4785</v>
      </c>
      <c r="D18" s="18" t="s">
        <v>17</v>
      </c>
      <c r="E18" s="18" t="s">
        <v>332</v>
      </c>
      <c r="F18" s="18" t="s">
        <v>4786</v>
      </c>
      <c r="G18" s="63" t="s">
        <v>4787</v>
      </c>
      <c r="H18" s="350">
        <v>5000</v>
      </c>
      <c r="I18" s="353"/>
      <c r="J18" s="350">
        <f t="shared" si="8"/>
        <v>5000</v>
      </c>
      <c r="K18" s="18">
        <v>1</v>
      </c>
      <c r="L18" s="350">
        <f t="shared" si="9"/>
        <v>5000</v>
      </c>
      <c r="M18" s="356">
        <f t="shared" si="10"/>
        <v>5500</v>
      </c>
      <c r="N18" s="18" t="s">
        <v>4788</v>
      </c>
      <c r="O18" s="439"/>
      <c r="P18" s="18"/>
      <c r="Q18" s="18"/>
      <c r="R18" s="18" t="s">
        <v>4799</v>
      </c>
      <c r="V18" s="37"/>
      <c r="W18" s="354"/>
      <c r="X18" s="355"/>
      <c r="Y18" s="355"/>
      <c r="Z18" s="355"/>
      <c r="AA18" s="355"/>
      <c r="AB18" s="37"/>
      <c r="AC18" s="37"/>
    </row>
    <row r="19" spans="1:29" s="67" customFormat="1" ht="21.75" customHeight="1" x14ac:dyDescent="0.4">
      <c r="A19" s="359">
        <v>45810</v>
      </c>
      <c r="B19" s="194" t="s">
        <v>4996</v>
      </c>
      <c r="C19" s="18" t="s">
        <v>405</v>
      </c>
      <c r="D19" s="196" t="s">
        <v>17</v>
      </c>
      <c r="E19" s="196" t="s">
        <v>32</v>
      </c>
      <c r="F19" s="196" t="s">
        <v>4997</v>
      </c>
      <c r="G19" s="423" t="s">
        <v>4998</v>
      </c>
      <c r="H19" s="360">
        <v>50000</v>
      </c>
      <c r="I19" s="361">
        <v>-15000</v>
      </c>
      <c r="J19" s="360">
        <f t="shared" ref="J19" si="11">SUM(H19:I19)</f>
        <v>35000</v>
      </c>
      <c r="K19" s="196">
        <v>1</v>
      </c>
      <c r="L19" s="360">
        <v>35000</v>
      </c>
      <c r="M19" s="362">
        <v>38500</v>
      </c>
      <c r="N19" s="258" t="s">
        <v>6224</v>
      </c>
      <c r="O19" s="440" t="s">
        <v>4999</v>
      </c>
      <c r="P19" s="196"/>
      <c r="Q19" s="196"/>
      <c r="R19" s="196"/>
      <c r="V19" s="37"/>
      <c r="W19" s="354"/>
      <c r="X19" s="355"/>
      <c r="Y19" s="355"/>
      <c r="Z19" s="355"/>
      <c r="AA19" s="355"/>
      <c r="AB19" s="37"/>
      <c r="AC19" s="37"/>
    </row>
    <row r="20" spans="1:29" s="67" customFormat="1" ht="21.75" customHeight="1" x14ac:dyDescent="0.4">
      <c r="A20" s="258">
        <v>45812</v>
      </c>
      <c r="B20" s="32" t="s">
        <v>4789</v>
      </c>
      <c r="C20" s="32" t="s">
        <v>2557</v>
      </c>
      <c r="D20" s="18" t="s">
        <v>27</v>
      </c>
      <c r="E20" s="18" t="s">
        <v>28</v>
      </c>
      <c r="F20" s="18"/>
      <c r="G20" s="63" t="s">
        <v>73</v>
      </c>
      <c r="H20" s="363">
        <v>2000</v>
      </c>
      <c r="I20" s="353"/>
      <c r="J20" s="350">
        <f t="shared" si="8"/>
        <v>2000</v>
      </c>
      <c r="K20" s="18">
        <v>1</v>
      </c>
      <c r="L20" s="350">
        <f t="shared" si="9"/>
        <v>2000</v>
      </c>
      <c r="M20" s="356">
        <f t="shared" si="10"/>
        <v>2200</v>
      </c>
      <c r="N20" s="18" t="s">
        <v>1516</v>
      </c>
      <c r="O20" s="439"/>
      <c r="P20" s="18"/>
      <c r="Q20" s="18"/>
      <c r="R20" s="18" t="s">
        <v>4798</v>
      </c>
      <c r="V20" s="37"/>
      <c r="W20" s="354"/>
      <c r="X20" s="355"/>
      <c r="Y20" s="355"/>
      <c r="Z20" s="355"/>
      <c r="AA20" s="355"/>
      <c r="AB20" s="37"/>
      <c r="AC20" s="37"/>
    </row>
    <row r="21" spans="1:29" s="67" customFormat="1" ht="21.75" customHeight="1" x14ac:dyDescent="0.4">
      <c r="A21" s="258">
        <v>45812</v>
      </c>
      <c r="B21" s="32" t="s">
        <v>179</v>
      </c>
      <c r="C21" s="32" t="s">
        <v>2557</v>
      </c>
      <c r="D21" s="18" t="s">
        <v>17</v>
      </c>
      <c r="E21" s="18" t="s">
        <v>332</v>
      </c>
      <c r="F21" s="18" t="s">
        <v>3555</v>
      </c>
      <c r="G21" s="63" t="s">
        <v>4756</v>
      </c>
      <c r="H21" s="350">
        <v>1700</v>
      </c>
      <c r="I21" s="353">
        <v>-170</v>
      </c>
      <c r="J21" s="350">
        <f t="shared" si="8"/>
        <v>1530</v>
      </c>
      <c r="K21" s="18">
        <v>1</v>
      </c>
      <c r="L21" s="350">
        <f t="shared" si="9"/>
        <v>1530</v>
      </c>
      <c r="M21" s="356">
        <f t="shared" si="10"/>
        <v>1683</v>
      </c>
      <c r="N21" s="18" t="s">
        <v>4793</v>
      </c>
      <c r="O21" s="439"/>
      <c r="P21" s="18"/>
      <c r="Q21" s="18"/>
      <c r="R21" s="18" t="s">
        <v>4798</v>
      </c>
      <c r="V21" s="37"/>
      <c r="W21" s="354"/>
      <c r="X21" s="355"/>
      <c r="Y21" s="355"/>
      <c r="Z21" s="355"/>
      <c r="AA21" s="355"/>
      <c r="AB21" s="37"/>
      <c r="AC21" s="37"/>
    </row>
    <row r="22" spans="1:29" s="364" customFormat="1" ht="21.75" customHeight="1" x14ac:dyDescent="0.4">
      <c r="A22" s="258">
        <v>45812</v>
      </c>
      <c r="B22" s="32" t="s">
        <v>4790</v>
      </c>
      <c r="C22" s="18" t="s">
        <v>405</v>
      </c>
      <c r="D22" s="18" t="s">
        <v>4791</v>
      </c>
      <c r="E22" s="18" t="s">
        <v>4792</v>
      </c>
      <c r="F22" s="18" t="s">
        <v>3555</v>
      </c>
      <c r="G22" s="63" t="s">
        <v>3557</v>
      </c>
      <c r="H22" s="350">
        <v>1300</v>
      </c>
      <c r="I22" s="353"/>
      <c r="J22" s="350">
        <f t="shared" si="8"/>
        <v>1300</v>
      </c>
      <c r="K22" s="18">
        <v>5</v>
      </c>
      <c r="L22" s="350">
        <f t="shared" ref="L22:L24" si="12">SUM(J22*K22)</f>
        <v>6500</v>
      </c>
      <c r="M22" s="356">
        <f t="shared" ref="M22:M24" si="13">ROUNDDOWN(L22*1.1,0)</f>
        <v>7150</v>
      </c>
      <c r="N22" s="18" t="s">
        <v>4793</v>
      </c>
      <c r="O22" s="439"/>
      <c r="P22" s="18"/>
      <c r="Q22" s="18"/>
      <c r="R22" s="18" t="s">
        <v>4799</v>
      </c>
      <c r="S22" s="67"/>
      <c r="V22" s="365"/>
      <c r="W22" s="366"/>
      <c r="X22" s="367"/>
      <c r="Y22" s="367"/>
      <c r="Z22" s="367"/>
      <c r="AA22" s="367"/>
      <c r="AB22" s="365"/>
      <c r="AC22" s="365"/>
    </row>
    <row r="23" spans="1:29" s="364" customFormat="1" ht="21.75" customHeight="1" x14ac:dyDescent="0.4">
      <c r="A23" s="347">
        <v>45812</v>
      </c>
      <c r="B23" s="241" t="s">
        <v>4795</v>
      </c>
      <c r="C23" s="241" t="s">
        <v>4796</v>
      </c>
      <c r="D23" s="18" t="s">
        <v>4791</v>
      </c>
      <c r="E23" s="242" t="s">
        <v>328</v>
      </c>
      <c r="F23" s="242" t="s">
        <v>788</v>
      </c>
      <c r="G23" s="251" t="s">
        <v>4794</v>
      </c>
      <c r="H23" s="363">
        <v>40000</v>
      </c>
      <c r="I23" s="368">
        <v>-12000</v>
      </c>
      <c r="J23" s="350">
        <f t="shared" si="8"/>
        <v>28000</v>
      </c>
      <c r="K23" s="18">
        <v>1</v>
      </c>
      <c r="L23" s="350">
        <f t="shared" si="12"/>
        <v>28000</v>
      </c>
      <c r="M23" s="356">
        <f t="shared" si="13"/>
        <v>30800</v>
      </c>
      <c r="N23" s="18" t="s">
        <v>1516</v>
      </c>
      <c r="O23" s="441"/>
      <c r="P23" s="18" t="s">
        <v>5115</v>
      </c>
      <c r="Q23" s="18"/>
      <c r="R23" s="18" t="s">
        <v>4798</v>
      </c>
      <c r="S23" s="67"/>
      <c r="V23" s="365"/>
      <c r="W23" s="366"/>
      <c r="X23" s="367"/>
      <c r="Y23" s="367"/>
      <c r="Z23" s="367"/>
      <c r="AA23" s="367"/>
      <c r="AB23" s="365"/>
      <c r="AC23" s="365"/>
    </row>
    <row r="24" spans="1:29" s="67" customFormat="1" ht="21.75" customHeight="1" x14ac:dyDescent="0.4">
      <c r="A24" s="347">
        <v>45812</v>
      </c>
      <c r="B24" s="241" t="s">
        <v>4795</v>
      </c>
      <c r="C24" s="241" t="s">
        <v>4796</v>
      </c>
      <c r="D24" s="18" t="s">
        <v>4791</v>
      </c>
      <c r="E24" s="242" t="s">
        <v>328</v>
      </c>
      <c r="F24" s="242" t="s">
        <v>788</v>
      </c>
      <c r="G24" s="251" t="s">
        <v>4743</v>
      </c>
      <c r="H24" s="363">
        <v>35000</v>
      </c>
      <c r="I24" s="368">
        <v>-10500</v>
      </c>
      <c r="J24" s="350">
        <f t="shared" si="8"/>
        <v>24500</v>
      </c>
      <c r="K24" s="18">
        <v>1</v>
      </c>
      <c r="L24" s="350">
        <f t="shared" si="12"/>
        <v>24500</v>
      </c>
      <c r="M24" s="356">
        <f t="shared" si="13"/>
        <v>26950</v>
      </c>
      <c r="N24" s="18" t="s">
        <v>1516</v>
      </c>
      <c r="O24" s="441"/>
      <c r="P24" s="18" t="s">
        <v>5115</v>
      </c>
      <c r="Q24" s="18"/>
      <c r="R24" s="18" t="s">
        <v>4798</v>
      </c>
      <c r="V24" s="37"/>
      <c r="W24" s="354"/>
      <c r="X24" s="355"/>
      <c r="Y24" s="355"/>
      <c r="Z24" s="355"/>
      <c r="AA24" s="355"/>
      <c r="AB24" s="37"/>
      <c r="AC24" s="37"/>
    </row>
    <row r="25" spans="1:29" s="67" customFormat="1" ht="21.75" customHeight="1" x14ac:dyDescent="0.4">
      <c r="A25" s="258">
        <v>45812</v>
      </c>
      <c r="B25" s="241" t="s">
        <v>4795</v>
      </c>
      <c r="C25" s="241" t="s">
        <v>4796</v>
      </c>
      <c r="D25" s="18" t="s">
        <v>17</v>
      </c>
      <c r="E25" s="18" t="s">
        <v>576</v>
      </c>
      <c r="F25" s="18" t="s">
        <v>3543</v>
      </c>
      <c r="G25" s="63" t="s">
        <v>4777</v>
      </c>
      <c r="H25" s="350">
        <v>61000</v>
      </c>
      <c r="I25" s="353">
        <v>-9150</v>
      </c>
      <c r="J25" s="350">
        <f t="shared" ref="J25" si="14">SUM(H25:I25)</f>
        <v>51850</v>
      </c>
      <c r="K25" s="18">
        <v>1</v>
      </c>
      <c r="L25" s="350">
        <f t="shared" ref="L25" si="15">SUM(J25*K25)</f>
        <v>51850</v>
      </c>
      <c r="M25" s="356">
        <f t="shared" ref="M25" si="16">ROUNDDOWN(L25*1.1,0)</f>
        <v>57035</v>
      </c>
      <c r="N25" s="18" t="s">
        <v>1516</v>
      </c>
      <c r="O25" s="439"/>
      <c r="P25" s="18" t="s">
        <v>5115</v>
      </c>
      <c r="Q25" s="18"/>
      <c r="R25" s="18" t="s">
        <v>4798</v>
      </c>
      <c r="V25" s="37"/>
      <c r="W25" s="354"/>
      <c r="X25" s="355"/>
      <c r="Y25" s="355"/>
      <c r="Z25" s="355"/>
      <c r="AA25" s="355"/>
      <c r="AB25" s="37"/>
      <c r="AC25" s="37"/>
    </row>
    <row r="26" spans="1:29" ht="21.75" customHeight="1" x14ac:dyDescent="0.4">
      <c r="A26" s="258">
        <v>45812</v>
      </c>
      <c r="B26" s="32" t="s">
        <v>2950</v>
      </c>
      <c r="C26" s="32" t="s">
        <v>2557</v>
      </c>
      <c r="D26" s="18" t="s">
        <v>17</v>
      </c>
      <c r="E26" s="18" t="s">
        <v>332</v>
      </c>
      <c r="F26" s="18" t="s">
        <v>4823</v>
      </c>
      <c r="G26" s="63" t="s">
        <v>4824</v>
      </c>
      <c r="H26" s="350">
        <v>1800</v>
      </c>
      <c r="I26" s="353">
        <v>-180</v>
      </c>
      <c r="J26" s="350">
        <f t="shared" ref="J26:J89" si="17">SUM(H26:I26)</f>
        <v>1620</v>
      </c>
      <c r="K26" s="18">
        <v>2</v>
      </c>
      <c r="L26" s="350">
        <f t="shared" ref="L26:L89" si="18">SUM(J26*K26)</f>
        <v>3240</v>
      </c>
      <c r="M26" s="357">
        <f t="shared" ref="M26:M89" si="19">ROUNDDOWN(L26*1.1,0)</f>
        <v>3564</v>
      </c>
      <c r="N26" s="18" t="s">
        <v>1516</v>
      </c>
      <c r="O26" s="439"/>
      <c r="P26" s="18" t="s">
        <v>5115</v>
      </c>
      <c r="R26" s="18" t="s">
        <v>4798</v>
      </c>
      <c r="S26" s="37"/>
      <c r="T26" s="354"/>
      <c r="U26" s="355"/>
      <c r="V26" s="355"/>
      <c r="W26" s="355"/>
      <c r="Y26" s="37"/>
      <c r="Z26" s="37"/>
      <c r="AA26" s="37"/>
    </row>
    <row r="27" spans="1:29" s="67" customFormat="1" ht="21.75" customHeight="1" x14ac:dyDescent="0.4">
      <c r="A27" s="258">
        <v>45814</v>
      </c>
      <c r="B27" s="18" t="s">
        <v>4804</v>
      </c>
      <c r="C27" s="18" t="s">
        <v>405</v>
      </c>
      <c r="D27" s="18" t="s">
        <v>22</v>
      </c>
      <c r="E27" s="350" t="s">
        <v>23</v>
      </c>
      <c r="F27" s="351"/>
      <c r="G27" s="422" t="s">
        <v>264</v>
      </c>
      <c r="H27" s="352">
        <v>15000</v>
      </c>
      <c r="I27" s="353"/>
      <c r="J27" s="352">
        <f t="shared" si="17"/>
        <v>15000</v>
      </c>
      <c r="K27" s="352">
        <v>1</v>
      </c>
      <c r="L27" s="352">
        <f t="shared" si="18"/>
        <v>15000</v>
      </c>
      <c r="M27" s="352">
        <f t="shared" si="19"/>
        <v>16500</v>
      </c>
      <c r="N27" s="18" t="s">
        <v>650</v>
      </c>
      <c r="O27" s="439"/>
      <c r="P27" s="18"/>
      <c r="Q27" s="18"/>
      <c r="R27" s="18" t="s">
        <v>4803</v>
      </c>
      <c r="V27" s="37"/>
      <c r="W27" s="354"/>
      <c r="X27" s="355"/>
      <c r="Y27" s="355"/>
      <c r="Z27" s="355"/>
      <c r="AA27" s="355"/>
      <c r="AB27" s="37"/>
      <c r="AC27" s="37"/>
    </row>
    <row r="28" spans="1:29" ht="21.75" customHeight="1" x14ac:dyDescent="0.4">
      <c r="A28" s="258">
        <v>45814</v>
      </c>
      <c r="B28" s="32" t="s">
        <v>4806</v>
      </c>
      <c r="C28" s="32" t="s">
        <v>4807</v>
      </c>
      <c r="D28" s="18" t="s">
        <v>17</v>
      </c>
      <c r="E28" s="18" t="s">
        <v>4808</v>
      </c>
      <c r="F28" s="18"/>
      <c r="G28" s="63" t="s">
        <v>4809</v>
      </c>
      <c r="H28" s="350">
        <v>3800</v>
      </c>
      <c r="I28" s="353">
        <v>-380</v>
      </c>
      <c r="J28" s="350">
        <f t="shared" si="17"/>
        <v>3420</v>
      </c>
      <c r="K28" s="18">
        <v>1</v>
      </c>
      <c r="L28" s="350">
        <f t="shared" si="18"/>
        <v>3420</v>
      </c>
      <c r="M28" s="356">
        <f t="shared" si="19"/>
        <v>3762</v>
      </c>
      <c r="N28" s="18" t="s">
        <v>4810</v>
      </c>
      <c r="O28" s="439"/>
      <c r="R28" s="18" t="s">
        <v>4811</v>
      </c>
      <c r="S28" s="37"/>
      <c r="T28" s="354"/>
      <c r="U28" s="355"/>
      <c r="V28" s="355"/>
      <c r="W28" s="355"/>
      <c r="Y28" s="37"/>
      <c r="Z28" s="37"/>
      <c r="AA28" s="37"/>
    </row>
    <row r="29" spans="1:29" s="67" customFormat="1" ht="21.75" customHeight="1" x14ac:dyDescent="0.4">
      <c r="A29" s="258">
        <v>45814</v>
      </c>
      <c r="B29" s="18" t="s">
        <v>4805</v>
      </c>
      <c r="C29" s="18" t="s">
        <v>405</v>
      </c>
      <c r="D29" s="18" t="s">
        <v>22</v>
      </c>
      <c r="E29" s="18" t="s">
        <v>1496</v>
      </c>
      <c r="F29" s="18"/>
      <c r="G29" s="63" t="s">
        <v>49</v>
      </c>
      <c r="H29" s="350">
        <v>3000</v>
      </c>
      <c r="I29" s="353"/>
      <c r="J29" s="350">
        <f t="shared" ref="J29" si="20">SUM(H29:I29)</f>
        <v>3000</v>
      </c>
      <c r="K29" s="18">
        <v>1</v>
      </c>
      <c r="L29" s="350">
        <f t="shared" ref="L29" si="21">SUM(J29*K29)</f>
        <v>3000</v>
      </c>
      <c r="M29" s="357">
        <f t="shared" ref="M29" si="22">ROUNDDOWN(L29*1.1,0)</f>
        <v>3300</v>
      </c>
      <c r="N29" s="18" t="s">
        <v>4233</v>
      </c>
      <c r="O29" s="439"/>
      <c r="P29" s="18"/>
      <c r="Q29" s="18"/>
      <c r="R29" s="18" t="s">
        <v>4803</v>
      </c>
      <c r="V29" s="37"/>
      <c r="W29" s="354"/>
      <c r="X29" s="355"/>
      <c r="Y29" s="355"/>
      <c r="Z29" s="355"/>
      <c r="AA29" s="355"/>
      <c r="AB29" s="37"/>
      <c r="AC29" s="37"/>
    </row>
    <row r="30" spans="1:29" s="67" customFormat="1" ht="21.75" customHeight="1" x14ac:dyDescent="0.4">
      <c r="A30" s="258">
        <v>45814</v>
      </c>
      <c r="B30" s="32" t="s">
        <v>4812</v>
      </c>
      <c r="C30" s="32" t="s">
        <v>2557</v>
      </c>
      <c r="D30" s="18" t="s">
        <v>17</v>
      </c>
      <c r="E30" s="18" t="s">
        <v>1106</v>
      </c>
      <c r="F30" s="18"/>
      <c r="G30" s="63" t="s">
        <v>4809</v>
      </c>
      <c r="H30" s="350">
        <v>3800</v>
      </c>
      <c r="I30" s="353">
        <v>-380</v>
      </c>
      <c r="J30" s="350">
        <f t="shared" si="17"/>
        <v>3420</v>
      </c>
      <c r="K30" s="18">
        <v>1</v>
      </c>
      <c r="L30" s="350">
        <f t="shared" si="18"/>
        <v>3420</v>
      </c>
      <c r="M30" s="356">
        <f t="shared" si="19"/>
        <v>3762</v>
      </c>
      <c r="N30" s="18" t="s">
        <v>4813</v>
      </c>
      <c r="O30" s="439"/>
      <c r="P30" s="18"/>
      <c r="Q30" s="18"/>
      <c r="R30" s="18" t="s">
        <v>4814</v>
      </c>
      <c r="V30" s="37"/>
      <c r="W30" s="354"/>
      <c r="X30" s="355"/>
      <c r="Y30" s="355"/>
      <c r="Z30" s="355"/>
      <c r="AA30" s="355"/>
      <c r="AB30" s="37"/>
      <c r="AC30" s="37"/>
    </row>
    <row r="31" spans="1:29" s="67" customFormat="1" ht="21.75" customHeight="1" x14ac:dyDescent="0.4">
      <c r="A31" s="258">
        <v>45814</v>
      </c>
      <c r="B31" s="32" t="s">
        <v>4820</v>
      </c>
      <c r="C31" s="32" t="s">
        <v>4815</v>
      </c>
      <c r="D31" s="18" t="s">
        <v>4816</v>
      </c>
      <c r="E31" s="18" t="s">
        <v>332</v>
      </c>
      <c r="F31" s="18" t="s">
        <v>4817</v>
      </c>
      <c r="G31" s="63" t="s">
        <v>4818</v>
      </c>
      <c r="H31" s="350">
        <v>1800</v>
      </c>
      <c r="I31" s="353">
        <v>-180</v>
      </c>
      <c r="J31" s="350">
        <f t="shared" si="17"/>
        <v>1620</v>
      </c>
      <c r="K31" s="18">
        <v>1</v>
      </c>
      <c r="L31" s="350">
        <f t="shared" si="18"/>
        <v>1620</v>
      </c>
      <c r="M31" s="356">
        <f t="shared" si="19"/>
        <v>1782</v>
      </c>
      <c r="N31" s="18" t="s">
        <v>650</v>
      </c>
      <c r="O31" s="439"/>
      <c r="P31" s="18"/>
      <c r="Q31" s="18"/>
      <c r="R31" s="18" t="s">
        <v>4819</v>
      </c>
      <c r="V31" s="37"/>
      <c r="W31" s="354"/>
      <c r="X31" s="355"/>
      <c r="Y31" s="355"/>
      <c r="Z31" s="355"/>
      <c r="AA31" s="355"/>
      <c r="AB31" s="37"/>
      <c r="AC31" s="37"/>
    </row>
    <row r="32" spans="1:29" s="67" customFormat="1" ht="21.75" customHeight="1" x14ac:dyDescent="0.4">
      <c r="A32" s="258">
        <v>45814</v>
      </c>
      <c r="B32" s="32" t="s">
        <v>1541</v>
      </c>
      <c r="C32" s="32" t="s">
        <v>2557</v>
      </c>
      <c r="D32" s="18" t="s">
        <v>17</v>
      </c>
      <c r="E32" s="18" t="s">
        <v>1106</v>
      </c>
      <c r="F32" s="18"/>
      <c r="G32" s="63" t="s">
        <v>4809</v>
      </c>
      <c r="H32" s="350">
        <v>3800</v>
      </c>
      <c r="I32" s="353">
        <v>-380</v>
      </c>
      <c r="J32" s="350">
        <f t="shared" ref="J32:J33" si="23">SUM(H32:I32)</f>
        <v>3420</v>
      </c>
      <c r="K32" s="18">
        <v>1</v>
      </c>
      <c r="L32" s="350">
        <f t="shared" ref="L32:L33" si="24">SUM(J32*K32)</f>
        <v>3420</v>
      </c>
      <c r="M32" s="356">
        <f t="shared" ref="M32:M33" si="25">ROUNDDOWN(L32*1.1,0)</f>
        <v>3762</v>
      </c>
      <c r="N32" s="18" t="s">
        <v>1516</v>
      </c>
      <c r="O32" s="439"/>
      <c r="P32" s="18"/>
      <c r="Q32" s="18" t="s">
        <v>4854</v>
      </c>
      <c r="R32" s="18" t="s">
        <v>2595</v>
      </c>
      <c r="V32" s="37"/>
      <c r="W32" s="354"/>
      <c r="X32" s="355"/>
      <c r="Y32" s="355"/>
      <c r="Z32" s="355"/>
      <c r="AA32" s="355"/>
      <c r="AB32" s="37"/>
      <c r="AC32" s="37"/>
    </row>
    <row r="33" spans="1:29" s="67" customFormat="1" ht="21.75" customHeight="1" x14ac:dyDescent="0.4">
      <c r="A33" s="258">
        <v>45814</v>
      </c>
      <c r="B33" s="32" t="s">
        <v>4836</v>
      </c>
      <c r="C33" s="32" t="s">
        <v>4837</v>
      </c>
      <c r="D33" s="18" t="s">
        <v>17</v>
      </c>
      <c r="E33" s="18" t="s">
        <v>332</v>
      </c>
      <c r="F33" s="18" t="s">
        <v>3555</v>
      </c>
      <c r="G33" s="63" t="s">
        <v>4838</v>
      </c>
      <c r="H33" s="350">
        <v>1300</v>
      </c>
      <c r="I33" s="353">
        <v>-130</v>
      </c>
      <c r="J33" s="350">
        <f t="shared" si="23"/>
        <v>1170</v>
      </c>
      <c r="K33" s="18">
        <v>1</v>
      </c>
      <c r="L33" s="350">
        <f t="shared" si="24"/>
        <v>1170</v>
      </c>
      <c r="M33" s="357">
        <f t="shared" si="25"/>
        <v>1287</v>
      </c>
      <c r="N33" s="18" t="s">
        <v>1516</v>
      </c>
      <c r="O33" s="439"/>
      <c r="P33" s="18"/>
      <c r="Q33" s="18" t="s">
        <v>4854</v>
      </c>
      <c r="R33" s="18" t="s">
        <v>4835</v>
      </c>
      <c r="V33" s="37"/>
      <c r="W33" s="354"/>
      <c r="X33" s="355"/>
      <c r="Y33" s="355"/>
      <c r="Z33" s="355"/>
      <c r="AA33" s="355"/>
      <c r="AB33" s="37"/>
      <c r="AC33" s="37"/>
    </row>
    <row r="34" spans="1:29" s="67" customFormat="1" ht="21.75" customHeight="1" x14ac:dyDescent="0.4">
      <c r="A34" s="258">
        <v>45815</v>
      </c>
      <c r="B34" s="32" t="s">
        <v>4825</v>
      </c>
      <c r="C34" s="18" t="s">
        <v>405</v>
      </c>
      <c r="D34" s="18" t="s">
        <v>22</v>
      </c>
      <c r="E34" s="350" t="s">
        <v>23</v>
      </c>
      <c r="F34" s="351"/>
      <c r="G34" s="422" t="s">
        <v>264</v>
      </c>
      <c r="H34" s="350">
        <v>15000</v>
      </c>
      <c r="I34" s="353">
        <v>-5000</v>
      </c>
      <c r="J34" s="350">
        <f t="shared" si="17"/>
        <v>10000</v>
      </c>
      <c r="K34" s="18">
        <v>1</v>
      </c>
      <c r="L34" s="350">
        <f t="shared" si="18"/>
        <v>10000</v>
      </c>
      <c r="M34" s="356">
        <f t="shared" si="19"/>
        <v>11000</v>
      </c>
      <c r="N34" s="18" t="s">
        <v>1516</v>
      </c>
      <c r="O34" s="439"/>
      <c r="P34" s="18" t="s">
        <v>4840</v>
      </c>
      <c r="Q34" s="18" t="s">
        <v>4844</v>
      </c>
      <c r="R34" s="18" t="s">
        <v>4798</v>
      </c>
      <c r="V34" s="37"/>
      <c r="W34" s="354"/>
      <c r="X34" s="355"/>
      <c r="Y34" s="355"/>
      <c r="Z34" s="355"/>
      <c r="AA34" s="355"/>
      <c r="AB34" s="37"/>
      <c r="AC34" s="37"/>
    </row>
    <row r="35" spans="1:29" s="67" customFormat="1" ht="21.75" customHeight="1" x14ac:dyDescent="0.4">
      <c r="A35" s="258">
        <v>45815</v>
      </c>
      <c r="B35" s="32" t="s">
        <v>4825</v>
      </c>
      <c r="C35" s="18" t="s">
        <v>405</v>
      </c>
      <c r="D35" s="18" t="s">
        <v>4826</v>
      </c>
      <c r="E35" s="18" t="s">
        <v>4827</v>
      </c>
      <c r="F35" s="18" t="s">
        <v>4829</v>
      </c>
      <c r="G35" s="63" t="s">
        <v>4830</v>
      </c>
      <c r="H35" s="350">
        <v>63000</v>
      </c>
      <c r="I35" s="353">
        <v>-9450</v>
      </c>
      <c r="J35" s="350">
        <f t="shared" si="17"/>
        <v>53550</v>
      </c>
      <c r="K35" s="18">
        <v>1</v>
      </c>
      <c r="L35" s="350">
        <f t="shared" si="18"/>
        <v>53550</v>
      </c>
      <c r="M35" s="356">
        <f t="shared" si="19"/>
        <v>58905</v>
      </c>
      <c r="N35" s="18" t="s">
        <v>1516</v>
      </c>
      <c r="O35" s="439"/>
      <c r="P35" s="18" t="s">
        <v>4840</v>
      </c>
      <c r="Q35" s="18" t="s">
        <v>4854</v>
      </c>
      <c r="R35" s="18" t="s">
        <v>2595</v>
      </c>
      <c r="V35" s="37"/>
      <c r="W35" s="354"/>
      <c r="X35" s="355"/>
      <c r="Y35" s="355"/>
      <c r="Z35" s="355"/>
      <c r="AA35" s="355"/>
      <c r="AB35" s="37"/>
      <c r="AC35" s="37"/>
    </row>
    <row r="36" spans="1:29" s="364" customFormat="1" ht="21.75" customHeight="1" x14ac:dyDescent="0.4">
      <c r="A36" s="258">
        <v>45815</v>
      </c>
      <c r="B36" s="32" t="s">
        <v>4825</v>
      </c>
      <c r="C36" s="18" t="s">
        <v>405</v>
      </c>
      <c r="D36" s="18" t="s">
        <v>4826</v>
      </c>
      <c r="E36" s="18" t="s">
        <v>4828</v>
      </c>
      <c r="F36" s="258" t="s">
        <v>661</v>
      </c>
      <c r="G36" s="63"/>
      <c r="H36" s="350">
        <v>5000</v>
      </c>
      <c r="I36" s="353"/>
      <c r="J36" s="350">
        <f t="shared" si="17"/>
        <v>5000</v>
      </c>
      <c r="K36" s="18">
        <v>1</v>
      </c>
      <c r="L36" s="350">
        <f t="shared" si="18"/>
        <v>5000</v>
      </c>
      <c r="M36" s="356">
        <f t="shared" si="19"/>
        <v>5500</v>
      </c>
      <c r="N36" s="18" t="s">
        <v>1516</v>
      </c>
      <c r="O36" s="439"/>
      <c r="P36" s="18" t="s">
        <v>4840</v>
      </c>
      <c r="Q36" s="18" t="s">
        <v>4854</v>
      </c>
      <c r="R36" s="18" t="s">
        <v>2595</v>
      </c>
      <c r="V36" s="365"/>
      <c r="W36" s="366"/>
      <c r="X36" s="367"/>
      <c r="Y36" s="367"/>
      <c r="Z36" s="367"/>
      <c r="AA36" s="367"/>
      <c r="AB36" s="365"/>
      <c r="AC36" s="365"/>
    </row>
    <row r="37" spans="1:29" s="364" customFormat="1" ht="21.75" customHeight="1" x14ac:dyDescent="0.4">
      <c r="A37" s="258">
        <v>45815</v>
      </c>
      <c r="B37" s="241" t="s">
        <v>4831</v>
      </c>
      <c r="C37" s="241" t="s">
        <v>4832</v>
      </c>
      <c r="D37" s="242" t="s">
        <v>4826</v>
      </c>
      <c r="E37" s="18" t="s">
        <v>426</v>
      </c>
      <c r="F37" s="18" t="s">
        <v>994</v>
      </c>
      <c r="G37" s="63" t="s">
        <v>3805</v>
      </c>
      <c r="H37" s="363">
        <v>1800</v>
      </c>
      <c r="I37" s="368">
        <v>-180</v>
      </c>
      <c r="J37" s="363">
        <f t="shared" si="17"/>
        <v>1620</v>
      </c>
      <c r="K37" s="242">
        <v>1</v>
      </c>
      <c r="L37" s="363">
        <f t="shared" si="18"/>
        <v>1620</v>
      </c>
      <c r="M37" s="369">
        <f t="shared" si="19"/>
        <v>1782</v>
      </c>
      <c r="N37" s="18" t="s">
        <v>1516</v>
      </c>
      <c r="O37" s="441"/>
      <c r="P37" s="242"/>
      <c r="Q37" s="18" t="s">
        <v>4854</v>
      </c>
      <c r="R37" s="18" t="s">
        <v>2595</v>
      </c>
      <c r="V37" s="365"/>
      <c r="W37" s="366"/>
      <c r="X37" s="367"/>
      <c r="Y37" s="367"/>
      <c r="Z37" s="367"/>
      <c r="AA37" s="367"/>
      <c r="AB37" s="365"/>
      <c r="AC37" s="365"/>
    </row>
    <row r="38" spans="1:29" s="67" customFormat="1" ht="21.75" customHeight="1" x14ac:dyDescent="0.4">
      <c r="A38" s="258">
        <v>45815</v>
      </c>
      <c r="B38" s="241" t="s">
        <v>4833</v>
      </c>
      <c r="C38" s="241" t="s">
        <v>4832</v>
      </c>
      <c r="D38" s="18" t="s">
        <v>17</v>
      </c>
      <c r="E38" s="18" t="s">
        <v>332</v>
      </c>
      <c r="F38" s="18" t="s">
        <v>3553</v>
      </c>
      <c r="G38" s="63" t="s">
        <v>3831</v>
      </c>
      <c r="H38" s="363">
        <v>1600</v>
      </c>
      <c r="I38" s="368">
        <v>-160</v>
      </c>
      <c r="J38" s="363">
        <f t="shared" si="17"/>
        <v>1440</v>
      </c>
      <c r="K38" s="242">
        <v>1</v>
      </c>
      <c r="L38" s="363">
        <f t="shared" si="18"/>
        <v>1440</v>
      </c>
      <c r="M38" s="369">
        <f t="shared" si="19"/>
        <v>1584</v>
      </c>
      <c r="N38" s="18" t="s">
        <v>1516</v>
      </c>
      <c r="O38" s="441"/>
      <c r="P38" s="242"/>
      <c r="Q38" s="242" t="s">
        <v>4844</v>
      </c>
      <c r="R38" s="18" t="s">
        <v>4798</v>
      </c>
      <c r="V38" s="37"/>
      <c r="W38" s="354"/>
      <c r="X38" s="355"/>
      <c r="Y38" s="355"/>
      <c r="Z38" s="355"/>
      <c r="AA38" s="355"/>
      <c r="AB38" s="37"/>
      <c r="AC38" s="37"/>
    </row>
    <row r="39" spans="1:29" s="67" customFormat="1" ht="21.75" customHeight="1" x14ac:dyDescent="0.4">
      <c r="A39" s="258">
        <v>45816</v>
      </c>
      <c r="B39" s="32" t="s">
        <v>2950</v>
      </c>
      <c r="C39" s="32" t="s">
        <v>2557</v>
      </c>
      <c r="D39" s="18" t="s">
        <v>27</v>
      </c>
      <c r="E39" s="18" t="s">
        <v>28</v>
      </c>
      <c r="F39" s="18"/>
      <c r="G39" s="63" t="s">
        <v>3663</v>
      </c>
      <c r="H39" s="350">
        <v>17500</v>
      </c>
      <c r="I39" s="353"/>
      <c r="J39" s="350">
        <f t="shared" ref="J39" si="26">SUM(H39:I39)</f>
        <v>17500</v>
      </c>
      <c r="K39" s="18">
        <v>1</v>
      </c>
      <c r="L39" s="350">
        <f t="shared" si="18"/>
        <v>17500</v>
      </c>
      <c r="M39" s="356">
        <f t="shared" si="19"/>
        <v>19250</v>
      </c>
      <c r="N39" s="18" t="s">
        <v>25</v>
      </c>
      <c r="O39" s="439" t="s">
        <v>4801</v>
      </c>
      <c r="P39" s="18"/>
      <c r="Q39" s="18" t="s">
        <v>4852</v>
      </c>
      <c r="R39" s="18" t="s">
        <v>4834</v>
      </c>
      <c r="V39" s="37"/>
      <c r="W39" s="354"/>
      <c r="X39" s="355"/>
      <c r="Y39" s="355"/>
      <c r="Z39" s="355"/>
      <c r="AA39" s="355"/>
      <c r="AB39" s="37"/>
      <c r="AC39" s="37"/>
    </row>
    <row r="40" spans="1:29" s="67" customFormat="1" ht="21.75" customHeight="1" x14ac:dyDescent="0.4">
      <c r="A40" s="258">
        <v>45817</v>
      </c>
      <c r="B40" s="32" t="s">
        <v>4648</v>
      </c>
      <c r="C40" s="32" t="s">
        <v>2557</v>
      </c>
      <c r="D40" s="18" t="s">
        <v>27</v>
      </c>
      <c r="E40" s="18" t="s">
        <v>28</v>
      </c>
      <c r="F40" s="18"/>
      <c r="G40" s="63" t="s">
        <v>3663</v>
      </c>
      <c r="H40" s="350">
        <v>17500</v>
      </c>
      <c r="I40" s="353"/>
      <c r="J40" s="350">
        <f t="shared" ref="J40" si="27">SUM(H40:I40)</f>
        <v>17500</v>
      </c>
      <c r="K40" s="18">
        <v>1</v>
      </c>
      <c r="L40" s="350">
        <f t="shared" ref="L40" si="28">SUM(J40*K40)</f>
        <v>17500</v>
      </c>
      <c r="M40" s="356">
        <f t="shared" ref="M40" si="29">ROUNDDOWN(L40*1.1,0)</f>
        <v>19250</v>
      </c>
      <c r="N40" s="196" t="s">
        <v>20</v>
      </c>
      <c r="O40" s="439" t="s">
        <v>4802</v>
      </c>
      <c r="P40" s="18"/>
      <c r="Q40" s="18" t="s">
        <v>4854</v>
      </c>
      <c r="R40" s="18" t="s">
        <v>2595</v>
      </c>
      <c r="V40" s="37"/>
      <c r="W40" s="354"/>
      <c r="X40" s="355"/>
      <c r="Y40" s="355"/>
      <c r="Z40" s="355"/>
      <c r="AA40" s="355"/>
      <c r="AB40" s="37"/>
      <c r="AC40" s="37"/>
    </row>
    <row r="41" spans="1:29" s="67" customFormat="1" ht="21.75" customHeight="1" x14ac:dyDescent="0.4">
      <c r="A41" s="258">
        <v>45819</v>
      </c>
      <c r="B41" s="32" t="s">
        <v>4849</v>
      </c>
      <c r="C41" s="32" t="s">
        <v>4842</v>
      </c>
      <c r="D41" s="18" t="s">
        <v>27</v>
      </c>
      <c r="E41" s="18" t="s">
        <v>28</v>
      </c>
      <c r="F41" s="18"/>
      <c r="G41" s="63" t="s">
        <v>73</v>
      </c>
      <c r="H41" s="363">
        <v>2000</v>
      </c>
      <c r="I41" s="353"/>
      <c r="J41" s="350">
        <f t="shared" ref="J41" si="30">SUM(H41:I41)</f>
        <v>2000</v>
      </c>
      <c r="K41" s="18">
        <v>3</v>
      </c>
      <c r="L41" s="350">
        <f t="shared" si="18"/>
        <v>6000</v>
      </c>
      <c r="M41" s="356">
        <f t="shared" si="19"/>
        <v>6600</v>
      </c>
      <c r="N41" s="18" t="s">
        <v>25</v>
      </c>
      <c r="O41" s="439" t="s">
        <v>4843</v>
      </c>
      <c r="P41" s="18"/>
      <c r="Q41" s="18" t="s">
        <v>4844</v>
      </c>
      <c r="R41" s="18" t="s">
        <v>4852</v>
      </c>
      <c r="V41" s="37"/>
      <c r="W41" s="354"/>
      <c r="X41" s="355"/>
      <c r="Y41" s="355"/>
      <c r="Z41" s="355"/>
      <c r="AA41" s="355"/>
      <c r="AB41" s="37"/>
      <c r="AC41" s="37"/>
    </row>
    <row r="42" spans="1:29" s="67" customFormat="1" ht="21.75" customHeight="1" x14ac:dyDescent="0.4">
      <c r="A42" s="258">
        <v>45819</v>
      </c>
      <c r="B42" s="32" t="s">
        <v>4845</v>
      </c>
      <c r="C42" s="32" t="s">
        <v>4846</v>
      </c>
      <c r="D42" s="18" t="s">
        <v>4847</v>
      </c>
      <c r="E42" s="18"/>
      <c r="F42" s="18" t="s">
        <v>1051</v>
      </c>
      <c r="G42" s="63" t="s">
        <v>4848</v>
      </c>
      <c r="H42" s="350">
        <v>92250</v>
      </c>
      <c r="I42" s="353"/>
      <c r="J42" s="350">
        <f t="shared" si="17"/>
        <v>92250</v>
      </c>
      <c r="K42" s="18">
        <v>1</v>
      </c>
      <c r="L42" s="350">
        <f t="shared" si="18"/>
        <v>92250</v>
      </c>
      <c r="M42" s="357">
        <f t="shared" si="19"/>
        <v>101475</v>
      </c>
      <c r="N42" s="18" t="s">
        <v>34</v>
      </c>
      <c r="O42" s="439"/>
      <c r="P42" s="18"/>
      <c r="Q42" s="18" t="s">
        <v>4853</v>
      </c>
      <c r="R42" s="18"/>
      <c r="V42" s="37"/>
      <c r="W42" s="354"/>
      <c r="X42" s="355"/>
      <c r="Y42" s="355"/>
      <c r="Z42" s="355"/>
      <c r="AA42" s="355"/>
      <c r="AB42" s="37"/>
      <c r="AC42" s="37"/>
    </row>
    <row r="43" spans="1:29" s="67" customFormat="1" ht="21.75" customHeight="1" x14ac:dyDescent="0.4">
      <c r="A43" s="258">
        <v>45819</v>
      </c>
      <c r="B43" s="32" t="s">
        <v>4860</v>
      </c>
      <c r="C43" s="32" t="s">
        <v>4292</v>
      </c>
      <c r="D43" s="18" t="s">
        <v>17</v>
      </c>
      <c r="E43" s="18" t="s">
        <v>328</v>
      </c>
      <c r="F43" s="18" t="s">
        <v>3599</v>
      </c>
      <c r="G43" s="63" t="s">
        <v>4861</v>
      </c>
      <c r="H43" s="350">
        <v>72000</v>
      </c>
      <c r="I43" s="353">
        <v>-39600</v>
      </c>
      <c r="J43" s="350">
        <f t="shared" si="17"/>
        <v>32400</v>
      </c>
      <c r="K43" s="18">
        <v>1</v>
      </c>
      <c r="L43" s="350">
        <f t="shared" si="18"/>
        <v>32400</v>
      </c>
      <c r="M43" s="357">
        <f t="shared" si="19"/>
        <v>35640</v>
      </c>
      <c r="N43" s="18" t="s">
        <v>34</v>
      </c>
      <c r="O43" s="439"/>
      <c r="P43" s="18"/>
      <c r="Q43" s="18" t="s">
        <v>4853</v>
      </c>
      <c r="R43" s="18"/>
      <c r="V43" s="37"/>
      <c r="W43" s="354"/>
      <c r="X43" s="355"/>
      <c r="Y43" s="355"/>
      <c r="Z43" s="355"/>
      <c r="AA43" s="355"/>
      <c r="AB43" s="37"/>
      <c r="AC43" s="37"/>
    </row>
    <row r="44" spans="1:29" s="67" customFormat="1" ht="21.75" customHeight="1" x14ac:dyDescent="0.4">
      <c r="A44" s="258">
        <v>45819</v>
      </c>
      <c r="B44" s="32" t="s">
        <v>4860</v>
      </c>
      <c r="C44" s="32" t="s">
        <v>4292</v>
      </c>
      <c r="D44" s="18" t="s">
        <v>17</v>
      </c>
      <c r="E44" s="18" t="s">
        <v>292</v>
      </c>
      <c r="F44" s="18" t="s">
        <v>3642</v>
      </c>
      <c r="G44" s="63" t="s">
        <v>684</v>
      </c>
      <c r="H44" s="350">
        <v>5800</v>
      </c>
      <c r="I44" s="353">
        <v>-2600</v>
      </c>
      <c r="J44" s="350">
        <f t="shared" si="17"/>
        <v>3200</v>
      </c>
      <c r="K44" s="18">
        <v>3</v>
      </c>
      <c r="L44" s="350">
        <f t="shared" si="18"/>
        <v>9600</v>
      </c>
      <c r="M44" s="357">
        <f t="shared" si="19"/>
        <v>10560</v>
      </c>
      <c r="N44" s="18" t="s">
        <v>34</v>
      </c>
      <c r="O44" s="439"/>
      <c r="P44" s="18"/>
      <c r="Q44" s="18" t="s">
        <v>4853</v>
      </c>
      <c r="R44" s="18"/>
      <c r="V44" s="37"/>
      <c r="W44" s="354"/>
      <c r="X44" s="355"/>
      <c r="Y44" s="355"/>
      <c r="Z44" s="355"/>
      <c r="AA44" s="355"/>
      <c r="AB44" s="37"/>
      <c r="AC44" s="37"/>
    </row>
    <row r="45" spans="1:29" s="67" customFormat="1" ht="21.75" customHeight="1" x14ac:dyDescent="0.4">
      <c r="A45" s="258">
        <v>45819</v>
      </c>
      <c r="B45" s="32" t="s">
        <v>4860</v>
      </c>
      <c r="C45" s="32" t="s">
        <v>4292</v>
      </c>
      <c r="D45" s="18" t="s">
        <v>17</v>
      </c>
      <c r="E45" s="18" t="s">
        <v>426</v>
      </c>
      <c r="F45" s="18" t="s">
        <v>994</v>
      </c>
      <c r="G45" s="131" t="s">
        <v>4991</v>
      </c>
      <c r="H45" s="350">
        <v>1800</v>
      </c>
      <c r="I45" s="353">
        <v>-720</v>
      </c>
      <c r="J45" s="350">
        <f t="shared" si="17"/>
        <v>1080</v>
      </c>
      <c r="K45" s="18">
        <v>1</v>
      </c>
      <c r="L45" s="350">
        <f t="shared" si="18"/>
        <v>1080</v>
      </c>
      <c r="M45" s="357">
        <f t="shared" si="19"/>
        <v>1188</v>
      </c>
      <c r="N45" s="18" t="s">
        <v>34</v>
      </c>
      <c r="O45" s="439"/>
      <c r="P45" s="18"/>
      <c r="Q45" s="18" t="s">
        <v>4853</v>
      </c>
      <c r="R45" s="18"/>
      <c r="V45" s="37"/>
      <c r="W45" s="354"/>
      <c r="X45" s="355"/>
      <c r="Y45" s="355"/>
      <c r="Z45" s="355"/>
      <c r="AA45" s="355"/>
      <c r="AB45" s="37"/>
      <c r="AC45" s="37"/>
    </row>
    <row r="46" spans="1:29" s="67" customFormat="1" ht="21.75" customHeight="1" x14ac:dyDescent="0.4">
      <c r="A46" s="258">
        <v>45819</v>
      </c>
      <c r="B46" s="18" t="s">
        <v>4841</v>
      </c>
      <c r="C46" s="18" t="s">
        <v>405</v>
      </c>
      <c r="D46" s="18" t="s">
        <v>22</v>
      </c>
      <c r="E46" s="18" t="s">
        <v>1496</v>
      </c>
      <c r="F46" s="18"/>
      <c r="G46" s="63" t="s">
        <v>49</v>
      </c>
      <c r="H46" s="350">
        <v>3000</v>
      </c>
      <c r="I46" s="353"/>
      <c r="J46" s="350">
        <f>SUM(H46:I46)</f>
        <v>3000</v>
      </c>
      <c r="K46" s="18">
        <v>1</v>
      </c>
      <c r="L46" s="350">
        <f>SUM(J46*K46)</f>
        <v>3000</v>
      </c>
      <c r="M46" s="357">
        <f>ROUNDDOWN(L46*1.1,0)</f>
        <v>3300</v>
      </c>
      <c r="N46" s="18" t="s">
        <v>4233</v>
      </c>
      <c r="O46" s="439"/>
      <c r="P46" s="18" t="s">
        <v>4844</v>
      </c>
      <c r="Q46" s="18" t="s">
        <v>4852</v>
      </c>
      <c r="R46" s="18" t="s">
        <v>4803</v>
      </c>
      <c r="V46" s="37"/>
      <c r="W46" s="354"/>
      <c r="X46" s="355"/>
      <c r="Y46" s="355"/>
      <c r="Z46" s="355"/>
      <c r="AA46" s="355"/>
      <c r="AB46" s="37"/>
      <c r="AC46" s="37"/>
    </row>
    <row r="47" spans="1:29" s="67" customFormat="1" ht="21.75" customHeight="1" x14ac:dyDescent="0.4">
      <c r="A47" s="258">
        <v>45820</v>
      </c>
      <c r="B47" s="18" t="s">
        <v>4841</v>
      </c>
      <c r="C47" s="32" t="s">
        <v>2557</v>
      </c>
      <c r="D47" s="18" t="s">
        <v>27</v>
      </c>
      <c r="E47" s="18" t="s">
        <v>28</v>
      </c>
      <c r="F47" s="18"/>
      <c r="G47" s="63" t="s">
        <v>318</v>
      </c>
      <c r="H47" s="350">
        <v>15000</v>
      </c>
      <c r="I47" s="353"/>
      <c r="J47" s="350">
        <f t="shared" si="17"/>
        <v>15000</v>
      </c>
      <c r="K47" s="18">
        <v>1</v>
      </c>
      <c r="L47" s="350">
        <f t="shared" si="18"/>
        <v>15000</v>
      </c>
      <c r="M47" s="356">
        <f t="shared" si="19"/>
        <v>16500</v>
      </c>
      <c r="N47" s="18" t="s">
        <v>25</v>
      </c>
      <c r="O47" s="439"/>
      <c r="P47" s="18"/>
      <c r="Q47" s="18" t="s">
        <v>4852</v>
      </c>
      <c r="R47" s="18" t="s">
        <v>4803</v>
      </c>
      <c r="V47" s="37"/>
      <c r="W47" s="354"/>
      <c r="X47" s="355"/>
      <c r="Y47" s="355"/>
      <c r="Z47" s="355"/>
      <c r="AA47" s="355"/>
      <c r="AB47" s="37"/>
      <c r="AC47" s="37"/>
    </row>
    <row r="48" spans="1:29" s="67" customFormat="1" ht="21.75" customHeight="1" x14ac:dyDescent="0.4">
      <c r="A48" s="258">
        <v>45820</v>
      </c>
      <c r="B48" s="18" t="s">
        <v>4841</v>
      </c>
      <c r="C48" s="32" t="s">
        <v>2557</v>
      </c>
      <c r="D48" s="18" t="s">
        <v>27</v>
      </c>
      <c r="E48" s="18" t="s">
        <v>28</v>
      </c>
      <c r="F48" s="18"/>
      <c r="G48" s="63" t="s">
        <v>3976</v>
      </c>
      <c r="H48" s="350">
        <v>8750</v>
      </c>
      <c r="I48" s="353"/>
      <c r="J48" s="350">
        <f t="shared" si="17"/>
        <v>8750</v>
      </c>
      <c r="K48" s="18">
        <v>1</v>
      </c>
      <c r="L48" s="350">
        <f t="shared" si="18"/>
        <v>8750</v>
      </c>
      <c r="M48" s="356">
        <f t="shared" si="19"/>
        <v>9625</v>
      </c>
      <c r="N48" s="18" t="s">
        <v>25</v>
      </c>
      <c r="O48" s="439" t="s">
        <v>4801</v>
      </c>
      <c r="P48" s="18"/>
      <c r="Q48" s="18" t="s">
        <v>4852</v>
      </c>
      <c r="R48" s="18" t="s">
        <v>4803</v>
      </c>
      <c r="V48" s="37"/>
      <c r="W48" s="354"/>
      <c r="X48" s="355"/>
      <c r="Y48" s="355"/>
      <c r="Z48" s="355"/>
      <c r="AA48" s="355"/>
      <c r="AB48" s="37"/>
      <c r="AC48" s="37"/>
    </row>
    <row r="49" spans="1:29" s="67" customFormat="1" ht="21.75" customHeight="1" x14ac:dyDescent="0.4">
      <c r="A49" s="258">
        <v>45820</v>
      </c>
      <c r="B49" s="18" t="s">
        <v>4841</v>
      </c>
      <c r="C49" s="32" t="s">
        <v>2557</v>
      </c>
      <c r="D49" s="18" t="s">
        <v>27</v>
      </c>
      <c r="E49" s="18" t="s">
        <v>28</v>
      </c>
      <c r="F49" s="18"/>
      <c r="G49" s="63" t="s">
        <v>3663</v>
      </c>
      <c r="H49" s="350">
        <v>17500</v>
      </c>
      <c r="I49" s="353"/>
      <c r="J49" s="350">
        <f t="shared" si="17"/>
        <v>17500</v>
      </c>
      <c r="K49" s="18">
        <v>1</v>
      </c>
      <c r="L49" s="350">
        <f t="shared" si="18"/>
        <v>17500</v>
      </c>
      <c r="M49" s="356">
        <f t="shared" si="19"/>
        <v>19250</v>
      </c>
      <c r="N49" s="18" t="s">
        <v>25</v>
      </c>
      <c r="O49" s="439" t="s">
        <v>4802</v>
      </c>
      <c r="P49" s="18"/>
      <c r="Q49" s="18" t="s">
        <v>4852</v>
      </c>
      <c r="R49" s="18" t="s">
        <v>4803</v>
      </c>
      <c r="V49" s="37"/>
      <c r="W49" s="354"/>
      <c r="X49" s="355"/>
      <c r="Y49" s="355"/>
      <c r="Z49" s="355"/>
      <c r="AA49" s="355"/>
      <c r="AB49" s="37"/>
      <c r="AC49" s="37"/>
    </row>
    <row r="50" spans="1:29" s="67" customFormat="1" ht="21.75" customHeight="1" x14ac:dyDescent="0.4">
      <c r="A50" s="258">
        <v>45820</v>
      </c>
      <c r="B50" s="32" t="s">
        <v>4850</v>
      </c>
      <c r="C50" s="18" t="s">
        <v>405</v>
      </c>
      <c r="D50" s="18" t="s">
        <v>22</v>
      </c>
      <c r="E50" s="350" t="s">
        <v>23</v>
      </c>
      <c r="F50" s="351"/>
      <c r="G50" s="422" t="s">
        <v>264</v>
      </c>
      <c r="H50" s="350">
        <v>15000</v>
      </c>
      <c r="I50" s="353"/>
      <c r="J50" s="350">
        <f t="shared" si="17"/>
        <v>15000</v>
      </c>
      <c r="K50" s="18">
        <v>1</v>
      </c>
      <c r="L50" s="350">
        <f t="shared" si="18"/>
        <v>15000</v>
      </c>
      <c r="M50" s="356">
        <f t="shared" si="19"/>
        <v>16500</v>
      </c>
      <c r="N50" s="18" t="s">
        <v>25</v>
      </c>
      <c r="O50" s="439"/>
      <c r="P50" s="18"/>
      <c r="Q50" s="18" t="s">
        <v>4852</v>
      </c>
      <c r="R50" s="18" t="s">
        <v>4803</v>
      </c>
      <c r="V50" s="37"/>
      <c r="W50" s="354"/>
      <c r="X50" s="355"/>
      <c r="Y50" s="355"/>
      <c r="Z50" s="355"/>
      <c r="AA50" s="355"/>
      <c r="AB50" s="37"/>
      <c r="AC50" s="37"/>
    </row>
    <row r="51" spans="1:29" s="67" customFormat="1" ht="21.75" customHeight="1" x14ac:dyDescent="0.4">
      <c r="A51" s="258">
        <v>45821</v>
      </c>
      <c r="B51" s="32" t="s">
        <v>4858</v>
      </c>
      <c r="C51" s="32" t="s">
        <v>4292</v>
      </c>
      <c r="D51" s="18" t="s">
        <v>4855</v>
      </c>
      <c r="E51" s="18" t="s">
        <v>845</v>
      </c>
      <c r="F51" s="18"/>
      <c r="G51" s="63" t="s">
        <v>4551</v>
      </c>
      <c r="H51" s="350">
        <v>1000</v>
      </c>
      <c r="I51" s="353">
        <v>-400</v>
      </c>
      <c r="J51" s="350">
        <f t="shared" si="17"/>
        <v>600</v>
      </c>
      <c r="K51" s="18">
        <v>1</v>
      </c>
      <c r="L51" s="350">
        <f t="shared" si="18"/>
        <v>600</v>
      </c>
      <c r="M51" s="356">
        <f t="shared" si="19"/>
        <v>660</v>
      </c>
      <c r="N51" s="18" t="s">
        <v>25</v>
      </c>
      <c r="O51" s="439"/>
      <c r="P51" s="18"/>
      <c r="Q51" s="18"/>
      <c r="R51" s="18"/>
      <c r="V51" s="37"/>
      <c r="W51" s="354"/>
      <c r="X51" s="355"/>
      <c r="Y51" s="355"/>
      <c r="Z51" s="355"/>
      <c r="AA51" s="355"/>
      <c r="AB51" s="37"/>
      <c r="AC51" s="37"/>
    </row>
    <row r="52" spans="1:29" s="67" customFormat="1" ht="21.75" customHeight="1" x14ac:dyDescent="0.4">
      <c r="A52" s="258">
        <v>45821</v>
      </c>
      <c r="B52" s="32" t="s">
        <v>4858</v>
      </c>
      <c r="C52" s="32" t="s">
        <v>4292</v>
      </c>
      <c r="D52" s="18" t="s">
        <v>4855</v>
      </c>
      <c r="E52" s="18" t="s">
        <v>4859</v>
      </c>
      <c r="F52" s="242" t="s">
        <v>4857</v>
      </c>
      <c r="G52" s="251" t="s">
        <v>4856</v>
      </c>
      <c r="H52" s="350">
        <v>7500</v>
      </c>
      <c r="I52" s="353">
        <v>-3000</v>
      </c>
      <c r="J52" s="350">
        <f t="shared" si="17"/>
        <v>4500</v>
      </c>
      <c r="K52" s="18">
        <v>1</v>
      </c>
      <c r="L52" s="350">
        <f t="shared" si="18"/>
        <v>4500</v>
      </c>
      <c r="M52" s="356">
        <f t="shared" si="19"/>
        <v>4950</v>
      </c>
      <c r="N52" s="18" t="s">
        <v>25</v>
      </c>
      <c r="O52" s="439"/>
      <c r="P52" s="18"/>
      <c r="Q52" s="18"/>
      <c r="R52" s="18"/>
      <c r="V52" s="37"/>
      <c r="W52" s="354"/>
      <c r="X52" s="355"/>
      <c r="Y52" s="355"/>
      <c r="Z52" s="355"/>
      <c r="AA52" s="355"/>
      <c r="AB52" s="37"/>
      <c r="AC52" s="37"/>
    </row>
    <row r="53" spans="1:29" s="67" customFormat="1" ht="21.75" customHeight="1" x14ac:dyDescent="0.4">
      <c r="A53" s="258">
        <v>45821</v>
      </c>
      <c r="B53" s="32" t="s">
        <v>4864</v>
      </c>
      <c r="C53" s="18" t="s">
        <v>405</v>
      </c>
      <c r="D53" s="18" t="s">
        <v>22</v>
      </c>
      <c r="E53" s="18" t="s">
        <v>4862</v>
      </c>
      <c r="F53" s="18"/>
      <c r="G53" s="63" t="s">
        <v>264</v>
      </c>
      <c r="H53" s="350">
        <v>15000</v>
      </c>
      <c r="I53" s="353"/>
      <c r="J53" s="350">
        <f t="shared" si="17"/>
        <v>15000</v>
      </c>
      <c r="K53" s="18">
        <v>1</v>
      </c>
      <c r="L53" s="350">
        <f t="shared" si="18"/>
        <v>15000</v>
      </c>
      <c r="M53" s="356">
        <f t="shared" si="19"/>
        <v>16500</v>
      </c>
      <c r="N53" s="18" t="s">
        <v>4863</v>
      </c>
      <c r="O53" s="439"/>
      <c r="P53" s="18"/>
      <c r="Q53" s="18"/>
      <c r="R53" s="18"/>
      <c r="V53" s="37"/>
      <c r="W53" s="354"/>
      <c r="X53" s="355"/>
      <c r="Y53" s="355"/>
      <c r="Z53" s="355"/>
      <c r="AA53" s="355"/>
      <c r="AB53" s="37"/>
      <c r="AC53" s="37"/>
    </row>
    <row r="54" spans="1:29" s="67" customFormat="1" ht="21.75" customHeight="1" x14ac:dyDescent="0.4">
      <c r="A54" s="258">
        <v>45821</v>
      </c>
      <c r="B54" s="32" t="s">
        <v>4865</v>
      </c>
      <c r="C54" s="32" t="s">
        <v>4866</v>
      </c>
      <c r="D54" s="18" t="s">
        <v>4867</v>
      </c>
      <c r="E54" s="18" t="s">
        <v>4868</v>
      </c>
      <c r="F54" s="18"/>
      <c r="G54" s="63" t="s">
        <v>4869</v>
      </c>
      <c r="H54" s="350">
        <v>2000</v>
      </c>
      <c r="I54" s="353"/>
      <c r="J54" s="350">
        <f t="shared" si="17"/>
        <v>2000</v>
      </c>
      <c r="K54" s="18">
        <v>1</v>
      </c>
      <c r="L54" s="350">
        <f t="shared" si="18"/>
        <v>2000</v>
      </c>
      <c r="M54" s="357">
        <f t="shared" si="19"/>
        <v>2200</v>
      </c>
      <c r="N54" s="18" t="s">
        <v>4870</v>
      </c>
      <c r="O54" s="439"/>
      <c r="P54" s="18" t="s">
        <v>4871</v>
      </c>
      <c r="Q54" s="18"/>
      <c r="R54" s="18" t="s">
        <v>4871</v>
      </c>
      <c r="V54" s="37"/>
      <c r="W54" s="354"/>
      <c r="X54" s="355"/>
      <c r="Y54" s="355"/>
      <c r="Z54" s="355"/>
      <c r="AA54" s="355"/>
      <c r="AB54" s="37"/>
      <c r="AC54" s="37"/>
    </row>
    <row r="55" spans="1:29" s="67" customFormat="1" ht="21.75" customHeight="1" x14ac:dyDescent="0.4">
      <c r="A55" s="258">
        <v>45822</v>
      </c>
      <c r="B55" s="32" t="s">
        <v>4865</v>
      </c>
      <c r="C55" s="32" t="s">
        <v>2557</v>
      </c>
      <c r="D55" s="18" t="s">
        <v>22</v>
      </c>
      <c r="E55" s="18" t="s">
        <v>1496</v>
      </c>
      <c r="F55" s="18"/>
      <c r="G55" s="63" t="s">
        <v>4869</v>
      </c>
      <c r="H55" s="350">
        <v>2000</v>
      </c>
      <c r="I55" s="353"/>
      <c r="J55" s="350">
        <f t="shared" si="17"/>
        <v>2000</v>
      </c>
      <c r="K55" s="18">
        <v>2</v>
      </c>
      <c r="L55" s="350">
        <f t="shared" si="18"/>
        <v>4000</v>
      </c>
      <c r="M55" s="356">
        <f t="shared" si="19"/>
        <v>4400</v>
      </c>
      <c r="N55" s="18" t="s">
        <v>4870</v>
      </c>
      <c r="O55" s="439"/>
      <c r="P55" s="18" t="s">
        <v>4873</v>
      </c>
      <c r="Q55" s="18"/>
      <c r="R55" s="18" t="s">
        <v>4874</v>
      </c>
      <c r="V55" s="37"/>
      <c r="W55" s="354"/>
      <c r="X55" s="355"/>
      <c r="Y55" s="355"/>
      <c r="Z55" s="355"/>
      <c r="AA55" s="355"/>
      <c r="AB55" s="37"/>
      <c r="AC55" s="37"/>
    </row>
    <row r="56" spans="1:29" s="67" customFormat="1" ht="21.75" customHeight="1" x14ac:dyDescent="0.4">
      <c r="A56" s="258">
        <v>45822</v>
      </c>
      <c r="B56" s="32" t="s">
        <v>4872</v>
      </c>
      <c r="C56" s="18" t="s">
        <v>405</v>
      </c>
      <c r="D56" s="18" t="s">
        <v>22</v>
      </c>
      <c r="E56" s="18" t="s">
        <v>1496</v>
      </c>
      <c r="F56" s="18"/>
      <c r="G56" s="63" t="s">
        <v>2422</v>
      </c>
      <c r="H56" s="350">
        <v>2000</v>
      </c>
      <c r="I56" s="353"/>
      <c r="J56" s="350">
        <f t="shared" si="17"/>
        <v>2000</v>
      </c>
      <c r="K56" s="18">
        <v>1</v>
      </c>
      <c r="L56" s="350">
        <f t="shared" si="18"/>
        <v>2000</v>
      </c>
      <c r="M56" s="356">
        <f t="shared" si="19"/>
        <v>2200</v>
      </c>
      <c r="N56" s="18" t="s">
        <v>25</v>
      </c>
      <c r="O56" s="439"/>
      <c r="P56" s="18"/>
      <c r="Q56" s="18"/>
      <c r="R56" s="18"/>
      <c r="V56" s="37"/>
      <c r="W56" s="354"/>
      <c r="X56" s="355"/>
      <c r="Y56" s="355"/>
      <c r="Z56" s="355"/>
      <c r="AA56" s="355"/>
      <c r="AB56" s="37"/>
      <c r="AC56" s="37"/>
    </row>
    <row r="57" spans="1:29" s="67" customFormat="1" ht="21.75" customHeight="1" x14ac:dyDescent="0.4">
      <c r="A57" s="258">
        <v>45822</v>
      </c>
      <c r="B57" s="32" t="s">
        <v>4790</v>
      </c>
      <c r="C57" s="18" t="s">
        <v>405</v>
      </c>
      <c r="D57" s="18" t="s">
        <v>17</v>
      </c>
      <c r="E57" s="18" t="s">
        <v>332</v>
      </c>
      <c r="F57" s="18" t="s">
        <v>3553</v>
      </c>
      <c r="G57" s="63" t="s">
        <v>4356</v>
      </c>
      <c r="H57" s="350">
        <v>3500</v>
      </c>
      <c r="I57" s="353"/>
      <c r="J57" s="350">
        <f t="shared" si="17"/>
        <v>3500</v>
      </c>
      <c r="K57" s="18">
        <v>1</v>
      </c>
      <c r="L57" s="350">
        <f t="shared" si="18"/>
        <v>3500</v>
      </c>
      <c r="M57" s="356">
        <f t="shared" si="19"/>
        <v>3850</v>
      </c>
      <c r="N57" s="18" t="s">
        <v>650</v>
      </c>
      <c r="O57" s="439"/>
      <c r="P57" s="18"/>
      <c r="Q57" s="18"/>
      <c r="R57" s="18"/>
      <c r="V57" s="37"/>
      <c r="W57" s="354"/>
      <c r="X57" s="355"/>
      <c r="Y57" s="355"/>
      <c r="Z57" s="355"/>
      <c r="AA57" s="355"/>
      <c r="AB57" s="37"/>
      <c r="AC57" s="37"/>
    </row>
    <row r="58" spans="1:29" s="67" customFormat="1" ht="21.75" customHeight="1" x14ac:dyDescent="0.4">
      <c r="A58" s="258">
        <v>45822</v>
      </c>
      <c r="B58" s="32" t="s">
        <v>4790</v>
      </c>
      <c r="C58" s="18" t="s">
        <v>405</v>
      </c>
      <c r="D58" s="18" t="s">
        <v>17</v>
      </c>
      <c r="E58" s="18" t="s">
        <v>845</v>
      </c>
      <c r="F58" s="18"/>
      <c r="G58" s="63" t="s">
        <v>4875</v>
      </c>
      <c r="H58" s="350">
        <v>1000</v>
      </c>
      <c r="I58" s="353"/>
      <c r="J58" s="350">
        <f t="shared" ref="J58:J59" si="31">SUM(H58:I58)</f>
        <v>1000</v>
      </c>
      <c r="K58" s="18">
        <v>1</v>
      </c>
      <c r="L58" s="350">
        <f t="shared" ref="L58:L59" si="32">SUM(J58*K58)</f>
        <v>1000</v>
      </c>
      <c r="M58" s="356">
        <f t="shared" ref="M58:M59" si="33">ROUNDDOWN(L58*1.1,0)</f>
        <v>1100</v>
      </c>
      <c r="N58" s="18" t="s">
        <v>650</v>
      </c>
      <c r="O58" s="439"/>
      <c r="P58" s="18"/>
      <c r="Q58" s="18"/>
      <c r="R58" s="18"/>
      <c r="V58" s="37"/>
      <c r="W58" s="354"/>
      <c r="X58" s="355"/>
      <c r="Y58" s="355"/>
      <c r="Z58" s="355"/>
      <c r="AA58" s="355"/>
      <c r="AB58" s="37"/>
      <c r="AC58" s="37"/>
    </row>
    <row r="59" spans="1:29" s="67" customFormat="1" ht="21.75" customHeight="1" x14ac:dyDescent="0.4">
      <c r="A59" s="258">
        <v>45822</v>
      </c>
      <c r="B59" s="32" t="s">
        <v>4923</v>
      </c>
      <c r="C59" s="18" t="s">
        <v>4292</v>
      </c>
      <c r="D59" s="18" t="s">
        <v>4924</v>
      </c>
      <c r="E59" s="18" t="s">
        <v>332</v>
      </c>
      <c r="F59" s="18" t="s">
        <v>3553</v>
      </c>
      <c r="G59" s="464" t="s">
        <v>6416</v>
      </c>
      <c r="H59" s="350">
        <v>1800</v>
      </c>
      <c r="I59" s="353">
        <v>-900</v>
      </c>
      <c r="J59" s="350">
        <f t="shared" si="31"/>
        <v>900</v>
      </c>
      <c r="K59" s="18">
        <v>2</v>
      </c>
      <c r="L59" s="350">
        <f t="shared" si="32"/>
        <v>1800</v>
      </c>
      <c r="M59" s="356">
        <f t="shared" si="33"/>
        <v>1980</v>
      </c>
      <c r="N59" s="18" t="s">
        <v>25</v>
      </c>
      <c r="O59" s="439"/>
      <c r="P59" s="18"/>
      <c r="Q59" s="18" t="s">
        <v>4925</v>
      </c>
      <c r="R59" s="18"/>
      <c r="V59" s="37"/>
      <c r="W59" s="354"/>
      <c r="X59" s="355"/>
      <c r="Y59" s="355"/>
      <c r="Z59" s="355"/>
      <c r="AA59" s="355"/>
      <c r="AB59" s="37"/>
      <c r="AC59" s="37"/>
    </row>
    <row r="60" spans="1:29" s="67" customFormat="1" ht="21.75" customHeight="1" x14ac:dyDescent="0.4">
      <c r="A60" s="258">
        <v>45822</v>
      </c>
      <c r="B60" s="32" t="s">
        <v>4876</v>
      </c>
      <c r="C60" s="67" t="s">
        <v>2557</v>
      </c>
      <c r="D60" s="18" t="s">
        <v>4878</v>
      </c>
      <c r="E60" s="18" t="s">
        <v>328</v>
      </c>
      <c r="F60" s="18" t="s">
        <v>788</v>
      </c>
      <c r="G60" s="63" t="s">
        <v>4879</v>
      </c>
      <c r="H60" s="350">
        <v>15000</v>
      </c>
      <c r="I60" s="353">
        <v>-3000</v>
      </c>
      <c r="J60" s="350">
        <f t="shared" si="17"/>
        <v>12000</v>
      </c>
      <c r="K60" s="18">
        <v>6</v>
      </c>
      <c r="L60" s="350">
        <f t="shared" si="18"/>
        <v>72000</v>
      </c>
      <c r="M60" s="356">
        <f t="shared" si="19"/>
        <v>79200</v>
      </c>
      <c r="N60" s="18" t="s">
        <v>34</v>
      </c>
      <c r="O60" s="439"/>
      <c r="P60" s="18" t="s">
        <v>5115</v>
      </c>
      <c r="Q60" s="18" t="s">
        <v>4798</v>
      </c>
      <c r="R60" s="18"/>
      <c r="V60" s="37"/>
      <c r="W60" s="354"/>
      <c r="X60" s="355"/>
      <c r="Y60" s="355"/>
      <c r="Z60" s="355"/>
      <c r="AA60" s="355"/>
      <c r="AB60" s="37"/>
      <c r="AC60" s="37"/>
    </row>
    <row r="61" spans="1:29" s="67" customFormat="1" ht="21.75" customHeight="1" x14ac:dyDescent="0.4">
      <c r="A61" s="258">
        <v>45822</v>
      </c>
      <c r="B61" s="32" t="s">
        <v>4876</v>
      </c>
      <c r="C61" s="32" t="s">
        <v>4877</v>
      </c>
      <c r="D61" s="18" t="s">
        <v>4878</v>
      </c>
      <c r="E61" s="18" t="s">
        <v>332</v>
      </c>
      <c r="F61" s="18" t="s">
        <v>3555</v>
      </c>
      <c r="G61" s="63" t="s">
        <v>4880</v>
      </c>
      <c r="H61" s="350">
        <v>1900</v>
      </c>
      <c r="I61" s="353">
        <v>-190</v>
      </c>
      <c r="J61" s="350">
        <f t="shared" si="17"/>
        <v>1710</v>
      </c>
      <c r="K61" s="18">
        <v>6</v>
      </c>
      <c r="L61" s="350">
        <f t="shared" si="18"/>
        <v>10260</v>
      </c>
      <c r="M61" s="356">
        <f t="shared" si="19"/>
        <v>11286</v>
      </c>
      <c r="N61" s="18" t="s">
        <v>34</v>
      </c>
      <c r="O61" s="439"/>
      <c r="P61" s="18" t="s">
        <v>5115</v>
      </c>
      <c r="Q61" s="18" t="s">
        <v>4798</v>
      </c>
      <c r="R61" s="18"/>
      <c r="V61" s="37"/>
      <c r="W61" s="354"/>
      <c r="X61" s="355"/>
      <c r="Y61" s="355"/>
      <c r="Z61" s="355"/>
      <c r="AA61" s="355"/>
      <c r="AB61" s="37"/>
      <c r="AC61" s="37"/>
    </row>
    <row r="62" spans="1:29" s="67" customFormat="1" ht="21.75" customHeight="1" x14ac:dyDescent="0.4">
      <c r="A62" s="258">
        <v>45823</v>
      </c>
      <c r="B62" s="32" t="s">
        <v>4881</v>
      </c>
      <c r="C62" s="32" t="s">
        <v>4882</v>
      </c>
      <c r="D62" s="18" t="s">
        <v>17</v>
      </c>
      <c r="E62" s="18" t="s">
        <v>328</v>
      </c>
      <c r="F62" s="18" t="s">
        <v>3599</v>
      </c>
      <c r="G62" s="63" t="s">
        <v>4883</v>
      </c>
      <c r="H62" s="350">
        <v>52000</v>
      </c>
      <c r="I62" s="353">
        <v>-15600</v>
      </c>
      <c r="J62" s="350">
        <f t="shared" ref="J62" si="34">SUM(H62:I62)</f>
        <v>36400</v>
      </c>
      <c r="K62" s="18">
        <v>1</v>
      </c>
      <c r="L62" s="350">
        <f t="shared" ref="L62" si="35">SUM(J62*K62)</f>
        <v>36400</v>
      </c>
      <c r="M62" s="356">
        <f t="shared" ref="M62" si="36">ROUNDDOWN(L62*1.1,0)</f>
        <v>40040</v>
      </c>
      <c r="N62" s="18" t="s">
        <v>1121</v>
      </c>
      <c r="O62" s="439"/>
      <c r="P62" s="18" t="s">
        <v>5115</v>
      </c>
      <c r="Q62" s="18"/>
      <c r="R62" s="18"/>
      <c r="V62" s="37"/>
      <c r="W62" s="354"/>
      <c r="X62" s="355"/>
      <c r="Y62" s="355"/>
      <c r="Z62" s="355"/>
      <c r="AA62" s="355"/>
      <c r="AB62" s="37"/>
      <c r="AC62" s="37"/>
    </row>
    <row r="63" spans="1:29" s="67" customFormat="1" ht="21.75" customHeight="1" x14ac:dyDescent="0.4">
      <c r="A63" s="258">
        <v>45823</v>
      </c>
      <c r="B63" s="32" t="s">
        <v>4881</v>
      </c>
      <c r="C63" s="32" t="s">
        <v>4882</v>
      </c>
      <c r="D63" s="18" t="s">
        <v>17</v>
      </c>
      <c r="E63" s="18" t="s">
        <v>332</v>
      </c>
      <c r="F63" s="18" t="s">
        <v>3550</v>
      </c>
      <c r="G63" s="63" t="s">
        <v>4884</v>
      </c>
      <c r="H63" s="350">
        <v>1800</v>
      </c>
      <c r="I63" s="353">
        <v>0</v>
      </c>
      <c r="J63" s="350">
        <f t="shared" ref="J63" si="37">SUM(H63:I63)</f>
        <v>1800</v>
      </c>
      <c r="K63" s="18">
        <v>1</v>
      </c>
      <c r="L63" s="350">
        <f t="shared" ref="L63" si="38">SUM(J63*K63)</f>
        <v>1800</v>
      </c>
      <c r="M63" s="356">
        <f t="shared" ref="M63" si="39">ROUNDDOWN(L63*1.1,0)</f>
        <v>1980</v>
      </c>
      <c r="N63" s="18" t="s">
        <v>1121</v>
      </c>
      <c r="O63" s="439"/>
      <c r="P63" s="18" t="s">
        <v>5115</v>
      </c>
      <c r="Q63" s="18"/>
      <c r="R63" s="18" t="s">
        <v>4798</v>
      </c>
      <c r="V63" s="37"/>
      <c r="W63" s="354"/>
      <c r="X63" s="355"/>
      <c r="Y63" s="355"/>
      <c r="Z63" s="355"/>
      <c r="AA63" s="355"/>
      <c r="AB63" s="37"/>
      <c r="AC63" s="37"/>
    </row>
    <row r="64" spans="1:29" s="67" customFormat="1" ht="21.75" customHeight="1" x14ac:dyDescent="0.4">
      <c r="A64" s="258">
        <v>45824</v>
      </c>
      <c r="B64" s="32" t="s">
        <v>4885</v>
      </c>
      <c r="C64" s="32" t="s">
        <v>4886</v>
      </c>
      <c r="D64" s="18" t="s">
        <v>27</v>
      </c>
      <c r="E64" s="18" t="s">
        <v>28</v>
      </c>
      <c r="F64" s="18"/>
      <c r="G64" s="63" t="s">
        <v>3663</v>
      </c>
      <c r="H64" s="350">
        <v>17500</v>
      </c>
      <c r="I64" s="353"/>
      <c r="J64" s="350">
        <f t="shared" si="17"/>
        <v>17500</v>
      </c>
      <c r="K64" s="18">
        <v>1</v>
      </c>
      <c r="L64" s="350">
        <f t="shared" si="18"/>
        <v>17500</v>
      </c>
      <c r="M64" s="356">
        <f t="shared" si="19"/>
        <v>19250</v>
      </c>
      <c r="N64" s="18" t="s">
        <v>25</v>
      </c>
      <c r="O64" s="439"/>
      <c r="P64" s="18"/>
      <c r="Q64" s="18"/>
      <c r="R64" s="18" t="s">
        <v>4798</v>
      </c>
      <c r="V64" s="37"/>
      <c r="W64" s="354"/>
      <c r="X64" s="355"/>
      <c r="Y64" s="355"/>
      <c r="Z64" s="355"/>
      <c r="AA64" s="355"/>
      <c r="AB64" s="37"/>
      <c r="AC64" s="37"/>
    </row>
    <row r="65" spans="1:29" s="67" customFormat="1" ht="21.75" customHeight="1" x14ac:dyDescent="0.4">
      <c r="A65" s="258">
        <v>45824</v>
      </c>
      <c r="B65" s="32" t="s">
        <v>4887</v>
      </c>
      <c r="C65" s="32" t="s">
        <v>4886</v>
      </c>
      <c r="D65" s="18" t="s">
        <v>27</v>
      </c>
      <c r="E65" s="18" t="s">
        <v>28</v>
      </c>
      <c r="F65" s="18"/>
      <c r="G65" s="63" t="s">
        <v>5298</v>
      </c>
      <c r="H65" s="350">
        <v>12250</v>
      </c>
      <c r="I65" s="353"/>
      <c r="J65" s="350">
        <f t="shared" si="17"/>
        <v>12250</v>
      </c>
      <c r="K65" s="18">
        <v>1</v>
      </c>
      <c r="L65" s="350">
        <f t="shared" si="18"/>
        <v>12250</v>
      </c>
      <c r="M65" s="356">
        <f t="shared" si="19"/>
        <v>13475</v>
      </c>
      <c r="N65" s="18" t="s">
        <v>25</v>
      </c>
      <c r="O65" s="439"/>
      <c r="P65" s="18"/>
      <c r="Q65" s="18"/>
      <c r="R65" s="18" t="s">
        <v>4798</v>
      </c>
      <c r="V65" s="37"/>
      <c r="W65" s="354"/>
      <c r="X65" s="355"/>
      <c r="Y65" s="355"/>
      <c r="Z65" s="355"/>
      <c r="AA65" s="355"/>
      <c r="AB65" s="37"/>
      <c r="AC65" s="37"/>
    </row>
    <row r="66" spans="1:29" s="67" customFormat="1" ht="21.75" customHeight="1" x14ac:dyDescent="0.4">
      <c r="A66" s="258">
        <v>45824</v>
      </c>
      <c r="B66" s="32" t="s">
        <v>4887</v>
      </c>
      <c r="C66" s="32" t="s">
        <v>4886</v>
      </c>
      <c r="D66" s="18" t="s">
        <v>27</v>
      </c>
      <c r="E66" s="18" t="s">
        <v>28</v>
      </c>
      <c r="F66" s="18"/>
      <c r="G66" s="63" t="s">
        <v>6491</v>
      </c>
      <c r="H66" s="350">
        <v>6125</v>
      </c>
      <c r="I66" s="353"/>
      <c r="J66" s="350">
        <f t="shared" si="17"/>
        <v>6125</v>
      </c>
      <c r="K66" s="18">
        <v>1</v>
      </c>
      <c r="L66" s="350">
        <f t="shared" si="18"/>
        <v>6125</v>
      </c>
      <c r="M66" s="356">
        <f t="shared" si="19"/>
        <v>6737</v>
      </c>
      <c r="N66" s="18" t="s">
        <v>25</v>
      </c>
      <c r="O66" s="439"/>
      <c r="P66" s="18"/>
      <c r="Q66" s="18"/>
      <c r="R66" s="18" t="s">
        <v>4798</v>
      </c>
      <c r="V66" s="37"/>
      <c r="W66" s="354"/>
      <c r="X66" s="355"/>
      <c r="Y66" s="355"/>
      <c r="Z66" s="355"/>
      <c r="AA66" s="355"/>
      <c r="AB66" s="37"/>
      <c r="AC66" s="37"/>
    </row>
    <row r="67" spans="1:29" s="67" customFormat="1" ht="21.75" customHeight="1" x14ac:dyDescent="0.4">
      <c r="A67" s="258">
        <v>45824</v>
      </c>
      <c r="B67" s="32" t="s">
        <v>4885</v>
      </c>
      <c r="C67" s="32" t="s">
        <v>4886</v>
      </c>
      <c r="D67" s="18" t="s">
        <v>27</v>
      </c>
      <c r="E67" s="18" t="s">
        <v>28</v>
      </c>
      <c r="F67" s="18"/>
      <c r="G67" s="63" t="s">
        <v>318</v>
      </c>
      <c r="H67" s="350">
        <v>15000</v>
      </c>
      <c r="I67" s="353"/>
      <c r="J67" s="350">
        <f t="shared" si="17"/>
        <v>15000</v>
      </c>
      <c r="K67" s="18">
        <v>1</v>
      </c>
      <c r="L67" s="350">
        <f t="shared" si="18"/>
        <v>15000</v>
      </c>
      <c r="M67" s="356">
        <f t="shared" si="19"/>
        <v>16500</v>
      </c>
      <c r="N67" s="18" t="s">
        <v>25</v>
      </c>
      <c r="O67" s="439"/>
      <c r="P67" s="18"/>
      <c r="Q67" s="18"/>
      <c r="R67" s="18" t="s">
        <v>4798</v>
      </c>
      <c r="V67" s="37"/>
      <c r="W67" s="354"/>
      <c r="X67" s="355"/>
      <c r="Y67" s="355"/>
      <c r="Z67" s="355"/>
      <c r="AA67" s="355"/>
      <c r="AB67" s="37"/>
      <c r="AC67" s="37"/>
    </row>
    <row r="68" spans="1:29" s="67" customFormat="1" ht="21.75" customHeight="1" x14ac:dyDescent="0.4">
      <c r="A68" s="258">
        <v>45824</v>
      </c>
      <c r="B68" s="32" t="s">
        <v>4887</v>
      </c>
      <c r="C68" s="32" t="s">
        <v>4886</v>
      </c>
      <c r="D68" s="18" t="s">
        <v>27</v>
      </c>
      <c r="E68" s="18" t="s">
        <v>28</v>
      </c>
      <c r="F68" s="18"/>
      <c r="G68" s="63" t="s">
        <v>318</v>
      </c>
      <c r="H68" s="350">
        <v>15000</v>
      </c>
      <c r="I68" s="353"/>
      <c r="J68" s="350">
        <f t="shared" si="17"/>
        <v>15000</v>
      </c>
      <c r="K68" s="18">
        <v>1</v>
      </c>
      <c r="L68" s="350">
        <f t="shared" si="18"/>
        <v>15000</v>
      </c>
      <c r="M68" s="356">
        <f t="shared" si="19"/>
        <v>16500</v>
      </c>
      <c r="N68" s="18" t="s">
        <v>25</v>
      </c>
      <c r="O68" s="439"/>
      <c r="P68" s="18"/>
      <c r="Q68" s="18"/>
      <c r="R68" s="18" t="s">
        <v>4798</v>
      </c>
      <c r="V68" s="37"/>
      <c r="W68" s="354"/>
      <c r="X68" s="355"/>
      <c r="Y68" s="355"/>
      <c r="Z68" s="355"/>
      <c r="AA68" s="355"/>
      <c r="AB68" s="37"/>
      <c r="AC68" s="37"/>
    </row>
    <row r="69" spans="1:29" s="67" customFormat="1" ht="21.75" customHeight="1" x14ac:dyDescent="0.4">
      <c r="A69" s="258">
        <v>45824</v>
      </c>
      <c r="B69" s="32" t="s">
        <v>4888</v>
      </c>
      <c r="C69" s="32" t="s">
        <v>4886</v>
      </c>
      <c r="D69" s="18" t="s">
        <v>27</v>
      </c>
      <c r="E69" s="18" t="s">
        <v>28</v>
      </c>
      <c r="F69" s="18"/>
      <c r="G69" s="63" t="s">
        <v>318</v>
      </c>
      <c r="H69" s="350">
        <v>15000</v>
      </c>
      <c r="I69" s="353"/>
      <c r="J69" s="350">
        <f t="shared" si="17"/>
        <v>15000</v>
      </c>
      <c r="K69" s="18">
        <v>1</v>
      </c>
      <c r="L69" s="350">
        <f t="shared" si="18"/>
        <v>15000</v>
      </c>
      <c r="M69" s="357">
        <f>ROUNDDOWN(L69*1.1,0)</f>
        <v>16500</v>
      </c>
      <c r="N69" s="18" t="s">
        <v>25</v>
      </c>
      <c r="O69" s="439" t="s">
        <v>4989</v>
      </c>
      <c r="P69" s="18"/>
      <c r="Q69" s="18"/>
      <c r="R69" s="18" t="s">
        <v>4798</v>
      </c>
      <c r="V69" s="37"/>
      <c r="W69" s="354"/>
      <c r="X69" s="355"/>
      <c r="Y69" s="355"/>
      <c r="Z69" s="355"/>
      <c r="AA69" s="355"/>
      <c r="AB69" s="37"/>
      <c r="AC69" s="37"/>
    </row>
    <row r="70" spans="1:29" s="67" customFormat="1" ht="21.75" customHeight="1" x14ac:dyDescent="0.4">
      <c r="A70" s="258">
        <v>45824</v>
      </c>
      <c r="B70" s="32" t="s">
        <v>4888</v>
      </c>
      <c r="C70" s="32" t="s">
        <v>4886</v>
      </c>
      <c r="D70" s="18" t="s">
        <v>27</v>
      </c>
      <c r="E70" s="18" t="s">
        <v>28</v>
      </c>
      <c r="F70" s="18"/>
      <c r="G70" s="63" t="s">
        <v>4889</v>
      </c>
      <c r="H70" s="350">
        <v>17500</v>
      </c>
      <c r="I70" s="353"/>
      <c r="J70" s="350">
        <f t="shared" si="17"/>
        <v>17500</v>
      </c>
      <c r="K70" s="18">
        <v>1</v>
      </c>
      <c r="L70" s="350">
        <f t="shared" si="18"/>
        <v>17500</v>
      </c>
      <c r="M70" s="356">
        <f t="shared" si="19"/>
        <v>19250</v>
      </c>
      <c r="N70" s="18" t="s">
        <v>25</v>
      </c>
      <c r="O70" s="439"/>
      <c r="P70" s="18"/>
      <c r="Q70" s="18"/>
      <c r="R70" s="18" t="s">
        <v>4798</v>
      </c>
      <c r="V70" s="37"/>
      <c r="W70" s="354"/>
      <c r="X70" s="355"/>
      <c r="Y70" s="355"/>
      <c r="Z70" s="355"/>
      <c r="AA70" s="355"/>
      <c r="AB70" s="37"/>
      <c r="AC70" s="37"/>
    </row>
    <row r="71" spans="1:29" s="67" customFormat="1" ht="21.75" customHeight="1" x14ac:dyDescent="0.4">
      <c r="A71" s="258">
        <v>45824</v>
      </c>
      <c r="B71" s="32" t="s">
        <v>4888</v>
      </c>
      <c r="C71" s="32" t="s">
        <v>2557</v>
      </c>
      <c r="D71" s="18" t="s">
        <v>27</v>
      </c>
      <c r="E71" s="18" t="s">
        <v>28</v>
      </c>
      <c r="F71" s="18"/>
      <c r="G71" s="63" t="s">
        <v>4890</v>
      </c>
      <c r="H71" s="350">
        <v>4375</v>
      </c>
      <c r="I71" s="353"/>
      <c r="J71" s="350">
        <f t="shared" si="17"/>
        <v>4375</v>
      </c>
      <c r="K71" s="18">
        <v>1</v>
      </c>
      <c r="L71" s="350">
        <f t="shared" si="18"/>
        <v>4375</v>
      </c>
      <c r="M71" s="356">
        <f t="shared" si="19"/>
        <v>4812</v>
      </c>
      <c r="N71" s="18" t="s">
        <v>25</v>
      </c>
      <c r="O71" s="439"/>
      <c r="P71" s="18"/>
      <c r="Q71" s="18"/>
      <c r="R71" s="18" t="s">
        <v>4798</v>
      </c>
      <c r="V71" s="37"/>
      <c r="W71" s="354"/>
      <c r="X71" s="355"/>
      <c r="Y71" s="355"/>
      <c r="Z71" s="355"/>
      <c r="AA71" s="355"/>
      <c r="AB71" s="37"/>
      <c r="AC71" s="37"/>
    </row>
    <row r="72" spans="1:29" s="67" customFormat="1" ht="21.75" customHeight="1" x14ac:dyDescent="0.4">
      <c r="A72" s="258">
        <v>45824</v>
      </c>
      <c r="B72" s="32" t="s">
        <v>2836</v>
      </c>
      <c r="C72" s="32" t="s">
        <v>4886</v>
      </c>
      <c r="D72" s="18" t="s">
        <v>17</v>
      </c>
      <c r="E72" s="18" t="s">
        <v>328</v>
      </c>
      <c r="F72" s="18" t="s">
        <v>788</v>
      </c>
      <c r="G72" s="63" t="s">
        <v>4891</v>
      </c>
      <c r="H72" s="350">
        <v>50000</v>
      </c>
      <c r="I72" s="353">
        <v>-15000</v>
      </c>
      <c r="J72" s="350">
        <f t="shared" si="17"/>
        <v>35000</v>
      </c>
      <c r="K72" s="18">
        <v>1</v>
      </c>
      <c r="L72" s="350">
        <f t="shared" si="18"/>
        <v>35000</v>
      </c>
      <c r="M72" s="356">
        <f t="shared" si="19"/>
        <v>38500</v>
      </c>
      <c r="N72" s="18" t="s">
        <v>1121</v>
      </c>
      <c r="O72" s="439"/>
      <c r="P72" s="18" t="s">
        <v>5115</v>
      </c>
      <c r="Q72" s="18"/>
      <c r="R72" s="18" t="s">
        <v>4798</v>
      </c>
      <c r="V72" s="37"/>
      <c r="W72" s="354"/>
      <c r="X72" s="355"/>
      <c r="Y72" s="355"/>
      <c r="Z72" s="355"/>
      <c r="AA72" s="355"/>
      <c r="AB72" s="37"/>
      <c r="AC72" s="37"/>
    </row>
    <row r="73" spans="1:29" s="67" customFormat="1" ht="21.75" customHeight="1" x14ac:dyDescent="0.4">
      <c r="A73" s="258">
        <v>45824</v>
      </c>
      <c r="B73" s="32" t="s">
        <v>2836</v>
      </c>
      <c r="C73" s="32" t="s">
        <v>4886</v>
      </c>
      <c r="D73" s="18" t="s">
        <v>17</v>
      </c>
      <c r="E73" s="18" t="s">
        <v>4892</v>
      </c>
      <c r="F73" s="18" t="s">
        <v>4893</v>
      </c>
      <c r="G73" s="63"/>
      <c r="H73" s="350">
        <v>3000</v>
      </c>
      <c r="I73" s="353"/>
      <c r="J73" s="350">
        <f t="shared" si="17"/>
        <v>3000</v>
      </c>
      <c r="K73" s="18">
        <v>1</v>
      </c>
      <c r="L73" s="350">
        <f t="shared" si="18"/>
        <v>3000</v>
      </c>
      <c r="M73" s="356">
        <f t="shared" si="19"/>
        <v>3300</v>
      </c>
      <c r="N73" s="18" t="s">
        <v>1121</v>
      </c>
      <c r="O73" s="439"/>
      <c r="P73" s="18" t="s">
        <v>5115</v>
      </c>
      <c r="Q73" s="18"/>
      <c r="R73" s="18" t="s">
        <v>4798</v>
      </c>
      <c r="V73" s="37"/>
      <c r="W73" s="354"/>
      <c r="X73" s="355"/>
      <c r="Y73" s="355"/>
      <c r="Z73" s="355"/>
      <c r="AA73" s="355"/>
      <c r="AB73" s="37"/>
      <c r="AC73" s="37"/>
    </row>
    <row r="74" spans="1:29" s="67" customFormat="1" ht="21.75" customHeight="1" x14ac:dyDescent="0.4">
      <c r="A74" s="258">
        <v>45824</v>
      </c>
      <c r="B74" s="32" t="s">
        <v>2836</v>
      </c>
      <c r="C74" s="32" t="s">
        <v>4886</v>
      </c>
      <c r="D74" s="18" t="s">
        <v>17</v>
      </c>
      <c r="E74" s="18" t="s">
        <v>332</v>
      </c>
      <c r="F74" s="18" t="s">
        <v>3555</v>
      </c>
      <c r="G74" s="63" t="s">
        <v>4894</v>
      </c>
      <c r="H74" s="350">
        <v>1700</v>
      </c>
      <c r="I74" s="353">
        <v>-170</v>
      </c>
      <c r="J74" s="350">
        <f t="shared" si="17"/>
        <v>1530</v>
      </c>
      <c r="K74" s="18">
        <v>1</v>
      </c>
      <c r="L74" s="350">
        <f t="shared" si="18"/>
        <v>1530</v>
      </c>
      <c r="M74" s="356">
        <f t="shared" si="19"/>
        <v>1683</v>
      </c>
      <c r="N74" s="18" t="s">
        <v>1121</v>
      </c>
      <c r="O74" s="439"/>
      <c r="P74" s="18" t="s">
        <v>5115</v>
      </c>
      <c r="Q74" s="18"/>
      <c r="R74" s="18" t="s">
        <v>4798</v>
      </c>
      <c r="V74" s="37"/>
      <c r="W74" s="354"/>
      <c r="X74" s="355"/>
      <c r="Y74" s="355"/>
      <c r="Z74" s="355"/>
      <c r="AA74" s="355"/>
      <c r="AB74" s="37"/>
      <c r="AC74" s="37"/>
    </row>
    <row r="75" spans="1:29" s="67" customFormat="1" ht="21.75" customHeight="1" x14ac:dyDescent="0.4">
      <c r="A75" s="258">
        <v>45824</v>
      </c>
      <c r="B75" s="32" t="s">
        <v>4865</v>
      </c>
      <c r="C75" s="32" t="s">
        <v>2557</v>
      </c>
      <c r="D75" s="18" t="s">
        <v>22</v>
      </c>
      <c r="E75" s="18" t="s">
        <v>1496</v>
      </c>
      <c r="F75" s="18"/>
      <c r="G75" s="63" t="s">
        <v>4869</v>
      </c>
      <c r="H75" s="350">
        <v>2000</v>
      </c>
      <c r="I75" s="353"/>
      <c r="J75" s="350">
        <f t="shared" si="17"/>
        <v>2000</v>
      </c>
      <c r="K75" s="18">
        <v>1</v>
      </c>
      <c r="L75" s="350">
        <f t="shared" si="18"/>
        <v>2000</v>
      </c>
      <c r="M75" s="356">
        <f t="shared" si="19"/>
        <v>2200</v>
      </c>
      <c r="N75" s="18" t="s">
        <v>650</v>
      </c>
      <c r="O75" s="439"/>
      <c r="P75" s="18" t="s">
        <v>4895</v>
      </c>
      <c r="Q75" s="18"/>
      <c r="R75" s="18" t="s">
        <v>4895</v>
      </c>
      <c r="V75" s="37"/>
      <c r="W75" s="354"/>
      <c r="X75" s="355"/>
      <c r="Y75" s="355"/>
      <c r="Z75" s="355"/>
      <c r="AA75" s="355"/>
      <c r="AB75" s="37"/>
      <c r="AC75" s="37"/>
    </row>
    <row r="76" spans="1:29" s="67" customFormat="1" ht="21.75" customHeight="1" x14ac:dyDescent="0.4">
      <c r="A76" s="258">
        <v>45826</v>
      </c>
      <c r="B76" s="32" t="s">
        <v>4897</v>
      </c>
      <c r="C76" s="32" t="s">
        <v>4896</v>
      </c>
      <c r="D76" s="18" t="s">
        <v>17</v>
      </c>
      <c r="E76" s="18" t="s">
        <v>576</v>
      </c>
      <c r="F76" s="18" t="s">
        <v>3997</v>
      </c>
      <c r="G76" s="63" t="s">
        <v>4028</v>
      </c>
      <c r="H76" s="350">
        <v>80000</v>
      </c>
      <c r="I76" s="353">
        <v>-8000</v>
      </c>
      <c r="J76" s="350">
        <f t="shared" si="17"/>
        <v>72000</v>
      </c>
      <c r="K76" s="18">
        <v>1</v>
      </c>
      <c r="L76" s="350">
        <f t="shared" si="18"/>
        <v>72000</v>
      </c>
      <c r="M76" s="356">
        <f t="shared" si="19"/>
        <v>79200</v>
      </c>
      <c r="N76" s="18" t="s">
        <v>4898</v>
      </c>
      <c r="O76" s="439"/>
      <c r="P76" s="18"/>
      <c r="Q76" s="18"/>
      <c r="R76" s="18"/>
      <c r="V76" s="37"/>
      <c r="W76" s="354"/>
      <c r="X76" s="355"/>
      <c r="Y76" s="355"/>
      <c r="Z76" s="355"/>
      <c r="AA76" s="355"/>
      <c r="AB76" s="37"/>
      <c r="AC76" s="37"/>
    </row>
    <row r="77" spans="1:29" s="67" customFormat="1" ht="21.75" customHeight="1" x14ac:dyDescent="0.4">
      <c r="A77" s="258">
        <v>45826</v>
      </c>
      <c r="B77" s="32" t="s">
        <v>4899</v>
      </c>
      <c r="C77" s="18" t="s">
        <v>405</v>
      </c>
      <c r="D77" s="18" t="s">
        <v>22</v>
      </c>
      <c r="E77" s="18" t="s">
        <v>1496</v>
      </c>
      <c r="F77" s="18"/>
      <c r="G77" s="63" t="s">
        <v>2422</v>
      </c>
      <c r="H77" s="350">
        <v>2000</v>
      </c>
      <c r="I77" s="353"/>
      <c r="J77" s="350">
        <f t="shared" si="17"/>
        <v>2000</v>
      </c>
      <c r="K77" s="18">
        <v>1</v>
      </c>
      <c r="L77" s="350">
        <f t="shared" si="18"/>
        <v>2000</v>
      </c>
      <c r="M77" s="356">
        <f t="shared" si="19"/>
        <v>2200</v>
      </c>
      <c r="N77" s="18" t="s">
        <v>20</v>
      </c>
      <c r="O77" s="439"/>
      <c r="P77" s="18"/>
      <c r="Q77" s="18"/>
      <c r="R77" s="18"/>
      <c r="V77" s="37"/>
      <c r="W77" s="354"/>
      <c r="X77" s="355"/>
      <c r="Y77" s="355"/>
      <c r="Z77" s="355"/>
      <c r="AA77" s="355"/>
      <c r="AB77" s="37"/>
      <c r="AC77" s="37"/>
    </row>
    <row r="78" spans="1:29" s="67" customFormat="1" ht="21.75" customHeight="1" x14ac:dyDescent="0.4">
      <c r="A78" s="258">
        <v>45827</v>
      </c>
      <c r="B78" s="32" t="s">
        <v>4900</v>
      </c>
      <c r="C78" s="18" t="s">
        <v>405</v>
      </c>
      <c r="D78" s="18" t="s">
        <v>22</v>
      </c>
      <c r="E78" s="18" t="s">
        <v>4901</v>
      </c>
      <c r="F78" s="18"/>
      <c r="G78" s="63" t="s">
        <v>264</v>
      </c>
      <c r="H78" s="350">
        <v>15000</v>
      </c>
      <c r="I78" s="353">
        <v>-5000</v>
      </c>
      <c r="J78" s="350">
        <f t="shared" si="17"/>
        <v>10000</v>
      </c>
      <c r="K78" s="18">
        <v>1</v>
      </c>
      <c r="L78" s="350">
        <f t="shared" si="18"/>
        <v>10000</v>
      </c>
      <c r="M78" s="356">
        <f t="shared" si="19"/>
        <v>11000</v>
      </c>
      <c r="N78" s="18" t="s">
        <v>1516</v>
      </c>
      <c r="O78" s="439"/>
      <c r="P78" s="18"/>
      <c r="Q78" s="18"/>
      <c r="R78" s="18"/>
      <c r="V78" s="37"/>
      <c r="W78" s="354"/>
      <c r="X78" s="355"/>
      <c r="Y78" s="355"/>
      <c r="Z78" s="355"/>
      <c r="AA78" s="355"/>
      <c r="AB78" s="37"/>
      <c r="AC78" s="37"/>
    </row>
    <row r="79" spans="1:29" s="67" customFormat="1" ht="21.75" customHeight="1" x14ac:dyDescent="0.4">
      <c r="A79" s="258">
        <v>45827</v>
      </c>
      <c r="B79" s="32" t="s">
        <v>4900</v>
      </c>
      <c r="C79" s="18" t="s">
        <v>405</v>
      </c>
      <c r="D79" s="18" t="s">
        <v>17</v>
      </c>
      <c r="E79" s="18" t="s">
        <v>328</v>
      </c>
      <c r="F79" s="18" t="s">
        <v>3941</v>
      </c>
      <c r="G79" s="63" t="s">
        <v>4956</v>
      </c>
      <c r="H79" s="350">
        <v>63000</v>
      </c>
      <c r="I79" s="353">
        <v>-9450</v>
      </c>
      <c r="J79" s="350">
        <f t="shared" ref="J79" si="40">SUM(H79:I79)</f>
        <v>53550</v>
      </c>
      <c r="K79" s="18">
        <v>1</v>
      </c>
      <c r="L79" s="350">
        <f t="shared" ref="L79" si="41">SUM(J79*K79)</f>
        <v>53550</v>
      </c>
      <c r="M79" s="357">
        <f t="shared" ref="M79" si="42">ROUNDDOWN(L79*1.1,0)</f>
        <v>58905</v>
      </c>
      <c r="N79" s="18" t="s">
        <v>1121</v>
      </c>
      <c r="O79" s="439"/>
      <c r="P79" s="18" t="s">
        <v>5115</v>
      </c>
      <c r="Q79" s="18"/>
      <c r="R79" s="18" t="s">
        <v>4955</v>
      </c>
      <c r="V79" s="37"/>
      <c r="W79" s="354"/>
      <c r="X79" s="355"/>
      <c r="Y79" s="355"/>
      <c r="Z79" s="355"/>
      <c r="AA79" s="355"/>
      <c r="AB79" s="37"/>
      <c r="AC79" s="37"/>
    </row>
    <row r="80" spans="1:29" s="67" customFormat="1" ht="21.75" customHeight="1" x14ac:dyDescent="0.4">
      <c r="A80" s="258">
        <v>45827</v>
      </c>
      <c r="B80" s="32" t="s">
        <v>4900</v>
      </c>
      <c r="C80" s="18" t="s">
        <v>405</v>
      </c>
      <c r="D80" s="18" t="s">
        <v>17</v>
      </c>
      <c r="E80" s="18" t="s">
        <v>330</v>
      </c>
      <c r="F80" s="18" t="s">
        <v>3543</v>
      </c>
      <c r="G80" s="63" t="s">
        <v>4957</v>
      </c>
      <c r="H80" s="350">
        <v>5000</v>
      </c>
      <c r="I80" s="353"/>
      <c r="J80" s="350">
        <f t="shared" si="17"/>
        <v>5000</v>
      </c>
      <c r="K80" s="18">
        <v>1</v>
      </c>
      <c r="L80" s="350">
        <f t="shared" si="18"/>
        <v>5000</v>
      </c>
      <c r="M80" s="357">
        <f t="shared" si="19"/>
        <v>5500</v>
      </c>
      <c r="N80" s="18" t="s">
        <v>1121</v>
      </c>
      <c r="O80" s="439"/>
      <c r="P80" s="18" t="s">
        <v>5115</v>
      </c>
      <c r="Q80" s="18"/>
      <c r="R80" s="18" t="s">
        <v>4955</v>
      </c>
      <c r="V80" s="37"/>
      <c r="W80" s="354"/>
      <c r="X80" s="355"/>
      <c r="Y80" s="355"/>
      <c r="Z80" s="355"/>
      <c r="AA80" s="355"/>
      <c r="AB80" s="37"/>
      <c r="AC80" s="37"/>
    </row>
    <row r="81" spans="1:29" s="364" customFormat="1" ht="21.75" customHeight="1" x14ac:dyDescent="0.4">
      <c r="A81" s="347">
        <v>45827</v>
      </c>
      <c r="B81" s="241" t="s">
        <v>5000</v>
      </c>
      <c r="C81" s="18" t="s">
        <v>405</v>
      </c>
      <c r="D81" s="242" t="s">
        <v>17</v>
      </c>
      <c r="E81" s="242" t="s">
        <v>32</v>
      </c>
      <c r="F81" s="242" t="s">
        <v>5001</v>
      </c>
      <c r="G81" s="251" t="s">
        <v>5002</v>
      </c>
      <c r="H81" s="363">
        <v>63000</v>
      </c>
      <c r="I81" s="368">
        <v>-12600</v>
      </c>
      <c r="J81" s="363">
        <f t="shared" ref="J81:J83" si="43">SUM(H81:I81)</f>
        <v>50400</v>
      </c>
      <c r="K81" s="242">
        <v>1</v>
      </c>
      <c r="L81" s="363">
        <f t="shared" ref="L81" si="44">SUM(J81*K81)</f>
        <v>50400</v>
      </c>
      <c r="M81" s="369">
        <v>64900</v>
      </c>
      <c r="N81" s="242" t="s">
        <v>1921</v>
      </c>
      <c r="O81" s="441" t="s">
        <v>5006</v>
      </c>
      <c r="P81" s="242" t="s">
        <v>5115</v>
      </c>
      <c r="Q81" s="242"/>
      <c r="R81" s="242"/>
      <c r="V81" s="365"/>
      <c r="W81" s="366"/>
      <c r="X81" s="367"/>
      <c r="Y81" s="367"/>
      <c r="Z81" s="367"/>
      <c r="AA81" s="367"/>
      <c r="AB81" s="365"/>
      <c r="AC81" s="365"/>
    </row>
    <row r="82" spans="1:29" s="364" customFormat="1" ht="21.75" customHeight="1" x14ac:dyDescent="0.4">
      <c r="A82" s="347">
        <v>45827</v>
      </c>
      <c r="B82" s="241" t="s">
        <v>5000</v>
      </c>
      <c r="C82" s="18" t="s">
        <v>405</v>
      </c>
      <c r="D82" s="242" t="s">
        <v>17</v>
      </c>
      <c r="E82" s="242" t="s">
        <v>5003</v>
      </c>
      <c r="F82" s="258" t="s">
        <v>661</v>
      </c>
      <c r="G82" s="251"/>
      <c r="H82" s="363">
        <v>5000</v>
      </c>
      <c r="I82" s="368"/>
      <c r="J82" s="363">
        <f t="shared" si="43"/>
        <v>5000</v>
      </c>
      <c r="K82" s="242">
        <v>1</v>
      </c>
      <c r="L82" s="363">
        <f t="shared" ref="L82:L83" si="45">SUM(J82*K82)</f>
        <v>5000</v>
      </c>
      <c r="M82" s="369">
        <v>64900</v>
      </c>
      <c r="N82" s="242" t="s">
        <v>1921</v>
      </c>
      <c r="O82" s="441"/>
      <c r="P82" s="242" t="s">
        <v>5115</v>
      </c>
      <c r="Q82" s="242"/>
      <c r="R82" s="242"/>
      <c r="V82" s="365"/>
      <c r="W82" s="366"/>
      <c r="X82" s="367"/>
      <c r="Y82" s="367"/>
      <c r="Z82" s="367"/>
      <c r="AA82" s="367"/>
      <c r="AB82" s="365"/>
      <c r="AC82" s="365"/>
    </row>
    <row r="83" spans="1:29" s="364" customFormat="1" ht="21.75" customHeight="1" x14ac:dyDescent="0.4">
      <c r="A83" s="347">
        <v>45827</v>
      </c>
      <c r="B83" s="241" t="s">
        <v>5000</v>
      </c>
      <c r="C83" s="18" t="s">
        <v>405</v>
      </c>
      <c r="D83" s="242" t="s">
        <v>17</v>
      </c>
      <c r="E83" s="242" t="s">
        <v>5004</v>
      </c>
      <c r="F83" s="18" t="s">
        <v>3550</v>
      </c>
      <c r="G83" s="251" t="s">
        <v>5005</v>
      </c>
      <c r="H83" s="363">
        <v>1800</v>
      </c>
      <c r="I83" s="368"/>
      <c r="J83" s="363">
        <f t="shared" si="43"/>
        <v>1800</v>
      </c>
      <c r="K83" s="242">
        <v>2</v>
      </c>
      <c r="L83" s="363">
        <f t="shared" si="45"/>
        <v>3600</v>
      </c>
      <c r="M83" s="369">
        <v>64900</v>
      </c>
      <c r="N83" s="242" t="s">
        <v>1921</v>
      </c>
      <c r="O83" s="441"/>
      <c r="P83" s="242" t="s">
        <v>5115</v>
      </c>
      <c r="Q83" s="242"/>
      <c r="R83" s="242"/>
      <c r="V83" s="365"/>
      <c r="W83" s="366"/>
      <c r="X83" s="367"/>
      <c r="Y83" s="367"/>
      <c r="Z83" s="367"/>
      <c r="AA83" s="367"/>
      <c r="AB83" s="365"/>
      <c r="AC83" s="365"/>
    </row>
    <row r="84" spans="1:29" s="67" customFormat="1" ht="21.75" customHeight="1" x14ac:dyDescent="0.4">
      <c r="A84" s="258">
        <v>45828</v>
      </c>
      <c r="B84" s="32" t="s">
        <v>4902</v>
      </c>
      <c r="C84" s="18" t="s">
        <v>405</v>
      </c>
      <c r="D84" s="18" t="s">
        <v>17</v>
      </c>
      <c r="E84" s="18" t="s">
        <v>328</v>
      </c>
      <c r="F84" s="18" t="s">
        <v>788</v>
      </c>
      <c r="G84" s="63" t="s">
        <v>4903</v>
      </c>
      <c r="H84" s="350">
        <v>70000</v>
      </c>
      <c r="I84" s="353">
        <v>-14000</v>
      </c>
      <c r="J84" s="350">
        <f t="shared" si="17"/>
        <v>56000</v>
      </c>
      <c r="K84" s="18">
        <v>1</v>
      </c>
      <c r="L84" s="350">
        <f t="shared" si="18"/>
        <v>56000</v>
      </c>
      <c r="M84" s="356">
        <f t="shared" si="19"/>
        <v>61600</v>
      </c>
      <c r="N84" s="18" t="s">
        <v>4904</v>
      </c>
      <c r="O84" s="439"/>
      <c r="P84" s="242" t="s">
        <v>5115</v>
      </c>
      <c r="Q84" s="18" t="s">
        <v>4905</v>
      </c>
      <c r="R84" s="18" t="s">
        <v>4905</v>
      </c>
      <c r="V84" s="37"/>
      <c r="W84" s="354"/>
      <c r="X84" s="355"/>
      <c r="Y84" s="355"/>
      <c r="Z84" s="355"/>
      <c r="AA84" s="355"/>
      <c r="AB84" s="37"/>
      <c r="AC84" s="37"/>
    </row>
    <row r="85" spans="1:29" s="67" customFormat="1" ht="21.75" customHeight="1" x14ac:dyDescent="0.4">
      <c r="A85" s="258">
        <v>45828</v>
      </c>
      <c r="B85" s="32" t="s">
        <v>4902</v>
      </c>
      <c r="C85" s="18" t="s">
        <v>405</v>
      </c>
      <c r="D85" s="18" t="s">
        <v>17</v>
      </c>
      <c r="E85" s="18" t="s">
        <v>332</v>
      </c>
      <c r="F85" s="18" t="s">
        <v>3555</v>
      </c>
      <c r="G85" s="63" t="s">
        <v>4906</v>
      </c>
      <c r="H85" s="350">
        <v>1700</v>
      </c>
      <c r="I85" s="353"/>
      <c r="J85" s="350">
        <f t="shared" si="17"/>
        <v>1700</v>
      </c>
      <c r="K85" s="18">
        <v>1</v>
      </c>
      <c r="L85" s="350">
        <f t="shared" si="18"/>
        <v>1700</v>
      </c>
      <c r="M85" s="356">
        <f t="shared" si="19"/>
        <v>1870</v>
      </c>
      <c r="N85" s="18" t="s">
        <v>4904</v>
      </c>
      <c r="O85" s="439"/>
      <c r="P85" s="242" t="s">
        <v>5115</v>
      </c>
      <c r="Q85" s="18" t="s">
        <v>4905</v>
      </c>
      <c r="R85" s="18" t="s">
        <v>4905</v>
      </c>
      <c r="V85" s="37"/>
      <c r="W85" s="354"/>
      <c r="X85" s="355"/>
      <c r="Y85" s="355"/>
      <c r="Z85" s="355"/>
      <c r="AA85" s="355"/>
      <c r="AB85" s="37"/>
      <c r="AC85" s="37"/>
    </row>
    <row r="86" spans="1:29" s="67" customFormat="1" ht="21.75" customHeight="1" x14ac:dyDescent="0.4">
      <c r="A86" s="258">
        <v>45828</v>
      </c>
      <c r="B86" s="32" t="s">
        <v>4907</v>
      </c>
      <c r="C86" s="32" t="s">
        <v>4292</v>
      </c>
      <c r="D86" s="18" t="s">
        <v>4908</v>
      </c>
      <c r="E86" s="18" t="s">
        <v>2205</v>
      </c>
      <c r="F86" s="18"/>
      <c r="G86" s="63" t="s">
        <v>4926</v>
      </c>
      <c r="H86" s="350">
        <v>4000</v>
      </c>
      <c r="I86" s="353">
        <v>-3000</v>
      </c>
      <c r="J86" s="350">
        <f t="shared" ref="J86" si="46">SUM(H86:I86)</f>
        <v>1000</v>
      </c>
      <c r="K86" s="18">
        <v>1</v>
      </c>
      <c r="L86" s="350">
        <f t="shared" ref="L86" si="47">SUM(J86*K86)</f>
        <v>1000</v>
      </c>
      <c r="M86" s="357">
        <f t="shared" ref="M86" si="48">ROUNDDOWN(L86*1.1,0)</f>
        <v>1100</v>
      </c>
      <c r="N86" s="18" t="s">
        <v>20</v>
      </c>
      <c r="O86" s="439"/>
      <c r="P86" s="18"/>
      <c r="Q86" s="18"/>
      <c r="R86" s="18"/>
      <c r="V86" s="37"/>
      <c r="W86" s="354"/>
      <c r="X86" s="355"/>
      <c r="Y86" s="355"/>
      <c r="Z86" s="355"/>
      <c r="AA86" s="355"/>
      <c r="AB86" s="37"/>
      <c r="AC86" s="37"/>
    </row>
    <row r="87" spans="1:29" s="67" customFormat="1" ht="21.75" customHeight="1" x14ac:dyDescent="0.4">
      <c r="A87" s="258">
        <v>45828</v>
      </c>
      <c r="B87" s="32" t="s">
        <v>4865</v>
      </c>
      <c r="C87" s="32" t="s">
        <v>2557</v>
      </c>
      <c r="D87" s="18" t="s">
        <v>22</v>
      </c>
      <c r="E87" s="18" t="s">
        <v>1496</v>
      </c>
      <c r="F87" s="18"/>
      <c r="G87" s="63" t="s">
        <v>4869</v>
      </c>
      <c r="H87" s="350">
        <v>2000</v>
      </c>
      <c r="I87" s="353"/>
      <c r="J87" s="350">
        <f t="shared" si="17"/>
        <v>2000</v>
      </c>
      <c r="K87" s="18">
        <v>1</v>
      </c>
      <c r="L87" s="350">
        <f t="shared" si="18"/>
        <v>2000</v>
      </c>
      <c r="M87" s="356">
        <f t="shared" si="19"/>
        <v>2200</v>
      </c>
      <c r="N87" s="18" t="s">
        <v>20</v>
      </c>
      <c r="O87" s="439"/>
      <c r="P87" s="18" t="s">
        <v>4909</v>
      </c>
      <c r="Q87" s="18"/>
      <c r="R87" s="18"/>
      <c r="V87" s="37"/>
      <c r="W87" s="354"/>
      <c r="X87" s="355"/>
      <c r="Y87" s="355"/>
      <c r="Z87" s="355"/>
      <c r="AA87" s="355"/>
      <c r="AB87" s="37"/>
      <c r="AC87" s="37"/>
    </row>
    <row r="88" spans="1:29" s="67" customFormat="1" ht="21.75" customHeight="1" x14ac:dyDescent="0.4">
      <c r="A88" s="258">
        <v>45829</v>
      </c>
      <c r="B88" s="32" t="s">
        <v>4865</v>
      </c>
      <c r="C88" s="32" t="s">
        <v>2557</v>
      </c>
      <c r="D88" s="18" t="s">
        <v>22</v>
      </c>
      <c r="E88" s="18" t="s">
        <v>1496</v>
      </c>
      <c r="F88" s="18"/>
      <c r="G88" s="63" t="s">
        <v>4869</v>
      </c>
      <c r="H88" s="350">
        <v>2000</v>
      </c>
      <c r="I88" s="353"/>
      <c r="J88" s="350">
        <f t="shared" si="17"/>
        <v>2000</v>
      </c>
      <c r="K88" s="18">
        <v>1</v>
      </c>
      <c r="L88" s="350">
        <f t="shared" si="18"/>
        <v>2000</v>
      </c>
      <c r="M88" s="356">
        <f t="shared" si="19"/>
        <v>2200</v>
      </c>
      <c r="N88" s="18" t="s">
        <v>20</v>
      </c>
      <c r="O88" s="439"/>
      <c r="P88" s="18" t="s">
        <v>4910</v>
      </c>
      <c r="Q88" s="18"/>
      <c r="R88" s="18"/>
      <c r="V88" s="37"/>
      <c r="W88" s="354"/>
      <c r="X88" s="355"/>
      <c r="Y88" s="355"/>
      <c r="Z88" s="355"/>
      <c r="AA88" s="355"/>
      <c r="AB88" s="37"/>
      <c r="AC88" s="37"/>
    </row>
    <row r="89" spans="1:29" s="67" customFormat="1" ht="21.75" customHeight="1" x14ac:dyDescent="0.4">
      <c r="A89" s="258">
        <v>45829</v>
      </c>
      <c r="B89" s="32" t="s">
        <v>4911</v>
      </c>
      <c r="C89" s="18" t="s">
        <v>405</v>
      </c>
      <c r="D89" s="18" t="s">
        <v>22</v>
      </c>
      <c r="E89" s="350" t="s">
        <v>23</v>
      </c>
      <c r="F89" s="351"/>
      <c r="G89" s="422" t="s">
        <v>264</v>
      </c>
      <c r="H89" s="350">
        <v>15000</v>
      </c>
      <c r="I89" s="353"/>
      <c r="J89" s="350">
        <f t="shared" si="17"/>
        <v>15000</v>
      </c>
      <c r="K89" s="18">
        <v>1</v>
      </c>
      <c r="L89" s="350">
        <f t="shared" si="18"/>
        <v>15000</v>
      </c>
      <c r="M89" s="357">
        <f t="shared" si="19"/>
        <v>16500</v>
      </c>
      <c r="N89" s="18" t="s">
        <v>1516</v>
      </c>
      <c r="O89" s="440" t="s">
        <v>5007</v>
      </c>
      <c r="P89" s="18"/>
      <c r="Q89" s="18"/>
      <c r="R89" s="18"/>
      <c r="V89" s="37"/>
      <c r="W89" s="354"/>
      <c r="X89" s="355"/>
      <c r="Y89" s="355"/>
      <c r="Z89" s="355"/>
      <c r="AA89" s="355"/>
      <c r="AB89" s="37"/>
      <c r="AC89" s="37"/>
    </row>
    <row r="90" spans="1:29" s="67" customFormat="1" ht="21.75" customHeight="1" x14ac:dyDescent="0.4">
      <c r="A90" s="258">
        <v>45829</v>
      </c>
      <c r="B90" s="32" t="s">
        <v>3117</v>
      </c>
      <c r="C90" s="32" t="s">
        <v>2557</v>
      </c>
      <c r="D90" s="18" t="s">
        <v>17</v>
      </c>
      <c r="E90" s="18" t="s">
        <v>426</v>
      </c>
      <c r="F90" s="18" t="s">
        <v>994</v>
      </c>
      <c r="G90" s="63" t="s">
        <v>3798</v>
      </c>
      <c r="H90" s="350">
        <v>1800</v>
      </c>
      <c r="I90" s="353">
        <v>-180</v>
      </c>
      <c r="J90" s="350">
        <f t="shared" ref="J90:J129" si="49">SUM(H90:I90)</f>
        <v>1620</v>
      </c>
      <c r="K90" s="18">
        <v>1</v>
      </c>
      <c r="L90" s="350">
        <f t="shared" ref="L90:L129" si="50">SUM(J90*K90)</f>
        <v>1620</v>
      </c>
      <c r="M90" s="356">
        <f t="shared" ref="M90:M129" si="51">ROUNDDOWN(L90*1.1,0)</f>
        <v>1782</v>
      </c>
      <c r="N90" s="18" t="s">
        <v>20</v>
      </c>
      <c r="O90" s="439"/>
      <c r="P90" s="18"/>
      <c r="Q90" s="18"/>
      <c r="R90" s="18"/>
      <c r="V90" s="37"/>
      <c r="W90" s="354"/>
      <c r="X90" s="355"/>
      <c r="Y90" s="355"/>
      <c r="Z90" s="355"/>
      <c r="AA90" s="355"/>
      <c r="AB90" s="37"/>
      <c r="AC90" s="37"/>
    </row>
    <row r="91" spans="1:29" s="67" customFormat="1" ht="21.75" customHeight="1" x14ac:dyDescent="0.4">
      <c r="A91" s="258">
        <v>45830</v>
      </c>
      <c r="B91" s="32" t="s">
        <v>4912</v>
      </c>
      <c r="C91" s="32" t="s">
        <v>2557</v>
      </c>
      <c r="D91" s="18" t="s">
        <v>27</v>
      </c>
      <c r="E91" s="18" t="s">
        <v>28</v>
      </c>
      <c r="F91" s="18"/>
      <c r="G91" s="63" t="s">
        <v>3664</v>
      </c>
      <c r="H91" s="350">
        <v>17500</v>
      </c>
      <c r="I91" s="353"/>
      <c r="J91" s="350">
        <f t="shared" si="49"/>
        <v>17500</v>
      </c>
      <c r="K91" s="18">
        <v>1</v>
      </c>
      <c r="L91" s="350">
        <f t="shared" si="50"/>
        <v>17500</v>
      </c>
      <c r="M91" s="356">
        <f t="shared" si="51"/>
        <v>19250</v>
      </c>
      <c r="N91" s="18" t="s">
        <v>1516</v>
      </c>
      <c r="O91" s="439"/>
      <c r="P91" s="18"/>
      <c r="Q91" s="18"/>
      <c r="R91" s="18"/>
      <c r="V91" s="37"/>
      <c r="W91" s="354"/>
      <c r="X91" s="355"/>
      <c r="Y91" s="355"/>
      <c r="Z91" s="355"/>
      <c r="AA91" s="355"/>
      <c r="AB91" s="37"/>
      <c r="AC91" s="37"/>
    </row>
    <row r="92" spans="1:29" s="67" customFormat="1" ht="21.75" customHeight="1" x14ac:dyDescent="0.4">
      <c r="A92" s="258">
        <v>45830</v>
      </c>
      <c r="B92" s="32" t="s">
        <v>4913</v>
      </c>
      <c r="C92" s="32" t="s">
        <v>2557</v>
      </c>
      <c r="D92" s="18" t="s">
        <v>27</v>
      </c>
      <c r="E92" s="18" t="s">
        <v>28</v>
      </c>
      <c r="F92" s="18"/>
      <c r="G92" s="63" t="s">
        <v>318</v>
      </c>
      <c r="H92" s="350">
        <v>15000</v>
      </c>
      <c r="I92" s="353"/>
      <c r="J92" s="350">
        <f t="shared" si="49"/>
        <v>15000</v>
      </c>
      <c r="K92" s="18">
        <v>1</v>
      </c>
      <c r="L92" s="350">
        <f t="shared" si="50"/>
        <v>15000</v>
      </c>
      <c r="M92" s="356">
        <f t="shared" si="51"/>
        <v>16500</v>
      </c>
      <c r="N92" s="18" t="s">
        <v>1516</v>
      </c>
      <c r="O92" s="439"/>
      <c r="P92" s="18"/>
      <c r="Q92" s="18"/>
      <c r="R92" s="18"/>
      <c r="V92" s="37"/>
      <c r="W92" s="354"/>
      <c r="X92" s="355"/>
      <c r="Y92" s="355"/>
      <c r="Z92" s="355"/>
      <c r="AA92" s="355"/>
      <c r="AB92" s="37"/>
      <c r="AC92" s="37"/>
    </row>
    <row r="93" spans="1:29" s="67" customFormat="1" ht="21.75" customHeight="1" x14ac:dyDescent="0.4">
      <c r="A93" s="258">
        <v>45830</v>
      </c>
      <c r="B93" s="32" t="s">
        <v>4913</v>
      </c>
      <c r="C93" s="32" t="s">
        <v>2557</v>
      </c>
      <c r="D93" s="18" t="s">
        <v>27</v>
      </c>
      <c r="E93" s="18" t="s">
        <v>28</v>
      </c>
      <c r="F93" s="18"/>
      <c r="G93" s="63" t="s">
        <v>3664</v>
      </c>
      <c r="H93" s="350">
        <v>17500</v>
      </c>
      <c r="I93" s="353"/>
      <c r="J93" s="350">
        <f t="shared" si="49"/>
        <v>17500</v>
      </c>
      <c r="K93" s="18">
        <v>1</v>
      </c>
      <c r="L93" s="350">
        <f t="shared" si="50"/>
        <v>17500</v>
      </c>
      <c r="M93" s="356">
        <f t="shared" si="51"/>
        <v>19250</v>
      </c>
      <c r="N93" s="18" t="s">
        <v>1516</v>
      </c>
      <c r="O93" s="439"/>
      <c r="P93" s="18"/>
      <c r="Q93" s="18"/>
      <c r="R93" s="18"/>
      <c r="V93" s="37"/>
      <c r="W93" s="354"/>
      <c r="X93" s="355"/>
      <c r="Y93" s="355"/>
      <c r="Z93" s="355"/>
      <c r="AA93" s="355"/>
      <c r="AB93" s="37"/>
      <c r="AC93" s="37"/>
    </row>
    <row r="94" spans="1:29" s="67" customFormat="1" ht="21.75" customHeight="1" x14ac:dyDescent="0.4">
      <c r="A94" s="258">
        <v>45830</v>
      </c>
      <c r="B94" s="32" t="s">
        <v>4913</v>
      </c>
      <c r="C94" s="32" t="s">
        <v>2557</v>
      </c>
      <c r="D94" s="18" t="s">
        <v>27</v>
      </c>
      <c r="E94" s="18" t="s">
        <v>28</v>
      </c>
      <c r="F94" s="18"/>
      <c r="G94" s="63" t="s">
        <v>3982</v>
      </c>
      <c r="H94" s="350">
        <v>4375</v>
      </c>
      <c r="I94" s="353"/>
      <c r="J94" s="350">
        <f t="shared" si="49"/>
        <v>4375</v>
      </c>
      <c r="K94" s="18">
        <v>1</v>
      </c>
      <c r="L94" s="350">
        <f t="shared" si="50"/>
        <v>4375</v>
      </c>
      <c r="M94" s="356">
        <f t="shared" si="51"/>
        <v>4812</v>
      </c>
      <c r="N94" s="18" t="s">
        <v>1516</v>
      </c>
      <c r="O94" s="439"/>
      <c r="P94" s="18"/>
      <c r="Q94" s="18"/>
      <c r="R94" s="18"/>
      <c r="V94" s="37"/>
      <c r="W94" s="354"/>
      <c r="X94" s="355"/>
      <c r="Y94" s="355"/>
      <c r="Z94" s="355"/>
      <c r="AA94" s="355"/>
      <c r="AB94" s="37"/>
      <c r="AC94" s="37"/>
    </row>
    <row r="95" spans="1:29" s="67" customFormat="1" ht="21.75" customHeight="1" x14ac:dyDescent="0.4">
      <c r="A95" s="258">
        <v>45830</v>
      </c>
      <c r="B95" s="32" t="s">
        <v>4913</v>
      </c>
      <c r="C95" s="32" t="s">
        <v>2557</v>
      </c>
      <c r="D95" s="18" t="s">
        <v>22</v>
      </c>
      <c r="E95" s="18" t="s">
        <v>1496</v>
      </c>
      <c r="F95" s="18"/>
      <c r="G95" s="63" t="s">
        <v>49</v>
      </c>
      <c r="H95" s="350">
        <v>3000</v>
      </c>
      <c r="I95" s="353"/>
      <c r="J95" s="350">
        <f t="shared" si="49"/>
        <v>3000</v>
      </c>
      <c r="K95" s="18">
        <v>1</v>
      </c>
      <c r="L95" s="350">
        <f t="shared" si="50"/>
        <v>3000</v>
      </c>
      <c r="M95" s="357">
        <f t="shared" si="51"/>
        <v>3300</v>
      </c>
      <c r="N95" s="18" t="s">
        <v>1516</v>
      </c>
      <c r="O95" s="440" t="s">
        <v>5007</v>
      </c>
      <c r="P95" s="18" t="s">
        <v>4914</v>
      </c>
      <c r="Q95" s="18"/>
      <c r="R95" s="18"/>
      <c r="V95" s="37"/>
      <c r="W95" s="354"/>
      <c r="X95" s="355"/>
      <c r="Y95" s="355"/>
      <c r="Z95" s="355"/>
      <c r="AA95" s="355"/>
      <c r="AB95" s="37"/>
      <c r="AC95" s="37"/>
    </row>
    <row r="96" spans="1:29" s="67" customFormat="1" ht="21.75" customHeight="1" x14ac:dyDescent="0.4">
      <c r="A96" s="258">
        <v>45831</v>
      </c>
      <c r="B96" s="32" t="s">
        <v>4915</v>
      </c>
      <c r="C96" s="32" t="s">
        <v>2557</v>
      </c>
      <c r="D96" s="18" t="s">
        <v>17</v>
      </c>
      <c r="E96" s="18" t="s">
        <v>330</v>
      </c>
      <c r="F96" s="18" t="s">
        <v>4916</v>
      </c>
      <c r="G96" s="63"/>
      <c r="H96" s="350">
        <v>5000</v>
      </c>
      <c r="I96" s="353"/>
      <c r="J96" s="350">
        <f t="shared" si="49"/>
        <v>5000</v>
      </c>
      <c r="K96" s="18">
        <v>2</v>
      </c>
      <c r="L96" s="350">
        <f t="shared" si="50"/>
        <v>10000</v>
      </c>
      <c r="M96" s="356">
        <f t="shared" si="51"/>
        <v>11000</v>
      </c>
      <c r="N96" s="18" t="s">
        <v>1516</v>
      </c>
      <c r="O96" s="439"/>
      <c r="P96" s="18"/>
      <c r="Q96" s="18" t="s">
        <v>4917</v>
      </c>
      <c r="R96" s="18" t="s">
        <v>4918</v>
      </c>
      <c r="V96" s="37"/>
      <c r="W96" s="354"/>
      <c r="X96" s="355"/>
      <c r="Y96" s="355"/>
      <c r="Z96" s="355"/>
      <c r="AA96" s="355"/>
      <c r="AB96" s="37"/>
      <c r="AC96" s="37"/>
    </row>
    <row r="97" spans="1:29" s="67" customFormat="1" ht="21.75" customHeight="1" x14ac:dyDescent="0.4">
      <c r="A97" s="258">
        <v>45831</v>
      </c>
      <c r="B97" s="32" t="s">
        <v>4919</v>
      </c>
      <c r="C97" s="18" t="s">
        <v>405</v>
      </c>
      <c r="D97" s="18" t="s">
        <v>17</v>
      </c>
      <c r="E97" s="18" t="s">
        <v>4921</v>
      </c>
      <c r="F97" s="18"/>
      <c r="G97" s="63" t="s">
        <v>4922</v>
      </c>
      <c r="H97" s="350">
        <v>1000</v>
      </c>
      <c r="I97" s="353"/>
      <c r="J97" s="350">
        <f t="shared" si="49"/>
        <v>1000</v>
      </c>
      <c r="K97" s="18">
        <v>2</v>
      </c>
      <c r="L97" s="350">
        <f t="shared" si="50"/>
        <v>2000</v>
      </c>
      <c r="M97" s="356">
        <f t="shared" si="51"/>
        <v>2200</v>
      </c>
      <c r="N97" s="18" t="s">
        <v>1516</v>
      </c>
      <c r="O97" s="439"/>
      <c r="P97" s="18"/>
      <c r="Q97" s="18" t="s">
        <v>4920</v>
      </c>
      <c r="R97" s="18" t="s">
        <v>4920</v>
      </c>
      <c r="V97" s="37"/>
      <c r="W97" s="354"/>
      <c r="X97" s="355"/>
      <c r="Y97" s="355"/>
      <c r="Z97" s="355"/>
      <c r="AA97" s="355"/>
      <c r="AB97" s="37"/>
      <c r="AC97" s="37"/>
    </row>
    <row r="98" spans="1:29" s="67" customFormat="1" ht="21.75" customHeight="1" x14ac:dyDescent="0.4">
      <c r="A98" s="258">
        <v>45831</v>
      </c>
      <c r="B98" s="32" t="s">
        <v>4927</v>
      </c>
      <c r="C98" s="32" t="s">
        <v>4292</v>
      </c>
      <c r="D98" s="18" t="s">
        <v>17</v>
      </c>
      <c r="E98" s="18" t="s">
        <v>292</v>
      </c>
      <c r="F98" s="18" t="s">
        <v>1051</v>
      </c>
      <c r="G98" s="63" t="s">
        <v>4772</v>
      </c>
      <c r="H98" s="350">
        <v>5200</v>
      </c>
      <c r="I98" s="353">
        <v>-328</v>
      </c>
      <c r="J98" s="350">
        <f t="shared" si="49"/>
        <v>4872</v>
      </c>
      <c r="K98" s="18">
        <v>1</v>
      </c>
      <c r="L98" s="350">
        <f t="shared" si="50"/>
        <v>4872</v>
      </c>
      <c r="M98" s="356">
        <f t="shared" si="51"/>
        <v>5359</v>
      </c>
      <c r="N98" s="18" t="s">
        <v>1516</v>
      </c>
      <c r="O98" s="439"/>
      <c r="P98" s="18"/>
      <c r="Q98" s="18" t="s">
        <v>4920</v>
      </c>
      <c r="R98" s="18" t="s">
        <v>4920</v>
      </c>
      <c r="V98" s="37"/>
      <c r="W98" s="354"/>
      <c r="X98" s="355"/>
      <c r="Y98" s="355"/>
      <c r="Z98" s="355"/>
      <c r="AA98" s="355"/>
      <c r="AB98" s="37"/>
      <c r="AC98" s="37"/>
    </row>
    <row r="99" spans="1:29" s="67" customFormat="1" ht="21.75" customHeight="1" x14ac:dyDescent="0.4">
      <c r="A99" s="258">
        <v>45831</v>
      </c>
      <c r="B99" s="32" t="s">
        <v>4927</v>
      </c>
      <c r="C99" s="32" t="s">
        <v>4292</v>
      </c>
      <c r="D99" s="18" t="s">
        <v>17</v>
      </c>
      <c r="E99" s="18" t="s">
        <v>332</v>
      </c>
      <c r="F99" s="18" t="s">
        <v>3553</v>
      </c>
      <c r="G99" s="63" t="s">
        <v>4930</v>
      </c>
      <c r="H99" s="350">
        <v>3800</v>
      </c>
      <c r="I99" s="353">
        <v>-1900</v>
      </c>
      <c r="J99" s="350">
        <f t="shared" si="49"/>
        <v>1900</v>
      </c>
      <c r="K99" s="18">
        <v>1</v>
      </c>
      <c r="L99" s="350">
        <f t="shared" ref="L99" si="52">SUM(J99*K99)</f>
        <v>1900</v>
      </c>
      <c r="M99" s="356">
        <f t="shared" ref="M99" si="53">ROUNDDOWN(L99*1.1,0)</f>
        <v>2090</v>
      </c>
      <c r="N99" s="18" t="s">
        <v>20</v>
      </c>
      <c r="O99" s="439"/>
      <c r="P99" s="18"/>
      <c r="Q99" s="18" t="s">
        <v>4920</v>
      </c>
      <c r="R99" s="18" t="s">
        <v>4920</v>
      </c>
      <c r="V99" s="37"/>
      <c r="W99" s="354"/>
      <c r="X99" s="355"/>
      <c r="Y99" s="355"/>
      <c r="Z99" s="355"/>
      <c r="AA99" s="355"/>
      <c r="AB99" s="37"/>
      <c r="AC99" s="37"/>
    </row>
    <row r="100" spans="1:29" s="67" customFormat="1" ht="21.75" customHeight="1" x14ac:dyDescent="0.4">
      <c r="A100" s="258">
        <v>45831</v>
      </c>
      <c r="B100" s="32" t="s">
        <v>4927</v>
      </c>
      <c r="C100" s="32" t="s">
        <v>4292</v>
      </c>
      <c r="D100" s="18" t="s">
        <v>17</v>
      </c>
      <c r="E100" s="18" t="s">
        <v>330</v>
      </c>
      <c r="F100" s="18" t="s">
        <v>1051</v>
      </c>
      <c r="G100" s="63" t="s">
        <v>3819</v>
      </c>
      <c r="H100" s="350">
        <v>5000</v>
      </c>
      <c r="I100" s="353">
        <v>-2750</v>
      </c>
      <c r="J100" s="350">
        <f t="shared" ref="J100" si="54">SUM(H100:I100)</f>
        <v>2250</v>
      </c>
      <c r="K100" s="18">
        <v>1</v>
      </c>
      <c r="L100" s="350">
        <f t="shared" ref="L100" si="55">SUM(J100*K100)</f>
        <v>2250</v>
      </c>
      <c r="M100" s="356">
        <f t="shared" ref="M100" si="56">ROUNDDOWN(L100*1.1,0)</f>
        <v>2475</v>
      </c>
      <c r="N100" s="18" t="s">
        <v>20</v>
      </c>
      <c r="O100" s="439"/>
      <c r="P100" s="18"/>
      <c r="Q100" s="18" t="s">
        <v>4920</v>
      </c>
      <c r="R100" s="18" t="s">
        <v>4920</v>
      </c>
      <c r="V100" s="37"/>
      <c r="W100" s="354"/>
      <c r="X100" s="355"/>
      <c r="Y100" s="355"/>
      <c r="Z100" s="355"/>
      <c r="AA100" s="355"/>
      <c r="AB100" s="37"/>
      <c r="AC100" s="37"/>
    </row>
    <row r="101" spans="1:29" s="67" customFormat="1" ht="21.75" customHeight="1" x14ac:dyDescent="0.4">
      <c r="A101" s="258">
        <v>45831</v>
      </c>
      <c r="B101" s="32" t="s">
        <v>4928</v>
      </c>
      <c r="C101" s="32" t="s">
        <v>4929</v>
      </c>
      <c r="D101" s="18" t="s">
        <v>4924</v>
      </c>
      <c r="E101" s="18" t="s">
        <v>4931</v>
      </c>
      <c r="F101" s="18" t="s">
        <v>3586</v>
      </c>
      <c r="G101" s="63" t="s">
        <v>3957</v>
      </c>
      <c r="H101" s="350">
        <v>2070</v>
      </c>
      <c r="I101" s="353">
        <v>-207</v>
      </c>
      <c r="J101" s="350">
        <f t="shared" si="49"/>
        <v>1863</v>
      </c>
      <c r="K101" s="18">
        <v>1</v>
      </c>
      <c r="L101" s="350">
        <f t="shared" si="50"/>
        <v>1863</v>
      </c>
      <c r="M101" s="356">
        <f t="shared" si="51"/>
        <v>2049</v>
      </c>
      <c r="N101" s="18" t="s">
        <v>1516</v>
      </c>
      <c r="O101" s="439"/>
      <c r="P101" s="18"/>
      <c r="Q101" s="18" t="s">
        <v>4920</v>
      </c>
      <c r="R101" s="18" t="s">
        <v>4920</v>
      </c>
      <c r="V101" s="37"/>
      <c r="W101" s="354"/>
      <c r="X101" s="355"/>
      <c r="Y101" s="355"/>
      <c r="Z101" s="355"/>
      <c r="AA101" s="355"/>
      <c r="AB101" s="37"/>
      <c r="AC101" s="37"/>
    </row>
    <row r="102" spans="1:29" s="67" customFormat="1" ht="21.75" customHeight="1" x14ac:dyDescent="0.4">
      <c r="A102" s="258">
        <v>45831</v>
      </c>
      <c r="B102" s="32" t="s">
        <v>4865</v>
      </c>
      <c r="C102" s="32" t="s">
        <v>2557</v>
      </c>
      <c r="D102" s="18" t="s">
        <v>22</v>
      </c>
      <c r="E102" s="18" t="s">
        <v>1496</v>
      </c>
      <c r="F102" s="18"/>
      <c r="G102" s="63" t="s">
        <v>4869</v>
      </c>
      <c r="H102" s="350">
        <v>2000</v>
      </c>
      <c r="I102" s="353"/>
      <c r="J102" s="350">
        <f t="shared" si="49"/>
        <v>2000</v>
      </c>
      <c r="K102" s="18">
        <v>1</v>
      </c>
      <c r="L102" s="350">
        <f t="shared" si="50"/>
        <v>2000</v>
      </c>
      <c r="M102" s="356">
        <f t="shared" si="51"/>
        <v>2200</v>
      </c>
      <c r="N102" s="18" t="s">
        <v>20</v>
      </c>
      <c r="O102" s="439"/>
      <c r="P102" s="18" t="s">
        <v>2595</v>
      </c>
      <c r="Q102" s="18" t="s">
        <v>4932</v>
      </c>
      <c r="R102" s="18" t="s">
        <v>4933</v>
      </c>
      <c r="V102" s="37"/>
      <c r="W102" s="354"/>
      <c r="X102" s="355"/>
      <c r="Y102" s="355"/>
      <c r="Z102" s="355"/>
      <c r="AA102" s="355"/>
      <c r="AB102" s="37"/>
      <c r="AC102" s="37"/>
    </row>
    <row r="103" spans="1:29" s="67" customFormat="1" ht="21.75" customHeight="1" x14ac:dyDescent="0.4">
      <c r="A103" s="258">
        <v>45832</v>
      </c>
      <c r="B103" s="32" t="s">
        <v>503</v>
      </c>
      <c r="C103" s="32" t="s">
        <v>2557</v>
      </c>
      <c r="D103" s="18" t="s">
        <v>17</v>
      </c>
      <c r="E103" s="18" t="s">
        <v>332</v>
      </c>
      <c r="F103" s="18" t="s">
        <v>3553</v>
      </c>
      <c r="G103" s="63" t="s">
        <v>4954</v>
      </c>
      <c r="H103" s="350">
        <v>3800</v>
      </c>
      <c r="I103" s="353"/>
      <c r="J103" s="350">
        <f t="shared" si="49"/>
        <v>3800</v>
      </c>
      <c r="K103" s="18">
        <v>1</v>
      </c>
      <c r="L103" s="350">
        <f t="shared" si="50"/>
        <v>3800</v>
      </c>
      <c r="M103" s="357">
        <f t="shared" si="51"/>
        <v>4180</v>
      </c>
      <c r="N103" s="18" t="s">
        <v>1516</v>
      </c>
      <c r="O103" s="439"/>
      <c r="P103" s="18"/>
      <c r="Q103" s="18" t="s">
        <v>4932</v>
      </c>
      <c r="R103" s="18" t="s">
        <v>4955</v>
      </c>
      <c r="V103" s="37"/>
      <c r="W103" s="354"/>
      <c r="X103" s="355"/>
      <c r="Y103" s="355"/>
      <c r="Z103" s="355"/>
      <c r="AA103" s="355"/>
      <c r="AB103" s="37"/>
      <c r="AC103" s="37"/>
    </row>
    <row r="104" spans="1:29" s="67" customFormat="1" ht="21.75" customHeight="1" x14ac:dyDescent="0.4">
      <c r="A104" s="258">
        <v>45834</v>
      </c>
      <c r="B104" s="32" t="s">
        <v>4934</v>
      </c>
      <c r="C104" s="32" t="s">
        <v>4935</v>
      </c>
      <c r="D104" s="18" t="s">
        <v>22</v>
      </c>
      <c r="E104" s="18" t="s">
        <v>28</v>
      </c>
      <c r="F104" s="18"/>
      <c r="G104" s="63" t="s">
        <v>318</v>
      </c>
      <c r="H104" s="350">
        <v>15000</v>
      </c>
      <c r="I104" s="353"/>
      <c r="J104" s="350">
        <f t="shared" ref="J104:J106" si="57">SUM(H104:I104)</f>
        <v>15000</v>
      </c>
      <c r="K104" s="18">
        <v>1</v>
      </c>
      <c r="L104" s="350">
        <f t="shared" ref="L104:L106" si="58">SUM(J104*K104)</f>
        <v>15000</v>
      </c>
      <c r="M104" s="357">
        <f>ROUNDDOWN(L104*1.1,0)</f>
        <v>16500</v>
      </c>
      <c r="N104" s="18" t="s">
        <v>1516</v>
      </c>
      <c r="O104" s="439" t="s">
        <v>4989</v>
      </c>
      <c r="P104" s="18"/>
      <c r="Q104" s="18" t="s">
        <v>4933</v>
      </c>
      <c r="R104" s="18" t="s">
        <v>4933</v>
      </c>
      <c r="V104" s="37"/>
      <c r="W104" s="354"/>
      <c r="X104" s="355"/>
      <c r="Y104" s="355"/>
      <c r="Z104" s="355"/>
      <c r="AA104" s="355"/>
      <c r="AB104" s="37"/>
      <c r="AC104" s="37"/>
    </row>
    <row r="105" spans="1:29" s="67" customFormat="1" ht="21.75" customHeight="1" x14ac:dyDescent="0.4">
      <c r="A105" s="258">
        <v>45834</v>
      </c>
      <c r="B105" s="32" t="s">
        <v>4805</v>
      </c>
      <c r="C105" s="32" t="s">
        <v>2557</v>
      </c>
      <c r="D105" s="18" t="s">
        <v>27</v>
      </c>
      <c r="E105" s="18" t="s">
        <v>28</v>
      </c>
      <c r="F105" s="18"/>
      <c r="G105" s="63" t="s">
        <v>318</v>
      </c>
      <c r="H105" s="350">
        <v>15000</v>
      </c>
      <c r="I105" s="353"/>
      <c r="J105" s="350">
        <f t="shared" si="57"/>
        <v>15000</v>
      </c>
      <c r="K105" s="18">
        <v>1</v>
      </c>
      <c r="L105" s="350">
        <f t="shared" si="58"/>
        <v>15000</v>
      </c>
      <c r="M105" s="356">
        <f t="shared" ref="M105:M106" si="59">ROUNDDOWN(L105*1.1,0)</f>
        <v>16500</v>
      </c>
      <c r="N105" s="18" t="s">
        <v>1516</v>
      </c>
      <c r="O105" s="439"/>
      <c r="P105" s="18"/>
      <c r="Q105" s="18" t="s">
        <v>4933</v>
      </c>
      <c r="R105" s="18" t="s">
        <v>4933</v>
      </c>
      <c r="V105" s="37"/>
      <c r="W105" s="354"/>
      <c r="X105" s="355"/>
      <c r="Y105" s="355"/>
      <c r="Z105" s="355"/>
      <c r="AA105" s="355"/>
      <c r="AB105" s="37"/>
      <c r="AC105" s="37"/>
    </row>
    <row r="106" spans="1:29" s="67" customFormat="1" ht="21.75" customHeight="1" x14ac:dyDescent="0.4">
      <c r="A106" s="258">
        <v>45834</v>
      </c>
      <c r="B106" s="32" t="s">
        <v>4805</v>
      </c>
      <c r="C106" s="32" t="s">
        <v>2557</v>
      </c>
      <c r="D106" s="18" t="s">
        <v>27</v>
      </c>
      <c r="E106" s="18" t="s">
        <v>28</v>
      </c>
      <c r="F106" s="18"/>
      <c r="G106" s="63" t="s">
        <v>3664</v>
      </c>
      <c r="H106" s="350">
        <v>17500</v>
      </c>
      <c r="I106" s="353"/>
      <c r="J106" s="350">
        <f t="shared" si="57"/>
        <v>17500</v>
      </c>
      <c r="K106" s="18">
        <v>1</v>
      </c>
      <c r="L106" s="350">
        <f t="shared" si="58"/>
        <v>17500</v>
      </c>
      <c r="M106" s="356">
        <f t="shared" si="59"/>
        <v>19250</v>
      </c>
      <c r="N106" s="18" t="s">
        <v>1516</v>
      </c>
      <c r="O106" s="439"/>
      <c r="P106" s="18"/>
      <c r="Q106" s="18" t="s">
        <v>4933</v>
      </c>
      <c r="R106" s="18" t="s">
        <v>4933</v>
      </c>
      <c r="V106" s="37"/>
      <c r="W106" s="354"/>
      <c r="X106" s="355"/>
      <c r="Y106" s="355"/>
      <c r="Z106" s="355"/>
      <c r="AA106" s="355"/>
      <c r="AB106" s="37"/>
      <c r="AC106" s="37"/>
    </row>
    <row r="107" spans="1:29" s="67" customFormat="1" ht="21.75" customHeight="1" x14ac:dyDescent="0.4">
      <c r="A107" s="258">
        <v>45834</v>
      </c>
      <c r="B107" s="32" t="s">
        <v>148</v>
      </c>
      <c r="C107" s="32" t="s">
        <v>2557</v>
      </c>
      <c r="D107" s="18" t="s">
        <v>27</v>
      </c>
      <c r="E107" s="18" t="s">
        <v>28</v>
      </c>
      <c r="F107" s="18"/>
      <c r="G107" s="63" t="s">
        <v>3664</v>
      </c>
      <c r="H107" s="350">
        <v>17500</v>
      </c>
      <c r="I107" s="353"/>
      <c r="J107" s="350">
        <f t="shared" ref="J107" si="60">SUM(H107:I107)</f>
        <v>17500</v>
      </c>
      <c r="K107" s="18">
        <v>1</v>
      </c>
      <c r="L107" s="350">
        <f t="shared" ref="L107" si="61">SUM(J107*K107)</f>
        <v>17500</v>
      </c>
      <c r="M107" s="357">
        <f t="shared" ref="M107" si="62">ROUNDDOWN(L107*1.1,0)</f>
        <v>19250</v>
      </c>
      <c r="N107" s="18" t="s">
        <v>20</v>
      </c>
      <c r="O107" s="439" t="s">
        <v>4802</v>
      </c>
      <c r="P107" s="18"/>
      <c r="Q107" s="18" t="s">
        <v>4939</v>
      </c>
      <c r="R107" s="18" t="s">
        <v>4803</v>
      </c>
      <c r="V107" s="37"/>
      <c r="W107" s="354"/>
      <c r="X107" s="355"/>
      <c r="Y107" s="355"/>
      <c r="Z107" s="355"/>
      <c r="AA107" s="355"/>
      <c r="AB107" s="37"/>
      <c r="AC107" s="37"/>
    </row>
    <row r="108" spans="1:29" s="67" customFormat="1" ht="21.75" customHeight="1" x14ac:dyDescent="0.4">
      <c r="A108" s="258">
        <v>45834</v>
      </c>
      <c r="B108" s="32" t="s">
        <v>4937</v>
      </c>
      <c r="C108" s="18" t="s">
        <v>405</v>
      </c>
      <c r="D108" s="18" t="s">
        <v>4936</v>
      </c>
      <c r="E108" s="18" t="s">
        <v>332</v>
      </c>
      <c r="F108" s="18" t="s">
        <v>3550</v>
      </c>
      <c r="G108" s="63" t="s">
        <v>4938</v>
      </c>
      <c r="H108" s="350">
        <v>1900</v>
      </c>
      <c r="I108" s="353">
        <v>-760</v>
      </c>
      <c r="J108" s="350">
        <f t="shared" si="49"/>
        <v>1140</v>
      </c>
      <c r="K108" s="18">
        <v>20</v>
      </c>
      <c r="L108" s="350">
        <f t="shared" si="50"/>
        <v>22800</v>
      </c>
      <c r="M108" s="357">
        <f t="shared" si="51"/>
        <v>25080</v>
      </c>
      <c r="N108" s="18" t="s">
        <v>1516</v>
      </c>
      <c r="O108" s="439"/>
      <c r="P108" s="18"/>
      <c r="Q108" s="18" t="s">
        <v>4939</v>
      </c>
      <c r="R108" s="18" t="s">
        <v>4803</v>
      </c>
      <c r="V108" s="37"/>
      <c r="W108" s="354"/>
      <c r="X108" s="355"/>
      <c r="Y108" s="355"/>
      <c r="Z108" s="355"/>
      <c r="AA108" s="355"/>
      <c r="AB108" s="37"/>
      <c r="AC108" s="37"/>
    </row>
    <row r="109" spans="1:29" s="67" customFormat="1" ht="21.75" customHeight="1" x14ac:dyDescent="0.4">
      <c r="A109" s="258">
        <v>45834</v>
      </c>
      <c r="B109" s="32" t="s">
        <v>4937</v>
      </c>
      <c r="C109" s="18" t="s">
        <v>405</v>
      </c>
      <c r="D109" s="18" t="s">
        <v>4936</v>
      </c>
      <c r="E109" s="18" t="s">
        <v>330</v>
      </c>
      <c r="F109" s="18" t="s">
        <v>661</v>
      </c>
      <c r="G109" s="63"/>
      <c r="H109" s="350">
        <v>5000</v>
      </c>
      <c r="I109" s="353">
        <v>-2350</v>
      </c>
      <c r="J109" s="350">
        <f t="shared" si="49"/>
        <v>2650</v>
      </c>
      <c r="K109" s="18">
        <v>1</v>
      </c>
      <c r="L109" s="350">
        <f t="shared" si="50"/>
        <v>2650</v>
      </c>
      <c r="M109" s="357">
        <f t="shared" si="51"/>
        <v>2915</v>
      </c>
      <c r="N109" s="18" t="s">
        <v>1516</v>
      </c>
      <c r="O109" s="439"/>
      <c r="P109" s="18"/>
      <c r="Q109" s="18" t="s">
        <v>4939</v>
      </c>
      <c r="R109" s="18" t="s">
        <v>4803</v>
      </c>
      <c r="V109" s="37"/>
      <c r="W109" s="354"/>
      <c r="X109" s="355"/>
      <c r="Y109" s="355"/>
      <c r="Z109" s="355"/>
      <c r="AA109" s="355"/>
      <c r="AB109" s="37"/>
      <c r="AC109" s="37"/>
    </row>
    <row r="110" spans="1:29" s="67" customFormat="1" ht="21.75" customHeight="1" x14ac:dyDescent="0.4">
      <c r="A110" s="258">
        <v>45835</v>
      </c>
      <c r="B110" s="32" t="s">
        <v>4940</v>
      </c>
      <c r="C110" s="32" t="s">
        <v>4941</v>
      </c>
      <c r="D110" s="18" t="s">
        <v>17</v>
      </c>
      <c r="E110" s="18" t="s">
        <v>292</v>
      </c>
      <c r="F110" s="18" t="s">
        <v>1051</v>
      </c>
      <c r="G110" s="63" t="s">
        <v>4943</v>
      </c>
      <c r="H110" s="350">
        <v>5700</v>
      </c>
      <c r="I110" s="353"/>
      <c r="J110" s="350">
        <f t="shared" si="49"/>
        <v>5700</v>
      </c>
      <c r="K110" s="18">
        <v>2</v>
      </c>
      <c r="L110" s="350">
        <f t="shared" si="50"/>
        <v>11400</v>
      </c>
      <c r="M110" s="356">
        <f t="shared" si="51"/>
        <v>12540</v>
      </c>
      <c r="N110" s="18" t="s">
        <v>1516</v>
      </c>
      <c r="O110" s="439"/>
      <c r="P110" s="18"/>
      <c r="Q110" s="18" t="s">
        <v>4945</v>
      </c>
      <c r="R110" s="18" t="s">
        <v>4798</v>
      </c>
      <c r="V110" s="37"/>
      <c r="W110" s="354"/>
      <c r="X110" s="355"/>
      <c r="Y110" s="355"/>
      <c r="Z110" s="355"/>
      <c r="AA110" s="355"/>
      <c r="AB110" s="37"/>
      <c r="AC110" s="37"/>
    </row>
    <row r="111" spans="1:29" s="67" customFormat="1" ht="21.75" customHeight="1" x14ac:dyDescent="0.4">
      <c r="A111" s="258">
        <v>45835</v>
      </c>
      <c r="B111" s="32" t="s">
        <v>4942</v>
      </c>
      <c r="C111" s="32" t="s">
        <v>4941</v>
      </c>
      <c r="D111" s="18" t="s">
        <v>17</v>
      </c>
      <c r="E111" s="18" t="s">
        <v>332</v>
      </c>
      <c r="F111" s="18" t="s">
        <v>3551</v>
      </c>
      <c r="G111" s="63" t="s">
        <v>4947</v>
      </c>
      <c r="H111" s="350">
        <v>2700</v>
      </c>
      <c r="I111" s="353">
        <v>-270</v>
      </c>
      <c r="J111" s="350">
        <f t="shared" si="49"/>
        <v>2430</v>
      </c>
      <c r="K111" s="18">
        <v>8</v>
      </c>
      <c r="L111" s="350">
        <f t="shared" si="50"/>
        <v>19440</v>
      </c>
      <c r="M111" s="357">
        <f t="shared" si="51"/>
        <v>21384</v>
      </c>
      <c r="N111" s="18" t="s">
        <v>1516</v>
      </c>
      <c r="O111" s="439"/>
      <c r="P111" s="18"/>
      <c r="Q111" s="18" t="s">
        <v>4945</v>
      </c>
      <c r="R111" s="18" t="s">
        <v>4798</v>
      </c>
      <c r="V111" s="37"/>
      <c r="W111" s="354"/>
      <c r="X111" s="355"/>
      <c r="Y111" s="355"/>
      <c r="Z111" s="355"/>
      <c r="AA111" s="355"/>
      <c r="AB111" s="37"/>
      <c r="AC111" s="37"/>
    </row>
    <row r="112" spans="1:29" s="67" customFormat="1" ht="21.75" customHeight="1" x14ac:dyDescent="0.4">
      <c r="A112" s="258">
        <v>45835</v>
      </c>
      <c r="B112" s="32" t="s">
        <v>4944</v>
      </c>
      <c r="C112" s="32" t="s">
        <v>2557</v>
      </c>
      <c r="D112" s="18" t="s">
        <v>27</v>
      </c>
      <c r="E112" s="18" t="s">
        <v>28</v>
      </c>
      <c r="F112" s="18"/>
      <c r="G112" s="63" t="s">
        <v>3664</v>
      </c>
      <c r="H112" s="350">
        <v>17500</v>
      </c>
      <c r="I112" s="353"/>
      <c r="J112" s="350">
        <f t="shared" si="49"/>
        <v>17500</v>
      </c>
      <c r="K112" s="18">
        <v>1</v>
      </c>
      <c r="L112" s="350">
        <f t="shared" si="50"/>
        <v>17500</v>
      </c>
      <c r="M112" s="357">
        <f t="shared" si="51"/>
        <v>19250</v>
      </c>
      <c r="N112" s="18" t="s">
        <v>1516</v>
      </c>
      <c r="O112" s="439"/>
      <c r="P112" s="18"/>
      <c r="Q112" s="18" t="s">
        <v>4945</v>
      </c>
      <c r="R112" s="18" t="s">
        <v>4946</v>
      </c>
      <c r="V112" s="37"/>
      <c r="W112" s="354"/>
      <c r="X112" s="355"/>
      <c r="Y112" s="355"/>
      <c r="Z112" s="355"/>
      <c r="AA112" s="355"/>
      <c r="AB112" s="37"/>
      <c r="AC112" s="37"/>
    </row>
    <row r="113" spans="1:29" s="67" customFormat="1" ht="21.75" customHeight="1" x14ac:dyDescent="0.4">
      <c r="A113" s="359">
        <v>45835</v>
      </c>
      <c r="B113" s="194" t="s">
        <v>905</v>
      </c>
      <c r="C113" s="194" t="s">
        <v>2557</v>
      </c>
      <c r="D113" s="196" t="s">
        <v>5008</v>
      </c>
      <c r="E113" s="196" t="s">
        <v>103</v>
      </c>
      <c r="F113" s="196"/>
      <c r="G113" s="423" t="s">
        <v>364</v>
      </c>
      <c r="H113" s="360">
        <v>25000</v>
      </c>
      <c r="I113" s="361"/>
      <c r="J113" s="360">
        <f t="shared" ref="J113:J114" si="63">SUM(H113:I113)</f>
        <v>25000</v>
      </c>
      <c r="K113" s="196">
        <v>1</v>
      </c>
      <c r="L113" s="360">
        <v>25000</v>
      </c>
      <c r="M113" s="362">
        <v>27500</v>
      </c>
      <c r="N113" s="196" t="s">
        <v>5009</v>
      </c>
      <c r="O113" s="440"/>
      <c r="P113" s="196"/>
      <c r="Q113" s="196"/>
      <c r="R113" s="196"/>
      <c r="V113" s="37"/>
      <c r="W113" s="354"/>
      <c r="X113" s="355"/>
      <c r="Y113" s="355"/>
      <c r="Z113" s="355"/>
      <c r="AA113" s="355"/>
      <c r="AB113" s="37"/>
      <c r="AC113" s="37"/>
    </row>
    <row r="114" spans="1:29" s="67" customFormat="1" ht="21.75" customHeight="1" x14ac:dyDescent="0.4">
      <c r="A114" s="359">
        <v>45836</v>
      </c>
      <c r="B114" s="194" t="s">
        <v>5010</v>
      </c>
      <c r="C114" s="194" t="s">
        <v>2557</v>
      </c>
      <c r="D114" s="196" t="s">
        <v>5011</v>
      </c>
      <c r="E114" s="196" t="s">
        <v>103</v>
      </c>
      <c r="F114" s="196"/>
      <c r="G114" s="423" t="s">
        <v>364</v>
      </c>
      <c r="H114" s="360">
        <v>25000</v>
      </c>
      <c r="I114" s="361"/>
      <c r="J114" s="360">
        <f t="shared" si="63"/>
        <v>25000</v>
      </c>
      <c r="K114" s="196">
        <v>1</v>
      </c>
      <c r="L114" s="360">
        <v>25000</v>
      </c>
      <c r="M114" s="362">
        <v>27500</v>
      </c>
      <c r="N114" s="196" t="s">
        <v>5012</v>
      </c>
      <c r="O114" s="440"/>
      <c r="P114" s="196"/>
      <c r="Q114" s="196"/>
      <c r="R114" s="196"/>
      <c r="V114" s="37"/>
      <c r="W114" s="354"/>
      <c r="X114" s="355"/>
      <c r="Y114" s="355"/>
      <c r="Z114" s="355"/>
      <c r="AA114" s="355"/>
      <c r="AB114" s="37"/>
      <c r="AC114" s="37"/>
    </row>
    <row r="115" spans="1:29" s="67" customFormat="1" ht="21.75" customHeight="1" x14ac:dyDescent="0.4">
      <c r="A115" s="258">
        <v>45836</v>
      </c>
      <c r="B115" s="32" t="s">
        <v>4948</v>
      </c>
      <c r="C115" s="32" t="s">
        <v>2557</v>
      </c>
      <c r="D115" s="18" t="s">
        <v>27</v>
      </c>
      <c r="E115" s="18" t="s">
        <v>28</v>
      </c>
      <c r="F115" s="18"/>
      <c r="G115" s="63" t="s">
        <v>3664</v>
      </c>
      <c r="H115" s="350">
        <v>17500</v>
      </c>
      <c r="I115" s="353"/>
      <c r="J115" s="350">
        <f t="shared" ref="J115:J116" si="64">SUM(H115:I115)</f>
        <v>17500</v>
      </c>
      <c r="K115" s="18">
        <v>1</v>
      </c>
      <c r="L115" s="350">
        <f t="shared" ref="L115:L116" si="65">SUM(J115*K115)</f>
        <v>17500</v>
      </c>
      <c r="M115" s="357">
        <f t="shared" ref="M115:M116" si="66">ROUNDDOWN(L115*1.1,0)</f>
        <v>19250</v>
      </c>
      <c r="N115" s="18" t="s">
        <v>1516</v>
      </c>
      <c r="O115" s="439" t="s">
        <v>4802</v>
      </c>
      <c r="P115" s="18"/>
      <c r="Q115" s="18" t="s">
        <v>4945</v>
      </c>
      <c r="R115" s="18" t="s">
        <v>4946</v>
      </c>
      <c r="S115" s="364"/>
      <c r="V115" s="37"/>
      <c r="W115" s="354"/>
      <c r="X115" s="355"/>
      <c r="Y115" s="355"/>
      <c r="Z115" s="355"/>
      <c r="AA115" s="355"/>
      <c r="AB115" s="37"/>
      <c r="AC115" s="37"/>
    </row>
    <row r="116" spans="1:29" s="67" customFormat="1" ht="21.75" customHeight="1" x14ac:dyDescent="0.4">
      <c r="A116" s="258">
        <v>45836</v>
      </c>
      <c r="B116" s="32" t="s">
        <v>4865</v>
      </c>
      <c r="C116" s="32" t="s">
        <v>2557</v>
      </c>
      <c r="D116" s="18" t="s">
        <v>22</v>
      </c>
      <c r="E116" s="18" t="s">
        <v>1496</v>
      </c>
      <c r="F116" s="18"/>
      <c r="G116" s="63" t="s">
        <v>4869</v>
      </c>
      <c r="H116" s="350">
        <v>2000</v>
      </c>
      <c r="I116" s="353"/>
      <c r="J116" s="350">
        <f t="shared" si="64"/>
        <v>2000</v>
      </c>
      <c r="K116" s="18">
        <v>1</v>
      </c>
      <c r="L116" s="350">
        <f t="shared" si="65"/>
        <v>2000</v>
      </c>
      <c r="M116" s="356">
        <f t="shared" si="66"/>
        <v>2200</v>
      </c>
      <c r="N116" s="18" t="s">
        <v>20</v>
      </c>
      <c r="O116" s="439"/>
      <c r="P116" s="18" t="s">
        <v>4949</v>
      </c>
      <c r="Q116" s="18" t="s">
        <v>4945</v>
      </c>
      <c r="R116" s="18" t="s">
        <v>4946</v>
      </c>
      <c r="V116" s="37"/>
      <c r="W116" s="354"/>
      <c r="X116" s="355"/>
      <c r="Y116" s="355"/>
      <c r="Z116" s="355"/>
      <c r="AA116" s="355"/>
      <c r="AB116" s="37"/>
      <c r="AC116" s="37"/>
    </row>
    <row r="117" spans="1:29" s="67" customFormat="1" ht="21.75" customHeight="1" x14ac:dyDescent="0.4">
      <c r="A117" s="258">
        <v>45837</v>
      </c>
      <c r="B117" s="32" t="s">
        <v>4774</v>
      </c>
      <c r="C117" s="32" t="s">
        <v>2557</v>
      </c>
      <c r="D117" s="18" t="s">
        <v>27</v>
      </c>
      <c r="E117" s="18" t="s">
        <v>28</v>
      </c>
      <c r="F117" s="18"/>
      <c r="G117" s="63" t="s">
        <v>3664</v>
      </c>
      <c r="H117" s="350">
        <v>17500</v>
      </c>
      <c r="I117" s="353"/>
      <c r="J117" s="350">
        <f t="shared" si="49"/>
        <v>17500</v>
      </c>
      <c r="K117" s="18">
        <v>1</v>
      </c>
      <c r="L117" s="350">
        <f t="shared" si="50"/>
        <v>17500</v>
      </c>
      <c r="M117" s="356">
        <f t="shared" si="51"/>
        <v>19250</v>
      </c>
      <c r="N117" s="18" t="s">
        <v>20</v>
      </c>
      <c r="O117" s="439" t="s">
        <v>4802</v>
      </c>
      <c r="P117" s="18"/>
      <c r="Q117" s="18" t="s">
        <v>4950</v>
      </c>
      <c r="R117" s="18" t="s">
        <v>4950</v>
      </c>
      <c r="V117" s="37"/>
      <c r="W117" s="354"/>
      <c r="X117" s="355"/>
      <c r="Y117" s="355"/>
      <c r="Z117" s="355"/>
      <c r="AA117" s="355"/>
      <c r="AB117" s="37"/>
      <c r="AC117" s="37"/>
    </row>
    <row r="118" spans="1:29" s="67" customFormat="1" ht="21.75" customHeight="1" x14ac:dyDescent="0.4">
      <c r="A118" s="258">
        <v>45837</v>
      </c>
      <c r="B118" s="32" t="s">
        <v>4833</v>
      </c>
      <c r="C118" s="32" t="s">
        <v>2557</v>
      </c>
      <c r="D118" s="18" t="s">
        <v>4951</v>
      </c>
      <c r="E118" s="18" t="s">
        <v>332</v>
      </c>
      <c r="F118" s="18" t="s">
        <v>3553</v>
      </c>
      <c r="G118" s="63" t="s">
        <v>3831</v>
      </c>
      <c r="H118" s="350">
        <v>1600</v>
      </c>
      <c r="I118" s="353">
        <v>-160</v>
      </c>
      <c r="J118" s="350">
        <f t="shared" si="49"/>
        <v>1440</v>
      </c>
      <c r="K118" s="18">
        <v>1</v>
      </c>
      <c r="L118" s="350">
        <f t="shared" si="50"/>
        <v>1440</v>
      </c>
      <c r="M118" s="356">
        <f t="shared" si="51"/>
        <v>1584</v>
      </c>
      <c r="N118" s="18" t="s">
        <v>20</v>
      </c>
      <c r="O118" s="439"/>
      <c r="P118" s="18"/>
      <c r="Q118" s="18" t="s">
        <v>4952</v>
      </c>
      <c r="R118" s="18" t="s">
        <v>4952</v>
      </c>
      <c r="V118" s="37"/>
      <c r="W118" s="354"/>
      <c r="X118" s="355"/>
      <c r="Y118" s="355"/>
      <c r="Z118" s="355"/>
      <c r="AA118" s="355"/>
      <c r="AB118" s="37"/>
      <c r="AC118" s="37"/>
    </row>
    <row r="119" spans="1:29" s="67" customFormat="1" ht="21.75" customHeight="1" x14ac:dyDescent="0.4">
      <c r="A119" s="258">
        <v>45837</v>
      </c>
      <c r="B119" s="32" t="s">
        <v>4953</v>
      </c>
      <c r="C119" s="32" t="s">
        <v>2557</v>
      </c>
      <c r="D119" s="18" t="s">
        <v>17</v>
      </c>
      <c r="E119" s="18" t="s">
        <v>332</v>
      </c>
      <c r="F119" s="18" t="s">
        <v>3551</v>
      </c>
      <c r="G119" s="433" t="s">
        <v>6223</v>
      </c>
      <c r="H119" s="350">
        <v>1300</v>
      </c>
      <c r="I119" s="353">
        <v>-130</v>
      </c>
      <c r="J119" s="350">
        <f t="shared" si="49"/>
        <v>1170</v>
      </c>
      <c r="K119" s="18">
        <v>1</v>
      </c>
      <c r="L119" s="350">
        <f t="shared" si="50"/>
        <v>1170</v>
      </c>
      <c r="M119" s="356">
        <f t="shared" si="51"/>
        <v>1287</v>
      </c>
      <c r="N119" s="18" t="s">
        <v>1516</v>
      </c>
      <c r="O119" s="439"/>
      <c r="P119" s="18"/>
      <c r="Q119" s="18" t="s">
        <v>2594</v>
      </c>
      <c r="R119" s="18" t="s">
        <v>2594</v>
      </c>
      <c r="V119" s="37"/>
      <c r="W119" s="354"/>
      <c r="X119" s="355"/>
      <c r="Y119" s="355"/>
      <c r="Z119" s="355"/>
      <c r="AA119" s="355"/>
      <c r="AB119" s="37"/>
      <c r="AC119" s="37"/>
    </row>
    <row r="120" spans="1:29" s="67" customFormat="1" ht="18.75" x14ac:dyDescent="0.4">
      <c r="A120" s="258">
        <v>45838</v>
      </c>
      <c r="B120" s="32" t="s">
        <v>4881</v>
      </c>
      <c r="C120" s="32" t="s">
        <v>4958</v>
      </c>
      <c r="D120" s="18" t="s">
        <v>4959</v>
      </c>
      <c r="E120" s="18" t="s">
        <v>332</v>
      </c>
      <c r="F120" s="18" t="s">
        <v>3550</v>
      </c>
      <c r="G120" s="63" t="s">
        <v>4960</v>
      </c>
      <c r="H120" s="350">
        <v>2000</v>
      </c>
      <c r="I120" s="353">
        <v>-200</v>
      </c>
      <c r="J120" s="350">
        <f t="shared" si="49"/>
        <v>1800</v>
      </c>
      <c r="K120" s="18">
        <v>1</v>
      </c>
      <c r="L120" s="350">
        <f t="shared" si="50"/>
        <v>1800</v>
      </c>
      <c r="M120" s="356">
        <f t="shared" si="51"/>
        <v>1980</v>
      </c>
      <c r="N120" s="18" t="s">
        <v>20</v>
      </c>
      <c r="O120" s="439"/>
      <c r="P120" s="18"/>
      <c r="Q120" s="18" t="s">
        <v>4803</v>
      </c>
      <c r="R120" s="18" t="s">
        <v>4803</v>
      </c>
      <c r="V120" s="37"/>
      <c r="W120" s="354"/>
      <c r="X120" s="355"/>
      <c r="Y120" s="355"/>
      <c r="Z120" s="355"/>
      <c r="AA120" s="355"/>
      <c r="AB120" s="37"/>
      <c r="AC120" s="37"/>
    </row>
    <row r="121" spans="1:29" s="67" customFormat="1" ht="21.75" customHeight="1" x14ac:dyDescent="0.4">
      <c r="A121" s="258">
        <v>45838</v>
      </c>
      <c r="B121" s="32" t="s">
        <v>4961</v>
      </c>
      <c r="C121" s="32" t="s">
        <v>4958</v>
      </c>
      <c r="D121" s="18" t="s">
        <v>27</v>
      </c>
      <c r="E121" s="18" t="s">
        <v>28</v>
      </c>
      <c r="F121" s="18"/>
      <c r="G121" s="63" t="s">
        <v>4962</v>
      </c>
      <c r="H121" s="350">
        <v>32500</v>
      </c>
      <c r="I121" s="353"/>
      <c r="J121" s="350">
        <f t="shared" ref="J121" si="67">SUM(H121:I121)</f>
        <v>32500</v>
      </c>
      <c r="K121" s="18">
        <v>1</v>
      </c>
      <c r="L121" s="350">
        <f t="shared" ref="L121" si="68">SUM(J121*K121)</f>
        <v>32500</v>
      </c>
      <c r="M121" s="356">
        <f t="shared" si="51"/>
        <v>35750</v>
      </c>
      <c r="N121" s="18" t="s">
        <v>1516</v>
      </c>
      <c r="O121" s="439"/>
      <c r="P121" s="18"/>
      <c r="Q121" s="18" t="s">
        <v>4963</v>
      </c>
      <c r="R121" s="18" t="s">
        <v>4803</v>
      </c>
      <c r="V121" s="37"/>
      <c r="W121" s="354"/>
      <c r="X121" s="355"/>
      <c r="Y121" s="355"/>
      <c r="Z121" s="355"/>
      <c r="AA121" s="355"/>
      <c r="AB121" s="37"/>
      <c r="AC121" s="37"/>
    </row>
    <row r="122" spans="1:29" s="67" customFormat="1" ht="21.75" customHeight="1" x14ac:dyDescent="0.4">
      <c r="A122" s="258">
        <v>45838</v>
      </c>
      <c r="B122" s="32" t="s">
        <v>4964</v>
      </c>
      <c r="C122" s="32" t="s">
        <v>2557</v>
      </c>
      <c r="D122" s="18" t="s">
        <v>17</v>
      </c>
      <c r="E122" s="18" t="s">
        <v>332</v>
      </c>
      <c r="F122" s="18" t="s">
        <v>3555</v>
      </c>
      <c r="G122" s="63" t="s">
        <v>4965</v>
      </c>
      <c r="H122" s="350">
        <v>1500</v>
      </c>
      <c r="I122" s="353">
        <v>-150</v>
      </c>
      <c r="J122" s="350">
        <f t="shared" si="49"/>
        <v>1350</v>
      </c>
      <c r="K122" s="18">
        <v>1</v>
      </c>
      <c r="L122" s="350">
        <f t="shared" si="50"/>
        <v>1350</v>
      </c>
      <c r="M122" s="356">
        <f t="shared" si="51"/>
        <v>1485</v>
      </c>
      <c r="N122" s="18" t="s">
        <v>1516</v>
      </c>
      <c r="O122" s="439"/>
      <c r="P122" s="18"/>
      <c r="Q122" s="18" t="s">
        <v>2594</v>
      </c>
      <c r="R122" s="18" t="s">
        <v>2594</v>
      </c>
      <c r="V122" s="37"/>
      <c r="W122" s="354"/>
      <c r="X122" s="355"/>
      <c r="Y122" s="355"/>
      <c r="Z122" s="355"/>
      <c r="AA122" s="355"/>
      <c r="AB122" s="37"/>
      <c r="AC122" s="37"/>
    </row>
    <row r="123" spans="1:29" s="67" customFormat="1" ht="21.75" customHeight="1" x14ac:dyDescent="0.4">
      <c r="A123" s="258">
        <v>45838</v>
      </c>
      <c r="B123" s="32"/>
      <c r="C123" s="32"/>
      <c r="D123" s="18" t="s">
        <v>4966</v>
      </c>
      <c r="E123" s="18" t="s">
        <v>4967</v>
      </c>
      <c r="F123" s="18"/>
      <c r="G123" s="63" t="s">
        <v>4968</v>
      </c>
      <c r="H123" s="350">
        <v>2272.77</v>
      </c>
      <c r="I123" s="353"/>
      <c r="J123" s="350">
        <f t="shared" si="49"/>
        <v>2272.77</v>
      </c>
      <c r="K123" s="18">
        <v>19</v>
      </c>
      <c r="L123" s="350">
        <f t="shared" si="50"/>
        <v>43182.63</v>
      </c>
      <c r="M123" s="356">
        <f t="shared" si="51"/>
        <v>47500</v>
      </c>
      <c r="N123" s="18" t="s">
        <v>4969</v>
      </c>
      <c r="O123" s="439"/>
      <c r="P123" s="18"/>
      <c r="Q123" s="18"/>
      <c r="R123" s="18" t="s">
        <v>4970</v>
      </c>
      <c r="V123" s="37"/>
      <c r="W123" s="354"/>
      <c r="X123" s="355"/>
      <c r="Y123" s="355"/>
      <c r="Z123" s="355"/>
      <c r="AA123" s="355"/>
      <c r="AB123" s="37"/>
      <c r="AC123" s="37"/>
    </row>
    <row r="124" spans="1:29" ht="21.75" customHeight="1" x14ac:dyDescent="0.4">
      <c r="A124" s="258">
        <v>45838</v>
      </c>
      <c r="B124" s="32" t="s">
        <v>4992</v>
      </c>
      <c r="C124" s="32" t="s">
        <v>4993</v>
      </c>
      <c r="D124" s="18" t="s">
        <v>4994</v>
      </c>
      <c r="E124" s="18" t="s">
        <v>4995</v>
      </c>
      <c r="F124" s="18"/>
      <c r="G124" s="63"/>
      <c r="H124" s="350">
        <v>5000</v>
      </c>
      <c r="I124" s="353"/>
      <c r="J124" s="350">
        <f t="shared" si="49"/>
        <v>5000</v>
      </c>
      <c r="K124" s="18">
        <v>1</v>
      </c>
      <c r="L124" s="350">
        <f t="shared" si="50"/>
        <v>5000</v>
      </c>
      <c r="M124" s="356">
        <f t="shared" si="51"/>
        <v>5500</v>
      </c>
      <c r="N124" s="18" t="s">
        <v>1516</v>
      </c>
      <c r="O124" s="439"/>
    </row>
    <row r="125" spans="1:29" s="67" customFormat="1" ht="21.75" customHeight="1" x14ac:dyDescent="0.4">
      <c r="A125" s="359">
        <v>45838</v>
      </c>
      <c r="B125" s="194" t="s">
        <v>4340</v>
      </c>
      <c r="C125" s="194" t="s">
        <v>2557</v>
      </c>
      <c r="D125" s="196" t="s">
        <v>5008</v>
      </c>
      <c r="E125" s="196" t="s">
        <v>4995</v>
      </c>
      <c r="F125" s="196"/>
      <c r="G125" s="423"/>
      <c r="H125" s="360">
        <v>5000</v>
      </c>
      <c r="I125" s="361"/>
      <c r="J125" s="360">
        <f t="shared" ref="J125" si="69">SUM(H125:I125)</f>
        <v>5000</v>
      </c>
      <c r="K125" s="196">
        <v>1</v>
      </c>
      <c r="L125" s="360">
        <f t="shared" ref="L125" si="70">SUM(J125*K125)</f>
        <v>5000</v>
      </c>
      <c r="M125" s="362">
        <f>ROUNDDOWN(L125*1.1,0)</f>
        <v>5500</v>
      </c>
      <c r="N125" s="196" t="s">
        <v>5013</v>
      </c>
      <c r="O125" s="440"/>
      <c r="P125" s="196"/>
      <c r="Q125" s="196"/>
      <c r="R125" s="196"/>
      <c r="V125" s="37"/>
      <c r="W125" s="354"/>
      <c r="X125" s="355"/>
      <c r="Y125" s="355"/>
      <c r="Z125" s="355"/>
      <c r="AA125" s="355"/>
      <c r="AB125" s="37"/>
      <c r="AC125" s="37"/>
    </row>
    <row r="126" spans="1:29" s="67" customFormat="1" ht="21.75" customHeight="1" x14ac:dyDescent="0.4">
      <c r="A126" s="258">
        <v>45838</v>
      </c>
      <c r="B126" s="32" t="s">
        <v>148</v>
      </c>
      <c r="C126" s="32" t="s">
        <v>4971</v>
      </c>
      <c r="D126" s="18" t="s">
        <v>4972</v>
      </c>
      <c r="E126" s="18" t="s">
        <v>292</v>
      </c>
      <c r="F126" s="18" t="s">
        <v>1051</v>
      </c>
      <c r="G126" s="63" t="s">
        <v>4973</v>
      </c>
      <c r="H126" s="350">
        <v>3200</v>
      </c>
      <c r="I126" s="353">
        <v>-320</v>
      </c>
      <c r="J126" s="350">
        <f t="shared" si="49"/>
        <v>2880</v>
      </c>
      <c r="K126" s="18">
        <v>1</v>
      </c>
      <c r="L126" s="350">
        <f t="shared" si="50"/>
        <v>2880</v>
      </c>
      <c r="M126" s="356">
        <f t="shared" si="51"/>
        <v>3168</v>
      </c>
      <c r="N126" s="18" t="s">
        <v>4969</v>
      </c>
      <c r="O126" s="439"/>
      <c r="P126" s="18"/>
      <c r="Q126" s="18" t="s">
        <v>2594</v>
      </c>
      <c r="R126" s="18" t="s">
        <v>2594</v>
      </c>
      <c r="V126" s="37"/>
      <c r="W126" s="354"/>
      <c r="X126" s="355"/>
      <c r="Y126" s="355"/>
      <c r="Z126" s="355"/>
      <c r="AA126" s="355"/>
      <c r="AB126" s="37"/>
      <c r="AC126" s="37"/>
    </row>
    <row r="127" spans="1:29" s="67" customFormat="1" ht="42.75" customHeight="1" x14ac:dyDescent="0.4">
      <c r="A127" s="258">
        <v>45838</v>
      </c>
      <c r="B127" s="32" t="s">
        <v>4974</v>
      </c>
      <c r="C127" s="32" t="s">
        <v>4975</v>
      </c>
      <c r="D127" s="18" t="s">
        <v>17</v>
      </c>
      <c r="E127" s="18" t="s">
        <v>328</v>
      </c>
      <c r="F127" s="18" t="s">
        <v>4976</v>
      </c>
      <c r="G127" s="63" t="s">
        <v>4987</v>
      </c>
      <c r="H127" s="350">
        <v>15400</v>
      </c>
      <c r="I127" s="353">
        <v>-3080</v>
      </c>
      <c r="J127" s="350">
        <f t="shared" si="49"/>
        <v>12320</v>
      </c>
      <c r="K127" s="18">
        <v>1</v>
      </c>
      <c r="L127" s="350">
        <f t="shared" si="50"/>
        <v>12320</v>
      </c>
      <c r="M127" s="356">
        <f t="shared" si="51"/>
        <v>13552</v>
      </c>
      <c r="N127" s="18" t="s">
        <v>4986</v>
      </c>
      <c r="O127" s="442" t="s">
        <v>4988</v>
      </c>
      <c r="P127" s="18"/>
      <c r="Q127" s="18" t="s">
        <v>4979</v>
      </c>
      <c r="R127" s="18" t="s">
        <v>4979</v>
      </c>
      <c r="V127" s="37"/>
      <c r="W127" s="354"/>
      <c r="X127" s="355"/>
      <c r="Y127" s="355"/>
      <c r="Z127" s="355"/>
      <c r="AA127" s="355"/>
      <c r="AB127" s="37"/>
      <c r="AC127" s="37"/>
    </row>
    <row r="128" spans="1:29" s="67" customFormat="1" ht="21.75" customHeight="1" x14ac:dyDescent="0.4">
      <c r="A128" s="258">
        <v>45838</v>
      </c>
      <c r="B128" s="32" t="s">
        <v>4977</v>
      </c>
      <c r="C128" s="32" t="s">
        <v>2557</v>
      </c>
      <c r="D128" s="18" t="s">
        <v>17</v>
      </c>
      <c r="E128" s="18" t="s">
        <v>3902</v>
      </c>
      <c r="F128" s="18" t="s">
        <v>4978</v>
      </c>
      <c r="G128" s="63" t="s">
        <v>4990</v>
      </c>
      <c r="H128" s="350">
        <v>4727</v>
      </c>
      <c r="I128" s="353">
        <v>-472</v>
      </c>
      <c r="J128" s="350">
        <f t="shared" si="49"/>
        <v>4255</v>
      </c>
      <c r="K128" s="18">
        <v>1</v>
      </c>
      <c r="L128" s="350">
        <f t="shared" si="50"/>
        <v>4255</v>
      </c>
      <c r="M128" s="356">
        <f t="shared" si="51"/>
        <v>4680</v>
      </c>
      <c r="N128" s="18" t="s">
        <v>4985</v>
      </c>
      <c r="O128" s="439"/>
      <c r="P128" s="18"/>
      <c r="Q128" s="18" t="s">
        <v>4979</v>
      </c>
      <c r="R128" s="18" t="s">
        <v>4979</v>
      </c>
      <c r="V128" s="37"/>
      <c r="W128" s="354"/>
      <c r="X128" s="355"/>
      <c r="Y128" s="355"/>
      <c r="Z128" s="355"/>
      <c r="AA128" s="355"/>
      <c r="AB128" s="37"/>
      <c r="AC128" s="37"/>
    </row>
    <row r="129" spans="1:29" s="67" customFormat="1" ht="21.75" customHeight="1" x14ac:dyDescent="0.4">
      <c r="A129" s="258">
        <v>45838</v>
      </c>
      <c r="B129" s="32" t="s">
        <v>4980</v>
      </c>
      <c r="C129" s="32" t="s">
        <v>4292</v>
      </c>
      <c r="D129" s="18" t="s">
        <v>4981</v>
      </c>
      <c r="E129" s="18" t="s">
        <v>426</v>
      </c>
      <c r="F129" s="18" t="s">
        <v>1051</v>
      </c>
      <c r="G129" s="63" t="s">
        <v>4982</v>
      </c>
      <c r="H129" s="350">
        <v>2000</v>
      </c>
      <c r="I129" s="353">
        <v>-600</v>
      </c>
      <c r="J129" s="350">
        <f t="shared" si="49"/>
        <v>1400</v>
      </c>
      <c r="K129" s="18">
        <v>6</v>
      </c>
      <c r="L129" s="350">
        <f t="shared" si="50"/>
        <v>8400</v>
      </c>
      <c r="M129" s="357">
        <f t="shared" si="51"/>
        <v>9240</v>
      </c>
      <c r="N129" s="18" t="s">
        <v>4985</v>
      </c>
      <c r="O129" s="439"/>
      <c r="P129" s="18"/>
      <c r="Q129" s="18" t="s">
        <v>4979</v>
      </c>
      <c r="R129" s="18" t="s">
        <v>4979</v>
      </c>
      <c r="V129" s="37"/>
      <c r="W129" s="354"/>
      <c r="X129" s="355"/>
      <c r="Y129" s="355"/>
      <c r="Z129" s="355"/>
      <c r="AA129" s="355"/>
      <c r="AB129" s="37"/>
      <c r="AC129" s="37"/>
    </row>
    <row r="130" spans="1:29" s="67" customFormat="1" ht="21.75" customHeight="1" x14ac:dyDescent="0.4">
      <c r="A130" s="258">
        <v>45838</v>
      </c>
      <c r="B130" s="32" t="s">
        <v>4980</v>
      </c>
      <c r="C130" s="32" t="s">
        <v>4292</v>
      </c>
      <c r="D130" s="18" t="s">
        <v>4981</v>
      </c>
      <c r="E130" s="18" t="s">
        <v>3530</v>
      </c>
      <c r="F130" s="18" t="s">
        <v>1051</v>
      </c>
      <c r="G130" s="63" t="s">
        <v>4983</v>
      </c>
      <c r="H130" s="350">
        <v>24000</v>
      </c>
      <c r="I130" s="353">
        <v>-6000</v>
      </c>
      <c r="J130" s="350">
        <f t="shared" ref="J130:J131" si="71">SUM(H130:I130)</f>
        <v>18000</v>
      </c>
      <c r="K130" s="18">
        <v>1</v>
      </c>
      <c r="L130" s="350">
        <f t="shared" ref="L130:L131" si="72">SUM(J130*K130)</f>
        <v>18000</v>
      </c>
      <c r="M130" s="356">
        <f t="shared" ref="M130:M131" si="73">ROUNDDOWN(L130*1.1,0)</f>
        <v>19800</v>
      </c>
      <c r="N130" s="18" t="s">
        <v>4985</v>
      </c>
      <c r="O130" s="439"/>
      <c r="P130" s="18"/>
      <c r="Q130" s="18" t="s">
        <v>4979</v>
      </c>
      <c r="R130" s="18" t="s">
        <v>4979</v>
      </c>
      <c r="V130" s="37"/>
      <c r="W130" s="354"/>
      <c r="X130" s="355"/>
      <c r="Y130" s="355"/>
      <c r="Z130" s="355"/>
      <c r="AA130" s="355"/>
      <c r="AB130" s="37"/>
      <c r="AC130" s="37"/>
    </row>
    <row r="131" spans="1:29" s="67" customFormat="1" ht="21.75" customHeight="1" x14ac:dyDescent="0.4">
      <c r="A131" s="258">
        <v>45838</v>
      </c>
      <c r="B131" s="32" t="s">
        <v>4980</v>
      </c>
      <c r="C131" s="32" t="s">
        <v>4292</v>
      </c>
      <c r="D131" s="18" t="s">
        <v>4981</v>
      </c>
      <c r="E131" s="18" t="s">
        <v>3522</v>
      </c>
      <c r="F131" s="18" t="s">
        <v>1051</v>
      </c>
      <c r="G131" s="63" t="s">
        <v>4984</v>
      </c>
      <c r="H131" s="350">
        <v>3600</v>
      </c>
      <c r="I131" s="353">
        <v>-1368</v>
      </c>
      <c r="J131" s="350">
        <f t="shared" si="71"/>
        <v>2232</v>
      </c>
      <c r="K131" s="18">
        <v>1</v>
      </c>
      <c r="L131" s="350">
        <f t="shared" si="72"/>
        <v>2232</v>
      </c>
      <c r="M131" s="356">
        <f t="shared" si="73"/>
        <v>2455</v>
      </c>
      <c r="N131" s="18" t="s">
        <v>4985</v>
      </c>
      <c r="O131" s="439"/>
      <c r="P131" s="18"/>
      <c r="Q131" s="18" t="s">
        <v>4979</v>
      </c>
      <c r="R131" s="18" t="s">
        <v>4979</v>
      </c>
      <c r="V131" s="37"/>
      <c r="W131" s="354"/>
      <c r="X131" s="355"/>
      <c r="Y131" s="355"/>
      <c r="Z131" s="355"/>
      <c r="AA131" s="355"/>
      <c r="AB131" s="37"/>
      <c r="AC131" s="37"/>
    </row>
    <row r="132" spans="1:29" s="67" customFormat="1" ht="21.75" customHeight="1" x14ac:dyDescent="0.4">
      <c r="A132" s="258">
        <v>45840</v>
      </c>
      <c r="B132" s="32" t="s">
        <v>5014</v>
      </c>
      <c r="C132" s="18" t="s">
        <v>405</v>
      </c>
      <c r="D132" s="18" t="s">
        <v>22</v>
      </c>
      <c r="E132" s="18" t="s">
        <v>23</v>
      </c>
      <c r="F132" s="18"/>
      <c r="G132" s="63" t="s">
        <v>264</v>
      </c>
      <c r="H132" s="350">
        <v>15000</v>
      </c>
      <c r="I132" s="353">
        <v>-5000</v>
      </c>
      <c r="J132" s="350">
        <v>10000</v>
      </c>
      <c r="K132" s="18">
        <v>1</v>
      </c>
      <c r="L132" s="350">
        <v>10000</v>
      </c>
      <c r="M132" s="356">
        <v>11000</v>
      </c>
      <c r="N132" s="18" t="s">
        <v>25</v>
      </c>
      <c r="O132" s="439"/>
      <c r="P132" s="18"/>
      <c r="Q132" s="18" t="s">
        <v>4803</v>
      </c>
      <c r="R132" s="18" t="s">
        <v>4803</v>
      </c>
      <c r="V132" s="37"/>
      <c r="W132" s="354"/>
      <c r="X132" s="355"/>
      <c r="Y132" s="355"/>
      <c r="Z132" s="355"/>
      <c r="AA132" s="355"/>
      <c r="AB132" s="37"/>
      <c r="AC132" s="37"/>
    </row>
    <row r="133" spans="1:29" s="67" customFormat="1" ht="21.75" customHeight="1" x14ac:dyDescent="0.4">
      <c r="A133" s="258">
        <v>45841</v>
      </c>
      <c r="B133" s="32" t="s">
        <v>5015</v>
      </c>
      <c r="C133" s="18" t="s">
        <v>405</v>
      </c>
      <c r="D133" s="18" t="s">
        <v>17</v>
      </c>
      <c r="E133" s="18" t="s">
        <v>455</v>
      </c>
      <c r="F133" s="18" t="s">
        <v>3555</v>
      </c>
      <c r="G133" s="63" t="s">
        <v>5016</v>
      </c>
      <c r="H133" s="350">
        <v>2800</v>
      </c>
      <c r="I133" s="353"/>
      <c r="J133" s="350">
        <v>2800</v>
      </c>
      <c r="K133" s="18">
        <v>1</v>
      </c>
      <c r="L133" s="350">
        <v>2800</v>
      </c>
      <c r="M133" s="356">
        <v>3080</v>
      </c>
      <c r="N133" s="18" t="s">
        <v>20</v>
      </c>
      <c r="O133" s="439"/>
      <c r="P133" s="18"/>
      <c r="Q133" s="18" t="s">
        <v>2595</v>
      </c>
      <c r="R133" s="18" t="s">
        <v>4803</v>
      </c>
      <c r="V133" s="37"/>
      <c r="W133" s="354"/>
      <c r="X133" s="355"/>
      <c r="Y133" s="355"/>
      <c r="Z133" s="355"/>
      <c r="AA133" s="355"/>
      <c r="AB133" s="37"/>
      <c r="AC133" s="37"/>
    </row>
    <row r="134" spans="1:29" s="67" customFormat="1" ht="21.75" customHeight="1" x14ac:dyDescent="0.4">
      <c r="A134" s="258">
        <v>45842</v>
      </c>
      <c r="B134" s="32" t="s">
        <v>5017</v>
      </c>
      <c r="C134" s="32" t="s">
        <v>2557</v>
      </c>
      <c r="D134" s="18" t="s">
        <v>17</v>
      </c>
      <c r="E134" s="18" t="s">
        <v>455</v>
      </c>
      <c r="F134" s="18" t="s">
        <v>3552</v>
      </c>
      <c r="G134" s="63" t="s">
        <v>5018</v>
      </c>
      <c r="H134" s="350">
        <v>1800</v>
      </c>
      <c r="I134" s="353">
        <v>-180</v>
      </c>
      <c r="J134" s="350">
        <v>1620</v>
      </c>
      <c r="K134" s="18">
        <v>2</v>
      </c>
      <c r="L134" s="350">
        <v>3240</v>
      </c>
      <c r="M134" s="356">
        <v>3564</v>
      </c>
      <c r="N134" s="18" t="s">
        <v>25</v>
      </c>
      <c r="O134" s="439"/>
      <c r="P134" s="18"/>
      <c r="Q134" s="18" t="s">
        <v>2595</v>
      </c>
      <c r="R134" s="18" t="s">
        <v>4803</v>
      </c>
      <c r="V134" s="37"/>
      <c r="W134" s="354"/>
      <c r="X134" s="355"/>
      <c r="Y134" s="355"/>
      <c r="Z134" s="355"/>
      <c r="AA134" s="355"/>
      <c r="AB134" s="37"/>
      <c r="AC134" s="37"/>
    </row>
    <row r="135" spans="1:29" s="67" customFormat="1" ht="21.75" customHeight="1" x14ac:dyDescent="0.4">
      <c r="A135" s="258">
        <v>45842</v>
      </c>
      <c r="B135" s="32" t="s">
        <v>5019</v>
      </c>
      <c r="C135" s="18" t="s">
        <v>405</v>
      </c>
      <c r="D135" s="18" t="s">
        <v>22</v>
      </c>
      <c r="E135" s="18" t="s">
        <v>369</v>
      </c>
      <c r="F135" s="18"/>
      <c r="G135" s="63" t="s">
        <v>49</v>
      </c>
      <c r="H135" s="350">
        <v>3000</v>
      </c>
      <c r="I135" s="353"/>
      <c r="J135" s="350">
        <v>3000</v>
      </c>
      <c r="K135" s="18">
        <v>1</v>
      </c>
      <c r="L135" s="350">
        <v>3000</v>
      </c>
      <c r="M135" s="356">
        <v>3300</v>
      </c>
      <c r="N135" s="18" t="s">
        <v>20</v>
      </c>
      <c r="O135" s="439"/>
      <c r="P135" s="18"/>
      <c r="Q135" s="18" t="s">
        <v>2596</v>
      </c>
      <c r="R135" s="18" t="s">
        <v>2596</v>
      </c>
      <c r="V135" s="37"/>
      <c r="W135" s="354"/>
      <c r="X135" s="355"/>
      <c r="Y135" s="355"/>
      <c r="Z135" s="355"/>
      <c r="AA135" s="355"/>
      <c r="AB135" s="37"/>
      <c r="AC135" s="37"/>
    </row>
    <row r="136" spans="1:29" s="67" customFormat="1" ht="21.75" customHeight="1" x14ac:dyDescent="0.4">
      <c r="A136" s="258">
        <v>45843</v>
      </c>
      <c r="B136" s="32" t="s">
        <v>3080</v>
      </c>
      <c r="C136" s="32" t="s">
        <v>2557</v>
      </c>
      <c r="D136" s="18" t="s">
        <v>17</v>
      </c>
      <c r="E136" s="18" t="s">
        <v>5020</v>
      </c>
      <c r="F136" s="18"/>
      <c r="G136" s="63" t="s">
        <v>5021</v>
      </c>
      <c r="H136" s="350">
        <v>3800</v>
      </c>
      <c r="I136" s="353">
        <v>-380</v>
      </c>
      <c r="J136" s="350">
        <v>3420</v>
      </c>
      <c r="K136" s="18">
        <v>1</v>
      </c>
      <c r="L136" s="350">
        <v>3420</v>
      </c>
      <c r="M136" s="356">
        <v>3762</v>
      </c>
      <c r="N136" s="18" t="s">
        <v>25</v>
      </c>
      <c r="O136" s="439"/>
      <c r="P136" s="18"/>
      <c r="Q136" s="18" t="s">
        <v>4803</v>
      </c>
      <c r="R136" s="18" t="s">
        <v>4803</v>
      </c>
      <c r="V136" s="37"/>
      <c r="W136" s="354"/>
      <c r="X136" s="355"/>
      <c r="Y136" s="355"/>
      <c r="Z136" s="355"/>
      <c r="AA136" s="355"/>
      <c r="AB136" s="37"/>
      <c r="AC136" s="37"/>
    </row>
    <row r="137" spans="1:29" s="67" customFormat="1" ht="21.75" customHeight="1" x14ac:dyDescent="0.4">
      <c r="A137" s="258">
        <v>45843</v>
      </c>
      <c r="B137" s="32" t="s">
        <v>4700</v>
      </c>
      <c r="C137" s="32" t="s">
        <v>2557</v>
      </c>
      <c r="D137" s="18" t="s">
        <v>5114</v>
      </c>
      <c r="E137" s="18" t="s">
        <v>28</v>
      </c>
      <c r="F137" s="18"/>
      <c r="G137" s="63" t="s">
        <v>318</v>
      </c>
      <c r="H137" s="350">
        <v>15000</v>
      </c>
      <c r="I137" s="353"/>
      <c r="J137" s="350">
        <v>15000</v>
      </c>
      <c r="K137" s="18">
        <v>1</v>
      </c>
      <c r="L137" s="350">
        <v>15000</v>
      </c>
      <c r="M137" s="356">
        <v>16500</v>
      </c>
      <c r="N137" s="18" t="s">
        <v>25</v>
      </c>
      <c r="O137" s="439" t="s">
        <v>4989</v>
      </c>
      <c r="P137" s="18"/>
      <c r="Q137" s="18" t="s">
        <v>4803</v>
      </c>
      <c r="R137" s="18" t="s">
        <v>4803</v>
      </c>
      <c r="S137" s="67" t="s">
        <v>5022</v>
      </c>
      <c r="V137" s="37"/>
      <c r="W137" s="354"/>
      <c r="X137" s="355"/>
      <c r="Y137" s="355"/>
      <c r="Z137" s="355"/>
      <c r="AA137" s="355"/>
      <c r="AB137" s="37"/>
      <c r="AC137" s="37"/>
    </row>
    <row r="138" spans="1:29" s="67" customFormat="1" ht="21.75" customHeight="1" x14ac:dyDescent="0.4">
      <c r="A138" s="258">
        <v>45844</v>
      </c>
      <c r="B138" s="32" t="s">
        <v>5023</v>
      </c>
      <c r="C138" s="32" t="s">
        <v>2557</v>
      </c>
      <c r="D138" s="18" t="s">
        <v>5114</v>
      </c>
      <c r="E138" s="18" t="s">
        <v>28</v>
      </c>
      <c r="F138" s="18"/>
      <c r="G138" s="63" t="s">
        <v>318</v>
      </c>
      <c r="H138" s="350">
        <v>15000</v>
      </c>
      <c r="I138" s="353"/>
      <c r="J138" s="350">
        <v>15000</v>
      </c>
      <c r="K138" s="18">
        <v>1</v>
      </c>
      <c r="L138" s="350">
        <v>15000</v>
      </c>
      <c r="M138" s="356">
        <v>16500</v>
      </c>
      <c r="N138" s="18" t="s">
        <v>20</v>
      </c>
      <c r="O138" s="439"/>
      <c r="P138" s="18" t="s">
        <v>2595</v>
      </c>
      <c r="Q138" s="18" t="s">
        <v>2595</v>
      </c>
      <c r="R138" s="18" t="s">
        <v>4803</v>
      </c>
      <c r="V138" s="37"/>
      <c r="W138" s="354"/>
      <c r="X138" s="355"/>
      <c r="Y138" s="355"/>
      <c r="Z138" s="355"/>
      <c r="AA138" s="355"/>
      <c r="AB138" s="37"/>
      <c r="AC138" s="37"/>
    </row>
    <row r="139" spans="1:29" s="67" customFormat="1" ht="21.75" customHeight="1" x14ac:dyDescent="0.4">
      <c r="A139" s="258">
        <v>45844</v>
      </c>
      <c r="B139" s="32" t="s">
        <v>5023</v>
      </c>
      <c r="C139" s="32" t="s">
        <v>2557</v>
      </c>
      <c r="D139" s="18" t="s">
        <v>5114</v>
      </c>
      <c r="E139" s="18" t="s">
        <v>28</v>
      </c>
      <c r="F139" s="18"/>
      <c r="G139" s="63" t="s">
        <v>5024</v>
      </c>
      <c r="H139" s="350">
        <v>9187</v>
      </c>
      <c r="I139" s="353"/>
      <c r="J139" s="350">
        <v>9187</v>
      </c>
      <c r="K139" s="18">
        <v>1</v>
      </c>
      <c r="L139" s="350">
        <v>9187</v>
      </c>
      <c r="M139" s="356">
        <v>10105</v>
      </c>
      <c r="N139" s="18" t="s">
        <v>20</v>
      </c>
      <c r="O139" s="439"/>
      <c r="P139" s="18"/>
      <c r="Q139" s="18" t="s">
        <v>2595</v>
      </c>
      <c r="R139" s="18" t="s">
        <v>4803</v>
      </c>
      <c r="V139" s="37"/>
      <c r="W139" s="354"/>
      <c r="X139" s="355"/>
      <c r="Y139" s="355"/>
      <c r="Z139" s="355"/>
      <c r="AA139" s="355"/>
      <c r="AB139" s="37"/>
      <c r="AC139" s="37"/>
    </row>
    <row r="140" spans="1:29" s="67" customFormat="1" ht="21.75" customHeight="1" x14ac:dyDescent="0.4">
      <c r="A140" s="258">
        <v>45844</v>
      </c>
      <c r="B140" s="32" t="s">
        <v>5023</v>
      </c>
      <c r="C140" s="32" t="s">
        <v>2557</v>
      </c>
      <c r="D140" s="18" t="s">
        <v>5114</v>
      </c>
      <c r="E140" s="18" t="s">
        <v>28</v>
      </c>
      <c r="F140" s="18"/>
      <c r="G140" s="63" t="s">
        <v>5025</v>
      </c>
      <c r="H140" s="350">
        <v>12250</v>
      </c>
      <c r="I140" s="353"/>
      <c r="J140" s="350">
        <v>12250</v>
      </c>
      <c r="K140" s="18">
        <v>1</v>
      </c>
      <c r="L140" s="350">
        <v>12250</v>
      </c>
      <c r="M140" s="356">
        <v>13475</v>
      </c>
      <c r="N140" s="18" t="s">
        <v>20</v>
      </c>
      <c r="O140" s="439" t="s">
        <v>5026</v>
      </c>
      <c r="P140" s="18"/>
      <c r="Q140" s="18" t="s">
        <v>2595</v>
      </c>
      <c r="R140" s="18" t="s">
        <v>4803</v>
      </c>
      <c r="V140" s="37"/>
      <c r="W140" s="354"/>
      <c r="X140" s="355"/>
      <c r="Y140" s="355"/>
      <c r="Z140" s="355"/>
      <c r="AA140" s="355"/>
      <c r="AB140" s="37"/>
      <c r="AC140" s="37"/>
    </row>
    <row r="141" spans="1:29" s="67" customFormat="1" ht="21.75" customHeight="1" x14ac:dyDescent="0.4">
      <c r="A141" s="258">
        <v>45844</v>
      </c>
      <c r="B141" s="32" t="s">
        <v>4913</v>
      </c>
      <c r="C141" s="32" t="s">
        <v>2557</v>
      </c>
      <c r="D141" s="18" t="s">
        <v>17</v>
      </c>
      <c r="E141" s="18" t="s">
        <v>18</v>
      </c>
      <c r="F141" s="18" t="s">
        <v>994</v>
      </c>
      <c r="G141" s="63" t="s">
        <v>3798</v>
      </c>
      <c r="H141" s="350">
        <v>1800</v>
      </c>
      <c r="I141" s="353">
        <v>-180</v>
      </c>
      <c r="J141" s="350">
        <v>1620</v>
      </c>
      <c r="K141" s="18">
        <v>1</v>
      </c>
      <c r="L141" s="350">
        <v>1620</v>
      </c>
      <c r="M141" s="356">
        <v>1782</v>
      </c>
      <c r="N141" s="18" t="s">
        <v>25</v>
      </c>
      <c r="O141" s="439"/>
      <c r="P141" s="18"/>
      <c r="Q141" s="18" t="s">
        <v>4803</v>
      </c>
      <c r="R141" s="18" t="s">
        <v>4803</v>
      </c>
      <c r="V141" s="37"/>
      <c r="W141" s="354"/>
      <c r="X141" s="355"/>
      <c r="Y141" s="355"/>
      <c r="Z141" s="355"/>
      <c r="AA141" s="355"/>
      <c r="AB141" s="37"/>
      <c r="AC141" s="37"/>
    </row>
    <row r="142" spans="1:29" s="67" customFormat="1" ht="21.75" customHeight="1" x14ac:dyDescent="0.4">
      <c r="A142" s="258">
        <v>45845</v>
      </c>
      <c r="B142" s="32" t="s">
        <v>5136</v>
      </c>
      <c r="C142" s="18" t="s">
        <v>405</v>
      </c>
      <c r="D142" s="18" t="s">
        <v>22</v>
      </c>
      <c r="E142" s="18" t="s">
        <v>5137</v>
      </c>
      <c r="F142" s="18"/>
      <c r="G142" s="63" t="s">
        <v>5138</v>
      </c>
      <c r="H142" s="350">
        <v>15000</v>
      </c>
      <c r="I142" s="353">
        <v>-5000</v>
      </c>
      <c r="J142" s="350">
        <v>10000</v>
      </c>
      <c r="K142" s="18">
        <v>1</v>
      </c>
      <c r="L142" s="350">
        <v>10000</v>
      </c>
      <c r="M142" s="356">
        <v>11000</v>
      </c>
      <c r="N142" s="18" t="s">
        <v>5139</v>
      </c>
      <c r="O142" s="439" t="s">
        <v>5140</v>
      </c>
      <c r="P142" s="18" t="s">
        <v>5142</v>
      </c>
      <c r="Q142" s="18" t="s">
        <v>5141</v>
      </c>
      <c r="R142" s="18" t="s">
        <v>5141</v>
      </c>
      <c r="V142" s="37"/>
      <c r="W142" s="354"/>
      <c r="X142" s="355"/>
      <c r="Y142" s="355"/>
      <c r="Z142" s="355"/>
      <c r="AA142" s="355"/>
      <c r="AB142" s="37"/>
      <c r="AC142" s="37"/>
    </row>
    <row r="143" spans="1:29" s="67" customFormat="1" ht="21.75" customHeight="1" x14ac:dyDescent="0.4">
      <c r="A143" s="258">
        <v>45847</v>
      </c>
      <c r="B143" s="32" t="s">
        <v>4836</v>
      </c>
      <c r="C143" s="32" t="s">
        <v>2557</v>
      </c>
      <c r="D143" s="18" t="s">
        <v>17</v>
      </c>
      <c r="E143" s="18" t="s">
        <v>59</v>
      </c>
      <c r="F143" s="18"/>
      <c r="G143" s="63" t="s">
        <v>5027</v>
      </c>
      <c r="H143" s="350">
        <v>1000</v>
      </c>
      <c r="I143" s="353"/>
      <c r="J143" s="350">
        <v>1000</v>
      </c>
      <c r="K143" s="18">
        <v>1</v>
      </c>
      <c r="L143" s="350">
        <v>1000</v>
      </c>
      <c r="M143" s="356">
        <v>1100</v>
      </c>
      <c r="N143" s="18" t="s">
        <v>25</v>
      </c>
      <c r="O143" s="439"/>
      <c r="P143" s="18"/>
      <c r="Q143" s="18" t="s">
        <v>2594</v>
      </c>
      <c r="R143" s="18" t="s">
        <v>2594</v>
      </c>
      <c r="V143" s="37"/>
      <c r="W143" s="354"/>
      <c r="X143" s="355"/>
      <c r="Y143" s="355"/>
      <c r="Z143" s="355"/>
      <c r="AA143" s="355"/>
      <c r="AB143" s="37"/>
      <c r="AC143" s="37"/>
    </row>
    <row r="144" spans="1:29" s="67" customFormat="1" ht="21.75" customHeight="1" x14ac:dyDescent="0.4">
      <c r="A144" s="258">
        <v>45847</v>
      </c>
      <c r="B144" s="32" t="s">
        <v>139</v>
      </c>
      <c r="C144" s="32" t="s">
        <v>2557</v>
      </c>
      <c r="D144" s="18" t="s">
        <v>17</v>
      </c>
      <c r="E144" s="18" t="s">
        <v>455</v>
      </c>
      <c r="F144" s="18" t="s">
        <v>3555</v>
      </c>
      <c r="G144" s="63" t="s">
        <v>5028</v>
      </c>
      <c r="H144" s="350">
        <v>1900</v>
      </c>
      <c r="I144" s="353">
        <v>-190</v>
      </c>
      <c r="J144" s="350">
        <v>1710</v>
      </c>
      <c r="K144" s="18">
        <v>3</v>
      </c>
      <c r="L144" s="350">
        <v>5130</v>
      </c>
      <c r="M144" s="356">
        <v>5643</v>
      </c>
      <c r="N144" s="18" t="s">
        <v>25</v>
      </c>
      <c r="O144" s="439"/>
      <c r="P144" s="18"/>
      <c r="Q144" s="18" t="s">
        <v>2594</v>
      </c>
      <c r="R144" s="18" t="s">
        <v>2594</v>
      </c>
      <c r="V144" s="37"/>
      <c r="W144" s="354"/>
      <c r="X144" s="355"/>
      <c r="Y144" s="355"/>
      <c r="Z144" s="355"/>
      <c r="AA144" s="355"/>
      <c r="AB144" s="37"/>
      <c r="AC144" s="37"/>
    </row>
    <row r="145" spans="1:29" s="67" customFormat="1" ht="21.75" customHeight="1" x14ac:dyDescent="0.4">
      <c r="A145" s="258">
        <v>45847</v>
      </c>
      <c r="B145" s="32" t="s">
        <v>162</v>
      </c>
      <c r="C145" s="32" t="s">
        <v>2557</v>
      </c>
      <c r="D145" s="18" t="s">
        <v>27</v>
      </c>
      <c r="E145" s="18" t="s">
        <v>28</v>
      </c>
      <c r="F145" s="18"/>
      <c r="G145" s="63" t="s">
        <v>73</v>
      </c>
      <c r="H145" s="350">
        <v>2000</v>
      </c>
      <c r="I145" s="353"/>
      <c r="J145" s="350">
        <v>2000</v>
      </c>
      <c r="K145" s="18">
        <v>1</v>
      </c>
      <c r="L145" s="350">
        <v>2000</v>
      </c>
      <c r="M145" s="356">
        <v>2200</v>
      </c>
      <c r="N145" s="18" t="s">
        <v>25</v>
      </c>
      <c r="O145" s="439"/>
      <c r="P145" s="18"/>
      <c r="Q145" s="18" t="s">
        <v>2594</v>
      </c>
      <c r="R145" s="18" t="s">
        <v>2594</v>
      </c>
      <c r="V145" s="37"/>
      <c r="W145" s="354"/>
      <c r="X145" s="355"/>
      <c r="Y145" s="355"/>
      <c r="Z145" s="355"/>
      <c r="AA145" s="355"/>
      <c r="AB145" s="37"/>
      <c r="AC145" s="37"/>
    </row>
    <row r="146" spans="1:29" s="67" customFormat="1" ht="21.75" customHeight="1" x14ac:dyDescent="0.4">
      <c r="A146" s="258">
        <v>45848</v>
      </c>
      <c r="B146" s="32" t="s">
        <v>5029</v>
      </c>
      <c r="C146" s="18" t="s">
        <v>405</v>
      </c>
      <c r="D146" s="18" t="s">
        <v>22</v>
      </c>
      <c r="E146" s="18" t="s">
        <v>23</v>
      </c>
      <c r="F146" s="18"/>
      <c r="G146" s="63" t="s">
        <v>1702</v>
      </c>
      <c r="H146" s="350">
        <v>20000</v>
      </c>
      <c r="I146" s="353"/>
      <c r="J146" s="350">
        <v>20000</v>
      </c>
      <c r="K146" s="18">
        <v>1</v>
      </c>
      <c r="L146" s="350">
        <v>20000</v>
      </c>
      <c r="M146" s="356">
        <v>22000</v>
      </c>
      <c r="N146" s="18" t="s">
        <v>25</v>
      </c>
      <c r="O146" s="454" t="s">
        <v>6433</v>
      </c>
      <c r="P146" s="18"/>
      <c r="Q146" s="18" t="s">
        <v>4803</v>
      </c>
      <c r="R146" s="18" t="s">
        <v>5030</v>
      </c>
      <c r="V146" s="37"/>
      <c r="W146" s="354"/>
      <c r="X146" s="355"/>
      <c r="Y146" s="355"/>
      <c r="Z146" s="355"/>
      <c r="AA146" s="355"/>
      <c r="AB146" s="37"/>
      <c r="AC146" s="37"/>
    </row>
    <row r="147" spans="1:29" s="67" customFormat="1" ht="21.75" customHeight="1" x14ac:dyDescent="0.4">
      <c r="A147" s="258">
        <v>45849</v>
      </c>
      <c r="B147" s="32" t="s">
        <v>2131</v>
      </c>
      <c r="C147" s="32" t="s">
        <v>2557</v>
      </c>
      <c r="D147" s="18" t="s">
        <v>17</v>
      </c>
      <c r="E147" s="18" t="s">
        <v>18</v>
      </c>
      <c r="F147" s="18" t="s">
        <v>994</v>
      </c>
      <c r="G147" s="63" t="s">
        <v>5031</v>
      </c>
      <c r="H147" s="350">
        <v>1800</v>
      </c>
      <c r="I147" s="353">
        <v>-180</v>
      </c>
      <c r="J147" s="350">
        <v>1620</v>
      </c>
      <c r="K147" s="18">
        <v>1</v>
      </c>
      <c r="L147" s="350">
        <v>1620</v>
      </c>
      <c r="M147" s="356">
        <v>1782</v>
      </c>
      <c r="N147" s="18" t="s">
        <v>20</v>
      </c>
      <c r="O147" s="439"/>
      <c r="P147" s="18"/>
      <c r="Q147" s="18" t="s">
        <v>4803</v>
      </c>
      <c r="R147" s="18" t="s">
        <v>5030</v>
      </c>
      <c r="V147" s="37"/>
      <c r="W147" s="354"/>
      <c r="X147" s="355"/>
      <c r="Y147" s="355"/>
      <c r="Z147" s="355"/>
      <c r="AA147" s="355"/>
      <c r="AB147" s="37"/>
      <c r="AC147" s="37"/>
    </row>
    <row r="148" spans="1:29" s="67" customFormat="1" ht="21.75" customHeight="1" x14ac:dyDescent="0.4">
      <c r="A148" s="258">
        <v>45849</v>
      </c>
      <c r="B148" s="32" t="s">
        <v>5032</v>
      </c>
      <c r="C148" s="32" t="s">
        <v>2557</v>
      </c>
      <c r="D148" s="18" t="s">
        <v>17</v>
      </c>
      <c r="E148" s="18" t="s">
        <v>455</v>
      </c>
      <c r="F148" s="18" t="s">
        <v>3552</v>
      </c>
      <c r="G148" s="63" t="s">
        <v>5033</v>
      </c>
      <c r="H148" s="350">
        <v>3500</v>
      </c>
      <c r="I148" s="353"/>
      <c r="J148" s="350">
        <v>3500</v>
      </c>
      <c r="K148" s="18">
        <v>1</v>
      </c>
      <c r="L148" s="350">
        <v>3500</v>
      </c>
      <c r="M148" s="356">
        <v>3850</v>
      </c>
      <c r="N148" s="18" t="s">
        <v>25</v>
      </c>
      <c r="O148" s="439"/>
      <c r="P148" s="18"/>
      <c r="Q148" s="18"/>
      <c r="R148" s="18"/>
      <c r="V148" s="37"/>
      <c r="W148" s="354"/>
      <c r="X148" s="355"/>
      <c r="Y148" s="355"/>
      <c r="Z148" s="355"/>
      <c r="AA148" s="355"/>
      <c r="AB148" s="37"/>
      <c r="AC148" s="37"/>
    </row>
    <row r="149" spans="1:29" s="67" customFormat="1" ht="21.75" customHeight="1" x14ac:dyDescent="0.4">
      <c r="A149" s="258">
        <v>45850</v>
      </c>
      <c r="B149" s="32" t="s">
        <v>5034</v>
      </c>
      <c r="C149" s="18" t="s">
        <v>405</v>
      </c>
      <c r="D149" s="18" t="s">
        <v>22</v>
      </c>
      <c r="E149" s="18" t="s">
        <v>23</v>
      </c>
      <c r="F149" s="18"/>
      <c r="G149" s="63" t="s">
        <v>264</v>
      </c>
      <c r="H149" s="350">
        <v>15000</v>
      </c>
      <c r="I149" s="353"/>
      <c r="J149" s="350">
        <v>15000</v>
      </c>
      <c r="K149" s="18">
        <v>1</v>
      </c>
      <c r="L149" s="350">
        <v>15000</v>
      </c>
      <c r="M149" s="356">
        <v>16500</v>
      </c>
      <c r="N149" s="18" t="s">
        <v>25</v>
      </c>
      <c r="O149" s="454" t="s">
        <v>6433</v>
      </c>
      <c r="P149" s="18"/>
      <c r="Q149" s="18"/>
      <c r="R149" s="18"/>
      <c r="V149" s="37"/>
      <c r="W149" s="354"/>
      <c r="X149" s="355"/>
      <c r="Y149" s="355"/>
      <c r="Z149" s="355"/>
      <c r="AA149" s="355"/>
      <c r="AB149" s="37"/>
      <c r="AC149" s="37"/>
    </row>
    <row r="150" spans="1:29" s="67" customFormat="1" ht="21.75" customHeight="1" x14ac:dyDescent="0.4">
      <c r="A150" s="258">
        <v>45850</v>
      </c>
      <c r="B150" s="32" t="s">
        <v>5035</v>
      </c>
      <c r="C150" s="18" t="s">
        <v>405</v>
      </c>
      <c r="D150" s="18" t="s">
        <v>27</v>
      </c>
      <c r="E150" s="18" t="s">
        <v>28</v>
      </c>
      <c r="F150" s="18"/>
      <c r="G150" s="63" t="s">
        <v>5036</v>
      </c>
      <c r="H150" s="350">
        <v>17500</v>
      </c>
      <c r="I150" s="353"/>
      <c r="J150" s="350">
        <v>17500</v>
      </c>
      <c r="K150" s="18">
        <v>1</v>
      </c>
      <c r="L150" s="350">
        <v>17500</v>
      </c>
      <c r="M150" s="356">
        <v>19250</v>
      </c>
      <c r="N150" s="18" t="s">
        <v>20</v>
      </c>
      <c r="O150" s="439" t="s">
        <v>5026</v>
      </c>
      <c r="P150" s="18" t="s">
        <v>4798</v>
      </c>
      <c r="Q150" s="18"/>
      <c r="R150" s="18" t="s">
        <v>2595</v>
      </c>
      <c r="V150" s="37"/>
      <c r="W150" s="354"/>
      <c r="X150" s="355"/>
      <c r="Y150" s="355"/>
      <c r="Z150" s="355"/>
      <c r="AA150" s="355"/>
      <c r="AB150" s="37"/>
      <c r="AC150" s="37"/>
    </row>
    <row r="151" spans="1:29" s="67" customFormat="1" ht="21.75" customHeight="1" x14ac:dyDescent="0.4">
      <c r="A151" s="258">
        <v>45850</v>
      </c>
      <c r="B151" s="32" t="s">
        <v>5037</v>
      </c>
      <c r="C151" s="18" t="s">
        <v>405</v>
      </c>
      <c r="D151" s="18" t="s">
        <v>27</v>
      </c>
      <c r="E151" s="18" t="s">
        <v>28</v>
      </c>
      <c r="F151" s="18"/>
      <c r="G151" s="63" t="s">
        <v>5038</v>
      </c>
      <c r="H151" s="350">
        <v>5000</v>
      </c>
      <c r="I151" s="353"/>
      <c r="J151" s="350">
        <v>5000</v>
      </c>
      <c r="K151" s="18">
        <v>1</v>
      </c>
      <c r="L151" s="350">
        <v>5000</v>
      </c>
      <c r="M151" s="356">
        <v>5500</v>
      </c>
      <c r="N151" s="18" t="s">
        <v>25</v>
      </c>
      <c r="O151" s="439"/>
      <c r="P151" s="18" t="s">
        <v>2594</v>
      </c>
      <c r="Q151" s="18"/>
      <c r="R151" s="18" t="s">
        <v>2595</v>
      </c>
      <c r="V151" s="37"/>
      <c r="W151" s="354"/>
      <c r="X151" s="355"/>
      <c r="Y151" s="355"/>
      <c r="Z151" s="355"/>
      <c r="AA151" s="355"/>
      <c r="AB151" s="37"/>
      <c r="AC151" s="37"/>
    </row>
    <row r="152" spans="1:29" s="67" customFormat="1" ht="21.75" customHeight="1" x14ac:dyDescent="0.4">
      <c r="A152" s="258">
        <v>45850</v>
      </c>
      <c r="B152" s="32" t="s">
        <v>5039</v>
      </c>
      <c r="C152" s="18" t="s">
        <v>405</v>
      </c>
      <c r="D152" s="18" t="s">
        <v>27</v>
      </c>
      <c r="E152" s="18" t="s">
        <v>28</v>
      </c>
      <c r="F152" s="18"/>
      <c r="G152" s="63" t="s">
        <v>5036</v>
      </c>
      <c r="H152" s="350">
        <v>17500</v>
      </c>
      <c r="I152" s="353"/>
      <c r="J152" s="350">
        <v>17500</v>
      </c>
      <c r="K152" s="18">
        <v>1</v>
      </c>
      <c r="L152" s="350">
        <v>17500</v>
      </c>
      <c r="M152" s="356">
        <v>19250</v>
      </c>
      <c r="N152" s="18" t="s">
        <v>20</v>
      </c>
      <c r="O152" s="439" t="s">
        <v>5026</v>
      </c>
      <c r="P152" s="18" t="s">
        <v>2596</v>
      </c>
      <c r="Q152" s="18"/>
      <c r="R152" s="18" t="s">
        <v>2595</v>
      </c>
      <c r="V152" s="37"/>
      <c r="W152" s="354"/>
      <c r="X152" s="355"/>
      <c r="Y152" s="355"/>
      <c r="Z152" s="355"/>
      <c r="AA152" s="355"/>
      <c r="AB152" s="37"/>
      <c r="AC152" s="37"/>
    </row>
    <row r="153" spans="1:29" s="67" customFormat="1" ht="21.75" customHeight="1" x14ac:dyDescent="0.4">
      <c r="A153" s="258">
        <v>45850</v>
      </c>
      <c r="B153" s="32" t="s">
        <v>139</v>
      </c>
      <c r="C153" s="32" t="s">
        <v>2557</v>
      </c>
      <c r="D153" s="18" t="s">
        <v>22</v>
      </c>
      <c r="E153" s="18" t="s">
        <v>5040</v>
      </c>
      <c r="F153" s="18"/>
      <c r="G153" s="63" t="s">
        <v>4869</v>
      </c>
      <c r="H153" s="350">
        <v>2000</v>
      </c>
      <c r="I153" s="353"/>
      <c r="J153" s="350">
        <v>2000</v>
      </c>
      <c r="K153" s="18">
        <v>2</v>
      </c>
      <c r="L153" s="350">
        <v>4000</v>
      </c>
      <c r="M153" s="356">
        <v>4400</v>
      </c>
      <c r="N153" s="18" t="s">
        <v>25</v>
      </c>
      <c r="O153" s="439"/>
      <c r="P153" s="18" t="s">
        <v>2595</v>
      </c>
      <c r="Q153" s="18" t="s">
        <v>2595</v>
      </c>
      <c r="R153" s="18" t="s">
        <v>2595</v>
      </c>
      <c r="V153" s="37"/>
      <c r="W153" s="354"/>
      <c r="X153" s="355"/>
      <c r="Y153" s="355"/>
      <c r="Z153" s="355"/>
      <c r="AA153" s="355"/>
      <c r="AB153" s="37"/>
      <c r="AC153" s="37"/>
    </row>
    <row r="154" spans="1:29" s="67" customFormat="1" ht="21.75" customHeight="1" x14ac:dyDescent="0.4">
      <c r="A154" s="258">
        <v>45851</v>
      </c>
      <c r="B154" s="32" t="s">
        <v>1216</v>
      </c>
      <c r="C154" s="32" t="s">
        <v>2557</v>
      </c>
      <c r="D154" s="18" t="s">
        <v>27</v>
      </c>
      <c r="E154" s="18" t="s">
        <v>28</v>
      </c>
      <c r="F154" s="18"/>
      <c r="G154" s="63" t="s">
        <v>5036</v>
      </c>
      <c r="H154" s="350">
        <v>17500</v>
      </c>
      <c r="I154" s="353"/>
      <c r="J154" s="350">
        <v>17500</v>
      </c>
      <c r="K154" s="18">
        <v>1</v>
      </c>
      <c r="L154" s="350">
        <v>17500</v>
      </c>
      <c r="M154" s="356">
        <v>19250</v>
      </c>
      <c r="N154" s="18" t="s">
        <v>25</v>
      </c>
      <c r="O154" s="439" t="s">
        <v>5041</v>
      </c>
      <c r="P154" s="18"/>
      <c r="Q154" s="18" t="s">
        <v>2594</v>
      </c>
      <c r="R154" s="18" t="s">
        <v>2594</v>
      </c>
      <c r="V154" s="37"/>
      <c r="W154" s="354"/>
      <c r="X154" s="355"/>
      <c r="Y154" s="355"/>
      <c r="Z154" s="355"/>
      <c r="AA154" s="355"/>
      <c r="AB154" s="37"/>
      <c r="AC154" s="37"/>
    </row>
    <row r="155" spans="1:29" s="67" customFormat="1" ht="21.75" customHeight="1" x14ac:dyDescent="0.4">
      <c r="A155" s="258">
        <v>45851</v>
      </c>
      <c r="B155" s="32" t="s">
        <v>5042</v>
      </c>
      <c r="C155" s="32" t="s">
        <v>2557</v>
      </c>
      <c r="D155" s="18" t="s">
        <v>27</v>
      </c>
      <c r="E155" s="18" t="s">
        <v>28</v>
      </c>
      <c r="F155" s="18"/>
      <c r="G155" s="63" t="s">
        <v>5043</v>
      </c>
      <c r="H155" s="350">
        <v>55000</v>
      </c>
      <c r="I155" s="353"/>
      <c r="J155" s="350">
        <v>55000</v>
      </c>
      <c r="K155" s="18">
        <v>1</v>
      </c>
      <c r="L155" s="350">
        <v>55000</v>
      </c>
      <c r="M155" s="356">
        <v>60500</v>
      </c>
      <c r="N155" s="18" t="s">
        <v>25</v>
      </c>
      <c r="O155" s="439" t="s">
        <v>5041</v>
      </c>
      <c r="P155" s="18"/>
      <c r="Q155" s="18" t="s">
        <v>2594</v>
      </c>
      <c r="R155" s="18" t="s">
        <v>2594</v>
      </c>
      <c r="V155" s="37"/>
      <c r="W155" s="354"/>
      <c r="X155" s="355"/>
      <c r="Y155" s="355"/>
      <c r="Z155" s="355"/>
      <c r="AA155" s="355"/>
      <c r="AB155" s="37"/>
      <c r="AC155" s="37"/>
    </row>
    <row r="156" spans="1:29" s="67" customFormat="1" ht="21.75" customHeight="1" x14ac:dyDescent="0.4">
      <c r="A156" s="258">
        <v>45852</v>
      </c>
      <c r="B156" s="32" t="s">
        <v>839</v>
      </c>
      <c r="C156" s="32" t="s">
        <v>2557</v>
      </c>
      <c r="D156" s="18" t="s">
        <v>17</v>
      </c>
      <c r="E156" s="18" t="s">
        <v>18</v>
      </c>
      <c r="F156" s="18" t="s">
        <v>3920</v>
      </c>
      <c r="G156" s="63" t="s">
        <v>5044</v>
      </c>
      <c r="H156" s="350">
        <v>2070</v>
      </c>
      <c r="I156" s="353">
        <v>-207</v>
      </c>
      <c r="J156" s="350">
        <v>1863</v>
      </c>
      <c r="K156" s="18">
        <v>1</v>
      </c>
      <c r="L156" s="350">
        <v>1863</v>
      </c>
      <c r="M156" s="356">
        <v>2049</v>
      </c>
      <c r="N156" s="18" t="s">
        <v>25</v>
      </c>
      <c r="O156" s="439"/>
      <c r="P156" s="18"/>
      <c r="Q156" s="18" t="s">
        <v>2595</v>
      </c>
      <c r="R156" s="18" t="s">
        <v>2595</v>
      </c>
      <c r="V156" s="37"/>
      <c r="W156" s="354"/>
      <c r="X156" s="355"/>
      <c r="Y156" s="355"/>
      <c r="Z156" s="355"/>
      <c r="AA156" s="355"/>
      <c r="AB156" s="37"/>
      <c r="AC156" s="37"/>
    </row>
    <row r="157" spans="1:29" s="67" customFormat="1" ht="21.75" customHeight="1" x14ac:dyDescent="0.4">
      <c r="A157" s="258">
        <v>45852</v>
      </c>
      <c r="B157" s="32" t="s">
        <v>5045</v>
      </c>
      <c r="C157" s="18" t="s">
        <v>405</v>
      </c>
      <c r="D157" s="18" t="s">
        <v>27</v>
      </c>
      <c r="E157" s="18" t="s">
        <v>28</v>
      </c>
      <c r="F157" s="18"/>
      <c r="G157" s="63" t="s">
        <v>5038</v>
      </c>
      <c r="H157" s="350">
        <v>5000</v>
      </c>
      <c r="I157" s="353"/>
      <c r="J157" s="350">
        <v>5000</v>
      </c>
      <c r="K157" s="18">
        <v>1</v>
      </c>
      <c r="L157" s="350">
        <v>5000</v>
      </c>
      <c r="M157" s="356">
        <v>5500</v>
      </c>
      <c r="N157" s="18" t="s">
        <v>25</v>
      </c>
      <c r="O157" s="439"/>
      <c r="P157" s="18" t="s">
        <v>2595</v>
      </c>
      <c r="Q157" s="18" t="s">
        <v>2595</v>
      </c>
      <c r="R157" s="18" t="s">
        <v>2595</v>
      </c>
      <c r="V157" s="37"/>
      <c r="W157" s="354"/>
      <c r="X157" s="355"/>
      <c r="Y157" s="355"/>
      <c r="Z157" s="355"/>
      <c r="AA157" s="355"/>
      <c r="AB157" s="37"/>
      <c r="AC157" s="37"/>
    </row>
    <row r="158" spans="1:29" s="67" customFormat="1" ht="21.75" customHeight="1" x14ac:dyDescent="0.4">
      <c r="A158" s="258">
        <v>45852</v>
      </c>
      <c r="B158" s="32" t="s">
        <v>5046</v>
      </c>
      <c r="C158" s="32" t="s">
        <v>2557</v>
      </c>
      <c r="D158" s="18" t="s">
        <v>17</v>
      </c>
      <c r="E158" s="18" t="s">
        <v>455</v>
      </c>
      <c r="F158" s="18" t="s">
        <v>3551</v>
      </c>
      <c r="G158" s="63" t="s">
        <v>5047</v>
      </c>
      <c r="H158" s="350">
        <v>1300</v>
      </c>
      <c r="I158" s="353">
        <v>-130</v>
      </c>
      <c r="J158" s="350">
        <v>1170</v>
      </c>
      <c r="K158" s="18">
        <v>2</v>
      </c>
      <c r="L158" s="350">
        <v>2340</v>
      </c>
      <c r="M158" s="356">
        <v>2574</v>
      </c>
      <c r="N158" s="18" t="s">
        <v>25</v>
      </c>
      <c r="O158" s="439"/>
      <c r="P158" s="18" t="s">
        <v>2595</v>
      </c>
      <c r="Q158" s="18" t="s">
        <v>2595</v>
      </c>
      <c r="R158" s="18" t="s">
        <v>2595</v>
      </c>
      <c r="V158" s="37"/>
      <c r="W158" s="354"/>
      <c r="X158" s="355"/>
      <c r="Y158" s="355"/>
      <c r="Z158" s="355"/>
      <c r="AA158" s="355"/>
      <c r="AB158" s="37"/>
      <c r="AC158" s="37"/>
    </row>
    <row r="159" spans="1:29" s="67" customFormat="1" ht="21.75" customHeight="1" x14ac:dyDescent="0.4">
      <c r="A159" s="258">
        <v>45854</v>
      </c>
      <c r="B159" s="32" t="s">
        <v>4385</v>
      </c>
      <c r="C159" s="32" t="s">
        <v>2557</v>
      </c>
      <c r="D159" s="18" t="s">
        <v>27</v>
      </c>
      <c r="E159" s="18" t="s">
        <v>28</v>
      </c>
      <c r="F159" s="18"/>
      <c r="G159" s="63" t="s">
        <v>5036</v>
      </c>
      <c r="H159" s="350">
        <v>17500</v>
      </c>
      <c r="I159" s="353"/>
      <c r="J159" s="350">
        <v>17500</v>
      </c>
      <c r="K159" s="18">
        <v>1</v>
      </c>
      <c r="L159" s="350">
        <v>17500</v>
      </c>
      <c r="M159" s="356">
        <v>19250</v>
      </c>
      <c r="N159" s="18" t="s">
        <v>25</v>
      </c>
      <c r="O159" s="439" t="s">
        <v>5026</v>
      </c>
      <c r="P159" s="18"/>
      <c r="Q159" s="18" t="s">
        <v>4803</v>
      </c>
      <c r="R159" s="18" t="s">
        <v>4803</v>
      </c>
      <c r="V159" s="37"/>
      <c r="W159" s="354"/>
      <c r="X159" s="355"/>
      <c r="Y159" s="355"/>
      <c r="Z159" s="355"/>
      <c r="AA159" s="355"/>
      <c r="AB159" s="37"/>
      <c r="AC159" s="37"/>
    </row>
    <row r="160" spans="1:29" s="67" customFormat="1" ht="21.75" customHeight="1" x14ac:dyDescent="0.4">
      <c r="A160" s="258">
        <v>45854</v>
      </c>
      <c r="B160" s="32" t="s">
        <v>139</v>
      </c>
      <c r="C160" s="32" t="s">
        <v>2557</v>
      </c>
      <c r="D160" s="18" t="s">
        <v>17</v>
      </c>
      <c r="E160" s="18" t="s">
        <v>18</v>
      </c>
      <c r="F160" s="18" t="s">
        <v>994</v>
      </c>
      <c r="G160" s="63" t="s">
        <v>5048</v>
      </c>
      <c r="H160" s="350">
        <v>1800</v>
      </c>
      <c r="I160" s="353">
        <v>-180</v>
      </c>
      <c r="J160" s="350">
        <v>1620</v>
      </c>
      <c r="K160" s="18">
        <v>1</v>
      </c>
      <c r="L160" s="350">
        <v>1620</v>
      </c>
      <c r="M160" s="356">
        <v>1782</v>
      </c>
      <c r="N160" s="18" t="s">
        <v>25</v>
      </c>
      <c r="O160" s="439"/>
      <c r="P160" s="18"/>
      <c r="Q160" s="18" t="s">
        <v>2594</v>
      </c>
      <c r="R160" s="18" t="s">
        <v>2594</v>
      </c>
      <c r="V160" s="37"/>
      <c r="W160" s="354"/>
      <c r="X160" s="355"/>
      <c r="Y160" s="355"/>
      <c r="Z160" s="355"/>
      <c r="AA160" s="355"/>
      <c r="AB160" s="37"/>
      <c r="AC160" s="37"/>
    </row>
    <row r="161" spans="1:29" s="67" customFormat="1" ht="21.75" customHeight="1" x14ac:dyDescent="0.4">
      <c r="A161" s="370">
        <v>45855</v>
      </c>
      <c r="B161" s="191" t="s">
        <v>4865</v>
      </c>
      <c r="C161" s="191" t="s">
        <v>2557</v>
      </c>
      <c r="D161" s="192" t="s">
        <v>22</v>
      </c>
      <c r="E161" s="192" t="s">
        <v>5040</v>
      </c>
      <c r="F161" s="192"/>
      <c r="G161" s="193" t="s">
        <v>4869</v>
      </c>
      <c r="H161" s="371">
        <v>2000</v>
      </c>
      <c r="I161" s="372"/>
      <c r="J161" s="371">
        <v>2000</v>
      </c>
      <c r="K161" s="192">
        <v>1</v>
      </c>
      <c r="L161" s="371">
        <v>2000</v>
      </c>
      <c r="M161" s="373">
        <v>2200</v>
      </c>
      <c r="N161" s="192" t="s">
        <v>20</v>
      </c>
      <c r="O161" s="443"/>
      <c r="P161" s="192" t="s">
        <v>2595</v>
      </c>
      <c r="Q161" s="192" t="s">
        <v>2595</v>
      </c>
      <c r="R161" s="192" t="s">
        <v>2595</v>
      </c>
      <c r="V161" s="37"/>
      <c r="W161" s="354"/>
      <c r="X161" s="355"/>
      <c r="Y161" s="355"/>
      <c r="Z161" s="355"/>
      <c r="AA161" s="355"/>
      <c r="AB161" s="37"/>
      <c r="AC161" s="37"/>
    </row>
    <row r="162" spans="1:29" s="67" customFormat="1" ht="21.75" customHeight="1" x14ac:dyDescent="0.4">
      <c r="A162" s="370">
        <v>45855</v>
      </c>
      <c r="B162" s="191" t="s">
        <v>619</v>
      </c>
      <c r="C162" s="191" t="s">
        <v>2557</v>
      </c>
      <c r="D162" s="192" t="s">
        <v>17</v>
      </c>
      <c r="E162" s="192" t="s">
        <v>5158</v>
      </c>
      <c r="F162" s="192" t="s">
        <v>3543</v>
      </c>
      <c r="G162" s="193" t="s">
        <v>5159</v>
      </c>
      <c r="H162" s="371">
        <v>98000</v>
      </c>
      <c r="I162" s="372">
        <v>-19600</v>
      </c>
      <c r="J162" s="371">
        <f>SUM(H162+I162)</f>
        <v>78400</v>
      </c>
      <c r="K162" s="192">
        <v>1</v>
      </c>
      <c r="L162" s="371">
        <f t="shared" ref="L162:L232" si="74">SUM(J162*K162)</f>
        <v>78400</v>
      </c>
      <c r="M162" s="373">
        <f t="shared" ref="M162:M163" si="75">ROUNDDOWN(L162*1.1,0)</f>
        <v>86240</v>
      </c>
      <c r="N162" s="192" t="s">
        <v>20</v>
      </c>
      <c r="O162" s="443"/>
      <c r="P162" s="192" t="s">
        <v>2594</v>
      </c>
      <c r="Q162" s="192" t="s">
        <v>2595</v>
      </c>
      <c r="R162" s="192" t="s">
        <v>2595</v>
      </c>
      <c r="V162" s="37"/>
      <c r="W162" s="354"/>
      <c r="X162" s="355"/>
      <c r="Y162" s="355"/>
      <c r="Z162" s="355"/>
      <c r="AA162" s="355"/>
      <c r="AB162" s="37"/>
      <c r="AC162" s="37"/>
    </row>
    <row r="163" spans="1:29" s="67" customFormat="1" ht="21.75" customHeight="1" x14ac:dyDescent="0.4">
      <c r="A163" s="370">
        <v>45855</v>
      </c>
      <c r="B163" s="191" t="s">
        <v>619</v>
      </c>
      <c r="C163" s="191" t="s">
        <v>2557</v>
      </c>
      <c r="D163" s="192" t="s">
        <v>17</v>
      </c>
      <c r="E163" s="192" t="s">
        <v>332</v>
      </c>
      <c r="F163" s="192" t="s">
        <v>3555</v>
      </c>
      <c r="G163" s="193" t="s">
        <v>5160</v>
      </c>
      <c r="H163" s="371">
        <v>1300</v>
      </c>
      <c r="I163" s="372">
        <v>-130</v>
      </c>
      <c r="J163" s="371">
        <f>SUM(H163+I163)</f>
        <v>1170</v>
      </c>
      <c r="K163" s="192">
        <v>1</v>
      </c>
      <c r="L163" s="371">
        <f t="shared" ref="L163" si="76">SUM(J163*K163)</f>
        <v>1170</v>
      </c>
      <c r="M163" s="373">
        <f t="shared" si="75"/>
        <v>1287</v>
      </c>
      <c r="N163" s="192" t="s">
        <v>20</v>
      </c>
      <c r="O163" s="443"/>
      <c r="P163" s="192" t="s">
        <v>2594</v>
      </c>
      <c r="Q163" s="192" t="s">
        <v>2595</v>
      </c>
      <c r="R163" s="192" t="s">
        <v>2595</v>
      </c>
      <c r="V163" s="37"/>
      <c r="W163" s="354"/>
      <c r="X163" s="355"/>
      <c r="Y163" s="355"/>
      <c r="Z163" s="355"/>
      <c r="AA163" s="355"/>
      <c r="AB163" s="37"/>
      <c r="AC163" s="37"/>
    </row>
    <row r="164" spans="1:29" s="67" customFormat="1" ht="21.75" customHeight="1" x14ac:dyDescent="0.4">
      <c r="A164" s="258">
        <v>45856</v>
      </c>
      <c r="B164" s="32" t="s">
        <v>5049</v>
      </c>
      <c r="C164" s="32" t="s">
        <v>2557</v>
      </c>
      <c r="D164" s="18" t="s">
        <v>27</v>
      </c>
      <c r="E164" s="18" t="s">
        <v>28</v>
      </c>
      <c r="F164" s="18"/>
      <c r="G164" s="63" t="s">
        <v>73</v>
      </c>
      <c r="H164" s="350">
        <v>2000</v>
      </c>
      <c r="I164" s="353"/>
      <c r="J164" s="350">
        <f t="shared" ref="J164:J232" si="77">SUM(H164:I164)</f>
        <v>2000</v>
      </c>
      <c r="K164" s="18">
        <v>3</v>
      </c>
      <c r="L164" s="350">
        <f t="shared" si="74"/>
        <v>6000</v>
      </c>
      <c r="M164" s="356">
        <f t="shared" ref="M164:M232" si="78">ROUNDDOWN(L164*1.1,0)</f>
        <v>6600</v>
      </c>
      <c r="N164" s="18" t="s">
        <v>25</v>
      </c>
      <c r="O164" s="439" t="s">
        <v>5051</v>
      </c>
      <c r="P164" s="18"/>
      <c r="Q164" s="18" t="s">
        <v>5052</v>
      </c>
      <c r="R164" s="18" t="s">
        <v>5052</v>
      </c>
      <c r="V164" s="37"/>
      <c r="W164" s="354"/>
      <c r="X164" s="355"/>
      <c r="Y164" s="355"/>
      <c r="Z164" s="355"/>
      <c r="AA164" s="355"/>
      <c r="AB164" s="37"/>
      <c r="AC164" s="37"/>
    </row>
    <row r="165" spans="1:29" s="67" customFormat="1" ht="21.75" customHeight="1" x14ac:dyDescent="0.4">
      <c r="A165" s="258">
        <v>45856</v>
      </c>
      <c r="B165" s="32" t="s">
        <v>5050</v>
      </c>
      <c r="C165" s="32" t="s">
        <v>2557</v>
      </c>
      <c r="D165" s="18" t="s">
        <v>17</v>
      </c>
      <c r="E165" s="18" t="s">
        <v>5053</v>
      </c>
      <c r="F165" s="18" t="s">
        <v>3543</v>
      </c>
      <c r="G165" s="63" t="s">
        <v>5054</v>
      </c>
      <c r="H165" s="350">
        <v>1000</v>
      </c>
      <c r="I165" s="353"/>
      <c r="J165" s="350">
        <f t="shared" si="77"/>
        <v>1000</v>
      </c>
      <c r="K165" s="18">
        <v>3</v>
      </c>
      <c r="L165" s="350">
        <f t="shared" si="74"/>
        <v>3000</v>
      </c>
      <c r="M165" s="356">
        <f t="shared" si="78"/>
        <v>3300</v>
      </c>
      <c r="N165" s="487" t="s">
        <v>25</v>
      </c>
      <c r="O165" s="484" t="s">
        <v>5060</v>
      </c>
      <c r="P165" s="18"/>
      <c r="Q165" s="18" t="s">
        <v>5059</v>
      </c>
      <c r="R165" s="18" t="s">
        <v>5052</v>
      </c>
      <c r="V165" s="37"/>
      <c r="W165" s="354"/>
      <c r="X165" s="355"/>
      <c r="Y165" s="355"/>
      <c r="Z165" s="355"/>
      <c r="AA165" s="355"/>
      <c r="AB165" s="37"/>
      <c r="AC165" s="37"/>
    </row>
    <row r="166" spans="1:29" s="67" customFormat="1" ht="21.75" customHeight="1" x14ac:dyDescent="0.4">
      <c r="A166" s="258">
        <v>45856</v>
      </c>
      <c r="B166" s="32" t="s">
        <v>5050</v>
      </c>
      <c r="C166" s="32" t="s">
        <v>2557</v>
      </c>
      <c r="D166" s="18" t="s">
        <v>17</v>
      </c>
      <c r="E166" s="18" t="s">
        <v>5055</v>
      </c>
      <c r="F166" s="18"/>
      <c r="G166" s="63" t="s">
        <v>5056</v>
      </c>
      <c r="H166" s="350">
        <v>2800</v>
      </c>
      <c r="I166" s="353"/>
      <c r="J166" s="350">
        <f t="shared" si="77"/>
        <v>2800</v>
      </c>
      <c r="K166" s="18">
        <v>1</v>
      </c>
      <c r="L166" s="350">
        <f t="shared" si="74"/>
        <v>2800</v>
      </c>
      <c r="M166" s="356">
        <f t="shared" si="78"/>
        <v>3080</v>
      </c>
      <c r="N166" s="488"/>
      <c r="O166" s="485"/>
      <c r="P166" s="18"/>
      <c r="Q166" s="18" t="s">
        <v>5059</v>
      </c>
      <c r="R166" s="18" t="s">
        <v>5052</v>
      </c>
      <c r="V166" s="37"/>
      <c r="W166" s="354"/>
      <c r="X166" s="355"/>
      <c r="Y166" s="355"/>
      <c r="Z166" s="355"/>
      <c r="AA166" s="355"/>
      <c r="AB166" s="37"/>
      <c r="AC166" s="37"/>
    </row>
    <row r="167" spans="1:29" s="67" customFormat="1" ht="21.75" customHeight="1" x14ac:dyDescent="0.4">
      <c r="A167" s="258">
        <v>45856</v>
      </c>
      <c r="B167" s="32" t="s">
        <v>5050</v>
      </c>
      <c r="C167" s="32" t="s">
        <v>2557</v>
      </c>
      <c r="D167" s="18" t="s">
        <v>17</v>
      </c>
      <c r="E167" s="18" t="s">
        <v>332</v>
      </c>
      <c r="F167" s="18" t="s">
        <v>3553</v>
      </c>
      <c r="G167" s="63" t="s">
        <v>5057</v>
      </c>
      <c r="H167" s="350">
        <v>1500</v>
      </c>
      <c r="I167" s="353">
        <v>-150</v>
      </c>
      <c r="J167" s="350">
        <f t="shared" si="77"/>
        <v>1350</v>
      </c>
      <c r="K167" s="18">
        <v>6</v>
      </c>
      <c r="L167" s="350">
        <f t="shared" si="74"/>
        <v>8100</v>
      </c>
      <c r="M167" s="356">
        <f t="shared" si="78"/>
        <v>8910</v>
      </c>
      <c r="N167" s="488"/>
      <c r="O167" s="485"/>
      <c r="P167" s="18"/>
      <c r="Q167" s="18" t="s">
        <v>5059</v>
      </c>
      <c r="R167" s="18" t="s">
        <v>5052</v>
      </c>
      <c r="V167" s="37"/>
      <c r="W167" s="354"/>
      <c r="X167" s="355"/>
      <c r="Y167" s="355"/>
      <c r="Z167" s="355"/>
      <c r="AA167" s="355"/>
      <c r="AB167" s="37"/>
      <c r="AC167" s="37"/>
    </row>
    <row r="168" spans="1:29" s="67" customFormat="1" ht="21.75" customHeight="1" x14ac:dyDescent="0.4">
      <c r="A168" s="258">
        <v>45856</v>
      </c>
      <c r="B168" s="32" t="s">
        <v>5050</v>
      </c>
      <c r="C168" s="32" t="s">
        <v>2557</v>
      </c>
      <c r="D168" s="18" t="s">
        <v>17</v>
      </c>
      <c r="E168" s="18" t="s">
        <v>332</v>
      </c>
      <c r="F168" s="18" t="s">
        <v>3983</v>
      </c>
      <c r="G168" s="424" t="s">
        <v>5058</v>
      </c>
      <c r="H168" s="350">
        <v>5000</v>
      </c>
      <c r="I168" s="353"/>
      <c r="J168" s="350">
        <f t="shared" si="77"/>
        <v>5000</v>
      </c>
      <c r="K168" s="18">
        <v>1</v>
      </c>
      <c r="L168" s="350">
        <f t="shared" si="74"/>
        <v>5000</v>
      </c>
      <c r="M168" s="356">
        <f t="shared" si="78"/>
        <v>5500</v>
      </c>
      <c r="N168" s="489"/>
      <c r="O168" s="486"/>
      <c r="P168" s="18"/>
      <c r="Q168" s="18" t="s">
        <v>5059</v>
      </c>
      <c r="R168" s="18" t="s">
        <v>5052</v>
      </c>
      <c r="V168" s="37"/>
      <c r="W168" s="354"/>
      <c r="X168" s="355"/>
      <c r="Y168" s="355"/>
      <c r="Z168" s="355"/>
      <c r="AA168" s="355"/>
      <c r="AB168" s="37"/>
      <c r="AC168" s="37"/>
    </row>
    <row r="169" spans="1:29" s="67" customFormat="1" ht="21.75" customHeight="1" x14ac:dyDescent="0.4">
      <c r="A169" s="258">
        <v>45856</v>
      </c>
      <c r="B169" s="32" t="s">
        <v>5061</v>
      </c>
      <c r="C169" s="18" t="s">
        <v>405</v>
      </c>
      <c r="D169" s="18" t="s">
        <v>22</v>
      </c>
      <c r="E169" s="18" t="s">
        <v>23</v>
      </c>
      <c r="F169" s="18"/>
      <c r="G169" s="63" t="s">
        <v>1502</v>
      </c>
      <c r="H169" s="350">
        <v>15000</v>
      </c>
      <c r="I169" s="353">
        <v>-5000</v>
      </c>
      <c r="J169" s="350">
        <f t="shared" si="77"/>
        <v>10000</v>
      </c>
      <c r="K169" s="18">
        <v>1</v>
      </c>
      <c r="L169" s="350">
        <f t="shared" si="74"/>
        <v>10000</v>
      </c>
      <c r="M169" s="356">
        <f t="shared" si="78"/>
        <v>11000</v>
      </c>
      <c r="N169" s="18" t="s">
        <v>1121</v>
      </c>
      <c r="O169" s="439"/>
      <c r="P169" s="18"/>
      <c r="Q169" s="18"/>
      <c r="R169" s="18" t="s">
        <v>5066</v>
      </c>
      <c r="V169" s="37"/>
      <c r="W169" s="354"/>
      <c r="X169" s="355"/>
      <c r="Y169" s="355"/>
      <c r="Z169" s="355"/>
      <c r="AA169" s="355"/>
      <c r="AB169" s="37"/>
      <c r="AC169" s="37"/>
    </row>
    <row r="170" spans="1:29" s="67" customFormat="1" ht="21.75" customHeight="1" x14ac:dyDescent="0.4">
      <c r="A170" s="258">
        <v>45856</v>
      </c>
      <c r="B170" s="32" t="s">
        <v>5061</v>
      </c>
      <c r="C170" s="18" t="s">
        <v>405</v>
      </c>
      <c r="D170" s="18" t="s">
        <v>17</v>
      </c>
      <c r="E170" s="18" t="s">
        <v>328</v>
      </c>
      <c r="F170" s="18" t="s">
        <v>5062</v>
      </c>
      <c r="G170" s="63" t="s">
        <v>5063</v>
      </c>
      <c r="H170" s="350">
        <v>55000</v>
      </c>
      <c r="I170" s="353">
        <v>-11000</v>
      </c>
      <c r="J170" s="350">
        <f t="shared" si="77"/>
        <v>44000</v>
      </c>
      <c r="K170" s="18">
        <v>2</v>
      </c>
      <c r="L170" s="350">
        <f t="shared" si="74"/>
        <v>88000</v>
      </c>
      <c r="M170" s="356">
        <f t="shared" si="78"/>
        <v>96800</v>
      </c>
      <c r="N170" s="18" t="s">
        <v>1121</v>
      </c>
      <c r="O170" s="439"/>
      <c r="P170" s="18" t="s">
        <v>5164</v>
      </c>
      <c r="Q170" s="18" t="s">
        <v>5164</v>
      </c>
      <c r="R170" s="18" t="s">
        <v>5066</v>
      </c>
      <c r="V170" s="37"/>
      <c r="W170" s="354"/>
      <c r="X170" s="355"/>
      <c r="Y170" s="355"/>
      <c r="Z170" s="355"/>
      <c r="AA170" s="355"/>
      <c r="AB170" s="37"/>
      <c r="AC170" s="37"/>
    </row>
    <row r="171" spans="1:29" s="67" customFormat="1" ht="21.75" customHeight="1" x14ac:dyDescent="0.4">
      <c r="A171" s="258">
        <v>45856</v>
      </c>
      <c r="B171" s="32" t="s">
        <v>5061</v>
      </c>
      <c r="C171" s="18" t="s">
        <v>405</v>
      </c>
      <c r="D171" s="18" t="s">
        <v>17</v>
      </c>
      <c r="E171" s="18" t="s">
        <v>328</v>
      </c>
      <c r="F171" s="18" t="s">
        <v>5062</v>
      </c>
      <c r="G171" s="63" t="s">
        <v>5064</v>
      </c>
      <c r="H171" s="350">
        <v>18000</v>
      </c>
      <c r="I171" s="353">
        <v>-3600</v>
      </c>
      <c r="J171" s="350">
        <f t="shared" si="77"/>
        <v>14400</v>
      </c>
      <c r="K171" s="18">
        <v>2</v>
      </c>
      <c r="L171" s="350">
        <f t="shared" si="74"/>
        <v>28800</v>
      </c>
      <c r="M171" s="356">
        <f t="shared" si="78"/>
        <v>31680</v>
      </c>
      <c r="N171" s="18" t="s">
        <v>1121</v>
      </c>
      <c r="O171" s="439"/>
      <c r="P171" s="18" t="s">
        <v>5164</v>
      </c>
      <c r="Q171" s="18" t="s">
        <v>5164</v>
      </c>
      <c r="R171" s="18" t="s">
        <v>5066</v>
      </c>
      <c r="V171" s="37"/>
      <c r="W171" s="354"/>
      <c r="X171" s="355"/>
      <c r="Y171" s="355"/>
      <c r="Z171" s="355"/>
      <c r="AA171" s="355"/>
      <c r="AB171" s="37"/>
      <c r="AC171" s="37"/>
    </row>
    <row r="172" spans="1:29" s="67" customFormat="1" ht="21.75" customHeight="1" x14ac:dyDescent="0.4">
      <c r="A172" s="258">
        <v>45856</v>
      </c>
      <c r="B172" s="32" t="s">
        <v>5061</v>
      </c>
      <c r="C172" s="18" t="s">
        <v>405</v>
      </c>
      <c r="D172" s="18" t="s">
        <v>17</v>
      </c>
      <c r="E172" s="18" t="s">
        <v>332</v>
      </c>
      <c r="F172" s="18" t="s">
        <v>3555</v>
      </c>
      <c r="G172" s="63" t="s">
        <v>5065</v>
      </c>
      <c r="H172" s="350">
        <v>1900</v>
      </c>
      <c r="I172" s="353"/>
      <c r="J172" s="350">
        <f t="shared" si="77"/>
        <v>1900</v>
      </c>
      <c r="K172" s="18">
        <v>4</v>
      </c>
      <c r="L172" s="350">
        <f t="shared" si="74"/>
        <v>7600</v>
      </c>
      <c r="M172" s="356">
        <f t="shared" si="78"/>
        <v>8360</v>
      </c>
      <c r="N172" s="18" t="s">
        <v>1121</v>
      </c>
      <c r="O172" s="439"/>
      <c r="P172" s="18" t="s">
        <v>5164</v>
      </c>
      <c r="Q172" s="18" t="s">
        <v>5164</v>
      </c>
      <c r="R172" s="18" t="s">
        <v>5066</v>
      </c>
      <c r="V172" s="37"/>
      <c r="W172" s="354"/>
      <c r="X172" s="355"/>
      <c r="Y172" s="355"/>
      <c r="Z172" s="355"/>
      <c r="AA172" s="355"/>
      <c r="AB172" s="37"/>
      <c r="AC172" s="37"/>
    </row>
    <row r="173" spans="1:29" s="67" customFormat="1" ht="21" customHeight="1" x14ac:dyDescent="0.4">
      <c r="A173" s="258">
        <v>45856</v>
      </c>
      <c r="B173" s="32" t="s">
        <v>5067</v>
      </c>
      <c r="C173" s="32" t="s">
        <v>2557</v>
      </c>
      <c r="D173" s="18" t="s">
        <v>27</v>
      </c>
      <c r="E173" s="18" t="s">
        <v>28</v>
      </c>
      <c r="F173" s="18"/>
      <c r="G173" s="63" t="s">
        <v>5036</v>
      </c>
      <c r="H173" s="350">
        <v>17500</v>
      </c>
      <c r="I173" s="353"/>
      <c r="J173" s="350">
        <f t="shared" si="77"/>
        <v>17500</v>
      </c>
      <c r="K173" s="18">
        <v>1</v>
      </c>
      <c r="L173" s="350">
        <f t="shared" si="74"/>
        <v>17500</v>
      </c>
      <c r="M173" s="356">
        <f t="shared" si="78"/>
        <v>19250</v>
      </c>
      <c r="N173" s="18" t="s">
        <v>25</v>
      </c>
      <c r="O173" s="442" t="s">
        <v>5068</v>
      </c>
      <c r="P173" s="18"/>
      <c r="Q173" s="18"/>
      <c r="R173" s="18" t="s">
        <v>4798</v>
      </c>
      <c r="V173" s="37"/>
      <c r="W173" s="354"/>
      <c r="X173" s="355"/>
      <c r="Y173" s="355"/>
      <c r="Z173" s="355"/>
      <c r="AA173" s="355"/>
      <c r="AB173" s="37"/>
      <c r="AC173" s="37"/>
    </row>
    <row r="174" spans="1:29" s="67" customFormat="1" ht="21.75" customHeight="1" x14ac:dyDescent="0.4">
      <c r="A174" s="258">
        <v>45857</v>
      </c>
      <c r="B174" s="32" t="s">
        <v>5069</v>
      </c>
      <c r="C174" s="32" t="s">
        <v>2557</v>
      </c>
      <c r="D174" s="18" t="s">
        <v>17</v>
      </c>
      <c r="E174" s="18" t="s">
        <v>18</v>
      </c>
      <c r="F174" s="18" t="s">
        <v>994</v>
      </c>
      <c r="G174" s="63" t="s">
        <v>5070</v>
      </c>
      <c r="H174" s="350">
        <v>1800</v>
      </c>
      <c r="I174" s="353">
        <v>-180</v>
      </c>
      <c r="J174" s="350">
        <v>1620</v>
      </c>
      <c r="K174" s="18">
        <v>1</v>
      </c>
      <c r="L174" s="350">
        <v>1620</v>
      </c>
      <c r="M174" s="356">
        <v>1782</v>
      </c>
      <c r="N174" s="18" t="s">
        <v>5071</v>
      </c>
      <c r="O174" s="439"/>
      <c r="P174" s="18"/>
      <c r="Q174" s="18" t="s">
        <v>2594</v>
      </c>
      <c r="R174" s="18" t="s">
        <v>2594</v>
      </c>
      <c r="V174" s="37"/>
      <c r="W174" s="354"/>
      <c r="X174" s="355"/>
      <c r="Y174" s="355"/>
      <c r="Z174" s="355"/>
      <c r="AA174" s="355"/>
      <c r="AB174" s="37"/>
      <c r="AC174" s="37"/>
    </row>
    <row r="175" spans="1:29" s="67" customFormat="1" ht="21.75" customHeight="1" x14ac:dyDescent="0.4">
      <c r="A175" s="258">
        <v>45857</v>
      </c>
      <c r="B175" s="32" t="s">
        <v>5072</v>
      </c>
      <c r="C175" s="18" t="s">
        <v>405</v>
      </c>
      <c r="D175" s="242" t="s">
        <v>22</v>
      </c>
      <c r="E175" s="242" t="s">
        <v>23</v>
      </c>
      <c r="F175" s="18"/>
      <c r="G175" s="63" t="s">
        <v>1502</v>
      </c>
      <c r="H175" s="350">
        <v>15000</v>
      </c>
      <c r="I175" s="353"/>
      <c r="J175" s="350">
        <f t="shared" si="77"/>
        <v>15000</v>
      </c>
      <c r="K175" s="18">
        <v>1</v>
      </c>
      <c r="L175" s="350">
        <f t="shared" si="74"/>
        <v>15000</v>
      </c>
      <c r="M175" s="356">
        <f t="shared" si="78"/>
        <v>16500</v>
      </c>
      <c r="N175" s="18" t="s">
        <v>25</v>
      </c>
      <c r="O175" s="439"/>
      <c r="P175" s="18" t="s">
        <v>2595</v>
      </c>
      <c r="Q175" s="18" t="s">
        <v>2594</v>
      </c>
      <c r="R175" s="18" t="s">
        <v>2594</v>
      </c>
      <c r="V175" s="37"/>
      <c r="W175" s="354"/>
      <c r="X175" s="355"/>
      <c r="Y175" s="355"/>
      <c r="Z175" s="355"/>
      <c r="AA175" s="355"/>
      <c r="AB175" s="37"/>
      <c r="AC175" s="37"/>
    </row>
    <row r="176" spans="1:29" s="364" customFormat="1" ht="21.75" customHeight="1" x14ac:dyDescent="0.4">
      <c r="A176" s="347">
        <v>45857</v>
      </c>
      <c r="B176" s="241" t="s">
        <v>5072</v>
      </c>
      <c r="C176" s="18" t="s">
        <v>405</v>
      </c>
      <c r="D176" s="242" t="s">
        <v>17</v>
      </c>
      <c r="E176" s="242" t="s">
        <v>328</v>
      </c>
      <c r="F176" s="242" t="s">
        <v>788</v>
      </c>
      <c r="G176" s="251" t="s">
        <v>5075</v>
      </c>
      <c r="H176" s="363">
        <v>35000</v>
      </c>
      <c r="I176" s="368">
        <v>-7000</v>
      </c>
      <c r="J176" s="363">
        <f t="shared" si="77"/>
        <v>28000</v>
      </c>
      <c r="K176" s="242">
        <v>1</v>
      </c>
      <c r="L176" s="363">
        <f t="shared" si="74"/>
        <v>28000</v>
      </c>
      <c r="M176" s="369">
        <f t="shared" si="78"/>
        <v>30800</v>
      </c>
      <c r="N176" s="242" t="s">
        <v>1121</v>
      </c>
      <c r="O176" s="441"/>
      <c r="P176" s="242" t="s">
        <v>5163</v>
      </c>
      <c r="Q176" s="242" t="s">
        <v>5163</v>
      </c>
      <c r="R176" s="242"/>
      <c r="V176" s="365"/>
      <c r="W176" s="366"/>
      <c r="X176" s="367"/>
      <c r="Y176" s="367"/>
      <c r="Z176" s="367"/>
      <c r="AA176" s="367"/>
      <c r="AB176" s="365"/>
      <c r="AC176" s="365"/>
    </row>
    <row r="177" spans="1:29" s="67" customFormat="1" ht="21.75" customHeight="1" x14ac:dyDescent="0.4">
      <c r="A177" s="258">
        <v>45857</v>
      </c>
      <c r="B177" s="32" t="s">
        <v>5072</v>
      </c>
      <c r="C177" s="18" t="s">
        <v>405</v>
      </c>
      <c r="D177" s="18" t="s">
        <v>17</v>
      </c>
      <c r="E177" s="18" t="s">
        <v>5073</v>
      </c>
      <c r="F177" s="18" t="s">
        <v>5074</v>
      </c>
      <c r="G177" s="193" t="s">
        <v>5162</v>
      </c>
      <c r="H177" s="350">
        <v>1760</v>
      </c>
      <c r="I177" s="353"/>
      <c r="J177" s="350">
        <f t="shared" si="77"/>
        <v>1760</v>
      </c>
      <c r="K177" s="18">
        <v>2</v>
      </c>
      <c r="L177" s="350">
        <f t="shared" si="74"/>
        <v>3520</v>
      </c>
      <c r="M177" s="357">
        <f t="shared" si="78"/>
        <v>3872</v>
      </c>
      <c r="N177" s="18" t="s">
        <v>1121</v>
      </c>
      <c r="O177" s="439"/>
      <c r="P177" s="242" t="s">
        <v>5163</v>
      </c>
      <c r="Q177" s="242" t="s">
        <v>5163</v>
      </c>
      <c r="R177" s="18"/>
      <c r="V177" s="37"/>
      <c r="W177" s="354"/>
      <c r="X177" s="355"/>
      <c r="Y177" s="355"/>
      <c r="Z177" s="355"/>
      <c r="AA177" s="355"/>
      <c r="AB177" s="37"/>
      <c r="AC177" s="37"/>
    </row>
    <row r="178" spans="1:29" s="67" customFormat="1" ht="21.75" customHeight="1" x14ac:dyDescent="0.4">
      <c r="A178" s="370">
        <v>45858</v>
      </c>
      <c r="B178" s="191" t="s">
        <v>795</v>
      </c>
      <c r="C178" s="192" t="s">
        <v>2557</v>
      </c>
      <c r="D178" s="192" t="s">
        <v>17</v>
      </c>
      <c r="E178" s="192" t="s">
        <v>791</v>
      </c>
      <c r="F178" s="370" t="s">
        <v>661</v>
      </c>
      <c r="G178" s="193" t="s">
        <v>5161</v>
      </c>
      <c r="H178" s="371">
        <v>5000</v>
      </c>
      <c r="I178" s="372"/>
      <c r="J178" s="371">
        <f t="shared" si="77"/>
        <v>5000</v>
      </c>
      <c r="K178" s="192">
        <v>1</v>
      </c>
      <c r="L178" s="371">
        <f t="shared" si="74"/>
        <v>5000</v>
      </c>
      <c r="M178" s="373">
        <f t="shared" si="78"/>
        <v>5500</v>
      </c>
      <c r="N178" s="192" t="s">
        <v>25</v>
      </c>
      <c r="O178" s="443"/>
      <c r="P178" s="192"/>
      <c r="Q178" s="192"/>
      <c r="R178" s="192"/>
      <c r="V178" s="37"/>
      <c r="W178" s="354"/>
      <c r="X178" s="355"/>
      <c r="Y178" s="355"/>
      <c r="Z178" s="355"/>
      <c r="AA178" s="355"/>
      <c r="AB178" s="37"/>
      <c r="AC178" s="37"/>
    </row>
    <row r="179" spans="1:29" s="67" customFormat="1" ht="21.75" customHeight="1" x14ac:dyDescent="0.4">
      <c r="A179" s="258">
        <v>45861</v>
      </c>
      <c r="B179" s="32" t="s">
        <v>197</v>
      </c>
      <c r="C179" s="18" t="s">
        <v>405</v>
      </c>
      <c r="D179" s="242" t="s">
        <v>17</v>
      </c>
      <c r="E179" s="242" t="s">
        <v>328</v>
      </c>
      <c r="F179" s="242" t="s">
        <v>788</v>
      </c>
      <c r="G179" s="63" t="s">
        <v>5076</v>
      </c>
      <c r="H179" s="350">
        <v>50000</v>
      </c>
      <c r="I179" s="353">
        <v>-10000</v>
      </c>
      <c r="J179" s="350">
        <f t="shared" si="77"/>
        <v>40000</v>
      </c>
      <c r="K179" s="18">
        <v>1</v>
      </c>
      <c r="L179" s="350">
        <f t="shared" si="74"/>
        <v>40000</v>
      </c>
      <c r="M179" s="356">
        <f t="shared" si="78"/>
        <v>44000</v>
      </c>
      <c r="N179" s="18" t="s">
        <v>20</v>
      </c>
      <c r="O179" s="439"/>
      <c r="P179" s="18" t="s">
        <v>5163</v>
      </c>
      <c r="Q179" s="18" t="s">
        <v>5163</v>
      </c>
      <c r="R179" s="18" t="s">
        <v>4798</v>
      </c>
      <c r="V179" s="37"/>
      <c r="W179" s="354"/>
      <c r="X179" s="355"/>
      <c r="Y179" s="355"/>
      <c r="Z179" s="355"/>
      <c r="AA179" s="355"/>
      <c r="AB179" s="37"/>
      <c r="AC179" s="37"/>
    </row>
    <row r="180" spans="1:29" s="67" customFormat="1" ht="21.75" customHeight="1" x14ac:dyDescent="0.4">
      <c r="A180" s="258">
        <v>45861</v>
      </c>
      <c r="B180" s="32" t="s">
        <v>197</v>
      </c>
      <c r="C180" s="18" t="s">
        <v>405</v>
      </c>
      <c r="D180" s="242" t="s">
        <v>17</v>
      </c>
      <c r="E180" s="18" t="s">
        <v>5077</v>
      </c>
      <c r="F180" s="18" t="s">
        <v>3555</v>
      </c>
      <c r="G180" s="63" t="s">
        <v>5078</v>
      </c>
      <c r="H180" s="350">
        <v>1700</v>
      </c>
      <c r="I180" s="353"/>
      <c r="J180" s="350">
        <f t="shared" si="77"/>
        <v>1700</v>
      </c>
      <c r="K180" s="18">
        <v>1</v>
      </c>
      <c r="L180" s="350">
        <f t="shared" si="74"/>
        <v>1700</v>
      </c>
      <c r="M180" s="356">
        <f t="shared" si="78"/>
        <v>1870</v>
      </c>
      <c r="N180" s="18" t="s">
        <v>20</v>
      </c>
      <c r="O180" s="439"/>
      <c r="P180" s="18" t="s">
        <v>5163</v>
      </c>
      <c r="Q180" s="18" t="s">
        <v>5163</v>
      </c>
      <c r="R180" s="18" t="s">
        <v>4798</v>
      </c>
      <c r="V180" s="37"/>
      <c r="W180" s="354"/>
      <c r="X180" s="355"/>
      <c r="Y180" s="355"/>
      <c r="Z180" s="355"/>
      <c r="AA180" s="355"/>
      <c r="AB180" s="37"/>
      <c r="AC180" s="37"/>
    </row>
    <row r="181" spans="1:29" s="67" customFormat="1" ht="21.75" customHeight="1" x14ac:dyDescent="0.4">
      <c r="A181" s="258">
        <v>45861</v>
      </c>
      <c r="B181" s="32" t="s">
        <v>5079</v>
      </c>
      <c r="C181" s="32" t="s">
        <v>2557</v>
      </c>
      <c r="D181" s="242" t="s">
        <v>17</v>
      </c>
      <c r="E181" s="18" t="s">
        <v>5077</v>
      </c>
      <c r="F181" s="18" t="s">
        <v>5080</v>
      </c>
      <c r="G181" s="63" t="s">
        <v>3973</v>
      </c>
      <c r="H181" s="350">
        <v>1300</v>
      </c>
      <c r="I181" s="353">
        <v>-130</v>
      </c>
      <c r="J181" s="350">
        <f t="shared" si="77"/>
        <v>1170</v>
      </c>
      <c r="K181" s="18">
        <v>3</v>
      </c>
      <c r="L181" s="350">
        <f t="shared" si="74"/>
        <v>3510</v>
      </c>
      <c r="M181" s="356">
        <f t="shared" si="78"/>
        <v>3861</v>
      </c>
      <c r="N181" s="18" t="s">
        <v>25</v>
      </c>
      <c r="O181" s="439"/>
      <c r="P181" s="18"/>
      <c r="Q181" s="18"/>
      <c r="R181" s="18" t="s">
        <v>4798</v>
      </c>
      <c r="V181" s="37"/>
      <c r="W181" s="354"/>
      <c r="X181" s="355"/>
      <c r="Y181" s="355"/>
      <c r="Z181" s="355"/>
      <c r="AA181" s="355"/>
      <c r="AB181" s="37"/>
      <c r="AC181" s="37"/>
    </row>
    <row r="182" spans="1:29" s="67" customFormat="1" ht="21.75" customHeight="1" x14ac:dyDescent="0.4">
      <c r="A182" s="258">
        <v>45862</v>
      </c>
      <c r="B182" s="32" t="s">
        <v>5081</v>
      </c>
      <c r="C182" s="32" t="s">
        <v>2557</v>
      </c>
      <c r="D182" s="18" t="s">
        <v>17</v>
      </c>
      <c r="E182" s="18" t="s">
        <v>292</v>
      </c>
      <c r="F182" s="18" t="s">
        <v>1051</v>
      </c>
      <c r="G182" s="63" t="s">
        <v>4973</v>
      </c>
      <c r="H182" s="350">
        <v>3200</v>
      </c>
      <c r="I182" s="353">
        <v>-320</v>
      </c>
      <c r="J182" s="350">
        <f t="shared" si="77"/>
        <v>2880</v>
      </c>
      <c r="K182" s="18">
        <v>1</v>
      </c>
      <c r="L182" s="350">
        <f t="shared" si="74"/>
        <v>2880</v>
      </c>
      <c r="M182" s="356">
        <f t="shared" si="78"/>
        <v>3168</v>
      </c>
      <c r="N182" s="18" t="s">
        <v>25</v>
      </c>
      <c r="O182" s="439"/>
      <c r="P182" s="18"/>
      <c r="Q182" s="18" t="s">
        <v>5084</v>
      </c>
      <c r="R182" s="18" t="s">
        <v>5083</v>
      </c>
      <c r="V182" s="37"/>
      <c r="W182" s="354"/>
      <c r="X182" s="355"/>
      <c r="Y182" s="355"/>
      <c r="Z182" s="355"/>
      <c r="AA182" s="355"/>
      <c r="AB182" s="37"/>
      <c r="AC182" s="37"/>
    </row>
    <row r="183" spans="1:29" s="67" customFormat="1" ht="21.75" customHeight="1" x14ac:dyDescent="0.4">
      <c r="A183" s="258">
        <v>45862</v>
      </c>
      <c r="B183" s="32" t="s">
        <v>5086</v>
      </c>
      <c r="C183" s="18" t="s">
        <v>405</v>
      </c>
      <c r="D183" s="242" t="s">
        <v>22</v>
      </c>
      <c r="E183" s="242" t="s">
        <v>23</v>
      </c>
      <c r="F183" s="18"/>
      <c r="G183" s="63" t="s">
        <v>1502</v>
      </c>
      <c r="H183" s="350">
        <v>15000</v>
      </c>
      <c r="I183" s="353"/>
      <c r="J183" s="350">
        <f t="shared" ref="J183" si="79">SUM(H183:I183)</f>
        <v>15000</v>
      </c>
      <c r="K183" s="18">
        <v>1</v>
      </c>
      <c r="L183" s="350">
        <f t="shared" ref="L183:L185" si="80">SUM(J183*K183)</f>
        <v>15000</v>
      </c>
      <c r="M183" s="356">
        <f t="shared" ref="M183:M185" si="81">ROUNDDOWN(L183*1.1,0)</f>
        <v>16500</v>
      </c>
      <c r="N183" s="18" t="s">
        <v>5082</v>
      </c>
      <c r="O183" s="439"/>
      <c r="P183" s="18" t="s">
        <v>5085</v>
      </c>
      <c r="Q183" s="18" t="s">
        <v>5084</v>
      </c>
      <c r="R183" s="18" t="s">
        <v>5083</v>
      </c>
      <c r="V183" s="37"/>
      <c r="W183" s="354"/>
      <c r="X183" s="355"/>
      <c r="Y183" s="355"/>
      <c r="Z183" s="355"/>
      <c r="AA183" s="355"/>
      <c r="AB183" s="37"/>
      <c r="AC183" s="37"/>
    </row>
    <row r="184" spans="1:29" s="67" customFormat="1" ht="21.75" customHeight="1" x14ac:dyDescent="0.4">
      <c r="A184" s="258">
        <v>45862</v>
      </c>
      <c r="B184" s="32" t="s">
        <v>140</v>
      </c>
      <c r="C184" s="18" t="s">
        <v>405</v>
      </c>
      <c r="D184" s="96" t="s">
        <v>198</v>
      </c>
      <c r="E184" s="18"/>
      <c r="F184" s="18"/>
      <c r="G184" s="63" t="s">
        <v>2491</v>
      </c>
      <c r="H184" s="350">
        <v>-15000</v>
      </c>
      <c r="I184" s="353"/>
      <c r="J184" s="350">
        <f t="shared" ref="J184" si="82">SUM(H184:I184)</f>
        <v>-15000</v>
      </c>
      <c r="K184" s="18">
        <v>1</v>
      </c>
      <c r="L184" s="350">
        <f t="shared" si="80"/>
        <v>-15000</v>
      </c>
      <c r="M184" s="358">
        <f t="shared" si="81"/>
        <v>-16500</v>
      </c>
      <c r="N184" s="18" t="s">
        <v>34</v>
      </c>
      <c r="O184" s="439"/>
      <c r="P184" s="18"/>
      <c r="Q184" s="18" t="s">
        <v>5089</v>
      </c>
      <c r="R184" s="18" t="s">
        <v>4803</v>
      </c>
      <c r="V184" s="37"/>
      <c r="W184" s="354"/>
      <c r="X184" s="355"/>
      <c r="Y184" s="355"/>
      <c r="Z184" s="355"/>
      <c r="AA184" s="355"/>
      <c r="AB184" s="37"/>
      <c r="AC184" s="37"/>
    </row>
    <row r="185" spans="1:29" s="67" customFormat="1" ht="21.75" customHeight="1" x14ac:dyDescent="0.4">
      <c r="A185" s="258">
        <v>45862</v>
      </c>
      <c r="B185" s="32" t="s">
        <v>140</v>
      </c>
      <c r="C185" s="18" t="s">
        <v>405</v>
      </c>
      <c r="D185" s="18" t="s">
        <v>17</v>
      </c>
      <c r="E185" s="18" t="s">
        <v>328</v>
      </c>
      <c r="F185" s="18" t="s">
        <v>788</v>
      </c>
      <c r="G185" s="63" t="s">
        <v>5087</v>
      </c>
      <c r="H185" s="350">
        <v>50000</v>
      </c>
      <c r="I185" s="353">
        <v>-10000</v>
      </c>
      <c r="J185" s="350">
        <f t="shared" ref="J185" si="83">SUM(H185:I185)</f>
        <v>40000</v>
      </c>
      <c r="K185" s="18">
        <v>1</v>
      </c>
      <c r="L185" s="350">
        <f t="shared" si="80"/>
        <v>40000</v>
      </c>
      <c r="M185" s="356">
        <f t="shared" si="81"/>
        <v>44000</v>
      </c>
      <c r="N185" s="18" t="s">
        <v>1121</v>
      </c>
      <c r="O185" s="439"/>
      <c r="P185" s="18" t="s">
        <v>5163</v>
      </c>
      <c r="Q185" s="18" t="s">
        <v>5090</v>
      </c>
      <c r="R185" s="18" t="s">
        <v>4803</v>
      </c>
      <c r="V185" s="37"/>
      <c r="W185" s="354"/>
      <c r="X185" s="355"/>
      <c r="Y185" s="355"/>
      <c r="Z185" s="355"/>
      <c r="AA185" s="355"/>
      <c r="AB185" s="37"/>
      <c r="AC185" s="37"/>
    </row>
    <row r="186" spans="1:29" s="67" customFormat="1" ht="21.75" customHeight="1" x14ac:dyDescent="0.4">
      <c r="A186" s="258">
        <v>45862</v>
      </c>
      <c r="B186" s="32" t="s">
        <v>140</v>
      </c>
      <c r="C186" s="18" t="s">
        <v>405</v>
      </c>
      <c r="D186" s="18" t="s">
        <v>17</v>
      </c>
      <c r="E186" s="18" t="s">
        <v>332</v>
      </c>
      <c r="F186" s="18" t="s">
        <v>3555</v>
      </c>
      <c r="G186" s="63" t="s">
        <v>3557</v>
      </c>
      <c r="H186" s="350">
        <v>1300</v>
      </c>
      <c r="I186" s="353"/>
      <c r="J186" s="350">
        <f t="shared" si="77"/>
        <v>1300</v>
      </c>
      <c r="K186" s="18">
        <v>1</v>
      </c>
      <c r="L186" s="350">
        <f t="shared" si="74"/>
        <v>1300</v>
      </c>
      <c r="M186" s="356">
        <f t="shared" si="78"/>
        <v>1430</v>
      </c>
      <c r="N186" s="18" t="s">
        <v>1121</v>
      </c>
      <c r="O186" s="439"/>
      <c r="P186" s="18" t="s">
        <v>5163</v>
      </c>
      <c r="Q186" s="18" t="s">
        <v>5090</v>
      </c>
      <c r="R186" s="18" t="s">
        <v>5088</v>
      </c>
      <c r="V186" s="37"/>
      <c r="W186" s="354"/>
      <c r="X186" s="355"/>
      <c r="Y186" s="355"/>
      <c r="Z186" s="355"/>
      <c r="AA186" s="355"/>
      <c r="AB186" s="37"/>
      <c r="AC186" s="37"/>
    </row>
    <row r="187" spans="1:29" s="67" customFormat="1" ht="21.75" customHeight="1" x14ac:dyDescent="0.4">
      <c r="A187" s="258">
        <v>45862</v>
      </c>
      <c r="B187" s="32" t="s">
        <v>5091</v>
      </c>
      <c r="C187" s="32" t="s">
        <v>4292</v>
      </c>
      <c r="D187" s="18" t="s">
        <v>5092</v>
      </c>
      <c r="E187" s="18" t="s">
        <v>332</v>
      </c>
      <c r="F187" s="18" t="s">
        <v>3553</v>
      </c>
      <c r="G187" s="464" t="s">
        <v>6416</v>
      </c>
      <c r="H187" s="350">
        <v>1800</v>
      </c>
      <c r="I187" s="353">
        <v>-900</v>
      </c>
      <c r="J187" s="350">
        <f t="shared" si="77"/>
        <v>900</v>
      </c>
      <c r="K187" s="18">
        <v>1</v>
      </c>
      <c r="L187" s="350">
        <f t="shared" si="74"/>
        <v>900</v>
      </c>
      <c r="M187" s="356">
        <f t="shared" si="78"/>
        <v>990</v>
      </c>
      <c r="N187" s="18" t="s">
        <v>20</v>
      </c>
      <c r="O187" s="439"/>
      <c r="P187" s="18"/>
      <c r="Q187" s="18" t="s">
        <v>5095</v>
      </c>
      <c r="R187" s="18" t="s">
        <v>5096</v>
      </c>
      <c r="V187" s="37"/>
      <c r="W187" s="354"/>
      <c r="X187" s="355"/>
      <c r="Y187" s="355"/>
      <c r="Z187" s="355"/>
      <c r="AA187" s="355"/>
      <c r="AB187" s="37"/>
      <c r="AC187" s="37"/>
    </row>
    <row r="188" spans="1:29" s="67" customFormat="1" ht="21.75" customHeight="1" x14ac:dyDescent="0.4">
      <c r="A188" s="258">
        <v>45863</v>
      </c>
      <c r="B188" s="32" t="s">
        <v>5093</v>
      </c>
      <c r="C188" s="18" t="s">
        <v>405</v>
      </c>
      <c r="D188" s="18" t="s">
        <v>17</v>
      </c>
      <c r="E188" s="18" t="s">
        <v>328</v>
      </c>
      <c r="F188" s="18" t="s">
        <v>788</v>
      </c>
      <c r="G188" s="63" t="s">
        <v>5094</v>
      </c>
      <c r="H188" s="350">
        <v>35000</v>
      </c>
      <c r="I188" s="353">
        <v>-7000</v>
      </c>
      <c r="J188" s="350">
        <f t="shared" si="77"/>
        <v>28000</v>
      </c>
      <c r="K188" s="18">
        <v>1</v>
      </c>
      <c r="L188" s="350">
        <f t="shared" si="74"/>
        <v>28000</v>
      </c>
      <c r="M188" s="356">
        <f t="shared" si="78"/>
        <v>30800</v>
      </c>
      <c r="N188" s="18" t="s">
        <v>1121</v>
      </c>
      <c r="O188" s="439"/>
      <c r="P188" s="18" t="s">
        <v>2595</v>
      </c>
      <c r="Q188" s="18" t="s">
        <v>2595</v>
      </c>
      <c r="R188" s="18" t="s">
        <v>4798</v>
      </c>
      <c r="V188" s="37"/>
      <c r="W188" s="354"/>
      <c r="X188" s="355"/>
      <c r="Y188" s="355"/>
      <c r="Z188" s="355"/>
      <c r="AA188" s="355"/>
      <c r="AB188" s="37"/>
      <c r="AC188" s="37"/>
    </row>
    <row r="189" spans="1:29" s="67" customFormat="1" ht="21.75" customHeight="1" x14ac:dyDescent="0.4">
      <c r="A189" s="258">
        <v>45863</v>
      </c>
      <c r="B189" s="32" t="s">
        <v>4881</v>
      </c>
      <c r="C189" s="32" t="s">
        <v>2557</v>
      </c>
      <c r="D189" s="18" t="s">
        <v>17</v>
      </c>
      <c r="E189" s="18" t="s">
        <v>332</v>
      </c>
      <c r="F189" s="18" t="s">
        <v>3550</v>
      </c>
      <c r="G189" s="63" t="s">
        <v>3575</v>
      </c>
      <c r="H189" s="350">
        <v>1800</v>
      </c>
      <c r="I189" s="353">
        <v>-180</v>
      </c>
      <c r="J189" s="350">
        <f t="shared" si="77"/>
        <v>1620</v>
      </c>
      <c r="K189" s="18">
        <v>1</v>
      </c>
      <c r="L189" s="350">
        <f t="shared" si="74"/>
        <v>1620</v>
      </c>
      <c r="M189" s="356">
        <f t="shared" si="78"/>
        <v>1782</v>
      </c>
      <c r="N189" s="18" t="s">
        <v>20</v>
      </c>
      <c r="O189" s="439"/>
      <c r="P189" s="18"/>
      <c r="Q189" s="18"/>
      <c r="R189" s="18" t="s">
        <v>5102</v>
      </c>
      <c r="V189" s="37"/>
      <c r="W189" s="354"/>
      <c r="X189" s="355"/>
      <c r="Y189" s="355"/>
      <c r="Z189" s="355"/>
      <c r="AA189" s="355"/>
      <c r="AB189" s="37"/>
      <c r="AC189" s="37"/>
    </row>
    <row r="190" spans="1:29" s="67" customFormat="1" ht="21.75" customHeight="1" x14ac:dyDescent="0.4">
      <c r="A190" s="258">
        <v>45863</v>
      </c>
      <c r="B190" s="32" t="s">
        <v>5097</v>
      </c>
      <c r="C190" s="18" t="s">
        <v>405</v>
      </c>
      <c r="D190" s="18" t="s">
        <v>27</v>
      </c>
      <c r="E190" s="18" t="s">
        <v>28</v>
      </c>
      <c r="F190" s="18"/>
      <c r="G190" s="63" t="s">
        <v>5038</v>
      </c>
      <c r="H190" s="350">
        <v>5000</v>
      </c>
      <c r="I190" s="353"/>
      <c r="J190" s="350">
        <v>5000</v>
      </c>
      <c r="K190" s="18">
        <v>1</v>
      </c>
      <c r="L190" s="350">
        <v>5000</v>
      </c>
      <c r="M190" s="356">
        <v>5500</v>
      </c>
      <c r="N190" s="18" t="s">
        <v>25</v>
      </c>
      <c r="O190" s="439"/>
      <c r="P190" s="18"/>
      <c r="Q190" s="18"/>
      <c r="R190" s="18" t="s">
        <v>5102</v>
      </c>
      <c r="V190" s="37"/>
      <c r="W190" s="354"/>
      <c r="X190" s="355"/>
      <c r="Y190" s="355"/>
      <c r="Z190" s="355"/>
      <c r="AA190" s="355"/>
      <c r="AB190" s="37"/>
      <c r="AC190" s="37"/>
    </row>
    <row r="191" spans="1:29" s="67" customFormat="1" ht="21.75" customHeight="1" x14ac:dyDescent="0.4">
      <c r="A191" s="258">
        <v>45864</v>
      </c>
      <c r="B191" s="32" t="s">
        <v>5098</v>
      </c>
      <c r="C191" s="18" t="s">
        <v>405</v>
      </c>
      <c r="D191" s="18" t="s">
        <v>17</v>
      </c>
      <c r="E191" s="18" t="s">
        <v>328</v>
      </c>
      <c r="F191" s="18" t="s">
        <v>3941</v>
      </c>
      <c r="G191" s="63" t="s">
        <v>5184</v>
      </c>
      <c r="H191" s="350">
        <v>60000</v>
      </c>
      <c r="I191" s="353">
        <v>-9000</v>
      </c>
      <c r="J191" s="350">
        <f t="shared" si="77"/>
        <v>51000</v>
      </c>
      <c r="K191" s="18">
        <v>1</v>
      </c>
      <c r="L191" s="350">
        <f t="shared" si="74"/>
        <v>51000</v>
      </c>
      <c r="M191" s="356">
        <f t="shared" si="78"/>
        <v>56100</v>
      </c>
      <c r="N191" s="18" t="s">
        <v>1121</v>
      </c>
      <c r="O191" s="439"/>
      <c r="P191" s="18" t="s">
        <v>5163</v>
      </c>
      <c r="Q191" s="18"/>
      <c r="R191" s="18" t="s">
        <v>5102</v>
      </c>
      <c r="V191" s="37"/>
      <c r="W191" s="354"/>
      <c r="X191" s="355"/>
      <c r="Y191" s="355"/>
      <c r="Z191" s="355"/>
      <c r="AA191" s="355"/>
      <c r="AB191" s="37"/>
      <c r="AC191" s="37"/>
    </row>
    <row r="192" spans="1:29" s="67" customFormat="1" ht="21.75" customHeight="1" x14ac:dyDescent="0.4">
      <c r="A192" s="258">
        <v>45864</v>
      </c>
      <c r="B192" s="32" t="s">
        <v>5098</v>
      </c>
      <c r="C192" s="18" t="s">
        <v>405</v>
      </c>
      <c r="D192" s="18" t="s">
        <v>17</v>
      </c>
      <c r="E192" s="18" t="s">
        <v>330</v>
      </c>
      <c r="F192" s="18" t="s">
        <v>3543</v>
      </c>
      <c r="G192" s="63" t="s">
        <v>4957</v>
      </c>
      <c r="H192" s="350">
        <v>5000</v>
      </c>
      <c r="I192" s="353"/>
      <c r="J192" s="350">
        <f t="shared" si="77"/>
        <v>5000</v>
      </c>
      <c r="K192" s="18">
        <v>1</v>
      </c>
      <c r="L192" s="350">
        <f t="shared" si="74"/>
        <v>5000</v>
      </c>
      <c r="M192" s="356">
        <f t="shared" si="78"/>
        <v>5500</v>
      </c>
      <c r="N192" s="18" t="s">
        <v>1121</v>
      </c>
      <c r="O192" s="439"/>
      <c r="P192" s="18" t="s">
        <v>5163</v>
      </c>
      <c r="Q192" s="18"/>
      <c r="R192" s="18" t="s">
        <v>5102</v>
      </c>
      <c r="V192" s="37"/>
      <c r="W192" s="354"/>
      <c r="X192" s="355"/>
      <c r="Y192" s="355"/>
      <c r="Z192" s="355"/>
      <c r="AA192" s="355"/>
      <c r="AB192" s="37"/>
      <c r="AC192" s="37"/>
    </row>
    <row r="193" spans="1:29" s="67" customFormat="1" ht="21.75" customHeight="1" x14ac:dyDescent="0.4">
      <c r="A193" s="258">
        <v>45864</v>
      </c>
      <c r="B193" s="32" t="s">
        <v>5098</v>
      </c>
      <c r="C193" s="18" t="s">
        <v>405</v>
      </c>
      <c r="D193" s="18" t="s">
        <v>17</v>
      </c>
      <c r="E193" s="18" t="s">
        <v>332</v>
      </c>
      <c r="F193" s="18" t="s">
        <v>5099</v>
      </c>
      <c r="G193" s="63" t="s">
        <v>5047</v>
      </c>
      <c r="H193" s="350">
        <v>1300</v>
      </c>
      <c r="I193" s="353"/>
      <c r="J193" s="350">
        <f t="shared" si="77"/>
        <v>1300</v>
      </c>
      <c r="K193" s="18">
        <v>1</v>
      </c>
      <c r="L193" s="350">
        <f t="shared" si="74"/>
        <v>1300</v>
      </c>
      <c r="M193" s="356">
        <f t="shared" si="78"/>
        <v>1430</v>
      </c>
      <c r="N193" s="18" t="s">
        <v>1121</v>
      </c>
      <c r="O193" s="439"/>
      <c r="P193" s="18" t="s">
        <v>5163</v>
      </c>
      <c r="Q193" s="18"/>
      <c r="R193" s="18" t="s">
        <v>5102</v>
      </c>
      <c r="V193" s="37"/>
      <c r="W193" s="354"/>
      <c r="X193" s="355"/>
      <c r="Y193" s="355"/>
      <c r="Z193" s="355"/>
      <c r="AA193" s="355"/>
      <c r="AB193" s="37"/>
      <c r="AC193" s="37"/>
    </row>
    <row r="194" spans="1:29" s="67" customFormat="1" ht="21.75" customHeight="1" x14ac:dyDescent="0.4">
      <c r="A194" s="258">
        <v>45864</v>
      </c>
      <c r="B194" s="32" t="s">
        <v>5098</v>
      </c>
      <c r="C194" s="18" t="s">
        <v>405</v>
      </c>
      <c r="D194" s="242" t="s">
        <v>22</v>
      </c>
      <c r="E194" s="242" t="s">
        <v>23</v>
      </c>
      <c r="F194" s="18"/>
      <c r="G194" s="63" t="s">
        <v>1502</v>
      </c>
      <c r="H194" s="350">
        <v>15000</v>
      </c>
      <c r="I194" s="353"/>
      <c r="J194" s="350">
        <f t="shared" si="77"/>
        <v>15000</v>
      </c>
      <c r="K194" s="18">
        <v>1</v>
      </c>
      <c r="L194" s="350">
        <f t="shared" si="74"/>
        <v>15000</v>
      </c>
      <c r="M194" s="356">
        <f t="shared" si="78"/>
        <v>16500</v>
      </c>
      <c r="N194" s="18" t="s">
        <v>1121</v>
      </c>
      <c r="O194" s="439"/>
      <c r="P194" s="18"/>
      <c r="Q194" s="18"/>
      <c r="R194" s="18" t="s">
        <v>5102</v>
      </c>
      <c r="V194" s="37"/>
      <c r="W194" s="354"/>
      <c r="X194" s="355"/>
      <c r="Y194" s="355"/>
      <c r="Z194" s="355"/>
      <c r="AA194" s="355"/>
      <c r="AB194" s="37"/>
      <c r="AC194" s="37"/>
    </row>
    <row r="195" spans="1:29" s="67" customFormat="1" ht="21.75" customHeight="1" x14ac:dyDescent="0.4">
      <c r="A195" s="258">
        <v>45864</v>
      </c>
      <c r="B195" s="32" t="s">
        <v>5100</v>
      </c>
      <c r="C195" s="18" t="s">
        <v>405</v>
      </c>
      <c r="D195" s="242" t="s">
        <v>22</v>
      </c>
      <c r="E195" s="242" t="s">
        <v>23</v>
      </c>
      <c r="F195" s="18"/>
      <c r="G195" s="63" t="s">
        <v>1502</v>
      </c>
      <c r="H195" s="350">
        <v>15000</v>
      </c>
      <c r="I195" s="353">
        <v>-5000</v>
      </c>
      <c r="J195" s="350">
        <f t="shared" si="77"/>
        <v>10000</v>
      </c>
      <c r="K195" s="18">
        <v>1</v>
      </c>
      <c r="L195" s="350">
        <f t="shared" si="74"/>
        <v>10000</v>
      </c>
      <c r="M195" s="356">
        <f t="shared" si="78"/>
        <v>11000</v>
      </c>
      <c r="N195" s="18" t="s">
        <v>20</v>
      </c>
      <c r="O195" s="439" t="s">
        <v>5101</v>
      </c>
      <c r="P195" s="18"/>
      <c r="Q195" s="18"/>
      <c r="R195" s="18" t="s">
        <v>5102</v>
      </c>
      <c r="V195" s="37"/>
      <c r="W195" s="354"/>
      <c r="X195" s="355"/>
      <c r="Y195" s="355"/>
      <c r="Z195" s="355"/>
      <c r="AA195" s="355"/>
      <c r="AB195" s="37"/>
      <c r="AC195" s="37"/>
    </row>
    <row r="196" spans="1:29" s="67" customFormat="1" ht="21.75" customHeight="1" x14ac:dyDescent="0.4">
      <c r="A196" s="258">
        <v>45865</v>
      </c>
      <c r="B196" s="32" t="s">
        <v>5103</v>
      </c>
      <c r="C196" s="32" t="s">
        <v>5104</v>
      </c>
      <c r="D196" s="18" t="s">
        <v>17</v>
      </c>
      <c r="E196" s="18" t="s">
        <v>18</v>
      </c>
      <c r="F196" s="18" t="s">
        <v>994</v>
      </c>
      <c r="G196" s="63" t="s">
        <v>5105</v>
      </c>
      <c r="H196" s="350">
        <v>1800</v>
      </c>
      <c r="I196" s="353">
        <v>-180</v>
      </c>
      <c r="J196" s="350">
        <f t="shared" si="77"/>
        <v>1620</v>
      </c>
      <c r="K196" s="18">
        <v>1</v>
      </c>
      <c r="L196" s="350">
        <f t="shared" si="74"/>
        <v>1620</v>
      </c>
      <c r="M196" s="356">
        <f t="shared" si="78"/>
        <v>1782</v>
      </c>
      <c r="N196" s="18" t="s">
        <v>20</v>
      </c>
      <c r="O196" s="439"/>
      <c r="P196" s="18"/>
      <c r="Q196" s="18"/>
      <c r="R196" s="18" t="s">
        <v>5106</v>
      </c>
      <c r="V196" s="37"/>
      <c r="W196" s="354"/>
      <c r="X196" s="355"/>
      <c r="Y196" s="355"/>
      <c r="Z196" s="355"/>
      <c r="AA196" s="355"/>
      <c r="AB196" s="37"/>
      <c r="AC196" s="37"/>
    </row>
    <row r="197" spans="1:29" s="67" customFormat="1" ht="21.75" customHeight="1" x14ac:dyDescent="0.4">
      <c r="A197" s="258">
        <v>45866</v>
      </c>
      <c r="B197" s="32" t="s">
        <v>5107</v>
      </c>
      <c r="C197" s="32" t="s">
        <v>2557</v>
      </c>
      <c r="D197" s="18" t="s">
        <v>17</v>
      </c>
      <c r="E197" s="18" t="s">
        <v>332</v>
      </c>
      <c r="F197" s="18" t="s">
        <v>3554</v>
      </c>
      <c r="G197" s="63" t="s">
        <v>5108</v>
      </c>
      <c r="H197" s="350">
        <v>1300</v>
      </c>
      <c r="I197" s="353">
        <v>-130</v>
      </c>
      <c r="J197" s="350">
        <f t="shared" si="77"/>
        <v>1170</v>
      </c>
      <c r="K197" s="18">
        <v>1</v>
      </c>
      <c r="L197" s="350">
        <f t="shared" si="74"/>
        <v>1170</v>
      </c>
      <c r="M197" s="356">
        <f t="shared" si="78"/>
        <v>1287</v>
      </c>
      <c r="N197" s="18" t="s">
        <v>25</v>
      </c>
      <c r="O197" s="439"/>
      <c r="P197" s="18"/>
      <c r="Q197" s="18" t="s">
        <v>4798</v>
      </c>
      <c r="R197" s="18" t="s">
        <v>4798</v>
      </c>
      <c r="V197" s="37"/>
      <c r="W197" s="354"/>
      <c r="X197" s="355"/>
      <c r="Y197" s="355"/>
      <c r="Z197" s="355"/>
      <c r="AA197" s="355"/>
      <c r="AB197" s="37"/>
      <c r="AC197" s="37"/>
    </row>
    <row r="198" spans="1:29" s="67" customFormat="1" ht="21.75" customHeight="1" x14ac:dyDescent="0.4">
      <c r="A198" s="258">
        <v>45866</v>
      </c>
      <c r="B198" s="32" t="s">
        <v>148</v>
      </c>
      <c r="C198" s="32" t="s">
        <v>2557</v>
      </c>
      <c r="D198" s="18" t="s">
        <v>5109</v>
      </c>
      <c r="E198" s="18" t="s">
        <v>28</v>
      </c>
      <c r="F198" s="18"/>
      <c r="G198" s="63" t="s">
        <v>5036</v>
      </c>
      <c r="H198" s="350">
        <v>17500</v>
      </c>
      <c r="I198" s="353"/>
      <c r="J198" s="350">
        <f t="shared" si="77"/>
        <v>17500</v>
      </c>
      <c r="K198" s="18">
        <v>1</v>
      </c>
      <c r="L198" s="350">
        <f t="shared" si="74"/>
        <v>17500</v>
      </c>
      <c r="M198" s="356">
        <f t="shared" si="78"/>
        <v>19250</v>
      </c>
      <c r="N198" s="18" t="s">
        <v>20</v>
      </c>
      <c r="O198" s="439"/>
      <c r="P198" s="18"/>
      <c r="Q198" s="18" t="s">
        <v>2594</v>
      </c>
      <c r="R198" s="18" t="s">
        <v>2594</v>
      </c>
      <c r="V198" s="37"/>
      <c r="W198" s="354"/>
      <c r="X198" s="355"/>
      <c r="Y198" s="355"/>
      <c r="Z198" s="355"/>
      <c r="AA198" s="355"/>
      <c r="AB198" s="37"/>
      <c r="AC198" s="37"/>
    </row>
    <row r="199" spans="1:29" s="67" customFormat="1" ht="21.75" customHeight="1" x14ac:dyDescent="0.4">
      <c r="A199" s="258">
        <v>45867</v>
      </c>
      <c r="B199" s="32" t="s">
        <v>5143</v>
      </c>
      <c r="C199" s="18" t="s">
        <v>405</v>
      </c>
      <c r="D199" s="18" t="s">
        <v>17</v>
      </c>
      <c r="E199" s="18" t="s">
        <v>330</v>
      </c>
      <c r="F199" s="258" t="s">
        <v>661</v>
      </c>
      <c r="G199" s="63" t="s">
        <v>5144</v>
      </c>
      <c r="H199" s="350">
        <v>5000</v>
      </c>
      <c r="I199" s="353"/>
      <c r="J199" s="350">
        <f t="shared" ref="J199" si="84">SUM(H199:I199)</f>
        <v>5000</v>
      </c>
      <c r="K199" s="18">
        <v>1</v>
      </c>
      <c r="L199" s="350">
        <f t="shared" ref="L199:L200" si="85">SUM(J199*K199)</f>
        <v>5000</v>
      </c>
      <c r="M199" s="356">
        <f t="shared" ref="M199:M200" si="86">ROUNDDOWN(L199*1.1,0)</f>
        <v>5500</v>
      </c>
      <c r="N199" s="96" t="s">
        <v>1921</v>
      </c>
      <c r="O199" s="439"/>
      <c r="P199" s="18" t="s">
        <v>5145</v>
      </c>
      <c r="Q199" s="18" t="s">
        <v>2595</v>
      </c>
      <c r="R199" s="18" t="s">
        <v>2595</v>
      </c>
      <c r="V199" s="37"/>
      <c r="W199" s="354"/>
      <c r="X199" s="355"/>
      <c r="Y199" s="355"/>
      <c r="Z199" s="355"/>
      <c r="AA199" s="355"/>
      <c r="AB199" s="37"/>
      <c r="AC199" s="37"/>
    </row>
    <row r="200" spans="1:29" s="67" customFormat="1" ht="21.75" customHeight="1" x14ac:dyDescent="0.4">
      <c r="A200" s="370">
        <v>45867</v>
      </c>
      <c r="B200" s="191" t="s">
        <v>4774</v>
      </c>
      <c r="C200" s="191" t="s">
        <v>2557</v>
      </c>
      <c r="D200" s="192" t="s">
        <v>5109</v>
      </c>
      <c r="E200" s="192" t="s">
        <v>28</v>
      </c>
      <c r="F200" s="192"/>
      <c r="G200" s="193" t="s">
        <v>5036</v>
      </c>
      <c r="H200" s="371">
        <v>17500</v>
      </c>
      <c r="I200" s="372"/>
      <c r="J200" s="371">
        <f t="shared" ref="J200" si="87">SUM(H200:I200)</f>
        <v>17500</v>
      </c>
      <c r="K200" s="192">
        <v>1</v>
      </c>
      <c r="L200" s="371">
        <f t="shared" si="85"/>
        <v>17500</v>
      </c>
      <c r="M200" s="373">
        <f t="shared" si="86"/>
        <v>19250</v>
      </c>
      <c r="N200" s="192" t="s">
        <v>20</v>
      </c>
      <c r="O200" s="439" t="s">
        <v>5461</v>
      </c>
      <c r="P200" s="192"/>
      <c r="Q200" s="192"/>
      <c r="R200" s="192"/>
      <c r="V200" s="37"/>
      <c r="W200" s="354"/>
      <c r="X200" s="355"/>
      <c r="Y200" s="355"/>
      <c r="Z200" s="355"/>
      <c r="AA200" s="355"/>
      <c r="AB200" s="37"/>
      <c r="AC200" s="37"/>
    </row>
    <row r="201" spans="1:29" s="67" customFormat="1" ht="21.75" customHeight="1" x14ac:dyDescent="0.4">
      <c r="A201" s="258">
        <v>45868</v>
      </c>
      <c r="B201" s="32" t="s">
        <v>5110</v>
      </c>
      <c r="C201" s="18" t="s">
        <v>405</v>
      </c>
      <c r="D201" s="18" t="s">
        <v>22</v>
      </c>
      <c r="E201" s="18" t="s">
        <v>23</v>
      </c>
      <c r="F201" s="18"/>
      <c r="G201" s="63" t="s">
        <v>264</v>
      </c>
      <c r="H201" s="350">
        <v>15000</v>
      </c>
      <c r="I201" s="353"/>
      <c r="J201" s="350">
        <v>15000</v>
      </c>
      <c r="K201" s="18">
        <v>1</v>
      </c>
      <c r="L201" s="350">
        <v>15000</v>
      </c>
      <c r="M201" s="356">
        <v>16500</v>
      </c>
      <c r="N201" s="18" t="s">
        <v>25</v>
      </c>
      <c r="O201" s="454" t="s">
        <v>6433</v>
      </c>
      <c r="P201" s="18" t="s">
        <v>5111</v>
      </c>
      <c r="Q201" s="18" t="s">
        <v>5112</v>
      </c>
      <c r="R201" s="18" t="s">
        <v>5113</v>
      </c>
      <c r="V201" s="37"/>
      <c r="W201" s="354"/>
      <c r="X201" s="355"/>
      <c r="Y201" s="355"/>
      <c r="Z201" s="355"/>
      <c r="AA201" s="355"/>
      <c r="AB201" s="37"/>
      <c r="AC201" s="37"/>
    </row>
    <row r="202" spans="1:29" s="67" customFormat="1" ht="21.75" customHeight="1" x14ac:dyDescent="0.4">
      <c r="A202" s="258">
        <v>45868</v>
      </c>
      <c r="B202" s="32" t="s">
        <v>5110</v>
      </c>
      <c r="C202" s="18" t="s">
        <v>405</v>
      </c>
      <c r="D202" s="18" t="s">
        <v>17</v>
      </c>
      <c r="E202" s="18" t="s">
        <v>328</v>
      </c>
      <c r="F202" s="374" t="s">
        <v>3960</v>
      </c>
      <c r="G202" s="63" t="s">
        <v>4078</v>
      </c>
      <c r="H202" s="350">
        <v>42000</v>
      </c>
      <c r="I202" s="353">
        <v>-8400</v>
      </c>
      <c r="J202" s="350">
        <f t="shared" ref="J202" si="88">SUM(H202:I202)</f>
        <v>33600</v>
      </c>
      <c r="K202" s="18">
        <v>1</v>
      </c>
      <c r="L202" s="350">
        <f t="shared" ref="L202" si="89">SUM(J202*K202)</f>
        <v>33600</v>
      </c>
      <c r="M202" s="356">
        <f t="shared" ref="M202" si="90">ROUNDDOWN(L202*1.1,0)</f>
        <v>36960</v>
      </c>
      <c r="N202" s="18" t="s">
        <v>34</v>
      </c>
      <c r="O202" s="439"/>
      <c r="P202" s="18" t="s">
        <v>5111</v>
      </c>
      <c r="Q202" s="18" t="s">
        <v>5113</v>
      </c>
      <c r="R202" s="18" t="s">
        <v>5113</v>
      </c>
      <c r="V202" s="37"/>
      <c r="W202" s="354"/>
      <c r="X202" s="355"/>
      <c r="Y202" s="355"/>
      <c r="Z202" s="355"/>
      <c r="AA202" s="355"/>
      <c r="AB202" s="37"/>
      <c r="AC202" s="37"/>
    </row>
    <row r="203" spans="1:29" s="67" customFormat="1" ht="21.75" customHeight="1" x14ac:dyDescent="0.4">
      <c r="A203" s="258">
        <v>45869</v>
      </c>
      <c r="B203" s="32" t="s">
        <v>5116</v>
      </c>
      <c r="C203" s="18" t="s">
        <v>405</v>
      </c>
      <c r="D203" s="18" t="s">
        <v>5114</v>
      </c>
      <c r="E203" s="18" t="s">
        <v>5117</v>
      </c>
      <c r="F203" s="18"/>
      <c r="G203" s="63" t="s">
        <v>264</v>
      </c>
      <c r="H203" s="350">
        <v>15000</v>
      </c>
      <c r="I203" s="353"/>
      <c r="J203" s="350">
        <f t="shared" si="77"/>
        <v>15000</v>
      </c>
      <c r="K203" s="18">
        <v>1</v>
      </c>
      <c r="L203" s="350">
        <f t="shared" si="74"/>
        <v>15000</v>
      </c>
      <c r="M203" s="356">
        <f t="shared" si="78"/>
        <v>16500</v>
      </c>
      <c r="N203" s="18" t="s">
        <v>25</v>
      </c>
      <c r="O203" s="454" t="s">
        <v>6433</v>
      </c>
      <c r="P203" s="18" t="s">
        <v>2594</v>
      </c>
      <c r="Q203" s="18" t="s">
        <v>5115</v>
      </c>
      <c r="R203" s="18" t="s">
        <v>5115</v>
      </c>
      <c r="V203" s="37"/>
      <c r="W203" s="354"/>
      <c r="X203" s="355"/>
      <c r="Y203" s="355"/>
      <c r="Z203" s="355"/>
      <c r="AA203" s="355"/>
      <c r="AB203" s="37"/>
      <c r="AC203" s="37"/>
    </row>
    <row r="204" spans="1:29" s="67" customFormat="1" ht="21.75" customHeight="1" x14ac:dyDescent="0.4">
      <c r="A204" s="258">
        <v>45869</v>
      </c>
      <c r="B204" s="32" t="s">
        <v>5116</v>
      </c>
      <c r="C204" s="18" t="s">
        <v>405</v>
      </c>
      <c r="D204" s="18" t="s">
        <v>5119</v>
      </c>
      <c r="E204" s="18" t="s">
        <v>328</v>
      </c>
      <c r="F204" s="18" t="s">
        <v>5121</v>
      </c>
      <c r="G204" s="63" t="s">
        <v>5122</v>
      </c>
      <c r="H204" s="350">
        <v>60000</v>
      </c>
      <c r="I204" s="353">
        <v>-9000</v>
      </c>
      <c r="J204" s="350">
        <f t="shared" si="77"/>
        <v>51000</v>
      </c>
      <c r="K204" s="18">
        <v>1</v>
      </c>
      <c r="L204" s="350">
        <f t="shared" si="74"/>
        <v>51000</v>
      </c>
      <c r="M204" s="356">
        <f t="shared" si="78"/>
        <v>56100</v>
      </c>
      <c r="N204" s="18" t="s">
        <v>1121</v>
      </c>
      <c r="O204" s="439"/>
      <c r="P204" s="18" t="s">
        <v>5118</v>
      </c>
      <c r="Q204" s="18" t="s">
        <v>5115</v>
      </c>
      <c r="R204" s="18" t="s">
        <v>5115</v>
      </c>
      <c r="V204" s="37"/>
      <c r="W204" s="354"/>
      <c r="X204" s="355"/>
      <c r="Y204" s="355"/>
      <c r="Z204" s="355"/>
      <c r="AA204" s="355"/>
      <c r="AB204" s="37"/>
      <c r="AC204" s="37"/>
    </row>
    <row r="205" spans="1:29" s="67" customFormat="1" ht="21.75" customHeight="1" x14ac:dyDescent="0.4">
      <c r="A205" s="258">
        <v>45869</v>
      </c>
      <c r="B205" s="32" t="s">
        <v>5116</v>
      </c>
      <c r="C205" s="18" t="s">
        <v>405</v>
      </c>
      <c r="D205" s="18" t="s">
        <v>5119</v>
      </c>
      <c r="E205" s="18" t="s">
        <v>5120</v>
      </c>
      <c r="F205" s="18" t="s">
        <v>3555</v>
      </c>
      <c r="G205" s="63" t="s">
        <v>3557</v>
      </c>
      <c r="H205" s="350">
        <v>1300</v>
      </c>
      <c r="I205" s="353"/>
      <c r="J205" s="350">
        <f t="shared" si="77"/>
        <v>1300</v>
      </c>
      <c r="K205" s="18">
        <v>1</v>
      </c>
      <c r="L205" s="350">
        <f t="shared" si="74"/>
        <v>1300</v>
      </c>
      <c r="M205" s="356">
        <f t="shared" si="78"/>
        <v>1430</v>
      </c>
      <c r="N205" s="18" t="s">
        <v>1121</v>
      </c>
      <c r="O205" s="439"/>
      <c r="P205" s="18" t="s">
        <v>5118</v>
      </c>
      <c r="Q205" s="18" t="s">
        <v>5115</v>
      </c>
      <c r="R205" s="18" t="s">
        <v>5115</v>
      </c>
      <c r="V205" s="37"/>
      <c r="W205" s="354"/>
      <c r="X205" s="355"/>
      <c r="Y205" s="355"/>
      <c r="Z205" s="355"/>
      <c r="AA205" s="355"/>
      <c r="AB205" s="37"/>
      <c r="AC205" s="37"/>
    </row>
    <row r="206" spans="1:29" s="67" customFormat="1" ht="21.75" customHeight="1" x14ac:dyDescent="0.4">
      <c r="A206" s="258">
        <v>45869</v>
      </c>
      <c r="B206" s="32" t="s">
        <v>5123</v>
      </c>
      <c r="C206" s="18" t="s">
        <v>405</v>
      </c>
      <c r="D206" s="18" t="s">
        <v>5119</v>
      </c>
      <c r="E206" s="18" t="s">
        <v>330</v>
      </c>
      <c r="F206" s="258" t="s">
        <v>661</v>
      </c>
      <c r="G206" s="63" t="s">
        <v>5124</v>
      </c>
      <c r="H206" s="350">
        <v>5000</v>
      </c>
      <c r="I206" s="353"/>
      <c r="J206" s="350">
        <f t="shared" si="77"/>
        <v>5000</v>
      </c>
      <c r="K206" s="18">
        <v>1</v>
      </c>
      <c r="L206" s="350">
        <f t="shared" si="74"/>
        <v>5000</v>
      </c>
      <c r="M206" s="356">
        <f t="shared" si="78"/>
        <v>5500</v>
      </c>
      <c r="N206" s="18" t="s">
        <v>5125</v>
      </c>
      <c r="O206" s="439"/>
      <c r="P206" s="18" t="s">
        <v>5115</v>
      </c>
      <c r="Q206" s="18" t="s">
        <v>5115</v>
      </c>
      <c r="R206" s="18" t="s">
        <v>5115</v>
      </c>
      <c r="V206" s="37"/>
      <c r="W206" s="354"/>
      <c r="X206" s="355"/>
      <c r="Y206" s="355"/>
      <c r="Z206" s="355"/>
      <c r="AA206" s="355"/>
      <c r="AB206" s="37"/>
      <c r="AC206" s="37"/>
    </row>
    <row r="207" spans="1:29" s="67" customFormat="1" ht="21.75" customHeight="1" x14ac:dyDescent="0.4">
      <c r="A207" s="258">
        <v>45869</v>
      </c>
      <c r="B207" s="32" t="s">
        <v>5123</v>
      </c>
      <c r="C207" s="18" t="s">
        <v>405</v>
      </c>
      <c r="D207" s="18" t="s">
        <v>5119</v>
      </c>
      <c r="E207" s="18" t="s">
        <v>332</v>
      </c>
      <c r="F207" s="18" t="s">
        <v>3555</v>
      </c>
      <c r="G207" s="63" t="s">
        <v>5126</v>
      </c>
      <c r="H207" s="350">
        <v>1300</v>
      </c>
      <c r="I207" s="353"/>
      <c r="J207" s="350">
        <f t="shared" ref="J207" si="91">SUM(H207:I207)</f>
        <v>1300</v>
      </c>
      <c r="K207" s="18">
        <v>1</v>
      </c>
      <c r="L207" s="350">
        <f t="shared" ref="L207" si="92">SUM(J207*K207)</f>
        <v>1300</v>
      </c>
      <c r="M207" s="356">
        <f t="shared" ref="M207" si="93">ROUNDDOWN(L207*1.1,0)</f>
        <v>1430</v>
      </c>
      <c r="N207" s="18" t="s">
        <v>5125</v>
      </c>
      <c r="O207" s="439"/>
      <c r="P207" s="18" t="s">
        <v>5115</v>
      </c>
      <c r="Q207" s="18" t="s">
        <v>5115</v>
      </c>
      <c r="R207" s="18" t="s">
        <v>5115</v>
      </c>
      <c r="V207" s="37"/>
      <c r="W207" s="354"/>
      <c r="X207" s="355"/>
      <c r="Y207" s="355"/>
      <c r="Z207" s="355"/>
      <c r="AA207" s="355"/>
      <c r="AB207" s="37"/>
      <c r="AC207" s="37"/>
    </row>
    <row r="208" spans="1:29" s="67" customFormat="1" ht="21.75" customHeight="1" x14ac:dyDescent="0.4">
      <c r="A208" s="258">
        <v>45869</v>
      </c>
      <c r="B208" s="32" t="s">
        <v>5127</v>
      </c>
      <c r="C208" s="32" t="s">
        <v>5128</v>
      </c>
      <c r="D208" s="18" t="s">
        <v>5119</v>
      </c>
      <c r="E208" s="18" t="s">
        <v>332</v>
      </c>
      <c r="F208" s="18" t="s">
        <v>3555</v>
      </c>
      <c r="G208" s="63" t="s">
        <v>3557</v>
      </c>
      <c r="H208" s="350">
        <v>1300</v>
      </c>
      <c r="I208" s="353">
        <v>-130</v>
      </c>
      <c r="J208" s="350">
        <f t="shared" ref="J208" si="94">SUM(H208:I208)</f>
        <v>1170</v>
      </c>
      <c r="K208" s="18">
        <v>1</v>
      </c>
      <c r="L208" s="350">
        <f t="shared" ref="L208:L209" si="95">SUM(J208*K208)</f>
        <v>1170</v>
      </c>
      <c r="M208" s="356">
        <f t="shared" ref="M208:M209" si="96">ROUNDDOWN(L208*1.1,0)</f>
        <v>1287</v>
      </c>
      <c r="N208" s="18" t="s">
        <v>5125</v>
      </c>
      <c r="O208" s="439"/>
      <c r="P208" s="18" t="s">
        <v>5115</v>
      </c>
      <c r="Q208" s="18" t="s">
        <v>5115</v>
      </c>
      <c r="R208" s="18" t="s">
        <v>5115</v>
      </c>
      <c r="V208" s="37"/>
      <c r="W208" s="354"/>
      <c r="X208" s="355"/>
      <c r="Y208" s="355"/>
      <c r="Z208" s="355"/>
      <c r="AA208" s="355"/>
      <c r="AB208" s="37"/>
      <c r="AC208" s="37"/>
    </row>
    <row r="209" spans="1:29" s="67" customFormat="1" ht="21.75" customHeight="1" x14ac:dyDescent="0.4">
      <c r="A209" s="258">
        <v>45869</v>
      </c>
      <c r="B209" s="32" t="s">
        <v>5146</v>
      </c>
      <c r="C209" s="32" t="s">
        <v>405</v>
      </c>
      <c r="D209" s="18" t="s">
        <v>17</v>
      </c>
      <c r="E209" s="18" t="s">
        <v>328</v>
      </c>
      <c r="F209" s="18" t="s">
        <v>5147</v>
      </c>
      <c r="G209" s="63" t="s">
        <v>5148</v>
      </c>
      <c r="H209" s="350">
        <v>33000</v>
      </c>
      <c r="I209" s="353">
        <v>-6600</v>
      </c>
      <c r="J209" s="350">
        <f t="shared" si="77"/>
        <v>26400</v>
      </c>
      <c r="K209" s="18">
        <v>3</v>
      </c>
      <c r="L209" s="350">
        <f t="shared" si="95"/>
        <v>79200</v>
      </c>
      <c r="M209" s="356">
        <f t="shared" si="96"/>
        <v>87120</v>
      </c>
      <c r="N209" s="96" t="s">
        <v>5149</v>
      </c>
      <c r="O209" s="439"/>
      <c r="P209" s="18" t="s">
        <v>5145</v>
      </c>
      <c r="Q209" s="18" t="s">
        <v>5145</v>
      </c>
      <c r="R209" s="18" t="s">
        <v>5145</v>
      </c>
      <c r="V209" s="37"/>
      <c r="W209" s="354"/>
      <c r="X209" s="355"/>
      <c r="Y209" s="355"/>
      <c r="Z209" s="355"/>
      <c r="AA209" s="355"/>
      <c r="AB209" s="37"/>
      <c r="AC209" s="37"/>
    </row>
    <row r="210" spans="1:29" s="67" customFormat="1" ht="21.75" customHeight="1" x14ac:dyDescent="0.4">
      <c r="A210" s="258">
        <v>45869</v>
      </c>
      <c r="B210" s="32" t="s">
        <v>5146</v>
      </c>
      <c r="C210" s="32" t="s">
        <v>405</v>
      </c>
      <c r="D210" s="18" t="s">
        <v>17</v>
      </c>
      <c r="E210" s="18" t="s">
        <v>332</v>
      </c>
      <c r="F210" s="18" t="s">
        <v>3553</v>
      </c>
      <c r="G210" s="63" t="s">
        <v>5150</v>
      </c>
      <c r="H210" s="350">
        <v>1600</v>
      </c>
      <c r="I210" s="353">
        <v>0</v>
      </c>
      <c r="J210" s="350">
        <f t="shared" ref="J210" si="97">SUM(H210:I210)</f>
        <v>1600</v>
      </c>
      <c r="K210" s="18">
        <v>3</v>
      </c>
      <c r="L210" s="350">
        <f t="shared" ref="L210" si="98">SUM(J210*K210)</f>
        <v>4800</v>
      </c>
      <c r="M210" s="356">
        <f t="shared" ref="M210" si="99">ROUNDDOWN(L210*1.1,0)</f>
        <v>5280</v>
      </c>
      <c r="N210" s="96" t="s">
        <v>5149</v>
      </c>
      <c r="O210" s="439"/>
      <c r="P210" s="18" t="s">
        <v>5145</v>
      </c>
      <c r="Q210" s="18" t="s">
        <v>5145</v>
      </c>
      <c r="R210" s="18" t="s">
        <v>5145</v>
      </c>
      <c r="V210" s="37"/>
      <c r="W210" s="354"/>
      <c r="X210" s="355"/>
      <c r="Y210" s="355"/>
      <c r="Z210" s="355"/>
      <c r="AA210" s="355"/>
      <c r="AB210" s="37"/>
      <c r="AC210" s="37"/>
    </row>
    <row r="211" spans="1:29" s="67" customFormat="1" ht="21.75" customHeight="1" x14ac:dyDescent="0.4">
      <c r="A211" s="258">
        <v>45869</v>
      </c>
      <c r="B211" s="32" t="s">
        <v>4503</v>
      </c>
      <c r="C211" s="32" t="s">
        <v>4292</v>
      </c>
      <c r="D211" s="18" t="s">
        <v>5132</v>
      </c>
      <c r="E211" s="18" t="s">
        <v>292</v>
      </c>
      <c r="F211" s="18" t="s">
        <v>3642</v>
      </c>
      <c r="G211" s="63" t="s">
        <v>5133</v>
      </c>
      <c r="H211" s="350">
        <v>6300</v>
      </c>
      <c r="I211" s="353">
        <v>-1575</v>
      </c>
      <c r="J211" s="350">
        <f t="shared" si="77"/>
        <v>4725</v>
      </c>
      <c r="K211" s="18">
        <v>3</v>
      </c>
      <c r="L211" s="350">
        <f t="shared" si="74"/>
        <v>14175</v>
      </c>
      <c r="M211" s="356">
        <f t="shared" si="78"/>
        <v>15592</v>
      </c>
      <c r="N211" s="18" t="s">
        <v>1121</v>
      </c>
      <c r="O211" s="439" t="s">
        <v>5135</v>
      </c>
      <c r="P211" s="18"/>
      <c r="Q211" s="18" t="s">
        <v>5134</v>
      </c>
      <c r="R211" s="18" t="s">
        <v>5131</v>
      </c>
      <c r="V211" s="37"/>
      <c r="W211" s="354"/>
      <c r="X211" s="355"/>
      <c r="Y211" s="355"/>
      <c r="Z211" s="355"/>
      <c r="AA211" s="355"/>
      <c r="AB211" s="37"/>
      <c r="AC211" s="37"/>
    </row>
    <row r="212" spans="1:29" s="67" customFormat="1" ht="21.75" customHeight="1" x14ac:dyDescent="0.4">
      <c r="A212" s="258">
        <v>45870</v>
      </c>
      <c r="B212" s="32" t="s">
        <v>4881</v>
      </c>
      <c r="C212" s="32" t="s">
        <v>2557</v>
      </c>
      <c r="D212" s="18" t="s">
        <v>17</v>
      </c>
      <c r="E212" s="18" t="s">
        <v>332</v>
      </c>
      <c r="F212" s="18" t="s">
        <v>3550</v>
      </c>
      <c r="G212" s="63" t="s">
        <v>5129</v>
      </c>
      <c r="H212" s="350">
        <v>1800</v>
      </c>
      <c r="I212" s="353">
        <v>-180</v>
      </c>
      <c r="J212" s="350">
        <f t="shared" si="77"/>
        <v>1620</v>
      </c>
      <c r="K212" s="18">
        <v>1</v>
      </c>
      <c r="L212" s="350">
        <f t="shared" si="74"/>
        <v>1620</v>
      </c>
      <c r="M212" s="356">
        <f t="shared" si="78"/>
        <v>1782</v>
      </c>
      <c r="N212" s="18" t="s">
        <v>5130</v>
      </c>
      <c r="O212" s="439"/>
      <c r="P212" s="18"/>
      <c r="Q212" s="18" t="s">
        <v>5131</v>
      </c>
      <c r="R212" s="18" t="s">
        <v>5131</v>
      </c>
      <c r="V212" s="37"/>
      <c r="W212" s="354"/>
      <c r="X212" s="355"/>
      <c r="Y212" s="355"/>
      <c r="Z212" s="355"/>
      <c r="AA212" s="355"/>
      <c r="AB212" s="37"/>
      <c r="AC212" s="37"/>
    </row>
    <row r="213" spans="1:29" s="67" customFormat="1" ht="21.75" customHeight="1" x14ac:dyDescent="0.4">
      <c r="A213" s="258">
        <v>45870</v>
      </c>
      <c r="B213" s="32" t="s">
        <v>4865</v>
      </c>
      <c r="C213" s="32" t="s">
        <v>2557</v>
      </c>
      <c r="D213" s="18" t="s">
        <v>22</v>
      </c>
      <c r="E213" s="18" t="s">
        <v>1496</v>
      </c>
      <c r="F213" s="18"/>
      <c r="G213" s="63" t="s">
        <v>4869</v>
      </c>
      <c r="H213" s="350">
        <v>2000</v>
      </c>
      <c r="I213" s="353"/>
      <c r="J213" s="350">
        <f t="shared" ref="J213" si="100">SUM(H213:I213)</f>
        <v>2000</v>
      </c>
      <c r="K213" s="18">
        <v>1</v>
      </c>
      <c r="L213" s="350">
        <f t="shared" ref="L213:L214" si="101">SUM(J213*K213)</f>
        <v>2000</v>
      </c>
      <c r="M213" s="356">
        <f t="shared" ref="M213:M214" si="102">ROUNDDOWN(L213*1.1,0)</f>
        <v>2200</v>
      </c>
      <c r="N213" s="18" t="s">
        <v>20</v>
      </c>
      <c r="O213" s="439"/>
      <c r="P213" s="18" t="s">
        <v>5179</v>
      </c>
      <c r="Q213" s="18"/>
      <c r="R213" s="18" t="s">
        <v>4803</v>
      </c>
      <c r="V213" s="37"/>
      <c r="W213" s="354"/>
      <c r="X213" s="355"/>
      <c r="Y213" s="355"/>
      <c r="Z213" s="355"/>
      <c r="AA213" s="355"/>
      <c r="AB213" s="37"/>
      <c r="AC213" s="37"/>
    </row>
    <row r="214" spans="1:29" s="67" customFormat="1" ht="21.75" customHeight="1" x14ac:dyDescent="0.4">
      <c r="A214" s="258">
        <v>45870</v>
      </c>
      <c r="B214" s="32" t="s">
        <v>5180</v>
      </c>
      <c r="C214" s="32" t="s">
        <v>2557</v>
      </c>
      <c r="D214" s="18" t="s">
        <v>17</v>
      </c>
      <c r="E214" s="18" t="s">
        <v>426</v>
      </c>
      <c r="F214" s="18" t="s">
        <v>994</v>
      </c>
      <c r="G214" s="63" t="s">
        <v>5105</v>
      </c>
      <c r="H214" s="350">
        <v>1800</v>
      </c>
      <c r="I214" s="353">
        <v>-180</v>
      </c>
      <c r="J214" s="350">
        <f t="shared" ref="J214" si="103">SUM(H214:I214)</f>
        <v>1620</v>
      </c>
      <c r="K214" s="18">
        <v>1</v>
      </c>
      <c r="L214" s="350">
        <f t="shared" si="101"/>
        <v>1620</v>
      </c>
      <c r="M214" s="356">
        <f t="shared" si="102"/>
        <v>1782</v>
      </c>
      <c r="N214" s="18" t="s">
        <v>1121</v>
      </c>
      <c r="O214" s="439"/>
      <c r="P214" s="18"/>
      <c r="Q214" s="18" t="s">
        <v>4803</v>
      </c>
      <c r="R214" s="18" t="s">
        <v>4803</v>
      </c>
      <c r="V214" s="37"/>
      <c r="W214" s="354"/>
      <c r="X214" s="355"/>
      <c r="Y214" s="355"/>
      <c r="Z214" s="355"/>
      <c r="AA214" s="355"/>
      <c r="AB214" s="37"/>
      <c r="AC214" s="37"/>
    </row>
    <row r="215" spans="1:29" s="67" customFormat="1" ht="21.75" customHeight="1" x14ac:dyDescent="0.4">
      <c r="A215" s="258">
        <v>45871</v>
      </c>
      <c r="B215" s="32" t="s">
        <v>5151</v>
      </c>
      <c r="C215" s="32" t="s">
        <v>5152</v>
      </c>
      <c r="D215" s="18" t="s">
        <v>22</v>
      </c>
      <c r="E215" s="18" t="s">
        <v>1496</v>
      </c>
      <c r="F215" s="18"/>
      <c r="G215" s="63" t="s">
        <v>4869</v>
      </c>
      <c r="H215" s="350">
        <v>2000</v>
      </c>
      <c r="I215" s="353"/>
      <c r="J215" s="350">
        <f t="shared" si="77"/>
        <v>2000</v>
      </c>
      <c r="K215" s="18">
        <v>1</v>
      </c>
      <c r="L215" s="350">
        <f t="shared" si="74"/>
        <v>2000</v>
      </c>
      <c r="M215" s="356">
        <f t="shared" si="78"/>
        <v>2200</v>
      </c>
      <c r="N215" s="18" t="s">
        <v>20</v>
      </c>
      <c r="O215" s="439"/>
      <c r="P215" s="18" t="s">
        <v>2595</v>
      </c>
      <c r="Q215" s="18" t="s">
        <v>5145</v>
      </c>
      <c r="R215" s="18" t="s">
        <v>5145</v>
      </c>
      <c r="V215" s="37"/>
      <c r="W215" s="354"/>
      <c r="X215" s="355"/>
      <c r="Y215" s="355"/>
      <c r="Z215" s="355"/>
      <c r="AA215" s="355"/>
      <c r="AB215" s="37"/>
      <c r="AC215" s="37"/>
    </row>
    <row r="216" spans="1:29" s="67" customFormat="1" ht="21.75" customHeight="1" x14ac:dyDescent="0.4">
      <c r="A216" s="258">
        <v>45871</v>
      </c>
      <c r="B216" s="32" t="s">
        <v>4812</v>
      </c>
      <c r="C216" s="32" t="s">
        <v>2557</v>
      </c>
      <c r="D216" s="18" t="s">
        <v>17</v>
      </c>
      <c r="E216" s="18" t="s">
        <v>5020</v>
      </c>
      <c r="F216" s="18"/>
      <c r="G216" s="63" t="s">
        <v>5021</v>
      </c>
      <c r="H216" s="350">
        <v>3800</v>
      </c>
      <c r="I216" s="353">
        <v>-380</v>
      </c>
      <c r="J216" s="350">
        <f t="shared" si="77"/>
        <v>3420</v>
      </c>
      <c r="K216" s="18">
        <v>1</v>
      </c>
      <c r="L216" s="350">
        <f t="shared" si="74"/>
        <v>3420</v>
      </c>
      <c r="M216" s="356">
        <f t="shared" si="78"/>
        <v>3762</v>
      </c>
      <c r="N216" s="18" t="s">
        <v>20</v>
      </c>
      <c r="O216" s="439"/>
      <c r="P216" s="18"/>
      <c r="Q216" s="18" t="s">
        <v>4803</v>
      </c>
      <c r="R216" s="18" t="s">
        <v>4803</v>
      </c>
      <c r="V216" s="37"/>
      <c r="W216" s="354"/>
      <c r="X216" s="355"/>
      <c r="Y216" s="355"/>
      <c r="Z216" s="355"/>
      <c r="AA216" s="355"/>
      <c r="AB216" s="37"/>
      <c r="AC216" s="37"/>
    </row>
    <row r="217" spans="1:29" s="67" customFormat="1" ht="21.75" customHeight="1" x14ac:dyDescent="0.4">
      <c r="A217" s="258">
        <v>45871</v>
      </c>
      <c r="B217" s="32" t="s">
        <v>4812</v>
      </c>
      <c r="C217" s="32" t="s">
        <v>2557</v>
      </c>
      <c r="D217" s="18" t="s">
        <v>17</v>
      </c>
      <c r="E217" s="18" t="s">
        <v>292</v>
      </c>
      <c r="F217" s="18" t="s">
        <v>1051</v>
      </c>
      <c r="G217" s="63" t="s">
        <v>4973</v>
      </c>
      <c r="H217" s="350">
        <v>3200</v>
      </c>
      <c r="I217" s="353">
        <v>-320</v>
      </c>
      <c r="J217" s="350">
        <f t="shared" si="77"/>
        <v>2880</v>
      </c>
      <c r="K217" s="18">
        <v>2</v>
      </c>
      <c r="L217" s="350">
        <f t="shared" si="74"/>
        <v>5760</v>
      </c>
      <c r="M217" s="356">
        <f t="shared" si="78"/>
        <v>6336</v>
      </c>
      <c r="N217" s="18" t="s">
        <v>20</v>
      </c>
      <c r="O217" s="439"/>
      <c r="P217" s="18"/>
      <c r="Q217" s="18" t="s">
        <v>4803</v>
      </c>
      <c r="R217" s="18" t="s">
        <v>4803</v>
      </c>
      <c r="V217" s="37"/>
      <c r="W217" s="354"/>
      <c r="X217" s="355"/>
      <c r="Y217" s="355"/>
      <c r="Z217" s="355"/>
      <c r="AA217" s="355"/>
      <c r="AB217" s="37"/>
      <c r="AC217" s="37"/>
    </row>
    <row r="218" spans="1:29" s="67" customFormat="1" ht="21.75" customHeight="1" x14ac:dyDescent="0.4">
      <c r="A218" s="258">
        <v>45872</v>
      </c>
      <c r="B218" s="32" t="s">
        <v>4340</v>
      </c>
      <c r="C218" s="32" t="s">
        <v>5152</v>
      </c>
      <c r="D218" s="18" t="s">
        <v>5153</v>
      </c>
      <c r="E218" s="18" t="s">
        <v>332</v>
      </c>
      <c r="F218" s="18" t="s">
        <v>3553</v>
      </c>
      <c r="G218" s="63" t="s">
        <v>5154</v>
      </c>
      <c r="H218" s="350">
        <v>1600</v>
      </c>
      <c r="I218" s="353">
        <v>-160</v>
      </c>
      <c r="J218" s="350">
        <f t="shared" si="77"/>
        <v>1440</v>
      </c>
      <c r="K218" s="18">
        <v>1</v>
      </c>
      <c r="L218" s="350">
        <f t="shared" si="74"/>
        <v>1440</v>
      </c>
      <c r="M218" s="356">
        <f t="shared" si="78"/>
        <v>1584</v>
      </c>
      <c r="N218" s="18" t="s">
        <v>5155</v>
      </c>
      <c r="O218" s="439"/>
      <c r="P218" s="18" t="s">
        <v>5156</v>
      </c>
      <c r="Q218" s="18" t="s">
        <v>5145</v>
      </c>
      <c r="R218" s="18" t="s">
        <v>5145</v>
      </c>
      <c r="V218" s="37"/>
      <c r="W218" s="354"/>
      <c r="X218" s="355"/>
      <c r="Y218" s="355"/>
      <c r="Z218" s="355"/>
      <c r="AA218" s="355"/>
      <c r="AB218" s="37"/>
      <c r="AC218" s="37"/>
    </row>
    <row r="219" spans="1:29" s="67" customFormat="1" ht="21.75" customHeight="1" x14ac:dyDescent="0.4">
      <c r="A219" s="258">
        <v>45872</v>
      </c>
      <c r="B219" s="32" t="s">
        <v>4340</v>
      </c>
      <c r="C219" s="32" t="s">
        <v>5152</v>
      </c>
      <c r="D219" s="18" t="s">
        <v>5153</v>
      </c>
      <c r="E219" s="18" t="s">
        <v>332</v>
      </c>
      <c r="F219" s="18" t="s">
        <v>3597</v>
      </c>
      <c r="G219" s="63" t="s">
        <v>5157</v>
      </c>
      <c r="H219" s="350">
        <v>3000</v>
      </c>
      <c r="I219" s="353">
        <v>-300</v>
      </c>
      <c r="J219" s="350">
        <f t="shared" ref="J219:J220" si="104">SUM(H219:I219)</f>
        <v>2700</v>
      </c>
      <c r="K219" s="18">
        <v>1</v>
      </c>
      <c r="L219" s="350">
        <f t="shared" ref="L219:L221" si="105">SUM(J219*K219)</f>
        <v>2700</v>
      </c>
      <c r="M219" s="356">
        <f t="shared" ref="M219:M221" si="106">ROUNDDOWN(L219*1.1,0)</f>
        <v>2970</v>
      </c>
      <c r="N219" s="18" t="s">
        <v>5155</v>
      </c>
      <c r="O219" s="439"/>
      <c r="P219" s="18" t="s">
        <v>5156</v>
      </c>
      <c r="Q219" s="18" t="s">
        <v>5145</v>
      </c>
      <c r="R219" s="18" t="s">
        <v>5145</v>
      </c>
      <c r="V219" s="37"/>
      <c r="W219" s="354"/>
      <c r="X219" s="355"/>
      <c r="Y219" s="355"/>
      <c r="Z219" s="355"/>
      <c r="AA219" s="355"/>
      <c r="AB219" s="37"/>
      <c r="AC219" s="37"/>
    </row>
    <row r="220" spans="1:29" s="67" customFormat="1" ht="21.75" customHeight="1" x14ac:dyDescent="0.4">
      <c r="A220" s="258">
        <v>45872</v>
      </c>
      <c r="B220" s="32" t="s">
        <v>4865</v>
      </c>
      <c r="C220" s="32" t="s">
        <v>2557</v>
      </c>
      <c r="D220" s="18" t="s">
        <v>22</v>
      </c>
      <c r="E220" s="18" t="s">
        <v>1496</v>
      </c>
      <c r="F220" s="18"/>
      <c r="G220" s="63" t="s">
        <v>4869</v>
      </c>
      <c r="H220" s="350">
        <v>2000</v>
      </c>
      <c r="I220" s="353"/>
      <c r="J220" s="350">
        <f t="shared" si="104"/>
        <v>2000</v>
      </c>
      <c r="K220" s="18">
        <v>1</v>
      </c>
      <c r="L220" s="350">
        <f t="shared" si="105"/>
        <v>2000</v>
      </c>
      <c r="M220" s="356">
        <f t="shared" si="106"/>
        <v>2200</v>
      </c>
      <c r="N220" s="18" t="s">
        <v>20</v>
      </c>
      <c r="O220" s="439"/>
      <c r="P220" s="18" t="s">
        <v>2595</v>
      </c>
      <c r="Q220" s="18" t="s">
        <v>2595</v>
      </c>
      <c r="R220" s="18" t="s">
        <v>2595</v>
      </c>
      <c r="V220" s="37"/>
      <c r="W220" s="354"/>
      <c r="X220" s="355"/>
      <c r="Y220" s="355"/>
      <c r="Z220" s="355"/>
      <c r="AA220" s="355"/>
      <c r="AB220" s="37"/>
      <c r="AC220" s="37"/>
    </row>
    <row r="221" spans="1:29" s="67" customFormat="1" ht="21.75" customHeight="1" x14ac:dyDescent="0.4">
      <c r="A221" s="258">
        <v>45873</v>
      </c>
      <c r="B221" s="32" t="s">
        <v>5165</v>
      </c>
      <c r="C221" s="32" t="s">
        <v>5166</v>
      </c>
      <c r="D221" s="18" t="s">
        <v>5167</v>
      </c>
      <c r="E221" s="18" t="s">
        <v>5168</v>
      </c>
      <c r="F221" s="18" t="s">
        <v>3554</v>
      </c>
      <c r="G221" s="63" t="s">
        <v>5169</v>
      </c>
      <c r="H221" s="350">
        <v>2700</v>
      </c>
      <c r="I221" s="353">
        <v>-270</v>
      </c>
      <c r="J221" s="350">
        <f t="shared" ref="J221" si="107">SUM(H221:I221)</f>
        <v>2430</v>
      </c>
      <c r="K221" s="18">
        <v>2</v>
      </c>
      <c r="L221" s="350">
        <f t="shared" si="105"/>
        <v>4860</v>
      </c>
      <c r="M221" s="356">
        <f t="shared" si="106"/>
        <v>5346</v>
      </c>
      <c r="N221" s="18" t="s">
        <v>25</v>
      </c>
      <c r="O221" s="439"/>
      <c r="P221" s="18"/>
      <c r="Q221" s="18" t="s">
        <v>2595</v>
      </c>
      <c r="R221" s="18" t="s">
        <v>2595</v>
      </c>
      <c r="V221" s="37"/>
      <c r="W221" s="354"/>
      <c r="X221" s="355"/>
      <c r="Y221" s="355"/>
      <c r="Z221" s="355"/>
      <c r="AA221" s="355"/>
      <c r="AB221" s="37"/>
      <c r="AC221" s="37"/>
    </row>
    <row r="222" spans="1:29" s="67" customFormat="1" ht="21.75" customHeight="1" x14ac:dyDescent="0.4">
      <c r="A222" s="258">
        <v>45873</v>
      </c>
      <c r="B222" s="32" t="s">
        <v>5172</v>
      </c>
      <c r="C222" s="32" t="s">
        <v>5166</v>
      </c>
      <c r="D222" s="18" t="s">
        <v>5167</v>
      </c>
      <c r="E222" s="18" t="s">
        <v>5170</v>
      </c>
      <c r="F222" s="18" t="s">
        <v>994</v>
      </c>
      <c r="G222" s="63" t="s">
        <v>5171</v>
      </c>
      <c r="H222" s="350">
        <v>1800</v>
      </c>
      <c r="I222" s="353">
        <v>-180</v>
      </c>
      <c r="J222" s="350">
        <f t="shared" si="77"/>
        <v>1620</v>
      </c>
      <c r="K222" s="18">
        <v>1</v>
      </c>
      <c r="L222" s="350">
        <f t="shared" si="74"/>
        <v>1620</v>
      </c>
      <c r="M222" s="356">
        <f t="shared" si="78"/>
        <v>1782</v>
      </c>
      <c r="N222" s="18" t="s">
        <v>5173</v>
      </c>
      <c r="O222" s="439"/>
      <c r="P222" s="18"/>
      <c r="Q222" s="18" t="s">
        <v>2595</v>
      </c>
      <c r="R222" s="18" t="s">
        <v>2595</v>
      </c>
      <c r="V222" s="37"/>
      <c r="W222" s="354"/>
      <c r="X222" s="355"/>
      <c r="Y222" s="355"/>
      <c r="Z222" s="355"/>
      <c r="AA222" s="355"/>
      <c r="AB222" s="37"/>
      <c r="AC222" s="37"/>
    </row>
    <row r="223" spans="1:29" s="67" customFormat="1" ht="21.75" customHeight="1" x14ac:dyDescent="0.4">
      <c r="A223" s="258">
        <v>45873</v>
      </c>
      <c r="B223" s="32" t="s">
        <v>4961</v>
      </c>
      <c r="C223" s="32" t="s">
        <v>5166</v>
      </c>
      <c r="D223" s="18" t="s">
        <v>5167</v>
      </c>
      <c r="E223" s="18" t="s">
        <v>5170</v>
      </c>
      <c r="F223" s="18" t="s">
        <v>994</v>
      </c>
      <c r="G223" s="63" t="s">
        <v>5105</v>
      </c>
      <c r="H223" s="350">
        <v>1800</v>
      </c>
      <c r="I223" s="353">
        <v>-180</v>
      </c>
      <c r="J223" s="350">
        <f t="shared" ref="J223" si="108">SUM(H223:I223)</f>
        <v>1620</v>
      </c>
      <c r="K223" s="18">
        <v>1</v>
      </c>
      <c r="L223" s="350">
        <f t="shared" ref="L223" si="109">SUM(J223*K223)</f>
        <v>1620</v>
      </c>
      <c r="M223" s="356">
        <f t="shared" ref="M223" si="110">ROUNDDOWN(L223*1.1,0)</f>
        <v>1782</v>
      </c>
      <c r="N223" s="18" t="s">
        <v>5173</v>
      </c>
      <c r="O223" s="439"/>
      <c r="P223" s="18"/>
      <c r="Q223" s="18" t="s">
        <v>2595</v>
      </c>
      <c r="R223" s="18" t="s">
        <v>2595</v>
      </c>
      <c r="V223" s="37"/>
      <c r="W223" s="354"/>
      <c r="X223" s="355"/>
      <c r="Y223" s="355"/>
      <c r="Z223" s="355"/>
      <c r="AA223" s="355"/>
      <c r="AB223" s="37"/>
      <c r="AC223" s="37"/>
    </row>
    <row r="224" spans="1:29" s="67" customFormat="1" ht="21.75" customHeight="1" x14ac:dyDescent="0.4">
      <c r="A224" s="258">
        <v>45873</v>
      </c>
      <c r="B224" s="32" t="s">
        <v>5174</v>
      </c>
      <c r="C224" s="32" t="s">
        <v>5166</v>
      </c>
      <c r="D224" s="18" t="s">
        <v>5175</v>
      </c>
      <c r="E224" s="18" t="s">
        <v>5176</v>
      </c>
      <c r="F224" s="18"/>
      <c r="G224" s="63" t="s">
        <v>5177</v>
      </c>
      <c r="H224" s="350">
        <v>10000</v>
      </c>
      <c r="I224" s="353"/>
      <c r="J224" s="350">
        <f t="shared" si="77"/>
        <v>10000</v>
      </c>
      <c r="K224" s="18">
        <v>1</v>
      </c>
      <c r="L224" s="350">
        <f t="shared" si="74"/>
        <v>10000</v>
      </c>
      <c r="M224" s="356">
        <f t="shared" si="78"/>
        <v>11000</v>
      </c>
      <c r="N224" s="18" t="s">
        <v>5173</v>
      </c>
      <c r="O224" s="439"/>
      <c r="P224" s="18" t="s">
        <v>5178</v>
      </c>
      <c r="Q224" s="18" t="s">
        <v>2595</v>
      </c>
      <c r="R224" s="18" t="s">
        <v>2595</v>
      </c>
      <c r="V224" s="37"/>
      <c r="W224" s="354"/>
      <c r="X224" s="355"/>
      <c r="Y224" s="355"/>
      <c r="Z224" s="355"/>
      <c r="AA224" s="355"/>
      <c r="AB224" s="37"/>
      <c r="AC224" s="37"/>
    </row>
    <row r="225" spans="1:29" s="67" customFormat="1" ht="21.75" customHeight="1" x14ac:dyDescent="0.4">
      <c r="A225" s="258">
        <v>45875</v>
      </c>
      <c r="B225" s="32" t="s">
        <v>5181</v>
      </c>
      <c r="C225" s="32" t="s">
        <v>405</v>
      </c>
      <c r="D225" s="18" t="s">
        <v>17</v>
      </c>
      <c r="E225" s="18" t="s">
        <v>328</v>
      </c>
      <c r="F225" s="18" t="s">
        <v>3598</v>
      </c>
      <c r="G225" s="63" t="s">
        <v>5182</v>
      </c>
      <c r="H225" s="350">
        <v>55000</v>
      </c>
      <c r="I225" s="353">
        <v>-11000</v>
      </c>
      <c r="J225" s="350">
        <f t="shared" si="77"/>
        <v>44000</v>
      </c>
      <c r="K225" s="18">
        <v>1</v>
      </c>
      <c r="L225" s="350">
        <f t="shared" si="74"/>
        <v>44000</v>
      </c>
      <c r="M225" s="356">
        <f t="shared" si="78"/>
        <v>48400</v>
      </c>
      <c r="N225" s="18" t="s">
        <v>1121</v>
      </c>
      <c r="O225" s="439"/>
      <c r="P225" s="18" t="s">
        <v>5195</v>
      </c>
      <c r="Q225" s="18" t="s">
        <v>2595</v>
      </c>
      <c r="R225" s="18" t="s">
        <v>5183</v>
      </c>
      <c r="V225" s="37"/>
      <c r="W225" s="354"/>
      <c r="X225" s="355"/>
      <c r="Y225" s="355"/>
      <c r="Z225" s="355"/>
      <c r="AA225" s="355"/>
      <c r="AB225" s="37"/>
      <c r="AC225" s="37"/>
    </row>
    <row r="226" spans="1:29" s="67" customFormat="1" ht="21.75" customHeight="1" x14ac:dyDescent="0.4">
      <c r="A226" s="258">
        <v>45875</v>
      </c>
      <c r="B226" s="32" t="s">
        <v>5181</v>
      </c>
      <c r="C226" s="32" t="s">
        <v>405</v>
      </c>
      <c r="D226" s="18" t="s">
        <v>17</v>
      </c>
      <c r="E226" s="18" t="s">
        <v>1442</v>
      </c>
      <c r="F226" s="18" t="s">
        <v>3543</v>
      </c>
      <c r="G226" s="63" t="s">
        <v>5159</v>
      </c>
      <c r="H226" s="350">
        <v>98000</v>
      </c>
      <c r="I226" s="353">
        <v>-9800</v>
      </c>
      <c r="J226" s="350">
        <f t="shared" si="77"/>
        <v>88200</v>
      </c>
      <c r="K226" s="18">
        <v>1</v>
      </c>
      <c r="L226" s="350">
        <f t="shared" si="74"/>
        <v>88200</v>
      </c>
      <c r="M226" s="356">
        <f t="shared" si="78"/>
        <v>97020</v>
      </c>
      <c r="N226" s="18" t="s">
        <v>1121</v>
      </c>
      <c r="O226" s="439"/>
      <c r="P226" s="18" t="s">
        <v>5195</v>
      </c>
      <c r="Q226" s="18" t="s">
        <v>2595</v>
      </c>
      <c r="R226" s="18" t="s">
        <v>5183</v>
      </c>
      <c r="V226" s="37"/>
      <c r="W226" s="354"/>
      <c r="X226" s="355"/>
      <c r="Y226" s="355"/>
      <c r="Z226" s="355"/>
      <c r="AA226" s="355"/>
      <c r="AB226" s="37"/>
      <c r="AC226" s="37"/>
    </row>
    <row r="227" spans="1:29" s="67" customFormat="1" ht="21.75" customHeight="1" x14ac:dyDescent="0.4">
      <c r="A227" s="258">
        <v>45875</v>
      </c>
      <c r="B227" s="32" t="s">
        <v>5181</v>
      </c>
      <c r="C227" s="32" t="s">
        <v>405</v>
      </c>
      <c r="D227" s="18" t="s">
        <v>17</v>
      </c>
      <c r="E227" s="18" t="s">
        <v>332</v>
      </c>
      <c r="F227" s="18" t="s">
        <v>3554</v>
      </c>
      <c r="G227" s="63" t="s">
        <v>5108</v>
      </c>
      <c r="H227" s="350">
        <v>1400</v>
      </c>
      <c r="I227" s="353"/>
      <c r="J227" s="350">
        <f t="shared" si="77"/>
        <v>1400</v>
      </c>
      <c r="K227" s="18">
        <v>1</v>
      </c>
      <c r="L227" s="350">
        <f t="shared" si="74"/>
        <v>1400</v>
      </c>
      <c r="M227" s="356">
        <f t="shared" si="78"/>
        <v>1540</v>
      </c>
      <c r="N227" s="18" t="s">
        <v>1121</v>
      </c>
      <c r="O227" s="439"/>
      <c r="P227" s="18" t="s">
        <v>5195</v>
      </c>
      <c r="Q227" s="18" t="s">
        <v>2595</v>
      </c>
      <c r="R227" s="18" t="s">
        <v>5183</v>
      </c>
      <c r="S227" s="375"/>
      <c r="V227" s="37"/>
      <c r="W227" s="354"/>
      <c r="X227" s="355"/>
      <c r="Y227" s="355"/>
      <c r="Z227" s="355"/>
      <c r="AA227" s="355"/>
      <c r="AB227" s="37"/>
      <c r="AC227" s="37"/>
    </row>
    <row r="228" spans="1:29" s="67" customFormat="1" ht="21.75" customHeight="1" x14ac:dyDescent="0.4">
      <c r="A228" s="258">
        <v>45875</v>
      </c>
      <c r="B228" s="32" t="s">
        <v>139</v>
      </c>
      <c r="C228" s="32" t="s">
        <v>5190</v>
      </c>
      <c r="D228" s="18" t="s">
        <v>5191</v>
      </c>
      <c r="E228" s="18" t="s">
        <v>5192</v>
      </c>
      <c r="F228" s="18"/>
      <c r="G228" s="63" t="s">
        <v>5193</v>
      </c>
      <c r="H228" s="350">
        <v>3800</v>
      </c>
      <c r="I228" s="353"/>
      <c r="J228" s="350">
        <f t="shared" si="77"/>
        <v>3800</v>
      </c>
      <c r="K228" s="18">
        <v>1</v>
      </c>
      <c r="L228" s="350">
        <f t="shared" si="74"/>
        <v>3800</v>
      </c>
      <c r="M228" s="357">
        <f t="shared" si="78"/>
        <v>4180</v>
      </c>
      <c r="N228" s="18" t="s">
        <v>5194</v>
      </c>
      <c r="O228" s="439"/>
      <c r="P228" s="18"/>
      <c r="Q228" s="18" t="s">
        <v>2595</v>
      </c>
      <c r="R228" s="18" t="s">
        <v>2595</v>
      </c>
      <c r="V228" s="37"/>
      <c r="W228" s="354"/>
      <c r="X228" s="355"/>
      <c r="Y228" s="355"/>
      <c r="Z228" s="355"/>
      <c r="AA228" s="355"/>
      <c r="AB228" s="37"/>
      <c r="AC228" s="37"/>
    </row>
    <row r="229" spans="1:29" s="67" customFormat="1" ht="21.75" customHeight="1" x14ac:dyDescent="0.4">
      <c r="A229" s="258">
        <v>45875</v>
      </c>
      <c r="B229" s="32" t="s">
        <v>1447</v>
      </c>
      <c r="C229" s="32" t="s">
        <v>5190</v>
      </c>
      <c r="D229" s="18" t="s">
        <v>5191</v>
      </c>
      <c r="E229" s="18" t="s">
        <v>1442</v>
      </c>
      <c r="F229" s="18" t="s">
        <v>3543</v>
      </c>
      <c r="G229" s="63" t="s">
        <v>5196</v>
      </c>
      <c r="H229" s="350">
        <v>98000</v>
      </c>
      <c r="I229" s="353">
        <v>-14700</v>
      </c>
      <c r="J229" s="350">
        <f t="shared" si="77"/>
        <v>83300</v>
      </c>
      <c r="K229" s="18">
        <v>1</v>
      </c>
      <c r="L229" s="350">
        <f t="shared" si="74"/>
        <v>83300</v>
      </c>
      <c r="M229" s="356">
        <f t="shared" si="78"/>
        <v>91630</v>
      </c>
      <c r="N229" s="18" t="s">
        <v>5199</v>
      </c>
      <c r="O229" s="439"/>
      <c r="P229" s="18" t="s">
        <v>5200</v>
      </c>
      <c r="Q229" s="18" t="s">
        <v>2595</v>
      </c>
      <c r="R229" s="18" t="s">
        <v>5204</v>
      </c>
      <c r="V229" s="37"/>
      <c r="W229" s="354"/>
      <c r="X229" s="355"/>
      <c r="Y229" s="355"/>
      <c r="Z229" s="355"/>
      <c r="AA229" s="355"/>
      <c r="AB229" s="37"/>
      <c r="AC229" s="37"/>
    </row>
    <row r="230" spans="1:29" s="67" customFormat="1" ht="21.75" customHeight="1" x14ac:dyDescent="0.4">
      <c r="A230" s="258">
        <v>45875</v>
      </c>
      <c r="B230" s="32" t="s">
        <v>1447</v>
      </c>
      <c r="C230" s="32" t="s">
        <v>5190</v>
      </c>
      <c r="D230" s="18" t="s">
        <v>5191</v>
      </c>
      <c r="E230" s="18" t="s">
        <v>328</v>
      </c>
      <c r="F230" s="18" t="s">
        <v>5197</v>
      </c>
      <c r="G230" s="63" t="s">
        <v>5198</v>
      </c>
      <c r="H230" s="350">
        <v>72000</v>
      </c>
      <c r="I230" s="353">
        <v>-21600</v>
      </c>
      <c r="J230" s="350">
        <f t="shared" si="77"/>
        <v>50400</v>
      </c>
      <c r="K230" s="18">
        <v>1</v>
      </c>
      <c r="L230" s="350">
        <f t="shared" si="74"/>
        <v>50400</v>
      </c>
      <c r="M230" s="356">
        <f t="shared" si="78"/>
        <v>55440</v>
      </c>
      <c r="N230" s="18" t="s">
        <v>5199</v>
      </c>
      <c r="O230" s="439"/>
      <c r="P230" s="18" t="s">
        <v>5200</v>
      </c>
      <c r="Q230" s="18" t="s">
        <v>2595</v>
      </c>
      <c r="R230" s="18" t="s">
        <v>5204</v>
      </c>
      <c r="V230" s="37"/>
      <c r="W230" s="354"/>
      <c r="X230" s="355"/>
      <c r="Y230" s="355"/>
      <c r="Z230" s="355"/>
      <c r="AA230" s="355"/>
      <c r="AB230" s="37"/>
      <c r="AC230" s="37"/>
    </row>
    <row r="231" spans="1:29" s="67" customFormat="1" ht="21.75" customHeight="1" x14ac:dyDescent="0.4">
      <c r="A231" s="258">
        <v>45876</v>
      </c>
      <c r="B231" s="32" t="s">
        <v>5201</v>
      </c>
      <c r="C231" s="32" t="s">
        <v>2557</v>
      </c>
      <c r="D231" s="18" t="s">
        <v>22</v>
      </c>
      <c r="E231" s="18" t="s">
        <v>1496</v>
      </c>
      <c r="F231" s="18"/>
      <c r="G231" s="63" t="s">
        <v>4869</v>
      </c>
      <c r="H231" s="350">
        <v>2000</v>
      </c>
      <c r="I231" s="353"/>
      <c r="J231" s="350">
        <f t="shared" si="77"/>
        <v>2000</v>
      </c>
      <c r="K231" s="18">
        <v>1</v>
      </c>
      <c r="L231" s="350">
        <f t="shared" si="74"/>
        <v>2000</v>
      </c>
      <c r="M231" s="356">
        <f t="shared" si="78"/>
        <v>2200</v>
      </c>
      <c r="N231" s="18" t="s">
        <v>20</v>
      </c>
      <c r="O231" s="439"/>
      <c r="P231" s="18" t="s">
        <v>2595</v>
      </c>
      <c r="Q231" s="18"/>
      <c r="R231" s="18" t="s">
        <v>5202</v>
      </c>
      <c r="V231" s="37"/>
      <c r="W231" s="354"/>
      <c r="X231" s="355"/>
      <c r="Y231" s="355"/>
      <c r="Z231" s="355"/>
      <c r="AA231" s="355"/>
      <c r="AB231" s="37"/>
      <c r="AC231" s="37"/>
    </row>
    <row r="232" spans="1:29" s="67" customFormat="1" ht="21.75" customHeight="1" x14ac:dyDescent="0.4">
      <c r="A232" s="258">
        <v>45877</v>
      </c>
      <c r="B232" s="32" t="s">
        <v>4865</v>
      </c>
      <c r="C232" s="32" t="s">
        <v>2557</v>
      </c>
      <c r="D232" s="18" t="s">
        <v>22</v>
      </c>
      <c r="E232" s="18" t="s">
        <v>1496</v>
      </c>
      <c r="F232" s="18"/>
      <c r="G232" s="63" t="s">
        <v>4869</v>
      </c>
      <c r="H232" s="350">
        <v>2000</v>
      </c>
      <c r="I232" s="353"/>
      <c r="J232" s="350">
        <f t="shared" si="77"/>
        <v>2000</v>
      </c>
      <c r="K232" s="18">
        <v>1</v>
      </c>
      <c r="L232" s="350">
        <f t="shared" si="74"/>
        <v>2000</v>
      </c>
      <c r="M232" s="356">
        <f t="shared" si="78"/>
        <v>2200</v>
      </c>
      <c r="N232" s="18" t="s">
        <v>20</v>
      </c>
      <c r="O232" s="439"/>
      <c r="P232" s="18" t="s">
        <v>5203</v>
      </c>
      <c r="Q232" s="18"/>
      <c r="R232" s="18" t="s">
        <v>4798</v>
      </c>
      <c r="S232" s="375"/>
      <c r="V232" s="37"/>
      <c r="W232" s="354"/>
      <c r="X232" s="355"/>
      <c r="Y232" s="355"/>
      <c r="Z232" s="355"/>
      <c r="AA232" s="355"/>
      <c r="AB232" s="37"/>
      <c r="AC232" s="37"/>
    </row>
    <row r="233" spans="1:29" s="67" customFormat="1" ht="21.75" customHeight="1" x14ac:dyDescent="0.4">
      <c r="A233" s="258">
        <v>45878</v>
      </c>
      <c r="B233" s="32" t="s">
        <v>5037</v>
      </c>
      <c r="C233" s="32" t="s">
        <v>2557</v>
      </c>
      <c r="D233" s="18" t="s">
        <v>27</v>
      </c>
      <c r="E233" s="18" t="s">
        <v>28</v>
      </c>
      <c r="F233" s="18"/>
      <c r="G233" s="63" t="s">
        <v>318</v>
      </c>
      <c r="H233" s="350">
        <v>15000</v>
      </c>
      <c r="I233" s="353">
        <v>-5000</v>
      </c>
      <c r="J233" s="350">
        <f t="shared" ref="J233:J234" si="111">SUM(H233:I233)</f>
        <v>10000</v>
      </c>
      <c r="K233" s="18">
        <v>1</v>
      </c>
      <c r="L233" s="350">
        <f t="shared" ref="L233:L234" si="112">SUM(J233*K233)</f>
        <v>10000</v>
      </c>
      <c r="M233" s="356">
        <f t="shared" ref="M233:M234" si="113">ROUNDDOWN(L233*1.1,0)</f>
        <v>11000</v>
      </c>
      <c r="N233" s="18" t="s">
        <v>1516</v>
      </c>
      <c r="O233" s="439"/>
      <c r="P233" s="18"/>
      <c r="Q233" s="18" t="s">
        <v>4803</v>
      </c>
      <c r="R233" s="18" t="s">
        <v>4803</v>
      </c>
      <c r="V233" s="37"/>
      <c r="W233" s="354"/>
      <c r="X233" s="355"/>
      <c r="Y233" s="355"/>
      <c r="Z233" s="355"/>
      <c r="AA233" s="355"/>
      <c r="AB233" s="37"/>
      <c r="AC233" s="37"/>
    </row>
    <row r="234" spans="1:29" s="67" customFormat="1" ht="21.75" customHeight="1" x14ac:dyDescent="0.4">
      <c r="A234" s="258">
        <v>45878</v>
      </c>
      <c r="B234" s="32" t="s">
        <v>5037</v>
      </c>
      <c r="C234" s="32" t="s">
        <v>2557</v>
      </c>
      <c r="D234" s="18" t="s">
        <v>27</v>
      </c>
      <c r="E234" s="18" t="s">
        <v>28</v>
      </c>
      <c r="F234" s="18"/>
      <c r="G234" s="63" t="s">
        <v>372</v>
      </c>
      <c r="H234" s="350">
        <v>13125</v>
      </c>
      <c r="I234" s="353"/>
      <c r="J234" s="350">
        <f t="shared" si="111"/>
        <v>13125</v>
      </c>
      <c r="K234" s="18">
        <v>1</v>
      </c>
      <c r="L234" s="350">
        <f t="shared" si="112"/>
        <v>13125</v>
      </c>
      <c r="M234" s="356">
        <f t="shared" si="113"/>
        <v>14437</v>
      </c>
      <c r="N234" s="18" t="s">
        <v>1516</v>
      </c>
      <c r="O234" s="439"/>
      <c r="P234" s="18"/>
      <c r="Q234" s="18" t="s">
        <v>4803</v>
      </c>
      <c r="R234" s="18" t="s">
        <v>4803</v>
      </c>
      <c r="S234" s="375"/>
      <c r="V234" s="37"/>
      <c r="W234" s="354"/>
      <c r="X234" s="355"/>
      <c r="Y234" s="355"/>
      <c r="Z234" s="355"/>
      <c r="AA234" s="355"/>
      <c r="AB234" s="37"/>
      <c r="AC234" s="37"/>
    </row>
    <row r="235" spans="1:29" s="67" customFormat="1" ht="21.75" customHeight="1" x14ac:dyDescent="0.4">
      <c r="A235" s="258">
        <v>45879</v>
      </c>
      <c r="B235" s="32" t="s">
        <v>4865</v>
      </c>
      <c r="C235" s="32" t="s">
        <v>2557</v>
      </c>
      <c r="D235" s="18" t="s">
        <v>22</v>
      </c>
      <c r="E235" s="18" t="s">
        <v>1496</v>
      </c>
      <c r="F235" s="18"/>
      <c r="G235" s="63" t="s">
        <v>4869</v>
      </c>
      <c r="H235" s="350">
        <v>2000</v>
      </c>
      <c r="I235" s="353"/>
      <c r="J235" s="350">
        <f t="shared" ref="J235" si="114">SUM(H235:I235)</f>
        <v>2000</v>
      </c>
      <c r="K235" s="18">
        <v>1</v>
      </c>
      <c r="L235" s="350">
        <f t="shared" ref="L235" si="115">SUM(J235*K235)</f>
        <v>2000</v>
      </c>
      <c r="M235" s="357">
        <f t="shared" ref="M235" si="116">ROUNDDOWN(L235*1.1,0)</f>
        <v>2200</v>
      </c>
      <c r="N235" s="18" t="s">
        <v>20</v>
      </c>
      <c r="O235" s="439"/>
      <c r="P235" s="18" t="s">
        <v>5205</v>
      </c>
      <c r="Q235" s="18" t="s">
        <v>5205</v>
      </c>
      <c r="R235" s="18" t="s">
        <v>5205</v>
      </c>
      <c r="V235" s="37"/>
      <c r="W235" s="354"/>
      <c r="X235" s="355"/>
      <c r="Y235" s="355"/>
      <c r="Z235" s="355"/>
      <c r="AA235" s="355"/>
      <c r="AB235" s="37"/>
      <c r="AC235" s="37"/>
    </row>
    <row r="236" spans="1:29" s="67" customFormat="1" ht="21.75" customHeight="1" x14ac:dyDescent="0.4">
      <c r="A236" s="258">
        <v>45879</v>
      </c>
      <c r="B236" s="32" t="s">
        <v>162</v>
      </c>
      <c r="C236" s="32" t="s">
        <v>2557</v>
      </c>
      <c r="D236" s="18" t="s">
        <v>27</v>
      </c>
      <c r="E236" s="18" t="s">
        <v>28</v>
      </c>
      <c r="F236" s="18"/>
      <c r="G236" s="63" t="s">
        <v>73</v>
      </c>
      <c r="H236" s="350">
        <v>2000</v>
      </c>
      <c r="I236" s="353"/>
      <c r="J236" s="350">
        <f t="shared" ref="J236:J259" si="117">SUM(H236:I236)</f>
        <v>2000</v>
      </c>
      <c r="K236" s="18">
        <v>1</v>
      </c>
      <c r="L236" s="350">
        <f t="shared" ref="L236:L259" si="118">SUM(J236*K236)</f>
        <v>2000</v>
      </c>
      <c r="M236" s="357">
        <f t="shared" ref="M236:M259" si="119">ROUNDDOWN(L236*1.1,0)</f>
        <v>2200</v>
      </c>
      <c r="N236" s="18" t="s">
        <v>1516</v>
      </c>
      <c r="O236" s="439"/>
      <c r="P236" s="18"/>
      <c r="Q236" s="18"/>
      <c r="R236" s="18" t="s">
        <v>4798</v>
      </c>
      <c r="V236" s="37"/>
      <c r="W236" s="354"/>
      <c r="X236" s="355"/>
      <c r="Y236" s="355"/>
      <c r="Z236" s="355"/>
      <c r="AA236" s="355"/>
      <c r="AB236" s="37"/>
      <c r="AC236" s="37"/>
    </row>
    <row r="237" spans="1:29" s="67" customFormat="1" ht="21.75" customHeight="1" x14ac:dyDescent="0.4">
      <c r="A237" s="258">
        <v>45879</v>
      </c>
      <c r="B237" s="32" t="s">
        <v>5206</v>
      </c>
      <c r="C237" s="32" t="s">
        <v>5207</v>
      </c>
      <c r="D237" s="18" t="s">
        <v>5208</v>
      </c>
      <c r="E237" s="18" t="s">
        <v>1496</v>
      </c>
      <c r="F237" s="18"/>
      <c r="G237" s="63" t="s">
        <v>63</v>
      </c>
      <c r="H237" s="350">
        <v>3000</v>
      </c>
      <c r="I237" s="353"/>
      <c r="J237" s="350">
        <f t="shared" si="117"/>
        <v>3000</v>
      </c>
      <c r="K237" s="18">
        <v>1</v>
      </c>
      <c r="L237" s="350">
        <f t="shared" si="118"/>
        <v>3000</v>
      </c>
      <c r="M237" s="357">
        <f t="shared" si="119"/>
        <v>3300</v>
      </c>
      <c r="N237" s="18" t="s">
        <v>1516</v>
      </c>
      <c r="O237" s="439"/>
      <c r="P237" s="18"/>
      <c r="Q237" s="18"/>
      <c r="R237" s="18" t="s">
        <v>5209</v>
      </c>
      <c r="V237" s="37"/>
      <c r="W237" s="354"/>
      <c r="X237" s="355"/>
      <c r="Y237" s="355"/>
      <c r="Z237" s="355"/>
      <c r="AA237" s="355"/>
      <c r="AB237" s="37"/>
      <c r="AC237" s="37"/>
    </row>
    <row r="238" spans="1:29" s="67" customFormat="1" ht="21.75" customHeight="1" x14ac:dyDescent="0.4">
      <c r="A238" s="258">
        <v>45879</v>
      </c>
      <c r="B238" s="32" t="s">
        <v>5210</v>
      </c>
      <c r="C238" s="32" t="s">
        <v>2557</v>
      </c>
      <c r="D238" s="18" t="s">
        <v>17</v>
      </c>
      <c r="E238" s="18" t="s">
        <v>332</v>
      </c>
      <c r="F238" s="18" t="s">
        <v>3555</v>
      </c>
      <c r="G238" s="63" t="s">
        <v>4746</v>
      </c>
      <c r="H238" s="350">
        <v>1300</v>
      </c>
      <c r="I238" s="353">
        <v>-130</v>
      </c>
      <c r="J238" s="350">
        <f t="shared" si="117"/>
        <v>1170</v>
      </c>
      <c r="K238" s="18">
        <v>1</v>
      </c>
      <c r="L238" s="350">
        <f t="shared" si="118"/>
        <v>1170</v>
      </c>
      <c r="M238" s="357">
        <f t="shared" si="119"/>
        <v>1287</v>
      </c>
      <c r="N238" s="18" t="s">
        <v>1516</v>
      </c>
      <c r="O238" s="439"/>
      <c r="P238" s="18"/>
      <c r="Q238" s="18" t="s">
        <v>5211</v>
      </c>
      <c r="R238" s="18" t="s">
        <v>4798</v>
      </c>
      <c r="V238" s="37"/>
      <c r="W238" s="354"/>
      <c r="X238" s="355"/>
      <c r="Y238" s="355"/>
      <c r="Z238" s="355"/>
      <c r="AA238" s="355"/>
      <c r="AB238" s="37"/>
      <c r="AC238" s="37"/>
    </row>
    <row r="239" spans="1:29" s="67" customFormat="1" ht="21.75" customHeight="1" x14ac:dyDescent="0.4">
      <c r="A239" s="258">
        <v>45879</v>
      </c>
      <c r="B239" s="32" t="s">
        <v>5213</v>
      </c>
      <c r="C239" s="18" t="s">
        <v>405</v>
      </c>
      <c r="D239" s="18" t="s">
        <v>22</v>
      </c>
      <c r="E239" s="18" t="s">
        <v>1496</v>
      </c>
      <c r="F239" s="18"/>
      <c r="G239" s="63" t="s">
        <v>2422</v>
      </c>
      <c r="H239" s="350">
        <v>2000</v>
      </c>
      <c r="I239" s="353"/>
      <c r="J239" s="350">
        <f t="shared" si="117"/>
        <v>2000</v>
      </c>
      <c r="K239" s="18">
        <v>1</v>
      </c>
      <c r="L239" s="350">
        <f t="shared" si="118"/>
        <v>2000</v>
      </c>
      <c r="M239" s="357">
        <f t="shared" si="119"/>
        <v>2200</v>
      </c>
      <c r="N239" s="18" t="s">
        <v>1516</v>
      </c>
      <c r="O239" s="439"/>
      <c r="P239" s="18" t="s">
        <v>5212</v>
      </c>
      <c r="Q239" s="18"/>
      <c r="R239" s="18" t="s">
        <v>4798</v>
      </c>
      <c r="V239" s="37"/>
      <c r="W239" s="354"/>
      <c r="X239" s="355"/>
      <c r="Y239" s="355"/>
      <c r="Z239" s="355"/>
      <c r="AA239" s="355"/>
      <c r="AB239" s="37"/>
      <c r="AC239" s="37"/>
    </row>
    <row r="240" spans="1:29" s="67" customFormat="1" ht="21.75" customHeight="1" x14ac:dyDescent="0.4">
      <c r="A240" s="258">
        <v>45880</v>
      </c>
      <c r="B240" s="32" t="s">
        <v>5214</v>
      </c>
      <c r="C240" s="32" t="s">
        <v>2557</v>
      </c>
      <c r="D240" s="18" t="s">
        <v>5109</v>
      </c>
      <c r="E240" s="18" t="s">
        <v>28</v>
      </c>
      <c r="F240" s="18"/>
      <c r="G240" s="63" t="s">
        <v>5036</v>
      </c>
      <c r="H240" s="350">
        <v>17500</v>
      </c>
      <c r="I240" s="353"/>
      <c r="J240" s="350">
        <f t="shared" ref="J240" si="120">SUM(H240:I240)</f>
        <v>17500</v>
      </c>
      <c r="K240" s="18">
        <v>1</v>
      </c>
      <c r="L240" s="350">
        <f t="shared" si="118"/>
        <v>17500</v>
      </c>
      <c r="M240" s="356">
        <f t="shared" si="119"/>
        <v>19250</v>
      </c>
      <c r="N240" s="18" t="s">
        <v>1516</v>
      </c>
      <c r="O240" s="439" t="s">
        <v>5216</v>
      </c>
      <c r="P240" s="18" t="s">
        <v>5217</v>
      </c>
      <c r="Q240" s="18" t="s">
        <v>5218</v>
      </c>
      <c r="R240" s="18" t="s">
        <v>5218</v>
      </c>
      <c r="V240" s="37"/>
      <c r="W240" s="354"/>
      <c r="X240" s="355"/>
      <c r="Y240" s="355"/>
      <c r="Z240" s="355"/>
      <c r="AA240" s="355"/>
      <c r="AB240" s="37"/>
      <c r="AC240" s="37"/>
    </row>
    <row r="241" spans="1:29" s="67" customFormat="1" ht="21.75" customHeight="1" x14ac:dyDescent="0.4">
      <c r="A241" s="258">
        <v>45880</v>
      </c>
      <c r="B241" s="32" t="s">
        <v>5215</v>
      </c>
      <c r="C241" s="18" t="s">
        <v>405</v>
      </c>
      <c r="D241" s="18" t="s">
        <v>22</v>
      </c>
      <c r="E241" s="18" t="s">
        <v>260</v>
      </c>
      <c r="F241" s="18"/>
      <c r="G241" s="63" t="s">
        <v>264</v>
      </c>
      <c r="H241" s="350">
        <v>15000</v>
      </c>
      <c r="I241" s="353"/>
      <c r="J241" s="350">
        <f t="shared" si="117"/>
        <v>15000</v>
      </c>
      <c r="K241" s="18">
        <v>1</v>
      </c>
      <c r="L241" s="350">
        <f t="shared" si="118"/>
        <v>15000</v>
      </c>
      <c r="M241" s="356">
        <f t="shared" si="119"/>
        <v>16500</v>
      </c>
      <c r="N241" s="18" t="s">
        <v>1516</v>
      </c>
      <c r="O241" s="454" t="s">
        <v>6433</v>
      </c>
      <c r="P241" s="18" t="s">
        <v>5217</v>
      </c>
      <c r="Q241" s="18" t="s">
        <v>4803</v>
      </c>
      <c r="R241" s="18" t="s">
        <v>5218</v>
      </c>
      <c r="V241" s="37"/>
      <c r="W241" s="354"/>
      <c r="X241" s="355"/>
      <c r="Y241" s="355"/>
      <c r="Z241" s="355"/>
      <c r="AA241" s="355"/>
      <c r="AB241" s="37"/>
      <c r="AC241" s="37"/>
    </row>
    <row r="242" spans="1:29" s="67" customFormat="1" ht="21.75" customHeight="1" x14ac:dyDescent="0.4">
      <c r="A242" s="258">
        <v>45880</v>
      </c>
      <c r="B242" s="32" t="s">
        <v>5215</v>
      </c>
      <c r="C242" s="32" t="s">
        <v>405</v>
      </c>
      <c r="D242" s="18" t="s">
        <v>17</v>
      </c>
      <c r="E242" s="18" t="s">
        <v>328</v>
      </c>
      <c r="F242" s="18" t="s">
        <v>5219</v>
      </c>
      <c r="G242" s="63" t="s">
        <v>5220</v>
      </c>
      <c r="H242" s="350">
        <v>40000</v>
      </c>
      <c r="I242" s="353">
        <v>-8000</v>
      </c>
      <c r="J242" s="350">
        <f t="shared" si="117"/>
        <v>32000</v>
      </c>
      <c r="K242" s="18">
        <v>1</v>
      </c>
      <c r="L242" s="350">
        <f t="shared" si="118"/>
        <v>32000</v>
      </c>
      <c r="M242" s="356">
        <f t="shared" si="119"/>
        <v>35200</v>
      </c>
      <c r="N242" s="18" t="s">
        <v>1121</v>
      </c>
      <c r="O242" s="439"/>
      <c r="P242" s="18" t="s">
        <v>5317</v>
      </c>
      <c r="Q242" s="18" t="s">
        <v>4803</v>
      </c>
      <c r="R242" s="18" t="s">
        <v>4803</v>
      </c>
      <c r="V242" s="37"/>
      <c r="W242" s="354"/>
      <c r="X242" s="355"/>
      <c r="Y242" s="355"/>
      <c r="Z242" s="355"/>
      <c r="AA242" s="355"/>
      <c r="AB242" s="37"/>
      <c r="AC242" s="37"/>
    </row>
    <row r="243" spans="1:29" s="67" customFormat="1" ht="21.75" customHeight="1" x14ac:dyDescent="0.4">
      <c r="A243" s="258">
        <v>45880</v>
      </c>
      <c r="B243" s="32" t="s">
        <v>5215</v>
      </c>
      <c r="C243" s="32" t="s">
        <v>405</v>
      </c>
      <c r="D243" s="18" t="s">
        <v>17</v>
      </c>
      <c r="E243" s="18" t="s">
        <v>332</v>
      </c>
      <c r="F243" s="18" t="s">
        <v>3550</v>
      </c>
      <c r="G243" s="63" t="s">
        <v>5221</v>
      </c>
      <c r="H243" s="350">
        <v>1700</v>
      </c>
      <c r="I243" s="353"/>
      <c r="J243" s="350">
        <f t="shared" si="117"/>
        <v>1700</v>
      </c>
      <c r="K243" s="18">
        <v>1</v>
      </c>
      <c r="L243" s="350">
        <f t="shared" si="118"/>
        <v>1700</v>
      </c>
      <c r="M243" s="356">
        <f t="shared" si="119"/>
        <v>1870</v>
      </c>
      <c r="N243" s="18" t="s">
        <v>1121</v>
      </c>
      <c r="O243" s="439"/>
      <c r="P243" s="18" t="s">
        <v>5317</v>
      </c>
      <c r="Q243" s="18" t="s">
        <v>4803</v>
      </c>
      <c r="R243" s="18" t="s">
        <v>4803</v>
      </c>
      <c r="S243" s="375"/>
      <c r="V243" s="37"/>
      <c r="W243" s="354"/>
      <c r="X243" s="355"/>
      <c r="Y243" s="355"/>
      <c r="Z243" s="355"/>
      <c r="AA243" s="355"/>
      <c r="AB243" s="37"/>
      <c r="AC243" s="37"/>
    </row>
    <row r="244" spans="1:29" s="67" customFormat="1" ht="21.75" customHeight="1" x14ac:dyDescent="0.4">
      <c r="A244" s="258">
        <v>45883</v>
      </c>
      <c r="B244" s="32" t="s">
        <v>5045</v>
      </c>
      <c r="C244" s="32" t="s">
        <v>2557</v>
      </c>
      <c r="D244" s="18" t="s">
        <v>27</v>
      </c>
      <c r="E244" s="18" t="s">
        <v>28</v>
      </c>
      <c r="F244" s="18"/>
      <c r="G244" s="63" t="s">
        <v>318</v>
      </c>
      <c r="H244" s="350">
        <v>15000</v>
      </c>
      <c r="I244" s="353">
        <v>-5000</v>
      </c>
      <c r="J244" s="350">
        <f t="shared" si="117"/>
        <v>10000</v>
      </c>
      <c r="K244" s="18">
        <v>1</v>
      </c>
      <c r="L244" s="350">
        <f t="shared" si="118"/>
        <v>10000</v>
      </c>
      <c r="M244" s="356">
        <f t="shared" si="119"/>
        <v>11000</v>
      </c>
      <c r="N244" s="18" t="s">
        <v>1516</v>
      </c>
      <c r="O244" s="439"/>
      <c r="P244" s="18"/>
      <c r="Q244" s="18" t="s">
        <v>2595</v>
      </c>
      <c r="R244" s="18" t="s">
        <v>4803</v>
      </c>
      <c r="V244" s="37"/>
      <c r="W244" s="354"/>
      <c r="X244" s="355"/>
      <c r="Y244" s="355"/>
      <c r="Z244" s="355"/>
      <c r="AA244" s="355"/>
      <c r="AB244" s="37"/>
      <c r="AC244" s="37"/>
    </row>
    <row r="245" spans="1:29" s="67" customFormat="1" ht="21.75" customHeight="1" x14ac:dyDescent="0.4">
      <c r="A245" s="258">
        <v>45883</v>
      </c>
      <c r="B245" s="32" t="s">
        <v>5045</v>
      </c>
      <c r="C245" s="32" t="s">
        <v>2557</v>
      </c>
      <c r="D245" s="18" t="s">
        <v>27</v>
      </c>
      <c r="E245" s="18" t="s">
        <v>28</v>
      </c>
      <c r="F245" s="18"/>
      <c r="G245" s="63" t="s">
        <v>3976</v>
      </c>
      <c r="H245" s="350">
        <v>8750</v>
      </c>
      <c r="I245" s="353"/>
      <c r="J245" s="350">
        <f t="shared" si="117"/>
        <v>8750</v>
      </c>
      <c r="K245" s="18">
        <v>1</v>
      </c>
      <c r="L245" s="350">
        <f t="shared" si="118"/>
        <v>8750</v>
      </c>
      <c r="M245" s="356">
        <f t="shared" si="119"/>
        <v>9625</v>
      </c>
      <c r="N245" s="18" t="s">
        <v>1516</v>
      </c>
      <c r="O245" s="439"/>
      <c r="P245" s="18"/>
      <c r="Q245" s="18" t="s">
        <v>2595</v>
      </c>
      <c r="R245" s="18" t="s">
        <v>4803</v>
      </c>
      <c r="V245" s="37"/>
      <c r="W245" s="354"/>
      <c r="X245" s="355"/>
      <c r="Y245" s="355"/>
      <c r="Z245" s="355"/>
      <c r="AA245" s="355"/>
      <c r="AB245" s="37"/>
      <c r="AC245" s="37"/>
    </row>
    <row r="246" spans="1:29" s="67" customFormat="1" ht="21.75" customHeight="1" x14ac:dyDescent="0.4">
      <c r="A246" s="258">
        <v>45883</v>
      </c>
      <c r="B246" s="32" t="s">
        <v>5045</v>
      </c>
      <c r="C246" s="32" t="s">
        <v>2557</v>
      </c>
      <c r="D246" s="18" t="s">
        <v>27</v>
      </c>
      <c r="E246" s="18" t="s">
        <v>28</v>
      </c>
      <c r="F246" s="18"/>
      <c r="G246" s="63" t="s">
        <v>5036</v>
      </c>
      <c r="H246" s="350">
        <v>17500</v>
      </c>
      <c r="I246" s="353"/>
      <c r="J246" s="350">
        <f t="shared" si="117"/>
        <v>17500</v>
      </c>
      <c r="K246" s="18">
        <v>1</v>
      </c>
      <c r="L246" s="350">
        <f t="shared" ref="L246:L247" si="121">SUM(J246*K246)</f>
        <v>17500</v>
      </c>
      <c r="M246" s="356">
        <f t="shared" si="119"/>
        <v>19250</v>
      </c>
      <c r="N246" s="18" t="s">
        <v>1516</v>
      </c>
      <c r="O246" s="439"/>
      <c r="P246" s="18"/>
      <c r="Q246" s="18" t="s">
        <v>2595</v>
      </c>
      <c r="R246" s="18" t="s">
        <v>4803</v>
      </c>
      <c r="S246" s="375"/>
      <c r="V246" s="37"/>
      <c r="W246" s="354"/>
      <c r="X246" s="355"/>
      <c r="Y246" s="355"/>
      <c r="Z246" s="355"/>
      <c r="AA246" s="355"/>
      <c r="AB246" s="37"/>
      <c r="AC246" s="37"/>
    </row>
    <row r="247" spans="1:29" s="67" customFormat="1" ht="21.75" customHeight="1" x14ac:dyDescent="0.4">
      <c r="A247" s="258">
        <v>45884</v>
      </c>
      <c r="B247" s="32" t="s">
        <v>5222</v>
      </c>
      <c r="C247" s="18" t="s">
        <v>405</v>
      </c>
      <c r="D247" s="18" t="s">
        <v>22</v>
      </c>
      <c r="E247" s="18" t="s">
        <v>260</v>
      </c>
      <c r="F247" s="18"/>
      <c r="G247" s="63" t="s">
        <v>264</v>
      </c>
      <c r="H247" s="350">
        <v>15000</v>
      </c>
      <c r="I247" s="353"/>
      <c r="J247" s="350">
        <f t="shared" ref="J247:J248" si="122">SUM(H247:I247)</f>
        <v>15000</v>
      </c>
      <c r="K247" s="18">
        <v>1</v>
      </c>
      <c r="L247" s="350">
        <f t="shared" si="121"/>
        <v>15000</v>
      </c>
      <c r="M247" s="356">
        <f t="shared" ref="M247:M256" si="123">ROUNDDOWN(L247*1.1,0)</f>
        <v>16500</v>
      </c>
      <c r="N247" s="18" t="s">
        <v>1516</v>
      </c>
      <c r="O247" s="454" t="s">
        <v>6433</v>
      </c>
      <c r="P247" s="18" t="s">
        <v>2594</v>
      </c>
      <c r="Q247" s="18" t="s">
        <v>4803</v>
      </c>
      <c r="R247" s="18" t="s">
        <v>4803</v>
      </c>
      <c r="V247" s="37"/>
      <c r="W247" s="354"/>
      <c r="X247" s="355"/>
      <c r="Y247" s="355"/>
      <c r="Z247" s="355"/>
      <c r="AA247" s="355"/>
      <c r="AB247" s="37"/>
      <c r="AC247" s="37"/>
    </row>
    <row r="248" spans="1:29" s="67" customFormat="1" ht="21.75" customHeight="1" x14ac:dyDescent="0.4">
      <c r="A248" s="258">
        <v>45884</v>
      </c>
      <c r="B248" s="32" t="s">
        <v>5223</v>
      </c>
      <c r="C248" s="32" t="s">
        <v>2557</v>
      </c>
      <c r="D248" s="18" t="s">
        <v>27</v>
      </c>
      <c r="E248" s="18" t="s">
        <v>28</v>
      </c>
      <c r="F248" s="18"/>
      <c r="G248" s="63" t="s">
        <v>5036</v>
      </c>
      <c r="H248" s="350">
        <v>17500</v>
      </c>
      <c r="I248" s="353"/>
      <c r="J248" s="350">
        <f t="shared" si="122"/>
        <v>17500</v>
      </c>
      <c r="K248" s="18">
        <v>2</v>
      </c>
      <c r="L248" s="350">
        <f t="shared" ref="L248:L256" si="124">SUM(J248*K248)</f>
        <v>35000</v>
      </c>
      <c r="M248" s="356">
        <f t="shared" si="123"/>
        <v>38500</v>
      </c>
      <c r="N248" s="18" t="s">
        <v>1516</v>
      </c>
      <c r="O248" s="439" t="s">
        <v>5224</v>
      </c>
      <c r="P248" s="18"/>
      <c r="Q248" s="18" t="s">
        <v>5225</v>
      </c>
      <c r="R248" s="18" t="s">
        <v>5225</v>
      </c>
      <c r="S248" s="375"/>
      <c r="V248" s="37"/>
      <c r="W248" s="354"/>
      <c r="X248" s="355"/>
      <c r="Y248" s="355"/>
      <c r="Z248" s="355"/>
      <c r="AA248" s="355"/>
      <c r="AB248" s="37"/>
      <c r="AC248" s="37"/>
    </row>
    <row r="249" spans="1:29" s="67" customFormat="1" ht="21.75" customHeight="1" x14ac:dyDescent="0.4">
      <c r="A249" s="258">
        <v>45884</v>
      </c>
      <c r="B249" s="32" t="s">
        <v>5214</v>
      </c>
      <c r="C249" s="32" t="s">
        <v>2557</v>
      </c>
      <c r="D249" s="18" t="s">
        <v>17</v>
      </c>
      <c r="E249" s="18" t="s">
        <v>332</v>
      </c>
      <c r="F249" s="18" t="s">
        <v>3555</v>
      </c>
      <c r="G249" s="63" t="s">
        <v>4746</v>
      </c>
      <c r="H249" s="350">
        <v>1300</v>
      </c>
      <c r="I249" s="353">
        <v>-130</v>
      </c>
      <c r="J249" s="350">
        <f t="shared" ref="J249" si="125">SUM(H249:I249)</f>
        <v>1170</v>
      </c>
      <c r="K249" s="18">
        <v>1</v>
      </c>
      <c r="L249" s="350">
        <f t="shared" si="124"/>
        <v>1170</v>
      </c>
      <c r="M249" s="357">
        <f t="shared" si="123"/>
        <v>1287</v>
      </c>
      <c r="N249" s="18" t="s">
        <v>5227</v>
      </c>
      <c r="O249" s="439"/>
      <c r="P249" s="18"/>
      <c r="Q249" s="18" t="s">
        <v>5226</v>
      </c>
      <c r="R249" s="18" t="s">
        <v>5226</v>
      </c>
      <c r="V249" s="37"/>
      <c r="W249" s="354"/>
      <c r="X249" s="355"/>
      <c r="Y249" s="355"/>
      <c r="Z249" s="355"/>
      <c r="AA249" s="355"/>
      <c r="AB249" s="37"/>
      <c r="AC249" s="37"/>
    </row>
    <row r="250" spans="1:29" s="67" customFormat="1" ht="21.75" customHeight="1" x14ac:dyDescent="0.4">
      <c r="A250" s="258">
        <v>45884</v>
      </c>
      <c r="B250" s="32" t="s">
        <v>1447</v>
      </c>
      <c r="C250" s="32" t="s">
        <v>5251</v>
      </c>
      <c r="D250" s="18" t="s">
        <v>17</v>
      </c>
      <c r="E250" s="18" t="s">
        <v>328</v>
      </c>
      <c r="F250" s="18" t="s">
        <v>5197</v>
      </c>
      <c r="G250" s="63" t="s">
        <v>5252</v>
      </c>
      <c r="H250" s="350">
        <v>52000</v>
      </c>
      <c r="I250" s="353">
        <v>-15600</v>
      </c>
      <c r="J250" s="350">
        <f t="shared" ref="J250" si="126">SUM(H250:I250)</f>
        <v>36400</v>
      </c>
      <c r="K250" s="18">
        <v>1</v>
      </c>
      <c r="L250" s="350">
        <f t="shared" ref="L250" si="127">SUM(J250*K250)</f>
        <v>36400</v>
      </c>
      <c r="M250" s="357">
        <f t="shared" ref="M250" si="128">ROUNDDOWN(L250*1.1,0)</f>
        <v>40040</v>
      </c>
      <c r="N250" s="18" t="s">
        <v>20</v>
      </c>
      <c r="O250" s="439"/>
      <c r="P250" s="18" t="s">
        <v>5316</v>
      </c>
      <c r="Q250" s="18" t="s">
        <v>5316</v>
      </c>
      <c r="R250" s="18" t="s">
        <v>4803</v>
      </c>
      <c r="S250" s="375"/>
      <c r="V250" s="37"/>
      <c r="W250" s="354"/>
      <c r="X250" s="355"/>
      <c r="Y250" s="355"/>
      <c r="Z250" s="355"/>
      <c r="AA250" s="355"/>
      <c r="AB250" s="37"/>
      <c r="AC250" s="37"/>
    </row>
    <row r="251" spans="1:29" s="67" customFormat="1" ht="21.75" customHeight="1" x14ac:dyDescent="0.4">
      <c r="A251" s="258">
        <v>45884</v>
      </c>
      <c r="B251" s="32" t="s">
        <v>1447</v>
      </c>
      <c r="C251" s="32" t="s">
        <v>5251</v>
      </c>
      <c r="D251" s="18" t="s">
        <v>17</v>
      </c>
      <c r="E251" s="18" t="s">
        <v>328</v>
      </c>
      <c r="F251" s="18" t="s">
        <v>5197</v>
      </c>
      <c r="G251" s="63" t="s">
        <v>5253</v>
      </c>
      <c r="H251" s="350">
        <v>33000</v>
      </c>
      <c r="I251" s="353">
        <v>-9900</v>
      </c>
      <c r="J251" s="350">
        <f t="shared" ref="J251:J253" si="129">SUM(H251:I251)</f>
        <v>23100</v>
      </c>
      <c r="K251" s="18">
        <v>2</v>
      </c>
      <c r="L251" s="350">
        <f t="shared" ref="L251:L253" si="130">SUM(J251*K251)</f>
        <v>46200</v>
      </c>
      <c r="M251" s="357">
        <f t="shared" ref="M251:M253" si="131">ROUNDDOWN(L251*1.1,0)</f>
        <v>50820</v>
      </c>
      <c r="N251" s="18" t="s">
        <v>20</v>
      </c>
      <c r="O251" s="439"/>
      <c r="P251" s="18" t="s">
        <v>5316</v>
      </c>
      <c r="Q251" s="18" t="s">
        <v>5316</v>
      </c>
      <c r="R251" s="18" t="s">
        <v>4803</v>
      </c>
      <c r="S251" s="375"/>
      <c r="V251" s="37"/>
      <c r="W251" s="354"/>
      <c r="X251" s="355"/>
      <c r="Y251" s="355"/>
      <c r="Z251" s="355"/>
      <c r="AA251" s="355"/>
      <c r="AB251" s="37"/>
      <c r="AC251" s="37"/>
    </row>
    <row r="252" spans="1:29" s="67" customFormat="1" ht="21.75" customHeight="1" x14ac:dyDescent="0.4">
      <c r="A252" s="258">
        <v>45884</v>
      </c>
      <c r="B252" s="32" t="s">
        <v>1447</v>
      </c>
      <c r="C252" s="32" t="s">
        <v>5251</v>
      </c>
      <c r="D252" s="18" t="s">
        <v>17</v>
      </c>
      <c r="E252" s="18" t="s">
        <v>1442</v>
      </c>
      <c r="F252" s="18" t="s">
        <v>3543</v>
      </c>
      <c r="G252" s="63" t="s">
        <v>5254</v>
      </c>
      <c r="H252" s="350">
        <v>61000</v>
      </c>
      <c r="I252" s="353">
        <v>-9150</v>
      </c>
      <c r="J252" s="350">
        <f t="shared" si="129"/>
        <v>51850</v>
      </c>
      <c r="K252" s="18">
        <v>1</v>
      </c>
      <c r="L252" s="350">
        <f t="shared" si="130"/>
        <v>51850</v>
      </c>
      <c r="M252" s="357">
        <f t="shared" si="131"/>
        <v>57035</v>
      </c>
      <c r="N252" s="18" t="s">
        <v>20</v>
      </c>
      <c r="O252" s="439"/>
      <c r="P252" s="18" t="s">
        <v>5316</v>
      </c>
      <c r="Q252" s="18" t="s">
        <v>5316</v>
      </c>
      <c r="R252" s="18" t="s">
        <v>4803</v>
      </c>
      <c r="S252" s="375"/>
      <c r="V252" s="37"/>
      <c r="W252" s="354"/>
      <c r="X252" s="355"/>
      <c r="Y252" s="355"/>
      <c r="Z252" s="355"/>
      <c r="AA252" s="355"/>
      <c r="AB252" s="37"/>
      <c r="AC252" s="37"/>
    </row>
    <row r="253" spans="1:29" s="67" customFormat="1" ht="21.75" customHeight="1" x14ac:dyDescent="0.4">
      <c r="A253" s="258">
        <v>45884</v>
      </c>
      <c r="B253" s="32" t="s">
        <v>1447</v>
      </c>
      <c r="C253" s="32" t="s">
        <v>5251</v>
      </c>
      <c r="D253" s="18" t="s">
        <v>17</v>
      </c>
      <c r="E253" s="18" t="s">
        <v>1442</v>
      </c>
      <c r="F253" s="18" t="s">
        <v>3543</v>
      </c>
      <c r="G253" s="63" t="s">
        <v>5256</v>
      </c>
      <c r="H253" s="350">
        <v>49000</v>
      </c>
      <c r="I253" s="353">
        <v>-7350</v>
      </c>
      <c r="J253" s="350">
        <f t="shared" si="129"/>
        <v>41650</v>
      </c>
      <c r="K253" s="18">
        <v>1</v>
      </c>
      <c r="L253" s="350">
        <f t="shared" si="130"/>
        <v>41650</v>
      </c>
      <c r="M253" s="357">
        <f t="shared" si="131"/>
        <v>45815</v>
      </c>
      <c r="N253" s="18" t="s">
        <v>20</v>
      </c>
      <c r="O253" s="439"/>
      <c r="P253" s="18" t="s">
        <v>5316</v>
      </c>
      <c r="Q253" s="18" t="s">
        <v>5316</v>
      </c>
      <c r="R253" s="18" t="s">
        <v>4803</v>
      </c>
      <c r="S253" s="375"/>
      <c r="V253" s="37"/>
      <c r="W253" s="354"/>
      <c r="X253" s="355"/>
      <c r="Y253" s="355"/>
      <c r="Z253" s="355"/>
      <c r="AA253" s="355"/>
      <c r="AB253" s="37"/>
      <c r="AC253" s="37"/>
    </row>
    <row r="254" spans="1:29" s="67" customFormat="1" ht="21.75" customHeight="1" x14ac:dyDescent="0.4">
      <c r="A254" s="258">
        <v>45884</v>
      </c>
      <c r="B254" s="32" t="s">
        <v>1447</v>
      </c>
      <c r="C254" s="32" t="s">
        <v>5251</v>
      </c>
      <c r="D254" s="18" t="s">
        <v>17</v>
      </c>
      <c r="E254" s="18" t="s">
        <v>1442</v>
      </c>
      <c r="F254" s="18" t="s">
        <v>3543</v>
      </c>
      <c r="G254" s="63" t="s">
        <v>5257</v>
      </c>
      <c r="H254" s="350">
        <v>49000</v>
      </c>
      <c r="I254" s="353">
        <v>-7350</v>
      </c>
      <c r="J254" s="350">
        <f t="shared" ref="J254" si="132">SUM(H254:I254)</f>
        <v>41650</v>
      </c>
      <c r="K254" s="18">
        <v>1</v>
      </c>
      <c r="L254" s="350">
        <f t="shared" ref="L254" si="133">SUM(J254*K254)</f>
        <v>41650</v>
      </c>
      <c r="M254" s="357">
        <f t="shared" ref="M254" si="134">ROUNDDOWN(L254*1.1,0)</f>
        <v>45815</v>
      </c>
      <c r="N254" s="18" t="s">
        <v>20</v>
      </c>
      <c r="O254" s="439"/>
      <c r="P254" s="18" t="s">
        <v>5316</v>
      </c>
      <c r="Q254" s="18" t="s">
        <v>5316</v>
      </c>
      <c r="R254" s="18" t="s">
        <v>4803</v>
      </c>
      <c r="S254" s="375"/>
      <c r="V254" s="37"/>
      <c r="W254" s="354"/>
      <c r="X254" s="355"/>
      <c r="Y254" s="355"/>
      <c r="Z254" s="355"/>
      <c r="AA254" s="355"/>
      <c r="AB254" s="37"/>
      <c r="AC254" s="37"/>
    </row>
    <row r="255" spans="1:29" s="67" customFormat="1" ht="21.75" customHeight="1" x14ac:dyDescent="0.4">
      <c r="A255" s="258">
        <v>45884</v>
      </c>
      <c r="B255" s="32" t="s">
        <v>1447</v>
      </c>
      <c r="C255" s="32" t="s">
        <v>5251</v>
      </c>
      <c r="D255" s="18" t="s">
        <v>17</v>
      </c>
      <c r="E255" s="18" t="s">
        <v>332</v>
      </c>
      <c r="F255" s="18" t="s">
        <v>3555</v>
      </c>
      <c r="G255" s="63" t="s">
        <v>5255</v>
      </c>
      <c r="H255" s="350">
        <v>1700</v>
      </c>
      <c r="I255" s="353">
        <v>-170</v>
      </c>
      <c r="J255" s="350">
        <f t="shared" ref="J255" si="135">SUM(H255:I255)</f>
        <v>1530</v>
      </c>
      <c r="K255" s="18">
        <v>3</v>
      </c>
      <c r="L255" s="350">
        <f t="shared" ref="L255" si="136">SUM(J255*K255)</f>
        <v>4590</v>
      </c>
      <c r="M255" s="357">
        <f t="shared" ref="M255" si="137">ROUNDDOWN(L255*1.1,0)</f>
        <v>5049</v>
      </c>
      <c r="N255" s="18" t="s">
        <v>20</v>
      </c>
      <c r="O255" s="439"/>
      <c r="P255" s="18" t="s">
        <v>5316</v>
      </c>
      <c r="Q255" s="18" t="s">
        <v>5316</v>
      </c>
      <c r="R255" s="18" t="s">
        <v>4803</v>
      </c>
      <c r="S255" s="375"/>
      <c r="V255" s="37"/>
      <c r="W255" s="354"/>
      <c r="X255" s="355"/>
      <c r="Y255" s="355"/>
      <c r="Z255" s="355"/>
      <c r="AA255" s="355"/>
      <c r="AB255" s="37"/>
      <c r="AC255" s="37"/>
    </row>
    <row r="256" spans="1:29" s="67" customFormat="1" ht="21.75" customHeight="1" x14ac:dyDescent="0.4">
      <c r="A256" s="258">
        <v>45884</v>
      </c>
      <c r="B256" s="32" t="s">
        <v>4865</v>
      </c>
      <c r="C256" s="32" t="s">
        <v>2557</v>
      </c>
      <c r="D256" s="18" t="s">
        <v>22</v>
      </c>
      <c r="E256" s="18" t="s">
        <v>1496</v>
      </c>
      <c r="F256" s="18"/>
      <c r="G256" s="63" t="s">
        <v>4869</v>
      </c>
      <c r="H256" s="350">
        <v>2000</v>
      </c>
      <c r="I256" s="353"/>
      <c r="J256" s="350">
        <f t="shared" ref="J256" si="138">SUM(H256:I256)</f>
        <v>2000</v>
      </c>
      <c r="K256" s="18">
        <v>1</v>
      </c>
      <c r="L256" s="350">
        <f t="shared" si="124"/>
        <v>2000</v>
      </c>
      <c r="M256" s="357">
        <f t="shared" si="123"/>
        <v>2200</v>
      </c>
      <c r="N256" s="18" t="s">
        <v>20</v>
      </c>
      <c r="O256" s="439"/>
      <c r="P256" s="18" t="s">
        <v>5242</v>
      </c>
      <c r="Q256" s="18" t="s">
        <v>2595</v>
      </c>
      <c r="R256" s="18" t="s">
        <v>2595</v>
      </c>
      <c r="S256" s="375"/>
      <c r="V256" s="37"/>
      <c r="W256" s="354"/>
      <c r="X256" s="355"/>
      <c r="Y256" s="355"/>
      <c r="Z256" s="355"/>
      <c r="AA256" s="355"/>
      <c r="AB256" s="37"/>
      <c r="AC256" s="37"/>
    </row>
    <row r="257" spans="1:29" s="67" customFormat="1" ht="21.75" customHeight="1" x14ac:dyDescent="0.4">
      <c r="A257" s="258">
        <v>45885</v>
      </c>
      <c r="B257" s="32" t="s">
        <v>5228</v>
      </c>
      <c r="C257" s="32" t="s">
        <v>2557</v>
      </c>
      <c r="D257" s="18" t="s">
        <v>27</v>
      </c>
      <c r="E257" s="18" t="s">
        <v>28</v>
      </c>
      <c r="F257" s="18"/>
      <c r="G257" s="63" t="s">
        <v>5036</v>
      </c>
      <c r="H257" s="350">
        <v>17500</v>
      </c>
      <c r="I257" s="353"/>
      <c r="J257" s="350">
        <f t="shared" si="117"/>
        <v>17500</v>
      </c>
      <c r="K257" s="18">
        <v>1</v>
      </c>
      <c r="L257" s="350">
        <f t="shared" si="118"/>
        <v>17500</v>
      </c>
      <c r="M257" s="356">
        <f t="shared" si="119"/>
        <v>19250</v>
      </c>
      <c r="N257" s="18" t="s">
        <v>1516</v>
      </c>
      <c r="O257" s="439" t="s">
        <v>5216</v>
      </c>
      <c r="P257" s="18"/>
      <c r="Q257" s="18" t="s">
        <v>2594</v>
      </c>
      <c r="R257" s="18" t="s">
        <v>2594</v>
      </c>
      <c r="V257" s="37"/>
      <c r="W257" s="354"/>
      <c r="X257" s="355"/>
      <c r="Y257" s="355"/>
      <c r="Z257" s="355"/>
      <c r="AA257" s="355"/>
      <c r="AB257" s="37"/>
      <c r="AC257" s="37"/>
    </row>
    <row r="258" spans="1:29" s="67" customFormat="1" ht="21.75" customHeight="1" x14ac:dyDescent="0.4">
      <c r="A258" s="258">
        <v>45885</v>
      </c>
      <c r="B258" s="32" t="s">
        <v>5229</v>
      </c>
      <c r="C258" s="32" t="s">
        <v>5230</v>
      </c>
      <c r="D258" s="18" t="s">
        <v>5231</v>
      </c>
      <c r="E258" s="18" t="s">
        <v>332</v>
      </c>
      <c r="F258" s="18" t="s">
        <v>5232</v>
      </c>
      <c r="G258" s="63" t="s">
        <v>5233</v>
      </c>
      <c r="H258" s="350">
        <v>1450</v>
      </c>
      <c r="I258" s="353">
        <v>-145</v>
      </c>
      <c r="J258" s="350">
        <f t="shared" si="117"/>
        <v>1305</v>
      </c>
      <c r="K258" s="18">
        <v>1</v>
      </c>
      <c r="L258" s="350">
        <f t="shared" si="118"/>
        <v>1305</v>
      </c>
      <c r="M258" s="356">
        <f t="shared" si="119"/>
        <v>1435</v>
      </c>
      <c r="N258" s="18" t="s">
        <v>5234</v>
      </c>
      <c r="O258" s="439"/>
      <c r="P258" s="18"/>
      <c r="Q258" s="18" t="s">
        <v>2594</v>
      </c>
      <c r="R258" s="18" t="s">
        <v>2594</v>
      </c>
      <c r="V258" s="37"/>
      <c r="W258" s="354"/>
      <c r="X258" s="355"/>
      <c r="Y258" s="355"/>
      <c r="Z258" s="355"/>
      <c r="AA258" s="355"/>
      <c r="AB258" s="37"/>
      <c r="AC258" s="37"/>
    </row>
    <row r="259" spans="1:29" s="67" customFormat="1" ht="21.75" customHeight="1" x14ac:dyDescent="0.4">
      <c r="A259" s="258">
        <v>45885</v>
      </c>
      <c r="B259" s="32" t="s">
        <v>5235</v>
      </c>
      <c r="C259" s="32" t="s">
        <v>5236</v>
      </c>
      <c r="D259" s="18" t="s">
        <v>27</v>
      </c>
      <c r="E259" s="242" t="s">
        <v>5237</v>
      </c>
      <c r="F259" s="18"/>
      <c r="G259" s="63" t="s">
        <v>5238</v>
      </c>
      <c r="H259" s="350">
        <v>25000</v>
      </c>
      <c r="I259" s="353"/>
      <c r="J259" s="350">
        <f t="shared" si="117"/>
        <v>25000</v>
      </c>
      <c r="K259" s="18">
        <v>1</v>
      </c>
      <c r="L259" s="350">
        <f t="shared" si="118"/>
        <v>25000</v>
      </c>
      <c r="M259" s="356">
        <f t="shared" si="119"/>
        <v>27500</v>
      </c>
      <c r="N259" s="18" t="s">
        <v>5239</v>
      </c>
      <c r="O259" s="439"/>
      <c r="P259" s="18"/>
      <c r="Q259" s="18" t="s">
        <v>2594</v>
      </c>
      <c r="R259" s="18" t="s">
        <v>2594</v>
      </c>
      <c r="V259" s="37"/>
      <c r="W259" s="354"/>
      <c r="X259" s="355"/>
      <c r="Y259" s="355"/>
      <c r="Z259" s="355"/>
      <c r="AA259" s="355"/>
      <c r="AB259" s="37"/>
      <c r="AC259" s="37"/>
    </row>
    <row r="260" spans="1:29" s="67" customFormat="1" ht="21.75" customHeight="1" x14ac:dyDescent="0.4">
      <c r="A260" s="258">
        <v>45885</v>
      </c>
      <c r="B260" s="32" t="s">
        <v>5240</v>
      </c>
      <c r="C260" s="32" t="s">
        <v>2557</v>
      </c>
      <c r="D260" s="18" t="s">
        <v>17</v>
      </c>
      <c r="E260" s="18" t="s">
        <v>18</v>
      </c>
      <c r="F260" s="18" t="s">
        <v>994</v>
      </c>
      <c r="G260" s="63" t="s">
        <v>5105</v>
      </c>
      <c r="H260" s="350">
        <v>1800</v>
      </c>
      <c r="I260" s="353">
        <v>-180</v>
      </c>
      <c r="J260" s="350">
        <v>1620</v>
      </c>
      <c r="K260" s="18">
        <v>1</v>
      </c>
      <c r="L260" s="350">
        <v>1620</v>
      </c>
      <c r="M260" s="356">
        <v>1782</v>
      </c>
      <c r="N260" s="18" t="s">
        <v>25</v>
      </c>
      <c r="O260" s="439"/>
      <c r="P260" s="18"/>
      <c r="Q260" s="18" t="s">
        <v>5241</v>
      </c>
      <c r="R260" s="18" t="s">
        <v>5241</v>
      </c>
      <c r="V260" s="37"/>
      <c r="W260" s="354"/>
      <c r="X260" s="355"/>
      <c r="Y260" s="355"/>
      <c r="Z260" s="355"/>
      <c r="AA260" s="355"/>
      <c r="AB260" s="37"/>
      <c r="AC260" s="37"/>
    </row>
    <row r="261" spans="1:29" s="67" customFormat="1" ht="21.75" customHeight="1" x14ac:dyDescent="0.4">
      <c r="A261" s="258">
        <v>45886</v>
      </c>
      <c r="B261" s="32" t="s">
        <v>4865</v>
      </c>
      <c r="C261" s="32" t="s">
        <v>2557</v>
      </c>
      <c r="D261" s="18" t="s">
        <v>22</v>
      </c>
      <c r="E261" s="18" t="s">
        <v>1496</v>
      </c>
      <c r="F261" s="18"/>
      <c r="G261" s="63" t="s">
        <v>4869</v>
      </c>
      <c r="H261" s="350">
        <v>2000</v>
      </c>
      <c r="I261" s="353"/>
      <c r="J261" s="350">
        <f t="shared" ref="J261" si="139">SUM(H261:I261)</f>
        <v>2000</v>
      </c>
      <c r="K261" s="18">
        <v>1</v>
      </c>
      <c r="L261" s="350">
        <f t="shared" ref="L261:L262" si="140">SUM(J261*K261)</f>
        <v>2000</v>
      </c>
      <c r="M261" s="357">
        <f t="shared" ref="M261:M262" si="141">ROUNDDOWN(L261*1.1,0)</f>
        <v>2200</v>
      </c>
      <c r="N261" s="18" t="s">
        <v>20</v>
      </c>
      <c r="O261" s="439"/>
      <c r="P261" s="18" t="s">
        <v>5242</v>
      </c>
      <c r="Q261" s="18" t="s">
        <v>2595</v>
      </c>
      <c r="R261" s="18" t="s">
        <v>2595</v>
      </c>
      <c r="V261" s="37"/>
      <c r="W261" s="354"/>
      <c r="X261" s="355"/>
      <c r="Y261" s="355"/>
      <c r="Z261" s="355"/>
      <c r="AA261" s="355"/>
      <c r="AB261" s="37"/>
      <c r="AC261" s="37"/>
    </row>
    <row r="262" spans="1:29" s="67" customFormat="1" ht="21.75" customHeight="1" x14ac:dyDescent="0.4">
      <c r="A262" s="258">
        <v>45886</v>
      </c>
      <c r="B262" s="32" t="s">
        <v>5243</v>
      </c>
      <c r="C262" s="32" t="s">
        <v>5244</v>
      </c>
      <c r="D262" s="18" t="s">
        <v>22</v>
      </c>
      <c r="E262" s="18" t="s">
        <v>260</v>
      </c>
      <c r="F262" s="18"/>
      <c r="G262" s="63" t="s">
        <v>264</v>
      </c>
      <c r="H262" s="350">
        <v>15000</v>
      </c>
      <c r="I262" s="353"/>
      <c r="J262" s="350">
        <f t="shared" ref="J262" si="142">SUM(H262:I262)</f>
        <v>15000</v>
      </c>
      <c r="K262" s="18">
        <v>1</v>
      </c>
      <c r="L262" s="350">
        <f t="shared" si="140"/>
        <v>15000</v>
      </c>
      <c r="M262" s="356">
        <f t="shared" si="141"/>
        <v>16500</v>
      </c>
      <c r="N262" s="18" t="s">
        <v>1121</v>
      </c>
      <c r="O262" s="439"/>
      <c r="P262" s="18" t="s">
        <v>5242</v>
      </c>
      <c r="Q262" s="18" t="s">
        <v>2595</v>
      </c>
      <c r="R262" s="18" t="s">
        <v>2595</v>
      </c>
      <c r="V262" s="37"/>
      <c r="W262" s="354"/>
      <c r="X262" s="355"/>
      <c r="Y262" s="355"/>
      <c r="Z262" s="355"/>
      <c r="AA262" s="355"/>
      <c r="AB262" s="37"/>
      <c r="AC262" s="37"/>
    </row>
    <row r="263" spans="1:29" s="67" customFormat="1" ht="21.75" customHeight="1" x14ac:dyDescent="0.4">
      <c r="A263" s="258">
        <v>45886</v>
      </c>
      <c r="B263" s="32" t="s">
        <v>5243</v>
      </c>
      <c r="C263" s="32" t="s">
        <v>405</v>
      </c>
      <c r="D263" s="18" t="s">
        <v>17</v>
      </c>
      <c r="E263" s="18" t="s">
        <v>328</v>
      </c>
      <c r="F263" s="18" t="s">
        <v>788</v>
      </c>
      <c r="G263" s="63" t="s">
        <v>5245</v>
      </c>
      <c r="H263" s="350">
        <v>50000</v>
      </c>
      <c r="I263" s="353">
        <v>-10000</v>
      </c>
      <c r="J263" s="350">
        <f t="shared" ref="J263:J266" si="143">SUM(H263:I263)</f>
        <v>40000</v>
      </c>
      <c r="K263" s="18">
        <v>1</v>
      </c>
      <c r="L263" s="350">
        <f t="shared" ref="L263:L266" si="144">SUM(J263*K263)</f>
        <v>40000</v>
      </c>
      <c r="M263" s="356">
        <f t="shared" ref="M263:M266" si="145">ROUNDDOWN(L263*1.1,0)</f>
        <v>44000</v>
      </c>
      <c r="N263" s="18" t="s">
        <v>1121</v>
      </c>
      <c r="O263" s="439"/>
      <c r="P263" s="18" t="s">
        <v>5242</v>
      </c>
      <c r="Q263" s="18" t="s">
        <v>2595</v>
      </c>
      <c r="R263" s="18" t="s">
        <v>2595</v>
      </c>
      <c r="V263" s="37"/>
      <c r="W263" s="354"/>
      <c r="X263" s="355"/>
      <c r="Y263" s="355"/>
      <c r="Z263" s="355"/>
      <c r="AA263" s="355"/>
      <c r="AB263" s="37"/>
      <c r="AC263" s="37"/>
    </row>
    <row r="264" spans="1:29" s="67" customFormat="1" ht="21.75" customHeight="1" x14ac:dyDescent="0.4">
      <c r="A264" s="258">
        <v>45886</v>
      </c>
      <c r="B264" s="32" t="s">
        <v>5243</v>
      </c>
      <c r="C264" s="32" t="s">
        <v>405</v>
      </c>
      <c r="D264" s="18" t="s">
        <v>17</v>
      </c>
      <c r="E264" s="18" t="s">
        <v>1442</v>
      </c>
      <c r="F264" s="18" t="s">
        <v>5246</v>
      </c>
      <c r="G264" s="63" t="s">
        <v>5247</v>
      </c>
      <c r="H264" s="350">
        <v>73000</v>
      </c>
      <c r="I264" s="353">
        <v>-36500</v>
      </c>
      <c r="J264" s="350">
        <f t="shared" si="143"/>
        <v>36500</v>
      </c>
      <c r="K264" s="18">
        <v>1</v>
      </c>
      <c r="L264" s="350">
        <f t="shared" si="144"/>
        <v>36500</v>
      </c>
      <c r="M264" s="356">
        <f t="shared" si="145"/>
        <v>40150</v>
      </c>
      <c r="N264" s="18" t="s">
        <v>1121</v>
      </c>
      <c r="O264" s="439" t="s">
        <v>5250</v>
      </c>
      <c r="P264" s="18" t="s">
        <v>5242</v>
      </c>
      <c r="Q264" s="18" t="s">
        <v>2595</v>
      </c>
      <c r="R264" s="18" t="s">
        <v>2595</v>
      </c>
      <c r="V264" s="37"/>
      <c r="W264" s="354"/>
      <c r="X264" s="355"/>
      <c r="Y264" s="355"/>
      <c r="Z264" s="355"/>
      <c r="AA264" s="355"/>
      <c r="AB264" s="37"/>
      <c r="AC264" s="37"/>
    </row>
    <row r="265" spans="1:29" s="67" customFormat="1" ht="18.75" x14ac:dyDescent="0.4">
      <c r="A265" s="258">
        <v>45886</v>
      </c>
      <c r="B265" s="32" t="s">
        <v>5248</v>
      </c>
      <c r="C265" s="32" t="s">
        <v>5244</v>
      </c>
      <c r="D265" s="18" t="s">
        <v>22</v>
      </c>
      <c r="E265" s="18" t="s">
        <v>260</v>
      </c>
      <c r="F265" s="18"/>
      <c r="G265" s="63" t="s">
        <v>264</v>
      </c>
      <c r="H265" s="350">
        <v>15000</v>
      </c>
      <c r="I265" s="353"/>
      <c r="J265" s="350">
        <f t="shared" si="143"/>
        <v>15000</v>
      </c>
      <c r="K265" s="18">
        <v>1</v>
      </c>
      <c r="L265" s="350">
        <f t="shared" si="144"/>
        <v>15000</v>
      </c>
      <c r="M265" s="356">
        <f t="shared" si="145"/>
        <v>16500</v>
      </c>
      <c r="N265" s="18" t="s">
        <v>1121</v>
      </c>
      <c r="O265" s="439" t="s">
        <v>5249</v>
      </c>
      <c r="P265" s="18" t="s">
        <v>5242</v>
      </c>
      <c r="Q265" s="18" t="s">
        <v>2595</v>
      </c>
      <c r="R265" s="18" t="s">
        <v>2595</v>
      </c>
      <c r="S265" s="375"/>
      <c r="V265" s="37"/>
      <c r="W265" s="354"/>
      <c r="X265" s="355"/>
      <c r="Y265" s="355"/>
      <c r="Z265" s="355"/>
      <c r="AA265" s="355"/>
      <c r="AB265" s="37"/>
      <c r="AC265" s="37"/>
    </row>
    <row r="266" spans="1:29" s="67" customFormat="1" ht="18.75" x14ac:dyDescent="0.4">
      <c r="A266" s="258">
        <v>45887</v>
      </c>
      <c r="B266" s="32" t="s">
        <v>5304</v>
      </c>
      <c r="C266" s="32" t="s">
        <v>4292</v>
      </c>
      <c r="D266" s="18" t="s">
        <v>5292</v>
      </c>
      <c r="E266" s="18" t="s">
        <v>292</v>
      </c>
      <c r="F266" s="18" t="s">
        <v>1051</v>
      </c>
      <c r="G266" s="63" t="s">
        <v>5305</v>
      </c>
      <c r="H266" s="350">
        <v>4000</v>
      </c>
      <c r="I266" s="353">
        <v>-1000</v>
      </c>
      <c r="J266" s="350">
        <f t="shared" si="143"/>
        <v>3000</v>
      </c>
      <c r="K266" s="18">
        <v>1</v>
      </c>
      <c r="L266" s="350">
        <f t="shared" si="144"/>
        <v>3000</v>
      </c>
      <c r="M266" s="356">
        <f t="shared" si="145"/>
        <v>3300</v>
      </c>
      <c r="N266" s="18" t="s">
        <v>1516</v>
      </c>
      <c r="O266" s="439"/>
      <c r="P266" s="18"/>
      <c r="Q266" s="18" t="s">
        <v>2595</v>
      </c>
      <c r="R266" s="18" t="s">
        <v>2595</v>
      </c>
      <c r="S266" s="375"/>
      <c r="V266" s="37"/>
      <c r="W266" s="354"/>
      <c r="X266" s="355"/>
      <c r="Y266" s="355"/>
      <c r="Z266" s="355"/>
      <c r="AA266" s="355"/>
      <c r="AB266" s="37"/>
      <c r="AC266" s="37"/>
    </row>
    <row r="267" spans="1:29" s="67" customFormat="1" ht="18.75" x14ac:dyDescent="0.4">
      <c r="A267" s="258">
        <v>45887</v>
      </c>
      <c r="B267" s="32" t="s">
        <v>1216</v>
      </c>
      <c r="C267" s="32" t="s">
        <v>2557</v>
      </c>
      <c r="D267" s="18" t="s">
        <v>5306</v>
      </c>
      <c r="E267" s="18" t="s">
        <v>28</v>
      </c>
      <c r="F267" s="18"/>
      <c r="G267" s="63" t="s">
        <v>5036</v>
      </c>
      <c r="H267" s="350">
        <v>17500</v>
      </c>
      <c r="I267" s="353">
        <v>0</v>
      </c>
      <c r="J267" s="350">
        <f t="shared" ref="J267:J269" si="146">SUM(H267:I267)</f>
        <v>17500</v>
      </c>
      <c r="K267" s="18">
        <v>2</v>
      </c>
      <c r="L267" s="350">
        <f t="shared" ref="L267:L269" si="147">SUM(J267*K267)</f>
        <v>35000</v>
      </c>
      <c r="M267" s="356">
        <f t="shared" ref="M267:M269" si="148">ROUNDDOWN(L267*1.1,0)</f>
        <v>38500</v>
      </c>
      <c r="N267" s="18" t="s">
        <v>1516</v>
      </c>
      <c r="O267" s="439" t="s">
        <v>5342</v>
      </c>
      <c r="P267" s="18"/>
      <c r="Q267" s="18" t="s">
        <v>2595</v>
      </c>
      <c r="R267" s="18" t="s">
        <v>2595</v>
      </c>
      <c r="S267" s="375"/>
      <c r="V267" s="37"/>
      <c r="W267" s="354"/>
      <c r="X267" s="355"/>
      <c r="Y267" s="355"/>
      <c r="Z267" s="355"/>
      <c r="AA267" s="355"/>
      <c r="AB267" s="37"/>
      <c r="AC267" s="37"/>
    </row>
    <row r="268" spans="1:29" s="67" customFormat="1" ht="18.75" x14ac:dyDescent="0.4">
      <c r="A268" s="258">
        <v>45887</v>
      </c>
      <c r="B268" s="32" t="s">
        <v>5307</v>
      </c>
      <c r="C268" s="32" t="s">
        <v>405</v>
      </c>
      <c r="D268" s="18" t="s">
        <v>22</v>
      </c>
      <c r="E268" s="18" t="s">
        <v>1496</v>
      </c>
      <c r="F268" s="18"/>
      <c r="G268" s="63" t="s">
        <v>2422</v>
      </c>
      <c r="H268" s="350">
        <v>2000</v>
      </c>
      <c r="I268" s="353"/>
      <c r="J268" s="350">
        <f t="shared" ref="J268" si="149">SUM(H268:I268)</f>
        <v>2000</v>
      </c>
      <c r="K268" s="18">
        <v>1</v>
      </c>
      <c r="L268" s="350">
        <f t="shared" si="147"/>
        <v>2000</v>
      </c>
      <c r="M268" s="356">
        <f t="shared" si="148"/>
        <v>2200</v>
      </c>
      <c r="N268" s="18" t="s">
        <v>20</v>
      </c>
      <c r="O268" s="439"/>
      <c r="P268" s="18"/>
      <c r="Q268" s="18" t="s">
        <v>2595</v>
      </c>
      <c r="R268" s="18" t="s">
        <v>2595</v>
      </c>
      <c r="S268" s="375"/>
      <c r="V268" s="37"/>
      <c r="W268" s="354"/>
      <c r="X268" s="355"/>
      <c r="Y268" s="355"/>
      <c r="Z268" s="355"/>
      <c r="AA268" s="355"/>
      <c r="AB268" s="37"/>
      <c r="AC268" s="37"/>
    </row>
    <row r="269" spans="1:29" s="67" customFormat="1" ht="18.75" x14ac:dyDescent="0.4">
      <c r="A269" s="258">
        <v>45887</v>
      </c>
      <c r="B269" s="32" t="s">
        <v>5308</v>
      </c>
      <c r="C269" s="32" t="s">
        <v>2557</v>
      </c>
      <c r="D269" s="18" t="s">
        <v>5292</v>
      </c>
      <c r="E269" s="18" t="s">
        <v>332</v>
      </c>
      <c r="F269" s="18" t="s">
        <v>3554</v>
      </c>
      <c r="G269" s="63" t="s">
        <v>5309</v>
      </c>
      <c r="H269" s="350">
        <v>2600</v>
      </c>
      <c r="I269" s="353">
        <v>-260</v>
      </c>
      <c r="J269" s="350">
        <f t="shared" si="146"/>
        <v>2340</v>
      </c>
      <c r="K269" s="18">
        <v>1</v>
      </c>
      <c r="L269" s="350">
        <f t="shared" si="147"/>
        <v>2340</v>
      </c>
      <c r="M269" s="356">
        <f t="shared" si="148"/>
        <v>2574</v>
      </c>
      <c r="N269" s="18" t="s">
        <v>1121</v>
      </c>
      <c r="O269" s="439"/>
      <c r="P269" s="18"/>
      <c r="Q269" s="18" t="s">
        <v>2595</v>
      </c>
      <c r="R269" s="18" t="s">
        <v>2595</v>
      </c>
      <c r="S269" s="375"/>
      <c r="V269" s="37"/>
      <c r="W269" s="354"/>
      <c r="X269" s="355"/>
      <c r="Y269" s="355"/>
      <c r="Z269" s="355"/>
      <c r="AA269" s="355"/>
      <c r="AB269" s="37"/>
      <c r="AC269" s="37"/>
    </row>
    <row r="270" spans="1:29" s="67" customFormat="1" ht="21.75" customHeight="1" x14ac:dyDescent="0.4">
      <c r="A270" s="258">
        <v>45889</v>
      </c>
      <c r="B270" s="32" t="s">
        <v>5258</v>
      </c>
      <c r="C270" s="32" t="s">
        <v>405</v>
      </c>
      <c r="D270" s="18" t="s">
        <v>17</v>
      </c>
      <c r="E270" s="18" t="s">
        <v>328</v>
      </c>
      <c r="F270" s="18" t="s">
        <v>5197</v>
      </c>
      <c r="G270" s="63" t="s">
        <v>5259</v>
      </c>
      <c r="H270" s="350">
        <v>72000</v>
      </c>
      <c r="I270" s="353">
        <v>-21600</v>
      </c>
      <c r="J270" s="350">
        <f t="shared" ref="J270:J291" si="150">SUM(H270:I270)</f>
        <v>50400</v>
      </c>
      <c r="K270" s="18">
        <v>1</v>
      </c>
      <c r="L270" s="350">
        <f t="shared" ref="L270:L284" si="151">SUM(J270*K270)</f>
        <v>50400</v>
      </c>
      <c r="M270" s="356">
        <f t="shared" ref="M270:M284" si="152">ROUNDDOWN(L270*1.1,0)</f>
        <v>55440</v>
      </c>
      <c r="N270" s="18" t="s">
        <v>1121</v>
      </c>
      <c r="O270" s="439"/>
      <c r="P270" s="18" t="s">
        <v>2595</v>
      </c>
      <c r="Q270" s="18" t="s">
        <v>2595</v>
      </c>
      <c r="R270" s="18" t="s">
        <v>5263</v>
      </c>
      <c r="V270" s="37"/>
      <c r="W270" s="354"/>
      <c r="X270" s="355"/>
      <c r="Y270" s="355"/>
      <c r="Z270" s="355"/>
      <c r="AA270" s="355"/>
      <c r="AB270" s="37"/>
      <c r="AC270" s="37"/>
    </row>
    <row r="271" spans="1:29" s="67" customFormat="1" ht="21.75" customHeight="1" x14ac:dyDescent="0.4">
      <c r="A271" s="258">
        <v>45889</v>
      </c>
      <c r="B271" s="32" t="s">
        <v>5258</v>
      </c>
      <c r="C271" s="32" t="s">
        <v>405</v>
      </c>
      <c r="D271" s="18" t="s">
        <v>17</v>
      </c>
      <c r="E271" s="18" t="s">
        <v>328</v>
      </c>
      <c r="F271" s="18" t="s">
        <v>5260</v>
      </c>
      <c r="G271" s="63" t="s">
        <v>5261</v>
      </c>
      <c r="H271" s="350">
        <v>6200</v>
      </c>
      <c r="I271" s="353">
        <v>-1240</v>
      </c>
      <c r="J271" s="350">
        <f t="shared" si="150"/>
        <v>4960</v>
      </c>
      <c r="K271" s="18">
        <v>2</v>
      </c>
      <c r="L271" s="350">
        <f t="shared" si="151"/>
        <v>9920</v>
      </c>
      <c r="M271" s="356">
        <f t="shared" si="152"/>
        <v>10912</v>
      </c>
      <c r="N271" s="18" t="s">
        <v>1121</v>
      </c>
      <c r="O271" s="439"/>
      <c r="P271" s="18" t="s">
        <v>2595</v>
      </c>
      <c r="Q271" s="18" t="s">
        <v>2595</v>
      </c>
      <c r="R271" s="18" t="s">
        <v>5263</v>
      </c>
      <c r="V271" s="37"/>
      <c r="W271" s="354"/>
      <c r="X271" s="355"/>
      <c r="Y271" s="355"/>
      <c r="Z271" s="355"/>
      <c r="AA271" s="355"/>
      <c r="AB271" s="37"/>
      <c r="AC271" s="37"/>
    </row>
    <row r="272" spans="1:29" s="67" customFormat="1" ht="21.75" customHeight="1" x14ac:dyDescent="0.4">
      <c r="A272" s="258">
        <v>45889</v>
      </c>
      <c r="B272" s="32" t="s">
        <v>5258</v>
      </c>
      <c r="C272" s="32" t="s">
        <v>405</v>
      </c>
      <c r="D272" s="18" t="s">
        <v>17</v>
      </c>
      <c r="E272" s="18" t="s">
        <v>332</v>
      </c>
      <c r="F272" s="18" t="s">
        <v>3555</v>
      </c>
      <c r="G272" s="63" t="s">
        <v>5262</v>
      </c>
      <c r="H272" s="350">
        <v>1300</v>
      </c>
      <c r="I272" s="353"/>
      <c r="J272" s="350">
        <f t="shared" si="150"/>
        <v>1300</v>
      </c>
      <c r="K272" s="18">
        <v>4</v>
      </c>
      <c r="L272" s="350">
        <f t="shared" si="151"/>
        <v>5200</v>
      </c>
      <c r="M272" s="356">
        <f t="shared" si="152"/>
        <v>5720</v>
      </c>
      <c r="N272" s="18" t="s">
        <v>1121</v>
      </c>
      <c r="O272" s="439"/>
      <c r="P272" s="18" t="s">
        <v>2595</v>
      </c>
      <c r="Q272" s="18" t="s">
        <v>2595</v>
      </c>
      <c r="R272" s="18" t="s">
        <v>5263</v>
      </c>
      <c r="V272" s="37"/>
      <c r="W272" s="354"/>
      <c r="X272" s="355"/>
      <c r="Y272" s="355"/>
      <c r="Z272" s="355"/>
      <c r="AA272" s="355"/>
      <c r="AB272" s="37"/>
      <c r="AC272" s="37"/>
    </row>
    <row r="273" spans="1:29" s="67" customFormat="1" ht="21.75" customHeight="1" x14ac:dyDescent="0.4">
      <c r="A273" s="258">
        <v>45890</v>
      </c>
      <c r="B273" s="32" t="s">
        <v>5264</v>
      </c>
      <c r="C273" s="32" t="s">
        <v>2557</v>
      </c>
      <c r="D273" s="18" t="s">
        <v>17</v>
      </c>
      <c r="E273" s="18" t="s">
        <v>328</v>
      </c>
      <c r="F273" s="18" t="s">
        <v>788</v>
      </c>
      <c r="G273" s="424" t="s">
        <v>5265</v>
      </c>
      <c r="H273" s="350">
        <v>12000</v>
      </c>
      <c r="I273" s="353">
        <v>-1200</v>
      </c>
      <c r="J273" s="350">
        <f t="shared" si="150"/>
        <v>10800</v>
      </c>
      <c r="K273" s="18">
        <v>1</v>
      </c>
      <c r="L273" s="350">
        <f t="shared" si="151"/>
        <v>10800</v>
      </c>
      <c r="M273" s="356">
        <f t="shared" si="152"/>
        <v>11880</v>
      </c>
      <c r="N273" s="18" t="s">
        <v>25</v>
      </c>
      <c r="O273" s="439" t="s">
        <v>5266</v>
      </c>
      <c r="P273" s="18"/>
      <c r="Q273" s="18"/>
      <c r="R273" s="18" t="s">
        <v>4798</v>
      </c>
      <c r="V273" s="37"/>
      <c r="W273" s="354"/>
      <c r="X273" s="355"/>
      <c r="Y273" s="355"/>
      <c r="Z273" s="355"/>
      <c r="AA273" s="355"/>
      <c r="AB273" s="37"/>
      <c r="AC273" s="37"/>
    </row>
    <row r="274" spans="1:29" s="67" customFormat="1" ht="21.75" customHeight="1" x14ac:dyDescent="0.4">
      <c r="A274" s="258">
        <v>45890</v>
      </c>
      <c r="B274" s="32" t="s">
        <v>4865</v>
      </c>
      <c r="C274" s="32" t="s">
        <v>2557</v>
      </c>
      <c r="D274" s="18" t="s">
        <v>22</v>
      </c>
      <c r="E274" s="18" t="s">
        <v>1496</v>
      </c>
      <c r="F274" s="18"/>
      <c r="G274" s="63" t="s">
        <v>4869</v>
      </c>
      <c r="H274" s="350">
        <v>2000</v>
      </c>
      <c r="I274" s="353"/>
      <c r="J274" s="350">
        <f t="shared" si="150"/>
        <v>2000</v>
      </c>
      <c r="K274" s="18">
        <v>1</v>
      </c>
      <c r="L274" s="350">
        <f t="shared" si="151"/>
        <v>2000</v>
      </c>
      <c r="M274" s="356">
        <f t="shared" si="152"/>
        <v>2200</v>
      </c>
      <c r="N274" s="18" t="s">
        <v>20</v>
      </c>
      <c r="O274" s="439"/>
      <c r="P274" s="18" t="s">
        <v>5267</v>
      </c>
      <c r="Q274" s="18"/>
      <c r="R274" s="18" t="s">
        <v>4798</v>
      </c>
      <c r="V274" s="37"/>
      <c r="W274" s="354"/>
      <c r="X274" s="355"/>
      <c r="Y274" s="355"/>
      <c r="Z274" s="355"/>
      <c r="AA274" s="355"/>
      <c r="AB274" s="37"/>
      <c r="AC274" s="37"/>
    </row>
    <row r="275" spans="1:29" s="67" customFormat="1" ht="21.75" customHeight="1" x14ac:dyDescent="0.4">
      <c r="A275" s="258">
        <v>45891</v>
      </c>
      <c r="B275" s="32" t="s">
        <v>4865</v>
      </c>
      <c r="C275" s="32" t="s">
        <v>2557</v>
      </c>
      <c r="D275" s="18" t="s">
        <v>22</v>
      </c>
      <c r="E275" s="18" t="s">
        <v>1496</v>
      </c>
      <c r="F275" s="18"/>
      <c r="G275" s="63" t="s">
        <v>4869</v>
      </c>
      <c r="H275" s="350">
        <v>2000</v>
      </c>
      <c r="I275" s="353"/>
      <c r="J275" s="350">
        <f t="shared" ref="J275" si="153">SUM(H275:I275)</f>
        <v>2000</v>
      </c>
      <c r="K275" s="18">
        <v>1</v>
      </c>
      <c r="L275" s="350">
        <f t="shared" ref="L275" si="154">SUM(J275*K275)</f>
        <v>2000</v>
      </c>
      <c r="M275" s="356">
        <f t="shared" ref="M275" si="155">ROUNDDOWN(L275*1.1,0)</f>
        <v>2200</v>
      </c>
      <c r="N275" s="18" t="s">
        <v>20</v>
      </c>
      <c r="O275" s="439"/>
      <c r="P275" s="18" t="s">
        <v>5272</v>
      </c>
      <c r="Q275" s="18"/>
      <c r="R275" s="18"/>
      <c r="V275" s="37"/>
      <c r="W275" s="354"/>
      <c r="X275" s="355"/>
      <c r="Y275" s="355"/>
      <c r="Z275" s="355"/>
      <c r="AA275" s="355"/>
      <c r="AB275" s="37"/>
      <c r="AC275" s="37"/>
    </row>
    <row r="276" spans="1:29" s="67" customFormat="1" ht="21.75" customHeight="1" x14ac:dyDescent="0.4">
      <c r="A276" s="258">
        <v>45892</v>
      </c>
      <c r="B276" s="32" t="s">
        <v>4865</v>
      </c>
      <c r="C276" s="32" t="s">
        <v>2557</v>
      </c>
      <c r="D276" s="18" t="s">
        <v>22</v>
      </c>
      <c r="E276" s="18" t="s">
        <v>1496</v>
      </c>
      <c r="F276" s="18"/>
      <c r="G276" s="63" t="s">
        <v>4869</v>
      </c>
      <c r="H276" s="350">
        <v>2000</v>
      </c>
      <c r="I276" s="353"/>
      <c r="J276" s="350">
        <f t="shared" si="150"/>
        <v>2000</v>
      </c>
      <c r="K276" s="18">
        <v>1</v>
      </c>
      <c r="L276" s="350">
        <f t="shared" si="151"/>
        <v>2000</v>
      </c>
      <c r="M276" s="356">
        <f t="shared" si="152"/>
        <v>2200</v>
      </c>
      <c r="N276" s="18" t="s">
        <v>20</v>
      </c>
      <c r="O276" s="439"/>
      <c r="P276" s="18" t="s">
        <v>4798</v>
      </c>
      <c r="Q276" s="18"/>
      <c r="R276" s="18" t="s">
        <v>4798</v>
      </c>
      <c r="V276" s="37"/>
      <c r="W276" s="354"/>
      <c r="X276" s="355"/>
      <c r="Y276" s="355"/>
      <c r="Z276" s="355"/>
      <c r="AA276" s="355"/>
      <c r="AB276" s="37"/>
      <c r="AC276" s="37"/>
    </row>
    <row r="277" spans="1:29" s="67" customFormat="1" ht="21.75" customHeight="1" x14ac:dyDescent="0.4">
      <c r="A277" s="258">
        <v>45892</v>
      </c>
      <c r="B277" s="32" t="s">
        <v>4865</v>
      </c>
      <c r="C277" s="32" t="s">
        <v>2557</v>
      </c>
      <c r="D277" s="18" t="s">
        <v>22</v>
      </c>
      <c r="E277" s="18" t="s">
        <v>1496</v>
      </c>
      <c r="F277" s="18"/>
      <c r="G277" s="63" t="s">
        <v>4869</v>
      </c>
      <c r="H277" s="350">
        <v>2000</v>
      </c>
      <c r="I277" s="353"/>
      <c r="J277" s="350">
        <f t="shared" si="150"/>
        <v>2000</v>
      </c>
      <c r="K277" s="18">
        <v>1</v>
      </c>
      <c r="L277" s="350">
        <f t="shared" si="151"/>
        <v>2000</v>
      </c>
      <c r="M277" s="356">
        <f t="shared" si="152"/>
        <v>2200</v>
      </c>
      <c r="N277" s="18" t="s">
        <v>20</v>
      </c>
      <c r="O277" s="439"/>
      <c r="P277" s="18" t="s">
        <v>4798</v>
      </c>
      <c r="Q277" s="18"/>
      <c r="R277" s="18" t="s">
        <v>4798</v>
      </c>
      <c r="V277" s="37"/>
      <c r="W277" s="354"/>
      <c r="X277" s="355"/>
      <c r="Y277" s="355"/>
      <c r="Z277" s="355"/>
      <c r="AA277" s="355"/>
      <c r="AB277" s="37"/>
      <c r="AC277" s="37"/>
    </row>
    <row r="278" spans="1:29" s="67" customFormat="1" ht="21.75" customHeight="1" x14ac:dyDescent="0.4">
      <c r="A278" s="258">
        <v>45892</v>
      </c>
      <c r="B278" s="32" t="s">
        <v>5268</v>
      </c>
      <c r="C278" s="32" t="s">
        <v>2557</v>
      </c>
      <c r="D278" s="18" t="s">
        <v>17</v>
      </c>
      <c r="E278" s="18" t="s">
        <v>292</v>
      </c>
      <c r="F278" s="18" t="s">
        <v>1051</v>
      </c>
      <c r="G278" s="63" t="s">
        <v>3653</v>
      </c>
      <c r="H278" s="350">
        <v>5700</v>
      </c>
      <c r="I278" s="353"/>
      <c r="J278" s="350">
        <f t="shared" si="150"/>
        <v>5700</v>
      </c>
      <c r="K278" s="18">
        <v>1</v>
      </c>
      <c r="L278" s="350">
        <f t="shared" si="151"/>
        <v>5700</v>
      </c>
      <c r="M278" s="356">
        <f t="shared" si="152"/>
        <v>6270</v>
      </c>
      <c r="N278" s="18" t="s">
        <v>25</v>
      </c>
      <c r="O278" s="439"/>
      <c r="P278" s="18"/>
      <c r="Q278" s="18"/>
      <c r="R278" s="18" t="s">
        <v>4798</v>
      </c>
      <c r="V278" s="37"/>
      <c r="W278" s="354"/>
      <c r="X278" s="355"/>
      <c r="Y278" s="355"/>
      <c r="Z278" s="355"/>
      <c r="AA278" s="355"/>
      <c r="AB278" s="37"/>
      <c r="AC278" s="37"/>
    </row>
    <row r="279" spans="1:29" s="67" customFormat="1" ht="21.75" customHeight="1" x14ac:dyDescent="0.4">
      <c r="A279" s="258">
        <v>45893</v>
      </c>
      <c r="B279" s="32" t="s">
        <v>5268</v>
      </c>
      <c r="C279" s="32" t="s">
        <v>2557</v>
      </c>
      <c r="D279" s="18" t="s">
        <v>17</v>
      </c>
      <c r="E279" s="18" t="s">
        <v>5269</v>
      </c>
      <c r="F279" s="18" t="s">
        <v>5270</v>
      </c>
      <c r="G279" s="63" t="s">
        <v>5271</v>
      </c>
      <c r="H279" s="350">
        <v>80000</v>
      </c>
      <c r="I279" s="353">
        <v>-12000</v>
      </c>
      <c r="J279" s="350">
        <f t="shared" si="150"/>
        <v>68000</v>
      </c>
      <c r="K279" s="18">
        <v>1</v>
      </c>
      <c r="L279" s="350">
        <f t="shared" ref="L279" si="156">SUM(J279*K279)</f>
        <v>68000</v>
      </c>
      <c r="M279" s="356">
        <f t="shared" ref="M279" si="157">ROUNDDOWN(L279*1.1,0)</f>
        <v>74800</v>
      </c>
      <c r="N279" s="18" t="s">
        <v>25</v>
      </c>
      <c r="O279" s="439"/>
      <c r="P279" s="18"/>
      <c r="Q279" s="18" t="s">
        <v>5272</v>
      </c>
      <c r="R279" s="18" t="s">
        <v>5272</v>
      </c>
      <c r="V279" s="37"/>
      <c r="W279" s="354"/>
      <c r="X279" s="355"/>
      <c r="Y279" s="355"/>
      <c r="Z279" s="355"/>
      <c r="AA279" s="355"/>
      <c r="AB279" s="37"/>
      <c r="AC279" s="37"/>
    </row>
    <row r="280" spans="1:29" s="67" customFormat="1" ht="21.75" customHeight="1" x14ac:dyDescent="0.4">
      <c r="A280" s="258">
        <v>45893</v>
      </c>
      <c r="B280" s="32" t="s">
        <v>5029</v>
      </c>
      <c r="C280" s="32" t="s">
        <v>405</v>
      </c>
      <c r="D280" s="18" t="s">
        <v>5273</v>
      </c>
      <c r="E280" s="18" t="s">
        <v>332</v>
      </c>
      <c r="F280" s="18" t="s">
        <v>3555</v>
      </c>
      <c r="G280" s="63" t="s">
        <v>5274</v>
      </c>
      <c r="H280" s="350">
        <v>1300</v>
      </c>
      <c r="I280" s="353"/>
      <c r="J280" s="350">
        <f t="shared" si="150"/>
        <v>1300</v>
      </c>
      <c r="K280" s="18">
        <v>1</v>
      </c>
      <c r="L280" s="350">
        <f t="shared" ref="L280:L281" si="158">SUM(J280*K280)</f>
        <v>1300</v>
      </c>
      <c r="M280" s="356">
        <f t="shared" ref="M280:M281" si="159">ROUNDDOWN(L280*1.1,0)</f>
        <v>1430</v>
      </c>
      <c r="N280" s="18" t="s">
        <v>5275</v>
      </c>
      <c r="O280" s="439"/>
      <c r="P280" s="18" t="s">
        <v>5272</v>
      </c>
      <c r="Q280" s="18" t="s">
        <v>5272</v>
      </c>
      <c r="R280" s="18" t="s">
        <v>5272</v>
      </c>
      <c r="V280" s="37"/>
      <c r="W280" s="354"/>
      <c r="X280" s="355"/>
      <c r="Y280" s="355"/>
      <c r="Z280" s="355"/>
      <c r="AA280" s="355"/>
      <c r="AB280" s="37"/>
      <c r="AC280" s="37"/>
    </row>
    <row r="281" spans="1:29" s="67" customFormat="1" ht="21.75" customHeight="1" x14ac:dyDescent="0.4">
      <c r="A281" s="258">
        <v>45894</v>
      </c>
      <c r="B281" s="32" t="s">
        <v>148</v>
      </c>
      <c r="C281" s="32" t="s">
        <v>5289</v>
      </c>
      <c r="D281" s="18" t="s">
        <v>5109</v>
      </c>
      <c r="E281" s="18" t="s">
        <v>28</v>
      </c>
      <c r="F281" s="18"/>
      <c r="G281" s="63" t="s">
        <v>5036</v>
      </c>
      <c r="H281" s="350">
        <v>17500</v>
      </c>
      <c r="I281" s="353"/>
      <c r="J281" s="350">
        <f t="shared" si="150"/>
        <v>17500</v>
      </c>
      <c r="K281" s="18">
        <v>1</v>
      </c>
      <c r="L281" s="350">
        <f t="shared" si="158"/>
        <v>17500</v>
      </c>
      <c r="M281" s="356">
        <f t="shared" si="159"/>
        <v>19250</v>
      </c>
      <c r="N281" s="18" t="s">
        <v>5291</v>
      </c>
      <c r="O281" s="439"/>
      <c r="P281" s="18"/>
      <c r="Q281" s="18"/>
      <c r="R281" s="18" t="s">
        <v>2595</v>
      </c>
      <c r="V281" s="37"/>
      <c r="W281" s="354"/>
      <c r="X281" s="355"/>
      <c r="Y281" s="355"/>
      <c r="Z281" s="355"/>
      <c r="AA281" s="355"/>
      <c r="AB281" s="37"/>
      <c r="AC281" s="37"/>
    </row>
    <row r="282" spans="1:29" s="67" customFormat="1" ht="21.75" customHeight="1" x14ac:dyDescent="0.4">
      <c r="A282" s="258">
        <v>45896</v>
      </c>
      <c r="B282" s="32" t="s">
        <v>5276</v>
      </c>
      <c r="C282" s="32" t="s">
        <v>5277</v>
      </c>
      <c r="D282" s="18" t="s">
        <v>5278</v>
      </c>
      <c r="E282" s="18" t="s">
        <v>18</v>
      </c>
      <c r="F282" s="18" t="s">
        <v>994</v>
      </c>
      <c r="G282" s="63" t="s">
        <v>5279</v>
      </c>
      <c r="H282" s="350">
        <v>1800</v>
      </c>
      <c r="I282" s="353">
        <v>-180</v>
      </c>
      <c r="J282" s="350">
        <f t="shared" si="150"/>
        <v>1620</v>
      </c>
      <c r="K282" s="18">
        <v>1</v>
      </c>
      <c r="L282" s="350">
        <v>1620</v>
      </c>
      <c r="M282" s="356">
        <v>1782</v>
      </c>
      <c r="N282" s="18" t="s">
        <v>20</v>
      </c>
      <c r="O282" s="439"/>
      <c r="P282" s="18"/>
      <c r="Q282" s="18" t="s">
        <v>5280</v>
      </c>
      <c r="R282" s="18" t="s">
        <v>5280</v>
      </c>
      <c r="V282" s="37"/>
      <c r="W282" s="354"/>
      <c r="X282" s="355"/>
      <c r="Y282" s="355"/>
      <c r="Z282" s="355"/>
      <c r="AA282" s="355"/>
      <c r="AB282" s="37"/>
      <c r="AC282" s="37"/>
    </row>
    <row r="283" spans="1:29" s="67" customFormat="1" ht="21.75" customHeight="1" x14ac:dyDescent="0.4">
      <c r="A283" s="258">
        <v>45896</v>
      </c>
      <c r="B283" s="32" t="s">
        <v>5281</v>
      </c>
      <c r="C283" s="32" t="s">
        <v>2557</v>
      </c>
      <c r="D283" s="18" t="s">
        <v>17</v>
      </c>
      <c r="E283" s="18" t="s">
        <v>328</v>
      </c>
      <c r="F283" s="18" t="s">
        <v>5282</v>
      </c>
      <c r="G283" s="63" t="s">
        <v>5351</v>
      </c>
      <c r="H283" s="350">
        <v>7700</v>
      </c>
      <c r="I283" s="353">
        <v>-770</v>
      </c>
      <c r="J283" s="350">
        <f t="shared" si="150"/>
        <v>6930</v>
      </c>
      <c r="K283" s="18">
        <v>2</v>
      </c>
      <c r="L283" s="350">
        <f t="shared" si="151"/>
        <v>13860</v>
      </c>
      <c r="M283" s="356">
        <f t="shared" si="152"/>
        <v>15246</v>
      </c>
      <c r="N283" s="18" t="s">
        <v>25</v>
      </c>
      <c r="O283" s="439"/>
      <c r="P283" s="18"/>
      <c r="Q283" s="18" t="s">
        <v>2594</v>
      </c>
      <c r="R283" s="18" t="s">
        <v>2594</v>
      </c>
      <c r="V283" s="37"/>
      <c r="W283" s="354"/>
      <c r="X283" s="355"/>
      <c r="Y283" s="355"/>
      <c r="Z283" s="355"/>
      <c r="AA283" s="355"/>
      <c r="AB283" s="37"/>
      <c r="AC283" s="37"/>
    </row>
    <row r="284" spans="1:29" s="67" customFormat="1" ht="21.75" customHeight="1" x14ac:dyDescent="0.4">
      <c r="A284" s="258">
        <v>45896</v>
      </c>
      <c r="B284" s="32" t="s">
        <v>5281</v>
      </c>
      <c r="C284" s="32" t="s">
        <v>2557</v>
      </c>
      <c r="D284" s="18" t="s">
        <v>17</v>
      </c>
      <c r="E284" s="18" t="s">
        <v>332</v>
      </c>
      <c r="F284" s="18" t="s">
        <v>3555</v>
      </c>
      <c r="G284" s="433" t="s">
        <v>6243</v>
      </c>
      <c r="H284" s="350">
        <v>1700</v>
      </c>
      <c r="I284" s="353">
        <v>-170</v>
      </c>
      <c r="J284" s="350">
        <f t="shared" si="150"/>
        <v>1530</v>
      </c>
      <c r="K284" s="18">
        <v>2</v>
      </c>
      <c r="L284" s="350">
        <f t="shared" si="151"/>
        <v>3060</v>
      </c>
      <c r="M284" s="356">
        <f t="shared" si="152"/>
        <v>3366</v>
      </c>
      <c r="N284" s="18" t="s">
        <v>25</v>
      </c>
      <c r="O284" s="439"/>
      <c r="P284" s="18"/>
      <c r="Q284" s="18" t="s">
        <v>2594</v>
      </c>
      <c r="R284" s="18" t="s">
        <v>2594</v>
      </c>
      <c r="V284" s="37"/>
      <c r="W284" s="354"/>
      <c r="X284" s="355"/>
      <c r="Y284" s="355"/>
      <c r="Z284" s="355"/>
      <c r="AA284" s="355"/>
      <c r="AB284" s="37"/>
      <c r="AC284" s="37"/>
    </row>
    <row r="285" spans="1:29" s="67" customFormat="1" ht="21.75" customHeight="1" x14ac:dyDescent="0.4">
      <c r="A285" s="258">
        <v>45897</v>
      </c>
      <c r="B285" s="32" t="s">
        <v>5284</v>
      </c>
      <c r="C285" s="32" t="s">
        <v>2557</v>
      </c>
      <c r="D285" s="18" t="s">
        <v>17</v>
      </c>
      <c r="E285" s="18" t="s">
        <v>18</v>
      </c>
      <c r="F285" s="18" t="s">
        <v>994</v>
      </c>
      <c r="G285" s="63" t="s">
        <v>5285</v>
      </c>
      <c r="H285" s="350">
        <v>1800</v>
      </c>
      <c r="I285" s="353">
        <v>-180</v>
      </c>
      <c r="J285" s="350">
        <f t="shared" si="150"/>
        <v>1620</v>
      </c>
      <c r="K285" s="18">
        <v>1</v>
      </c>
      <c r="L285" s="350">
        <f t="shared" ref="L285:L334" si="160">SUM(J285*K285)</f>
        <v>1620</v>
      </c>
      <c r="M285" s="356">
        <f t="shared" ref="M285:M334" si="161">ROUNDDOWN(L285*1.1,0)</f>
        <v>1782</v>
      </c>
      <c r="N285" s="18" t="s">
        <v>25</v>
      </c>
      <c r="O285" s="439"/>
      <c r="P285" s="18"/>
      <c r="Q285" s="18" t="s">
        <v>2594</v>
      </c>
      <c r="R285" s="18" t="s">
        <v>2594</v>
      </c>
      <c r="V285" s="37"/>
      <c r="W285" s="354"/>
      <c r="X285" s="355"/>
      <c r="Y285" s="355"/>
      <c r="Z285" s="355"/>
      <c r="AA285" s="355"/>
      <c r="AB285" s="37"/>
      <c r="AC285" s="37"/>
    </row>
    <row r="286" spans="1:29" s="67" customFormat="1" ht="21.75" customHeight="1" x14ac:dyDescent="0.4">
      <c r="A286" s="258">
        <v>45897</v>
      </c>
      <c r="B286" s="32" t="s">
        <v>5286</v>
      </c>
      <c r="C286" s="32" t="s">
        <v>405</v>
      </c>
      <c r="D286" s="18" t="s">
        <v>317</v>
      </c>
      <c r="E286" s="18" t="s">
        <v>28</v>
      </c>
      <c r="F286" s="18"/>
      <c r="G286" s="63" t="s">
        <v>5038</v>
      </c>
      <c r="H286" s="350">
        <v>5000</v>
      </c>
      <c r="I286" s="353">
        <v>0</v>
      </c>
      <c r="J286" s="350">
        <f t="shared" si="150"/>
        <v>5000</v>
      </c>
      <c r="K286" s="18">
        <v>1</v>
      </c>
      <c r="L286" s="350">
        <f t="shared" si="160"/>
        <v>5000</v>
      </c>
      <c r="M286" s="356">
        <f t="shared" si="161"/>
        <v>5500</v>
      </c>
      <c r="N286" s="18" t="s">
        <v>5291</v>
      </c>
      <c r="O286" s="439"/>
      <c r="P286" s="18"/>
      <c r="Q286" s="18" t="s">
        <v>2595</v>
      </c>
      <c r="R286" s="18"/>
      <c r="V286" s="37"/>
      <c r="W286" s="354"/>
      <c r="X286" s="355"/>
      <c r="Y286" s="355"/>
      <c r="Z286" s="355"/>
      <c r="AA286" s="355"/>
      <c r="AB286" s="37"/>
      <c r="AC286" s="37"/>
    </row>
    <row r="287" spans="1:29" s="67" customFormat="1" ht="21.75" customHeight="1" x14ac:dyDescent="0.4">
      <c r="A287" s="258">
        <v>45897</v>
      </c>
      <c r="B287" s="32" t="s">
        <v>5286</v>
      </c>
      <c r="C287" s="32" t="s">
        <v>405</v>
      </c>
      <c r="D287" s="18" t="s">
        <v>17</v>
      </c>
      <c r="E287" s="18" t="s">
        <v>18</v>
      </c>
      <c r="F287" s="18" t="s">
        <v>994</v>
      </c>
      <c r="G287" s="63" t="s">
        <v>5333</v>
      </c>
      <c r="H287" s="350">
        <v>1800</v>
      </c>
      <c r="I287" s="353">
        <v>-180</v>
      </c>
      <c r="J287" s="350">
        <f t="shared" si="150"/>
        <v>1620</v>
      </c>
      <c r="K287" s="18">
        <v>1</v>
      </c>
      <c r="L287" s="350">
        <f t="shared" ref="L287" si="162">SUM(J287*K287)</f>
        <v>1620</v>
      </c>
      <c r="M287" s="356">
        <f t="shared" ref="M287" si="163">ROUNDDOWN(L287*1.1,0)</f>
        <v>1782</v>
      </c>
      <c r="N287" s="18" t="s">
        <v>5291</v>
      </c>
      <c r="O287" s="439"/>
      <c r="P287" s="18"/>
      <c r="Q287" s="18" t="s">
        <v>5287</v>
      </c>
      <c r="R287" s="18" t="s">
        <v>5287</v>
      </c>
      <c r="V287" s="37"/>
      <c r="W287" s="354"/>
      <c r="X287" s="355"/>
      <c r="Y287" s="355"/>
      <c r="Z287" s="355"/>
      <c r="AA287" s="355"/>
      <c r="AB287" s="37"/>
      <c r="AC287" s="37"/>
    </row>
    <row r="288" spans="1:29" s="67" customFormat="1" ht="21.75" customHeight="1" x14ac:dyDescent="0.4">
      <c r="A288" s="258">
        <v>45897</v>
      </c>
      <c r="B288" s="32" t="s">
        <v>5288</v>
      </c>
      <c r="C288" s="32" t="s">
        <v>4292</v>
      </c>
      <c r="D288" s="18" t="s">
        <v>17</v>
      </c>
      <c r="E288" s="18" t="s">
        <v>18</v>
      </c>
      <c r="F288" s="18" t="s">
        <v>994</v>
      </c>
      <c r="G288" s="63" t="s">
        <v>5334</v>
      </c>
      <c r="H288" s="350">
        <v>1800</v>
      </c>
      <c r="I288" s="353">
        <v>-720</v>
      </c>
      <c r="J288" s="350">
        <f t="shared" si="150"/>
        <v>1080</v>
      </c>
      <c r="K288" s="18">
        <v>1</v>
      </c>
      <c r="L288" s="350">
        <f t="shared" si="160"/>
        <v>1080</v>
      </c>
      <c r="M288" s="356">
        <f t="shared" si="161"/>
        <v>1188</v>
      </c>
      <c r="N288" s="18" t="s">
        <v>25</v>
      </c>
      <c r="O288" s="439"/>
      <c r="P288" s="18"/>
      <c r="Q288" s="18" t="s">
        <v>2594</v>
      </c>
      <c r="R288" s="18" t="s">
        <v>2594</v>
      </c>
      <c r="V288" s="37"/>
      <c r="W288" s="354"/>
      <c r="X288" s="355"/>
      <c r="Y288" s="355"/>
      <c r="Z288" s="355"/>
      <c r="AA288" s="355"/>
      <c r="AB288" s="37"/>
      <c r="AC288" s="37"/>
    </row>
    <row r="289" spans="1:29" s="67" customFormat="1" ht="21.75" customHeight="1" x14ac:dyDescent="0.4">
      <c r="A289" s="258">
        <v>45897</v>
      </c>
      <c r="B289" s="32" t="s">
        <v>4774</v>
      </c>
      <c r="C289" s="32" t="s">
        <v>2557</v>
      </c>
      <c r="D289" s="18" t="s">
        <v>27</v>
      </c>
      <c r="E289" s="18" t="s">
        <v>28</v>
      </c>
      <c r="F289" s="18"/>
      <c r="G289" s="63" t="s">
        <v>5036</v>
      </c>
      <c r="H289" s="350">
        <v>17500</v>
      </c>
      <c r="I289" s="353"/>
      <c r="J289" s="350">
        <f t="shared" si="150"/>
        <v>17500</v>
      </c>
      <c r="K289" s="18">
        <v>1</v>
      </c>
      <c r="L289" s="350">
        <f t="shared" si="160"/>
        <v>17500</v>
      </c>
      <c r="M289" s="356">
        <f t="shared" si="161"/>
        <v>19250</v>
      </c>
      <c r="N289" s="18" t="s">
        <v>20</v>
      </c>
      <c r="O289" s="439" t="s">
        <v>5462</v>
      </c>
      <c r="P289" s="18" t="s">
        <v>5290</v>
      </c>
      <c r="Q289" s="18" t="s">
        <v>5290</v>
      </c>
      <c r="R289" s="18" t="s">
        <v>5290</v>
      </c>
      <c r="V289" s="37"/>
      <c r="W289" s="354"/>
      <c r="X289" s="355"/>
      <c r="Y289" s="355"/>
      <c r="Z289" s="355"/>
      <c r="AA289" s="355"/>
      <c r="AB289" s="37"/>
      <c r="AC289" s="37"/>
    </row>
    <row r="290" spans="1:29" s="67" customFormat="1" ht="21.75" customHeight="1" x14ac:dyDescent="0.4">
      <c r="A290" s="258">
        <v>45897</v>
      </c>
      <c r="B290" s="32" t="s">
        <v>4865</v>
      </c>
      <c r="C290" s="32" t="s">
        <v>2557</v>
      </c>
      <c r="D290" s="18" t="s">
        <v>22</v>
      </c>
      <c r="E290" s="18" t="s">
        <v>1496</v>
      </c>
      <c r="F290" s="18"/>
      <c r="G290" s="63" t="s">
        <v>4869</v>
      </c>
      <c r="H290" s="350">
        <v>2000</v>
      </c>
      <c r="I290" s="353"/>
      <c r="J290" s="350">
        <f t="shared" si="150"/>
        <v>2000</v>
      </c>
      <c r="K290" s="18">
        <v>1</v>
      </c>
      <c r="L290" s="350">
        <f t="shared" si="160"/>
        <v>2000</v>
      </c>
      <c r="M290" s="356">
        <f t="shared" si="161"/>
        <v>2200</v>
      </c>
      <c r="N290" s="18" t="s">
        <v>20</v>
      </c>
      <c r="O290" s="439"/>
      <c r="P290" s="18" t="s">
        <v>5290</v>
      </c>
      <c r="Q290" s="18" t="s">
        <v>5290</v>
      </c>
      <c r="R290" s="18" t="s">
        <v>5290</v>
      </c>
      <c r="V290" s="37"/>
      <c r="W290" s="354"/>
      <c r="X290" s="355"/>
      <c r="Y290" s="355"/>
      <c r="Z290" s="355"/>
      <c r="AA290" s="355"/>
      <c r="AB290" s="37"/>
      <c r="AC290" s="37"/>
    </row>
    <row r="291" spans="1:29" s="67" customFormat="1" ht="21.75" customHeight="1" x14ac:dyDescent="0.4">
      <c r="A291" s="258">
        <v>45898</v>
      </c>
      <c r="B291" s="32" t="s">
        <v>5284</v>
      </c>
      <c r="C291" s="32" t="s">
        <v>5289</v>
      </c>
      <c r="D291" s="18" t="s">
        <v>5292</v>
      </c>
      <c r="E291" s="18" t="s">
        <v>5293</v>
      </c>
      <c r="F291" s="18" t="s">
        <v>5294</v>
      </c>
      <c r="G291" s="63" t="s">
        <v>5295</v>
      </c>
      <c r="H291" s="350">
        <v>1500</v>
      </c>
      <c r="I291" s="353"/>
      <c r="J291" s="350">
        <f t="shared" si="150"/>
        <v>1500</v>
      </c>
      <c r="K291" s="18">
        <v>1</v>
      </c>
      <c r="L291" s="350">
        <f t="shared" si="160"/>
        <v>1500</v>
      </c>
      <c r="M291" s="356">
        <f t="shared" si="161"/>
        <v>1650</v>
      </c>
      <c r="N291" s="18" t="s">
        <v>1121</v>
      </c>
      <c r="O291" s="439"/>
      <c r="P291" s="18"/>
      <c r="Q291" s="18" t="s">
        <v>2595</v>
      </c>
      <c r="R291" s="18" t="s">
        <v>2595</v>
      </c>
      <c r="V291" s="37"/>
      <c r="W291" s="354"/>
      <c r="X291" s="355"/>
      <c r="Y291" s="355"/>
      <c r="Z291" s="355"/>
      <c r="AA291" s="355"/>
      <c r="AB291" s="37"/>
      <c r="AC291" s="37"/>
    </row>
    <row r="292" spans="1:29" s="67" customFormat="1" ht="21.75" customHeight="1" x14ac:dyDescent="0.4">
      <c r="A292" s="258">
        <v>45898</v>
      </c>
      <c r="B292" s="32" t="s">
        <v>5296</v>
      </c>
      <c r="C292" s="32" t="s">
        <v>5289</v>
      </c>
      <c r="D292" s="18" t="s">
        <v>27</v>
      </c>
      <c r="E292" s="18" t="s">
        <v>28</v>
      </c>
      <c r="F292" s="18"/>
      <c r="G292" s="63" t="s">
        <v>5298</v>
      </c>
      <c r="H292" s="350">
        <v>12250</v>
      </c>
      <c r="I292" s="353"/>
      <c r="J292" s="350">
        <f t="shared" ref="J292" si="164">SUM(H292:I292)</f>
        <v>12250</v>
      </c>
      <c r="K292" s="18">
        <v>1</v>
      </c>
      <c r="L292" s="350">
        <f t="shared" ref="L292" si="165">SUM(J292*K292)</f>
        <v>12250</v>
      </c>
      <c r="M292" s="356">
        <f t="shared" ref="M292" si="166">ROUNDDOWN(L292*1.1,0)</f>
        <v>13475</v>
      </c>
      <c r="N292" s="18" t="s">
        <v>1516</v>
      </c>
      <c r="O292" s="439" t="s">
        <v>5297</v>
      </c>
      <c r="P292" s="18"/>
      <c r="Q292" s="18"/>
      <c r="R292" s="18"/>
      <c r="V292" s="37"/>
      <c r="W292" s="354"/>
      <c r="X292" s="355"/>
      <c r="Y292" s="355"/>
      <c r="Z292" s="355"/>
      <c r="AA292" s="355"/>
      <c r="AB292" s="37"/>
      <c r="AC292" s="37"/>
    </row>
    <row r="293" spans="1:29" s="67" customFormat="1" ht="21.75" customHeight="1" x14ac:dyDescent="0.4">
      <c r="A293" s="258">
        <v>45898</v>
      </c>
      <c r="B293" s="32" t="s">
        <v>5296</v>
      </c>
      <c r="C293" s="32" t="s">
        <v>5289</v>
      </c>
      <c r="D293" s="18" t="s">
        <v>27</v>
      </c>
      <c r="E293" s="18" t="s">
        <v>28</v>
      </c>
      <c r="F293" s="18"/>
      <c r="G293" s="63" t="s">
        <v>318</v>
      </c>
      <c r="H293" s="350">
        <v>15000</v>
      </c>
      <c r="I293" s="353">
        <v>-5000</v>
      </c>
      <c r="J293" s="350">
        <f t="shared" ref="J293:J296" si="167">SUM(H293:I293)</f>
        <v>10000</v>
      </c>
      <c r="K293" s="18">
        <v>1</v>
      </c>
      <c r="L293" s="350">
        <f t="shared" ref="L293:L296" si="168">SUM(J293*K293)</f>
        <v>10000</v>
      </c>
      <c r="M293" s="356">
        <f t="shared" ref="M293:M295" si="169">ROUNDDOWN(L293*1.1,0)</f>
        <v>11000</v>
      </c>
      <c r="N293" s="18" t="s">
        <v>1516</v>
      </c>
      <c r="O293" s="439"/>
      <c r="P293" s="18"/>
      <c r="Q293" s="18"/>
      <c r="R293" s="18"/>
      <c r="V293" s="37"/>
      <c r="W293" s="354"/>
      <c r="X293" s="355"/>
      <c r="Y293" s="355"/>
      <c r="Z293" s="355"/>
      <c r="AA293" s="355"/>
      <c r="AB293" s="37"/>
      <c r="AC293" s="37"/>
    </row>
    <row r="294" spans="1:29" s="67" customFormat="1" ht="21.75" customHeight="1" x14ac:dyDescent="0.4">
      <c r="A294" s="258">
        <v>45898</v>
      </c>
      <c r="B294" s="32" t="s">
        <v>5299</v>
      </c>
      <c r="C294" s="32" t="s">
        <v>5289</v>
      </c>
      <c r="D294" s="18" t="s">
        <v>27</v>
      </c>
      <c r="E294" s="18" t="s">
        <v>28</v>
      </c>
      <c r="F294" s="18"/>
      <c r="G294" s="63" t="s">
        <v>5036</v>
      </c>
      <c r="H294" s="350">
        <v>17500</v>
      </c>
      <c r="I294" s="353"/>
      <c r="J294" s="350">
        <f t="shared" si="167"/>
        <v>17500</v>
      </c>
      <c r="K294" s="18">
        <v>1</v>
      </c>
      <c r="L294" s="350">
        <f t="shared" si="168"/>
        <v>17500</v>
      </c>
      <c r="M294" s="356">
        <f t="shared" si="169"/>
        <v>19250</v>
      </c>
      <c r="N294" s="18" t="s">
        <v>20</v>
      </c>
      <c r="O294" s="439" t="s">
        <v>5300</v>
      </c>
      <c r="P294" s="18"/>
      <c r="Q294" s="18"/>
      <c r="R294" s="18"/>
      <c r="V294" s="37"/>
      <c r="W294" s="354"/>
      <c r="X294" s="355"/>
      <c r="Y294" s="355"/>
      <c r="Z294" s="355"/>
      <c r="AA294" s="355"/>
      <c r="AB294" s="37"/>
      <c r="AC294" s="37"/>
    </row>
    <row r="295" spans="1:29" s="67" customFormat="1" ht="21.75" customHeight="1" x14ac:dyDescent="0.4">
      <c r="A295" s="258">
        <v>45898</v>
      </c>
      <c r="B295" s="32" t="s">
        <v>4865</v>
      </c>
      <c r="C295" s="32" t="s">
        <v>2557</v>
      </c>
      <c r="D295" s="18" t="s">
        <v>22</v>
      </c>
      <c r="E295" s="18" t="s">
        <v>1496</v>
      </c>
      <c r="F295" s="18"/>
      <c r="G295" s="63" t="s">
        <v>4869</v>
      </c>
      <c r="H295" s="350">
        <v>2000</v>
      </c>
      <c r="I295" s="353"/>
      <c r="J295" s="350">
        <f t="shared" si="167"/>
        <v>2000</v>
      </c>
      <c r="K295" s="18">
        <v>1</v>
      </c>
      <c r="L295" s="350">
        <f t="shared" si="168"/>
        <v>2000</v>
      </c>
      <c r="M295" s="356">
        <f t="shared" si="169"/>
        <v>2200</v>
      </c>
      <c r="N295" s="18" t="s">
        <v>20</v>
      </c>
      <c r="O295" s="439"/>
      <c r="P295" s="18" t="s">
        <v>5290</v>
      </c>
      <c r="Q295" s="18" t="s">
        <v>5290</v>
      </c>
      <c r="R295" s="18" t="s">
        <v>5290</v>
      </c>
      <c r="V295" s="37"/>
      <c r="W295" s="354"/>
      <c r="X295" s="355"/>
      <c r="Y295" s="355"/>
      <c r="Z295" s="355"/>
      <c r="AA295" s="355"/>
      <c r="AB295" s="37"/>
      <c r="AC295" s="37"/>
    </row>
    <row r="296" spans="1:29" s="67" customFormat="1" ht="21.75" customHeight="1" x14ac:dyDescent="0.4">
      <c r="A296" s="258">
        <v>45898</v>
      </c>
      <c r="B296" s="32" t="s">
        <v>5302</v>
      </c>
      <c r="C296" s="32" t="s">
        <v>5289</v>
      </c>
      <c r="D296" s="18" t="s">
        <v>5292</v>
      </c>
      <c r="E296" s="18" t="s">
        <v>328</v>
      </c>
      <c r="F296" s="18" t="s">
        <v>788</v>
      </c>
      <c r="G296" s="63" t="s">
        <v>5301</v>
      </c>
      <c r="H296" s="350">
        <v>40000</v>
      </c>
      <c r="I296" s="353">
        <v>-12000</v>
      </c>
      <c r="J296" s="350">
        <f t="shared" si="167"/>
        <v>28000</v>
      </c>
      <c r="K296" s="18">
        <v>1</v>
      </c>
      <c r="L296" s="350">
        <f t="shared" si="168"/>
        <v>28000</v>
      </c>
      <c r="M296" s="356">
        <f t="shared" si="161"/>
        <v>30800</v>
      </c>
      <c r="N296" s="18" t="s">
        <v>1121</v>
      </c>
      <c r="O296" s="439"/>
      <c r="P296" s="18" t="s">
        <v>5290</v>
      </c>
      <c r="Q296" s="18" t="s">
        <v>5290</v>
      </c>
      <c r="R296" s="18" t="s">
        <v>5290</v>
      </c>
      <c r="V296" s="37"/>
      <c r="W296" s="354"/>
      <c r="X296" s="355"/>
      <c r="Y296" s="355"/>
      <c r="Z296" s="355"/>
      <c r="AA296" s="355"/>
      <c r="AB296" s="37"/>
      <c r="AC296" s="37"/>
    </row>
    <row r="297" spans="1:29" s="67" customFormat="1" ht="21.75" customHeight="1" x14ac:dyDescent="0.4">
      <c r="A297" s="258">
        <v>45898</v>
      </c>
      <c r="B297" s="32" t="s">
        <v>5302</v>
      </c>
      <c r="C297" s="32" t="s">
        <v>5289</v>
      </c>
      <c r="D297" s="18" t="s">
        <v>5292</v>
      </c>
      <c r="E297" s="18" t="s">
        <v>330</v>
      </c>
      <c r="F297" s="258" t="s">
        <v>661</v>
      </c>
      <c r="G297" s="63" t="s">
        <v>5303</v>
      </c>
      <c r="H297" s="350">
        <v>5000</v>
      </c>
      <c r="I297" s="353">
        <v>0</v>
      </c>
      <c r="J297" s="350">
        <f t="shared" ref="J297:J299" si="170">SUM(H297:I297)</f>
        <v>5000</v>
      </c>
      <c r="K297" s="18">
        <v>1</v>
      </c>
      <c r="L297" s="350">
        <f t="shared" ref="L297:L298" si="171">SUM(J297*K297)</f>
        <v>5000</v>
      </c>
      <c r="M297" s="356">
        <f t="shared" ref="M297:M298" si="172">ROUNDDOWN(L297*1.1,0)</f>
        <v>5500</v>
      </c>
      <c r="N297" s="18" t="s">
        <v>1121</v>
      </c>
      <c r="O297" s="439"/>
      <c r="P297" s="18" t="s">
        <v>5290</v>
      </c>
      <c r="Q297" s="18" t="s">
        <v>5290</v>
      </c>
      <c r="R297" s="18" t="s">
        <v>5290</v>
      </c>
      <c r="V297" s="37"/>
      <c r="W297" s="354"/>
      <c r="X297" s="355"/>
      <c r="Y297" s="355"/>
      <c r="Z297" s="355"/>
      <c r="AA297" s="355"/>
      <c r="AB297" s="37"/>
      <c r="AC297" s="37"/>
    </row>
    <row r="298" spans="1:29" s="67" customFormat="1" ht="21.75" customHeight="1" x14ac:dyDescent="0.4">
      <c r="A298" s="258">
        <v>45899</v>
      </c>
      <c r="B298" s="32" t="s">
        <v>5310</v>
      </c>
      <c r="C298" s="32" t="s">
        <v>5311</v>
      </c>
      <c r="D298" s="18" t="s">
        <v>22</v>
      </c>
      <c r="E298" s="18" t="s">
        <v>260</v>
      </c>
      <c r="F298" s="18"/>
      <c r="G298" s="63" t="s">
        <v>264</v>
      </c>
      <c r="H298" s="350">
        <v>15000</v>
      </c>
      <c r="I298" s="353"/>
      <c r="J298" s="350">
        <f t="shared" si="170"/>
        <v>15000</v>
      </c>
      <c r="K298" s="18">
        <v>1</v>
      </c>
      <c r="L298" s="350">
        <f t="shared" si="171"/>
        <v>15000</v>
      </c>
      <c r="M298" s="356">
        <f t="shared" si="172"/>
        <v>16500</v>
      </c>
      <c r="N298" s="18" t="s">
        <v>1516</v>
      </c>
      <c r="O298" s="454" t="s">
        <v>6433</v>
      </c>
      <c r="P298" s="18" t="s">
        <v>2595</v>
      </c>
      <c r="Q298" s="18" t="s">
        <v>2595</v>
      </c>
      <c r="R298" s="18" t="s">
        <v>2595</v>
      </c>
      <c r="V298" s="37"/>
      <c r="W298" s="354"/>
      <c r="X298" s="355"/>
      <c r="Y298" s="355"/>
      <c r="Z298" s="355"/>
      <c r="AA298" s="355"/>
      <c r="AB298" s="37"/>
      <c r="AC298" s="37"/>
    </row>
    <row r="299" spans="1:29" s="67" customFormat="1" ht="21.75" customHeight="1" x14ac:dyDescent="0.4">
      <c r="A299" s="258">
        <v>45899</v>
      </c>
      <c r="B299" s="32" t="s">
        <v>5310</v>
      </c>
      <c r="C299" s="32" t="s">
        <v>405</v>
      </c>
      <c r="D299" s="18" t="s">
        <v>5312</v>
      </c>
      <c r="E299" s="18" t="s">
        <v>328</v>
      </c>
      <c r="F299" s="18" t="s">
        <v>5313</v>
      </c>
      <c r="G299" s="63" t="s">
        <v>5314</v>
      </c>
      <c r="H299" s="350">
        <v>55000</v>
      </c>
      <c r="I299" s="353">
        <v>-11000</v>
      </c>
      <c r="J299" s="350">
        <f t="shared" si="170"/>
        <v>44000</v>
      </c>
      <c r="K299" s="18">
        <v>1</v>
      </c>
      <c r="L299" s="350">
        <f t="shared" si="160"/>
        <v>44000</v>
      </c>
      <c r="M299" s="356">
        <f t="shared" si="161"/>
        <v>48400</v>
      </c>
      <c r="N299" s="18" t="s">
        <v>1121</v>
      </c>
      <c r="O299" s="439"/>
      <c r="P299" s="18" t="s">
        <v>2595</v>
      </c>
      <c r="Q299" s="18" t="s">
        <v>2595</v>
      </c>
      <c r="R299" s="18" t="s">
        <v>2595</v>
      </c>
      <c r="V299" s="37"/>
      <c r="W299" s="354"/>
      <c r="X299" s="355"/>
      <c r="Y299" s="355"/>
      <c r="Z299" s="355"/>
      <c r="AA299" s="355"/>
      <c r="AB299" s="37"/>
      <c r="AC299" s="37"/>
    </row>
    <row r="300" spans="1:29" s="67" customFormat="1" ht="21.75" customHeight="1" x14ac:dyDescent="0.4">
      <c r="A300" s="258">
        <v>45900</v>
      </c>
      <c r="B300" s="32" t="s">
        <v>5310</v>
      </c>
      <c r="C300" s="32" t="s">
        <v>405</v>
      </c>
      <c r="D300" s="18" t="s">
        <v>5312</v>
      </c>
      <c r="E300" s="18" t="s">
        <v>332</v>
      </c>
      <c r="F300" s="18" t="s">
        <v>3553</v>
      </c>
      <c r="G300" s="63" t="s">
        <v>5315</v>
      </c>
      <c r="H300" s="350">
        <v>1500</v>
      </c>
      <c r="I300" s="353"/>
      <c r="J300" s="350">
        <f t="shared" ref="J300:J371" si="173">SUM(H300:I300)</f>
        <v>1500</v>
      </c>
      <c r="K300" s="18">
        <v>1</v>
      </c>
      <c r="L300" s="350">
        <f t="shared" ref="L300" si="174">SUM(J300*K300)</f>
        <v>1500</v>
      </c>
      <c r="M300" s="356">
        <f t="shared" ref="M300" si="175">ROUNDDOWN(L300*1.1,0)</f>
        <v>1650</v>
      </c>
      <c r="N300" s="18" t="s">
        <v>1121</v>
      </c>
      <c r="O300" s="439"/>
      <c r="P300" s="18" t="s">
        <v>2595</v>
      </c>
      <c r="Q300" s="18" t="s">
        <v>2595</v>
      </c>
      <c r="R300" s="18" t="s">
        <v>2595</v>
      </c>
      <c r="V300" s="37"/>
      <c r="W300" s="354"/>
      <c r="X300" s="355"/>
      <c r="Y300" s="355"/>
      <c r="Z300" s="355"/>
      <c r="AA300" s="355"/>
      <c r="AB300" s="37"/>
      <c r="AC300" s="37"/>
    </row>
    <row r="301" spans="1:29" ht="21.75" customHeight="1" x14ac:dyDescent="0.4">
      <c r="A301" s="258">
        <v>45900</v>
      </c>
      <c r="B301" s="32" t="s">
        <v>4865</v>
      </c>
      <c r="C301" s="32" t="s">
        <v>2557</v>
      </c>
      <c r="D301" s="18" t="s">
        <v>22</v>
      </c>
      <c r="E301" s="18" t="s">
        <v>1496</v>
      </c>
      <c r="F301" s="18"/>
      <c r="G301" s="63" t="s">
        <v>4869</v>
      </c>
      <c r="H301" s="350">
        <v>2000</v>
      </c>
      <c r="I301" s="353"/>
      <c r="J301" s="350">
        <f t="shared" ref="J301" si="176">SUM(H301:I301)</f>
        <v>2000</v>
      </c>
      <c r="K301" s="18">
        <v>2</v>
      </c>
      <c r="L301" s="350">
        <f>SUM(J301*K301)</f>
        <v>4000</v>
      </c>
      <c r="M301" s="356">
        <f>ROUNDDOWN(L301*1.1,0)</f>
        <v>4400</v>
      </c>
      <c r="N301" s="18" t="s">
        <v>20</v>
      </c>
      <c r="O301" s="439"/>
      <c r="P301" s="18" t="s">
        <v>2595</v>
      </c>
      <c r="Q301" s="18" t="s">
        <v>2595</v>
      </c>
      <c r="R301" s="18" t="s">
        <v>2595</v>
      </c>
    </row>
    <row r="302" spans="1:29" s="67" customFormat="1" ht="21.75" customHeight="1" x14ac:dyDescent="0.4">
      <c r="A302" s="258">
        <v>45901</v>
      </c>
      <c r="B302" s="32" t="s">
        <v>5318</v>
      </c>
      <c r="C302" s="32" t="s">
        <v>405</v>
      </c>
      <c r="D302" s="18" t="s">
        <v>22</v>
      </c>
      <c r="E302" s="18" t="s">
        <v>260</v>
      </c>
      <c r="F302" s="18"/>
      <c r="G302" s="63" t="s">
        <v>261</v>
      </c>
      <c r="H302" s="350">
        <v>20000</v>
      </c>
      <c r="I302" s="353"/>
      <c r="J302" s="350">
        <f t="shared" si="173"/>
        <v>20000</v>
      </c>
      <c r="K302" s="18">
        <v>1</v>
      </c>
      <c r="L302" s="350">
        <f t="shared" si="160"/>
        <v>20000</v>
      </c>
      <c r="M302" s="356">
        <f t="shared" si="161"/>
        <v>22000</v>
      </c>
      <c r="N302" s="18" t="s">
        <v>5319</v>
      </c>
      <c r="O302" s="439"/>
      <c r="P302" s="18" t="s">
        <v>5320</v>
      </c>
      <c r="Q302" s="18" t="s">
        <v>5321</v>
      </c>
      <c r="R302" s="18" t="s">
        <v>5321</v>
      </c>
      <c r="V302" s="37"/>
      <c r="W302" s="354"/>
      <c r="X302" s="355"/>
      <c r="Y302" s="355"/>
      <c r="Z302" s="355"/>
      <c r="AA302" s="355"/>
      <c r="AB302" s="37"/>
      <c r="AC302" s="37"/>
    </row>
    <row r="303" spans="1:29" s="67" customFormat="1" ht="21.75" customHeight="1" x14ac:dyDescent="0.4">
      <c r="A303" s="258">
        <v>45901</v>
      </c>
      <c r="B303" s="32" t="s">
        <v>5318</v>
      </c>
      <c r="C303" s="18" t="s">
        <v>405</v>
      </c>
      <c r="D303" s="96" t="s">
        <v>198</v>
      </c>
      <c r="E303" s="18"/>
      <c r="F303" s="18"/>
      <c r="G303" s="63" t="s">
        <v>2491</v>
      </c>
      <c r="H303" s="350">
        <v>-15000</v>
      </c>
      <c r="I303" s="353"/>
      <c r="J303" s="350">
        <f t="shared" si="173"/>
        <v>-15000</v>
      </c>
      <c r="K303" s="18">
        <v>1</v>
      </c>
      <c r="L303" s="350">
        <f t="shared" si="160"/>
        <v>-15000</v>
      </c>
      <c r="M303" s="358">
        <f t="shared" si="161"/>
        <v>-16500</v>
      </c>
      <c r="N303" s="18" t="s">
        <v>34</v>
      </c>
      <c r="O303" s="439"/>
      <c r="P303" s="18" t="s">
        <v>5320</v>
      </c>
      <c r="Q303" s="18" t="s">
        <v>5321</v>
      </c>
      <c r="R303" s="18" t="s">
        <v>5321</v>
      </c>
      <c r="V303" s="37"/>
      <c r="W303" s="354"/>
      <c r="X303" s="355"/>
      <c r="Y303" s="355"/>
      <c r="Z303" s="355"/>
      <c r="AA303" s="355"/>
      <c r="AB303" s="37"/>
      <c r="AC303" s="37"/>
    </row>
    <row r="304" spans="1:29" s="67" customFormat="1" ht="21.75" customHeight="1" x14ac:dyDescent="0.4">
      <c r="A304" s="258">
        <v>45901</v>
      </c>
      <c r="B304" s="32" t="s">
        <v>5318</v>
      </c>
      <c r="C304" s="18" t="s">
        <v>405</v>
      </c>
      <c r="D304" s="18" t="s">
        <v>17</v>
      </c>
      <c r="E304" s="18" t="s">
        <v>328</v>
      </c>
      <c r="F304" s="18" t="s">
        <v>3598</v>
      </c>
      <c r="G304" s="63" t="s">
        <v>3874</v>
      </c>
      <c r="H304" s="350">
        <v>70000</v>
      </c>
      <c r="I304" s="353">
        <v>-14000</v>
      </c>
      <c r="J304" s="350">
        <f t="shared" si="173"/>
        <v>56000</v>
      </c>
      <c r="K304" s="18">
        <v>1</v>
      </c>
      <c r="L304" s="350">
        <f t="shared" si="160"/>
        <v>56000</v>
      </c>
      <c r="M304" s="356">
        <f t="shared" si="161"/>
        <v>61600</v>
      </c>
      <c r="N304" s="18" t="s">
        <v>34</v>
      </c>
      <c r="O304" s="439"/>
      <c r="P304" s="18" t="s">
        <v>5320</v>
      </c>
      <c r="Q304" s="18" t="s">
        <v>5321</v>
      </c>
      <c r="R304" s="18" t="s">
        <v>5321</v>
      </c>
      <c r="V304" s="37"/>
      <c r="W304" s="354"/>
      <c r="X304" s="355"/>
      <c r="Y304" s="355"/>
      <c r="Z304" s="355"/>
      <c r="AA304" s="355"/>
      <c r="AB304" s="37"/>
      <c r="AC304" s="37"/>
    </row>
    <row r="305" spans="1:29" s="67" customFormat="1" ht="21.75" customHeight="1" x14ac:dyDescent="0.4">
      <c r="A305" s="258">
        <v>45901</v>
      </c>
      <c r="B305" s="32" t="s">
        <v>5318</v>
      </c>
      <c r="C305" s="18" t="s">
        <v>405</v>
      </c>
      <c r="D305" s="18" t="s">
        <v>17</v>
      </c>
      <c r="E305" s="18" t="s">
        <v>328</v>
      </c>
      <c r="F305" s="18" t="s">
        <v>3598</v>
      </c>
      <c r="G305" s="63" t="s">
        <v>4100</v>
      </c>
      <c r="H305" s="350">
        <v>45000</v>
      </c>
      <c r="I305" s="353">
        <v>-9000</v>
      </c>
      <c r="J305" s="350">
        <f t="shared" si="173"/>
        <v>36000</v>
      </c>
      <c r="K305" s="18">
        <v>1</v>
      </c>
      <c r="L305" s="350">
        <f t="shared" si="160"/>
        <v>36000</v>
      </c>
      <c r="M305" s="356">
        <f t="shared" si="161"/>
        <v>39600</v>
      </c>
      <c r="N305" s="18" t="s">
        <v>34</v>
      </c>
      <c r="O305" s="439"/>
      <c r="P305" s="18" t="s">
        <v>5320</v>
      </c>
      <c r="Q305" s="18" t="s">
        <v>5321</v>
      </c>
      <c r="R305" s="18" t="s">
        <v>5321</v>
      </c>
      <c r="V305" s="37"/>
      <c r="W305" s="354"/>
      <c r="X305" s="355"/>
      <c r="Y305" s="355"/>
      <c r="Z305" s="355"/>
      <c r="AA305" s="355"/>
      <c r="AB305" s="37"/>
      <c r="AC305" s="37"/>
    </row>
    <row r="306" spans="1:29" s="67" customFormat="1" ht="21.75" customHeight="1" x14ac:dyDescent="0.4">
      <c r="A306" s="258">
        <v>45901</v>
      </c>
      <c r="B306" s="32" t="s">
        <v>5318</v>
      </c>
      <c r="C306" s="18" t="s">
        <v>405</v>
      </c>
      <c r="D306" s="18" t="s">
        <v>17</v>
      </c>
      <c r="E306" s="18" t="s">
        <v>576</v>
      </c>
      <c r="F306" s="18" t="s">
        <v>3543</v>
      </c>
      <c r="G306" s="63" t="s">
        <v>5322</v>
      </c>
      <c r="H306" s="350">
        <v>61000</v>
      </c>
      <c r="I306" s="353">
        <v>-6100</v>
      </c>
      <c r="J306" s="350">
        <f t="shared" si="173"/>
        <v>54900</v>
      </c>
      <c r="K306" s="18">
        <v>1</v>
      </c>
      <c r="L306" s="350">
        <f t="shared" si="160"/>
        <v>54900</v>
      </c>
      <c r="M306" s="356">
        <f t="shared" si="161"/>
        <v>60390</v>
      </c>
      <c r="N306" s="18" t="s">
        <v>34</v>
      </c>
      <c r="O306" s="439"/>
      <c r="P306" s="18" t="s">
        <v>5320</v>
      </c>
      <c r="Q306" s="18" t="s">
        <v>5321</v>
      </c>
      <c r="R306" s="18" t="s">
        <v>5321</v>
      </c>
      <c r="V306" s="37"/>
      <c r="W306" s="354"/>
      <c r="X306" s="355"/>
      <c r="Y306" s="355"/>
      <c r="Z306" s="355"/>
      <c r="AA306" s="355"/>
      <c r="AB306" s="37"/>
      <c r="AC306" s="37"/>
    </row>
    <row r="307" spans="1:29" s="67" customFormat="1" ht="21.75" customHeight="1" x14ac:dyDescent="0.4">
      <c r="A307" s="258">
        <v>45901</v>
      </c>
      <c r="B307" s="32" t="s">
        <v>5318</v>
      </c>
      <c r="C307" s="18" t="s">
        <v>405</v>
      </c>
      <c r="D307" s="18" t="s">
        <v>17</v>
      </c>
      <c r="E307" s="18" t="s">
        <v>332</v>
      </c>
      <c r="F307" s="18" t="s">
        <v>3554</v>
      </c>
      <c r="G307" s="63" t="s">
        <v>5047</v>
      </c>
      <c r="H307" s="350">
        <v>1300</v>
      </c>
      <c r="I307" s="353"/>
      <c r="J307" s="350">
        <v>1300</v>
      </c>
      <c r="K307" s="18">
        <v>2</v>
      </c>
      <c r="L307" s="350">
        <f t="shared" si="160"/>
        <v>2600</v>
      </c>
      <c r="M307" s="356">
        <f t="shared" si="161"/>
        <v>2860</v>
      </c>
      <c r="N307" s="18" t="s">
        <v>34</v>
      </c>
      <c r="O307" s="439"/>
      <c r="P307" s="18" t="s">
        <v>5320</v>
      </c>
      <c r="Q307" s="18" t="s">
        <v>5321</v>
      </c>
      <c r="R307" s="18" t="s">
        <v>5321</v>
      </c>
      <c r="V307" s="37"/>
      <c r="W307" s="354"/>
      <c r="X307" s="355"/>
      <c r="Y307" s="355"/>
      <c r="Z307" s="355"/>
      <c r="AA307" s="355"/>
      <c r="AB307" s="37"/>
      <c r="AC307" s="37"/>
    </row>
    <row r="308" spans="1:29" s="67" customFormat="1" ht="21.75" customHeight="1" x14ac:dyDescent="0.4">
      <c r="A308" s="258">
        <v>45903</v>
      </c>
      <c r="B308" s="32" t="s">
        <v>67</v>
      </c>
      <c r="C308" s="32" t="s">
        <v>5324</v>
      </c>
      <c r="D308" s="18" t="s">
        <v>17</v>
      </c>
      <c r="E308" s="18" t="s">
        <v>18</v>
      </c>
      <c r="F308" s="18" t="s">
        <v>3920</v>
      </c>
      <c r="G308" s="63" t="s">
        <v>5325</v>
      </c>
      <c r="H308" s="350">
        <v>2070</v>
      </c>
      <c r="I308" s="353">
        <v>-620</v>
      </c>
      <c r="J308" s="350">
        <f t="shared" si="173"/>
        <v>1450</v>
      </c>
      <c r="K308" s="18">
        <v>1</v>
      </c>
      <c r="L308" s="350">
        <f t="shared" si="160"/>
        <v>1450</v>
      </c>
      <c r="M308" s="356">
        <f t="shared" si="161"/>
        <v>1595</v>
      </c>
      <c r="N308" s="18" t="s">
        <v>1516</v>
      </c>
      <c r="O308" s="439"/>
      <c r="P308" s="18"/>
      <c r="Q308" s="18" t="s">
        <v>5327</v>
      </c>
      <c r="R308" s="18" t="s">
        <v>5328</v>
      </c>
      <c r="V308" s="37"/>
      <c r="W308" s="354"/>
      <c r="X308" s="355"/>
      <c r="Y308" s="355"/>
      <c r="Z308" s="355"/>
      <c r="AA308" s="355"/>
      <c r="AB308" s="37"/>
      <c r="AC308" s="37"/>
    </row>
    <row r="309" spans="1:29" s="67" customFormat="1" ht="21.75" customHeight="1" x14ac:dyDescent="0.4">
      <c r="A309" s="258">
        <v>45903</v>
      </c>
      <c r="B309" s="32" t="s">
        <v>5323</v>
      </c>
      <c r="C309" s="32" t="s">
        <v>5324</v>
      </c>
      <c r="D309" s="18" t="s">
        <v>17</v>
      </c>
      <c r="E309" s="18" t="s">
        <v>18</v>
      </c>
      <c r="F309" s="18" t="s">
        <v>994</v>
      </c>
      <c r="G309" s="63" t="s">
        <v>5326</v>
      </c>
      <c r="H309" s="350">
        <v>1800</v>
      </c>
      <c r="I309" s="353">
        <v>-720</v>
      </c>
      <c r="J309" s="350">
        <f t="shared" si="173"/>
        <v>1080</v>
      </c>
      <c r="K309" s="18">
        <v>1</v>
      </c>
      <c r="L309" s="350">
        <f t="shared" si="160"/>
        <v>1080</v>
      </c>
      <c r="M309" s="356">
        <f t="shared" si="161"/>
        <v>1188</v>
      </c>
      <c r="N309" s="18" t="s">
        <v>1516</v>
      </c>
      <c r="O309" s="439"/>
      <c r="P309" s="18"/>
      <c r="Q309" s="18" t="s">
        <v>2595</v>
      </c>
      <c r="R309" s="18" t="s">
        <v>5328</v>
      </c>
      <c r="S309" s="375"/>
      <c r="V309" s="37"/>
      <c r="W309" s="354"/>
      <c r="X309" s="355"/>
      <c r="Y309" s="355"/>
      <c r="Z309" s="355"/>
      <c r="AA309" s="355"/>
      <c r="AB309" s="37"/>
      <c r="AC309" s="37"/>
    </row>
    <row r="310" spans="1:29" s="67" customFormat="1" ht="18.75" x14ac:dyDescent="0.4">
      <c r="A310" s="258">
        <v>45905</v>
      </c>
      <c r="B310" s="32" t="s">
        <v>5329</v>
      </c>
      <c r="C310" s="32" t="s">
        <v>405</v>
      </c>
      <c r="D310" s="18" t="s">
        <v>22</v>
      </c>
      <c r="E310" s="18" t="s">
        <v>1496</v>
      </c>
      <c r="F310" s="18"/>
      <c r="G310" s="63" t="s">
        <v>2422</v>
      </c>
      <c r="H310" s="350">
        <v>2000</v>
      </c>
      <c r="I310" s="353"/>
      <c r="J310" s="350">
        <f t="shared" si="173"/>
        <v>2000</v>
      </c>
      <c r="K310" s="18">
        <v>1</v>
      </c>
      <c r="L310" s="350">
        <f t="shared" si="160"/>
        <v>2000</v>
      </c>
      <c r="M310" s="356">
        <f t="shared" si="161"/>
        <v>2200</v>
      </c>
      <c r="N310" s="18" t="s">
        <v>20</v>
      </c>
      <c r="O310" s="439"/>
      <c r="P310" s="18" t="s">
        <v>5330</v>
      </c>
      <c r="Q310" s="18" t="s">
        <v>5331</v>
      </c>
      <c r="R310" s="18" t="s">
        <v>4803</v>
      </c>
      <c r="S310" s="375"/>
      <c r="V310" s="37"/>
      <c r="W310" s="354"/>
      <c r="X310" s="355"/>
      <c r="Y310" s="355"/>
      <c r="Z310" s="355"/>
      <c r="AA310" s="355"/>
      <c r="AB310" s="37"/>
      <c r="AC310" s="37"/>
    </row>
    <row r="311" spans="1:29" s="67" customFormat="1" ht="21.75" customHeight="1" x14ac:dyDescent="0.4">
      <c r="A311" s="258">
        <v>45905</v>
      </c>
      <c r="B311" s="32" t="s">
        <v>4865</v>
      </c>
      <c r="C311" s="32" t="s">
        <v>2557</v>
      </c>
      <c r="D311" s="18" t="s">
        <v>22</v>
      </c>
      <c r="E311" s="18" t="s">
        <v>1496</v>
      </c>
      <c r="F311" s="18"/>
      <c r="G311" s="63" t="s">
        <v>4869</v>
      </c>
      <c r="H311" s="350">
        <v>2000</v>
      </c>
      <c r="I311" s="353"/>
      <c r="J311" s="350">
        <f t="shared" si="173"/>
        <v>2000</v>
      </c>
      <c r="K311" s="18">
        <v>1</v>
      </c>
      <c r="L311" s="350">
        <f t="shared" si="160"/>
        <v>2000</v>
      </c>
      <c r="M311" s="356">
        <f t="shared" si="161"/>
        <v>2200</v>
      </c>
      <c r="N311" s="18" t="s">
        <v>20</v>
      </c>
      <c r="O311" s="439"/>
      <c r="P311" s="18" t="s">
        <v>2595</v>
      </c>
      <c r="Q311" s="18" t="s">
        <v>2595</v>
      </c>
      <c r="R311" s="18" t="s">
        <v>2595</v>
      </c>
      <c r="V311" s="37"/>
      <c r="W311" s="354"/>
      <c r="X311" s="355"/>
      <c r="Y311" s="355"/>
      <c r="Z311" s="355"/>
      <c r="AA311" s="355"/>
      <c r="AB311" s="37"/>
      <c r="AC311" s="37"/>
    </row>
    <row r="312" spans="1:29" s="67" customFormat="1" ht="21.75" customHeight="1" x14ac:dyDescent="0.4">
      <c r="A312" s="258">
        <v>45905</v>
      </c>
      <c r="B312" s="32" t="s">
        <v>5332</v>
      </c>
      <c r="C312" s="32" t="s">
        <v>2557</v>
      </c>
      <c r="D312" s="18" t="s">
        <v>17</v>
      </c>
      <c r="E312" s="18" t="s">
        <v>328</v>
      </c>
      <c r="F312" s="18" t="s">
        <v>788</v>
      </c>
      <c r="G312" s="63" t="s">
        <v>5335</v>
      </c>
      <c r="H312" s="350">
        <v>18000</v>
      </c>
      <c r="I312" s="353">
        <v>-3600</v>
      </c>
      <c r="J312" s="350">
        <f t="shared" si="173"/>
        <v>14400</v>
      </c>
      <c r="K312" s="18">
        <v>1</v>
      </c>
      <c r="L312" s="350">
        <f t="shared" si="160"/>
        <v>14400</v>
      </c>
      <c r="M312" s="356">
        <f t="shared" si="161"/>
        <v>15840</v>
      </c>
      <c r="N312" s="18" t="s">
        <v>20</v>
      </c>
      <c r="O312" s="439"/>
      <c r="P312" s="18"/>
      <c r="Q312" s="18" t="s">
        <v>2595</v>
      </c>
      <c r="R312" s="18" t="s">
        <v>5331</v>
      </c>
      <c r="V312" s="37"/>
      <c r="W312" s="354"/>
      <c r="X312" s="355"/>
      <c r="Y312" s="355"/>
      <c r="Z312" s="355"/>
      <c r="AA312" s="355"/>
      <c r="AB312" s="37"/>
      <c r="AC312" s="37"/>
    </row>
    <row r="313" spans="1:29" s="67" customFormat="1" ht="21.75" customHeight="1" x14ac:dyDescent="0.4">
      <c r="A313" s="258">
        <v>45905</v>
      </c>
      <c r="B313" s="32" t="s">
        <v>5332</v>
      </c>
      <c r="C313" s="32" t="s">
        <v>2557</v>
      </c>
      <c r="D313" s="18" t="s">
        <v>17</v>
      </c>
      <c r="E313" s="18" t="s">
        <v>332</v>
      </c>
      <c r="F313" s="18" t="s">
        <v>3550</v>
      </c>
      <c r="G313" s="63" t="s">
        <v>3575</v>
      </c>
      <c r="H313" s="350">
        <v>1700</v>
      </c>
      <c r="I313" s="353">
        <v>-170</v>
      </c>
      <c r="J313" s="350">
        <f t="shared" si="173"/>
        <v>1530</v>
      </c>
      <c r="K313" s="18">
        <v>1</v>
      </c>
      <c r="L313" s="350">
        <f t="shared" si="160"/>
        <v>1530</v>
      </c>
      <c r="M313" s="356">
        <f t="shared" si="161"/>
        <v>1683</v>
      </c>
      <c r="N313" s="18" t="s">
        <v>20</v>
      </c>
      <c r="O313" s="439"/>
      <c r="P313" s="18"/>
      <c r="Q313" s="18" t="s">
        <v>2595</v>
      </c>
      <c r="R313" s="18" t="s">
        <v>5331</v>
      </c>
      <c r="V313" s="37"/>
      <c r="W313" s="354"/>
      <c r="X313" s="355"/>
      <c r="Y313" s="355"/>
      <c r="Z313" s="355"/>
      <c r="AA313" s="355"/>
      <c r="AB313" s="37"/>
      <c r="AC313" s="37"/>
    </row>
    <row r="314" spans="1:29" s="67" customFormat="1" ht="21.75" customHeight="1" x14ac:dyDescent="0.4">
      <c r="A314" s="258">
        <v>45905</v>
      </c>
      <c r="B314" s="32" t="s">
        <v>5332</v>
      </c>
      <c r="C314" s="32" t="s">
        <v>2557</v>
      </c>
      <c r="D314" s="18" t="s">
        <v>17</v>
      </c>
      <c r="E314" s="18" t="s">
        <v>18</v>
      </c>
      <c r="F314" s="18" t="s">
        <v>994</v>
      </c>
      <c r="G314" s="63" t="s">
        <v>3798</v>
      </c>
      <c r="H314" s="350">
        <v>1800</v>
      </c>
      <c r="I314" s="353">
        <v>-180</v>
      </c>
      <c r="J314" s="350">
        <f t="shared" ref="J314" si="177">SUM(H314:I314)</f>
        <v>1620</v>
      </c>
      <c r="K314" s="18">
        <v>1</v>
      </c>
      <c r="L314" s="350">
        <f t="shared" si="160"/>
        <v>1620</v>
      </c>
      <c r="M314" s="356">
        <f t="shared" si="161"/>
        <v>1782</v>
      </c>
      <c r="N314" s="18" t="s">
        <v>20</v>
      </c>
      <c r="O314" s="439"/>
      <c r="P314" s="18"/>
      <c r="Q314" s="18" t="s">
        <v>2595</v>
      </c>
      <c r="R314" s="18" t="s">
        <v>5331</v>
      </c>
      <c r="S314" s="375"/>
      <c r="V314" s="37"/>
      <c r="W314" s="354"/>
      <c r="X314" s="355"/>
      <c r="Y314" s="355"/>
      <c r="Z314" s="355"/>
      <c r="AA314" s="355"/>
      <c r="AB314" s="37"/>
      <c r="AC314" s="37"/>
    </row>
    <row r="315" spans="1:29" s="67" customFormat="1" ht="21.75" customHeight="1" x14ac:dyDescent="0.4">
      <c r="A315" s="258">
        <v>45906</v>
      </c>
      <c r="B315" s="32" t="s">
        <v>5336</v>
      </c>
      <c r="C315" s="32" t="s">
        <v>405</v>
      </c>
      <c r="D315" s="18" t="s">
        <v>17</v>
      </c>
      <c r="E315" s="18" t="s">
        <v>455</v>
      </c>
      <c r="F315" s="18" t="s">
        <v>3552</v>
      </c>
      <c r="G315" s="63" t="s">
        <v>5341</v>
      </c>
      <c r="H315" s="350">
        <v>1800</v>
      </c>
      <c r="I315" s="353"/>
      <c r="J315" s="350">
        <f t="shared" si="173"/>
        <v>1800</v>
      </c>
      <c r="K315" s="18">
        <v>1</v>
      </c>
      <c r="L315" s="350">
        <f t="shared" si="160"/>
        <v>1800</v>
      </c>
      <c r="M315" s="356">
        <f t="shared" si="161"/>
        <v>1980</v>
      </c>
      <c r="N315" s="18" t="s">
        <v>34</v>
      </c>
      <c r="O315" s="439"/>
      <c r="P315" s="18" t="s">
        <v>2595</v>
      </c>
      <c r="Q315" s="18" t="s">
        <v>2595</v>
      </c>
      <c r="R315" s="18" t="s">
        <v>5337</v>
      </c>
      <c r="V315" s="37"/>
      <c r="W315" s="354"/>
      <c r="X315" s="355"/>
      <c r="Y315" s="355"/>
      <c r="Z315" s="355"/>
      <c r="AA315" s="355"/>
      <c r="AB315" s="37"/>
      <c r="AC315" s="37"/>
    </row>
    <row r="316" spans="1:29" s="67" customFormat="1" ht="21.75" customHeight="1" x14ac:dyDescent="0.4">
      <c r="A316" s="258">
        <v>45907</v>
      </c>
      <c r="B316" s="32" t="s">
        <v>5338</v>
      </c>
      <c r="C316" s="32" t="s">
        <v>405</v>
      </c>
      <c r="D316" s="18" t="s">
        <v>22</v>
      </c>
      <c r="E316" s="18" t="s">
        <v>260</v>
      </c>
      <c r="F316" s="18"/>
      <c r="G316" s="63" t="s">
        <v>261</v>
      </c>
      <c r="H316" s="350">
        <v>20000</v>
      </c>
      <c r="I316" s="353"/>
      <c r="J316" s="350">
        <f t="shared" ref="J316" si="178">SUM(H316:I316)</f>
        <v>20000</v>
      </c>
      <c r="K316" s="18">
        <v>1</v>
      </c>
      <c r="L316" s="350">
        <f t="shared" ref="L316" si="179">SUM(J316*K316)</f>
        <v>20000</v>
      </c>
      <c r="M316" s="356">
        <f t="shared" ref="M316" si="180">ROUNDDOWN(L316*1.1,0)</f>
        <v>22000</v>
      </c>
      <c r="N316" s="18" t="s">
        <v>20</v>
      </c>
      <c r="O316" s="439"/>
      <c r="P316" s="18" t="s">
        <v>2595</v>
      </c>
      <c r="Q316" s="18" t="s">
        <v>2595</v>
      </c>
      <c r="R316" s="18" t="s">
        <v>4803</v>
      </c>
      <c r="V316" s="37"/>
      <c r="W316" s="354"/>
      <c r="X316" s="355"/>
      <c r="Y316" s="355"/>
      <c r="Z316" s="355"/>
      <c r="AA316" s="355"/>
      <c r="AB316" s="37"/>
      <c r="AC316" s="37"/>
    </row>
    <row r="317" spans="1:29" s="67" customFormat="1" ht="21.75" customHeight="1" x14ac:dyDescent="0.4">
      <c r="A317" s="258">
        <v>45907</v>
      </c>
      <c r="B317" s="32" t="s">
        <v>5340</v>
      </c>
      <c r="C317" s="32" t="s">
        <v>4292</v>
      </c>
      <c r="D317" s="18" t="s">
        <v>17</v>
      </c>
      <c r="E317" s="18" t="s">
        <v>455</v>
      </c>
      <c r="F317" s="18" t="s">
        <v>3552</v>
      </c>
      <c r="G317" s="251" t="s">
        <v>5380</v>
      </c>
      <c r="H317" s="350">
        <v>1800</v>
      </c>
      <c r="I317" s="353">
        <v>-720</v>
      </c>
      <c r="J317" s="350">
        <f t="shared" si="173"/>
        <v>1080</v>
      </c>
      <c r="K317" s="18">
        <v>1</v>
      </c>
      <c r="L317" s="350">
        <f t="shared" si="160"/>
        <v>1080</v>
      </c>
      <c r="M317" s="356">
        <f t="shared" si="161"/>
        <v>1188</v>
      </c>
      <c r="N317" s="18" t="s">
        <v>20</v>
      </c>
      <c r="O317" s="439"/>
      <c r="P317" s="18"/>
      <c r="Q317" s="18" t="s">
        <v>2595</v>
      </c>
      <c r="R317" s="18" t="s">
        <v>4803</v>
      </c>
      <c r="V317" s="37"/>
      <c r="W317" s="354"/>
      <c r="X317" s="355"/>
      <c r="Y317" s="355"/>
      <c r="Z317" s="355"/>
      <c r="AA317" s="355"/>
      <c r="AB317" s="37"/>
      <c r="AC317" s="37"/>
    </row>
    <row r="318" spans="1:29" s="67" customFormat="1" ht="21.75" customHeight="1" x14ac:dyDescent="0.4">
      <c r="A318" s="258">
        <v>45907</v>
      </c>
      <c r="B318" s="32" t="s">
        <v>5042</v>
      </c>
      <c r="C318" s="32" t="s">
        <v>2557</v>
      </c>
      <c r="D318" s="18" t="s">
        <v>27</v>
      </c>
      <c r="E318" s="18" t="s">
        <v>28</v>
      </c>
      <c r="F318" s="18"/>
      <c r="G318" s="63" t="s">
        <v>5043</v>
      </c>
      <c r="H318" s="350">
        <v>55000</v>
      </c>
      <c r="I318" s="353"/>
      <c r="J318" s="350">
        <v>55000</v>
      </c>
      <c r="K318" s="18">
        <v>2</v>
      </c>
      <c r="L318" s="350">
        <f t="shared" ref="L318" si="181">SUM(J318*K318)</f>
        <v>110000</v>
      </c>
      <c r="M318" s="356">
        <f t="shared" ref="M318" si="182">ROUNDDOWN(L318*1.1,0)</f>
        <v>121000</v>
      </c>
      <c r="N318" s="18" t="s">
        <v>25</v>
      </c>
      <c r="O318" s="439" t="s">
        <v>5339</v>
      </c>
      <c r="P318" s="18"/>
      <c r="Q318" s="18" t="s">
        <v>2595</v>
      </c>
      <c r="R318" s="18" t="s">
        <v>4803</v>
      </c>
      <c r="S318" s="375"/>
      <c r="V318" s="37"/>
      <c r="W318" s="354"/>
      <c r="X318" s="355"/>
      <c r="Y318" s="355"/>
      <c r="Z318" s="355"/>
      <c r="AA318" s="355"/>
      <c r="AB318" s="37"/>
      <c r="AC318" s="37"/>
    </row>
    <row r="319" spans="1:29" s="67" customFormat="1" ht="21.75" customHeight="1" x14ac:dyDescent="0.4">
      <c r="A319" s="258">
        <v>45908</v>
      </c>
      <c r="B319" s="32" t="s">
        <v>4865</v>
      </c>
      <c r="C319" s="32" t="s">
        <v>2557</v>
      </c>
      <c r="D319" s="18" t="s">
        <v>22</v>
      </c>
      <c r="E319" s="18" t="s">
        <v>1496</v>
      </c>
      <c r="F319" s="18"/>
      <c r="G319" s="63" t="s">
        <v>4869</v>
      </c>
      <c r="H319" s="350">
        <v>2000</v>
      </c>
      <c r="I319" s="353"/>
      <c r="J319" s="350">
        <f t="shared" si="173"/>
        <v>2000</v>
      </c>
      <c r="K319" s="18">
        <v>1</v>
      </c>
      <c r="L319" s="350">
        <f t="shared" si="160"/>
        <v>2000</v>
      </c>
      <c r="M319" s="356">
        <f t="shared" si="161"/>
        <v>2200</v>
      </c>
      <c r="N319" s="18" t="s">
        <v>20</v>
      </c>
      <c r="O319" s="439"/>
      <c r="P319" s="18" t="s">
        <v>5343</v>
      </c>
      <c r="Q319" s="18" t="s">
        <v>2595</v>
      </c>
      <c r="R319" s="18" t="s">
        <v>4798</v>
      </c>
      <c r="V319" s="37"/>
      <c r="W319" s="354"/>
      <c r="X319" s="355"/>
      <c r="Y319" s="355"/>
      <c r="Z319" s="355"/>
      <c r="AA319" s="355"/>
      <c r="AB319" s="37"/>
      <c r="AC319" s="37"/>
    </row>
    <row r="320" spans="1:29" s="364" customFormat="1" ht="21.75" customHeight="1" x14ac:dyDescent="0.4">
      <c r="A320" s="347">
        <v>45910</v>
      </c>
      <c r="B320" s="241" t="s">
        <v>5340</v>
      </c>
      <c r="C320" s="241" t="s">
        <v>4292</v>
      </c>
      <c r="D320" s="242" t="s">
        <v>17</v>
      </c>
      <c r="E320" s="242" t="s">
        <v>455</v>
      </c>
      <c r="F320" s="242" t="s">
        <v>3552</v>
      </c>
      <c r="G320" s="251" t="s">
        <v>5381</v>
      </c>
      <c r="H320" s="368">
        <v>900</v>
      </c>
      <c r="J320" s="363">
        <v>900</v>
      </c>
      <c r="K320" s="242">
        <v>13</v>
      </c>
      <c r="L320" s="363">
        <f t="shared" si="160"/>
        <v>11700</v>
      </c>
      <c r="M320" s="369">
        <f t="shared" si="161"/>
        <v>12870</v>
      </c>
      <c r="N320" s="242" t="s">
        <v>34</v>
      </c>
      <c r="O320" s="441"/>
      <c r="P320" s="242"/>
      <c r="Q320" s="242" t="s">
        <v>2595</v>
      </c>
      <c r="R320" s="242" t="s">
        <v>4803</v>
      </c>
      <c r="V320" s="365"/>
      <c r="W320" s="366"/>
      <c r="X320" s="367"/>
      <c r="Y320" s="367"/>
      <c r="Z320" s="367"/>
      <c r="AA320" s="367"/>
      <c r="AB320" s="365"/>
      <c r="AC320" s="365"/>
    </row>
    <row r="321" spans="1:29" s="67" customFormat="1" ht="21.75" customHeight="1" x14ac:dyDescent="0.4">
      <c r="A321" s="258">
        <v>45910</v>
      </c>
      <c r="B321" s="241" t="s">
        <v>5340</v>
      </c>
      <c r="C321" s="32" t="s">
        <v>4292</v>
      </c>
      <c r="D321" s="18" t="s">
        <v>17</v>
      </c>
      <c r="E321" s="18" t="s">
        <v>887</v>
      </c>
      <c r="F321" s="18"/>
      <c r="G321" s="63" t="s">
        <v>887</v>
      </c>
      <c r="H321" s="350">
        <v>1200</v>
      </c>
      <c r="I321" s="353"/>
      <c r="J321" s="350">
        <v>1200</v>
      </c>
      <c r="K321" s="18">
        <v>1</v>
      </c>
      <c r="L321" s="350">
        <f t="shared" si="160"/>
        <v>1200</v>
      </c>
      <c r="M321" s="356">
        <f t="shared" si="161"/>
        <v>1320</v>
      </c>
      <c r="N321" s="18" t="s">
        <v>34</v>
      </c>
      <c r="O321" s="439"/>
      <c r="P321" s="18"/>
      <c r="Q321" s="18" t="s">
        <v>2595</v>
      </c>
      <c r="R321" s="18" t="s">
        <v>4803</v>
      </c>
      <c r="V321" s="37"/>
      <c r="W321" s="354"/>
      <c r="X321" s="355"/>
      <c r="Y321" s="355"/>
      <c r="Z321" s="355"/>
      <c r="AA321" s="355"/>
      <c r="AB321" s="37"/>
      <c r="AC321" s="37"/>
    </row>
    <row r="322" spans="1:29" s="67" customFormat="1" ht="21.75" customHeight="1" x14ac:dyDescent="0.4">
      <c r="A322" s="258">
        <v>45910</v>
      </c>
      <c r="B322" s="32" t="s">
        <v>5347</v>
      </c>
      <c r="C322" s="32" t="s">
        <v>2557</v>
      </c>
      <c r="D322" s="18" t="s">
        <v>17</v>
      </c>
      <c r="E322" s="18" t="s">
        <v>330</v>
      </c>
      <c r="F322" s="18" t="s">
        <v>3543</v>
      </c>
      <c r="G322" s="63" t="s">
        <v>5348</v>
      </c>
      <c r="H322" s="350">
        <v>5500</v>
      </c>
      <c r="I322" s="353"/>
      <c r="J322" s="350">
        <v>5500</v>
      </c>
      <c r="K322" s="18">
        <v>1</v>
      </c>
      <c r="L322" s="350">
        <f t="shared" si="160"/>
        <v>5500</v>
      </c>
      <c r="M322" s="356">
        <f t="shared" si="161"/>
        <v>6050</v>
      </c>
      <c r="N322" s="18" t="s">
        <v>34</v>
      </c>
      <c r="O322" s="439"/>
      <c r="P322" s="18"/>
      <c r="Q322" s="18" t="s">
        <v>2595</v>
      </c>
      <c r="R322" s="18" t="s">
        <v>4803</v>
      </c>
      <c r="V322" s="37"/>
      <c r="W322" s="354"/>
      <c r="X322" s="355"/>
      <c r="Y322" s="355"/>
      <c r="Z322" s="355"/>
      <c r="AA322" s="355"/>
      <c r="AB322" s="37"/>
      <c r="AC322" s="37"/>
    </row>
    <row r="323" spans="1:29" s="67" customFormat="1" ht="21.75" customHeight="1" x14ac:dyDescent="0.4">
      <c r="A323" s="258">
        <v>45910</v>
      </c>
      <c r="B323" s="32" t="s">
        <v>5347</v>
      </c>
      <c r="C323" s="32" t="s">
        <v>2557</v>
      </c>
      <c r="D323" s="18" t="s">
        <v>17</v>
      </c>
      <c r="E323" s="18" t="s">
        <v>455</v>
      </c>
      <c r="F323" s="18" t="s">
        <v>3554</v>
      </c>
      <c r="G323" s="63" t="s">
        <v>5349</v>
      </c>
      <c r="H323" s="350">
        <v>2700</v>
      </c>
      <c r="I323" s="353">
        <v>-270</v>
      </c>
      <c r="J323" s="350">
        <f t="shared" si="173"/>
        <v>2430</v>
      </c>
      <c r="K323" s="18">
        <v>1</v>
      </c>
      <c r="L323" s="350">
        <f t="shared" si="160"/>
        <v>2430</v>
      </c>
      <c r="M323" s="356">
        <f t="shared" si="161"/>
        <v>2673</v>
      </c>
      <c r="N323" s="18" t="s">
        <v>34</v>
      </c>
      <c r="O323" s="439"/>
      <c r="P323" s="18"/>
      <c r="Q323" s="18" t="s">
        <v>2595</v>
      </c>
      <c r="R323" s="18" t="s">
        <v>4803</v>
      </c>
      <c r="V323" s="37"/>
      <c r="W323" s="354"/>
      <c r="X323" s="355"/>
      <c r="Y323" s="355"/>
      <c r="Z323" s="355"/>
      <c r="AA323" s="355"/>
      <c r="AB323" s="37"/>
      <c r="AC323" s="37"/>
    </row>
    <row r="324" spans="1:29" s="67" customFormat="1" ht="21.75" customHeight="1" x14ac:dyDescent="0.4">
      <c r="A324" s="258">
        <v>45910</v>
      </c>
      <c r="B324" s="32" t="s">
        <v>162</v>
      </c>
      <c r="C324" s="32" t="s">
        <v>2557</v>
      </c>
      <c r="D324" s="18" t="s">
        <v>27</v>
      </c>
      <c r="E324" s="18" t="s">
        <v>28</v>
      </c>
      <c r="F324" s="18"/>
      <c r="G324" s="63" t="s">
        <v>73</v>
      </c>
      <c r="H324" s="350">
        <v>2000</v>
      </c>
      <c r="I324" s="353"/>
      <c r="J324" s="350">
        <f t="shared" si="173"/>
        <v>2000</v>
      </c>
      <c r="K324" s="18">
        <v>2</v>
      </c>
      <c r="L324" s="350">
        <f t="shared" si="160"/>
        <v>4000</v>
      </c>
      <c r="M324" s="356">
        <f t="shared" si="161"/>
        <v>4400</v>
      </c>
      <c r="N324" s="18" t="s">
        <v>34</v>
      </c>
      <c r="O324" s="439" t="s">
        <v>5345</v>
      </c>
      <c r="P324" s="18"/>
      <c r="Q324" s="18" t="s">
        <v>2595</v>
      </c>
      <c r="R324" s="18" t="s">
        <v>4803</v>
      </c>
      <c r="V324" s="37"/>
      <c r="W324" s="354"/>
      <c r="X324" s="355"/>
      <c r="Y324" s="355"/>
      <c r="Z324" s="355"/>
      <c r="AA324" s="355"/>
      <c r="AB324" s="37"/>
      <c r="AC324" s="37"/>
    </row>
    <row r="325" spans="1:29" s="67" customFormat="1" ht="21.75" customHeight="1" x14ac:dyDescent="0.4">
      <c r="A325" s="258">
        <v>45910</v>
      </c>
      <c r="B325" s="241" t="s">
        <v>5377</v>
      </c>
      <c r="C325" s="32" t="s">
        <v>2557</v>
      </c>
      <c r="D325" s="18" t="s">
        <v>27</v>
      </c>
      <c r="E325" s="18" t="s">
        <v>28</v>
      </c>
      <c r="F325" s="18"/>
      <c r="G325" s="63" t="s">
        <v>5036</v>
      </c>
      <c r="H325" s="350">
        <v>17500</v>
      </c>
      <c r="I325" s="353"/>
      <c r="J325" s="350">
        <f t="shared" si="173"/>
        <v>17500</v>
      </c>
      <c r="K325" s="18">
        <v>1</v>
      </c>
      <c r="L325" s="350">
        <f t="shared" si="160"/>
        <v>17500</v>
      </c>
      <c r="M325" s="356">
        <f t="shared" si="161"/>
        <v>19250</v>
      </c>
      <c r="N325" s="18" t="s">
        <v>25</v>
      </c>
      <c r="O325" s="441" t="s">
        <v>5216</v>
      </c>
      <c r="P325" s="18"/>
      <c r="Q325" s="18" t="s">
        <v>2595</v>
      </c>
      <c r="R325" s="18" t="s">
        <v>4803</v>
      </c>
      <c r="V325" s="37"/>
      <c r="W325" s="354"/>
      <c r="X325" s="355"/>
      <c r="Y325" s="355"/>
      <c r="Z325" s="355"/>
      <c r="AA325" s="355"/>
      <c r="AB325" s="37"/>
      <c r="AC325" s="37"/>
    </row>
    <row r="326" spans="1:29" s="67" customFormat="1" ht="21.75" customHeight="1" x14ac:dyDescent="0.4">
      <c r="A326" s="258">
        <v>45910</v>
      </c>
      <c r="B326" s="32" t="s">
        <v>5344</v>
      </c>
      <c r="C326" s="32" t="s">
        <v>405</v>
      </c>
      <c r="D326" s="18" t="s">
        <v>22</v>
      </c>
      <c r="E326" s="18" t="s">
        <v>1496</v>
      </c>
      <c r="F326" s="18"/>
      <c r="G326" s="63" t="s">
        <v>2422</v>
      </c>
      <c r="H326" s="350">
        <v>2000</v>
      </c>
      <c r="I326" s="353"/>
      <c r="J326" s="350">
        <f t="shared" ref="J326:J327" si="183">SUM(H326:I326)</f>
        <v>2000</v>
      </c>
      <c r="K326" s="18">
        <v>1</v>
      </c>
      <c r="L326" s="350">
        <f t="shared" ref="L326" si="184">SUM(J326*K326)</f>
        <v>2000</v>
      </c>
      <c r="M326" s="356">
        <f t="shared" ref="M326" si="185">ROUNDDOWN(L326*1.1,0)</f>
        <v>2200</v>
      </c>
      <c r="N326" s="18" t="s">
        <v>25</v>
      </c>
      <c r="O326" s="439"/>
      <c r="P326" s="18"/>
      <c r="Q326" s="18" t="s">
        <v>2595</v>
      </c>
      <c r="R326" s="18" t="s">
        <v>4803</v>
      </c>
      <c r="V326" s="37"/>
      <c r="W326" s="354"/>
      <c r="X326" s="355"/>
      <c r="Y326" s="355"/>
      <c r="Z326" s="355"/>
      <c r="AA326" s="355"/>
      <c r="AB326" s="37"/>
      <c r="AC326" s="37"/>
    </row>
    <row r="327" spans="1:29" s="67" customFormat="1" ht="21.75" customHeight="1" x14ac:dyDescent="0.4">
      <c r="A327" s="258">
        <v>45910</v>
      </c>
      <c r="B327" s="32" t="s">
        <v>4578</v>
      </c>
      <c r="C327" s="32" t="s">
        <v>4292</v>
      </c>
      <c r="D327" s="18" t="s">
        <v>17</v>
      </c>
      <c r="E327" s="18" t="s">
        <v>328</v>
      </c>
      <c r="F327" s="18" t="s">
        <v>5282</v>
      </c>
      <c r="G327" s="63" t="s">
        <v>5350</v>
      </c>
      <c r="H327" s="350">
        <v>7700</v>
      </c>
      <c r="I327" s="353">
        <v>-3995</v>
      </c>
      <c r="J327" s="350">
        <f t="shared" si="183"/>
        <v>3705</v>
      </c>
      <c r="K327" s="18">
        <v>6</v>
      </c>
      <c r="L327" s="350">
        <f t="shared" si="160"/>
        <v>22230</v>
      </c>
      <c r="M327" s="356">
        <f t="shared" si="161"/>
        <v>24453</v>
      </c>
      <c r="N327" s="18" t="s">
        <v>34</v>
      </c>
      <c r="O327" s="439"/>
      <c r="P327" s="18"/>
      <c r="Q327" s="18" t="s">
        <v>2595</v>
      </c>
      <c r="R327" s="18" t="s">
        <v>4803</v>
      </c>
      <c r="V327" s="37"/>
      <c r="W327" s="354"/>
      <c r="X327" s="355"/>
      <c r="Y327" s="355"/>
      <c r="Z327" s="355"/>
      <c r="AA327" s="355"/>
      <c r="AB327" s="37"/>
      <c r="AC327" s="37"/>
    </row>
    <row r="328" spans="1:29" ht="21.75" customHeight="1" x14ac:dyDescent="0.4">
      <c r="A328" s="258">
        <v>45910</v>
      </c>
      <c r="B328" s="32" t="s">
        <v>4578</v>
      </c>
      <c r="C328" s="32" t="s">
        <v>4292</v>
      </c>
      <c r="D328" s="18" t="s">
        <v>17</v>
      </c>
      <c r="E328" s="18" t="s">
        <v>18</v>
      </c>
      <c r="F328" s="18" t="s">
        <v>994</v>
      </c>
      <c r="G328" s="251" t="s">
        <v>5383</v>
      </c>
      <c r="H328" s="350">
        <v>1800</v>
      </c>
      <c r="I328" s="353">
        <v>-720</v>
      </c>
      <c r="J328" s="350">
        <f t="shared" si="173"/>
        <v>1080</v>
      </c>
      <c r="K328" s="18">
        <v>2</v>
      </c>
      <c r="L328" s="350">
        <f t="shared" si="160"/>
        <v>2160</v>
      </c>
      <c r="M328" s="356">
        <f t="shared" si="161"/>
        <v>2376</v>
      </c>
      <c r="N328" s="18" t="s">
        <v>34</v>
      </c>
      <c r="O328" s="439"/>
      <c r="Q328" s="18" t="s">
        <v>2595</v>
      </c>
      <c r="R328" s="18" t="s">
        <v>4803</v>
      </c>
    </row>
    <row r="329" spans="1:29" ht="21.75" customHeight="1" x14ac:dyDescent="0.4">
      <c r="A329" s="258">
        <v>45910</v>
      </c>
      <c r="B329" s="32" t="s">
        <v>2057</v>
      </c>
      <c r="C329" s="32" t="s">
        <v>2557</v>
      </c>
      <c r="D329" s="18" t="s">
        <v>27</v>
      </c>
      <c r="E329" s="18" t="s">
        <v>28</v>
      </c>
      <c r="F329" s="18"/>
      <c r="G329" s="63" t="s">
        <v>73</v>
      </c>
      <c r="H329" s="350">
        <v>2000</v>
      </c>
      <c r="I329" s="353"/>
      <c r="J329" s="350">
        <f t="shared" si="173"/>
        <v>2000</v>
      </c>
      <c r="K329" s="18">
        <v>1</v>
      </c>
      <c r="L329" s="350">
        <f t="shared" si="160"/>
        <v>2000</v>
      </c>
      <c r="M329" s="356">
        <f t="shared" si="161"/>
        <v>2200</v>
      </c>
      <c r="N329" s="18" t="s">
        <v>20</v>
      </c>
      <c r="O329" s="439" t="s">
        <v>5346</v>
      </c>
      <c r="Q329" s="18" t="s">
        <v>4798</v>
      </c>
      <c r="R329" s="18" t="s">
        <v>4803</v>
      </c>
    </row>
    <row r="330" spans="1:29" ht="21.75" customHeight="1" x14ac:dyDescent="0.4">
      <c r="A330" s="258">
        <v>45911</v>
      </c>
      <c r="B330" s="32" t="s">
        <v>1242</v>
      </c>
      <c r="C330" s="32" t="s">
        <v>2557</v>
      </c>
      <c r="D330" s="18" t="s">
        <v>17</v>
      </c>
      <c r="E330" s="18" t="s">
        <v>455</v>
      </c>
      <c r="F330" s="18" t="s">
        <v>3554</v>
      </c>
      <c r="G330" s="63" t="s">
        <v>5349</v>
      </c>
      <c r="H330" s="350">
        <v>2700</v>
      </c>
      <c r="I330" s="353">
        <v>-270</v>
      </c>
      <c r="J330" s="350">
        <f t="shared" si="173"/>
        <v>2430</v>
      </c>
      <c r="K330" s="18">
        <v>1</v>
      </c>
      <c r="L330" s="350">
        <f t="shared" si="160"/>
        <v>2430</v>
      </c>
      <c r="M330" s="356">
        <f t="shared" si="161"/>
        <v>2673</v>
      </c>
      <c r="N330" s="18" t="s">
        <v>20</v>
      </c>
      <c r="O330" s="439"/>
      <c r="Q330" s="18" t="s">
        <v>4803</v>
      </c>
      <c r="R330" s="18" t="s">
        <v>4803</v>
      </c>
    </row>
    <row r="331" spans="1:29" ht="21.75" customHeight="1" x14ac:dyDescent="0.4">
      <c r="A331" s="258">
        <v>45911</v>
      </c>
      <c r="B331" s="32" t="s">
        <v>5352</v>
      </c>
      <c r="C331" s="32" t="s">
        <v>405</v>
      </c>
      <c r="D331" s="18" t="s">
        <v>22</v>
      </c>
      <c r="E331" s="18" t="s">
        <v>260</v>
      </c>
      <c r="F331" s="18"/>
      <c r="G331" s="63" t="s">
        <v>264</v>
      </c>
      <c r="H331" s="350">
        <v>15000</v>
      </c>
      <c r="I331" s="353">
        <v>-5000</v>
      </c>
      <c r="J331" s="350">
        <f t="shared" si="173"/>
        <v>10000</v>
      </c>
      <c r="K331" s="18">
        <v>1</v>
      </c>
      <c r="L331" s="350">
        <f t="shared" si="160"/>
        <v>10000</v>
      </c>
      <c r="M331" s="356">
        <f t="shared" si="161"/>
        <v>11000</v>
      </c>
      <c r="N331" s="18" t="s">
        <v>25</v>
      </c>
      <c r="O331" s="439" t="s">
        <v>5353</v>
      </c>
      <c r="P331" s="18" t="s">
        <v>2594</v>
      </c>
      <c r="Q331" s="18" t="s">
        <v>4803</v>
      </c>
      <c r="R331" s="18" t="s">
        <v>4803</v>
      </c>
      <c r="S331" s="375"/>
    </row>
    <row r="332" spans="1:29" ht="21.75" customHeight="1" x14ac:dyDescent="0.4">
      <c r="A332" s="258">
        <v>45911</v>
      </c>
      <c r="B332" s="32" t="s">
        <v>5354</v>
      </c>
      <c r="C332" s="32" t="s">
        <v>2557</v>
      </c>
      <c r="D332" s="18" t="s">
        <v>17</v>
      </c>
      <c r="E332" s="18" t="s">
        <v>18</v>
      </c>
      <c r="F332" s="18" t="s">
        <v>3555</v>
      </c>
      <c r="G332" s="63" t="s">
        <v>5356</v>
      </c>
      <c r="H332" s="350">
        <v>1900</v>
      </c>
      <c r="I332" s="353">
        <v>-190</v>
      </c>
      <c r="J332" s="350">
        <f t="shared" si="173"/>
        <v>1710</v>
      </c>
      <c r="K332" s="18">
        <v>1</v>
      </c>
      <c r="L332" s="350">
        <f t="shared" si="160"/>
        <v>1710</v>
      </c>
      <c r="M332" s="356">
        <f t="shared" si="161"/>
        <v>1881</v>
      </c>
      <c r="N332" s="18" t="s">
        <v>25</v>
      </c>
      <c r="O332" s="439"/>
      <c r="Q332" s="18" t="s">
        <v>5424</v>
      </c>
      <c r="R332" s="18" t="s">
        <v>4798</v>
      </c>
    </row>
    <row r="333" spans="1:29" ht="21.75" customHeight="1" x14ac:dyDescent="0.4">
      <c r="A333" s="258">
        <v>45911</v>
      </c>
      <c r="B333" s="32" t="s">
        <v>4865</v>
      </c>
      <c r="C333" s="32" t="s">
        <v>2557</v>
      </c>
      <c r="D333" s="18" t="s">
        <v>22</v>
      </c>
      <c r="E333" s="18" t="s">
        <v>1496</v>
      </c>
      <c r="F333" s="18"/>
      <c r="G333" s="63" t="s">
        <v>4869</v>
      </c>
      <c r="H333" s="350">
        <v>2000</v>
      </c>
      <c r="I333" s="353"/>
      <c r="J333" s="350">
        <f t="shared" si="173"/>
        <v>2000</v>
      </c>
      <c r="K333" s="18">
        <v>1</v>
      </c>
      <c r="L333" s="350">
        <f t="shared" si="160"/>
        <v>2000</v>
      </c>
      <c r="M333" s="356">
        <f t="shared" si="161"/>
        <v>2200</v>
      </c>
      <c r="N333" s="18" t="s">
        <v>20</v>
      </c>
      <c r="O333" s="439"/>
      <c r="Q333" s="18" t="s">
        <v>5386</v>
      </c>
      <c r="R333" s="18" t="s">
        <v>5373</v>
      </c>
    </row>
    <row r="334" spans="1:29" ht="21.75" customHeight="1" x14ac:dyDescent="0.4">
      <c r="A334" s="258">
        <v>45912</v>
      </c>
      <c r="B334" s="32" t="s">
        <v>5384</v>
      </c>
      <c r="C334" s="18" t="s">
        <v>405</v>
      </c>
      <c r="D334" s="18" t="s">
        <v>22</v>
      </c>
      <c r="E334" s="18" t="s">
        <v>1496</v>
      </c>
      <c r="F334" s="18"/>
      <c r="G334" s="63" t="s">
        <v>2422</v>
      </c>
      <c r="H334" s="350">
        <v>2000</v>
      </c>
      <c r="I334" s="353"/>
      <c r="J334" s="350">
        <f t="shared" si="173"/>
        <v>2000</v>
      </c>
      <c r="K334" s="18">
        <v>1</v>
      </c>
      <c r="L334" s="350">
        <f t="shared" si="160"/>
        <v>2000</v>
      </c>
      <c r="M334" s="356">
        <f t="shared" si="161"/>
        <v>2200</v>
      </c>
      <c r="N334" s="18" t="s">
        <v>20</v>
      </c>
      <c r="O334" s="63"/>
      <c r="Q334" s="18" t="s">
        <v>5423</v>
      </c>
      <c r="R334" s="18" t="s">
        <v>2595</v>
      </c>
    </row>
    <row r="335" spans="1:29" ht="21.75" customHeight="1" x14ac:dyDescent="0.4">
      <c r="A335" s="258">
        <v>45912</v>
      </c>
      <c r="B335" s="32" t="s">
        <v>5385</v>
      </c>
      <c r="C335" s="32" t="s">
        <v>5375</v>
      </c>
      <c r="D335" s="18" t="s">
        <v>17</v>
      </c>
      <c r="E335" s="18" t="s">
        <v>5371</v>
      </c>
      <c r="F335" s="18" t="s">
        <v>994</v>
      </c>
      <c r="G335" s="251" t="s">
        <v>5383</v>
      </c>
      <c r="H335" s="350">
        <v>1800</v>
      </c>
      <c r="I335" s="353"/>
      <c r="J335" s="350">
        <f t="shared" ref="J335:J338" si="186">SUM(H335:I335)</f>
        <v>1800</v>
      </c>
      <c r="K335" s="18">
        <v>1</v>
      </c>
      <c r="L335" s="350">
        <f t="shared" ref="L335:L338" si="187">SUM(J335*K335)</f>
        <v>1800</v>
      </c>
      <c r="M335" s="356">
        <f t="shared" ref="M335:M338" si="188">ROUNDDOWN(L335*1.1,0)</f>
        <v>1980</v>
      </c>
      <c r="N335" s="18" t="s">
        <v>20</v>
      </c>
      <c r="O335" s="439"/>
      <c r="Q335" s="18" t="s">
        <v>5423</v>
      </c>
      <c r="R335" s="18" t="s">
        <v>2595</v>
      </c>
    </row>
    <row r="336" spans="1:29" ht="21.75" customHeight="1" x14ac:dyDescent="0.4">
      <c r="A336" s="258">
        <v>45912</v>
      </c>
      <c r="B336" s="241" t="s">
        <v>5382</v>
      </c>
      <c r="C336" s="32" t="s">
        <v>2557</v>
      </c>
      <c r="D336" s="18" t="s">
        <v>27</v>
      </c>
      <c r="E336" s="18" t="s">
        <v>28</v>
      </c>
      <c r="F336" s="18"/>
      <c r="G336" s="63" t="s">
        <v>5036</v>
      </c>
      <c r="H336" s="350">
        <v>17500</v>
      </c>
      <c r="I336" s="353"/>
      <c r="J336" s="350">
        <f t="shared" si="186"/>
        <v>17500</v>
      </c>
      <c r="K336" s="18">
        <v>1</v>
      </c>
      <c r="L336" s="350">
        <f t="shared" si="187"/>
        <v>17500</v>
      </c>
      <c r="M336" s="356">
        <f t="shared" si="188"/>
        <v>19250</v>
      </c>
      <c r="N336" s="18" t="s">
        <v>25</v>
      </c>
      <c r="O336" s="439"/>
      <c r="Q336" s="18" t="s">
        <v>2595</v>
      </c>
      <c r="R336" s="18" t="s">
        <v>2595</v>
      </c>
    </row>
    <row r="337" spans="1:19" ht="21.75" customHeight="1" x14ac:dyDescent="0.4">
      <c r="A337" s="258">
        <v>45912</v>
      </c>
      <c r="B337" s="32" t="s">
        <v>4865</v>
      </c>
      <c r="C337" s="32" t="s">
        <v>2557</v>
      </c>
      <c r="D337" s="18" t="s">
        <v>22</v>
      </c>
      <c r="E337" s="18" t="s">
        <v>1496</v>
      </c>
      <c r="F337" s="18"/>
      <c r="G337" s="63" t="s">
        <v>4869</v>
      </c>
      <c r="H337" s="350">
        <v>2000</v>
      </c>
      <c r="I337" s="353"/>
      <c r="J337" s="350">
        <f t="shared" si="186"/>
        <v>2000</v>
      </c>
      <c r="K337" s="18">
        <v>1</v>
      </c>
      <c r="L337" s="350">
        <f t="shared" si="187"/>
        <v>2000</v>
      </c>
      <c r="M337" s="356">
        <f t="shared" si="188"/>
        <v>2200</v>
      </c>
      <c r="N337" s="18" t="s">
        <v>20</v>
      </c>
      <c r="O337" s="439"/>
      <c r="Q337" s="18" t="s">
        <v>5373</v>
      </c>
      <c r="R337" s="18" t="s">
        <v>5373</v>
      </c>
    </row>
    <row r="338" spans="1:19" ht="21.75" customHeight="1" x14ac:dyDescent="0.4">
      <c r="A338" s="258">
        <v>45912</v>
      </c>
      <c r="B338" s="32" t="s">
        <v>148</v>
      </c>
      <c r="C338" s="32" t="s">
        <v>2557</v>
      </c>
      <c r="D338" s="18" t="s">
        <v>17</v>
      </c>
      <c r="E338" s="18" t="s">
        <v>292</v>
      </c>
      <c r="F338" s="18" t="s">
        <v>1051</v>
      </c>
      <c r="G338" s="63" t="s">
        <v>4973</v>
      </c>
      <c r="H338" s="350">
        <v>3200</v>
      </c>
      <c r="I338" s="353">
        <v>-320</v>
      </c>
      <c r="J338" s="350">
        <f t="shared" si="186"/>
        <v>2880</v>
      </c>
      <c r="K338" s="18">
        <v>1</v>
      </c>
      <c r="L338" s="350">
        <f t="shared" si="187"/>
        <v>2880</v>
      </c>
      <c r="M338" s="356">
        <f t="shared" si="188"/>
        <v>3168</v>
      </c>
      <c r="N338" s="18" t="s">
        <v>20</v>
      </c>
      <c r="O338" s="439"/>
      <c r="Q338" s="18" t="s">
        <v>5373</v>
      </c>
      <c r="R338" s="18" t="s">
        <v>5373</v>
      </c>
    </row>
    <row r="339" spans="1:19" ht="21.75" customHeight="1" x14ac:dyDescent="0.4">
      <c r="A339" s="258">
        <v>45913</v>
      </c>
      <c r="B339" s="32" t="s">
        <v>5357</v>
      </c>
      <c r="C339" s="32" t="s">
        <v>5358</v>
      </c>
      <c r="D339" s="18" t="s">
        <v>5359</v>
      </c>
      <c r="E339" s="18" t="s">
        <v>5360</v>
      </c>
      <c r="F339" s="18" t="s">
        <v>3550</v>
      </c>
      <c r="G339" s="63" t="s">
        <v>5129</v>
      </c>
      <c r="H339" s="350">
        <v>1800</v>
      </c>
      <c r="I339" s="353">
        <v>-180</v>
      </c>
      <c r="J339" s="350">
        <f t="shared" si="173"/>
        <v>1620</v>
      </c>
      <c r="K339" s="18">
        <v>1</v>
      </c>
      <c r="L339" s="350">
        <f t="shared" ref="L339:L420" si="189">SUM(J339*K339)</f>
        <v>1620</v>
      </c>
      <c r="M339" s="356">
        <f t="shared" ref="M339:M420" si="190">ROUNDDOWN(L339*1.1,0)</f>
        <v>1782</v>
      </c>
      <c r="N339" s="18" t="s">
        <v>5361</v>
      </c>
      <c r="O339" s="439"/>
      <c r="Q339" s="18" t="s">
        <v>5365</v>
      </c>
      <c r="R339" s="18" t="s">
        <v>5364</v>
      </c>
    </row>
    <row r="340" spans="1:19" ht="21.75" customHeight="1" x14ac:dyDescent="0.4">
      <c r="A340" s="258">
        <v>45913</v>
      </c>
      <c r="B340" s="32" t="s">
        <v>5362</v>
      </c>
      <c r="C340" s="32" t="s">
        <v>5358</v>
      </c>
      <c r="D340" s="18" t="s">
        <v>5359</v>
      </c>
      <c r="E340" s="18" t="s">
        <v>5360</v>
      </c>
      <c r="F340" s="18" t="s">
        <v>3555</v>
      </c>
      <c r="G340" s="63" t="s">
        <v>5363</v>
      </c>
      <c r="H340" s="350">
        <v>1700</v>
      </c>
      <c r="I340" s="353">
        <v>-170</v>
      </c>
      <c r="J340" s="350">
        <f t="shared" si="173"/>
        <v>1530</v>
      </c>
      <c r="K340" s="18">
        <v>11</v>
      </c>
      <c r="L340" s="350">
        <f t="shared" si="189"/>
        <v>16830</v>
      </c>
      <c r="M340" s="356">
        <f t="shared" si="190"/>
        <v>18513</v>
      </c>
      <c r="N340" s="18" t="s">
        <v>34</v>
      </c>
      <c r="O340" s="439"/>
      <c r="Q340" s="18" t="s">
        <v>5366</v>
      </c>
      <c r="R340" s="18" t="s">
        <v>5364</v>
      </c>
    </row>
    <row r="341" spans="1:19" ht="21.75" customHeight="1" x14ac:dyDescent="0.4">
      <c r="A341" s="258">
        <v>45914</v>
      </c>
      <c r="B341" s="32" t="s">
        <v>5367</v>
      </c>
      <c r="C341" s="32" t="s">
        <v>2557</v>
      </c>
      <c r="D341" s="18" t="s">
        <v>17</v>
      </c>
      <c r="E341" s="18" t="s">
        <v>332</v>
      </c>
      <c r="F341" s="18" t="s">
        <v>3554</v>
      </c>
      <c r="G341" s="428" t="s">
        <v>5470</v>
      </c>
      <c r="H341" s="350">
        <v>1500</v>
      </c>
      <c r="I341" s="353">
        <v>-150</v>
      </c>
      <c r="J341" s="350">
        <f t="shared" si="173"/>
        <v>1350</v>
      </c>
      <c r="K341" s="18">
        <v>1</v>
      </c>
      <c r="L341" s="350">
        <f t="shared" si="189"/>
        <v>1350</v>
      </c>
      <c r="M341" s="356">
        <f t="shared" si="190"/>
        <v>1485</v>
      </c>
      <c r="N341" s="18" t="s">
        <v>34</v>
      </c>
      <c r="O341" s="439"/>
      <c r="Q341" s="18" t="s">
        <v>2594</v>
      </c>
      <c r="R341" s="18" t="s">
        <v>2594</v>
      </c>
    </row>
    <row r="342" spans="1:19" ht="21.75" customHeight="1" x14ac:dyDescent="0.4">
      <c r="A342" s="258">
        <v>45914</v>
      </c>
      <c r="B342" s="32" t="s">
        <v>5368</v>
      </c>
      <c r="C342" s="32" t="s">
        <v>5369</v>
      </c>
      <c r="D342" s="18" t="s">
        <v>5370</v>
      </c>
      <c r="E342" s="18" t="s">
        <v>292</v>
      </c>
      <c r="F342" s="18" t="s">
        <v>1051</v>
      </c>
      <c r="G342" s="63" t="s">
        <v>3655</v>
      </c>
      <c r="H342" s="350">
        <v>4000</v>
      </c>
      <c r="I342" s="353">
        <v>-400</v>
      </c>
      <c r="J342" s="350">
        <f t="shared" si="173"/>
        <v>3600</v>
      </c>
      <c r="K342" s="18">
        <v>1</v>
      </c>
      <c r="L342" s="350">
        <f t="shared" si="189"/>
        <v>3600</v>
      </c>
      <c r="M342" s="356">
        <f t="shared" si="190"/>
        <v>3960</v>
      </c>
      <c r="N342" s="18" t="s">
        <v>1516</v>
      </c>
      <c r="O342" s="439"/>
      <c r="Q342" s="18" t="s">
        <v>5373</v>
      </c>
      <c r="R342" s="18" t="s">
        <v>5373</v>
      </c>
    </row>
    <row r="343" spans="1:19" ht="21.75" customHeight="1" x14ac:dyDescent="0.4">
      <c r="A343" s="258">
        <v>45914</v>
      </c>
      <c r="B343" s="32" t="s">
        <v>5368</v>
      </c>
      <c r="C343" s="32" t="s">
        <v>5369</v>
      </c>
      <c r="D343" s="18" t="s">
        <v>5370</v>
      </c>
      <c r="E343" s="18" t="s">
        <v>5371</v>
      </c>
      <c r="F343" s="18" t="s">
        <v>994</v>
      </c>
      <c r="G343" s="63" t="s">
        <v>5372</v>
      </c>
      <c r="H343" s="350">
        <v>1800</v>
      </c>
      <c r="I343" s="353">
        <v>-180</v>
      </c>
      <c r="J343" s="350">
        <f t="shared" si="173"/>
        <v>1620</v>
      </c>
      <c r="K343" s="18">
        <v>1</v>
      </c>
      <c r="L343" s="350">
        <f t="shared" si="189"/>
        <v>1620</v>
      </c>
      <c r="M343" s="356">
        <f t="shared" si="190"/>
        <v>1782</v>
      </c>
      <c r="N343" s="18" t="s">
        <v>1516</v>
      </c>
      <c r="O343" s="439"/>
      <c r="Q343" s="18" t="s">
        <v>5373</v>
      </c>
      <c r="R343" s="18" t="s">
        <v>5373</v>
      </c>
    </row>
    <row r="344" spans="1:19" ht="21.75" customHeight="1" x14ac:dyDescent="0.4">
      <c r="A344" s="258">
        <v>45914</v>
      </c>
      <c r="B344" s="32" t="s">
        <v>5374</v>
      </c>
      <c r="C344" s="32" t="s">
        <v>5375</v>
      </c>
      <c r="D344" s="18" t="s">
        <v>22</v>
      </c>
      <c r="E344" s="18" t="s">
        <v>1496</v>
      </c>
      <c r="F344" s="18"/>
      <c r="G344" s="63" t="s">
        <v>5376</v>
      </c>
      <c r="H344" s="350">
        <v>5000</v>
      </c>
      <c r="I344" s="353"/>
      <c r="J344" s="350">
        <f t="shared" si="173"/>
        <v>5000</v>
      </c>
      <c r="K344" s="18">
        <v>1</v>
      </c>
      <c r="L344" s="350">
        <f t="shared" si="189"/>
        <v>5000</v>
      </c>
      <c r="M344" s="356">
        <f t="shared" si="190"/>
        <v>5500</v>
      </c>
      <c r="N344" s="18" t="s">
        <v>1516</v>
      </c>
      <c r="O344" s="439"/>
      <c r="Q344" s="18" t="s">
        <v>5373</v>
      </c>
      <c r="R344" s="18" t="s">
        <v>5373</v>
      </c>
    </row>
    <row r="345" spans="1:19" ht="21.75" customHeight="1" x14ac:dyDescent="0.4">
      <c r="A345" s="258">
        <v>45914</v>
      </c>
      <c r="B345" s="32" t="s">
        <v>5378</v>
      </c>
      <c r="C345" s="32" t="s">
        <v>5369</v>
      </c>
      <c r="D345" s="18" t="s">
        <v>5370</v>
      </c>
      <c r="E345" s="18" t="s">
        <v>332</v>
      </c>
      <c r="F345" s="18" t="s">
        <v>3554</v>
      </c>
      <c r="G345" s="63" t="s">
        <v>5379</v>
      </c>
      <c r="H345" s="350">
        <v>1400</v>
      </c>
      <c r="I345" s="353">
        <v>-140</v>
      </c>
      <c r="J345" s="350">
        <f t="shared" si="173"/>
        <v>1260</v>
      </c>
      <c r="K345" s="18">
        <v>1</v>
      </c>
      <c r="L345" s="350">
        <f t="shared" si="189"/>
        <v>1260</v>
      </c>
      <c r="M345" s="356">
        <f t="shared" si="190"/>
        <v>1386</v>
      </c>
      <c r="N345" s="18" t="s">
        <v>1516</v>
      </c>
      <c r="O345" s="439"/>
      <c r="Q345" s="18" t="s">
        <v>5373</v>
      </c>
      <c r="R345" s="18" t="s">
        <v>5373</v>
      </c>
    </row>
    <row r="346" spans="1:19" ht="21.75" customHeight="1" x14ac:dyDescent="0.4">
      <c r="A346" s="258">
        <v>45918</v>
      </c>
      <c r="B346" s="32" t="s">
        <v>5390</v>
      </c>
      <c r="C346" s="32" t="s">
        <v>5387</v>
      </c>
      <c r="D346" s="18" t="s">
        <v>5388</v>
      </c>
      <c r="E346" s="18" t="s">
        <v>332</v>
      </c>
      <c r="F346" s="18" t="s">
        <v>5355</v>
      </c>
      <c r="G346" s="63" t="s">
        <v>5397</v>
      </c>
      <c r="H346" s="350">
        <v>1900</v>
      </c>
      <c r="I346" s="353">
        <v>-190</v>
      </c>
      <c r="J346" s="350">
        <f t="shared" si="173"/>
        <v>1710</v>
      </c>
      <c r="K346" s="18">
        <v>1</v>
      </c>
      <c r="L346" s="350">
        <f t="shared" si="189"/>
        <v>1710</v>
      </c>
      <c r="M346" s="356">
        <f t="shared" si="190"/>
        <v>1881</v>
      </c>
      <c r="N346" s="18" t="s">
        <v>34</v>
      </c>
      <c r="O346" s="439"/>
      <c r="Q346" s="18" t="s">
        <v>5389</v>
      </c>
      <c r="R346" s="18" t="s">
        <v>5389</v>
      </c>
      <c r="S346" s="375"/>
    </row>
    <row r="347" spans="1:19" ht="21.75" customHeight="1" x14ac:dyDescent="0.4">
      <c r="A347" s="258">
        <v>45918</v>
      </c>
      <c r="B347" s="32" t="s">
        <v>5395</v>
      </c>
      <c r="C347" s="32" t="s">
        <v>5396</v>
      </c>
      <c r="D347" s="18" t="s">
        <v>17</v>
      </c>
      <c r="E347" s="18" t="s">
        <v>332</v>
      </c>
      <c r="F347" s="18" t="s">
        <v>5355</v>
      </c>
      <c r="G347" s="425" t="s">
        <v>5400</v>
      </c>
      <c r="H347" s="350">
        <v>1900</v>
      </c>
      <c r="I347" s="353">
        <v>-190</v>
      </c>
      <c r="J347" s="350">
        <f t="shared" ref="J347" si="191">SUM(H347:I347)</f>
        <v>1710</v>
      </c>
      <c r="K347" s="18">
        <v>1</v>
      </c>
      <c r="L347" s="350">
        <f t="shared" si="189"/>
        <v>1710</v>
      </c>
      <c r="M347" s="356">
        <f t="shared" si="190"/>
        <v>1881</v>
      </c>
      <c r="N347" s="18" t="s">
        <v>34</v>
      </c>
      <c r="O347" s="439"/>
      <c r="Q347" s="18" t="s">
        <v>5398</v>
      </c>
      <c r="R347" s="18" t="s">
        <v>5399</v>
      </c>
      <c r="S347" s="375"/>
    </row>
    <row r="348" spans="1:19" ht="21.75" customHeight="1" x14ac:dyDescent="0.4">
      <c r="A348" s="258">
        <v>45918</v>
      </c>
      <c r="B348" s="32" t="s">
        <v>2983</v>
      </c>
      <c r="C348" s="32" t="s">
        <v>5391</v>
      </c>
      <c r="D348" s="18" t="s">
        <v>17</v>
      </c>
      <c r="E348" s="18" t="s">
        <v>328</v>
      </c>
      <c r="F348" s="18" t="s">
        <v>3598</v>
      </c>
      <c r="G348" s="63" t="s">
        <v>5392</v>
      </c>
      <c r="H348" s="350">
        <v>55000</v>
      </c>
      <c r="I348" s="353">
        <v>-11000</v>
      </c>
      <c r="J348" s="350">
        <f t="shared" si="173"/>
        <v>44000</v>
      </c>
      <c r="K348" s="18">
        <v>1</v>
      </c>
      <c r="L348" s="350">
        <f t="shared" si="189"/>
        <v>44000</v>
      </c>
      <c r="M348" s="356">
        <f t="shared" si="190"/>
        <v>48400</v>
      </c>
      <c r="N348" s="18" t="s">
        <v>1516</v>
      </c>
      <c r="O348" s="439"/>
      <c r="Q348" s="18" t="s">
        <v>2594</v>
      </c>
      <c r="R348" s="18" t="s">
        <v>2594</v>
      </c>
    </row>
    <row r="349" spans="1:19" ht="21.75" customHeight="1" x14ac:dyDescent="0.4">
      <c r="A349" s="258">
        <v>45918</v>
      </c>
      <c r="B349" s="32" t="s">
        <v>2983</v>
      </c>
      <c r="C349" s="32" t="s">
        <v>5391</v>
      </c>
      <c r="D349" s="18" t="s">
        <v>17</v>
      </c>
      <c r="E349" s="18" t="s">
        <v>330</v>
      </c>
      <c r="F349" s="18" t="s">
        <v>3543</v>
      </c>
      <c r="G349" s="63"/>
      <c r="H349" s="350">
        <v>5500</v>
      </c>
      <c r="I349" s="353"/>
      <c r="J349" s="350">
        <f t="shared" si="173"/>
        <v>5500</v>
      </c>
      <c r="K349" s="18">
        <v>1</v>
      </c>
      <c r="L349" s="350">
        <f t="shared" si="189"/>
        <v>5500</v>
      </c>
      <c r="M349" s="356">
        <f t="shared" si="190"/>
        <v>6050</v>
      </c>
      <c r="N349" s="18" t="s">
        <v>1516</v>
      </c>
      <c r="O349" s="439"/>
      <c r="Q349" s="18" t="s">
        <v>2594</v>
      </c>
      <c r="R349" s="18" t="s">
        <v>2594</v>
      </c>
    </row>
    <row r="350" spans="1:19" ht="21.75" customHeight="1" x14ac:dyDescent="0.4">
      <c r="A350" s="258">
        <v>45918</v>
      </c>
      <c r="B350" s="32" t="s">
        <v>2983</v>
      </c>
      <c r="C350" s="32" t="s">
        <v>5391</v>
      </c>
      <c r="D350" s="18" t="s">
        <v>17</v>
      </c>
      <c r="E350" s="18" t="s">
        <v>332</v>
      </c>
      <c r="F350" s="18" t="s">
        <v>5393</v>
      </c>
      <c r="G350" s="63" t="s">
        <v>5394</v>
      </c>
      <c r="H350" s="350">
        <v>2400</v>
      </c>
      <c r="I350" s="353"/>
      <c r="J350" s="350">
        <f t="shared" si="173"/>
        <v>2400</v>
      </c>
      <c r="K350" s="18">
        <v>1</v>
      </c>
      <c r="L350" s="350">
        <f t="shared" si="189"/>
        <v>2400</v>
      </c>
      <c r="M350" s="356">
        <f t="shared" si="190"/>
        <v>2640</v>
      </c>
      <c r="N350" s="18" t="s">
        <v>1516</v>
      </c>
      <c r="O350" s="439"/>
      <c r="Q350" s="18" t="s">
        <v>2594</v>
      </c>
      <c r="R350" s="18" t="s">
        <v>2594</v>
      </c>
    </row>
    <row r="351" spans="1:19" ht="21.75" customHeight="1" x14ac:dyDescent="0.4">
      <c r="A351" s="258">
        <v>45918</v>
      </c>
      <c r="B351" s="32" t="s">
        <v>2983</v>
      </c>
      <c r="C351" s="32" t="s">
        <v>5391</v>
      </c>
      <c r="D351" s="96" t="s">
        <v>198</v>
      </c>
      <c r="E351" s="18"/>
      <c r="F351" s="18"/>
      <c r="G351" s="63" t="s">
        <v>2491</v>
      </c>
      <c r="H351" s="350">
        <v>-15000</v>
      </c>
      <c r="I351" s="353"/>
      <c r="J351" s="350">
        <f t="shared" si="173"/>
        <v>-15000</v>
      </c>
      <c r="K351" s="18">
        <v>1</v>
      </c>
      <c r="L351" s="350">
        <f t="shared" si="189"/>
        <v>-15000</v>
      </c>
      <c r="M351" s="358">
        <f t="shared" si="190"/>
        <v>-16500</v>
      </c>
      <c r="N351" s="18" t="s">
        <v>1516</v>
      </c>
      <c r="O351" s="439"/>
      <c r="Q351" s="18" t="s">
        <v>2594</v>
      </c>
      <c r="R351" s="18" t="s">
        <v>2594</v>
      </c>
      <c r="S351" s="375"/>
    </row>
    <row r="352" spans="1:19" ht="21.75" customHeight="1" x14ac:dyDescent="0.4">
      <c r="A352" s="258">
        <v>45919</v>
      </c>
      <c r="B352" s="321" t="s">
        <v>5347</v>
      </c>
      <c r="C352" s="241" t="s">
        <v>2557</v>
      </c>
      <c r="D352" s="242" t="s">
        <v>17</v>
      </c>
      <c r="E352" s="242" t="s">
        <v>332</v>
      </c>
      <c r="F352" s="242" t="s">
        <v>3554</v>
      </c>
      <c r="G352" s="251" t="s">
        <v>5349</v>
      </c>
      <c r="H352" s="350">
        <v>2700</v>
      </c>
      <c r="I352" s="353">
        <v>-270</v>
      </c>
      <c r="J352" s="350">
        <f t="shared" ref="J352:J353" si="192">SUM(H352:I352)</f>
        <v>2430</v>
      </c>
      <c r="K352" s="18">
        <v>1</v>
      </c>
      <c r="L352" s="350">
        <f t="shared" ref="L352:L353" si="193">SUM(J352*K352)</f>
        <v>2430</v>
      </c>
      <c r="M352" s="356">
        <f t="shared" ref="M352:M353" si="194">ROUNDDOWN(L352*1.1,0)</f>
        <v>2673</v>
      </c>
      <c r="N352" s="18" t="s">
        <v>1516</v>
      </c>
      <c r="O352" s="439"/>
      <c r="Q352" s="18" t="s">
        <v>5411</v>
      </c>
      <c r="R352" s="18" t="s">
        <v>5412</v>
      </c>
      <c r="S352" s="375"/>
    </row>
    <row r="353" spans="1:27" ht="21.75" customHeight="1" x14ac:dyDescent="0.4">
      <c r="A353" s="258">
        <v>45919</v>
      </c>
      <c r="B353" s="32" t="s">
        <v>5409</v>
      </c>
      <c r="C353" s="32" t="s">
        <v>2557</v>
      </c>
      <c r="D353" s="18" t="s">
        <v>27</v>
      </c>
      <c r="E353" s="18" t="s">
        <v>28</v>
      </c>
      <c r="F353" s="18"/>
      <c r="G353" s="63" t="s">
        <v>5043</v>
      </c>
      <c r="H353" s="350">
        <v>55000</v>
      </c>
      <c r="I353" s="353"/>
      <c r="J353" s="350">
        <f t="shared" si="192"/>
        <v>55000</v>
      </c>
      <c r="K353" s="18">
        <v>1</v>
      </c>
      <c r="L353" s="350">
        <f t="shared" si="193"/>
        <v>55000</v>
      </c>
      <c r="M353" s="356">
        <f t="shared" si="194"/>
        <v>60500</v>
      </c>
      <c r="N353" s="18" t="s">
        <v>1516</v>
      </c>
      <c r="O353" s="441" t="s">
        <v>5410</v>
      </c>
      <c r="Q353" s="18" t="s">
        <v>5411</v>
      </c>
      <c r="R353" s="18" t="s">
        <v>5412</v>
      </c>
      <c r="S353" s="375"/>
    </row>
    <row r="354" spans="1:27" ht="21.75" customHeight="1" x14ac:dyDescent="0.4">
      <c r="A354" s="258">
        <v>45920</v>
      </c>
      <c r="B354" s="32" t="s">
        <v>5401</v>
      </c>
      <c r="C354" s="32" t="s">
        <v>5402</v>
      </c>
      <c r="D354" s="18" t="s">
        <v>5403</v>
      </c>
      <c r="E354" s="18" t="s">
        <v>292</v>
      </c>
      <c r="F354" s="18" t="s">
        <v>1051</v>
      </c>
      <c r="G354" s="63" t="s">
        <v>5404</v>
      </c>
      <c r="H354" s="350">
        <v>5700</v>
      </c>
      <c r="I354" s="353"/>
      <c r="J354" s="350">
        <f t="shared" si="173"/>
        <v>5700</v>
      </c>
      <c r="K354" s="18">
        <v>1</v>
      </c>
      <c r="L354" s="350">
        <f t="shared" si="189"/>
        <v>5700</v>
      </c>
      <c r="M354" s="356">
        <f t="shared" si="190"/>
        <v>6270</v>
      </c>
      <c r="N354" s="18" t="s">
        <v>25</v>
      </c>
      <c r="O354" s="439"/>
      <c r="Q354" s="18" t="s">
        <v>5405</v>
      </c>
      <c r="R354" s="18" t="s">
        <v>5413</v>
      </c>
    </row>
    <row r="355" spans="1:27" s="381" customFormat="1" ht="21.75" customHeight="1" x14ac:dyDescent="0.4">
      <c r="A355" s="376">
        <v>45921</v>
      </c>
      <c r="B355" s="318" t="s">
        <v>4632</v>
      </c>
      <c r="C355" s="318" t="s">
        <v>2557</v>
      </c>
      <c r="D355" s="319" t="s">
        <v>17</v>
      </c>
      <c r="E355" s="319" t="s">
        <v>328</v>
      </c>
      <c r="F355" s="319" t="s">
        <v>788</v>
      </c>
      <c r="G355" s="426" t="s">
        <v>5415</v>
      </c>
      <c r="H355" s="377">
        <v>10000</v>
      </c>
      <c r="I355" s="378">
        <v>-3000</v>
      </c>
      <c r="J355" s="377">
        <f t="shared" ref="J355:J356" si="195">SUM(H355:I355)</f>
        <v>7000</v>
      </c>
      <c r="K355" s="319">
        <v>1</v>
      </c>
      <c r="L355" s="377">
        <f>SUM(J355*K355)</f>
        <v>7000</v>
      </c>
      <c r="M355" s="379">
        <f t="shared" ref="M355:M356" si="196">ROUNDDOWN(L355*1.1,0)</f>
        <v>7700</v>
      </c>
      <c r="N355" s="319" t="s">
        <v>25</v>
      </c>
      <c r="O355" s="444"/>
      <c r="P355" s="319"/>
      <c r="Q355" s="319" t="s">
        <v>5411</v>
      </c>
      <c r="R355" s="319" t="s">
        <v>5412</v>
      </c>
      <c r="S355" s="380"/>
      <c r="T355" s="380"/>
      <c r="U355" s="380"/>
      <c r="W355" s="382"/>
      <c r="X355" s="383"/>
      <c r="Y355" s="383"/>
      <c r="Z355" s="383"/>
      <c r="AA355" s="383"/>
    </row>
    <row r="356" spans="1:27" s="381" customFormat="1" ht="21.75" customHeight="1" x14ac:dyDescent="0.4">
      <c r="A356" s="376">
        <v>45921</v>
      </c>
      <c r="B356" s="318" t="s">
        <v>4632</v>
      </c>
      <c r="C356" s="318" t="s">
        <v>2557</v>
      </c>
      <c r="D356" s="319" t="s">
        <v>17</v>
      </c>
      <c r="E356" s="319" t="s">
        <v>332</v>
      </c>
      <c r="F356" s="319" t="s">
        <v>5355</v>
      </c>
      <c r="G356" s="426" t="s">
        <v>5414</v>
      </c>
      <c r="H356" s="377">
        <v>1700</v>
      </c>
      <c r="I356" s="378">
        <v>-170</v>
      </c>
      <c r="J356" s="377">
        <f t="shared" si="195"/>
        <v>1530</v>
      </c>
      <c r="K356" s="319">
        <v>1</v>
      </c>
      <c r="L356" s="377">
        <f t="shared" ref="L356" si="197">SUM(J356*K356)</f>
        <v>1530</v>
      </c>
      <c r="M356" s="379">
        <f t="shared" si="196"/>
        <v>1683</v>
      </c>
      <c r="N356" s="319" t="s">
        <v>25</v>
      </c>
      <c r="O356" s="444"/>
      <c r="P356" s="319"/>
      <c r="Q356" s="319" t="s">
        <v>5411</v>
      </c>
      <c r="R356" s="319" t="s">
        <v>4803</v>
      </c>
      <c r="S356" s="380"/>
      <c r="T356" s="380"/>
      <c r="U356" s="380"/>
      <c r="W356" s="382"/>
      <c r="X356" s="383"/>
      <c r="Y356" s="383"/>
      <c r="Z356" s="383"/>
      <c r="AA356" s="383"/>
    </row>
    <row r="357" spans="1:27" ht="21.75" customHeight="1" x14ac:dyDescent="0.4">
      <c r="A357" s="258">
        <v>45922</v>
      </c>
      <c r="B357" s="32" t="s">
        <v>5406</v>
      </c>
      <c r="C357" s="32" t="s">
        <v>2557</v>
      </c>
      <c r="D357" s="18" t="s">
        <v>17</v>
      </c>
      <c r="E357" s="18" t="s">
        <v>332</v>
      </c>
      <c r="F357" s="18" t="s">
        <v>5355</v>
      </c>
      <c r="G357" s="425" t="s">
        <v>5407</v>
      </c>
      <c r="H357" s="350">
        <v>1300</v>
      </c>
      <c r="I357" s="353">
        <v>-130</v>
      </c>
      <c r="J357" s="350">
        <f t="shared" si="173"/>
        <v>1170</v>
      </c>
      <c r="K357" s="18">
        <v>1</v>
      </c>
      <c r="L357" s="350">
        <f t="shared" si="189"/>
        <v>1170</v>
      </c>
      <c r="M357" s="356">
        <f t="shared" si="190"/>
        <v>1287</v>
      </c>
      <c r="N357" s="18" t="s">
        <v>25</v>
      </c>
      <c r="O357" s="439"/>
      <c r="Q357" s="18" t="s">
        <v>5408</v>
      </c>
      <c r="R357" s="18" t="s">
        <v>5411</v>
      </c>
      <c r="S357" s="375"/>
    </row>
    <row r="358" spans="1:27" ht="21.75" customHeight="1" x14ac:dyDescent="0.4">
      <c r="A358" s="258">
        <v>45924</v>
      </c>
      <c r="B358" s="32" t="s">
        <v>5416</v>
      </c>
      <c r="C358" s="32" t="s">
        <v>2557</v>
      </c>
      <c r="D358" s="18" t="s">
        <v>17</v>
      </c>
      <c r="E358" s="18" t="s">
        <v>332</v>
      </c>
      <c r="F358" s="18" t="s">
        <v>5355</v>
      </c>
      <c r="G358" s="63" t="s">
        <v>5417</v>
      </c>
      <c r="H358" s="350">
        <v>1900</v>
      </c>
      <c r="I358" s="353">
        <v>-798</v>
      </c>
      <c r="J358" s="350">
        <f t="shared" si="173"/>
        <v>1102</v>
      </c>
      <c r="K358" s="18">
        <v>1</v>
      </c>
      <c r="L358" s="350">
        <f t="shared" si="189"/>
        <v>1102</v>
      </c>
      <c r="M358" s="356">
        <f t="shared" si="190"/>
        <v>1212</v>
      </c>
      <c r="N358" s="18" t="s">
        <v>20</v>
      </c>
      <c r="O358" s="439"/>
      <c r="Q358" s="18" t="s">
        <v>5418</v>
      </c>
      <c r="R358" s="18" t="s">
        <v>5418</v>
      </c>
    </row>
    <row r="359" spans="1:27" s="381" customFormat="1" ht="21.75" customHeight="1" x14ac:dyDescent="0.4">
      <c r="A359" s="376">
        <v>45924</v>
      </c>
      <c r="B359" s="318" t="s">
        <v>4632</v>
      </c>
      <c r="C359" s="318" t="s">
        <v>2557</v>
      </c>
      <c r="D359" s="320" t="s">
        <v>198</v>
      </c>
      <c r="E359" s="319" t="s">
        <v>328</v>
      </c>
      <c r="F359" s="319" t="s">
        <v>788</v>
      </c>
      <c r="G359" s="426" t="s">
        <v>5415</v>
      </c>
      <c r="H359" s="377">
        <v>-7000</v>
      </c>
      <c r="I359" s="378"/>
      <c r="J359" s="377">
        <f t="shared" si="173"/>
        <v>-7000</v>
      </c>
      <c r="K359" s="319">
        <v>1</v>
      </c>
      <c r="L359" s="377">
        <f>SUM(J359*K359)</f>
        <v>-7000</v>
      </c>
      <c r="M359" s="379">
        <f t="shared" si="190"/>
        <v>-7700</v>
      </c>
      <c r="N359" s="319" t="s">
        <v>20</v>
      </c>
      <c r="O359" s="444"/>
      <c r="P359" s="319"/>
      <c r="Q359" s="319" t="s">
        <v>2595</v>
      </c>
      <c r="R359" s="319" t="s">
        <v>4803</v>
      </c>
      <c r="S359" s="380"/>
      <c r="T359" s="380"/>
      <c r="U359" s="380"/>
      <c r="W359" s="382"/>
      <c r="X359" s="383"/>
      <c r="Y359" s="383"/>
      <c r="Z359" s="383"/>
      <c r="AA359" s="383"/>
    </row>
    <row r="360" spans="1:27" s="381" customFormat="1" ht="21.75" customHeight="1" x14ac:dyDescent="0.4">
      <c r="A360" s="376">
        <v>45924</v>
      </c>
      <c r="B360" s="318" t="s">
        <v>4632</v>
      </c>
      <c r="C360" s="318" t="s">
        <v>2557</v>
      </c>
      <c r="D360" s="320" t="s">
        <v>198</v>
      </c>
      <c r="E360" s="319" t="s">
        <v>332</v>
      </c>
      <c r="F360" s="319" t="s">
        <v>5355</v>
      </c>
      <c r="G360" s="426" t="s">
        <v>5414</v>
      </c>
      <c r="H360" s="377">
        <v>-1530</v>
      </c>
      <c r="I360" s="378"/>
      <c r="J360" s="377">
        <f t="shared" si="173"/>
        <v>-1530</v>
      </c>
      <c r="K360" s="319">
        <v>1</v>
      </c>
      <c r="L360" s="377">
        <f t="shared" ref="L360:L364" si="198">SUM(J360*K360)</f>
        <v>-1530</v>
      </c>
      <c r="M360" s="379">
        <f t="shared" si="190"/>
        <v>-1683</v>
      </c>
      <c r="N360" s="319" t="s">
        <v>20</v>
      </c>
      <c r="O360" s="444"/>
      <c r="P360" s="319"/>
      <c r="Q360" s="319" t="s">
        <v>2595</v>
      </c>
      <c r="R360" s="319" t="s">
        <v>4803</v>
      </c>
      <c r="S360" s="380"/>
      <c r="T360" s="380"/>
      <c r="U360" s="380"/>
      <c r="W360" s="382"/>
      <c r="X360" s="383"/>
      <c r="Y360" s="383"/>
      <c r="Z360" s="383"/>
      <c r="AA360" s="383"/>
    </row>
    <row r="361" spans="1:27" ht="21.75" customHeight="1" x14ac:dyDescent="0.4">
      <c r="A361" s="258">
        <v>45925</v>
      </c>
      <c r="B361" s="32" t="s">
        <v>5069</v>
      </c>
      <c r="C361" s="32" t="s">
        <v>5419</v>
      </c>
      <c r="D361" s="18" t="s">
        <v>5420</v>
      </c>
      <c r="E361" s="18" t="s">
        <v>426</v>
      </c>
      <c r="F361" s="18" t="s">
        <v>994</v>
      </c>
      <c r="G361" s="63" t="s">
        <v>5421</v>
      </c>
      <c r="H361" s="350">
        <v>1800</v>
      </c>
      <c r="I361" s="353">
        <v>-180</v>
      </c>
      <c r="J361" s="350">
        <f t="shared" ref="J361:J363" si="199">SUM(H361:I361)</f>
        <v>1620</v>
      </c>
      <c r="K361" s="18">
        <v>1</v>
      </c>
      <c r="L361" s="350">
        <f t="shared" si="198"/>
        <v>1620</v>
      </c>
      <c r="M361" s="356">
        <f t="shared" ref="M361:M364" si="200">ROUNDDOWN(L361*1.1,0)</f>
        <v>1782</v>
      </c>
      <c r="N361" s="18" t="s">
        <v>20</v>
      </c>
      <c r="O361" s="439"/>
      <c r="Q361" s="18" t="s">
        <v>5422</v>
      </c>
      <c r="R361" s="18" t="s">
        <v>5422</v>
      </c>
      <c r="S361" s="375"/>
    </row>
    <row r="362" spans="1:27" ht="21.75" customHeight="1" x14ac:dyDescent="0.4">
      <c r="A362" s="258">
        <v>45925</v>
      </c>
      <c r="B362" s="321" t="s">
        <v>139</v>
      </c>
      <c r="C362" s="32" t="s">
        <v>2557</v>
      </c>
      <c r="D362" s="18" t="s">
        <v>17</v>
      </c>
      <c r="E362" s="242" t="s">
        <v>292</v>
      </c>
      <c r="F362" s="18" t="s">
        <v>3642</v>
      </c>
      <c r="G362" s="251" t="s">
        <v>5450</v>
      </c>
      <c r="H362" s="350">
        <v>5800</v>
      </c>
      <c r="I362" s="353">
        <v>-580</v>
      </c>
      <c r="J362" s="350">
        <f t="shared" si="199"/>
        <v>5220</v>
      </c>
      <c r="K362" s="18">
        <v>1</v>
      </c>
      <c r="L362" s="350">
        <f t="shared" si="198"/>
        <v>5220</v>
      </c>
      <c r="M362" s="356">
        <f t="shared" si="200"/>
        <v>5742</v>
      </c>
      <c r="N362" s="18" t="s">
        <v>34</v>
      </c>
      <c r="O362" s="439"/>
      <c r="Q362" s="18" t="s">
        <v>5432</v>
      </c>
      <c r="R362" s="18" t="s">
        <v>5432</v>
      </c>
      <c r="S362" s="375"/>
    </row>
    <row r="363" spans="1:27" ht="21.75" customHeight="1" x14ac:dyDescent="0.4">
      <c r="A363" s="258">
        <v>45925</v>
      </c>
      <c r="B363" s="321" t="s">
        <v>1242</v>
      </c>
      <c r="C363" s="32" t="s">
        <v>2557</v>
      </c>
      <c r="D363" s="18" t="s">
        <v>17</v>
      </c>
      <c r="E363" s="18" t="s">
        <v>332</v>
      </c>
      <c r="F363" s="18" t="s">
        <v>3554</v>
      </c>
      <c r="G363" s="63" t="s">
        <v>5349</v>
      </c>
      <c r="H363" s="350">
        <v>2700</v>
      </c>
      <c r="I363" s="353">
        <v>-270</v>
      </c>
      <c r="J363" s="350">
        <f t="shared" si="199"/>
        <v>2430</v>
      </c>
      <c r="K363" s="18">
        <v>1</v>
      </c>
      <c r="L363" s="350">
        <f t="shared" si="198"/>
        <v>2430</v>
      </c>
      <c r="M363" s="356">
        <f t="shared" si="200"/>
        <v>2673</v>
      </c>
      <c r="N363" s="18" t="s">
        <v>25</v>
      </c>
      <c r="O363" s="439"/>
      <c r="Q363" s="18" t="s">
        <v>5432</v>
      </c>
      <c r="R363" s="18" t="s">
        <v>5432</v>
      </c>
      <c r="S363" s="375"/>
    </row>
    <row r="364" spans="1:27" ht="21.75" customHeight="1" x14ac:dyDescent="0.4">
      <c r="A364" s="258">
        <v>45926</v>
      </c>
      <c r="B364" s="32" t="s">
        <v>1242</v>
      </c>
      <c r="C364" s="32" t="s">
        <v>2557</v>
      </c>
      <c r="D364" s="18" t="s">
        <v>17</v>
      </c>
      <c r="E364" s="18" t="s">
        <v>455</v>
      </c>
      <c r="F364" s="18" t="s">
        <v>3554</v>
      </c>
      <c r="G364" s="63" t="s">
        <v>5349</v>
      </c>
      <c r="H364" s="350">
        <v>2700</v>
      </c>
      <c r="I364" s="353">
        <v>-270</v>
      </c>
      <c r="J364" s="350">
        <f t="shared" ref="J364" si="201">SUM(H364:I364)</f>
        <v>2430</v>
      </c>
      <c r="K364" s="18">
        <v>1</v>
      </c>
      <c r="L364" s="350">
        <f t="shared" si="198"/>
        <v>2430</v>
      </c>
      <c r="M364" s="356">
        <f t="shared" si="200"/>
        <v>2673</v>
      </c>
      <c r="N364" s="18" t="s">
        <v>20</v>
      </c>
      <c r="O364" s="439"/>
      <c r="Q364" s="18" t="s">
        <v>5425</v>
      </c>
      <c r="R364" s="18" t="s">
        <v>5425</v>
      </c>
    </row>
    <row r="365" spans="1:27" ht="21.75" customHeight="1" x14ac:dyDescent="0.4">
      <c r="A365" s="258">
        <v>45927</v>
      </c>
      <c r="B365" s="32" t="s">
        <v>5426</v>
      </c>
      <c r="C365" s="32" t="s">
        <v>405</v>
      </c>
      <c r="D365" s="18" t="s">
        <v>22</v>
      </c>
      <c r="E365" s="18" t="s">
        <v>260</v>
      </c>
      <c r="F365" s="18"/>
      <c r="G365" s="63" t="s">
        <v>264</v>
      </c>
      <c r="H365" s="350">
        <v>15000</v>
      </c>
      <c r="I365" s="353"/>
      <c r="J365" s="350">
        <f t="shared" si="173"/>
        <v>15000</v>
      </c>
      <c r="K365" s="18">
        <v>1</v>
      </c>
      <c r="L365" s="350">
        <f t="shared" si="189"/>
        <v>15000</v>
      </c>
      <c r="M365" s="356">
        <f t="shared" si="190"/>
        <v>16500</v>
      </c>
      <c r="N365" s="18" t="s">
        <v>25</v>
      </c>
      <c r="O365" s="454" t="s">
        <v>6433</v>
      </c>
      <c r="P365" s="18" t="s">
        <v>5427</v>
      </c>
      <c r="Q365" s="18" t="s">
        <v>5427</v>
      </c>
      <c r="R365" s="18" t="s">
        <v>5428</v>
      </c>
    </row>
    <row r="366" spans="1:27" ht="21.75" customHeight="1" x14ac:dyDescent="0.4">
      <c r="A366" s="258">
        <v>45927</v>
      </c>
      <c r="B366" s="32" t="s">
        <v>5429</v>
      </c>
      <c r="C366" s="32" t="s">
        <v>2557</v>
      </c>
      <c r="D366" s="18" t="s">
        <v>27</v>
      </c>
      <c r="E366" s="18" t="s">
        <v>28</v>
      </c>
      <c r="F366" s="18"/>
      <c r="G366" s="63" t="s">
        <v>5036</v>
      </c>
      <c r="H366" s="350">
        <v>17500</v>
      </c>
      <c r="I366" s="353"/>
      <c r="J366" s="350">
        <f t="shared" si="173"/>
        <v>17500</v>
      </c>
      <c r="K366" s="18">
        <v>1</v>
      </c>
      <c r="L366" s="350">
        <f t="shared" si="189"/>
        <v>17500</v>
      </c>
      <c r="M366" s="356">
        <f t="shared" si="190"/>
        <v>19250</v>
      </c>
      <c r="N366" s="18" t="s">
        <v>25</v>
      </c>
      <c r="O366" s="441" t="s">
        <v>5410</v>
      </c>
      <c r="Q366" s="18" t="s">
        <v>2595</v>
      </c>
      <c r="R366" s="18" t="s">
        <v>4798</v>
      </c>
    </row>
    <row r="367" spans="1:27" ht="21.75" customHeight="1" x14ac:dyDescent="0.4">
      <c r="A367" s="258">
        <v>45927</v>
      </c>
      <c r="B367" s="32" t="s">
        <v>5430</v>
      </c>
      <c r="C367" s="32" t="s">
        <v>2557</v>
      </c>
      <c r="D367" s="18" t="s">
        <v>27</v>
      </c>
      <c r="E367" s="18" t="s">
        <v>28</v>
      </c>
      <c r="F367" s="18"/>
      <c r="G367" s="63" t="s">
        <v>5036</v>
      </c>
      <c r="H367" s="350">
        <v>17500</v>
      </c>
      <c r="I367" s="353"/>
      <c r="J367" s="350">
        <f t="shared" si="173"/>
        <v>17500</v>
      </c>
      <c r="K367" s="18">
        <v>1</v>
      </c>
      <c r="L367" s="350">
        <f t="shared" si="189"/>
        <v>17500</v>
      </c>
      <c r="M367" s="356">
        <f t="shared" si="190"/>
        <v>19250</v>
      </c>
      <c r="N367" s="18" t="s">
        <v>20</v>
      </c>
      <c r="O367" s="441" t="s">
        <v>5433</v>
      </c>
      <c r="Q367" s="18" t="s">
        <v>2595</v>
      </c>
      <c r="R367" s="18" t="s">
        <v>4798</v>
      </c>
    </row>
    <row r="368" spans="1:27" ht="21.75" customHeight="1" x14ac:dyDescent="0.4">
      <c r="A368" s="258">
        <v>45927</v>
      </c>
      <c r="B368" s="32" t="s">
        <v>4836</v>
      </c>
      <c r="C368" s="32" t="s">
        <v>2557</v>
      </c>
      <c r="D368" s="18" t="s">
        <v>22</v>
      </c>
      <c r="E368" s="18" t="s">
        <v>5507</v>
      </c>
      <c r="F368" s="18"/>
      <c r="G368" s="428" t="s">
        <v>5534</v>
      </c>
      <c r="H368" s="350">
        <v>20000</v>
      </c>
      <c r="I368" s="353"/>
      <c r="J368" s="350">
        <f t="shared" si="173"/>
        <v>20000</v>
      </c>
      <c r="K368" s="18">
        <v>1</v>
      </c>
      <c r="L368" s="350">
        <f t="shared" si="189"/>
        <v>20000</v>
      </c>
      <c r="M368" s="356">
        <f t="shared" si="190"/>
        <v>22000</v>
      </c>
      <c r="N368" s="18" t="s">
        <v>25</v>
      </c>
      <c r="O368" s="439"/>
      <c r="P368" s="18" t="s">
        <v>2595</v>
      </c>
      <c r="Q368" s="18" t="s">
        <v>2595</v>
      </c>
      <c r="R368" s="18" t="s">
        <v>4798</v>
      </c>
    </row>
    <row r="369" spans="1:19" ht="21.75" customHeight="1" x14ac:dyDescent="0.4">
      <c r="A369" s="258">
        <v>45927</v>
      </c>
      <c r="B369" s="32" t="s">
        <v>5435</v>
      </c>
      <c r="C369" s="18" t="s">
        <v>405</v>
      </c>
      <c r="D369" s="18" t="s">
        <v>22</v>
      </c>
      <c r="E369" s="18" t="s">
        <v>1496</v>
      </c>
      <c r="F369" s="18"/>
      <c r="G369" s="63" t="s">
        <v>2422</v>
      </c>
      <c r="H369" s="350">
        <v>2000</v>
      </c>
      <c r="I369" s="353"/>
      <c r="J369" s="350">
        <f t="shared" si="173"/>
        <v>2000</v>
      </c>
      <c r="K369" s="18">
        <v>1</v>
      </c>
      <c r="L369" s="350">
        <f t="shared" si="189"/>
        <v>2000</v>
      </c>
      <c r="M369" s="356">
        <f t="shared" si="190"/>
        <v>2200</v>
      </c>
      <c r="N369" s="18" t="s">
        <v>20</v>
      </c>
      <c r="O369" s="439"/>
      <c r="Q369" s="18" t="s">
        <v>2595</v>
      </c>
      <c r="R369" s="18" t="s">
        <v>5431</v>
      </c>
    </row>
    <row r="370" spans="1:19" ht="21.75" customHeight="1" x14ac:dyDescent="0.4">
      <c r="A370" s="258">
        <v>45927</v>
      </c>
      <c r="B370" s="32" t="s">
        <v>5434</v>
      </c>
      <c r="C370" s="18" t="s">
        <v>405</v>
      </c>
      <c r="D370" s="18" t="s">
        <v>22</v>
      </c>
      <c r="E370" s="18" t="s">
        <v>1496</v>
      </c>
      <c r="F370" s="18"/>
      <c r="G370" s="63" t="s">
        <v>2422</v>
      </c>
      <c r="H370" s="350">
        <v>2000</v>
      </c>
      <c r="I370" s="353"/>
      <c r="J370" s="350">
        <f t="shared" si="173"/>
        <v>2000</v>
      </c>
      <c r="K370" s="18">
        <v>1</v>
      </c>
      <c r="L370" s="350">
        <f t="shared" si="189"/>
        <v>2000</v>
      </c>
      <c r="M370" s="356">
        <f t="shared" si="190"/>
        <v>2200</v>
      </c>
      <c r="N370" s="18" t="s">
        <v>20</v>
      </c>
      <c r="O370" s="439"/>
      <c r="Q370" s="18" t="s">
        <v>2595</v>
      </c>
      <c r="R370" s="18" t="s">
        <v>4798</v>
      </c>
    </row>
    <row r="371" spans="1:19" ht="21.75" customHeight="1" x14ac:dyDescent="0.4">
      <c r="A371" s="258">
        <v>45928</v>
      </c>
      <c r="B371" s="321" t="s">
        <v>5448</v>
      </c>
      <c r="C371" s="32" t="s">
        <v>2557</v>
      </c>
      <c r="D371" s="18" t="s">
        <v>22</v>
      </c>
      <c r="E371" s="18" t="s">
        <v>1496</v>
      </c>
      <c r="F371" s="18"/>
      <c r="G371" s="63" t="s">
        <v>4869</v>
      </c>
      <c r="H371" s="350">
        <v>2000</v>
      </c>
      <c r="I371" s="353"/>
      <c r="J371" s="350">
        <f t="shared" si="173"/>
        <v>2000</v>
      </c>
      <c r="K371" s="18">
        <v>1</v>
      </c>
      <c r="L371" s="350">
        <f t="shared" si="189"/>
        <v>2000</v>
      </c>
      <c r="M371" s="356">
        <f t="shared" si="190"/>
        <v>2200</v>
      </c>
      <c r="N371" s="18" t="s">
        <v>20</v>
      </c>
      <c r="O371" s="439"/>
      <c r="P371" s="18" t="s">
        <v>5449</v>
      </c>
      <c r="Q371" s="18" t="s">
        <v>2595</v>
      </c>
      <c r="R371" s="18" t="s">
        <v>5437</v>
      </c>
    </row>
    <row r="372" spans="1:19" ht="21.75" customHeight="1" x14ac:dyDescent="0.4">
      <c r="A372" s="258">
        <v>45928</v>
      </c>
      <c r="B372" s="32" t="s">
        <v>5436</v>
      </c>
      <c r="C372" s="32" t="s">
        <v>405</v>
      </c>
      <c r="D372" s="18" t="s">
        <v>22</v>
      </c>
      <c r="E372" s="18" t="s">
        <v>260</v>
      </c>
      <c r="F372" s="18"/>
      <c r="G372" s="63" t="s">
        <v>264</v>
      </c>
      <c r="H372" s="350">
        <v>15000</v>
      </c>
      <c r="I372" s="353"/>
      <c r="J372" s="350">
        <f t="shared" ref="J372:J453" si="202">SUM(H372:I372)</f>
        <v>15000</v>
      </c>
      <c r="K372" s="18">
        <v>1</v>
      </c>
      <c r="L372" s="350">
        <f t="shared" si="189"/>
        <v>15000</v>
      </c>
      <c r="M372" s="356">
        <f t="shared" si="190"/>
        <v>16500</v>
      </c>
      <c r="N372" s="18" t="s">
        <v>25</v>
      </c>
      <c r="O372" s="439"/>
      <c r="P372" s="18" t="s">
        <v>2595</v>
      </c>
      <c r="Q372" s="18" t="s">
        <v>2595</v>
      </c>
      <c r="R372" s="18" t="s">
        <v>5437</v>
      </c>
      <c r="S372" s="375"/>
    </row>
    <row r="373" spans="1:19" ht="21.75" customHeight="1" x14ac:dyDescent="0.4">
      <c r="A373" s="258">
        <v>45931</v>
      </c>
      <c r="B373" s="32" t="s">
        <v>2878</v>
      </c>
      <c r="C373" s="32" t="s">
        <v>5438</v>
      </c>
      <c r="D373" s="18" t="s">
        <v>17</v>
      </c>
      <c r="E373" s="18" t="s">
        <v>5020</v>
      </c>
      <c r="F373" s="18"/>
      <c r="G373" s="63" t="s">
        <v>5439</v>
      </c>
      <c r="H373" s="350">
        <v>1000</v>
      </c>
      <c r="I373" s="353">
        <v>-400</v>
      </c>
      <c r="J373" s="350">
        <v>600</v>
      </c>
      <c r="K373" s="18">
        <v>2</v>
      </c>
      <c r="L373" s="350">
        <f t="shared" ref="L373" si="203">SUM(J373*K373)</f>
        <v>1200</v>
      </c>
      <c r="M373" s="356">
        <f t="shared" ref="M373" si="204">ROUNDDOWN(L373*1.1,0)</f>
        <v>1320</v>
      </c>
      <c r="N373" s="18" t="s">
        <v>25</v>
      </c>
      <c r="O373" s="439"/>
      <c r="P373" s="18" t="s">
        <v>2595</v>
      </c>
      <c r="Q373" s="18" t="s">
        <v>2595</v>
      </c>
      <c r="R373" s="18" t="s">
        <v>4803</v>
      </c>
    </row>
    <row r="374" spans="1:19" ht="21.75" customHeight="1" x14ac:dyDescent="0.4">
      <c r="A374" s="258">
        <v>45931</v>
      </c>
      <c r="B374" s="32" t="s">
        <v>5440</v>
      </c>
      <c r="C374" s="32" t="s">
        <v>405</v>
      </c>
      <c r="D374" s="18" t="s">
        <v>22</v>
      </c>
      <c r="E374" s="18" t="s">
        <v>260</v>
      </c>
      <c r="F374" s="18"/>
      <c r="G374" s="63" t="s">
        <v>264</v>
      </c>
      <c r="H374" s="350">
        <v>15000</v>
      </c>
      <c r="I374" s="353"/>
      <c r="J374" s="350">
        <f t="shared" si="202"/>
        <v>15000</v>
      </c>
      <c r="K374" s="18">
        <v>1</v>
      </c>
      <c r="L374" s="350">
        <f t="shared" si="189"/>
        <v>15000</v>
      </c>
      <c r="M374" s="356">
        <f t="shared" si="190"/>
        <v>16500</v>
      </c>
      <c r="N374" s="18" t="s">
        <v>5441</v>
      </c>
      <c r="O374" s="439"/>
      <c r="P374" s="18" t="s">
        <v>2595</v>
      </c>
      <c r="Q374" s="18" t="s">
        <v>2595</v>
      </c>
      <c r="R374" s="18" t="s">
        <v>2595</v>
      </c>
    </row>
    <row r="375" spans="1:19" ht="21.75" customHeight="1" x14ac:dyDescent="0.4">
      <c r="A375" s="258">
        <v>45931</v>
      </c>
      <c r="B375" s="32" t="s">
        <v>5440</v>
      </c>
      <c r="C375" s="32" t="s">
        <v>405</v>
      </c>
      <c r="D375" s="18" t="s">
        <v>22</v>
      </c>
      <c r="E375" s="18" t="s">
        <v>260</v>
      </c>
      <c r="F375" s="18"/>
      <c r="G375" s="63" t="s">
        <v>5445</v>
      </c>
      <c r="H375" s="350">
        <v>-15000</v>
      </c>
      <c r="I375" s="353"/>
      <c r="J375" s="350">
        <f t="shared" ref="J375" si="205">SUM(H375:I375)</f>
        <v>-15000</v>
      </c>
      <c r="K375" s="18">
        <v>1</v>
      </c>
      <c r="L375" s="350">
        <f t="shared" ref="L375" si="206">SUM(J375*K375)</f>
        <v>-15000</v>
      </c>
      <c r="M375" s="356">
        <v>-16500</v>
      </c>
      <c r="N375" s="18" t="s">
        <v>34</v>
      </c>
      <c r="O375" s="439"/>
      <c r="P375" s="18" t="s">
        <v>2595</v>
      </c>
      <c r="Q375" s="18" t="s">
        <v>2595</v>
      </c>
      <c r="R375" s="18" t="s">
        <v>2595</v>
      </c>
    </row>
    <row r="376" spans="1:19" ht="21.75" customHeight="1" x14ac:dyDescent="0.4">
      <c r="A376" s="258">
        <v>45931</v>
      </c>
      <c r="B376" s="32" t="s">
        <v>5440</v>
      </c>
      <c r="C376" s="32" t="s">
        <v>405</v>
      </c>
      <c r="D376" s="18" t="s">
        <v>17</v>
      </c>
      <c r="E376" s="18" t="s">
        <v>260</v>
      </c>
      <c r="F376" s="18" t="s">
        <v>5442</v>
      </c>
      <c r="G376" s="63" t="s">
        <v>5443</v>
      </c>
      <c r="H376" s="350">
        <v>52000</v>
      </c>
      <c r="I376" s="353">
        <v>-10400</v>
      </c>
      <c r="J376" s="350">
        <f t="shared" ref="J376" si="207">SUM(H376:I376)</f>
        <v>41600</v>
      </c>
      <c r="K376" s="18">
        <v>1</v>
      </c>
      <c r="L376" s="350">
        <f t="shared" ref="L376" si="208">SUM(J376*K376)</f>
        <v>41600</v>
      </c>
      <c r="M376" s="356">
        <f t="shared" ref="M376" si="209">ROUNDDOWN(L376*1.1,0)</f>
        <v>45760</v>
      </c>
      <c r="N376" s="18" t="s">
        <v>34</v>
      </c>
      <c r="O376" s="439"/>
      <c r="P376" s="18" t="s">
        <v>2595</v>
      </c>
      <c r="Q376" s="18" t="s">
        <v>2595</v>
      </c>
      <c r="R376" s="18" t="s">
        <v>2595</v>
      </c>
    </row>
    <row r="377" spans="1:19" ht="21.75" customHeight="1" x14ac:dyDescent="0.4">
      <c r="A377" s="258">
        <v>45931</v>
      </c>
      <c r="B377" s="32" t="s">
        <v>5440</v>
      </c>
      <c r="C377" s="32" t="s">
        <v>405</v>
      </c>
      <c r="D377" s="18" t="s">
        <v>17</v>
      </c>
      <c r="E377" s="18" t="s">
        <v>260</v>
      </c>
      <c r="F377" s="18" t="s">
        <v>5442</v>
      </c>
      <c r="G377" s="63" t="s">
        <v>5444</v>
      </c>
      <c r="H377" s="350">
        <v>52000</v>
      </c>
      <c r="I377" s="353">
        <v>-10400</v>
      </c>
      <c r="J377" s="350">
        <f t="shared" ref="J377:J378" si="210">SUM(H377:I377)</f>
        <v>41600</v>
      </c>
      <c r="K377" s="18">
        <v>1</v>
      </c>
      <c r="L377" s="350">
        <f t="shared" ref="L377:L378" si="211">SUM(J377*K377)</f>
        <v>41600</v>
      </c>
      <c r="M377" s="356">
        <f t="shared" ref="M377:M378" si="212">ROUNDDOWN(L377*1.1,0)</f>
        <v>45760</v>
      </c>
      <c r="N377" s="18" t="s">
        <v>34</v>
      </c>
      <c r="O377" s="439"/>
      <c r="P377" s="18" t="s">
        <v>2595</v>
      </c>
      <c r="Q377" s="18" t="s">
        <v>2595</v>
      </c>
      <c r="R377" s="18" t="s">
        <v>2595</v>
      </c>
    </row>
    <row r="378" spans="1:19" ht="21.75" customHeight="1" x14ac:dyDescent="0.4">
      <c r="A378" s="258">
        <v>45931</v>
      </c>
      <c r="B378" s="32" t="s">
        <v>5440</v>
      </c>
      <c r="C378" s="32" t="s">
        <v>405</v>
      </c>
      <c r="D378" s="18" t="s">
        <v>17</v>
      </c>
      <c r="E378" s="18" t="s">
        <v>260</v>
      </c>
      <c r="F378" s="18" t="s">
        <v>5446</v>
      </c>
      <c r="G378" s="63" t="s">
        <v>5447</v>
      </c>
      <c r="H378" s="350">
        <v>5000</v>
      </c>
      <c r="I378" s="353"/>
      <c r="J378" s="350">
        <f t="shared" si="210"/>
        <v>5000</v>
      </c>
      <c r="K378" s="18">
        <v>1</v>
      </c>
      <c r="L378" s="350">
        <f t="shared" si="211"/>
        <v>5000</v>
      </c>
      <c r="M378" s="356">
        <f t="shared" si="212"/>
        <v>5500</v>
      </c>
      <c r="N378" s="18" t="s">
        <v>34</v>
      </c>
      <c r="O378" s="439"/>
      <c r="P378" s="18" t="s">
        <v>2595</v>
      </c>
      <c r="Q378" s="18" t="s">
        <v>2595</v>
      </c>
      <c r="R378" s="18" t="s">
        <v>2595</v>
      </c>
    </row>
    <row r="379" spans="1:19" ht="21.75" customHeight="1" x14ac:dyDescent="0.4">
      <c r="A379" s="258">
        <v>45931</v>
      </c>
      <c r="B379" s="32" t="s">
        <v>4174</v>
      </c>
      <c r="C379" s="32" t="s">
        <v>5451</v>
      </c>
      <c r="D379" s="18" t="s">
        <v>27</v>
      </c>
      <c r="E379" s="18" t="s">
        <v>28</v>
      </c>
      <c r="F379" s="18"/>
      <c r="G379" s="63" t="s">
        <v>73</v>
      </c>
      <c r="H379" s="350">
        <v>2000</v>
      </c>
      <c r="I379" s="353"/>
      <c r="J379" s="350">
        <f t="shared" si="202"/>
        <v>2000</v>
      </c>
      <c r="K379" s="18">
        <v>1</v>
      </c>
      <c r="L379" s="350">
        <f t="shared" si="189"/>
        <v>2000</v>
      </c>
      <c r="M379" s="357">
        <f t="shared" si="190"/>
        <v>2200</v>
      </c>
      <c r="N379" s="18" t="s">
        <v>5452</v>
      </c>
      <c r="O379" s="439" t="s">
        <v>5633</v>
      </c>
      <c r="Q379" s="18" t="s">
        <v>5464</v>
      </c>
      <c r="R379" s="18" t="s">
        <v>5453</v>
      </c>
    </row>
    <row r="380" spans="1:19" ht="21.75" customHeight="1" x14ac:dyDescent="0.4">
      <c r="A380" s="258">
        <v>45931</v>
      </c>
      <c r="B380" s="32" t="s">
        <v>4774</v>
      </c>
      <c r="C380" s="32" t="s">
        <v>2557</v>
      </c>
      <c r="D380" s="18" t="s">
        <v>27</v>
      </c>
      <c r="E380" s="18" t="s">
        <v>28</v>
      </c>
      <c r="F380" s="18"/>
      <c r="G380" s="63" t="s">
        <v>5036</v>
      </c>
      <c r="H380" s="350">
        <v>17500</v>
      </c>
      <c r="I380" s="353"/>
      <c r="J380" s="350">
        <f t="shared" si="202"/>
        <v>17500</v>
      </c>
      <c r="K380" s="18">
        <v>1</v>
      </c>
      <c r="L380" s="350">
        <f t="shared" si="189"/>
        <v>17500</v>
      </c>
      <c r="M380" s="357">
        <f t="shared" si="190"/>
        <v>19250</v>
      </c>
      <c r="N380" s="18" t="s">
        <v>5452</v>
      </c>
      <c r="O380" s="439" t="s">
        <v>5463</v>
      </c>
      <c r="Q380" s="18" t="s">
        <v>5464</v>
      </c>
      <c r="R380" s="18" t="s">
        <v>5453</v>
      </c>
    </row>
    <row r="381" spans="1:19" ht="21.75" customHeight="1" x14ac:dyDescent="0.4">
      <c r="A381" s="258">
        <v>45932</v>
      </c>
      <c r="B381" s="32" t="s">
        <v>4865</v>
      </c>
      <c r="C381" s="32" t="s">
        <v>2557</v>
      </c>
      <c r="D381" s="18" t="s">
        <v>22</v>
      </c>
      <c r="E381" s="18" t="s">
        <v>1496</v>
      </c>
      <c r="F381" s="18"/>
      <c r="G381" s="63" t="s">
        <v>4869</v>
      </c>
      <c r="H381" s="350">
        <v>2000</v>
      </c>
      <c r="I381" s="353"/>
      <c r="J381" s="350">
        <f t="shared" si="202"/>
        <v>2000</v>
      </c>
      <c r="K381" s="18">
        <v>1</v>
      </c>
      <c r="L381" s="350">
        <f t="shared" si="189"/>
        <v>2000</v>
      </c>
      <c r="M381" s="356">
        <f t="shared" si="190"/>
        <v>2200</v>
      </c>
      <c r="N381" s="18" t="s">
        <v>20</v>
      </c>
      <c r="O381" s="439"/>
      <c r="P381" s="18" t="s">
        <v>5454</v>
      </c>
      <c r="Q381" s="18" t="s">
        <v>5455</v>
      </c>
      <c r="R381" s="242" t="s">
        <v>4798</v>
      </c>
    </row>
    <row r="382" spans="1:19" ht="21.75" customHeight="1" x14ac:dyDescent="0.4">
      <c r="A382" s="258">
        <v>45933</v>
      </c>
      <c r="B382" s="32" t="s">
        <v>5456</v>
      </c>
      <c r="C382" s="32" t="s">
        <v>5457</v>
      </c>
      <c r="D382" s="18" t="s">
        <v>22</v>
      </c>
      <c r="E382" s="18" t="s">
        <v>1496</v>
      </c>
      <c r="F382" s="18"/>
      <c r="G382" s="63" t="s">
        <v>4869</v>
      </c>
      <c r="H382" s="350">
        <v>2000</v>
      </c>
      <c r="I382" s="353"/>
      <c r="J382" s="350">
        <f t="shared" ref="J382:J385" si="213">SUM(H382:I382)</f>
        <v>2000</v>
      </c>
      <c r="K382" s="18">
        <v>1</v>
      </c>
      <c r="L382" s="350">
        <f t="shared" si="189"/>
        <v>2000</v>
      </c>
      <c r="M382" s="356">
        <f t="shared" si="190"/>
        <v>2200</v>
      </c>
      <c r="N382" s="18" t="s">
        <v>1516</v>
      </c>
      <c r="O382" s="439"/>
      <c r="P382" s="18" t="s">
        <v>5458</v>
      </c>
      <c r="Q382" s="18" t="s">
        <v>5459</v>
      </c>
      <c r="R382" s="18" t="s">
        <v>5460</v>
      </c>
      <c r="S382" s="375"/>
    </row>
    <row r="383" spans="1:19" ht="21.75" customHeight="1" x14ac:dyDescent="0.4">
      <c r="A383" s="258">
        <v>45933</v>
      </c>
      <c r="B383" s="32" t="s">
        <v>5465</v>
      </c>
      <c r="C383" s="18" t="s">
        <v>405</v>
      </c>
      <c r="D383" s="18" t="s">
        <v>22</v>
      </c>
      <c r="E383" s="18" t="s">
        <v>1496</v>
      </c>
      <c r="F383" s="18"/>
      <c r="G383" s="63" t="s">
        <v>2422</v>
      </c>
      <c r="H383" s="350">
        <v>2000</v>
      </c>
      <c r="I383" s="353"/>
      <c r="J383" s="350">
        <f t="shared" si="213"/>
        <v>2000</v>
      </c>
      <c r="K383" s="18">
        <v>1</v>
      </c>
      <c r="L383" s="350">
        <f t="shared" si="189"/>
        <v>2000</v>
      </c>
      <c r="M383" s="356">
        <f t="shared" si="190"/>
        <v>2200</v>
      </c>
      <c r="N383" s="18" t="s">
        <v>1516</v>
      </c>
      <c r="O383" s="439"/>
      <c r="Q383" s="18" t="s">
        <v>5466</v>
      </c>
      <c r="R383" s="18" t="s">
        <v>5466</v>
      </c>
      <c r="S383" s="375"/>
    </row>
    <row r="384" spans="1:19" ht="21.75" customHeight="1" x14ac:dyDescent="0.4">
      <c r="A384" s="258">
        <v>45933</v>
      </c>
      <c r="B384" s="32" t="s">
        <v>5546</v>
      </c>
      <c r="C384" s="32" t="s">
        <v>2557</v>
      </c>
      <c r="D384" s="18" t="s">
        <v>22</v>
      </c>
      <c r="E384" s="18" t="s">
        <v>4409</v>
      </c>
      <c r="F384" s="18"/>
      <c r="G384" s="63" t="s">
        <v>5036</v>
      </c>
      <c r="H384" s="350">
        <v>17500</v>
      </c>
      <c r="I384" s="353"/>
      <c r="J384" s="350">
        <f t="shared" si="213"/>
        <v>17500</v>
      </c>
      <c r="K384" s="18">
        <v>1</v>
      </c>
      <c r="L384" s="350">
        <f t="shared" ref="L384:L385" si="214">SUM(J384*K384)</f>
        <v>17500</v>
      </c>
      <c r="M384" s="356">
        <f t="shared" ref="M384:M385" si="215">ROUNDDOWN(L384*1.1,0)</f>
        <v>19250</v>
      </c>
      <c r="N384" s="18" t="s">
        <v>25</v>
      </c>
      <c r="O384" s="439" t="s">
        <v>5463</v>
      </c>
      <c r="Q384" s="18" t="s">
        <v>5548</v>
      </c>
      <c r="R384" s="18" t="s">
        <v>5549</v>
      </c>
      <c r="S384" s="375"/>
    </row>
    <row r="385" spans="1:27" ht="21.75" customHeight="1" x14ac:dyDescent="0.4">
      <c r="A385" s="258">
        <v>45933</v>
      </c>
      <c r="B385" s="32" t="s">
        <v>5547</v>
      </c>
      <c r="C385" s="32" t="s">
        <v>2557</v>
      </c>
      <c r="D385" s="18" t="s">
        <v>22</v>
      </c>
      <c r="E385" s="18" t="s">
        <v>4409</v>
      </c>
      <c r="F385" s="18"/>
      <c r="G385" s="63" t="s">
        <v>5545</v>
      </c>
      <c r="H385" s="350">
        <v>12250</v>
      </c>
      <c r="I385" s="353"/>
      <c r="J385" s="350">
        <f t="shared" si="213"/>
        <v>12250</v>
      </c>
      <c r="K385" s="18">
        <v>1</v>
      </c>
      <c r="L385" s="350">
        <f t="shared" si="214"/>
        <v>12250</v>
      </c>
      <c r="M385" s="356">
        <f t="shared" si="215"/>
        <v>13475</v>
      </c>
      <c r="N385" s="18" t="s">
        <v>25</v>
      </c>
      <c r="O385" s="439" t="s">
        <v>5463</v>
      </c>
      <c r="Q385" s="18" t="s">
        <v>5548</v>
      </c>
      <c r="R385" s="18" t="s">
        <v>5549</v>
      </c>
      <c r="S385" s="375"/>
    </row>
    <row r="386" spans="1:27" ht="21.75" customHeight="1" x14ac:dyDescent="0.4">
      <c r="A386" s="347">
        <v>45933</v>
      </c>
      <c r="B386" s="32" t="s">
        <v>4774</v>
      </c>
      <c r="C386" s="32" t="s">
        <v>2557</v>
      </c>
      <c r="D386" s="18" t="s">
        <v>17</v>
      </c>
      <c r="E386" s="18" t="s">
        <v>59</v>
      </c>
      <c r="F386" s="18"/>
      <c r="G386" s="420" t="s">
        <v>1715</v>
      </c>
      <c r="H386" s="350">
        <v>500</v>
      </c>
      <c r="I386" s="353"/>
      <c r="J386" s="350">
        <f t="shared" ref="J386" si="216">SUM(H386:I386)</f>
        <v>500</v>
      </c>
      <c r="K386" s="18">
        <v>1</v>
      </c>
      <c r="L386" s="350">
        <f t="shared" ref="L386" si="217">SUM(J386*K386)</f>
        <v>500</v>
      </c>
      <c r="M386" s="356">
        <f t="shared" ref="M386" si="218">ROUNDDOWN(L386*1.1,0)</f>
        <v>550</v>
      </c>
      <c r="N386" s="18" t="s">
        <v>20</v>
      </c>
      <c r="O386" s="439"/>
      <c r="Q386" s="18" t="s">
        <v>2595</v>
      </c>
      <c r="R386" s="18" t="s">
        <v>2595</v>
      </c>
      <c r="S386" s="375"/>
    </row>
    <row r="387" spans="1:27" ht="21.75" customHeight="1" x14ac:dyDescent="0.4">
      <c r="A387" s="258">
        <v>45934</v>
      </c>
      <c r="B387" s="32" t="s">
        <v>5472</v>
      </c>
      <c r="C387" s="32" t="s">
        <v>5471</v>
      </c>
      <c r="D387" s="18" t="s">
        <v>5473</v>
      </c>
      <c r="E387" s="18" t="s">
        <v>260</v>
      </c>
      <c r="F387" s="18"/>
      <c r="G387" s="63" t="s">
        <v>261</v>
      </c>
      <c r="H387" s="350">
        <v>20000</v>
      </c>
      <c r="I387" s="353"/>
      <c r="J387" s="350">
        <f t="shared" si="202"/>
        <v>20000</v>
      </c>
      <c r="K387" s="18">
        <v>1</v>
      </c>
      <c r="L387" s="350">
        <f t="shared" si="189"/>
        <v>20000</v>
      </c>
      <c r="M387" s="356">
        <f t="shared" si="190"/>
        <v>22000</v>
      </c>
      <c r="N387" s="18" t="s">
        <v>1516</v>
      </c>
      <c r="O387" s="439"/>
      <c r="P387" s="18" t="s">
        <v>5476</v>
      </c>
      <c r="Q387" s="18" t="s">
        <v>5477</v>
      </c>
      <c r="R387" s="18" t="s">
        <v>5477</v>
      </c>
    </row>
    <row r="388" spans="1:27" ht="21.75" customHeight="1" x14ac:dyDescent="0.4">
      <c r="A388" s="258">
        <v>45934</v>
      </c>
      <c r="B388" s="32" t="s">
        <v>5472</v>
      </c>
      <c r="C388" s="32" t="s">
        <v>5471</v>
      </c>
      <c r="D388" s="18" t="s">
        <v>5473</v>
      </c>
      <c r="E388" s="18" t="s">
        <v>260</v>
      </c>
      <c r="F388" s="18"/>
      <c r="G388" s="63" t="s">
        <v>198</v>
      </c>
      <c r="H388" s="350">
        <v>-5000</v>
      </c>
      <c r="I388" s="353"/>
      <c r="J388" s="350">
        <f t="shared" ref="J388:J389" si="219">SUM(H388:I388)</f>
        <v>-5000</v>
      </c>
      <c r="K388" s="18">
        <v>1</v>
      </c>
      <c r="L388" s="350">
        <f t="shared" ref="L388:L389" si="220">SUM(J388*K388)</f>
        <v>-5000</v>
      </c>
      <c r="M388" s="356">
        <f t="shared" ref="M388:M389" si="221">ROUNDDOWN(L388*1.1,0)</f>
        <v>-5500</v>
      </c>
      <c r="N388" s="18" t="s">
        <v>5475</v>
      </c>
      <c r="O388" s="439"/>
      <c r="P388" s="18" t="s">
        <v>5476</v>
      </c>
      <c r="Q388" s="18" t="s">
        <v>5477</v>
      </c>
      <c r="R388" s="18" t="s">
        <v>5477</v>
      </c>
    </row>
    <row r="389" spans="1:27" ht="21.75" customHeight="1" x14ac:dyDescent="0.4">
      <c r="A389" s="258">
        <v>45934</v>
      </c>
      <c r="B389" s="32" t="s">
        <v>5474</v>
      </c>
      <c r="C389" s="32" t="s">
        <v>5471</v>
      </c>
      <c r="D389" s="18" t="s">
        <v>5473</v>
      </c>
      <c r="E389" s="18" t="s">
        <v>260</v>
      </c>
      <c r="F389" s="18"/>
      <c r="G389" s="63" t="s">
        <v>261</v>
      </c>
      <c r="H389" s="350">
        <v>20000</v>
      </c>
      <c r="I389" s="353"/>
      <c r="J389" s="350">
        <f t="shared" si="219"/>
        <v>20000</v>
      </c>
      <c r="K389" s="18">
        <v>1</v>
      </c>
      <c r="L389" s="350">
        <f t="shared" si="220"/>
        <v>20000</v>
      </c>
      <c r="M389" s="356">
        <f t="shared" si="221"/>
        <v>22000</v>
      </c>
      <c r="N389" s="18" t="s">
        <v>1516</v>
      </c>
      <c r="O389" s="439"/>
      <c r="P389" s="18" t="s">
        <v>5477</v>
      </c>
      <c r="Q389" s="18" t="s">
        <v>5477</v>
      </c>
      <c r="R389" s="18" t="s">
        <v>5477</v>
      </c>
    </row>
    <row r="390" spans="1:27" ht="21.75" customHeight="1" x14ac:dyDescent="0.4">
      <c r="A390" s="258">
        <v>45934</v>
      </c>
      <c r="B390" s="32" t="s">
        <v>5474</v>
      </c>
      <c r="C390" s="32" t="s">
        <v>5471</v>
      </c>
      <c r="D390" s="18" t="s">
        <v>5473</v>
      </c>
      <c r="E390" s="18" t="s">
        <v>260</v>
      </c>
      <c r="F390" s="18"/>
      <c r="G390" s="63" t="s">
        <v>198</v>
      </c>
      <c r="H390" s="350">
        <v>-5000</v>
      </c>
      <c r="I390" s="353"/>
      <c r="J390" s="350">
        <f t="shared" ref="J390:J393" si="222">SUM(H390:I390)</f>
        <v>-5000</v>
      </c>
      <c r="K390" s="18">
        <v>1</v>
      </c>
      <c r="L390" s="350">
        <f t="shared" ref="L390:L393" si="223">SUM(J390*K390)</f>
        <v>-5000</v>
      </c>
      <c r="M390" s="356">
        <f t="shared" ref="M390:M393" si="224">ROUNDDOWN(L390*1.1,0)</f>
        <v>-5500</v>
      </c>
      <c r="N390" s="18" t="s">
        <v>5475</v>
      </c>
      <c r="O390" s="439"/>
      <c r="P390" s="18" t="s">
        <v>5477</v>
      </c>
      <c r="Q390" s="18" t="s">
        <v>5477</v>
      </c>
      <c r="R390" s="18" t="s">
        <v>5477</v>
      </c>
    </row>
    <row r="391" spans="1:27" s="388" customFormat="1" ht="21.75" customHeight="1" x14ac:dyDescent="0.4">
      <c r="A391" s="384">
        <v>45934</v>
      </c>
      <c r="B391" s="327">
        <v>0.47708333333333336</v>
      </c>
      <c r="C391" s="328" t="s">
        <v>2557</v>
      </c>
      <c r="D391" s="328" t="s">
        <v>22</v>
      </c>
      <c r="E391" s="328" t="s">
        <v>4409</v>
      </c>
      <c r="F391" s="328"/>
      <c r="G391" s="427" t="s">
        <v>5036</v>
      </c>
      <c r="H391" s="385">
        <v>17500</v>
      </c>
      <c r="I391" s="386"/>
      <c r="J391" s="385">
        <f t="shared" si="222"/>
        <v>17500</v>
      </c>
      <c r="K391" s="328">
        <v>1</v>
      </c>
      <c r="L391" s="385">
        <f t="shared" si="223"/>
        <v>17500</v>
      </c>
      <c r="M391" s="387">
        <f t="shared" si="224"/>
        <v>19250</v>
      </c>
      <c r="N391" s="328" t="s">
        <v>20</v>
      </c>
      <c r="O391" s="445" t="s">
        <v>5657</v>
      </c>
      <c r="P391" s="328"/>
      <c r="Q391" s="328"/>
      <c r="R391" s="328" t="s">
        <v>5549</v>
      </c>
      <c r="W391" s="389"/>
      <c r="X391" s="390"/>
      <c r="Y391" s="390"/>
      <c r="Z391" s="390"/>
      <c r="AA391" s="390"/>
    </row>
    <row r="392" spans="1:27" ht="21.75" customHeight="1" x14ac:dyDescent="0.4">
      <c r="A392" s="258">
        <v>45934</v>
      </c>
      <c r="B392" s="329" t="s">
        <v>5628</v>
      </c>
      <c r="C392" s="32" t="s">
        <v>2557</v>
      </c>
      <c r="D392" s="18" t="s">
        <v>22</v>
      </c>
      <c r="E392" s="18" t="s">
        <v>4409</v>
      </c>
      <c r="F392" s="18"/>
      <c r="G392" s="63" t="s">
        <v>5036</v>
      </c>
      <c r="H392" s="350">
        <v>17500</v>
      </c>
      <c r="I392" s="353"/>
      <c r="J392" s="350">
        <f t="shared" si="222"/>
        <v>17500</v>
      </c>
      <c r="K392" s="18">
        <v>1</v>
      </c>
      <c r="L392" s="350">
        <f t="shared" si="223"/>
        <v>17500</v>
      </c>
      <c r="M392" s="356">
        <f t="shared" si="224"/>
        <v>19250</v>
      </c>
      <c r="N392" s="18" t="s">
        <v>25</v>
      </c>
      <c r="O392" s="439"/>
      <c r="R392" s="18" t="s">
        <v>5549</v>
      </c>
    </row>
    <row r="393" spans="1:27" ht="21.75" customHeight="1" x14ac:dyDescent="0.4">
      <c r="A393" s="258">
        <v>45934</v>
      </c>
      <c r="B393" s="329" t="s">
        <v>5658</v>
      </c>
      <c r="C393" s="32" t="s">
        <v>405</v>
      </c>
      <c r="D393" s="18" t="s">
        <v>17</v>
      </c>
      <c r="E393" s="18" t="s">
        <v>332</v>
      </c>
      <c r="F393" s="18" t="s">
        <v>3555</v>
      </c>
      <c r="G393" s="63" t="s">
        <v>5550</v>
      </c>
      <c r="H393" s="350">
        <v>1300</v>
      </c>
      <c r="I393" s="353"/>
      <c r="J393" s="350">
        <f t="shared" si="222"/>
        <v>1300</v>
      </c>
      <c r="K393" s="18">
        <v>1</v>
      </c>
      <c r="L393" s="350">
        <f t="shared" si="223"/>
        <v>1300</v>
      </c>
      <c r="M393" s="356">
        <f t="shared" si="224"/>
        <v>1430</v>
      </c>
      <c r="N393" s="18" t="s">
        <v>25</v>
      </c>
      <c r="O393" s="439"/>
    </row>
    <row r="394" spans="1:27" ht="21.75" customHeight="1" x14ac:dyDescent="0.4">
      <c r="A394" s="347">
        <v>45935</v>
      </c>
      <c r="B394" s="32" t="s">
        <v>5467</v>
      </c>
      <c r="C394" s="32" t="s">
        <v>5468</v>
      </c>
      <c r="D394" s="18" t="s">
        <v>5469</v>
      </c>
      <c r="E394" s="18" t="s">
        <v>332</v>
      </c>
      <c r="F394" s="18" t="s">
        <v>3554</v>
      </c>
      <c r="G394" s="428" t="s">
        <v>5470</v>
      </c>
      <c r="H394" s="350">
        <v>1500</v>
      </c>
      <c r="I394" s="353">
        <v>-150</v>
      </c>
      <c r="J394" s="350">
        <f>SUM(H394:I394)</f>
        <v>1350</v>
      </c>
      <c r="K394" s="18">
        <v>8</v>
      </c>
      <c r="L394" s="350">
        <f>SUM(J394*K394)</f>
        <v>10800</v>
      </c>
      <c r="M394" s="356">
        <f>ROUNDDOWN(L394*1.1,0)</f>
        <v>11880</v>
      </c>
      <c r="N394" s="18" t="s">
        <v>1121</v>
      </c>
      <c r="O394" s="439"/>
      <c r="R394" s="18" t="s">
        <v>2595</v>
      </c>
    </row>
    <row r="395" spans="1:27" ht="21.75" customHeight="1" x14ac:dyDescent="0.4">
      <c r="A395" s="258">
        <v>45935</v>
      </c>
      <c r="B395" s="32" t="s">
        <v>4865</v>
      </c>
      <c r="C395" s="32" t="s">
        <v>2557</v>
      </c>
      <c r="D395" s="18" t="s">
        <v>22</v>
      </c>
      <c r="E395" s="18" t="s">
        <v>1496</v>
      </c>
      <c r="F395" s="18"/>
      <c r="G395" s="63" t="s">
        <v>4869</v>
      </c>
      <c r="H395" s="350">
        <v>2000</v>
      </c>
      <c r="I395" s="353"/>
      <c r="J395" s="350">
        <f t="shared" ref="J395" si="225">SUM(H395:I395)</f>
        <v>2000</v>
      </c>
      <c r="K395" s="18">
        <v>1</v>
      </c>
      <c r="L395" s="350">
        <f t="shared" ref="L395" si="226">SUM(J395*K395)</f>
        <v>2000</v>
      </c>
      <c r="M395" s="356">
        <f t="shared" ref="M395" si="227">ROUNDDOWN(L395*1.1,0)</f>
        <v>2200</v>
      </c>
      <c r="N395" s="18" t="s">
        <v>20</v>
      </c>
      <c r="O395" s="439"/>
      <c r="P395" s="18" t="s">
        <v>5449</v>
      </c>
      <c r="Q395" s="18" t="s">
        <v>2595</v>
      </c>
      <c r="R395" s="242" t="s">
        <v>2595</v>
      </c>
      <c r="S395" s="375"/>
    </row>
    <row r="396" spans="1:27" ht="21.75" customHeight="1" x14ac:dyDescent="0.4">
      <c r="A396" s="347">
        <v>45935</v>
      </c>
      <c r="B396" s="32" t="s">
        <v>5478</v>
      </c>
      <c r="C396" s="32" t="s">
        <v>5479</v>
      </c>
      <c r="D396" s="18" t="s">
        <v>5480</v>
      </c>
      <c r="E396" s="18" t="s">
        <v>332</v>
      </c>
      <c r="F396" s="18" t="s">
        <v>5481</v>
      </c>
      <c r="G396" s="63" t="s">
        <v>5482</v>
      </c>
      <c r="H396" s="350">
        <v>1800</v>
      </c>
      <c r="I396" s="353"/>
      <c r="J396" s="350">
        <f t="shared" si="202"/>
        <v>1800</v>
      </c>
      <c r="K396" s="18">
        <v>1</v>
      </c>
      <c r="L396" s="350">
        <f t="shared" si="189"/>
        <v>1800</v>
      </c>
      <c r="M396" s="356">
        <f t="shared" si="190"/>
        <v>1980</v>
      </c>
      <c r="N396" s="18" t="s">
        <v>1516</v>
      </c>
      <c r="O396" s="439"/>
      <c r="R396" s="18" t="s">
        <v>2595</v>
      </c>
    </row>
    <row r="397" spans="1:27" ht="21.75" customHeight="1" x14ac:dyDescent="0.4">
      <c r="A397" s="347">
        <v>45935</v>
      </c>
      <c r="B397" s="32" t="s">
        <v>5483</v>
      </c>
      <c r="C397" s="32" t="s">
        <v>5484</v>
      </c>
      <c r="D397" s="18" t="s">
        <v>22</v>
      </c>
      <c r="E397" s="18" t="s">
        <v>5485</v>
      </c>
      <c r="F397" s="18"/>
      <c r="G397" s="63" t="s">
        <v>5043</v>
      </c>
      <c r="H397" s="350">
        <v>55000</v>
      </c>
      <c r="I397" s="353"/>
      <c r="J397" s="350">
        <f t="shared" si="202"/>
        <v>55000</v>
      </c>
      <c r="K397" s="18">
        <v>1</v>
      </c>
      <c r="L397" s="350">
        <f t="shared" si="189"/>
        <v>55000</v>
      </c>
      <c r="M397" s="356">
        <f t="shared" si="190"/>
        <v>60500</v>
      </c>
      <c r="N397" s="18" t="s">
        <v>1516</v>
      </c>
      <c r="O397" s="439" t="s">
        <v>5512</v>
      </c>
    </row>
    <row r="398" spans="1:27" ht="21.75" customHeight="1" x14ac:dyDescent="0.4">
      <c r="A398" s="347">
        <v>45935</v>
      </c>
      <c r="B398" s="32" t="s">
        <v>5448</v>
      </c>
      <c r="C398" s="32" t="s">
        <v>2557</v>
      </c>
      <c r="D398" s="18" t="s">
        <v>22</v>
      </c>
      <c r="E398" s="18" t="s">
        <v>1496</v>
      </c>
      <c r="F398" s="18"/>
      <c r="G398" s="63" t="s">
        <v>4869</v>
      </c>
      <c r="H398" s="350">
        <v>2000</v>
      </c>
      <c r="I398" s="353"/>
      <c r="J398" s="350">
        <f t="shared" si="202"/>
        <v>2000</v>
      </c>
      <c r="K398" s="18">
        <v>1</v>
      </c>
      <c r="L398" s="350">
        <f t="shared" si="189"/>
        <v>2000</v>
      </c>
      <c r="M398" s="356">
        <f t="shared" si="190"/>
        <v>2200</v>
      </c>
      <c r="N398" s="18" t="s">
        <v>20</v>
      </c>
      <c r="O398" s="439"/>
      <c r="P398" s="18" t="s">
        <v>5449</v>
      </c>
      <c r="Q398" s="18" t="s">
        <v>2595</v>
      </c>
      <c r="R398" s="242" t="s">
        <v>2595</v>
      </c>
    </row>
    <row r="399" spans="1:27" ht="21.75" customHeight="1" x14ac:dyDescent="0.4">
      <c r="A399" s="347">
        <v>45936</v>
      </c>
      <c r="B399" s="32" t="s">
        <v>5493</v>
      </c>
      <c r="C399" s="32" t="s">
        <v>5494</v>
      </c>
      <c r="D399" s="18" t="s">
        <v>5495</v>
      </c>
      <c r="E399" s="18" t="s">
        <v>292</v>
      </c>
      <c r="F399" s="18" t="s">
        <v>1051</v>
      </c>
      <c r="G399" s="63" t="s">
        <v>5496</v>
      </c>
      <c r="H399" s="350">
        <v>5200</v>
      </c>
      <c r="I399" s="353"/>
      <c r="J399" s="350">
        <f t="shared" si="202"/>
        <v>5200</v>
      </c>
      <c r="K399" s="18">
        <v>1</v>
      </c>
      <c r="L399" s="350">
        <f t="shared" si="189"/>
        <v>5200</v>
      </c>
      <c r="M399" s="356">
        <f t="shared" si="190"/>
        <v>5720</v>
      </c>
      <c r="N399" s="18" t="s">
        <v>5497</v>
      </c>
      <c r="O399" s="439"/>
      <c r="Q399" s="18" t="s">
        <v>2595</v>
      </c>
      <c r="R399" s="242" t="s">
        <v>2595</v>
      </c>
    </row>
    <row r="400" spans="1:27" ht="21.75" customHeight="1" x14ac:dyDescent="0.4">
      <c r="A400" s="347">
        <v>45936</v>
      </c>
      <c r="B400" s="32" t="s">
        <v>148</v>
      </c>
      <c r="C400" s="32" t="s">
        <v>2557</v>
      </c>
      <c r="D400" s="18" t="s">
        <v>5495</v>
      </c>
      <c r="E400" s="18" t="s">
        <v>292</v>
      </c>
      <c r="F400" s="18" t="s">
        <v>1051</v>
      </c>
      <c r="G400" s="63" t="s">
        <v>5498</v>
      </c>
      <c r="H400" s="350">
        <v>3200</v>
      </c>
      <c r="I400" s="353">
        <v>-320</v>
      </c>
      <c r="J400" s="350">
        <f t="shared" si="202"/>
        <v>2880</v>
      </c>
      <c r="K400" s="18">
        <v>1</v>
      </c>
      <c r="L400" s="350">
        <f t="shared" si="189"/>
        <v>2880</v>
      </c>
      <c r="M400" s="356">
        <f t="shared" si="190"/>
        <v>3168</v>
      </c>
      <c r="N400" s="18" t="s">
        <v>5497</v>
      </c>
      <c r="O400" s="439"/>
      <c r="Q400" s="18" t="s">
        <v>2595</v>
      </c>
      <c r="R400" s="242" t="s">
        <v>2595</v>
      </c>
    </row>
    <row r="401" spans="1:19" ht="21.75" customHeight="1" x14ac:dyDescent="0.4">
      <c r="A401" s="347">
        <v>45936</v>
      </c>
      <c r="B401" s="32" t="s">
        <v>5499</v>
      </c>
      <c r="C401" s="32" t="s">
        <v>5492</v>
      </c>
      <c r="D401" s="18" t="s">
        <v>5495</v>
      </c>
      <c r="E401" s="18" t="s">
        <v>332</v>
      </c>
      <c r="F401" s="18" t="s">
        <v>3553</v>
      </c>
      <c r="G401" s="63" t="s">
        <v>5500</v>
      </c>
      <c r="H401" s="350">
        <v>1500</v>
      </c>
      <c r="I401" s="353">
        <v>-150</v>
      </c>
      <c r="J401" s="350">
        <f t="shared" si="202"/>
        <v>1350</v>
      </c>
      <c r="K401" s="18">
        <v>1</v>
      </c>
      <c r="L401" s="350">
        <f t="shared" si="189"/>
        <v>1350</v>
      </c>
      <c r="M401" s="356">
        <f t="shared" si="190"/>
        <v>1485</v>
      </c>
      <c r="N401" s="18" t="s">
        <v>5501</v>
      </c>
      <c r="O401" s="439"/>
      <c r="Q401" s="18" t="s">
        <v>2595</v>
      </c>
      <c r="R401" s="242" t="s">
        <v>2595</v>
      </c>
    </row>
    <row r="402" spans="1:19" ht="21.75" customHeight="1" x14ac:dyDescent="0.4">
      <c r="A402" s="347">
        <v>45938</v>
      </c>
      <c r="B402" s="32" t="s">
        <v>5502</v>
      </c>
      <c r="C402" s="32" t="s">
        <v>405</v>
      </c>
      <c r="D402" s="18" t="s">
        <v>22</v>
      </c>
      <c r="E402" s="18" t="s">
        <v>260</v>
      </c>
      <c r="F402" s="18"/>
      <c r="G402" s="63" t="s">
        <v>5503</v>
      </c>
      <c r="H402" s="350">
        <v>20000</v>
      </c>
      <c r="I402" s="353"/>
      <c r="J402" s="350">
        <f t="shared" si="202"/>
        <v>20000</v>
      </c>
      <c r="K402" s="18">
        <v>1</v>
      </c>
      <c r="L402" s="350">
        <f t="shared" si="189"/>
        <v>20000</v>
      </c>
      <c r="M402" s="356">
        <f t="shared" si="190"/>
        <v>22000</v>
      </c>
      <c r="N402" s="18" t="s">
        <v>1121</v>
      </c>
      <c r="O402" s="439"/>
      <c r="P402" s="18" t="s">
        <v>5504</v>
      </c>
      <c r="Q402" s="18" t="s">
        <v>2595</v>
      </c>
      <c r="R402" s="18" t="s">
        <v>5511</v>
      </c>
    </row>
    <row r="403" spans="1:19" ht="21.75" customHeight="1" x14ac:dyDescent="0.4">
      <c r="A403" s="347">
        <v>45938</v>
      </c>
      <c r="B403" s="32" t="s">
        <v>5505</v>
      </c>
      <c r="C403" s="32" t="s">
        <v>5506</v>
      </c>
      <c r="D403" s="18"/>
      <c r="E403" s="18" t="s">
        <v>5507</v>
      </c>
      <c r="F403" s="18"/>
      <c r="G403" s="63" t="s">
        <v>5508</v>
      </c>
      <c r="H403" s="350">
        <v>5000</v>
      </c>
      <c r="I403" s="353"/>
      <c r="J403" s="350">
        <f t="shared" si="202"/>
        <v>5000</v>
      </c>
      <c r="K403" s="18">
        <v>1</v>
      </c>
      <c r="L403" s="350">
        <f t="shared" si="189"/>
        <v>5000</v>
      </c>
      <c r="M403" s="356">
        <f t="shared" si="190"/>
        <v>5500</v>
      </c>
      <c r="N403" s="18" t="s">
        <v>1121</v>
      </c>
      <c r="O403" s="439"/>
      <c r="P403" s="18" t="s">
        <v>5509</v>
      </c>
      <c r="Q403" s="18" t="s">
        <v>2595</v>
      </c>
      <c r="R403" s="18" t="s">
        <v>5511</v>
      </c>
    </row>
    <row r="404" spans="1:19" ht="21.75" customHeight="1" x14ac:dyDescent="0.4">
      <c r="A404" s="347">
        <v>45938</v>
      </c>
      <c r="B404" s="32" t="s">
        <v>5510</v>
      </c>
      <c r="C404" s="32" t="s">
        <v>5506</v>
      </c>
      <c r="D404" s="18" t="s">
        <v>17</v>
      </c>
      <c r="E404" s="18" t="s">
        <v>332</v>
      </c>
      <c r="F404" s="18" t="s">
        <v>3554</v>
      </c>
      <c r="G404" s="63" t="s">
        <v>5047</v>
      </c>
      <c r="H404" s="350">
        <v>1300</v>
      </c>
      <c r="I404" s="353">
        <v>-130</v>
      </c>
      <c r="J404" s="350">
        <f t="shared" si="202"/>
        <v>1170</v>
      </c>
      <c r="K404" s="18">
        <v>1</v>
      </c>
      <c r="L404" s="350">
        <f t="shared" si="189"/>
        <v>1170</v>
      </c>
      <c r="M404" s="356">
        <f t="shared" si="190"/>
        <v>1287</v>
      </c>
      <c r="N404" s="18" t="s">
        <v>1121</v>
      </c>
      <c r="O404" s="439"/>
      <c r="P404" s="18" t="s">
        <v>2595</v>
      </c>
      <c r="Q404" s="18" t="s">
        <v>5511</v>
      </c>
      <c r="R404" s="18" t="s">
        <v>5511</v>
      </c>
      <c r="S404" s="375"/>
    </row>
    <row r="405" spans="1:19" ht="21.75" customHeight="1" x14ac:dyDescent="0.4">
      <c r="A405" s="347">
        <v>45939</v>
      </c>
      <c r="B405" s="32" t="s">
        <v>5537</v>
      </c>
      <c r="C405" s="32" t="s">
        <v>2557</v>
      </c>
      <c r="D405" s="18" t="s">
        <v>22</v>
      </c>
      <c r="E405" s="18" t="s">
        <v>5507</v>
      </c>
      <c r="F405" s="18"/>
      <c r="G405" s="428" t="s">
        <v>5534</v>
      </c>
      <c r="H405" s="350">
        <v>20000</v>
      </c>
      <c r="I405" s="353"/>
      <c r="J405" s="350">
        <f t="shared" si="202"/>
        <v>20000</v>
      </c>
      <c r="K405" s="18">
        <v>1</v>
      </c>
      <c r="L405" s="350">
        <f t="shared" si="189"/>
        <v>20000</v>
      </c>
      <c r="M405" s="356">
        <f t="shared" si="190"/>
        <v>22000</v>
      </c>
      <c r="N405" s="18" t="s">
        <v>20</v>
      </c>
      <c r="O405" s="439"/>
      <c r="P405" s="18" t="s">
        <v>2595</v>
      </c>
      <c r="Q405" s="18" t="s">
        <v>2595</v>
      </c>
      <c r="R405" s="18" t="s">
        <v>2595</v>
      </c>
    </row>
    <row r="406" spans="1:19" ht="21.75" customHeight="1" x14ac:dyDescent="0.4">
      <c r="A406" s="347">
        <v>45939</v>
      </c>
      <c r="B406" s="241" t="s">
        <v>1541</v>
      </c>
      <c r="C406" s="32" t="s">
        <v>2557</v>
      </c>
      <c r="D406" s="18" t="s">
        <v>17</v>
      </c>
      <c r="E406" s="18" t="s">
        <v>426</v>
      </c>
      <c r="F406" s="18" t="s">
        <v>3555</v>
      </c>
      <c r="G406" s="428" t="s">
        <v>5535</v>
      </c>
      <c r="H406" s="350">
        <v>1900</v>
      </c>
      <c r="I406" s="353">
        <v>-190</v>
      </c>
      <c r="J406" s="350">
        <f t="shared" si="202"/>
        <v>1710</v>
      </c>
      <c r="K406" s="18">
        <v>1</v>
      </c>
      <c r="L406" s="350">
        <f t="shared" si="189"/>
        <v>1710</v>
      </c>
      <c r="M406" s="356">
        <f t="shared" si="190"/>
        <v>1881</v>
      </c>
      <c r="N406" s="18" t="s">
        <v>20</v>
      </c>
      <c r="O406" s="439"/>
      <c r="R406" s="18" t="s">
        <v>2595</v>
      </c>
    </row>
    <row r="407" spans="1:19" ht="21.75" customHeight="1" x14ac:dyDescent="0.4">
      <c r="A407" s="347">
        <v>45939</v>
      </c>
      <c r="B407" s="322">
        <v>0.75208333333333333</v>
      </c>
      <c r="C407" s="32" t="s">
        <v>2557</v>
      </c>
      <c r="D407" s="18" t="s">
        <v>17</v>
      </c>
      <c r="E407" s="18" t="s">
        <v>426</v>
      </c>
      <c r="F407" s="18" t="s">
        <v>994</v>
      </c>
      <c r="G407" s="428" t="s">
        <v>19</v>
      </c>
      <c r="H407" s="350">
        <v>1800</v>
      </c>
      <c r="I407" s="353">
        <v>-180</v>
      </c>
      <c r="J407" s="350">
        <f t="shared" si="202"/>
        <v>1620</v>
      </c>
      <c r="K407" s="18">
        <v>1</v>
      </c>
      <c r="L407" s="350">
        <f t="shared" si="189"/>
        <v>1620</v>
      </c>
      <c r="M407" s="356">
        <f t="shared" si="190"/>
        <v>1782</v>
      </c>
      <c r="N407" s="18" t="s">
        <v>20</v>
      </c>
      <c r="O407" s="439"/>
      <c r="R407" s="18" t="s">
        <v>2595</v>
      </c>
    </row>
    <row r="408" spans="1:19" ht="21.75" customHeight="1" x14ac:dyDescent="0.4">
      <c r="A408" s="347">
        <v>45939</v>
      </c>
      <c r="B408" s="32" t="s">
        <v>1608</v>
      </c>
      <c r="C408" s="32" t="s">
        <v>4292</v>
      </c>
      <c r="D408" s="18" t="s">
        <v>17</v>
      </c>
      <c r="E408" s="18" t="s">
        <v>328</v>
      </c>
      <c r="F408" s="18" t="s">
        <v>788</v>
      </c>
      <c r="G408" s="428" t="s">
        <v>5538</v>
      </c>
      <c r="H408" s="350">
        <v>50000</v>
      </c>
      <c r="I408" s="353">
        <v>-25000</v>
      </c>
      <c r="J408" s="350">
        <f t="shared" si="202"/>
        <v>25000</v>
      </c>
      <c r="K408" s="18">
        <v>1</v>
      </c>
      <c r="L408" s="350">
        <f t="shared" si="189"/>
        <v>25000</v>
      </c>
      <c r="M408" s="356">
        <f>ROUNDDOWN(L408*1.1,0)</f>
        <v>27500</v>
      </c>
      <c r="N408" s="18" t="s">
        <v>1121</v>
      </c>
      <c r="O408" s="439"/>
      <c r="R408" s="18" t="s">
        <v>2595</v>
      </c>
    </row>
    <row r="409" spans="1:19" ht="21.75" customHeight="1" x14ac:dyDescent="0.4">
      <c r="A409" s="347">
        <v>45939</v>
      </c>
      <c r="B409" s="32" t="s">
        <v>1608</v>
      </c>
      <c r="C409" s="32" t="s">
        <v>4292</v>
      </c>
      <c r="D409" s="18" t="s">
        <v>17</v>
      </c>
      <c r="E409" s="18" t="s">
        <v>330</v>
      </c>
      <c r="F409" s="258" t="s">
        <v>661</v>
      </c>
      <c r="G409" s="428" t="s">
        <v>116</v>
      </c>
      <c r="H409" s="350">
        <v>5000</v>
      </c>
      <c r="I409" s="353"/>
      <c r="J409" s="350">
        <f t="shared" si="202"/>
        <v>5000</v>
      </c>
      <c r="K409" s="18">
        <v>1</v>
      </c>
      <c r="L409" s="350">
        <f t="shared" si="189"/>
        <v>5000</v>
      </c>
      <c r="M409" s="356">
        <f t="shared" si="190"/>
        <v>5500</v>
      </c>
      <c r="N409" s="18" t="s">
        <v>1121</v>
      </c>
      <c r="O409" s="439"/>
      <c r="R409" s="18" t="s">
        <v>2595</v>
      </c>
    </row>
    <row r="410" spans="1:19" ht="18.75" x14ac:dyDescent="0.4">
      <c r="A410" s="258">
        <v>45939</v>
      </c>
      <c r="B410" s="32" t="s">
        <v>1608</v>
      </c>
      <c r="C410" s="32" t="s">
        <v>4292</v>
      </c>
      <c r="D410" s="18" t="s">
        <v>17</v>
      </c>
      <c r="E410" s="18" t="s">
        <v>332</v>
      </c>
      <c r="F410" s="18" t="s">
        <v>3555</v>
      </c>
      <c r="G410" s="63" t="s">
        <v>5536</v>
      </c>
      <c r="H410" s="350">
        <v>1300</v>
      </c>
      <c r="I410" s="353">
        <v>-130</v>
      </c>
      <c r="J410" s="350">
        <f t="shared" ref="J410:J411" si="228">SUM(H410:I410)</f>
        <v>1170</v>
      </c>
      <c r="K410" s="18">
        <v>1</v>
      </c>
      <c r="L410" s="350">
        <f t="shared" ref="L410:L411" si="229">SUM(J410*K410)</f>
        <v>1170</v>
      </c>
      <c r="M410" s="356">
        <f t="shared" ref="M410:M411" si="230">ROUNDDOWN(L410*1.1,0)</f>
        <v>1287</v>
      </c>
      <c r="N410" s="18" t="s">
        <v>1121</v>
      </c>
      <c r="O410" s="439"/>
      <c r="R410" s="18" t="s">
        <v>2595</v>
      </c>
    </row>
    <row r="411" spans="1:19" ht="21.75" customHeight="1" x14ac:dyDescent="0.4">
      <c r="A411" s="258">
        <v>45940</v>
      </c>
      <c r="B411" s="241" t="s">
        <v>5543</v>
      </c>
      <c r="C411" s="32" t="s">
        <v>2557</v>
      </c>
      <c r="D411" s="18" t="s">
        <v>17</v>
      </c>
      <c r="E411" s="18" t="s">
        <v>426</v>
      </c>
      <c r="F411" s="18" t="s">
        <v>994</v>
      </c>
      <c r="G411" s="63" t="s">
        <v>19</v>
      </c>
      <c r="H411" s="350">
        <v>1800</v>
      </c>
      <c r="I411" s="353">
        <v>-180</v>
      </c>
      <c r="J411" s="350">
        <f t="shared" si="228"/>
        <v>1620</v>
      </c>
      <c r="K411" s="18">
        <v>1</v>
      </c>
      <c r="L411" s="350">
        <f t="shared" si="229"/>
        <v>1620</v>
      </c>
      <c r="M411" s="356">
        <f t="shared" si="230"/>
        <v>1782</v>
      </c>
      <c r="N411" s="18" t="s">
        <v>20</v>
      </c>
      <c r="O411" s="439"/>
      <c r="R411" s="18" t="s">
        <v>2595</v>
      </c>
      <c r="S411" s="375"/>
    </row>
    <row r="412" spans="1:19" ht="21.75" customHeight="1" x14ac:dyDescent="0.4">
      <c r="A412" s="347">
        <v>45941</v>
      </c>
      <c r="B412" s="32" t="s">
        <v>5532</v>
      </c>
      <c r="C412" s="32" t="s">
        <v>405</v>
      </c>
      <c r="D412" s="18" t="s">
        <v>17</v>
      </c>
      <c r="E412" s="18" t="s">
        <v>332</v>
      </c>
      <c r="F412" s="18" t="s">
        <v>3550</v>
      </c>
      <c r="G412" s="428" t="s">
        <v>5540</v>
      </c>
      <c r="H412" s="350">
        <v>1700</v>
      </c>
      <c r="I412" s="353"/>
      <c r="J412" s="350">
        <f t="shared" si="202"/>
        <v>1700</v>
      </c>
      <c r="K412" s="18">
        <v>2</v>
      </c>
      <c r="L412" s="350">
        <f t="shared" ref="L412:L417" si="231">SUM(J412*K412)</f>
        <v>3400</v>
      </c>
      <c r="M412" s="356">
        <f t="shared" ref="M412:M417" si="232">ROUNDDOWN(L412*1.1,0)</f>
        <v>3740</v>
      </c>
      <c r="N412" s="18" t="s">
        <v>1121</v>
      </c>
      <c r="O412" s="439"/>
      <c r="R412" s="18" t="s">
        <v>2595</v>
      </c>
    </row>
    <row r="413" spans="1:19" ht="21.75" customHeight="1" x14ac:dyDescent="0.4">
      <c r="A413" s="347">
        <v>45941</v>
      </c>
      <c r="B413" s="32" t="s">
        <v>5532</v>
      </c>
      <c r="C413" s="32" t="s">
        <v>405</v>
      </c>
      <c r="D413" s="18" t="s">
        <v>17</v>
      </c>
      <c r="E413" s="18" t="s">
        <v>328</v>
      </c>
      <c r="F413" s="18" t="s">
        <v>3599</v>
      </c>
      <c r="G413" s="428" t="s">
        <v>5551</v>
      </c>
      <c r="H413" s="350">
        <v>33000</v>
      </c>
      <c r="I413" s="353">
        <v>-6600</v>
      </c>
      <c r="J413" s="350">
        <f t="shared" ref="J413" si="233">SUM(H413:I413)</f>
        <v>26400</v>
      </c>
      <c r="K413" s="18">
        <v>2</v>
      </c>
      <c r="L413" s="350">
        <f t="shared" si="231"/>
        <v>52800</v>
      </c>
      <c r="M413" s="356">
        <f t="shared" si="232"/>
        <v>58080</v>
      </c>
      <c r="N413" s="18" t="s">
        <v>34</v>
      </c>
      <c r="O413" s="439"/>
      <c r="R413" s="18" t="s">
        <v>5549</v>
      </c>
      <c r="S413" s="375"/>
    </row>
    <row r="414" spans="1:19" ht="21.75" customHeight="1" x14ac:dyDescent="0.4">
      <c r="A414" s="347">
        <v>45941</v>
      </c>
      <c r="B414" s="32" t="s">
        <v>5533</v>
      </c>
      <c r="C414" s="32" t="s">
        <v>2557</v>
      </c>
      <c r="D414" s="18" t="s">
        <v>17</v>
      </c>
      <c r="E414" s="18" t="s">
        <v>1442</v>
      </c>
      <c r="F414" s="342" t="s">
        <v>5529</v>
      </c>
      <c r="G414" s="429" t="s">
        <v>5541</v>
      </c>
      <c r="H414" s="350">
        <v>98000</v>
      </c>
      <c r="I414" s="353">
        <v>-19600</v>
      </c>
      <c r="J414" s="350">
        <f t="shared" si="202"/>
        <v>78400</v>
      </c>
      <c r="K414" s="18">
        <v>1</v>
      </c>
      <c r="L414" s="350">
        <f t="shared" si="231"/>
        <v>78400</v>
      </c>
      <c r="M414" s="356">
        <f t="shared" si="232"/>
        <v>86240</v>
      </c>
      <c r="N414" s="18" t="s">
        <v>1121</v>
      </c>
      <c r="O414" s="439"/>
      <c r="P414" s="18" t="s">
        <v>2595</v>
      </c>
      <c r="R414" s="18" t="s">
        <v>2595</v>
      </c>
    </row>
    <row r="415" spans="1:19" ht="21.75" customHeight="1" x14ac:dyDescent="0.4">
      <c r="A415" s="347">
        <v>45941</v>
      </c>
      <c r="B415" s="241" t="s">
        <v>5544</v>
      </c>
      <c r="C415" s="32" t="s">
        <v>2557</v>
      </c>
      <c r="D415" s="18" t="s">
        <v>17</v>
      </c>
      <c r="E415" s="18" t="s">
        <v>5542</v>
      </c>
      <c r="F415" s="18" t="s">
        <v>3555</v>
      </c>
      <c r="G415" s="428" t="s">
        <v>5530</v>
      </c>
      <c r="H415" s="350">
        <v>1300</v>
      </c>
      <c r="I415" s="353">
        <v>-130</v>
      </c>
      <c r="J415" s="350">
        <f t="shared" si="202"/>
        <v>1170</v>
      </c>
      <c r="K415" s="18">
        <v>1</v>
      </c>
      <c r="L415" s="350">
        <f t="shared" si="231"/>
        <v>1170</v>
      </c>
      <c r="M415" s="356">
        <f t="shared" si="232"/>
        <v>1287</v>
      </c>
      <c r="N415" s="18" t="s">
        <v>1121</v>
      </c>
      <c r="O415" s="439"/>
      <c r="R415" s="18" t="s">
        <v>2595</v>
      </c>
    </row>
    <row r="416" spans="1:19" ht="21.75" customHeight="1" x14ac:dyDescent="0.4">
      <c r="A416" s="347">
        <v>45941</v>
      </c>
      <c r="B416" s="32" t="s">
        <v>2131</v>
      </c>
      <c r="C416" s="32" t="s">
        <v>2557</v>
      </c>
      <c r="D416" s="18" t="s">
        <v>22</v>
      </c>
      <c r="E416" s="18" t="s">
        <v>5507</v>
      </c>
      <c r="F416" s="18"/>
      <c r="G416" s="428" t="s">
        <v>6210</v>
      </c>
      <c r="H416" s="350">
        <v>5000</v>
      </c>
      <c r="I416" s="353"/>
      <c r="J416" s="350">
        <f t="shared" si="202"/>
        <v>5000</v>
      </c>
      <c r="K416" s="18">
        <v>1</v>
      </c>
      <c r="L416" s="350">
        <f t="shared" si="231"/>
        <v>5000</v>
      </c>
      <c r="M416" s="356">
        <f t="shared" si="232"/>
        <v>5500</v>
      </c>
      <c r="N416" s="18" t="s">
        <v>1121</v>
      </c>
      <c r="O416" s="439"/>
      <c r="P416" s="18" t="s">
        <v>2595</v>
      </c>
      <c r="Q416" s="18" t="s">
        <v>2595</v>
      </c>
      <c r="R416" s="18" t="s">
        <v>2595</v>
      </c>
    </row>
    <row r="417" spans="1:27" ht="21.75" customHeight="1" x14ac:dyDescent="0.4">
      <c r="A417" s="347">
        <v>45941</v>
      </c>
      <c r="B417" s="322">
        <v>0.80069444444444449</v>
      </c>
      <c r="C417" s="32" t="s">
        <v>2557</v>
      </c>
      <c r="D417" s="18" t="s">
        <v>17</v>
      </c>
      <c r="E417" s="18" t="s">
        <v>332</v>
      </c>
      <c r="F417" s="18" t="s">
        <v>3553</v>
      </c>
      <c r="G417" s="428" t="s">
        <v>5531</v>
      </c>
      <c r="H417" s="350">
        <v>1600</v>
      </c>
      <c r="I417" s="353">
        <v>-130</v>
      </c>
      <c r="J417" s="350">
        <f t="shared" si="202"/>
        <v>1470</v>
      </c>
      <c r="K417" s="18">
        <v>2</v>
      </c>
      <c r="L417" s="350">
        <f t="shared" si="231"/>
        <v>2940</v>
      </c>
      <c r="M417" s="356">
        <f t="shared" si="232"/>
        <v>3234</v>
      </c>
      <c r="N417" s="18" t="s">
        <v>1121</v>
      </c>
      <c r="O417" s="439"/>
      <c r="R417" s="18" t="s">
        <v>2595</v>
      </c>
    </row>
    <row r="418" spans="1:27" ht="21.75" customHeight="1" x14ac:dyDescent="0.4">
      <c r="A418" s="258">
        <v>45942</v>
      </c>
      <c r="B418" s="32" t="s">
        <v>5448</v>
      </c>
      <c r="C418" s="32" t="s">
        <v>2557</v>
      </c>
      <c r="D418" s="18" t="s">
        <v>22</v>
      </c>
      <c r="E418" s="18" t="s">
        <v>256</v>
      </c>
      <c r="F418" s="18"/>
      <c r="G418" s="63" t="s">
        <v>4869</v>
      </c>
      <c r="H418" s="350">
        <v>2000</v>
      </c>
      <c r="I418" s="353"/>
      <c r="J418" s="350">
        <f t="shared" ref="J418" si="234">SUM(H418:I418)</f>
        <v>2000</v>
      </c>
      <c r="K418" s="18">
        <v>1</v>
      </c>
      <c r="L418" s="350">
        <f t="shared" ref="L418" si="235">SUM(J418*K418)</f>
        <v>2000</v>
      </c>
      <c r="M418" s="356">
        <f t="shared" ref="M418" si="236">ROUNDDOWN(L418*1.1,0)</f>
        <v>2200</v>
      </c>
      <c r="N418" s="18" t="s">
        <v>20</v>
      </c>
      <c r="O418" s="439"/>
      <c r="P418" s="18" t="s">
        <v>5511</v>
      </c>
      <c r="Q418" s="18" t="s">
        <v>5511</v>
      </c>
      <c r="R418" s="18" t="s">
        <v>5511</v>
      </c>
    </row>
    <row r="419" spans="1:27" ht="21.75" customHeight="1" x14ac:dyDescent="0.4">
      <c r="A419" s="258">
        <v>45942</v>
      </c>
      <c r="B419" s="32" t="s">
        <v>1541</v>
      </c>
      <c r="C419" s="32" t="s">
        <v>5523</v>
      </c>
      <c r="D419" s="18" t="s">
        <v>5526</v>
      </c>
      <c r="E419" s="18" t="s">
        <v>5526</v>
      </c>
      <c r="F419" s="18"/>
      <c r="G419" s="428" t="s">
        <v>120</v>
      </c>
      <c r="H419" s="350">
        <v>500</v>
      </c>
      <c r="I419" s="353"/>
      <c r="J419" s="350">
        <f t="shared" si="202"/>
        <v>500</v>
      </c>
      <c r="K419" s="18">
        <v>1</v>
      </c>
      <c r="L419" s="350">
        <f t="shared" si="189"/>
        <v>500</v>
      </c>
      <c r="M419" s="356">
        <f t="shared" si="190"/>
        <v>550</v>
      </c>
      <c r="N419" s="18" t="s">
        <v>20</v>
      </c>
      <c r="O419" s="439"/>
    </row>
    <row r="420" spans="1:27" ht="21.75" customHeight="1" x14ac:dyDescent="0.4">
      <c r="A420" s="258">
        <v>45942</v>
      </c>
      <c r="B420" s="32" t="s">
        <v>5528</v>
      </c>
      <c r="C420" s="32" t="s">
        <v>5523</v>
      </c>
      <c r="D420" s="18" t="s">
        <v>5527</v>
      </c>
      <c r="E420" s="18" t="s">
        <v>4409</v>
      </c>
      <c r="F420" s="18"/>
      <c r="G420" s="63" t="s">
        <v>5036</v>
      </c>
      <c r="H420" s="350">
        <v>17500</v>
      </c>
      <c r="I420" s="353"/>
      <c r="J420" s="350">
        <f t="shared" si="202"/>
        <v>17500</v>
      </c>
      <c r="K420" s="18">
        <v>1</v>
      </c>
      <c r="L420" s="350">
        <f t="shared" si="189"/>
        <v>17500</v>
      </c>
      <c r="M420" s="356">
        <f t="shared" si="190"/>
        <v>19250</v>
      </c>
      <c r="N420" s="18" t="s">
        <v>1516</v>
      </c>
      <c r="O420" s="439" t="s">
        <v>5512</v>
      </c>
    </row>
    <row r="421" spans="1:27" ht="21.75" customHeight="1" x14ac:dyDescent="0.4">
      <c r="A421" s="258">
        <v>45945</v>
      </c>
      <c r="B421" s="32" t="s">
        <v>5514</v>
      </c>
      <c r="C421" s="32" t="s">
        <v>2557</v>
      </c>
      <c r="D421" s="18" t="s">
        <v>22</v>
      </c>
      <c r="E421" s="18" t="s">
        <v>1496</v>
      </c>
      <c r="F421" s="18"/>
      <c r="G421" s="63" t="s">
        <v>4869</v>
      </c>
      <c r="H421" s="350">
        <v>2000</v>
      </c>
      <c r="I421" s="353"/>
      <c r="J421" s="350">
        <f t="shared" ref="J421:J422" si="237">SUM(H421:I421)</f>
        <v>2000</v>
      </c>
      <c r="K421" s="18">
        <v>1</v>
      </c>
      <c r="L421" s="350">
        <f t="shared" ref="L421:L488" si="238">SUM(J421*K421)</f>
        <v>2000</v>
      </c>
      <c r="M421" s="356">
        <f t="shared" ref="M421:M488" si="239">ROUNDDOWN(L421*1.1,0)</f>
        <v>2200</v>
      </c>
      <c r="N421" s="18" t="s">
        <v>1516</v>
      </c>
      <c r="O421" s="439"/>
      <c r="P421" s="18" t="s">
        <v>2595</v>
      </c>
      <c r="Q421" s="18" t="s">
        <v>5516</v>
      </c>
      <c r="R421" s="18" t="s">
        <v>5515</v>
      </c>
    </row>
    <row r="422" spans="1:27" ht="21.75" customHeight="1" x14ac:dyDescent="0.4">
      <c r="A422" s="258">
        <v>45945</v>
      </c>
      <c r="B422" s="32" t="s">
        <v>5513</v>
      </c>
      <c r="C422" s="32" t="s">
        <v>2557</v>
      </c>
      <c r="D422" s="18" t="s">
        <v>22</v>
      </c>
      <c r="E422" s="18" t="s">
        <v>1496</v>
      </c>
      <c r="F422" s="18"/>
      <c r="G422" s="63" t="s">
        <v>4869</v>
      </c>
      <c r="H422" s="350">
        <v>2000</v>
      </c>
      <c r="I422" s="353"/>
      <c r="J422" s="350">
        <f t="shared" si="237"/>
        <v>2000</v>
      </c>
      <c r="K422" s="18">
        <v>2</v>
      </c>
      <c r="L422" s="350">
        <f t="shared" si="238"/>
        <v>4000</v>
      </c>
      <c r="M422" s="356">
        <f t="shared" si="239"/>
        <v>4400</v>
      </c>
      <c r="N422" s="18" t="s">
        <v>1516</v>
      </c>
      <c r="O422" s="439"/>
      <c r="P422" s="18" t="s">
        <v>5449</v>
      </c>
      <c r="Q422" s="18" t="s">
        <v>5515</v>
      </c>
      <c r="R422" s="18" t="s">
        <v>5515</v>
      </c>
    </row>
    <row r="423" spans="1:27" ht="21.75" customHeight="1" x14ac:dyDescent="0.4">
      <c r="A423" s="258">
        <v>45945</v>
      </c>
      <c r="B423" s="32" t="s">
        <v>5520</v>
      </c>
      <c r="C423" s="32" t="s">
        <v>2557</v>
      </c>
      <c r="D423" s="18" t="s">
        <v>5517</v>
      </c>
      <c r="E423" s="18" t="s">
        <v>5518</v>
      </c>
      <c r="F423" s="18" t="s">
        <v>3553</v>
      </c>
      <c r="G423" s="464" t="s">
        <v>6415</v>
      </c>
      <c r="H423" s="350">
        <v>1800</v>
      </c>
      <c r="I423" s="353">
        <v>-180</v>
      </c>
      <c r="J423" s="350">
        <f t="shared" si="202"/>
        <v>1620</v>
      </c>
      <c r="K423" s="18">
        <v>1</v>
      </c>
      <c r="L423" s="350">
        <f t="shared" si="238"/>
        <v>1620</v>
      </c>
      <c r="M423" s="356">
        <f t="shared" si="239"/>
        <v>1782</v>
      </c>
      <c r="N423" s="18" t="s">
        <v>5521</v>
      </c>
      <c r="O423" s="439"/>
      <c r="R423" s="18" t="s">
        <v>2595</v>
      </c>
    </row>
    <row r="424" spans="1:27" ht="21.75" customHeight="1" x14ac:dyDescent="0.4">
      <c r="A424" s="258">
        <v>45945</v>
      </c>
      <c r="B424" s="32" t="s">
        <v>5520</v>
      </c>
      <c r="C424" s="32" t="s">
        <v>2557</v>
      </c>
      <c r="D424" s="18" t="s">
        <v>5517</v>
      </c>
      <c r="E424" s="18" t="s">
        <v>5519</v>
      </c>
      <c r="F424" s="18" t="s">
        <v>994</v>
      </c>
      <c r="G424" s="63" t="s">
        <v>5539</v>
      </c>
      <c r="H424" s="350">
        <v>1800</v>
      </c>
      <c r="I424" s="353">
        <v>-180</v>
      </c>
      <c r="J424" s="350">
        <f t="shared" si="202"/>
        <v>1620</v>
      </c>
      <c r="K424" s="18">
        <v>2</v>
      </c>
      <c r="L424" s="350">
        <f t="shared" si="238"/>
        <v>3240</v>
      </c>
      <c r="M424" s="356">
        <f t="shared" si="239"/>
        <v>3564</v>
      </c>
      <c r="N424" s="18" t="s">
        <v>5521</v>
      </c>
      <c r="O424" s="439"/>
      <c r="R424" s="18" t="s">
        <v>2595</v>
      </c>
    </row>
    <row r="425" spans="1:27" ht="21.75" customHeight="1" x14ac:dyDescent="0.4">
      <c r="A425" s="258">
        <v>45945</v>
      </c>
      <c r="B425" s="32" t="s">
        <v>5522</v>
      </c>
      <c r="C425" s="32" t="s">
        <v>5524</v>
      </c>
      <c r="D425" s="18" t="s">
        <v>5517</v>
      </c>
      <c r="E425" s="18" t="s">
        <v>5518</v>
      </c>
      <c r="F425" s="18" t="s">
        <v>3555</v>
      </c>
      <c r="G425" s="63" t="s">
        <v>5525</v>
      </c>
      <c r="H425" s="350">
        <v>1300</v>
      </c>
      <c r="I425" s="353">
        <v>-546</v>
      </c>
      <c r="J425" s="350">
        <f t="shared" si="202"/>
        <v>754</v>
      </c>
      <c r="K425" s="18">
        <v>1</v>
      </c>
      <c r="L425" s="350">
        <f t="shared" si="238"/>
        <v>754</v>
      </c>
      <c r="M425" s="356">
        <f t="shared" si="239"/>
        <v>829</v>
      </c>
      <c r="N425" s="18" t="s">
        <v>20</v>
      </c>
      <c r="O425" s="439"/>
      <c r="R425" s="18" t="s">
        <v>2595</v>
      </c>
    </row>
    <row r="426" spans="1:27" ht="21.75" customHeight="1" x14ac:dyDescent="0.4">
      <c r="A426" s="258">
        <v>45946</v>
      </c>
      <c r="B426" s="32" t="s">
        <v>1861</v>
      </c>
      <c r="C426" s="32" t="s">
        <v>2557</v>
      </c>
      <c r="D426" s="18" t="s">
        <v>22</v>
      </c>
      <c r="E426" s="18" t="s">
        <v>1496</v>
      </c>
      <c r="F426" s="18"/>
      <c r="G426" s="63" t="s">
        <v>4869</v>
      </c>
      <c r="H426" s="350">
        <v>2000</v>
      </c>
      <c r="I426" s="353"/>
      <c r="J426" s="350">
        <f t="shared" ref="J426" si="240">SUM(H426:I426)</f>
        <v>2000</v>
      </c>
      <c r="K426" s="18">
        <v>2</v>
      </c>
      <c r="L426" s="350">
        <f t="shared" ref="L426:L427" si="241">SUM(J426*K426)</f>
        <v>4000</v>
      </c>
      <c r="M426" s="356">
        <f t="shared" ref="M426:M427" si="242">ROUNDDOWN(L426*1.1,0)</f>
        <v>4400</v>
      </c>
      <c r="N426" s="18" t="s">
        <v>1516</v>
      </c>
      <c r="O426" s="439"/>
      <c r="P426" s="18" t="s">
        <v>5449</v>
      </c>
      <c r="Q426" s="18" t="s">
        <v>4803</v>
      </c>
      <c r="R426" s="18" t="s">
        <v>4803</v>
      </c>
    </row>
    <row r="427" spans="1:27" s="396" customFormat="1" ht="21.75" customHeight="1" x14ac:dyDescent="0.4">
      <c r="A427" s="391">
        <v>45946</v>
      </c>
      <c r="B427" s="323" t="s">
        <v>5559</v>
      </c>
      <c r="C427" s="323" t="s">
        <v>2557</v>
      </c>
      <c r="D427" s="168" t="s">
        <v>317</v>
      </c>
      <c r="E427" s="168" t="s">
        <v>4409</v>
      </c>
      <c r="F427" s="168"/>
      <c r="G427" s="430" t="s">
        <v>79</v>
      </c>
      <c r="H427" s="392">
        <v>17500</v>
      </c>
      <c r="I427" s="393"/>
      <c r="J427" s="392">
        <f t="shared" ref="J427" si="243">SUM(H427:I427)</f>
        <v>17500</v>
      </c>
      <c r="K427" s="168">
        <v>1</v>
      </c>
      <c r="L427" s="392">
        <f t="shared" si="241"/>
        <v>17500</v>
      </c>
      <c r="M427" s="394">
        <f t="shared" si="242"/>
        <v>19250</v>
      </c>
      <c r="N427" s="168" t="s">
        <v>1516</v>
      </c>
      <c r="O427" s="446" t="s">
        <v>5512</v>
      </c>
      <c r="P427" s="168"/>
      <c r="Q427" s="168" t="s">
        <v>5561</v>
      </c>
      <c r="R427" s="168" t="s">
        <v>5561</v>
      </c>
      <c r="S427" s="395" t="s">
        <v>5562</v>
      </c>
      <c r="T427" s="395"/>
      <c r="U427" s="395"/>
      <c r="W427" s="397"/>
      <c r="X427" s="398"/>
      <c r="Y427" s="398"/>
      <c r="Z427" s="398"/>
      <c r="AA427" s="398"/>
    </row>
    <row r="428" spans="1:27" ht="21.75" customHeight="1" x14ac:dyDescent="0.4">
      <c r="A428" s="258">
        <v>45947</v>
      </c>
      <c r="B428" s="32" t="s">
        <v>1861</v>
      </c>
      <c r="C428" s="32" t="s">
        <v>2557</v>
      </c>
      <c r="D428" s="18" t="s">
        <v>22</v>
      </c>
      <c r="E428" s="18" t="s">
        <v>1496</v>
      </c>
      <c r="F428" s="18"/>
      <c r="G428" s="63" t="s">
        <v>4869</v>
      </c>
      <c r="H428" s="350">
        <v>2000</v>
      </c>
      <c r="I428" s="353"/>
      <c r="J428" s="350">
        <v>2000</v>
      </c>
      <c r="K428" s="18">
        <v>2</v>
      </c>
      <c r="L428" s="350">
        <f t="shared" ref="L428:L429" si="244">SUM(J428*K428)</f>
        <v>4000</v>
      </c>
      <c r="M428" s="356">
        <f t="shared" ref="M428:M429" si="245">ROUNDDOWN(L428*1.1,0)</f>
        <v>4400</v>
      </c>
      <c r="N428" s="18" t="s">
        <v>1516</v>
      </c>
      <c r="O428" s="439"/>
      <c r="P428" s="18" t="s">
        <v>5449</v>
      </c>
      <c r="Q428" s="18" t="s">
        <v>5449</v>
      </c>
      <c r="R428" s="18" t="s">
        <v>5449</v>
      </c>
    </row>
    <row r="429" spans="1:27" ht="21.75" customHeight="1" x14ac:dyDescent="0.4">
      <c r="A429" s="258">
        <v>45948</v>
      </c>
      <c r="B429" s="32" t="s">
        <v>5552</v>
      </c>
      <c r="C429" s="32" t="s">
        <v>2557</v>
      </c>
      <c r="D429" s="18" t="s">
        <v>22</v>
      </c>
      <c r="E429" s="18" t="s">
        <v>1496</v>
      </c>
      <c r="F429" s="18"/>
      <c r="G429" s="63" t="s">
        <v>4869</v>
      </c>
      <c r="H429" s="350">
        <v>2000</v>
      </c>
      <c r="I429" s="353"/>
      <c r="J429" s="350">
        <f t="shared" ref="J429" si="246">SUM(H429:I429)</f>
        <v>2000</v>
      </c>
      <c r="K429" s="18">
        <v>1</v>
      </c>
      <c r="L429" s="350">
        <f t="shared" si="244"/>
        <v>2000</v>
      </c>
      <c r="M429" s="356">
        <f t="shared" si="245"/>
        <v>2200</v>
      </c>
      <c r="N429" s="18" t="s">
        <v>20</v>
      </c>
      <c r="O429" s="439"/>
      <c r="P429" s="18" t="s">
        <v>5553</v>
      </c>
      <c r="Q429" s="18" t="s">
        <v>5553</v>
      </c>
      <c r="R429" s="18" t="s">
        <v>5553</v>
      </c>
    </row>
    <row r="430" spans="1:27" ht="21.75" customHeight="1" x14ac:dyDescent="0.4">
      <c r="A430" s="258">
        <v>45948</v>
      </c>
      <c r="B430" s="32" t="s">
        <v>5448</v>
      </c>
      <c r="C430" s="32" t="s">
        <v>2557</v>
      </c>
      <c r="D430" s="18" t="s">
        <v>22</v>
      </c>
      <c r="E430" s="18" t="s">
        <v>256</v>
      </c>
      <c r="F430" s="18"/>
      <c r="G430" s="63" t="s">
        <v>4869</v>
      </c>
      <c r="H430" s="350">
        <v>2000</v>
      </c>
      <c r="I430" s="353"/>
      <c r="J430" s="350">
        <f t="shared" si="202"/>
        <v>2000</v>
      </c>
      <c r="K430" s="18">
        <v>1</v>
      </c>
      <c r="L430" s="350">
        <f t="shared" si="238"/>
        <v>2000</v>
      </c>
      <c r="M430" s="356">
        <f t="shared" si="239"/>
        <v>2200</v>
      </c>
      <c r="N430" s="18" t="s">
        <v>20</v>
      </c>
      <c r="O430" s="439"/>
      <c r="P430" s="18" t="s">
        <v>5449</v>
      </c>
      <c r="Q430" s="18" t="s">
        <v>5553</v>
      </c>
      <c r="R430" s="18" t="s">
        <v>5553</v>
      </c>
    </row>
    <row r="431" spans="1:27" ht="21.75" customHeight="1" x14ac:dyDescent="0.4">
      <c r="A431" s="258">
        <v>45948</v>
      </c>
      <c r="B431" s="322">
        <v>0.62083333333333335</v>
      </c>
      <c r="C431" s="32" t="s">
        <v>2557</v>
      </c>
      <c r="D431" s="18" t="s">
        <v>17</v>
      </c>
      <c r="E431" s="18" t="s">
        <v>426</v>
      </c>
      <c r="F431" s="18" t="s">
        <v>994</v>
      </c>
      <c r="G431" s="63" t="s">
        <v>5539</v>
      </c>
      <c r="H431" s="350">
        <v>1800</v>
      </c>
      <c r="I431" s="353">
        <v>-180</v>
      </c>
      <c r="J431" s="350">
        <f t="shared" ref="J431" si="247">SUM(H431:I431)</f>
        <v>1620</v>
      </c>
      <c r="K431" s="18">
        <v>1</v>
      </c>
      <c r="L431" s="350">
        <f t="shared" ref="L431" si="248">SUM(J431*K431)</f>
        <v>1620</v>
      </c>
      <c r="M431" s="356">
        <f t="shared" ref="M431" si="249">ROUNDDOWN(L431*1.1,0)</f>
        <v>1782</v>
      </c>
      <c r="N431" s="18" t="s">
        <v>20</v>
      </c>
      <c r="O431" s="439"/>
      <c r="R431" s="18" t="s">
        <v>5560</v>
      </c>
    </row>
    <row r="432" spans="1:27" ht="21.75" customHeight="1" x14ac:dyDescent="0.4">
      <c r="A432" s="258">
        <v>45949</v>
      </c>
      <c r="B432" s="32" t="s">
        <v>5554</v>
      </c>
      <c r="C432" s="32" t="s">
        <v>405</v>
      </c>
      <c r="D432" s="18" t="s">
        <v>317</v>
      </c>
      <c r="E432" s="18" t="s">
        <v>28</v>
      </c>
      <c r="F432" s="18"/>
      <c r="G432" s="63" t="s">
        <v>5038</v>
      </c>
      <c r="H432" s="350">
        <v>5000</v>
      </c>
      <c r="I432" s="353">
        <v>0</v>
      </c>
      <c r="J432" s="350">
        <f t="shared" si="202"/>
        <v>5000</v>
      </c>
      <c r="K432" s="18">
        <v>1</v>
      </c>
      <c r="L432" s="350">
        <f t="shared" si="238"/>
        <v>5000</v>
      </c>
      <c r="M432" s="356">
        <f t="shared" si="239"/>
        <v>5500</v>
      </c>
      <c r="N432" s="18" t="s">
        <v>1516</v>
      </c>
      <c r="O432" s="439"/>
      <c r="P432" s="18" t="s">
        <v>2596</v>
      </c>
      <c r="Q432" s="18" t="s">
        <v>5555</v>
      </c>
      <c r="R432" s="18" t="s">
        <v>5556</v>
      </c>
    </row>
    <row r="433" spans="1:19" ht="21.75" customHeight="1" x14ac:dyDescent="0.4">
      <c r="A433" s="258">
        <v>45949</v>
      </c>
      <c r="B433" s="32" t="s">
        <v>5448</v>
      </c>
      <c r="C433" s="32" t="s">
        <v>2557</v>
      </c>
      <c r="D433" s="18" t="s">
        <v>5557</v>
      </c>
      <c r="E433" s="18" t="s">
        <v>1496</v>
      </c>
      <c r="F433" s="18"/>
      <c r="G433" s="63" t="s">
        <v>4869</v>
      </c>
      <c r="H433" s="350">
        <v>2000</v>
      </c>
      <c r="I433" s="353"/>
      <c r="J433" s="350">
        <f t="shared" si="202"/>
        <v>2000</v>
      </c>
      <c r="K433" s="18">
        <v>1</v>
      </c>
      <c r="L433" s="350">
        <f t="shared" si="238"/>
        <v>2000</v>
      </c>
      <c r="M433" s="356">
        <f t="shared" si="239"/>
        <v>2200</v>
      </c>
      <c r="N433" s="18" t="s">
        <v>20</v>
      </c>
      <c r="O433" s="439"/>
      <c r="P433" s="18" t="s">
        <v>5449</v>
      </c>
      <c r="Q433" s="18" t="s">
        <v>2596</v>
      </c>
      <c r="R433" s="18" t="s">
        <v>5558</v>
      </c>
    </row>
    <row r="434" spans="1:19" ht="21.75" customHeight="1" x14ac:dyDescent="0.4">
      <c r="A434" s="258">
        <v>45950</v>
      </c>
      <c r="B434" s="32" t="s">
        <v>1861</v>
      </c>
      <c r="C434" s="32" t="s">
        <v>2557</v>
      </c>
      <c r="D434" s="18" t="s">
        <v>22</v>
      </c>
      <c r="E434" s="18" t="s">
        <v>1496</v>
      </c>
      <c r="F434" s="18"/>
      <c r="G434" s="63" t="s">
        <v>4869</v>
      </c>
      <c r="H434" s="350">
        <v>2000</v>
      </c>
      <c r="I434" s="353"/>
      <c r="J434" s="350">
        <v>2000</v>
      </c>
      <c r="K434" s="18">
        <v>2</v>
      </c>
      <c r="L434" s="350">
        <f t="shared" ref="L434" si="250">SUM(J434*K434)</f>
        <v>4000</v>
      </c>
      <c r="M434" s="356">
        <f t="shared" ref="M434" si="251">ROUNDDOWN(L434*1.1,0)</f>
        <v>4400</v>
      </c>
      <c r="N434" s="18" t="s">
        <v>1516</v>
      </c>
      <c r="O434" s="439"/>
      <c r="P434" s="18" t="s">
        <v>5449</v>
      </c>
      <c r="Q434" s="18" t="s">
        <v>5449</v>
      </c>
      <c r="R434" s="18" t="s">
        <v>5449</v>
      </c>
      <c r="S434" s="375"/>
    </row>
    <row r="435" spans="1:19" ht="21.75" customHeight="1" x14ac:dyDescent="0.4">
      <c r="A435" s="258">
        <v>45952</v>
      </c>
      <c r="B435" s="32" t="s">
        <v>1861</v>
      </c>
      <c r="C435" s="32" t="s">
        <v>2557</v>
      </c>
      <c r="D435" s="18" t="s">
        <v>22</v>
      </c>
      <c r="E435" s="18" t="s">
        <v>1496</v>
      </c>
      <c r="F435" s="18"/>
      <c r="G435" s="63" t="s">
        <v>4869</v>
      </c>
      <c r="H435" s="350">
        <v>2000</v>
      </c>
      <c r="I435" s="353"/>
      <c r="J435" s="350">
        <v>2000</v>
      </c>
      <c r="K435" s="18">
        <v>2</v>
      </c>
      <c r="L435" s="350">
        <f t="shared" ref="L435:L436" si="252">SUM(J435*K435)</f>
        <v>4000</v>
      </c>
      <c r="M435" s="356">
        <f t="shared" ref="M435:M436" si="253">ROUNDDOWN(L435*1.1,0)</f>
        <v>4400</v>
      </c>
      <c r="N435" s="18" t="s">
        <v>1516</v>
      </c>
      <c r="O435" s="439"/>
      <c r="P435" s="18" t="s">
        <v>5449</v>
      </c>
      <c r="Q435" s="18" t="s">
        <v>5449</v>
      </c>
      <c r="R435" s="18" t="s">
        <v>5563</v>
      </c>
      <c r="S435" s="375"/>
    </row>
    <row r="436" spans="1:19" ht="21.75" customHeight="1" x14ac:dyDescent="0.4">
      <c r="A436" s="258">
        <v>45953</v>
      </c>
      <c r="B436" s="32" t="s">
        <v>5552</v>
      </c>
      <c r="C436" s="32" t="s">
        <v>2557</v>
      </c>
      <c r="D436" s="18" t="s">
        <v>22</v>
      </c>
      <c r="E436" s="18" t="s">
        <v>1496</v>
      </c>
      <c r="F436" s="18"/>
      <c r="G436" s="63" t="s">
        <v>4869</v>
      </c>
      <c r="H436" s="350">
        <v>2000</v>
      </c>
      <c r="I436" s="353"/>
      <c r="J436" s="350">
        <v>2000</v>
      </c>
      <c r="K436" s="18">
        <v>1</v>
      </c>
      <c r="L436" s="350">
        <f t="shared" si="252"/>
        <v>2000</v>
      </c>
      <c r="M436" s="356">
        <f t="shared" si="253"/>
        <v>2200</v>
      </c>
      <c r="N436" s="18" t="s">
        <v>20</v>
      </c>
      <c r="O436" s="439"/>
      <c r="P436" s="192"/>
      <c r="R436" s="18" t="s">
        <v>5606</v>
      </c>
      <c r="S436" s="375"/>
    </row>
    <row r="437" spans="1:19" ht="21.75" customHeight="1" x14ac:dyDescent="0.4">
      <c r="A437" s="258">
        <v>45953</v>
      </c>
      <c r="B437" s="32" t="s">
        <v>5566</v>
      </c>
      <c r="C437" s="32" t="s">
        <v>5564</v>
      </c>
      <c r="D437" s="18" t="s">
        <v>5565</v>
      </c>
      <c r="E437" s="18" t="s">
        <v>292</v>
      </c>
      <c r="F437" s="18" t="s">
        <v>1051</v>
      </c>
      <c r="G437" s="63" t="s">
        <v>3843</v>
      </c>
      <c r="H437" s="350">
        <v>5700</v>
      </c>
      <c r="I437" s="353"/>
      <c r="J437" s="350">
        <v>5700</v>
      </c>
      <c r="K437" s="18">
        <v>1</v>
      </c>
      <c r="L437" s="350">
        <f t="shared" si="238"/>
        <v>5700</v>
      </c>
      <c r="M437" s="356">
        <f t="shared" si="239"/>
        <v>6270</v>
      </c>
      <c r="N437" s="18" t="s">
        <v>1516</v>
      </c>
      <c r="O437" s="439"/>
      <c r="P437" s="18" t="s">
        <v>5567</v>
      </c>
      <c r="Q437" s="18" t="s">
        <v>5567</v>
      </c>
      <c r="R437" s="18" t="s">
        <v>5567</v>
      </c>
    </row>
    <row r="438" spans="1:19" ht="21.75" customHeight="1" x14ac:dyDescent="0.4">
      <c r="A438" s="258">
        <v>45954</v>
      </c>
      <c r="B438" s="32" t="s">
        <v>1861</v>
      </c>
      <c r="C438" s="32" t="s">
        <v>2557</v>
      </c>
      <c r="D438" s="18" t="s">
        <v>22</v>
      </c>
      <c r="E438" s="18" t="s">
        <v>1496</v>
      </c>
      <c r="F438" s="18"/>
      <c r="G438" s="63" t="s">
        <v>4869</v>
      </c>
      <c r="H438" s="350">
        <v>2000</v>
      </c>
      <c r="I438" s="353"/>
      <c r="J438" s="350">
        <v>2000</v>
      </c>
      <c r="K438" s="18">
        <v>2</v>
      </c>
      <c r="L438" s="350">
        <f t="shared" si="238"/>
        <v>4000</v>
      </c>
      <c r="M438" s="356">
        <f t="shared" si="239"/>
        <v>4400</v>
      </c>
      <c r="N438" s="18" t="s">
        <v>1516</v>
      </c>
      <c r="O438" s="439"/>
      <c r="P438" s="18" t="s">
        <v>5449</v>
      </c>
      <c r="Q438" s="18" t="s">
        <v>5449</v>
      </c>
      <c r="R438" s="18" t="s">
        <v>5568</v>
      </c>
    </row>
    <row r="439" spans="1:19" ht="21.75" customHeight="1" x14ac:dyDescent="0.4">
      <c r="A439" s="258">
        <v>45954</v>
      </c>
      <c r="B439" s="32" t="s">
        <v>148</v>
      </c>
      <c r="C439" s="32" t="s">
        <v>2557</v>
      </c>
      <c r="D439" s="18" t="s">
        <v>5109</v>
      </c>
      <c r="E439" s="18" t="s">
        <v>28</v>
      </c>
      <c r="F439" s="18"/>
      <c r="G439" s="63" t="s">
        <v>5036</v>
      </c>
      <c r="H439" s="350">
        <v>17500</v>
      </c>
      <c r="I439" s="353"/>
      <c r="J439" s="350">
        <v>17500</v>
      </c>
      <c r="K439" s="18">
        <v>1</v>
      </c>
      <c r="L439" s="350">
        <v>17500</v>
      </c>
      <c r="M439" s="356">
        <v>19250</v>
      </c>
      <c r="N439" s="18" t="s">
        <v>20</v>
      </c>
      <c r="O439" s="439" t="s">
        <v>5512</v>
      </c>
      <c r="Q439" s="18" t="s">
        <v>2595</v>
      </c>
      <c r="R439" s="18" t="s">
        <v>2595</v>
      </c>
    </row>
    <row r="440" spans="1:19" ht="21.75" customHeight="1" x14ac:dyDescent="0.4">
      <c r="A440" s="258">
        <v>45954</v>
      </c>
      <c r="B440" s="32" t="s">
        <v>148</v>
      </c>
      <c r="C440" s="32" t="s">
        <v>2557</v>
      </c>
      <c r="D440" s="18" t="s">
        <v>17</v>
      </c>
      <c r="E440" s="18" t="s">
        <v>292</v>
      </c>
      <c r="F440" s="18" t="s">
        <v>1051</v>
      </c>
      <c r="G440" s="63" t="s">
        <v>4973</v>
      </c>
      <c r="H440" s="350">
        <v>3200</v>
      </c>
      <c r="I440" s="353">
        <v>-320</v>
      </c>
      <c r="J440" s="350">
        <v>2880</v>
      </c>
      <c r="K440" s="18">
        <v>1</v>
      </c>
      <c r="L440" s="350">
        <v>2880</v>
      </c>
      <c r="M440" s="356">
        <v>3168</v>
      </c>
      <c r="N440" s="18" t="s">
        <v>20</v>
      </c>
      <c r="O440" s="439"/>
      <c r="Q440" s="18" t="s">
        <v>2595</v>
      </c>
      <c r="R440" s="18" t="s">
        <v>2595</v>
      </c>
    </row>
    <row r="441" spans="1:19" ht="21.75" customHeight="1" x14ac:dyDescent="0.4">
      <c r="A441" s="258">
        <v>45955</v>
      </c>
      <c r="B441" s="322">
        <v>0.63124999999999998</v>
      </c>
      <c r="C441" s="32" t="s">
        <v>2557</v>
      </c>
      <c r="D441" s="18" t="s">
        <v>17</v>
      </c>
      <c r="E441" s="18" t="s">
        <v>426</v>
      </c>
      <c r="F441" s="18" t="s">
        <v>994</v>
      </c>
      <c r="G441" s="63" t="s">
        <v>5607</v>
      </c>
      <c r="H441" s="350">
        <v>1800</v>
      </c>
      <c r="I441" s="353">
        <v>-180</v>
      </c>
      <c r="J441" s="350">
        <f t="shared" ref="J441:J444" si="254">SUM(H441:I441)</f>
        <v>1620</v>
      </c>
      <c r="K441" s="18">
        <v>1</v>
      </c>
      <c r="L441" s="350">
        <f t="shared" ref="L441:L444" si="255">SUM(J441*K441)</f>
        <v>1620</v>
      </c>
      <c r="M441" s="356">
        <f t="shared" ref="M441:M444" si="256">ROUNDDOWN(L441*1.1,0)</f>
        <v>1782</v>
      </c>
      <c r="N441" s="18" t="s">
        <v>20</v>
      </c>
      <c r="O441" s="439"/>
      <c r="R441" s="18" t="s">
        <v>5606</v>
      </c>
    </row>
    <row r="442" spans="1:19" ht="21.75" customHeight="1" x14ac:dyDescent="0.4">
      <c r="A442" s="258">
        <v>45955</v>
      </c>
      <c r="B442" s="32" t="s">
        <v>5448</v>
      </c>
      <c r="C442" s="32" t="s">
        <v>2557</v>
      </c>
      <c r="D442" s="18" t="s">
        <v>22</v>
      </c>
      <c r="E442" s="18" t="s">
        <v>1496</v>
      </c>
      <c r="F442" s="18"/>
      <c r="G442" s="63" t="s">
        <v>4869</v>
      </c>
      <c r="H442" s="350">
        <v>2000</v>
      </c>
      <c r="I442" s="353"/>
      <c r="J442" s="350">
        <f t="shared" si="254"/>
        <v>2000</v>
      </c>
      <c r="K442" s="18">
        <v>1</v>
      </c>
      <c r="L442" s="350">
        <f t="shared" si="255"/>
        <v>2000</v>
      </c>
      <c r="M442" s="356">
        <f t="shared" si="256"/>
        <v>2200</v>
      </c>
      <c r="N442" s="18" t="s">
        <v>20</v>
      </c>
      <c r="O442" s="439"/>
      <c r="P442" s="18" t="s">
        <v>5449</v>
      </c>
      <c r="Q442" s="18" t="s">
        <v>2595</v>
      </c>
      <c r="R442" s="18" t="s">
        <v>5449</v>
      </c>
    </row>
    <row r="443" spans="1:19" ht="21.75" customHeight="1" x14ac:dyDescent="0.4">
      <c r="A443" s="258">
        <v>45955</v>
      </c>
      <c r="B443" s="32" t="s">
        <v>3117</v>
      </c>
      <c r="C443" s="32" t="s">
        <v>2557</v>
      </c>
      <c r="D443" s="18" t="s">
        <v>17</v>
      </c>
      <c r="E443" s="18" t="s">
        <v>576</v>
      </c>
      <c r="F443" s="18" t="s">
        <v>3997</v>
      </c>
      <c r="G443" s="63" t="s">
        <v>4028</v>
      </c>
      <c r="H443" s="350">
        <v>80000</v>
      </c>
      <c r="I443" s="353">
        <v>-8000</v>
      </c>
      <c r="J443" s="350">
        <f t="shared" si="254"/>
        <v>72000</v>
      </c>
      <c r="K443" s="18">
        <v>1</v>
      </c>
      <c r="L443" s="350">
        <f t="shared" si="255"/>
        <v>72000</v>
      </c>
      <c r="M443" s="356">
        <f t="shared" si="256"/>
        <v>79200</v>
      </c>
      <c r="N443" s="18" t="s">
        <v>1121</v>
      </c>
      <c r="O443" s="439"/>
      <c r="Q443" s="18" t="s">
        <v>2595</v>
      </c>
      <c r="R443" s="18" t="s">
        <v>5606</v>
      </c>
    </row>
    <row r="444" spans="1:19" ht="21.75" customHeight="1" x14ac:dyDescent="0.4">
      <c r="A444" s="258">
        <v>45955</v>
      </c>
      <c r="B444" s="32" t="s">
        <v>3117</v>
      </c>
      <c r="C444" s="32" t="s">
        <v>2557</v>
      </c>
      <c r="D444" s="18" t="s">
        <v>17</v>
      </c>
      <c r="E444" s="192"/>
      <c r="F444" s="192"/>
      <c r="G444" s="193"/>
      <c r="H444" s="350">
        <v>1500</v>
      </c>
      <c r="I444" s="353"/>
      <c r="J444" s="350">
        <f t="shared" si="254"/>
        <v>1500</v>
      </c>
      <c r="K444" s="18">
        <v>1</v>
      </c>
      <c r="L444" s="350">
        <f t="shared" si="255"/>
        <v>1500</v>
      </c>
      <c r="M444" s="356">
        <f t="shared" si="256"/>
        <v>1650</v>
      </c>
      <c r="N444" s="18" t="s">
        <v>1121</v>
      </c>
      <c r="O444" s="439"/>
      <c r="Q444" s="18" t="s">
        <v>2595</v>
      </c>
      <c r="R444" s="18" t="s">
        <v>5606</v>
      </c>
    </row>
    <row r="445" spans="1:19" ht="21.75" customHeight="1" x14ac:dyDescent="0.4">
      <c r="A445" s="258">
        <v>45956</v>
      </c>
      <c r="B445" s="32" t="s">
        <v>5448</v>
      </c>
      <c r="C445" s="32" t="s">
        <v>2557</v>
      </c>
      <c r="D445" s="18" t="s">
        <v>22</v>
      </c>
      <c r="E445" s="18" t="s">
        <v>1496</v>
      </c>
      <c r="F445" s="18"/>
      <c r="G445" s="63" t="s">
        <v>4869</v>
      </c>
      <c r="H445" s="350">
        <v>2000</v>
      </c>
      <c r="I445" s="353"/>
      <c r="J445" s="350">
        <f t="shared" ref="J445:J446" si="257">SUM(H445:I445)</f>
        <v>2000</v>
      </c>
      <c r="K445" s="18">
        <v>1</v>
      </c>
      <c r="L445" s="350">
        <f t="shared" ref="L445" si="258">SUM(J445*K445)</f>
        <v>2000</v>
      </c>
      <c r="M445" s="356">
        <f t="shared" ref="M445" si="259">ROUNDDOWN(L445*1.1,0)</f>
        <v>2200</v>
      </c>
      <c r="N445" s="18" t="s">
        <v>20</v>
      </c>
      <c r="O445" s="439"/>
      <c r="P445" s="18" t="s">
        <v>5449</v>
      </c>
      <c r="Q445" s="18" t="s">
        <v>5449</v>
      </c>
      <c r="R445" s="18" t="s">
        <v>5449</v>
      </c>
    </row>
    <row r="446" spans="1:19" ht="21.75" customHeight="1" x14ac:dyDescent="0.4">
      <c r="A446" s="258">
        <v>45956</v>
      </c>
      <c r="B446" s="32" t="s">
        <v>5569</v>
      </c>
      <c r="C446" s="32" t="s">
        <v>2557</v>
      </c>
      <c r="D446" s="18" t="s">
        <v>5570</v>
      </c>
      <c r="E446" s="18" t="s">
        <v>328</v>
      </c>
      <c r="F446" s="18" t="s">
        <v>788</v>
      </c>
      <c r="G446" s="63" t="s">
        <v>5571</v>
      </c>
      <c r="H446" s="350">
        <v>50000</v>
      </c>
      <c r="I446" s="353">
        <v>-10000</v>
      </c>
      <c r="J446" s="350">
        <f t="shared" si="257"/>
        <v>40000</v>
      </c>
      <c r="K446" s="18">
        <v>1</v>
      </c>
      <c r="L446" s="350">
        <v>42430</v>
      </c>
      <c r="M446" s="356">
        <v>46673</v>
      </c>
      <c r="N446" s="18" t="s">
        <v>1121</v>
      </c>
      <c r="O446" s="439"/>
      <c r="P446" s="18" t="s">
        <v>2595</v>
      </c>
      <c r="Q446" s="18" t="s">
        <v>2595</v>
      </c>
      <c r="R446" s="18" t="s">
        <v>5449</v>
      </c>
    </row>
    <row r="447" spans="1:19" ht="21.75" customHeight="1" x14ac:dyDescent="0.4">
      <c r="A447" s="258">
        <v>45956</v>
      </c>
      <c r="B447" s="32" t="s">
        <v>5573</v>
      </c>
      <c r="C447" s="32" t="s">
        <v>405</v>
      </c>
      <c r="D447" s="18" t="s">
        <v>317</v>
      </c>
      <c r="E447" s="18" t="s">
        <v>28</v>
      </c>
      <c r="F447" s="18"/>
      <c r="G447" s="63" t="s">
        <v>5038</v>
      </c>
      <c r="H447" s="350">
        <v>5000</v>
      </c>
      <c r="I447" s="353">
        <v>0</v>
      </c>
      <c r="J447" s="350">
        <f t="shared" ref="J447" si="260">SUM(H447:I447)</f>
        <v>5000</v>
      </c>
      <c r="K447" s="18">
        <v>1</v>
      </c>
      <c r="L447" s="350">
        <f t="shared" ref="L447" si="261">SUM(J447*K447)</f>
        <v>5000</v>
      </c>
      <c r="M447" s="356">
        <f t="shared" ref="M447" si="262">ROUNDDOWN(L447*1.1,0)</f>
        <v>5500</v>
      </c>
      <c r="N447" s="18" t="s">
        <v>20</v>
      </c>
      <c r="O447" s="439"/>
      <c r="P447" s="18" t="s">
        <v>2595</v>
      </c>
      <c r="Q447" s="18" t="s">
        <v>2595</v>
      </c>
      <c r="R447" s="18" t="s">
        <v>5449</v>
      </c>
    </row>
    <row r="448" spans="1:19" ht="21.75" customHeight="1" x14ac:dyDescent="0.4">
      <c r="A448" s="258">
        <v>45956</v>
      </c>
      <c r="B448" s="32" t="s">
        <v>5572</v>
      </c>
      <c r="C448" s="32" t="s">
        <v>2557</v>
      </c>
      <c r="D448" s="18" t="s">
        <v>5109</v>
      </c>
      <c r="E448" s="18" t="s">
        <v>28</v>
      </c>
      <c r="F448" s="18"/>
      <c r="G448" s="63" t="s">
        <v>5036</v>
      </c>
      <c r="H448" s="350">
        <v>17500</v>
      </c>
      <c r="I448" s="353"/>
      <c r="J448" s="350">
        <v>17500</v>
      </c>
      <c r="K448" s="18">
        <v>1</v>
      </c>
      <c r="L448" s="350">
        <v>17500</v>
      </c>
      <c r="M448" s="356">
        <v>19250</v>
      </c>
      <c r="N448" s="18" t="s">
        <v>1516</v>
      </c>
      <c r="O448" s="439" t="s">
        <v>5512</v>
      </c>
      <c r="Q448" s="18" t="s">
        <v>2595</v>
      </c>
      <c r="R448" s="18" t="s">
        <v>5449</v>
      </c>
    </row>
    <row r="449" spans="1:18" ht="21.75" customHeight="1" x14ac:dyDescent="0.4">
      <c r="A449" s="258">
        <v>45956</v>
      </c>
      <c r="B449" s="32" t="s">
        <v>5574</v>
      </c>
      <c r="C449" s="32" t="s">
        <v>405</v>
      </c>
      <c r="D449" s="18" t="s">
        <v>22</v>
      </c>
      <c r="E449" s="18" t="s">
        <v>22</v>
      </c>
      <c r="F449" s="18" t="s">
        <v>260</v>
      </c>
      <c r="G449" s="63" t="s">
        <v>264</v>
      </c>
      <c r="H449" s="350">
        <v>15000</v>
      </c>
      <c r="I449" s="350"/>
      <c r="J449" s="350">
        <f t="shared" ref="J449" si="263">SUM(H449:I449)</f>
        <v>15000</v>
      </c>
      <c r="K449" s="18">
        <v>1</v>
      </c>
      <c r="L449" s="350">
        <f t="shared" ref="L449" si="264">SUM(J449*K449)</f>
        <v>15000</v>
      </c>
      <c r="M449" s="356">
        <f t="shared" ref="M449" si="265">ROUNDDOWN(L449*1.1,0)</f>
        <v>16500</v>
      </c>
      <c r="N449" s="18" t="s">
        <v>1121</v>
      </c>
      <c r="O449" s="439"/>
      <c r="P449" s="18" t="s">
        <v>2595</v>
      </c>
      <c r="Q449" s="18" t="s">
        <v>2595</v>
      </c>
      <c r="R449" s="18" t="s">
        <v>5449</v>
      </c>
    </row>
    <row r="450" spans="1:18" ht="21.75" customHeight="1" x14ac:dyDescent="0.4">
      <c r="A450" s="258">
        <v>45956</v>
      </c>
      <c r="B450" s="32" t="s">
        <v>5574</v>
      </c>
      <c r="C450" s="32" t="s">
        <v>405</v>
      </c>
      <c r="D450" s="18" t="s">
        <v>17</v>
      </c>
      <c r="E450" s="18" t="s">
        <v>328</v>
      </c>
      <c r="F450" s="18" t="s">
        <v>5575</v>
      </c>
      <c r="G450" s="63" t="s">
        <v>5576</v>
      </c>
      <c r="H450" s="350">
        <v>70000</v>
      </c>
      <c r="I450" s="353">
        <v>-14000</v>
      </c>
      <c r="J450" s="350">
        <f t="shared" si="202"/>
        <v>56000</v>
      </c>
      <c r="K450" s="18">
        <v>1</v>
      </c>
      <c r="L450" s="350">
        <f t="shared" si="238"/>
        <v>56000</v>
      </c>
      <c r="M450" s="356">
        <f t="shared" si="239"/>
        <v>61600</v>
      </c>
      <c r="N450" s="18" t="s">
        <v>1121</v>
      </c>
      <c r="O450" s="439"/>
      <c r="P450" s="18" t="s">
        <v>2595</v>
      </c>
      <c r="Q450" s="18" t="s">
        <v>2595</v>
      </c>
      <c r="R450" s="18" t="s">
        <v>5449</v>
      </c>
    </row>
    <row r="451" spans="1:18" ht="21.75" customHeight="1" x14ac:dyDescent="0.4">
      <c r="A451" s="258">
        <v>45956</v>
      </c>
      <c r="B451" s="32" t="s">
        <v>4774</v>
      </c>
      <c r="C451" s="32" t="s">
        <v>5587</v>
      </c>
      <c r="D451" s="18" t="s">
        <v>5109</v>
      </c>
      <c r="E451" s="18" t="s">
        <v>28</v>
      </c>
      <c r="F451" s="18"/>
      <c r="G451" s="63" t="s">
        <v>5036</v>
      </c>
      <c r="H451" s="350">
        <v>17500</v>
      </c>
      <c r="I451" s="353"/>
      <c r="J451" s="350">
        <v>17500</v>
      </c>
      <c r="K451" s="18">
        <v>1</v>
      </c>
      <c r="L451" s="350">
        <v>17500</v>
      </c>
      <c r="M451" s="356">
        <v>19250</v>
      </c>
      <c r="N451" s="18" t="s">
        <v>5588</v>
      </c>
      <c r="O451" s="439" t="s">
        <v>5512</v>
      </c>
      <c r="P451" s="18" t="s">
        <v>5589</v>
      </c>
      <c r="Q451" s="18" t="s">
        <v>5589</v>
      </c>
      <c r="R451" s="18" t="s">
        <v>5590</v>
      </c>
    </row>
    <row r="452" spans="1:18" ht="21.75" customHeight="1" x14ac:dyDescent="0.4">
      <c r="A452" s="258">
        <v>45957</v>
      </c>
      <c r="B452" s="32" t="s">
        <v>5577</v>
      </c>
      <c r="C452" s="32" t="s">
        <v>5578</v>
      </c>
      <c r="D452" s="18" t="s">
        <v>5579</v>
      </c>
      <c r="E452" s="18" t="s">
        <v>5580</v>
      </c>
      <c r="F452" s="18" t="s">
        <v>3553</v>
      </c>
      <c r="G452" s="63" t="s">
        <v>5581</v>
      </c>
      <c r="H452" s="350">
        <v>1800</v>
      </c>
      <c r="I452" s="353">
        <v>-180</v>
      </c>
      <c r="J452" s="350">
        <f t="shared" si="202"/>
        <v>1620</v>
      </c>
      <c r="K452" s="18">
        <v>6</v>
      </c>
      <c r="L452" s="350">
        <f t="shared" si="238"/>
        <v>9720</v>
      </c>
      <c r="M452" s="356">
        <f t="shared" si="239"/>
        <v>10692</v>
      </c>
      <c r="N452" s="18" t="s">
        <v>5582</v>
      </c>
      <c r="O452" s="439"/>
      <c r="P452" s="18" t="s">
        <v>5583</v>
      </c>
      <c r="Q452" s="18" t="s">
        <v>5583</v>
      </c>
      <c r="R452" s="18" t="s">
        <v>5583</v>
      </c>
    </row>
    <row r="453" spans="1:18" ht="21.75" customHeight="1" x14ac:dyDescent="0.4">
      <c r="A453" s="258">
        <v>45957</v>
      </c>
      <c r="B453" s="32" t="s">
        <v>5584</v>
      </c>
      <c r="C453" s="32" t="s">
        <v>5578</v>
      </c>
      <c r="D453" s="18" t="s">
        <v>5579</v>
      </c>
      <c r="E453" s="18" t="s">
        <v>5580</v>
      </c>
      <c r="F453" s="18" t="s">
        <v>3554</v>
      </c>
      <c r="G453" s="428" t="s">
        <v>5470</v>
      </c>
      <c r="H453" s="350">
        <v>1500</v>
      </c>
      <c r="I453" s="353">
        <v>-150</v>
      </c>
      <c r="J453" s="350">
        <f t="shared" si="202"/>
        <v>1350</v>
      </c>
      <c r="K453" s="18">
        <v>1</v>
      </c>
      <c r="L453" s="350">
        <f t="shared" si="238"/>
        <v>1350</v>
      </c>
      <c r="M453" s="356">
        <f t="shared" si="239"/>
        <v>1485</v>
      </c>
      <c r="N453" s="18" t="s">
        <v>5582</v>
      </c>
      <c r="O453" s="439"/>
      <c r="P453" s="18" t="s">
        <v>5583</v>
      </c>
      <c r="Q453" s="18" t="s">
        <v>5583</v>
      </c>
      <c r="R453" s="18" t="s">
        <v>5583</v>
      </c>
    </row>
    <row r="454" spans="1:18" ht="21.75" customHeight="1" x14ac:dyDescent="0.4">
      <c r="A454" s="258">
        <v>45957</v>
      </c>
      <c r="B454" s="32" t="s">
        <v>5585</v>
      </c>
      <c r="C454" s="32"/>
      <c r="D454" s="18" t="s">
        <v>17</v>
      </c>
      <c r="E454" s="18" t="s">
        <v>426</v>
      </c>
      <c r="F454" s="18" t="s">
        <v>994</v>
      </c>
      <c r="G454" s="63" t="s">
        <v>5586</v>
      </c>
      <c r="H454" s="350">
        <v>1800</v>
      </c>
      <c r="I454" s="353"/>
      <c r="J454" s="350">
        <f t="shared" ref="J454:J489" si="266">SUM(H454:I454)</f>
        <v>1800</v>
      </c>
      <c r="K454" s="18">
        <v>2</v>
      </c>
      <c r="L454" s="350">
        <f t="shared" si="238"/>
        <v>3600</v>
      </c>
      <c r="M454" s="356">
        <f t="shared" si="239"/>
        <v>3960</v>
      </c>
      <c r="N454" s="18" t="s">
        <v>20</v>
      </c>
      <c r="O454" s="439"/>
      <c r="P454" s="18" t="s">
        <v>2594</v>
      </c>
      <c r="Q454" s="18" t="s">
        <v>2594</v>
      </c>
      <c r="R454" s="18" t="s">
        <v>2594</v>
      </c>
    </row>
    <row r="455" spans="1:18" ht="21.75" customHeight="1" x14ac:dyDescent="0.4">
      <c r="A455" s="258">
        <v>45957</v>
      </c>
      <c r="B455" s="32" t="s">
        <v>1861</v>
      </c>
      <c r="C455" s="32" t="s">
        <v>2557</v>
      </c>
      <c r="D455" s="18" t="s">
        <v>22</v>
      </c>
      <c r="E455" s="18" t="s">
        <v>1496</v>
      </c>
      <c r="F455" s="18"/>
      <c r="G455" s="63" t="s">
        <v>4869</v>
      </c>
      <c r="H455" s="350">
        <v>2000</v>
      </c>
      <c r="I455" s="353"/>
      <c r="J455" s="350">
        <v>2000</v>
      </c>
      <c r="K455" s="18">
        <v>2</v>
      </c>
      <c r="L455" s="350">
        <f t="shared" ref="L455" si="267">SUM(J455*K455)</f>
        <v>4000</v>
      </c>
      <c r="M455" s="356">
        <f t="shared" ref="M455" si="268">ROUNDDOWN(L455*1.1,0)</f>
        <v>4400</v>
      </c>
      <c r="N455" s="18" t="s">
        <v>1516</v>
      </c>
      <c r="O455" s="439"/>
      <c r="P455" s="18" t="s">
        <v>5449</v>
      </c>
      <c r="Q455" s="18" t="s">
        <v>5449</v>
      </c>
      <c r="R455" s="18" t="s">
        <v>5449</v>
      </c>
    </row>
    <row r="456" spans="1:18" ht="21.75" customHeight="1" x14ac:dyDescent="0.4">
      <c r="A456" s="258">
        <v>45957</v>
      </c>
      <c r="B456" s="32" t="s">
        <v>4450</v>
      </c>
      <c r="C456" s="32" t="s">
        <v>2557</v>
      </c>
      <c r="D456" s="18" t="s">
        <v>17</v>
      </c>
      <c r="E456" s="18" t="s">
        <v>292</v>
      </c>
      <c r="F456" s="18" t="s">
        <v>1051</v>
      </c>
      <c r="G456" s="63" t="s">
        <v>3843</v>
      </c>
      <c r="H456" s="350">
        <v>5700</v>
      </c>
      <c r="I456" s="353"/>
      <c r="J456" s="350">
        <f t="shared" si="266"/>
        <v>5700</v>
      </c>
      <c r="K456" s="18">
        <v>2</v>
      </c>
      <c r="L456" s="350">
        <f t="shared" si="238"/>
        <v>11400</v>
      </c>
      <c r="M456" s="356">
        <f t="shared" si="239"/>
        <v>12540</v>
      </c>
      <c r="N456" s="18" t="s">
        <v>1516</v>
      </c>
      <c r="O456" s="439"/>
      <c r="Q456" s="18" t="s">
        <v>5449</v>
      </c>
      <c r="R456" s="18" t="s">
        <v>5449</v>
      </c>
    </row>
    <row r="457" spans="1:18" ht="21.75" customHeight="1" x14ac:dyDescent="0.4">
      <c r="A457" s="258">
        <v>45957</v>
      </c>
      <c r="B457" s="32" t="s">
        <v>148</v>
      </c>
      <c r="C457" s="32" t="s">
        <v>5587</v>
      </c>
      <c r="D457" s="18" t="s">
        <v>5591</v>
      </c>
      <c r="E457" s="18" t="s">
        <v>426</v>
      </c>
      <c r="F457" s="18" t="s">
        <v>994</v>
      </c>
      <c r="G457" s="63" t="s">
        <v>5592</v>
      </c>
      <c r="H457" s="350">
        <v>1800</v>
      </c>
      <c r="I457" s="353">
        <v>-180</v>
      </c>
      <c r="J457" s="350">
        <f t="shared" si="266"/>
        <v>1620</v>
      </c>
      <c r="K457" s="18">
        <v>1</v>
      </c>
      <c r="L457" s="350">
        <f t="shared" si="238"/>
        <v>1620</v>
      </c>
      <c r="M457" s="356">
        <f t="shared" si="239"/>
        <v>1782</v>
      </c>
      <c r="N457" s="18" t="s">
        <v>20</v>
      </c>
      <c r="O457" s="439"/>
      <c r="P457" s="18" t="s">
        <v>2594</v>
      </c>
      <c r="Q457" s="18" t="s">
        <v>2594</v>
      </c>
      <c r="R457" s="18" t="s">
        <v>2594</v>
      </c>
    </row>
    <row r="458" spans="1:18" ht="21.75" customHeight="1" x14ac:dyDescent="0.4">
      <c r="A458" s="258">
        <v>45959</v>
      </c>
      <c r="B458" s="32" t="s">
        <v>5593</v>
      </c>
      <c r="C458" s="32" t="s">
        <v>405</v>
      </c>
      <c r="D458" s="18" t="s">
        <v>22</v>
      </c>
      <c r="E458" s="18" t="s">
        <v>1496</v>
      </c>
      <c r="F458" s="18"/>
      <c r="G458" s="63" t="s">
        <v>5376</v>
      </c>
      <c r="H458" s="350">
        <v>5000</v>
      </c>
      <c r="I458" s="353"/>
      <c r="J458" s="350">
        <f t="shared" ref="J458:J461" si="269">SUM(H458:I458)</f>
        <v>5000</v>
      </c>
      <c r="K458" s="18">
        <v>1</v>
      </c>
      <c r="L458" s="350">
        <f t="shared" ref="L458:L461" si="270">SUM(J458*K458)</f>
        <v>5000</v>
      </c>
      <c r="M458" s="356">
        <f t="shared" ref="M458:M461" si="271">ROUNDDOWN(L458*1.1,0)</f>
        <v>5500</v>
      </c>
      <c r="N458" s="18" t="s">
        <v>20</v>
      </c>
      <c r="O458" s="454" t="s">
        <v>6433</v>
      </c>
      <c r="P458" s="18" t="s">
        <v>2595</v>
      </c>
      <c r="Q458" s="18" t="s">
        <v>4803</v>
      </c>
      <c r="R458" s="18" t="s">
        <v>4803</v>
      </c>
    </row>
    <row r="459" spans="1:18" ht="21.75" customHeight="1" x14ac:dyDescent="0.4">
      <c r="A459" s="258">
        <v>45959</v>
      </c>
      <c r="B459" s="32" t="s">
        <v>5608</v>
      </c>
      <c r="C459" s="32" t="s">
        <v>2557</v>
      </c>
      <c r="D459" s="18" t="s">
        <v>17</v>
      </c>
      <c r="E459" s="18" t="s">
        <v>332</v>
      </c>
      <c r="F459" s="18" t="s">
        <v>3553</v>
      </c>
      <c r="G459" s="464" t="s">
        <v>6416</v>
      </c>
      <c r="H459" s="350">
        <v>1800</v>
      </c>
      <c r="I459" s="353">
        <v>-180</v>
      </c>
      <c r="J459" s="350">
        <f t="shared" si="269"/>
        <v>1620</v>
      </c>
      <c r="K459" s="18">
        <v>1</v>
      </c>
      <c r="L459" s="350">
        <f t="shared" si="270"/>
        <v>1620</v>
      </c>
      <c r="M459" s="356">
        <f t="shared" si="271"/>
        <v>1782</v>
      </c>
      <c r="N459" s="18" t="s">
        <v>20</v>
      </c>
      <c r="O459" s="439"/>
      <c r="Q459" s="18" t="s">
        <v>4803</v>
      </c>
      <c r="R459" s="18" t="s">
        <v>4803</v>
      </c>
    </row>
    <row r="460" spans="1:18" ht="21.75" customHeight="1" x14ac:dyDescent="0.4">
      <c r="A460" s="258">
        <v>45959</v>
      </c>
      <c r="B460" s="32" t="s">
        <v>5608</v>
      </c>
      <c r="C460" s="32" t="s">
        <v>2557</v>
      </c>
      <c r="D460" s="18" t="s">
        <v>17</v>
      </c>
      <c r="E460" s="18" t="s">
        <v>332</v>
      </c>
      <c r="F460" s="18" t="s">
        <v>3553</v>
      </c>
      <c r="G460" s="464" t="s">
        <v>6417</v>
      </c>
      <c r="H460" s="350">
        <v>1800</v>
      </c>
      <c r="I460" s="353">
        <v>-180</v>
      </c>
      <c r="J460" s="350">
        <f t="shared" ref="J460" si="272">SUM(H460:I460)</f>
        <v>1620</v>
      </c>
      <c r="K460" s="18">
        <v>1</v>
      </c>
      <c r="L460" s="350">
        <f t="shared" ref="L460" si="273">SUM(J460*K460)</f>
        <v>1620</v>
      </c>
      <c r="M460" s="356">
        <f t="shared" ref="M460" si="274">ROUNDDOWN(L460*1.1,0)</f>
        <v>1782</v>
      </c>
      <c r="N460" s="18" t="s">
        <v>20</v>
      </c>
      <c r="O460" s="439"/>
      <c r="Q460" s="18" t="s">
        <v>4803</v>
      </c>
      <c r="R460" s="18" t="s">
        <v>4803</v>
      </c>
    </row>
    <row r="461" spans="1:18" ht="21.75" customHeight="1" x14ac:dyDescent="0.4">
      <c r="A461" s="258">
        <v>45959</v>
      </c>
      <c r="B461" s="32" t="s">
        <v>2760</v>
      </c>
      <c r="C461" s="32" t="s">
        <v>2557</v>
      </c>
      <c r="D461" s="18" t="s">
        <v>27</v>
      </c>
      <c r="E461" s="18" t="s">
        <v>28</v>
      </c>
      <c r="F461" s="18"/>
      <c r="G461" s="63" t="s">
        <v>73</v>
      </c>
      <c r="H461" s="350">
        <v>2000</v>
      </c>
      <c r="I461" s="353"/>
      <c r="J461" s="350">
        <f t="shared" si="269"/>
        <v>2000</v>
      </c>
      <c r="K461" s="18">
        <v>1</v>
      </c>
      <c r="L461" s="350">
        <f t="shared" si="270"/>
        <v>2000</v>
      </c>
      <c r="M461" s="356">
        <f t="shared" si="271"/>
        <v>2200</v>
      </c>
      <c r="N461" s="18" t="s">
        <v>20</v>
      </c>
      <c r="O461" s="439" t="s">
        <v>5629</v>
      </c>
      <c r="R461" s="18" t="s">
        <v>4803</v>
      </c>
    </row>
    <row r="462" spans="1:18" ht="21.75" customHeight="1" x14ac:dyDescent="0.4">
      <c r="A462" s="258">
        <v>45960</v>
      </c>
      <c r="B462" s="32" t="s">
        <v>5594</v>
      </c>
      <c r="C462" s="32" t="s">
        <v>5595</v>
      </c>
      <c r="D462" s="18" t="s">
        <v>27</v>
      </c>
      <c r="E462" s="18" t="s">
        <v>28</v>
      </c>
      <c r="F462" s="18"/>
      <c r="G462" s="63" t="s">
        <v>4582</v>
      </c>
      <c r="H462" s="350">
        <v>5000</v>
      </c>
      <c r="I462" s="353"/>
      <c r="J462" s="350">
        <f t="shared" si="266"/>
        <v>5000</v>
      </c>
      <c r="K462" s="18">
        <v>1</v>
      </c>
      <c r="L462" s="350">
        <f t="shared" si="238"/>
        <v>5000</v>
      </c>
      <c r="M462" s="357">
        <f t="shared" si="239"/>
        <v>5500</v>
      </c>
      <c r="N462" s="18" t="s">
        <v>20</v>
      </c>
      <c r="O462" s="454" t="s">
        <v>5596</v>
      </c>
      <c r="Q462" s="18" t="s">
        <v>5597</v>
      </c>
      <c r="R462" s="18" t="s">
        <v>5597</v>
      </c>
    </row>
    <row r="463" spans="1:18" ht="21.75" customHeight="1" x14ac:dyDescent="0.4">
      <c r="A463" s="258">
        <v>45960</v>
      </c>
      <c r="B463" s="32" t="s">
        <v>5598</v>
      </c>
      <c r="C463" s="32"/>
      <c r="D463" s="18" t="s">
        <v>17</v>
      </c>
      <c r="E463" s="18" t="s">
        <v>426</v>
      </c>
      <c r="F463" s="18" t="s">
        <v>994</v>
      </c>
      <c r="G463" s="63" t="s">
        <v>5599</v>
      </c>
      <c r="H463" s="350">
        <v>1800</v>
      </c>
      <c r="I463" s="353"/>
      <c r="J463" s="350">
        <f t="shared" si="266"/>
        <v>1800</v>
      </c>
      <c r="K463" s="18">
        <v>1</v>
      </c>
      <c r="L463" s="350">
        <f t="shared" si="238"/>
        <v>1800</v>
      </c>
      <c r="M463" s="356">
        <f t="shared" si="239"/>
        <v>1980</v>
      </c>
      <c r="N463" s="18" t="s">
        <v>1516</v>
      </c>
      <c r="O463" s="439"/>
      <c r="Q463" s="18" t="s">
        <v>5597</v>
      </c>
      <c r="R463" s="18" t="s">
        <v>5597</v>
      </c>
    </row>
    <row r="464" spans="1:18" ht="21.75" customHeight="1" x14ac:dyDescent="0.4">
      <c r="A464" s="258">
        <v>45960</v>
      </c>
      <c r="B464" s="32" t="s">
        <v>5609</v>
      </c>
      <c r="C464" s="32" t="s">
        <v>2557</v>
      </c>
      <c r="D464" s="18" t="s">
        <v>17</v>
      </c>
      <c r="E464" s="18" t="s">
        <v>332</v>
      </c>
      <c r="F464" s="18" t="s">
        <v>3554</v>
      </c>
      <c r="G464" s="63" t="s">
        <v>5047</v>
      </c>
      <c r="H464" s="350">
        <v>1300</v>
      </c>
      <c r="I464" s="353">
        <v>-130</v>
      </c>
      <c r="J464" s="350">
        <f t="shared" si="266"/>
        <v>1170</v>
      </c>
      <c r="K464" s="18">
        <v>2</v>
      </c>
      <c r="L464" s="350">
        <f t="shared" si="238"/>
        <v>2340</v>
      </c>
      <c r="M464" s="356">
        <f t="shared" si="239"/>
        <v>2574</v>
      </c>
      <c r="N464" s="18" t="s">
        <v>1121</v>
      </c>
      <c r="O464" s="439"/>
      <c r="Q464" s="18" t="s">
        <v>5610</v>
      </c>
      <c r="R464" s="18" t="s">
        <v>4803</v>
      </c>
    </row>
    <row r="465" spans="1:19" ht="21.75" customHeight="1" x14ac:dyDescent="0.4">
      <c r="A465" s="258">
        <v>45960</v>
      </c>
      <c r="B465" s="32" t="s">
        <v>5611</v>
      </c>
      <c r="C465" s="32" t="s">
        <v>2557</v>
      </c>
      <c r="D465" s="18" t="s">
        <v>17</v>
      </c>
      <c r="E465" s="18" t="s">
        <v>332</v>
      </c>
      <c r="F465" s="18" t="s">
        <v>3553</v>
      </c>
      <c r="G465" s="63" t="s">
        <v>5613</v>
      </c>
      <c r="H465" s="350">
        <v>1800</v>
      </c>
      <c r="I465" s="353">
        <v>-180</v>
      </c>
      <c r="J465" s="350">
        <f t="shared" si="266"/>
        <v>1620</v>
      </c>
      <c r="K465" s="18">
        <v>2</v>
      </c>
      <c r="L465" s="350">
        <f t="shared" ref="L465:L469" si="275">SUM(J465*K465)</f>
        <v>3240</v>
      </c>
      <c r="M465" s="356">
        <f t="shared" ref="M465:M469" si="276">ROUNDDOWN(L465*1.1,0)</f>
        <v>3564</v>
      </c>
      <c r="N465" s="18" t="s">
        <v>20</v>
      </c>
      <c r="O465" s="439"/>
      <c r="Q465" s="18" t="s">
        <v>5612</v>
      </c>
      <c r="R465" s="18" t="s">
        <v>4803</v>
      </c>
    </row>
    <row r="466" spans="1:19" ht="21.75" customHeight="1" x14ac:dyDescent="0.4">
      <c r="A466" s="258">
        <v>45960</v>
      </c>
      <c r="B466" s="32" t="s">
        <v>5614</v>
      </c>
      <c r="C466" s="32" t="s">
        <v>2557</v>
      </c>
      <c r="D466" s="18" t="s">
        <v>17</v>
      </c>
      <c r="E466" s="18" t="s">
        <v>332</v>
      </c>
      <c r="F466" s="18" t="s">
        <v>3553</v>
      </c>
      <c r="G466" s="63" t="s">
        <v>5613</v>
      </c>
      <c r="H466" s="350">
        <v>1800</v>
      </c>
      <c r="I466" s="353">
        <v>-180</v>
      </c>
      <c r="J466" s="350">
        <f t="shared" ref="J466:J467" si="277">SUM(H466:I466)</f>
        <v>1620</v>
      </c>
      <c r="K466" s="18">
        <v>1</v>
      </c>
      <c r="L466" s="350">
        <f t="shared" si="275"/>
        <v>1620</v>
      </c>
      <c r="M466" s="356">
        <f t="shared" si="276"/>
        <v>1782</v>
      </c>
      <c r="N466" s="18" t="s">
        <v>20</v>
      </c>
      <c r="O466" s="439"/>
      <c r="Q466" s="18" t="s">
        <v>5612</v>
      </c>
      <c r="R466" s="18" t="s">
        <v>4803</v>
      </c>
    </row>
    <row r="467" spans="1:19" ht="21.75" customHeight="1" x14ac:dyDescent="0.4">
      <c r="A467" s="258">
        <v>45960</v>
      </c>
      <c r="B467" s="32" t="s">
        <v>5615</v>
      </c>
      <c r="C467" s="18" t="s">
        <v>405</v>
      </c>
      <c r="D467" s="18" t="s">
        <v>22</v>
      </c>
      <c r="E467" s="18" t="s">
        <v>1496</v>
      </c>
      <c r="F467" s="18"/>
      <c r="G467" s="63" t="s">
        <v>2422</v>
      </c>
      <c r="H467" s="350">
        <v>2000</v>
      </c>
      <c r="I467" s="353"/>
      <c r="J467" s="350">
        <f t="shared" si="277"/>
        <v>2000</v>
      </c>
      <c r="K467" s="18">
        <v>1</v>
      </c>
      <c r="L467" s="350">
        <f t="shared" si="275"/>
        <v>2000</v>
      </c>
      <c r="M467" s="356">
        <f t="shared" si="276"/>
        <v>2200</v>
      </c>
      <c r="N467" s="18" t="s">
        <v>20</v>
      </c>
      <c r="O467" s="439"/>
      <c r="R467" s="18" t="s">
        <v>4803</v>
      </c>
    </row>
    <row r="468" spans="1:19" ht="21.75" customHeight="1" x14ac:dyDescent="0.4">
      <c r="A468" s="258">
        <v>45961</v>
      </c>
      <c r="B468" s="32" t="s">
        <v>5069</v>
      </c>
      <c r="C468" s="32" t="s">
        <v>2557</v>
      </c>
      <c r="D468" s="18" t="s">
        <v>22</v>
      </c>
      <c r="E468" s="18" t="s">
        <v>1496</v>
      </c>
      <c r="F468" s="18"/>
      <c r="G468" s="63" t="s">
        <v>4869</v>
      </c>
      <c r="H468" s="350">
        <v>2000</v>
      </c>
      <c r="I468" s="353"/>
      <c r="J468" s="350">
        <v>2000</v>
      </c>
      <c r="K468" s="18">
        <v>2</v>
      </c>
      <c r="L468" s="350">
        <f t="shared" si="275"/>
        <v>4000</v>
      </c>
      <c r="M468" s="356">
        <f t="shared" si="276"/>
        <v>4400</v>
      </c>
      <c r="N468" s="18" t="s">
        <v>1516</v>
      </c>
      <c r="O468" s="439"/>
      <c r="P468" s="192" t="s">
        <v>5684</v>
      </c>
      <c r="Q468" s="18" t="s">
        <v>5684</v>
      </c>
      <c r="R468" s="18" t="s">
        <v>4803</v>
      </c>
    </row>
    <row r="469" spans="1:19" ht="21.75" customHeight="1" x14ac:dyDescent="0.4">
      <c r="A469" s="258">
        <v>45961</v>
      </c>
      <c r="B469" s="32" t="s">
        <v>5552</v>
      </c>
      <c r="C469" s="32" t="s">
        <v>2557</v>
      </c>
      <c r="D469" s="18" t="s">
        <v>22</v>
      </c>
      <c r="E469" s="18" t="s">
        <v>1496</v>
      </c>
      <c r="F469" s="18"/>
      <c r="G469" s="63" t="s">
        <v>4869</v>
      </c>
      <c r="H469" s="350">
        <v>2000</v>
      </c>
      <c r="I469" s="353"/>
      <c r="J469" s="350">
        <v>2000</v>
      </c>
      <c r="K469" s="18">
        <v>1</v>
      </c>
      <c r="L469" s="350">
        <f t="shared" si="275"/>
        <v>2000</v>
      </c>
      <c r="M469" s="356">
        <f t="shared" si="276"/>
        <v>2200</v>
      </c>
      <c r="N469" s="18" t="s">
        <v>20</v>
      </c>
      <c r="O469" s="439"/>
      <c r="P469" s="192"/>
      <c r="R469" s="18" t="s">
        <v>4803</v>
      </c>
    </row>
    <row r="470" spans="1:19" ht="21.75" customHeight="1" x14ac:dyDescent="0.4">
      <c r="A470" s="258">
        <v>45962</v>
      </c>
      <c r="B470" s="32" t="s">
        <v>5600</v>
      </c>
      <c r="C470" s="32" t="s">
        <v>405</v>
      </c>
      <c r="D470" s="18" t="s">
        <v>22</v>
      </c>
      <c r="E470" s="18" t="s">
        <v>1496</v>
      </c>
      <c r="F470" s="18"/>
      <c r="G470" s="63" t="s">
        <v>2422</v>
      </c>
      <c r="H470" s="399">
        <v>2000</v>
      </c>
      <c r="I470" s="353"/>
      <c r="J470" s="399">
        <f t="shared" si="266"/>
        <v>2000</v>
      </c>
      <c r="K470" s="18">
        <v>1</v>
      </c>
      <c r="L470" s="399">
        <f t="shared" si="238"/>
        <v>2000</v>
      </c>
      <c r="M470" s="399">
        <f t="shared" si="239"/>
        <v>2200</v>
      </c>
      <c r="N470" s="18" t="s">
        <v>5602</v>
      </c>
      <c r="O470" s="439"/>
      <c r="Q470" s="18" t="s">
        <v>5604</v>
      </c>
      <c r="R470" s="18" t="s">
        <v>4803</v>
      </c>
    </row>
    <row r="471" spans="1:19" ht="21.75" customHeight="1" x14ac:dyDescent="0.4">
      <c r="A471" s="258">
        <v>45962</v>
      </c>
      <c r="B471" s="32" t="s">
        <v>5601</v>
      </c>
      <c r="C471" s="32" t="s">
        <v>2557</v>
      </c>
      <c r="D471" s="18" t="s">
        <v>17</v>
      </c>
      <c r="E471" s="18" t="s">
        <v>332</v>
      </c>
      <c r="F471" s="18" t="s">
        <v>3555</v>
      </c>
      <c r="G471" s="63" t="s">
        <v>5603</v>
      </c>
      <c r="H471" s="399">
        <v>1300</v>
      </c>
      <c r="I471" s="353">
        <v>-130</v>
      </c>
      <c r="J471" s="399">
        <f t="shared" ref="J471" si="278">SUM(H471:I471)</f>
        <v>1170</v>
      </c>
      <c r="K471" s="18">
        <v>1</v>
      </c>
      <c r="L471" s="399">
        <f t="shared" ref="L471" si="279">SUM(J471*K471)</f>
        <v>1170</v>
      </c>
      <c r="M471" s="399">
        <f t="shared" ref="M471" si="280">ROUNDDOWN(L471*1.1,0)</f>
        <v>1287</v>
      </c>
      <c r="N471" s="18" t="s">
        <v>1121</v>
      </c>
      <c r="O471" s="439"/>
      <c r="Q471" s="18" t="s">
        <v>5604</v>
      </c>
      <c r="R471" s="18" t="s">
        <v>4803</v>
      </c>
      <c r="S471" s="67" t="s">
        <v>5605</v>
      </c>
    </row>
    <row r="472" spans="1:19" ht="21.75" customHeight="1" x14ac:dyDescent="0.4">
      <c r="A472" s="258">
        <v>45962</v>
      </c>
      <c r="B472" s="32" t="s">
        <v>5510</v>
      </c>
      <c r="C472" s="32" t="s">
        <v>2557</v>
      </c>
      <c r="D472" s="18" t="s">
        <v>27</v>
      </c>
      <c r="E472" s="18" t="s">
        <v>28</v>
      </c>
      <c r="F472" s="18"/>
      <c r="G472" s="63" t="s">
        <v>73</v>
      </c>
      <c r="H472" s="399">
        <v>2000</v>
      </c>
      <c r="I472" s="353"/>
      <c r="J472" s="399">
        <f t="shared" si="266"/>
        <v>2000</v>
      </c>
      <c r="K472" s="18">
        <v>3</v>
      </c>
      <c r="L472" s="399">
        <f t="shared" si="238"/>
        <v>6000</v>
      </c>
      <c r="M472" s="399">
        <f t="shared" si="239"/>
        <v>6600</v>
      </c>
      <c r="N472" s="18" t="s">
        <v>20</v>
      </c>
      <c r="O472" s="439" t="s">
        <v>5630</v>
      </c>
      <c r="P472" s="18" t="s">
        <v>2594</v>
      </c>
      <c r="Q472" s="18" t="s">
        <v>2594</v>
      </c>
      <c r="R472" s="18" t="s">
        <v>2594</v>
      </c>
    </row>
    <row r="473" spans="1:19" ht="21.75" customHeight="1" x14ac:dyDescent="0.4">
      <c r="A473" s="258">
        <v>45963</v>
      </c>
      <c r="B473" s="32" t="s">
        <v>5616</v>
      </c>
      <c r="C473" s="32" t="s">
        <v>405</v>
      </c>
      <c r="D473" s="18" t="s">
        <v>22</v>
      </c>
      <c r="E473" s="18" t="s">
        <v>260</v>
      </c>
      <c r="F473" s="18"/>
      <c r="G473" s="63" t="s">
        <v>1502</v>
      </c>
      <c r="H473" s="399">
        <v>15000</v>
      </c>
      <c r="I473" s="353">
        <v>-5000</v>
      </c>
      <c r="J473" s="399">
        <f t="shared" si="266"/>
        <v>10000</v>
      </c>
      <c r="K473" s="18">
        <v>1</v>
      </c>
      <c r="L473" s="399">
        <f t="shared" si="238"/>
        <v>10000</v>
      </c>
      <c r="M473" s="399">
        <f t="shared" si="239"/>
        <v>11000</v>
      </c>
      <c r="N473" s="18" t="s">
        <v>1121</v>
      </c>
      <c r="O473" s="439"/>
      <c r="P473" s="18" t="s">
        <v>5612</v>
      </c>
      <c r="Q473" s="18" t="s">
        <v>5612</v>
      </c>
      <c r="R473" s="18" t="s">
        <v>5606</v>
      </c>
    </row>
    <row r="474" spans="1:19" ht="21.75" customHeight="1" x14ac:dyDescent="0.4">
      <c r="A474" s="258">
        <v>45963</v>
      </c>
      <c r="B474" s="32" t="s">
        <v>5616</v>
      </c>
      <c r="C474" s="32" t="s">
        <v>405</v>
      </c>
      <c r="D474" s="18" t="s">
        <v>17</v>
      </c>
      <c r="E474" s="18" t="s">
        <v>328</v>
      </c>
      <c r="F474" s="18" t="s">
        <v>788</v>
      </c>
      <c r="G474" s="428" t="s">
        <v>5618</v>
      </c>
      <c r="H474" s="399">
        <v>50000</v>
      </c>
      <c r="I474" s="353">
        <v>-10000</v>
      </c>
      <c r="J474" s="399">
        <f t="shared" si="266"/>
        <v>40000</v>
      </c>
      <c r="K474" s="18">
        <v>1</v>
      </c>
      <c r="L474" s="399">
        <f t="shared" si="238"/>
        <v>40000</v>
      </c>
      <c r="M474" s="399">
        <f t="shared" si="239"/>
        <v>44000</v>
      </c>
      <c r="N474" s="18" t="s">
        <v>1121</v>
      </c>
      <c r="O474" s="439"/>
      <c r="P474" s="18" t="s">
        <v>5612</v>
      </c>
      <c r="Q474" s="18" t="s">
        <v>5612</v>
      </c>
      <c r="R474" s="18" t="s">
        <v>5606</v>
      </c>
    </row>
    <row r="475" spans="1:19" ht="21.75" customHeight="1" x14ac:dyDescent="0.4">
      <c r="A475" s="258">
        <v>45963</v>
      </c>
      <c r="B475" s="32" t="s">
        <v>5616</v>
      </c>
      <c r="C475" s="32" t="s">
        <v>405</v>
      </c>
      <c r="D475" s="18" t="s">
        <v>17</v>
      </c>
      <c r="E475" s="18" t="s">
        <v>328</v>
      </c>
      <c r="F475" s="18" t="s">
        <v>788</v>
      </c>
      <c r="G475" s="63" t="s">
        <v>5617</v>
      </c>
      <c r="H475" s="399">
        <v>28000</v>
      </c>
      <c r="I475" s="353">
        <v>-5600</v>
      </c>
      <c r="J475" s="399">
        <f t="shared" si="266"/>
        <v>22400</v>
      </c>
      <c r="K475" s="18">
        <v>3</v>
      </c>
      <c r="L475" s="399">
        <f t="shared" si="238"/>
        <v>67200</v>
      </c>
      <c r="M475" s="399">
        <f t="shared" si="239"/>
        <v>73920</v>
      </c>
      <c r="N475" s="18" t="s">
        <v>1121</v>
      </c>
      <c r="O475" s="439"/>
      <c r="P475" s="18" t="s">
        <v>5612</v>
      </c>
      <c r="Q475" s="18" t="s">
        <v>5612</v>
      </c>
      <c r="R475" s="18" t="s">
        <v>5606</v>
      </c>
    </row>
    <row r="476" spans="1:19" ht="21.75" customHeight="1" x14ac:dyDescent="0.4">
      <c r="A476" s="258">
        <v>45963</v>
      </c>
      <c r="B476" s="32" t="s">
        <v>5616</v>
      </c>
      <c r="C476" s="32" t="s">
        <v>405</v>
      </c>
      <c r="D476" s="18" t="s">
        <v>17</v>
      </c>
      <c r="E476" s="18" t="s">
        <v>576</v>
      </c>
      <c r="F476" s="18" t="s">
        <v>790</v>
      </c>
      <c r="G476" s="63" t="s">
        <v>5619</v>
      </c>
      <c r="H476" s="399">
        <v>45000</v>
      </c>
      <c r="I476" s="353">
        <v>-18000</v>
      </c>
      <c r="J476" s="399">
        <f t="shared" si="266"/>
        <v>27000</v>
      </c>
      <c r="K476" s="18">
        <v>3</v>
      </c>
      <c r="L476" s="399">
        <f t="shared" si="238"/>
        <v>81000</v>
      </c>
      <c r="M476" s="399">
        <f t="shared" si="239"/>
        <v>89100</v>
      </c>
      <c r="N476" s="18" t="s">
        <v>1121</v>
      </c>
      <c r="O476" s="439"/>
      <c r="P476" s="18" t="s">
        <v>5612</v>
      </c>
      <c r="Q476" s="18" t="s">
        <v>5612</v>
      </c>
      <c r="R476" s="18" t="s">
        <v>5606</v>
      </c>
    </row>
    <row r="477" spans="1:19" ht="21.75" customHeight="1" x14ac:dyDescent="0.4">
      <c r="A477" s="258">
        <v>45963</v>
      </c>
      <c r="B477" s="32" t="s">
        <v>5616</v>
      </c>
      <c r="C477" s="32" t="s">
        <v>405</v>
      </c>
      <c r="D477" s="18" t="s">
        <v>17</v>
      </c>
      <c r="E477" s="18" t="s">
        <v>330</v>
      </c>
      <c r="F477" s="18" t="s">
        <v>1051</v>
      </c>
      <c r="G477" s="63" t="s">
        <v>3819</v>
      </c>
      <c r="H477" s="399">
        <v>5000</v>
      </c>
      <c r="I477" s="353"/>
      <c r="J477" s="399">
        <f t="shared" si="266"/>
        <v>5000</v>
      </c>
      <c r="K477" s="18">
        <v>1</v>
      </c>
      <c r="L477" s="399">
        <f t="shared" si="238"/>
        <v>5000</v>
      </c>
      <c r="M477" s="399">
        <f t="shared" si="239"/>
        <v>5500</v>
      </c>
      <c r="N477" s="18" t="s">
        <v>1121</v>
      </c>
      <c r="O477" s="439"/>
      <c r="P477" s="18" t="s">
        <v>5612</v>
      </c>
      <c r="Q477" s="18" t="s">
        <v>5612</v>
      </c>
      <c r="R477" s="18" t="s">
        <v>5606</v>
      </c>
    </row>
    <row r="478" spans="1:19" ht="21.75" customHeight="1" x14ac:dyDescent="0.4">
      <c r="A478" s="258">
        <v>45963</v>
      </c>
      <c r="B478" s="32" t="s">
        <v>5616</v>
      </c>
      <c r="C478" s="32" t="s">
        <v>405</v>
      </c>
      <c r="D478" s="18" t="s">
        <v>17</v>
      </c>
      <c r="E478" s="18" t="s">
        <v>332</v>
      </c>
      <c r="F478" s="18" t="s">
        <v>3553</v>
      </c>
      <c r="G478" s="63" t="s">
        <v>5620</v>
      </c>
      <c r="H478" s="399">
        <v>1400</v>
      </c>
      <c r="I478" s="353"/>
      <c r="J478" s="399">
        <f t="shared" si="266"/>
        <v>1400</v>
      </c>
      <c r="K478" s="18">
        <v>4</v>
      </c>
      <c r="L478" s="399">
        <f t="shared" si="238"/>
        <v>5600</v>
      </c>
      <c r="M478" s="399">
        <f t="shared" si="239"/>
        <v>6160</v>
      </c>
      <c r="N478" s="18" t="s">
        <v>1121</v>
      </c>
      <c r="O478" s="439"/>
      <c r="P478" s="18" t="s">
        <v>5612</v>
      </c>
      <c r="Q478" s="18" t="s">
        <v>5612</v>
      </c>
      <c r="R478" s="18" t="s">
        <v>5606</v>
      </c>
      <c r="S478" s="375"/>
    </row>
    <row r="479" spans="1:19" ht="21.75" customHeight="1" x14ac:dyDescent="0.4">
      <c r="A479" s="258">
        <v>45963</v>
      </c>
      <c r="B479" s="322">
        <v>0.63611111111111107</v>
      </c>
      <c r="C479" s="191"/>
      <c r="D479" s="18" t="s">
        <v>17</v>
      </c>
      <c r="E479" s="18" t="s">
        <v>332</v>
      </c>
      <c r="F479" s="18" t="s">
        <v>3555</v>
      </c>
      <c r="G479" s="431" t="s">
        <v>5624</v>
      </c>
      <c r="H479" s="399">
        <v>1170</v>
      </c>
      <c r="I479" s="353"/>
      <c r="J479" s="399">
        <f t="shared" si="266"/>
        <v>1170</v>
      </c>
      <c r="K479" s="18">
        <v>1</v>
      </c>
      <c r="L479" s="399">
        <f t="shared" si="238"/>
        <v>1170</v>
      </c>
      <c r="M479" s="399">
        <f t="shared" si="239"/>
        <v>1287</v>
      </c>
      <c r="N479" s="18" t="s">
        <v>5621</v>
      </c>
      <c r="O479" s="439"/>
      <c r="P479" s="18" t="s">
        <v>5612</v>
      </c>
      <c r="Q479" s="18" t="s">
        <v>5612</v>
      </c>
      <c r="R479" s="18" t="s">
        <v>5606</v>
      </c>
    </row>
    <row r="480" spans="1:19" ht="21.75" customHeight="1" x14ac:dyDescent="0.4">
      <c r="A480" s="258">
        <v>45963</v>
      </c>
      <c r="B480" s="322">
        <v>0.63680555555555551</v>
      </c>
      <c r="C480" s="32" t="s">
        <v>2557</v>
      </c>
      <c r="D480" s="18" t="s">
        <v>17</v>
      </c>
      <c r="E480" s="18" t="s">
        <v>332</v>
      </c>
      <c r="F480" s="18" t="s">
        <v>3555</v>
      </c>
      <c r="G480" s="432" t="s">
        <v>5624</v>
      </c>
      <c r="H480" s="399">
        <v>1300</v>
      </c>
      <c r="I480" s="353">
        <v>-130</v>
      </c>
      <c r="J480" s="399">
        <f t="shared" si="266"/>
        <v>1170</v>
      </c>
      <c r="K480" s="18">
        <v>1</v>
      </c>
      <c r="L480" s="399">
        <f t="shared" si="238"/>
        <v>1170</v>
      </c>
      <c r="M480" s="399">
        <f t="shared" si="239"/>
        <v>1287</v>
      </c>
      <c r="N480" s="18" t="s">
        <v>1516</v>
      </c>
      <c r="O480" s="439"/>
      <c r="P480" s="18" t="s">
        <v>5612</v>
      </c>
      <c r="Q480" s="18" t="s">
        <v>5612</v>
      </c>
      <c r="R480" s="18" t="s">
        <v>5606</v>
      </c>
    </row>
    <row r="481" spans="1:19" ht="21.75" customHeight="1" x14ac:dyDescent="0.4">
      <c r="A481" s="258">
        <v>45963</v>
      </c>
      <c r="B481" s="32" t="s">
        <v>5625</v>
      </c>
      <c r="C481" s="32" t="s">
        <v>405</v>
      </c>
      <c r="D481" s="18" t="s">
        <v>17</v>
      </c>
      <c r="E481" s="18" t="s">
        <v>328</v>
      </c>
      <c r="F481" s="18" t="s">
        <v>5626</v>
      </c>
      <c r="G481" s="63"/>
      <c r="H481" s="399">
        <v>30000</v>
      </c>
      <c r="I481" s="353">
        <v>-15000</v>
      </c>
      <c r="J481" s="399">
        <f t="shared" si="266"/>
        <v>15000</v>
      </c>
      <c r="K481" s="18">
        <v>1</v>
      </c>
      <c r="L481" s="399">
        <f t="shared" si="238"/>
        <v>15000</v>
      </c>
      <c r="M481" s="399">
        <f t="shared" si="239"/>
        <v>16500</v>
      </c>
      <c r="N481" s="18" t="s">
        <v>1121</v>
      </c>
      <c r="O481" s="439"/>
      <c r="P481" s="18" t="s">
        <v>5612</v>
      </c>
      <c r="Q481" s="18" t="s">
        <v>5612</v>
      </c>
      <c r="R481" s="18" t="s">
        <v>5606</v>
      </c>
    </row>
    <row r="482" spans="1:19" ht="21.75" customHeight="1" x14ac:dyDescent="0.4">
      <c r="A482" s="258">
        <v>45963</v>
      </c>
      <c r="B482" s="32" t="s">
        <v>5625</v>
      </c>
      <c r="C482" s="32" t="s">
        <v>405</v>
      </c>
      <c r="D482" s="18" t="s">
        <v>17</v>
      </c>
      <c r="E482" s="18" t="s">
        <v>328</v>
      </c>
      <c r="F482" s="18" t="s">
        <v>5626</v>
      </c>
      <c r="G482" s="63"/>
      <c r="H482" s="399">
        <v>30000</v>
      </c>
      <c r="I482" s="353">
        <v>-15000</v>
      </c>
      <c r="J482" s="399">
        <f t="shared" ref="J482:J484" si="281">SUM(H482:I482)</f>
        <v>15000</v>
      </c>
      <c r="K482" s="18">
        <v>1</v>
      </c>
      <c r="L482" s="399">
        <f t="shared" si="238"/>
        <v>15000</v>
      </c>
      <c r="M482" s="399">
        <f t="shared" si="239"/>
        <v>16500</v>
      </c>
      <c r="N482" s="18" t="s">
        <v>1121</v>
      </c>
      <c r="O482" s="439"/>
      <c r="P482" s="18" t="s">
        <v>5612</v>
      </c>
      <c r="Q482" s="18" t="s">
        <v>5612</v>
      </c>
      <c r="R482" s="18" t="s">
        <v>5606</v>
      </c>
    </row>
    <row r="483" spans="1:19" ht="21.75" customHeight="1" x14ac:dyDescent="0.4">
      <c r="A483" s="258">
        <v>45963</v>
      </c>
      <c r="B483" s="32" t="s">
        <v>5625</v>
      </c>
      <c r="C483" s="32" t="s">
        <v>405</v>
      </c>
      <c r="D483" s="18" t="s">
        <v>17</v>
      </c>
      <c r="E483" s="18" t="s">
        <v>328</v>
      </c>
      <c r="F483" s="18" t="s">
        <v>5626</v>
      </c>
      <c r="G483" s="63"/>
      <c r="H483" s="399">
        <v>30000</v>
      </c>
      <c r="I483" s="353">
        <v>-15000</v>
      </c>
      <c r="J483" s="399">
        <f t="shared" si="281"/>
        <v>15000</v>
      </c>
      <c r="K483" s="18">
        <v>1</v>
      </c>
      <c r="L483" s="399">
        <f t="shared" si="238"/>
        <v>15000</v>
      </c>
      <c r="M483" s="399">
        <f t="shared" si="239"/>
        <v>16500</v>
      </c>
      <c r="N483" s="18" t="s">
        <v>1121</v>
      </c>
      <c r="O483" s="439"/>
      <c r="P483" s="18" t="s">
        <v>5612</v>
      </c>
      <c r="Q483" s="18" t="s">
        <v>5612</v>
      </c>
      <c r="R483" s="18" t="s">
        <v>5606</v>
      </c>
    </row>
    <row r="484" spans="1:19" ht="21.75" customHeight="1" x14ac:dyDescent="0.4">
      <c r="A484" s="258">
        <v>45963</v>
      </c>
      <c r="B484" s="32" t="s">
        <v>5625</v>
      </c>
      <c r="C484" s="32" t="s">
        <v>405</v>
      </c>
      <c r="D484" s="18" t="s">
        <v>17</v>
      </c>
      <c r="E484" s="18" t="s">
        <v>328</v>
      </c>
      <c r="F484" s="18" t="s">
        <v>5626</v>
      </c>
      <c r="G484" s="63"/>
      <c r="H484" s="399">
        <v>30000</v>
      </c>
      <c r="I484" s="353">
        <v>-15000</v>
      </c>
      <c r="J484" s="399">
        <f t="shared" si="281"/>
        <v>15000</v>
      </c>
      <c r="K484" s="18">
        <v>1</v>
      </c>
      <c r="L484" s="399">
        <f t="shared" si="238"/>
        <v>15000</v>
      </c>
      <c r="M484" s="399">
        <f t="shared" si="239"/>
        <v>16500</v>
      </c>
      <c r="N484" s="18" t="s">
        <v>1121</v>
      </c>
      <c r="O484" s="439"/>
      <c r="P484" s="18" t="s">
        <v>5612</v>
      </c>
      <c r="Q484" s="18" t="s">
        <v>5612</v>
      </c>
      <c r="R484" s="18" t="s">
        <v>5606</v>
      </c>
    </row>
    <row r="485" spans="1:19" ht="21.75" customHeight="1" x14ac:dyDescent="0.4">
      <c r="A485" s="258">
        <v>45963</v>
      </c>
      <c r="B485" s="32" t="s">
        <v>5890</v>
      </c>
      <c r="C485" s="32" t="s">
        <v>2557</v>
      </c>
      <c r="D485" s="18" t="s">
        <v>17</v>
      </c>
      <c r="E485" s="192" t="s">
        <v>5816</v>
      </c>
      <c r="F485" s="192"/>
      <c r="G485" s="193" t="s">
        <v>5817</v>
      </c>
      <c r="H485" s="399">
        <v>9980</v>
      </c>
      <c r="I485" s="353"/>
      <c r="J485" s="399">
        <f t="shared" si="266"/>
        <v>9980</v>
      </c>
      <c r="K485" s="18">
        <v>1</v>
      </c>
      <c r="L485" s="399">
        <f t="shared" si="238"/>
        <v>9980</v>
      </c>
      <c r="M485" s="399">
        <f t="shared" si="239"/>
        <v>10978</v>
      </c>
      <c r="N485" s="18" t="s">
        <v>1121</v>
      </c>
      <c r="O485" s="439"/>
      <c r="P485" s="18" t="s">
        <v>5612</v>
      </c>
      <c r="Q485" s="18" t="s">
        <v>5612</v>
      </c>
      <c r="R485" s="18" t="s">
        <v>5606</v>
      </c>
    </row>
    <row r="486" spans="1:19" ht="21.75" customHeight="1" x14ac:dyDescent="0.4">
      <c r="A486" s="258">
        <v>45963</v>
      </c>
      <c r="B486" s="32" t="s">
        <v>5890</v>
      </c>
      <c r="C486" s="32" t="s">
        <v>2557</v>
      </c>
      <c r="D486" s="18" t="s">
        <v>22</v>
      </c>
      <c r="E486" s="18" t="s">
        <v>5507</v>
      </c>
      <c r="F486" s="18"/>
      <c r="G486" s="428" t="s">
        <v>5534</v>
      </c>
      <c r="H486" s="399">
        <v>20000</v>
      </c>
      <c r="I486" s="353"/>
      <c r="J486" s="399">
        <f t="shared" si="266"/>
        <v>20000</v>
      </c>
      <c r="K486" s="18">
        <v>1</v>
      </c>
      <c r="L486" s="399">
        <f t="shared" si="238"/>
        <v>20000</v>
      </c>
      <c r="M486" s="399">
        <f t="shared" si="239"/>
        <v>22000</v>
      </c>
      <c r="N486" s="18" t="s">
        <v>1121</v>
      </c>
      <c r="O486" s="439"/>
      <c r="P486" s="18" t="s">
        <v>2595</v>
      </c>
      <c r="Q486" s="18" t="s">
        <v>5612</v>
      </c>
      <c r="R486" s="18" t="s">
        <v>5606</v>
      </c>
    </row>
    <row r="487" spans="1:19" ht="21.75" customHeight="1" x14ac:dyDescent="0.4">
      <c r="A487" s="258">
        <v>45964</v>
      </c>
      <c r="B487" s="32" t="s">
        <v>5622</v>
      </c>
      <c r="C487" s="32" t="s">
        <v>2557</v>
      </c>
      <c r="D487" s="18" t="s">
        <v>22</v>
      </c>
      <c r="E487" s="18" t="s">
        <v>1496</v>
      </c>
      <c r="F487" s="18"/>
      <c r="G487" s="63" t="s">
        <v>4869</v>
      </c>
      <c r="H487" s="399">
        <v>2000</v>
      </c>
      <c r="I487" s="353"/>
      <c r="J487" s="399">
        <f t="shared" si="266"/>
        <v>2000</v>
      </c>
      <c r="K487" s="18">
        <v>1</v>
      </c>
      <c r="L487" s="399">
        <f t="shared" si="238"/>
        <v>2000</v>
      </c>
      <c r="M487" s="399">
        <f t="shared" si="239"/>
        <v>2200</v>
      </c>
      <c r="N487" s="18" t="s">
        <v>5621</v>
      </c>
      <c r="O487" s="439"/>
      <c r="P487" s="18" t="s">
        <v>5623</v>
      </c>
      <c r="Q487" s="18" t="s">
        <v>5606</v>
      </c>
      <c r="R487" s="18" t="s">
        <v>5606</v>
      </c>
      <c r="S487" s="375"/>
    </row>
    <row r="488" spans="1:19" ht="21.75" customHeight="1" x14ac:dyDescent="0.4">
      <c r="A488" s="258">
        <v>45965</v>
      </c>
      <c r="B488" s="32" t="s">
        <v>5627</v>
      </c>
      <c r="C488" s="32" t="s">
        <v>2557</v>
      </c>
      <c r="D488" s="18" t="s">
        <v>27</v>
      </c>
      <c r="E488" s="18" t="s">
        <v>28</v>
      </c>
      <c r="F488" s="18"/>
      <c r="G488" s="63" t="s">
        <v>73</v>
      </c>
      <c r="H488" s="399">
        <v>2000</v>
      </c>
      <c r="I488" s="353"/>
      <c r="J488" s="399">
        <f t="shared" si="266"/>
        <v>2000</v>
      </c>
      <c r="K488" s="18">
        <v>3</v>
      </c>
      <c r="L488" s="399">
        <f t="shared" si="238"/>
        <v>6000</v>
      </c>
      <c r="M488" s="399">
        <f t="shared" si="239"/>
        <v>6600</v>
      </c>
      <c r="N488" s="18" t="s">
        <v>1516</v>
      </c>
      <c r="O488" s="439" t="s">
        <v>5630</v>
      </c>
      <c r="Q488" s="18" t="s">
        <v>5631</v>
      </c>
      <c r="R488" s="18" t="s">
        <v>5632</v>
      </c>
    </row>
    <row r="489" spans="1:19" ht="21.75" customHeight="1" x14ac:dyDescent="0.4">
      <c r="A489" s="258">
        <v>45966</v>
      </c>
      <c r="B489" s="32" t="s">
        <v>5628</v>
      </c>
      <c r="C489" s="32" t="s">
        <v>2557</v>
      </c>
      <c r="D489" s="18" t="s">
        <v>27</v>
      </c>
      <c r="E489" s="18" t="s">
        <v>28</v>
      </c>
      <c r="F489" s="18"/>
      <c r="G489" s="63" t="s">
        <v>73</v>
      </c>
      <c r="H489" s="399">
        <v>2000</v>
      </c>
      <c r="I489" s="353"/>
      <c r="J489" s="399">
        <f t="shared" si="266"/>
        <v>2000</v>
      </c>
      <c r="K489" s="18">
        <v>1</v>
      </c>
      <c r="L489" s="399">
        <f t="shared" ref="L489" si="282">SUM(J489*K489)</f>
        <v>2000</v>
      </c>
      <c r="M489" s="399">
        <f t="shared" ref="M489" si="283">ROUNDDOWN(L489*1.1,0)</f>
        <v>2200</v>
      </c>
      <c r="N489" s="18" t="s">
        <v>1516</v>
      </c>
      <c r="O489" s="439" t="s">
        <v>5629</v>
      </c>
      <c r="Q489" s="18" t="s">
        <v>5632</v>
      </c>
      <c r="R489" s="18" t="s">
        <v>5632</v>
      </c>
    </row>
    <row r="490" spans="1:19" ht="21.75" customHeight="1" x14ac:dyDescent="0.4">
      <c r="A490" s="258">
        <v>45966</v>
      </c>
      <c r="B490" s="32" t="s">
        <v>5634</v>
      </c>
      <c r="C490" s="32" t="s">
        <v>405</v>
      </c>
      <c r="D490" s="18" t="s">
        <v>22</v>
      </c>
      <c r="E490" s="18" t="s">
        <v>260</v>
      </c>
      <c r="F490" s="258"/>
      <c r="G490" s="63" t="s">
        <v>1502</v>
      </c>
      <c r="H490" s="399">
        <v>15000</v>
      </c>
      <c r="I490" s="353">
        <v>-5000</v>
      </c>
      <c r="J490" s="399">
        <f t="shared" ref="J490:J497" si="284">SUM(H490:I490)</f>
        <v>10000</v>
      </c>
      <c r="K490" s="18">
        <v>1</v>
      </c>
      <c r="L490" s="399">
        <f t="shared" ref="L490:L497" si="285">SUM(J490*K490)</f>
        <v>10000</v>
      </c>
      <c r="M490" s="399">
        <f t="shared" ref="M490:M497" si="286">ROUNDDOWN(L490*1.1,0)</f>
        <v>11000</v>
      </c>
      <c r="N490" s="18" t="s">
        <v>1121</v>
      </c>
      <c r="O490" s="433"/>
      <c r="P490" s="18" t="s">
        <v>2595</v>
      </c>
      <c r="Q490" s="18" t="s">
        <v>2595</v>
      </c>
      <c r="R490" s="18" t="s">
        <v>5642</v>
      </c>
    </row>
    <row r="491" spans="1:19" ht="21.75" customHeight="1" x14ac:dyDescent="0.4">
      <c r="A491" s="258">
        <v>45966</v>
      </c>
      <c r="B491" s="32" t="s">
        <v>5634</v>
      </c>
      <c r="C491" s="32" t="s">
        <v>405</v>
      </c>
      <c r="D491" s="18" t="s">
        <v>17</v>
      </c>
      <c r="E491" s="18" t="s">
        <v>328</v>
      </c>
      <c r="F491" s="258"/>
      <c r="G491" s="433" t="s">
        <v>5635</v>
      </c>
      <c r="H491" s="399">
        <v>58000</v>
      </c>
      <c r="I491" s="353">
        <v>-11600</v>
      </c>
      <c r="J491" s="399">
        <f t="shared" si="284"/>
        <v>46400</v>
      </c>
      <c r="K491" s="18">
        <v>1</v>
      </c>
      <c r="L491" s="399">
        <f t="shared" si="285"/>
        <v>46400</v>
      </c>
      <c r="M491" s="399">
        <f t="shared" si="286"/>
        <v>51040</v>
      </c>
      <c r="N491" s="18" t="s">
        <v>1121</v>
      </c>
      <c r="O491" s="433"/>
      <c r="P491" s="18" t="s">
        <v>2595</v>
      </c>
      <c r="Q491" s="18" t="s">
        <v>2595</v>
      </c>
      <c r="R491" s="18" t="s">
        <v>5642</v>
      </c>
    </row>
    <row r="492" spans="1:19" ht="21.75" customHeight="1" x14ac:dyDescent="0.4">
      <c r="A492" s="258">
        <v>45966</v>
      </c>
      <c r="B492" s="32" t="s">
        <v>5634</v>
      </c>
      <c r="C492" s="32" t="s">
        <v>405</v>
      </c>
      <c r="D492" s="18" t="s">
        <v>17</v>
      </c>
      <c r="E492" s="18" t="s">
        <v>328</v>
      </c>
      <c r="F492" s="374" t="s">
        <v>3960</v>
      </c>
      <c r="G492" s="433" t="s">
        <v>5639</v>
      </c>
      <c r="H492" s="399">
        <v>42000</v>
      </c>
      <c r="I492" s="353">
        <v>-8400</v>
      </c>
      <c r="J492" s="399">
        <f t="shared" si="284"/>
        <v>33600</v>
      </c>
      <c r="K492" s="18">
        <v>1</v>
      </c>
      <c r="L492" s="399">
        <f t="shared" si="285"/>
        <v>33600</v>
      </c>
      <c r="M492" s="399">
        <f t="shared" si="286"/>
        <v>36960</v>
      </c>
      <c r="N492" s="18" t="s">
        <v>1121</v>
      </c>
      <c r="O492" s="433"/>
      <c r="P492" s="18" t="s">
        <v>2595</v>
      </c>
      <c r="Q492" s="18" t="s">
        <v>2595</v>
      </c>
      <c r="R492" s="18" t="s">
        <v>5642</v>
      </c>
    </row>
    <row r="493" spans="1:19" ht="21.75" customHeight="1" x14ac:dyDescent="0.4">
      <c r="A493" s="258">
        <v>45966</v>
      </c>
      <c r="B493" s="32" t="s">
        <v>5634</v>
      </c>
      <c r="C493" s="32" t="s">
        <v>405</v>
      </c>
      <c r="D493" s="18" t="s">
        <v>17</v>
      </c>
      <c r="E493" s="18" t="s">
        <v>328</v>
      </c>
      <c r="F493" s="374" t="s">
        <v>3960</v>
      </c>
      <c r="G493" s="433" t="s">
        <v>5640</v>
      </c>
      <c r="H493" s="399">
        <v>24000</v>
      </c>
      <c r="I493" s="353">
        <v>-4800</v>
      </c>
      <c r="J493" s="399">
        <f t="shared" si="284"/>
        <v>19200</v>
      </c>
      <c r="K493" s="18">
        <v>1</v>
      </c>
      <c r="L493" s="399">
        <f t="shared" si="285"/>
        <v>19200</v>
      </c>
      <c r="M493" s="399">
        <f t="shared" si="286"/>
        <v>21120</v>
      </c>
      <c r="N493" s="18" t="s">
        <v>1121</v>
      </c>
      <c r="O493" s="433"/>
      <c r="P493" s="18" t="s">
        <v>2595</v>
      </c>
      <c r="Q493" s="18" t="s">
        <v>2595</v>
      </c>
      <c r="R493" s="18" t="s">
        <v>5642</v>
      </c>
    </row>
    <row r="494" spans="1:19" ht="21.75" customHeight="1" x14ac:dyDescent="0.4">
      <c r="A494" s="258">
        <v>45966</v>
      </c>
      <c r="B494" s="32" t="s">
        <v>5634</v>
      </c>
      <c r="C494" s="32" t="s">
        <v>405</v>
      </c>
      <c r="D494" s="18" t="s">
        <v>17</v>
      </c>
      <c r="E494" s="18" t="s">
        <v>332</v>
      </c>
      <c r="F494" s="18" t="s">
        <v>3555</v>
      </c>
      <c r="G494" s="433" t="s">
        <v>5636</v>
      </c>
      <c r="H494" s="399">
        <v>1700</v>
      </c>
      <c r="I494" s="353"/>
      <c r="J494" s="399">
        <f t="shared" si="284"/>
        <v>1700</v>
      </c>
      <c r="K494" s="18">
        <v>2</v>
      </c>
      <c r="L494" s="399">
        <f t="shared" si="285"/>
        <v>3400</v>
      </c>
      <c r="M494" s="399">
        <f t="shared" si="286"/>
        <v>3740</v>
      </c>
      <c r="N494" s="18" t="s">
        <v>1121</v>
      </c>
      <c r="O494" s="433"/>
      <c r="P494" s="18" t="s">
        <v>2595</v>
      </c>
      <c r="Q494" s="18" t="s">
        <v>2595</v>
      </c>
      <c r="R494" s="18" t="s">
        <v>5642</v>
      </c>
    </row>
    <row r="495" spans="1:19" ht="21.75" customHeight="1" x14ac:dyDescent="0.4">
      <c r="A495" s="258">
        <v>45966</v>
      </c>
      <c r="B495" s="32" t="s">
        <v>5634</v>
      </c>
      <c r="C495" s="32" t="s">
        <v>405</v>
      </c>
      <c r="D495" s="18" t="s">
        <v>17</v>
      </c>
      <c r="E495" s="18" t="s">
        <v>332</v>
      </c>
      <c r="F495" s="18" t="s">
        <v>3555</v>
      </c>
      <c r="G495" s="433" t="s">
        <v>5637</v>
      </c>
      <c r="H495" s="399">
        <v>1700</v>
      </c>
      <c r="I495" s="353"/>
      <c r="J495" s="399">
        <f t="shared" si="284"/>
        <v>1700</v>
      </c>
      <c r="K495" s="18">
        <v>4</v>
      </c>
      <c r="L495" s="399">
        <f t="shared" si="285"/>
        <v>6800</v>
      </c>
      <c r="M495" s="399">
        <f t="shared" si="286"/>
        <v>7480</v>
      </c>
      <c r="N495" s="18" t="s">
        <v>1121</v>
      </c>
      <c r="O495" s="433"/>
      <c r="P495" s="18" t="s">
        <v>2595</v>
      </c>
      <c r="Q495" s="18" t="s">
        <v>2595</v>
      </c>
      <c r="R495" s="18" t="s">
        <v>5642</v>
      </c>
    </row>
    <row r="496" spans="1:19" ht="21.75" customHeight="1" x14ac:dyDescent="0.4">
      <c r="A496" s="258">
        <v>45966</v>
      </c>
      <c r="B496" s="32" t="s">
        <v>5634</v>
      </c>
      <c r="C496" s="32" t="s">
        <v>405</v>
      </c>
      <c r="D496" s="18" t="s">
        <v>17</v>
      </c>
      <c r="E496" s="18" t="s">
        <v>332</v>
      </c>
      <c r="F496" s="18" t="s">
        <v>3555</v>
      </c>
      <c r="G496" s="433" t="s">
        <v>5638</v>
      </c>
      <c r="H496" s="399">
        <v>1700</v>
      </c>
      <c r="I496" s="353"/>
      <c r="J496" s="399">
        <f t="shared" si="284"/>
        <v>1700</v>
      </c>
      <c r="K496" s="18">
        <v>5</v>
      </c>
      <c r="L496" s="399">
        <f t="shared" si="285"/>
        <v>8500</v>
      </c>
      <c r="M496" s="399">
        <f t="shared" si="286"/>
        <v>9350</v>
      </c>
      <c r="N496" s="18" t="s">
        <v>1121</v>
      </c>
      <c r="O496" s="433"/>
      <c r="P496" s="18" t="s">
        <v>2595</v>
      </c>
      <c r="Q496" s="18" t="s">
        <v>2595</v>
      </c>
      <c r="R496" s="18" t="s">
        <v>5642</v>
      </c>
    </row>
    <row r="497" spans="1:19" ht="21.75" customHeight="1" x14ac:dyDescent="0.4">
      <c r="A497" s="258">
        <v>45966</v>
      </c>
      <c r="B497" s="325" t="s">
        <v>2088</v>
      </c>
      <c r="C497" s="32" t="s">
        <v>2557</v>
      </c>
      <c r="D497" s="18" t="s">
        <v>22</v>
      </c>
      <c r="E497" s="18" t="s">
        <v>1496</v>
      </c>
      <c r="F497" s="18"/>
      <c r="G497" s="63" t="s">
        <v>4869</v>
      </c>
      <c r="H497" s="399">
        <v>2000</v>
      </c>
      <c r="I497" s="353"/>
      <c r="J497" s="399">
        <f t="shared" si="284"/>
        <v>2000</v>
      </c>
      <c r="K497" s="18">
        <v>2</v>
      </c>
      <c r="L497" s="399">
        <f t="shared" si="285"/>
        <v>4000</v>
      </c>
      <c r="M497" s="399">
        <f t="shared" si="286"/>
        <v>4400</v>
      </c>
      <c r="N497" s="18" t="s">
        <v>1516</v>
      </c>
      <c r="O497" s="433"/>
      <c r="P497" s="18" t="s">
        <v>5641</v>
      </c>
      <c r="Q497" s="18" t="s">
        <v>5641</v>
      </c>
      <c r="R497" s="18" t="s">
        <v>5642</v>
      </c>
      <c r="S497" s="375"/>
    </row>
    <row r="498" spans="1:19" ht="21.75" customHeight="1" x14ac:dyDescent="0.4">
      <c r="A498" s="258">
        <v>45967</v>
      </c>
      <c r="B498" s="325" t="s">
        <v>5643</v>
      </c>
      <c r="C498" s="32" t="s">
        <v>2557</v>
      </c>
      <c r="D498" s="18" t="s">
        <v>22</v>
      </c>
      <c r="E498" s="18" t="s">
        <v>1496</v>
      </c>
      <c r="F498" s="18"/>
      <c r="G498" s="63" t="s">
        <v>4869</v>
      </c>
      <c r="H498" s="399">
        <v>2000</v>
      </c>
      <c r="I498" s="353"/>
      <c r="J498" s="399">
        <f t="shared" ref="J498" si="287">SUM(H498:I498)</f>
        <v>2000</v>
      </c>
      <c r="K498" s="18">
        <v>1</v>
      </c>
      <c r="L498" s="399">
        <f t="shared" ref="L498" si="288">SUM(J498*K498)</f>
        <v>2000</v>
      </c>
      <c r="M498" s="399">
        <f t="shared" ref="M498" si="289">ROUNDDOWN(L498*1.1,0)</f>
        <v>2200</v>
      </c>
      <c r="N498" s="18" t="s">
        <v>5646</v>
      </c>
      <c r="O498" s="433"/>
      <c r="P498" s="18" t="s">
        <v>5644</v>
      </c>
      <c r="Q498" s="18" t="s">
        <v>5645</v>
      </c>
      <c r="R498" s="18" t="s">
        <v>5645</v>
      </c>
    </row>
    <row r="499" spans="1:19" ht="21.75" customHeight="1" x14ac:dyDescent="0.4">
      <c r="A499" s="258">
        <v>45967</v>
      </c>
      <c r="B499" s="325" t="s">
        <v>5678</v>
      </c>
      <c r="C499" s="32" t="s">
        <v>2557</v>
      </c>
      <c r="D499" s="18" t="s">
        <v>17</v>
      </c>
      <c r="E499" s="18" t="s">
        <v>426</v>
      </c>
      <c r="F499" s="18" t="s">
        <v>3920</v>
      </c>
      <c r="G499" s="63" t="s">
        <v>5648</v>
      </c>
      <c r="H499" s="399">
        <v>2070</v>
      </c>
      <c r="I499" s="353">
        <v>-207</v>
      </c>
      <c r="J499" s="399">
        <f t="shared" ref="J499:J555" si="290">SUM(H499:I499)</f>
        <v>1863</v>
      </c>
      <c r="K499" s="18">
        <v>3</v>
      </c>
      <c r="L499" s="399">
        <f t="shared" ref="L499:L555" si="291">SUM(J499*K499)</f>
        <v>5589</v>
      </c>
      <c r="M499" s="399">
        <f t="shared" ref="M499:M555" si="292">ROUNDDOWN(L499*1.1,0)</f>
        <v>6147</v>
      </c>
      <c r="N499" s="18" t="s">
        <v>5646</v>
      </c>
      <c r="O499" s="433"/>
      <c r="Q499" s="18" t="s">
        <v>5650</v>
      </c>
      <c r="R499" s="18" t="s">
        <v>5649</v>
      </c>
      <c r="S499" s="375"/>
    </row>
    <row r="500" spans="1:19" ht="21.75" customHeight="1" x14ac:dyDescent="0.4">
      <c r="A500" s="258">
        <v>45967</v>
      </c>
      <c r="B500" s="322">
        <v>0.83333333333333337</v>
      </c>
      <c r="C500" s="32" t="s">
        <v>2557</v>
      </c>
      <c r="D500" s="18" t="s">
        <v>5647</v>
      </c>
      <c r="E500" s="18" t="s">
        <v>5651</v>
      </c>
      <c r="F500" s="18" t="s">
        <v>3554</v>
      </c>
      <c r="G500" s="433" t="s">
        <v>6532</v>
      </c>
      <c r="H500" s="399">
        <v>1300</v>
      </c>
      <c r="I500" s="353">
        <v>-130</v>
      </c>
      <c r="J500" s="399">
        <f t="shared" si="290"/>
        <v>1170</v>
      </c>
      <c r="K500" s="18">
        <v>4</v>
      </c>
      <c r="L500" s="399">
        <f t="shared" si="291"/>
        <v>4680</v>
      </c>
      <c r="M500" s="399">
        <f t="shared" si="292"/>
        <v>5148</v>
      </c>
      <c r="N500" s="18" t="s">
        <v>1516</v>
      </c>
      <c r="O500" s="433"/>
      <c r="Q500" s="18" t="s">
        <v>5650</v>
      </c>
      <c r="R500" s="18" t="s">
        <v>5650</v>
      </c>
      <c r="S500" s="375"/>
    </row>
    <row r="501" spans="1:19" ht="21.75" customHeight="1" x14ac:dyDescent="0.4">
      <c r="A501" s="258">
        <v>45968</v>
      </c>
      <c r="B501" s="325" t="s">
        <v>5653</v>
      </c>
      <c r="C501" s="32" t="s">
        <v>2557</v>
      </c>
      <c r="D501" s="18" t="s">
        <v>27</v>
      </c>
      <c r="E501" s="18" t="s">
        <v>28</v>
      </c>
      <c r="F501" s="18"/>
      <c r="G501" s="63" t="s">
        <v>73</v>
      </c>
      <c r="H501" s="399">
        <v>2000</v>
      </c>
      <c r="I501" s="353"/>
      <c r="J501" s="399">
        <f t="shared" si="290"/>
        <v>2000</v>
      </c>
      <c r="K501" s="18">
        <v>1</v>
      </c>
      <c r="L501" s="399">
        <f t="shared" si="291"/>
        <v>2000</v>
      </c>
      <c r="M501" s="399">
        <f t="shared" si="292"/>
        <v>2200</v>
      </c>
      <c r="N501" s="18" t="s">
        <v>20</v>
      </c>
      <c r="O501" s="439" t="s">
        <v>5629</v>
      </c>
      <c r="Q501" s="18" t="s">
        <v>5652</v>
      </c>
      <c r="R501" s="18" t="s">
        <v>5652</v>
      </c>
      <c r="S501" s="375"/>
    </row>
    <row r="502" spans="1:19" ht="21.75" customHeight="1" x14ac:dyDescent="0.4">
      <c r="A502" s="258">
        <v>45968</v>
      </c>
      <c r="B502" s="325" t="s">
        <v>5654</v>
      </c>
      <c r="C502" s="32" t="s">
        <v>405</v>
      </c>
      <c r="D502" s="18" t="s">
        <v>17</v>
      </c>
      <c r="E502" s="18" t="s">
        <v>332</v>
      </c>
      <c r="F502" s="18" t="s">
        <v>3554</v>
      </c>
      <c r="G502" s="63" t="s">
        <v>5655</v>
      </c>
      <c r="H502" s="399">
        <v>2700</v>
      </c>
      <c r="I502" s="353"/>
      <c r="J502" s="399">
        <f t="shared" si="290"/>
        <v>2700</v>
      </c>
      <c r="K502" s="18">
        <v>1</v>
      </c>
      <c r="L502" s="399">
        <f t="shared" si="291"/>
        <v>2700</v>
      </c>
      <c r="M502" s="399">
        <f t="shared" si="292"/>
        <v>2970</v>
      </c>
      <c r="N502" s="18" t="s">
        <v>1121</v>
      </c>
      <c r="O502" s="433"/>
      <c r="Q502" s="18" t="s">
        <v>5652</v>
      </c>
      <c r="R502" s="18" t="s">
        <v>5652</v>
      </c>
      <c r="S502" s="375"/>
    </row>
    <row r="503" spans="1:19" ht="21.75" customHeight="1" x14ac:dyDescent="0.4">
      <c r="A503" s="258">
        <v>45968</v>
      </c>
      <c r="B503" s="325" t="s">
        <v>5634</v>
      </c>
      <c r="C503" s="32" t="s">
        <v>405</v>
      </c>
      <c r="D503" s="18" t="s">
        <v>17</v>
      </c>
      <c r="E503" s="18" t="s">
        <v>292</v>
      </c>
      <c r="F503" s="18" t="s">
        <v>1051</v>
      </c>
      <c r="G503" s="63" t="s">
        <v>3990</v>
      </c>
      <c r="H503" s="399">
        <v>5700</v>
      </c>
      <c r="I503" s="353"/>
      <c r="J503" s="399">
        <f t="shared" si="290"/>
        <v>5700</v>
      </c>
      <c r="K503" s="18">
        <v>1</v>
      </c>
      <c r="L503" s="399">
        <f t="shared" si="291"/>
        <v>5700</v>
      </c>
      <c r="M503" s="399">
        <f t="shared" si="292"/>
        <v>6270</v>
      </c>
      <c r="N503" s="18" t="s">
        <v>1516</v>
      </c>
      <c r="O503" s="433"/>
      <c r="Q503" s="18" t="s">
        <v>5656</v>
      </c>
      <c r="R503" s="18" t="s">
        <v>5656</v>
      </c>
      <c r="S503" s="375"/>
    </row>
    <row r="504" spans="1:19" ht="21.75" customHeight="1" x14ac:dyDescent="0.4">
      <c r="A504" s="258">
        <v>45969</v>
      </c>
      <c r="B504" s="325" t="s">
        <v>844</v>
      </c>
      <c r="C504" s="32" t="s">
        <v>5667</v>
      </c>
      <c r="D504" s="18" t="s">
        <v>17</v>
      </c>
      <c r="E504" s="18" t="s">
        <v>332</v>
      </c>
      <c r="F504" s="18" t="s">
        <v>3556</v>
      </c>
      <c r="G504" s="63" t="s">
        <v>5775</v>
      </c>
      <c r="H504" s="399">
        <v>1800</v>
      </c>
      <c r="I504" s="353">
        <v>-180</v>
      </c>
      <c r="J504" s="399">
        <f t="shared" si="290"/>
        <v>1620</v>
      </c>
      <c r="K504" s="18">
        <v>2</v>
      </c>
      <c r="L504" s="399">
        <f t="shared" si="291"/>
        <v>3240</v>
      </c>
      <c r="M504" s="399">
        <f t="shared" si="292"/>
        <v>3564</v>
      </c>
      <c r="N504" s="18" t="s">
        <v>1121</v>
      </c>
      <c r="O504" s="433"/>
      <c r="Q504" s="18" t="s">
        <v>5776</v>
      </c>
      <c r="R504" s="18" t="s">
        <v>5777</v>
      </c>
      <c r="S504" s="375"/>
    </row>
    <row r="505" spans="1:19" ht="21.75" customHeight="1" x14ac:dyDescent="0.4">
      <c r="A505" s="258">
        <v>45969</v>
      </c>
      <c r="B505" s="325" t="s">
        <v>5660</v>
      </c>
      <c r="C505" s="32" t="s">
        <v>5667</v>
      </c>
      <c r="D505" s="18" t="s">
        <v>5659</v>
      </c>
      <c r="E505" s="18" t="s">
        <v>5661</v>
      </c>
      <c r="F505" s="18" t="s">
        <v>3553</v>
      </c>
      <c r="G505" s="63"/>
      <c r="H505" s="399">
        <v>15000</v>
      </c>
      <c r="I505" s="353">
        <v>-1500</v>
      </c>
      <c r="J505" s="399">
        <f t="shared" si="290"/>
        <v>13500</v>
      </c>
      <c r="K505" s="18">
        <v>1</v>
      </c>
      <c r="L505" s="399">
        <f t="shared" si="291"/>
        <v>13500</v>
      </c>
      <c r="M505" s="399">
        <f t="shared" si="292"/>
        <v>14850</v>
      </c>
      <c r="N505" s="18" t="s">
        <v>1121</v>
      </c>
      <c r="O505" s="433"/>
      <c r="Q505" s="18" t="s">
        <v>4798</v>
      </c>
      <c r="R505" s="18" t="s">
        <v>5449</v>
      </c>
      <c r="S505" s="375"/>
    </row>
    <row r="506" spans="1:19" ht="21.75" customHeight="1" x14ac:dyDescent="0.4">
      <c r="A506" s="258">
        <v>45969</v>
      </c>
      <c r="B506" s="32" t="s">
        <v>5574</v>
      </c>
      <c r="C506" s="32" t="s">
        <v>405</v>
      </c>
      <c r="D506" s="18" t="s">
        <v>5659</v>
      </c>
      <c r="E506" s="18" t="s">
        <v>328</v>
      </c>
      <c r="F506" s="18" t="s">
        <v>3598</v>
      </c>
      <c r="G506" s="63" t="s">
        <v>5662</v>
      </c>
      <c r="H506" s="399">
        <v>45000</v>
      </c>
      <c r="I506" s="353">
        <v>-9000</v>
      </c>
      <c r="J506" s="399">
        <f t="shared" si="290"/>
        <v>36000</v>
      </c>
      <c r="K506" s="18">
        <v>1</v>
      </c>
      <c r="L506" s="399">
        <f t="shared" si="291"/>
        <v>36000</v>
      </c>
      <c r="M506" s="399">
        <f t="shared" si="292"/>
        <v>39600</v>
      </c>
      <c r="N506" s="18" t="s">
        <v>1121</v>
      </c>
      <c r="O506" s="433"/>
      <c r="P506" s="18" t="s">
        <v>2595</v>
      </c>
      <c r="Q506" s="18" t="s">
        <v>2595</v>
      </c>
      <c r="R506" s="18" t="s">
        <v>5449</v>
      </c>
      <c r="S506" s="375"/>
    </row>
    <row r="507" spans="1:19" ht="21.75" customHeight="1" x14ac:dyDescent="0.4">
      <c r="A507" s="258">
        <v>45969</v>
      </c>
      <c r="B507" s="32" t="s">
        <v>5574</v>
      </c>
      <c r="C507" s="32" t="s">
        <v>405</v>
      </c>
      <c r="D507" s="18" t="s">
        <v>5659</v>
      </c>
      <c r="E507" s="18" t="s">
        <v>328</v>
      </c>
      <c r="F507" s="18" t="s">
        <v>3598</v>
      </c>
      <c r="G507" s="63" t="s">
        <v>5663</v>
      </c>
      <c r="H507" s="399">
        <v>33000</v>
      </c>
      <c r="I507" s="353">
        <v>-6600</v>
      </c>
      <c r="J507" s="399">
        <f t="shared" si="290"/>
        <v>26400</v>
      </c>
      <c r="K507" s="18">
        <v>2</v>
      </c>
      <c r="L507" s="399">
        <f t="shared" si="291"/>
        <v>52800</v>
      </c>
      <c r="M507" s="399">
        <f t="shared" si="292"/>
        <v>58080</v>
      </c>
      <c r="N507" s="18" t="s">
        <v>1121</v>
      </c>
      <c r="O507" s="433"/>
      <c r="P507" s="18" t="s">
        <v>2595</v>
      </c>
      <c r="Q507" s="18" t="s">
        <v>2595</v>
      </c>
      <c r="R507" s="18" t="s">
        <v>5449</v>
      </c>
      <c r="S507" s="375"/>
    </row>
    <row r="508" spans="1:19" ht="21.75" customHeight="1" x14ac:dyDescent="0.4">
      <c r="A508" s="258">
        <v>45969</v>
      </c>
      <c r="B508" s="32" t="s">
        <v>5574</v>
      </c>
      <c r="C508" s="32" t="s">
        <v>405</v>
      </c>
      <c r="D508" s="18" t="s">
        <v>5659</v>
      </c>
      <c r="E508" s="18" t="s">
        <v>332</v>
      </c>
      <c r="F508" s="18" t="s">
        <v>3553</v>
      </c>
      <c r="G508" s="63" t="s">
        <v>5664</v>
      </c>
      <c r="H508" s="399">
        <v>1200</v>
      </c>
      <c r="I508" s="353"/>
      <c r="J508" s="399">
        <f>SUM(H508:I508)</f>
        <v>1200</v>
      </c>
      <c r="K508" s="18">
        <v>3</v>
      </c>
      <c r="L508" s="399">
        <f>SUM(J508*K508)</f>
        <v>3600</v>
      </c>
      <c r="M508" s="399">
        <f t="shared" si="292"/>
        <v>3960</v>
      </c>
      <c r="N508" s="18" t="s">
        <v>1121</v>
      </c>
      <c r="O508" s="433"/>
      <c r="P508" s="18" t="s">
        <v>2595</v>
      </c>
      <c r="Q508" s="18" t="s">
        <v>2595</v>
      </c>
      <c r="R508" s="18" t="s">
        <v>5449</v>
      </c>
      <c r="S508" s="375"/>
    </row>
    <row r="509" spans="1:19" ht="21.75" customHeight="1" x14ac:dyDescent="0.4">
      <c r="A509" s="258">
        <v>45969</v>
      </c>
      <c r="B509" s="322">
        <v>0.78611111111111109</v>
      </c>
      <c r="C509" s="32" t="s">
        <v>5667</v>
      </c>
      <c r="D509" s="96" t="s">
        <v>198</v>
      </c>
      <c r="E509" s="18" t="s">
        <v>28</v>
      </c>
      <c r="F509" s="18"/>
      <c r="G509" s="63" t="s">
        <v>5036</v>
      </c>
      <c r="H509" s="350">
        <v>-17500</v>
      </c>
      <c r="I509" s="353"/>
      <c r="J509" s="350">
        <f t="shared" ref="J509" si="293">SUM(H509:I509)</f>
        <v>-17500</v>
      </c>
      <c r="K509" s="18">
        <v>1</v>
      </c>
      <c r="L509" s="350">
        <f t="shared" ref="L509" si="294">SUM(J509*K509)</f>
        <v>-17500</v>
      </c>
      <c r="M509" s="356">
        <f t="shared" si="292"/>
        <v>-19250</v>
      </c>
      <c r="N509" s="18" t="s">
        <v>5778</v>
      </c>
      <c r="O509" s="447" t="s">
        <v>5804</v>
      </c>
      <c r="Q509" s="18" t="s">
        <v>5805</v>
      </c>
      <c r="R509" s="18" t="s">
        <v>5806</v>
      </c>
      <c r="S509" s="375"/>
    </row>
    <row r="510" spans="1:19" ht="21.75" customHeight="1" x14ac:dyDescent="0.4">
      <c r="A510" s="258">
        <v>45970</v>
      </c>
      <c r="B510" s="325" t="s">
        <v>5665</v>
      </c>
      <c r="C510" s="32" t="s">
        <v>5666</v>
      </c>
      <c r="D510" s="18" t="s">
        <v>22</v>
      </c>
      <c r="E510" s="18" t="s">
        <v>1496</v>
      </c>
      <c r="F510" s="18"/>
      <c r="G510" s="63" t="s">
        <v>4869</v>
      </c>
      <c r="H510" s="399">
        <v>2000</v>
      </c>
      <c r="I510" s="353"/>
      <c r="J510" s="399">
        <f t="shared" si="290"/>
        <v>2000</v>
      </c>
      <c r="K510" s="18">
        <v>1</v>
      </c>
      <c r="L510" s="399">
        <f t="shared" si="291"/>
        <v>2000</v>
      </c>
      <c r="M510" s="399">
        <f t="shared" si="292"/>
        <v>2200</v>
      </c>
      <c r="N510" s="18" t="s">
        <v>20</v>
      </c>
      <c r="O510" s="433"/>
      <c r="P510" s="18" t="s">
        <v>2595</v>
      </c>
      <c r="Q510" s="18" t="s">
        <v>5449</v>
      </c>
      <c r="R510" s="18" t="s">
        <v>5449</v>
      </c>
      <c r="S510" s="375"/>
    </row>
    <row r="511" spans="1:19" ht="21.75" customHeight="1" x14ac:dyDescent="0.4">
      <c r="A511" s="258">
        <v>45970</v>
      </c>
      <c r="B511" s="325" t="s">
        <v>5668</v>
      </c>
      <c r="C511" s="32" t="s">
        <v>405</v>
      </c>
      <c r="D511" s="18" t="s">
        <v>22</v>
      </c>
      <c r="E511" s="18" t="s">
        <v>260</v>
      </c>
      <c r="F511" s="258"/>
      <c r="G511" s="63" t="s">
        <v>1502</v>
      </c>
      <c r="H511" s="399">
        <v>15000</v>
      </c>
      <c r="I511" s="353">
        <v>-7500</v>
      </c>
      <c r="J511" s="399">
        <f t="shared" si="290"/>
        <v>7500</v>
      </c>
      <c r="K511" s="18">
        <v>1</v>
      </c>
      <c r="L511" s="399">
        <f t="shared" si="291"/>
        <v>7500</v>
      </c>
      <c r="M511" s="399">
        <f t="shared" si="292"/>
        <v>8250</v>
      </c>
      <c r="N511" s="18" t="s">
        <v>1516</v>
      </c>
      <c r="O511" s="433"/>
      <c r="P511" s="18" t="s">
        <v>2595</v>
      </c>
      <c r="Q511" s="18" t="s">
        <v>2595</v>
      </c>
      <c r="R511" s="18" t="s">
        <v>5449</v>
      </c>
      <c r="S511" s="375"/>
    </row>
    <row r="512" spans="1:19" ht="21.75" customHeight="1" x14ac:dyDescent="0.4">
      <c r="A512" s="258">
        <v>45970</v>
      </c>
      <c r="B512" s="32" t="s">
        <v>5670</v>
      </c>
      <c r="C512" s="32" t="s">
        <v>405</v>
      </c>
      <c r="D512" s="18" t="s">
        <v>317</v>
      </c>
      <c r="E512" s="18" t="s">
        <v>28</v>
      </c>
      <c r="F512" s="18"/>
      <c r="G512" s="63" t="s">
        <v>5038</v>
      </c>
      <c r="H512" s="399">
        <v>5000</v>
      </c>
      <c r="I512" s="353">
        <v>0</v>
      </c>
      <c r="J512" s="399">
        <f t="shared" si="290"/>
        <v>5000</v>
      </c>
      <c r="K512" s="18">
        <v>1</v>
      </c>
      <c r="L512" s="399">
        <f t="shared" si="291"/>
        <v>5000</v>
      </c>
      <c r="M512" s="399">
        <f t="shared" si="292"/>
        <v>5500</v>
      </c>
      <c r="N512" s="18" t="s">
        <v>20</v>
      </c>
      <c r="O512" s="433"/>
      <c r="P512" s="18" t="s">
        <v>5669</v>
      </c>
      <c r="Q512" s="18" t="s">
        <v>5669</v>
      </c>
      <c r="R512" s="18" t="s">
        <v>5669</v>
      </c>
      <c r="S512" s="375"/>
    </row>
    <row r="513" spans="1:27" ht="21.75" customHeight="1" x14ac:dyDescent="0.4">
      <c r="A513" s="258">
        <v>45970</v>
      </c>
      <c r="B513" s="325" t="s">
        <v>5671</v>
      </c>
      <c r="C513" s="32" t="s">
        <v>2557</v>
      </c>
      <c r="D513" s="18" t="s">
        <v>17</v>
      </c>
      <c r="E513" s="18" t="s">
        <v>332</v>
      </c>
      <c r="F513" s="18" t="s">
        <v>3555</v>
      </c>
      <c r="G513" s="63" t="s">
        <v>5672</v>
      </c>
      <c r="H513" s="399">
        <v>1700</v>
      </c>
      <c r="I513" s="353">
        <v>-170</v>
      </c>
      <c r="J513" s="399">
        <f t="shared" si="290"/>
        <v>1530</v>
      </c>
      <c r="K513" s="18">
        <v>1</v>
      </c>
      <c r="L513" s="399">
        <f t="shared" si="291"/>
        <v>1530</v>
      </c>
      <c r="M513" s="399">
        <f t="shared" si="292"/>
        <v>1683</v>
      </c>
      <c r="N513" s="18" t="s">
        <v>20</v>
      </c>
      <c r="O513" s="433"/>
      <c r="P513" s="18" t="s">
        <v>2596</v>
      </c>
      <c r="Q513" s="18" t="s">
        <v>2596</v>
      </c>
      <c r="R513" s="18" t="s">
        <v>5673</v>
      </c>
      <c r="S513" s="375"/>
    </row>
    <row r="514" spans="1:27" ht="21.75" customHeight="1" x14ac:dyDescent="0.4">
      <c r="A514" s="258">
        <v>45970</v>
      </c>
      <c r="B514" s="32" t="s">
        <v>5023</v>
      </c>
      <c r="C514" s="32" t="s">
        <v>2557</v>
      </c>
      <c r="D514" s="18" t="s">
        <v>22</v>
      </c>
      <c r="E514" s="18" t="s">
        <v>1496</v>
      </c>
      <c r="F514" s="18"/>
      <c r="G514" s="63" t="s">
        <v>4869</v>
      </c>
      <c r="H514" s="399">
        <v>2000</v>
      </c>
      <c r="I514" s="353"/>
      <c r="J514" s="399">
        <f t="shared" si="290"/>
        <v>2000</v>
      </c>
      <c r="K514" s="18">
        <v>1</v>
      </c>
      <c r="L514" s="399">
        <f t="shared" si="291"/>
        <v>2000</v>
      </c>
      <c r="M514" s="399">
        <f t="shared" si="292"/>
        <v>2200</v>
      </c>
      <c r="N514" s="18" t="s">
        <v>20</v>
      </c>
      <c r="O514" s="433"/>
      <c r="P514" s="18" t="s">
        <v>5674</v>
      </c>
      <c r="Q514" s="18" t="s">
        <v>5675</v>
      </c>
      <c r="R514" s="18" t="s">
        <v>5674</v>
      </c>
      <c r="S514" s="375"/>
    </row>
    <row r="515" spans="1:27" ht="21.75" customHeight="1" x14ac:dyDescent="0.4">
      <c r="A515" s="258">
        <v>45970</v>
      </c>
      <c r="B515" s="325" t="s">
        <v>5676</v>
      </c>
      <c r="C515" s="32" t="s">
        <v>2557</v>
      </c>
      <c r="D515" s="18" t="s">
        <v>27</v>
      </c>
      <c r="E515" s="18" t="s">
        <v>28</v>
      </c>
      <c r="F515" s="18"/>
      <c r="G515" s="63" t="s">
        <v>73</v>
      </c>
      <c r="H515" s="399">
        <v>2000</v>
      </c>
      <c r="I515" s="353"/>
      <c r="J515" s="399">
        <f t="shared" ref="J515" si="295">SUM(H515:I515)</f>
        <v>2000</v>
      </c>
      <c r="K515" s="18">
        <v>2</v>
      </c>
      <c r="L515" s="399">
        <f t="shared" ref="L515" si="296">SUM(J515*K515)</f>
        <v>4000</v>
      </c>
      <c r="M515" s="399">
        <f t="shared" ref="M515" si="297">ROUNDDOWN(L515*1.1,0)</f>
        <v>4400</v>
      </c>
      <c r="N515" s="18" t="s">
        <v>1516</v>
      </c>
      <c r="O515" s="439" t="s">
        <v>5677</v>
      </c>
      <c r="Q515" s="18" t="s">
        <v>5675</v>
      </c>
      <c r="R515" s="18" t="s">
        <v>5674</v>
      </c>
      <c r="S515" s="375"/>
    </row>
    <row r="516" spans="1:27" ht="21.75" customHeight="1" x14ac:dyDescent="0.4">
      <c r="A516" s="258">
        <v>45970</v>
      </c>
      <c r="B516" s="325" t="s">
        <v>4632</v>
      </c>
      <c r="C516" s="32" t="s">
        <v>5679</v>
      </c>
      <c r="D516" s="18" t="s">
        <v>5680</v>
      </c>
      <c r="E516" s="18" t="s">
        <v>328</v>
      </c>
      <c r="F516" s="18" t="s">
        <v>788</v>
      </c>
      <c r="G516" s="63" t="s">
        <v>5415</v>
      </c>
      <c r="H516" s="399">
        <v>10000</v>
      </c>
      <c r="I516" s="353">
        <v>-2000</v>
      </c>
      <c r="J516" s="399">
        <f t="shared" si="290"/>
        <v>8000</v>
      </c>
      <c r="K516" s="18">
        <v>1</v>
      </c>
      <c r="L516" s="399">
        <f t="shared" si="291"/>
        <v>8000</v>
      </c>
      <c r="M516" s="399">
        <f t="shared" si="292"/>
        <v>8800</v>
      </c>
      <c r="N516" s="18" t="s">
        <v>1121</v>
      </c>
      <c r="O516" s="447" t="s">
        <v>5683</v>
      </c>
      <c r="Q516" s="18" t="s">
        <v>5449</v>
      </c>
      <c r="R516" s="18" t="s">
        <v>5449</v>
      </c>
      <c r="S516" s="375"/>
    </row>
    <row r="517" spans="1:27" ht="21.75" customHeight="1" x14ac:dyDescent="0.4">
      <c r="A517" s="258">
        <v>45970</v>
      </c>
      <c r="B517" s="325" t="s">
        <v>4632</v>
      </c>
      <c r="C517" s="32" t="s">
        <v>5679</v>
      </c>
      <c r="D517" s="18" t="s">
        <v>5680</v>
      </c>
      <c r="E517" s="18" t="s">
        <v>5681</v>
      </c>
      <c r="F517" s="18" t="s">
        <v>3555</v>
      </c>
      <c r="G517" s="433" t="s">
        <v>5682</v>
      </c>
      <c r="H517" s="399">
        <v>1700</v>
      </c>
      <c r="I517" s="353">
        <v>-170</v>
      </c>
      <c r="J517" s="399">
        <f t="shared" si="290"/>
        <v>1530</v>
      </c>
      <c r="K517" s="18">
        <v>1</v>
      </c>
      <c r="L517" s="399">
        <f t="shared" si="291"/>
        <v>1530</v>
      </c>
      <c r="M517" s="399">
        <f t="shared" si="292"/>
        <v>1683</v>
      </c>
      <c r="N517" s="18" t="s">
        <v>1121</v>
      </c>
      <c r="O517" s="433"/>
      <c r="Q517" s="18" t="s">
        <v>5449</v>
      </c>
      <c r="R517" s="18" t="s">
        <v>5449</v>
      </c>
      <c r="S517" s="375"/>
    </row>
    <row r="518" spans="1:27" ht="21.75" customHeight="1" x14ac:dyDescent="0.4">
      <c r="A518" s="258">
        <v>45971</v>
      </c>
      <c r="B518" s="325" t="s">
        <v>2088</v>
      </c>
      <c r="C518" s="32" t="s">
        <v>5679</v>
      </c>
      <c r="D518" s="18" t="s">
        <v>22</v>
      </c>
      <c r="E518" s="18" t="s">
        <v>1496</v>
      </c>
      <c r="F518" s="18"/>
      <c r="G518" s="63" t="s">
        <v>4869</v>
      </c>
      <c r="H518" s="399">
        <v>2000</v>
      </c>
      <c r="I518" s="353"/>
      <c r="J518" s="399">
        <f t="shared" si="290"/>
        <v>2000</v>
      </c>
      <c r="K518" s="18">
        <v>1</v>
      </c>
      <c r="L518" s="399">
        <f t="shared" si="291"/>
        <v>2000</v>
      </c>
      <c r="M518" s="399">
        <f t="shared" si="292"/>
        <v>2200</v>
      </c>
      <c r="N518" s="18" t="s">
        <v>1121</v>
      </c>
      <c r="O518" s="433"/>
      <c r="P518" s="18" t="s">
        <v>5449</v>
      </c>
      <c r="Q518" s="18" t="s">
        <v>5449</v>
      </c>
      <c r="R518" s="18" t="s">
        <v>5449</v>
      </c>
      <c r="S518" s="375"/>
    </row>
    <row r="519" spans="1:27" ht="21.75" customHeight="1" x14ac:dyDescent="0.4">
      <c r="A519" s="258">
        <v>45971</v>
      </c>
      <c r="B519" s="325" t="s">
        <v>5685</v>
      </c>
      <c r="C519" s="32" t="s">
        <v>405</v>
      </c>
      <c r="D519" s="18" t="s">
        <v>22</v>
      </c>
      <c r="E519" s="18" t="s">
        <v>260</v>
      </c>
      <c r="F519" s="258"/>
      <c r="G519" s="63" t="s">
        <v>1502</v>
      </c>
      <c r="H519" s="399">
        <v>15000</v>
      </c>
      <c r="I519" s="353">
        <v>-5000</v>
      </c>
      <c r="J519" s="399">
        <f t="shared" si="290"/>
        <v>10000</v>
      </c>
      <c r="K519" s="18">
        <v>1</v>
      </c>
      <c r="L519" s="399">
        <f t="shared" si="291"/>
        <v>10000</v>
      </c>
      <c r="M519" s="399">
        <f t="shared" si="292"/>
        <v>11000</v>
      </c>
      <c r="N519" s="18" t="s">
        <v>5686</v>
      </c>
      <c r="O519" s="433"/>
      <c r="P519" s="18" t="s">
        <v>5687</v>
      </c>
      <c r="Q519" s="18" t="s">
        <v>5684</v>
      </c>
      <c r="R519" s="18" t="s">
        <v>5684</v>
      </c>
      <c r="S519" s="375"/>
    </row>
    <row r="520" spans="1:27" ht="21.75" customHeight="1" x14ac:dyDescent="0.4">
      <c r="A520" s="258">
        <v>45973</v>
      </c>
      <c r="B520" s="32" t="s">
        <v>5552</v>
      </c>
      <c r="C520" s="32" t="s">
        <v>2557</v>
      </c>
      <c r="D520" s="18" t="s">
        <v>22</v>
      </c>
      <c r="E520" s="18" t="s">
        <v>1496</v>
      </c>
      <c r="F520" s="18"/>
      <c r="G520" s="63" t="s">
        <v>4869</v>
      </c>
      <c r="H520" s="399">
        <v>2000</v>
      </c>
      <c r="I520" s="353"/>
      <c r="J520" s="399">
        <v>2000</v>
      </c>
      <c r="K520" s="18">
        <v>1</v>
      </c>
      <c r="L520" s="399">
        <f t="shared" si="291"/>
        <v>2000</v>
      </c>
      <c r="M520" s="399">
        <f t="shared" si="292"/>
        <v>2200</v>
      </c>
      <c r="N520" s="18" t="s">
        <v>20</v>
      </c>
      <c r="O520" s="433"/>
      <c r="P520" s="18" t="s">
        <v>5688</v>
      </c>
      <c r="Q520" s="18" t="s">
        <v>5688</v>
      </c>
      <c r="R520" s="18" t="s">
        <v>5689</v>
      </c>
      <c r="S520" s="375"/>
    </row>
    <row r="521" spans="1:27" s="403" customFormat="1" ht="21.75" customHeight="1" x14ac:dyDescent="0.4">
      <c r="A521" s="370">
        <v>45973</v>
      </c>
      <c r="B521" s="326" t="s">
        <v>5493</v>
      </c>
      <c r="C521" s="191" t="s">
        <v>5690</v>
      </c>
      <c r="D521" s="192" t="s">
        <v>17</v>
      </c>
      <c r="E521" s="192" t="s">
        <v>292</v>
      </c>
      <c r="F521" s="192" t="s">
        <v>3642</v>
      </c>
      <c r="G521" s="193" t="s">
        <v>5691</v>
      </c>
      <c r="H521" s="400">
        <v>6300</v>
      </c>
      <c r="I521" s="372">
        <v>-1575</v>
      </c>
      <c r="J521" s="400">
        <f t="shared" si="290"/>
        <v>4725</v>
      </c>
      <c r="K521" s="192">
        <v>1</v>
      </c>
      <c r="L521" s="400">
        <f t="shared" si="291"/>
        <v>4725</v>
      </c>
      <c r="M521" s="400">
        <f t="shared" si="292"/>
        <v>5197</v>
      </c>
      <c r="N521" s="192" t="s">
        <v>1516</v>
      </c>
      <c r="O521" s="448" t="s">
        <v>5779</v>
      </c>
      <c r="P521" s="192"/>
      <c r="Q521" s="192" t="s">
        <v>5692</v>
      </c>
      <c r="R521" s="192" t="s">
        <v>5692</v>
      </c>
      <c r="S521" s="401"/>
      <c r="T521" s="402"/>
      <c r="U521" s="402"/>
      <c r="W521" s="404"/>
      <c r="X521" s="405"/>
      <c r="Y521" s="405"/>
      <c r="Z521" s="405"/>
      <c r="AA521" s="405"/>
    </row>
    <row r="522" spans="1:27" ht="21.75" customHeight="1" x14ac:dyDescent="0.4">
      <c r="A522" s="258">
        <v>45974</v>
      </c>
      <c r="B522" s="325" t="s">
        <v>5693</v>
      </c>
      <c r="C522" s="32" t="s">
        <v>2557</v>
      </c>
      <c r="D522" s="18" t="s">
        <v>22</v>
      </c>
      <c r="E522" s="18" t="s">
        <v>260</v>
      </c>
      <c r="F522" s="18"/>
      <c r="G522" s="63" t="s">
        <v>5177</v>
      </c>
      <c r="H522" s="399">
        <v>10000</v>
      </c>
      <c r="I522" s="353"/>
      <c r="J522" s="399">
        <f t="shared" si="290"/>
        <v>10000</v>
      </c>
      <c r="K522" s="18">
        <v>1</v>
      </c>
      <c r="L522" s="399">
        <f t="shared" si="291"/>
        <v>10000</v>
      </c>
      <c r="M522" s="399">
        <f t="shared" si="292"/>
        <v>11000</v>
      </c>
      <c r="N522" s="18" t="s">
        <v>1121</v>
      </c>
      <c r="O522" s="433"/>
      <c r="P522" s="18" t="s">
        <v>2595</v>
      </c>
      <c r="Q522" s="18" t="s">
        <v>5694</v>
      </c>
      <c r="R522" s="18" t="s">
        <v>5694</v>
      </c>
      <c r="S522" s="375"/>
    </row>
    <row r="523" spans="1:27" ht="21.75" customHeight="1" x14ac:dyDescent="0.4">
      <c r="A523" s="258">
        <v>45974</v>
      </c>
      <c r="B523" s="325" t="s">
        <v>5693</v>
      </c>
      <c r="C523" s="32" t="s">
        <v>2557</v>
      </c>
      <c r="D523" s="18" t="s">
        <v>17</v>
      </c>
      <c r="E523" s="18" t="s">
        <v>328</v>
      </c>
      <c r="F523" s="18" t="s">
        <v>3598</v>
      </c>
      <c r="G523" s="63" t="s">
        <v>5748</v>
      </c>
      <c r="H523" s="399">
        <v>55000</v>
      </c>
      <c r="I523" s="353">
        <v>-16500</v>
      </c>
      <c r="J523" s="399">
        <f t="shared" si="290"/>
        <v>38500</v>
      </c>
      <c r="K523" s="18">
        <v>1</v>
      </c>
      <c r="L523" s="399">
        <f t="shared" si="291"/>
        <v>38500</v>
      </c>
      <c r="M523" s="406">
        <f t="shared" si="292"/>
        <v>42350</v>
      </c>
      <c r="N523" s="18" t="s">
        <v>1121</v>
      </c>
      <c r="O523" s="433"/>
      <c r="P523" s="18" t="s">
        <v>2595</v>
      </c>
      <c r="Q523" s="18" t="s">
        <v>5694</v>
      </c>
      <c r="R523" s="18" t="s">
        <v>5694</v>
      </c>
      <c r="S523" s="375"/>
    </row>
    <row r="524" spans="1:27" ht="21.75" customHeight="1" x14ac:dyDescent="0.4">
      <c r="A524" s="258">
        <v>45974</v>
      </c>
      <c r="B524" s="325" t="s">
        <v>5693</v>
      </c>
      <c r="C524" s="32" t="s">
        <v>2557</v>
      </c>
      <c r="D524" s="18" t="s">
        <v>17</v>
      </c>
      <c r="E524" s="18" t="s">
        <v>328</v>
      </c>
      <c r="F524" s="18" t="s">
        <v>788</v>
      </c>
      <c r="G524" s="63" t="s">
        <v>5749</v>
      </c>
      <c r="H524" s="399">
        <v>28000</v>
      </c>
      <c r="I524" s="353">
        <v>-8400</v>
      </c>
      <c r="J524" s="399">
        <f t="shared" si="290"/>
        <v>19600</v>
      </c>
      <c r="K524" s="18">
        <v>2</v>
      </c>
      <c r="L524" s="399">
        <f t="shared" si="291"/>
        <v>39200</v>
      </c>
      <c r="M524" s="406">
        <f t="shared" si="292"/>
        <v>43120</v>
      </c>
      <c r="N524" s="18" t="s">
        <v>1121</v>
      </c>
      <c r="O524" s="433"/>
      <c r="P524" s="18" t="s">
        <v>2595</v>
      </c>
      <c r="Q524" s="18" t="s">
        <v>5694</v>
      </c>
      <c r="R524" s="18" t="s">
        <v>5694</v>
      </c>
      <c r="S524" s="375"/>
    </row>
    <row r="525" spans="1:27" ht="21.75" customHeight="1" x14ac:dyDescent="0.4">
      <c r="A525" s="258">
        <v>45974</v>
      </c>
      <c r="B525" s="325" t="s">
        <v>5693</v>
      </c>
      <c r="C525" s="32" t="s">
        <v>2557</v>
      </c>
      <c r="D525" s="18" t="s">
        <v>17</v>
      </c>
      <c r="E525" s="18" t="s">
        <v>328</v>
      </c>
      <c r="F525" s="18" t="s">
        <v>790</v>
      </c>
      <c r="G525" s="63" t="s">
        <v>5750</v>
      </c>
      <c r="H525" s="399">
        <v>61000</v>
      </c>
      <c r="I525" s="353">
        <v>-23000</v>
      </c>
      <c r="J525" s="399">
        <f t="shared" si="290"/>
        <v>38000</v>
      </c>
      <c r="K525" s="18">
        <v>2</v>
      </c>
      <c r="L525" s="399">
        <f t="shared" si="291"/>
        <v>76000</v>
      </c>
      <c r="M525" s="406">
        <f t="shared" si="292"/>
        <v>83600</v>
      </c>
      <c r="N525" s="18" t="s">
        <v>1121</v>
      </c>
      <c r="O525" s="433"/>
      <c r="P525" s="18" t="s">
        <v>2595</v>
      </c>
      <c r="Q525" s="18" t="s">
        <v>5694</v>
      </c>
      <c r="R525" s="18" t="s">
        <v>5694</v>
      </c>
      <c r="S525" s="375"/>
    </row>
    <row r="526" spans="1:27" ht="21.75" customHeight="1" x14ac:dyDescent="0.4">
      <c r="A526" s="258">
        <v>45974</v>
      </c>
      <c r="B526" s="325" t="s">
        <v>5693</v>
      </c>
      <c r="C526" s="32" t="s">
        <v>2557</v>
      </c>
      <c r="D526" s="18" t="s">
        <v>17</v>
      </c>
      <c r="E526" s="18" t="s">
        <v>328</v>
      </c>
      <c r="F526" s="18" t="s">
        <v>790</v>
      </c>
      <c r="G526" s="63" t="s">
        <v>5751</v>
      </c>
      <c r="H526" s="399">
        <v>98000</v>
      </c>
      <c r="I526" s="353">
        <v>-48000</v>
      </c>
      <c r="J526" s="399">
        <f t="shared" si="290"/>
        <v>50000</v>
      </c>
      <c r="K526" s="18">
        <v>1</v>
      </c>
      <c r="L526" s="399">
        <f t="shared" si="291"/>
        <v>50000</v>
      </c>
      <c r="M526" s="406">
        <f t="shared" si="292"/>
        <v>55000</v>
      </c>
      <c r="N526" s="18" t="s">
        <v>1121</v>
      </c>
      <c r="O526" s="433"/>
      <c r="P526" s="18" t="s">
        <v>2595</v>
      </c>
      <c r="Q526" s="18" t="s">
        <v>5694</v>
      </c>
      <c r="R526" s="18" t="s">
        <v>5694</v>
      </c>
      <c r="S526" s="375"/>
    </row>
    <row r="527" spans="1:27" ht="21.75" customHeight="1" x14ac:dyDescent="0.4">
      <c r="A527" s="258">
        <v>45974</v>
      </c>
      <c r="B527" s="325" t="s">
        <v>5695</v>
      </c>
      <c r="C527" s="32" t="s">
        <v>2557</v>
      </c>
      <c r="D527" s="18" t="s">
        <v>17</v>
      </c>
      <c r="E527" s="18" t="s">
        <v>332</v>
      </c>
      <c r="F527" s="18" t="s">
        <v>5696</v>
      </c>
      <c r="G527" s="424" t="s">
        <v>5697</v>
      </c>
      <c r="H527" s="399">
        <v>5500</v>
      </c>
      <c r="I527" s="353"/>
      <c r="J527" s="399">
        <f t="shared" si="290"/>
        <v>5500</v>
      </c>
      <c r="K527" s="18">
        <v>1</v>
      </c>
      <c r="L527" s="399">
        <f t="shared" si="291"/>
        <v>5500</v>
      </c>
      <c r="M527" s="399">
        <f t="shared" si="292"/>
        <v>6050</v>
      </c>
      <c r="N527" s="18" t="s">
        <v>1516</v>
      </c>
      <c r="O527" s="433"/>
      <c r="P527" s="18" t="s">
        <v>2595</v>
      </c>
      <c r="Q527" s="18" t="s">
        <v>5699</v>
      </c>
      <c r="R527" s="18" t="s">
        <v>5698</v>
      </c>
      <c r="S527" s="375"/>
    </row>
    <row r="528" spans="1:27" ht="21.75" customHeight="1" x14ac:dyDescent="0.4">
      <c r="A528" s="258">
        <v>45974</v>
      </c>
      <c r="B528" s="325" t="s">
        <v>5700</v>
      </c>
      <c r="C528" s="32" t="s">
        <v>4292</v>
      </c>
      <c r="D528" s="18" t="s">
        <v>17</v>
      </c>
      <c r="E528" s="18" t="s">
        <v>5701</v>
      </c>
      <c r="F528" s="18" t="s">
        <v>994</v>
      </c>
      <c r="G528" s="63"/>
      <c r="H528" s="399">
        <v>1800</v>
      </c>
      <c r="I528" s="353">
        <v>-720</v>
      </c>
      <c r="J528" s="399">
        <f t="shared" si="290"/>
        <v>1080</v>
      </c>
      <c r="K528" s="18">
        <v>2</v>
      </c>
      <c r="L528" s="399">
        <f t="shared" si="291"/>
        <v>2160</v>
      </c>
      <c r="M528" s="399">
        <f t="shared" si="292"/>
        <v>2376</v>
      </c>
      <c r="N528" s="18" t="s">
        <v>20</v>
      </c>
      <c r="O528" s="433"/>
      <c r="R528" s="18" t="s">
        <v>5698</v>
      </c>
      <c r="S528" s="375"/>
    </row>
    <row r="529" spans="1:27" ht="21.75" customHeight="1" x14ac:dyDescent="0.4">
      <c r="A529" s="258">
        <v>45975</v>
      </c>
      <c r="B529" s="325" t="s">
        <v>5702</v>
      </c>
      <c r="C529" s="32" t="s">
        <v>5703</v>
      </c>
      <c r="D529" s="18" t="s">
        <v>5109</v>
      </c>
      <c r="E529" s="18" t="s">
        <v>28</v>
      </c>
      <c r="F529" s="18"/>
      <c r="G529" s="63" t="s">
        <v>5036</v>
      </c>
      <c r="H529" s="399">
        <v>17500</v>
      </c>
      <c r="I529" s="353"/>
      <c r="J529" s="399">
        <v>17500</v>
      </c>
      <c r="K529" s="18">
        <v>1</v>
      </c>
      <c r="L529" s="399">
        <v>17500</v>
      </c>
      <c r="M529" s="399">
        <v>19250</v>
      </c>
      <c r="N529" s="18" t="s">
        <v>1516</v>
      </c>
      <c r="O529" s="439" t="s">
        <v>5704</v>
      </c>
      <c r="Q529" s="18" t="s">
        <v>5707</v>
      </c>
      <c r="R529" s="18" t="s">
        <v>5707</v>
      </c>
      <c r="S529" s="375"/>
    </row>
    <row r="530" spans="1:27" ht="21.75" customHeight="1" x14ac:dyDescent="0.4">
      <c r="A530" s="258">
        <v>45975</v>
      </c>
      <c r="B530" s="325" t="s">
        <v>984</v>
      </c>
      <c r="C530" s="32" t="s">
        <v>2557</v>
      </c>
      <c r="D530" s="18" t="s">
        <v>22</v>
      </c>
      <c r="E530" s="18" t="s">
        <v>1496</v>
      </c>
      <c r="F530" s="18"/>
      <c r="G530" s="63" t="s">
        <v>4869</v>
      </c>
      <c r="H530" s="399">
        <v>2000</v>
      </c>
      <c r="I530" s="353"/>
      <c r="J530" s="399">
        <f t="shared" ref="J530" si="298">SUM(H530:I530)</f>
        <v>2000</v>
      </c>
      <c r="K530" s="18">
        <v>1</v>
      </c>
      <c r="L530" s="399">
        <f t="shared" ref="L530" si="299">SUM(J530*K530)</f>
        <v>2000</v>
      </c>
      <c r="M530" s="399">
        <f t="shared" ref="M530" si="300">ROUNDDOWN(L530*1.1,0)</f>
        <v>2200</v>
      </c>
      <c r="N530" s="18" t="s">
        <v>1516</v>
      </c>
      <c r="O530" s="433"/>
      <c r="P530" s="18" t="s">
        <v>5706</v>
      </c>
      <c r="Q530" s="18" t="s">
        <v>5707</v>
      </c>
      <c r="R530" s="18" t="s">
        <v>5707</v>
      </c>
      <c r="S530" s="375"/>
    </row>
    <row r="531" spans="1:27" ht="21.75" customHeight="1" x14ac:dyDescent="0.4">
      <c r="A531" s="258">
        <v>45975</v>
      </c>
      <c r="B531" s="325" t="s">
        <v>5705</v>
      </c>
      <c r="C531" s="32" t="s">
        <v>5207</v>
      </c>
      <c r="D531" s="18" t="s">
        <v>22</v>
      </c>
      <c r="E531" s="18" t="s">
        <v>1496</v>
      </c>
      <c r="F531" s="18"/>
      <c r="G531" s="63" t="s">
        <v>63</v>
      </c>
      <c r="H531" s="399">
        <v>3000</v>
      </c>
      <c r="I531" s="353"/>
      <c r="J531" s="399">
        <f t="shared" si="290"/>
        <v>3000</v>
      </c>
      <c r="K531" s="18">
        <v>1</v>
      </c>
      <c r="L531" s="399">
        <f t="shared" si="291"/>
        <v>3000</v>
      </c>
      <c r="M531" s="399">
        <f t="shared" si="292"/>
        <v>3300</v>
      </c>
      <c r="N531" s="18" t="s">
        <v>1516</v>
      </c>
      <c r="O531" s="433"/>
      <c r="Q531" s="18" t="s">
        <v>5707</v>
      </c>
      <c r="R531" s="18" t="s">
        <v>5707</v>
      </c>
      <c r="S531" s="375"/>
    </row>
    <row r="532" spans="1:27" ht="21.75" customHeight="1" x14ac:dyDescent="0.4">
      <c r="A532" s="258">
        <v>45975</v>
      </c>
      <c r="B532" s="325" t="s">
        <v>223</v>
      </c>
      <c r="C532" s="32" t="s">
        <v>2557</v>
      </c>
      <c r="D532" s="18" t="s">
        <v>17</v>
      </c>
      <c r="E532" s="18" t="s">
        <v>332</v>
      </c>
      <c r="F532" s="18" t="s">
        <v>3554</v>
      </c>
      <c r="G532" s="428" t="s">
        <v>5470</v>
      </c>
      <c r="H532" s="399">
        <v>1500</v>
      </c>
      <c r="I532" s="353">
        <v>-150</v>
      </c>
      <c r="J532" s="399">
        <f t="shared" si="290"/>
        <v>1350</v>
      </c>
      <c r="K532" s="18">
        <v>1</v>
      </c>
      <c r="L532" s="399">
        <f t="shared" si="291"/>
        <v>1350</v>
      </c>
      <c r="M532" s="399">
        <f t="shared" si="292"/>
        <v>1485</v>
      </c>
      <c r="N532" s="18" t="s">
        <v>1516</v>
      </c>
      <c r="O532" s="433"/>
      <c r="Q532" s="18" t="s">
        <v>4803</v>
      </c>
      <c r="R532" s="18" t="s">
        <v>4803</v>
      </c>
      <c r="S532" s="375"/>
    </row>
    <row r="533" spans="1:27" ht="21.75" customHeight="1" x14ac:dyDescent="0.4">
      <c r="A533" s="258">
        <v>45975</v>
      </c>
      <c r="B533" s="325" t="s">
        <v>5708</v>
      </c>
      <c r="C533" s="32" t="s">
        <v>5667</v>
      </c>
      <c r="D533" s="18" t="s">
        <v>5709</v>
      </c>
      <c r="E533" s="18" t="s">
        <v>292</v>
      </c>
      <c r="F533" s="18" t="s">
        <v>1051</v>
      </c>
      <c r="G533" s="63" t="s">
        <v>5404</v>
      </c>
      <c r="H533" s="399">
        <v>5700</v>
      </c>
      <c r="I533" s="353"/>
      <c r="J533" s="399">
        <f t="shared" si="290"/>
        <v>5700</v>
      </c>
      <c r="K533" s="18">
        <v>1</v>
      </c>
      <c r="L533" s="399">
        <f t="shared" si="291"/>
        <v>5700</v>
      </c>
      <c r="M533" s="399">
        <f t="shared" si="292"/>
        <v>6270</v>
      </c>
      <c r="N533" s="18" t="s">
        <v>1516</v>
      </c>
      <c r="O533" s="433"/>
      <c r="Q533" s="18" t="s">
        <v>5710</v>
      </c>
      <c r="R533" s="18" t="s">
        <v>5710</v>
      </c>
      <c r="S533" s="375"/>
    </row>
    <row r="534" spans="1:27" ht="21.75" customHeight="1" x14ac:dyDescent="0.4">
      <c r="A534" s="258">
        <v>45975</v>
      </c>
      <c r="B534" s="325" t="s">
        <v>2088</v>
      </c>
      <c r="C534" s="32" t="s">
        <v>2557</v>
      </c>
      <c r="D534" s="18" t="s">
        <v>22</v>
      </c>
      <c r="E534" s="18" t="s">
        <v>1496</v>
      </c>
      <c r="F534" s="18"/>
      <c r="G534" s="63" t="s">
        <v>4869</v>
      </c>
      <c r="H534" s="399">
        <v>2000</v>
      </c>
      <c r="I534" s="353"/>
      <c r="J534" s="399">
        <f t="shared" ref="J534" si="301">SUM(H534:I534)</f>
        <v>2000</v>
      </c>
      <c r="K534" s="18">
        <v>1</v>
      </c>
      <c r="L534" s="399">
        <f t="shared" ref="L534" si="302">SUM(J534*K534)</f>
        <v>2000</v>
      </c>
      <c r="M534" s="399">
        <f t="shared" ref="M534" si="303">ROUNDDOWN(L534*1.1,0)</f>
        <v>2200</v>
      </c>
      <c r="N534" s="18" t="s">
        <v>1516</v>
      </c>
      <c r="O534" s="433"/>
      <c r="P534" s="18" t="s">
        <v>5449</v>
      </c>
      <c r="Q534" s="18" t="s">
        <v>5449</v>
      </c>
      <c r="R534" s="18" t="s">
        <v>5449</v>
      </c>
      <c r="S534" s="375"/>
    </row>
    <row r="535" spans="1:27" ht="21.75" customHeight="1" x14ac:dyDescent="0.4">
      <c r="A535" s="258">
        <v>45975</v>
      </c>
      <c r="B535" s="325" t="s">
        <v>5711</v>
      </c>
      <c r="C535" s="18" t="s">
        <v>405</v>
      </c>
      <c r="D535" s="18" t="s">
        <v>22</v>
      </c>
      <c r="E535" s="18" t="s">
        <v>1496</v>
      </c>
      <c r="F535" s="18"/>
      <c r="G535" s="63" t="s">
        <v>2422</v>
      </c>
      <c r="H535" s="399">
        <v>2000</v>
      </c>
      <c r="I535" s="353"/>
      <c r="J535" s="399">
        <f t="shared" si="290"/>
        <v>2000</v>
      </c>
      <c r="K535" s="18">
        <v>1</v>
      </c>
      <c r="L535" s="399">
        <f t="shared" si="291"/>
        <v>2000</v>
      </c>
      <c r="M535" s="399">
        <f t="shared" si="292"/>
        <v>2200</v>
      </c>
      <c r="N535" s="18" t="s">
        <v>20</v>
      </c>
      <c r="O535" s="433"/>
      <c r="R535" s="18" t="s">
        <v>5713</v>
      </c>
      <c r="S535" s="375"/>
    </row>
    <row r="536" spans="1:27" ht="21.75" customHeight="1" x14ac:dyDescent="0.4">
      <c r="A536" s="258">
        <v>45975</v>
      </c>
      <c r="B536" s="325" t="s">
        <v>5712</v>
      </c>
      <c r="C536" s="18" t="s">
        <v>405</v>
      </c>
      <c r="D536" s="18" t="s">
        <v>22</v>
      </c>
      <c r="E536" s="18" t="s">
        <v>1496</v>
      </c>
      <c r="F536" s="18"/>
      <c r="G536" s="63" t="s">
        <v>2422</v>
      </c>
      <c r="H536" s="399">
        <v>2000</v>
      </c>
      <c r="I536" s="353"/>
      <c r="J536" s="399">
        <f t="shared" si="290"/>
        <v>2000</v>
      </c>
      <c r="K536" s="18">
        <v>1</v>
      </c>
      <c r="L536" s="399">
        <f t="shared" si="291"/>
        <v>2000</v>
      </c>
      <c r="M536" s="399">
        <f t="shared" si="292"/>
        <v>2200</v>
      </c>
      <c r="N536" s="18" t="s">
        <v>20</v>
      </c>
      <c r="O536" s="433"/>
      <c r="R536" s="18" t="s">
        <v>5713</v>
      </c>
      <c r="S536" s="375"/>
    </row>
    <row r="537" spans="1:27" ht="21.75" customHeight="1" x14ac:dyDescent="0.4">
      <c r="A537" s="258">
        <v>45976</v>
      </c>
      <c r="B537" s="32" t="s">
        <v>4865</v>
      </c>
      <c r="C537" s="32" t="s">
        <v>2557</v>
      </c>
      <c r="D537" s="18" t="s">
        <v>22</v>
      </c>
      <c r="E537" s="18" t="s">
        <v>1496</v>
      </c>
      <c r="F537" s="18"/>
      <c r="G537" s="63" t="s">
        <v>4869</v>
      </c>
      <c r="H537" s="399">
        <v>2000</v>
      </c>
      <c r="I537" s="353"/>
      <c r="J537" s="399">
        <f t="shared" si="290"/>
        <v>2000</v>
      </c>
      <c r="K537" s="18">
        <v>1</v>
      </c>
      <c r="L537" s="399">
        <f t="shared" si="291"/>
        <v>2000</v>
      </c>
      <c r="M537" s="399">
        <f t="shared" si="292"/>
        <v>2200</v>
      </c>
      <c r="N537" s="18" t="s">
        <v>20</v>
      </c>
      <c r="O537" s="433"/>
      <c r="P537" s="18" t="s">
        <v>2595</v>
      </c>
      <c r="R537" s="18" t="s">
        <v>4798</v>
      </c>
      <c r="S537" s="375"/>
    </row>
    <row r="538" spans="1:27" ht="21.75" customHeight="1" x14ac:dyDescent="0.4">
      <c r="A538" s="258">
        <v>45976</v>
      </c>
      <c r="B538" s="325" t="s">
        <v>5714</v>
      </c>
      <c r="C538" s="18" t="s">
        <v>405</v>
      </c>
      <c r="D538" s="18" t="s">
        <v>317</v>
      </c>
      <c r="E538" s="18" t="s">
        <v>28</v>
      </c>
      <c r="F538" s="18"/>
      <c r="G538" s="63" t="s">
        <v>5038</v>
      </c>
      <c r="H538" s="399">
        <v>5000</v>
      </c>
      <c r="I538" s="353"/>
      <c r="J538" s="399">
        <f t="shared" si="290"/>
        <v>5000</v>
      </c>
      <c r="K538" s="18">
        <v>1</v>
      </c>
      <c r="L538" s="399">
        <f t="shared" si="291"/>
        <v>5000</v>
      </c>
      <c r="M538" s="399">
        <f t="shared" si="292"/>
        <v>5500</v>
      </c>
      <c r="N538" s="18" t="s">
        <v>1516</v>
      </c>
      <c r="O538" s="433"/>
      <c r="P538" s="18" t="s">
        <v>4798</v>
      </c>
      <c r="R538" s="18" t="s">
        <v>4798</v>
      </c>
      <c r="S538" s="375"/>
    </row>
    <row r="539" spans="1:27" ht="21.75" customHeight="1" x14ac:dyDescent="0.4">
      <c r="A539" s="258">
        <v>45977</v>
      </c>
      <c r="B539" s="325" t="s">
        <v>5715</v>
      </c>
      <c r="C539" s="32" t="s">
        <v>405</v>
      </c>
      <c r="D539" s="18" t="s">
        <v>5109</v>
      </c>
      <c r="E539" s="18" t="s">
        <v>5716</v>
      </c>
      <c r="F539" s="18"/>
      <c r="G539" s="63" t="s">
        <v>5717</v>
      </c>
      <c r="H539" s="399">
        <v>5000</v>
      </c>
      <c r="I539" s="353"/>
      <c r="J539" s="399">
        <f t="shared" si="290"/>
        <v>5000</v>
      </c>
      <c r="K539" s="18">
        <v>1</v>
      </c>
      <c r="L539" s="399">
        <f t="shared" si="291"/>
        <v>5000</v>
      </c>
      <c r="M539" s="399">
        <f t="shared" si="292"/>
        <v>5500</v>
      </c>
      <c r="N539" s="18" t="s">
        <v>20</v>
      </c>
      <c r="O539" s="433"/>
      <c r="P539" s="18" t="s">
        <v>5718</v>
      </c>
      <c r="Q539" s="18" t="s">
        <v>2596</v>
      </c>
      <c r="R539" s="18" t="s">
        <v>2596</v>
      </c>
      <c r="S539" s="375"/>
    </row>
    <row r="540" spans="1:27" ht="21.75" customHeight="1" x14ac:dyDescent="0.4">
      <c r="A540" s="258">
        <v>45977</v>
      </c>
      <c r="B540" s="325" t="s">
        <v>5023</v>
      </c>
      <c r="C540" s="32" t="s">
        <v>5667</v>
      </c>
      <c r="D540" s="18" t="s">
        <v>22</v>
      </c>
      <c r="E540" s="18" t="s">
        <v>1496</v>
      </c>
      <c r="F540" s="18"/>
      <c r="G540" s="63" t="s">
        <v>4869</v>
      </c>
      <c r="H540" s="399">
        <v>2000</v>
      </c>
      <c r="I540" s="353"/>
      <c r="J540" s="399">
        <f t="shared" si="290"/>
        <v>2000</v>
      </c>
      <c r="K540" s="18">
        <v>1</v>
      </c>
      <c r="L540" s="399">
        <f t="shared" si="291"/>
        <v>2000</v>
      </c>
      <c r="M540" s="399">
        <f t="shared" si="292"/>
        <v>2200</v>
      </c>
      <c r="N540" s="18" t="s">
        <v>20</v>
      </c>
      <c r="O540" s="433"/>
      <c r="P540" s="18" t="s">
        <v>5719</v>
      </c>
      <c r="Q540" s="18" t="s">
        <v>5719</v>
      </c>
      <c r="R540" s="18" t="s">
        <v>5719</v>
      </c>
      <c r="S540" s="375"/>
    </row>
    <row r="541" spans="1:27" ht="21.75" customHeight="1" x14ac:dyDescent="0.4">
      <c r="A541" s="258">
        <v>45978</v>
      </c>
      <c r="B541" s="325" t="s">
        <v>139</v>
      </c>
      <c r="C541" s="32" t="s">
        <v>5667</v>
      </c>
      <c r="D541" s="18" t="s">
        <v>22</v>
      </c>
      <c r="E541" s="18" t="s">
        <v>1496</v>
      </c>
      <c r="F541" s="18"/>
      <c r="G541" s="63" t="s">
        <v>4869</v>
      </c>
      <c r="H541" s="399">
        <v>2000</v>
      </c>
      <c r="I541" s="353"/>
      <c r="J541" s="399">
        <f t="shared" si="290"/>
        <v>2000</v>
      </c>
      <c r="K541" s="18">
        <v>2</v>
      </c>
      <c r="L541" s="399">
        <f t="shared" si="291"/>
        <v>4000</v>
      </c>
      <c r="M541" s="399">
        <f t="shared" si="292"/>
        <v>4400</v>
      </c>
      <c r="N541" s="18" t="s">
        <v>1516</v>
      </c>
      <c r="O541" s="433"/>
      <c r="P541" s="18" t="s">
        <v>5719</v>
      </c>
      <c r="Q541" s="18" t="s">
        <v>5719</v>
      </c>
      <c r="R541" s="18" t="s">
        <v>5719</v>
      </c>
      <c r="S541" s="375"/>
    </row>
    <row r="542" spans="1:27" ht="21.75" customHeight="1" x14ac:dyDescent="0.4">
      <c r="A542" s="258">
        <v>45978</v>
      </c>
      <c r="B542" s="325" t="s">
        <v>5720</v>
      </c>
      <c r="C542" s="32" t="s">
        <v>405</v>
      </c>
      <c r="D542" s="18" t="s">
        <v>22</v>
      </c>
      <c r="E542" s="18" t="s">
        <v>260</v>
      </c>
      <c r="F542" s="258"/>
      <c r="G542" s="63" t="s">
        <v>1502</v>
      </c>
      <c r="H542" s="399">
        <v>15000</v>
      </c>
      <c r="I542" s="353"/>
      <c r="J542" s="399">
        <f t="shared" si="290"/>
        <v>15000</v>
      </c>
      <c r="K542" s="18">
        <v>1</v>
      </c>
      <c r="L542" s="399">
        <f t="shared" si="291"/>
        <v>15000</v>
      </c>
      <c r="M542" s="399">
        <f t="shared" si="292"/>
        <v>16500</v>
      </c>
      <c r="N542" s="18" t="s">
        <v>1121</v>
      </c>
      <c r="O542" s="433"/>
      <c r="P542" s="18" t="s">
        <v>2595</v>
      </c>
      <c r="Q542" s="18" t="s">
        <v>2595</v>
      </c>
      <c r="R542" s="18" t="s">
        <v>5449</v>
      </c>
      <c r="S542" s="375"/>
    </row>
    <row r="543" spans="1:27" s="411" customFormat="1" ht="21.75" customHeight="1" x14ac:dyDescent="0.4">
      <c r="A543" s="332">
        <v>45978</v>
      </c>
      <c r="B543" s="334" t="s">
        <v>5720</v>
      </c>
      <c r="C543" s="331" t="s">
        <v>405</v>
      </c>
      <c r="D543" s="333" t="s">
        <v>5721</v>
      </c>
      <c r="E543" s="333" t="s">
        <v>328</v>
      </c>
      <c r="F543" s="333" t="s">
        <v>788</v>
      </c>
      <c r="G543" s="434" t="s">
        <v>5723</v>
      </c>
      <c r="H543" s="407">
        <v>13200</v>
      </c>
      <c r="I543" s="408"/>
      <c r="J543" s="407">
        <f t="shared" si="290"/>
        <v>13200</v>
      </c>
      <c r="K543" s="333">
        <v>1</v>
      </c>
      <c r="L543" s="407">
        <f t="shared" si="291"/>
        <v>13200</v>
      </c>
      <c r="M543" s="407">
        <f t="shared" si="292"/>
        <v>14520</v>
      </c>
      <c r="N543" s="333" t="s">
        <v>1121</v>
      </c>
      <c r="O543" s="449"/>
      <c r="P543" s="333" t="s">
        <v>2595</v>
      </c>
      <c r="Q543" s="333" t="s">
        <v>2595</v>
      </c>
      <c r="R543" s="333" t="s">
        <v>5449</v>
      </c>
      <c r="S543" s="409"/>
      <c r="T543" s="410"/>
      <c r="U543" s="410"/>
      <c r="W543" s="412"/>
      <c r="X543" s="413"/>
      <c r="Y543" s="413"/>
      <c r="Z543" s="413"/>
      <c r="AA543" s="413"/>
    </row>
    <row r="544" spans="1:27" s="411" customFormat="1" ht="21.75" customHeight="1" x14ac:dyDescent="0.4">
      <c r="A544" s="332">
        <v>45978</v>
      </c>
      <c r="B544" s="334" t="s">
        <v>5720</v>
      </c>
      <c r="C544" s="331" t="s">
        <v>405</v>
      </c>
      <c r="D544" s="333" t="s">
        <v>5721</v>
      </c>
      <c r="E544" s="333" t="s">
        <v>5722</v>
      </c>
      <c r="F544" s="333" t="s">
        <v>3555</v>
      </c>
      <c r="G544" s="434" t="s">
        <v>5724</v>
      </c>
      <c r="H544" s="407">
        <v>1300</v>
      </c>
      <c r="I544" s="408"/>
      <c r="J544" s="407">
        <f t="shared" si="290"/>
        <v>1300</v>
      </c>
      <c r="K544" s="333">
        <v>1</v>
      </c>
      <c r="L544" s="407">
        <f t="shared" si="291"/>
        <v>1300</v>
      </c>
      <c r="M544" s="407">
        <f t="shared" si="292"/>
        <v>1430</v>
      </c>
      <c r="N544" s="333" t="s">
        <v>1121</v>
      </c>
      <c r="O544" s="449"/>
      <c r="P544" s="333" t="s">
        <v>2595</v>
      </c>
      <c r="Q544" s="333" t="s">
        <v>2595</v>
      </c>
      <c r="R544" s="333" t="s">
        <v>5449</v>
      </c>
      <c r="S544" s="409"/>
      <c r="T544" s="410"/>
      <c r="U544" s="410"/>
      <c r="W544" s="412"/>
      <c r="X544" s="413"/>
      <c r="Y544" s="413"/>
      <c r="Z544" s="413"/>
      <c r="AA544" s="413"/>
    </row>
    <row r="545" spans="1:19" ht="21.75" customHeight="1" x14ac:dyDescent="0.4">
      <c r="A545" s="258">
        <v>45978</v>
      </c>
      <c r="B545" s="325" t="s">
        <v>5780</v>
      </c>
      <c r="C545" s="32" t="s">
        <v>405</v>
      </c>
      <c r="D545" s="18" t="s">
        <v>17</v>
      </c>
      <c r="E545" s="18" t="s">
        <v>328</v>
      </c>
      <c r="F545" s="18" t="s">
        <v>788</v>
      </c>
      <c r="G545" s="63" t="s">
        <v>5782</v>
      </c>
      <c r="H545" s="399">
        <v>55000</v>
      </c>
      <c r="I545" s="353">
        <v>-11000</v>
      </c>
      <c r="J545" s="399">
        <f t="shared" si="290"/>
        <v>44000</v>
      </c>
      <c r="K545" s="18">
        <v>1</v>
      </c>
      <c r="L545" s="399">
        <f t="shared" si="291"/>
        <v>44000</v>
      </c>
      <c r="M545" s="399">
        <f t="shared" si="292"/>
        <v>48400</v>
      </c>
      <c r="N545" s="18" t="s">
        <v>1121</v>
      </c>
      <c r="O545" s="433"/>
      <c r="R545" s="18" t="s">
        <v>5783</v>
      </c>
      <c r="S545" s="375"/>
    </row>
    <row r="546" spans="1:19" ht="21.75" customHeight="1" x14ac:dyDescent="0.4">
      <c r="A546" s="258">
        <v>45978</v>
      </c>
      <c r="B546" s="325" t="s">
        <v>5780</v>
      </c>
      <c r="C546" s="32" t="s">
        <v>405</v>
      </c>
      <c r="D546" s="18" t="s">
        <v>17</v>
      </c>
      <c r="E546" s="18" t="s">
        <v>332</v>
      </c>
      <c r="F546" s="18" t="s">
        <v>3555</v>
      </c>
      <c r="G546" s="63" t="s">
        <v>5781</v>
      </c>
      <c r="H546" s="399">
        <v>1700</v>
      </c>
      <c r="I546" s="353"/>
      <c r="J546" s="399">
        <f t="shared" si="290"/>
        <v>1700</v>
      </c>
      <c r="K546" s="18">
        <v>1</v>
      </c>
      <c r="L546" s="399">
        <f t="shared" si="291"/>
        <v>1700</v>
      </c>
      <c r="M546" s="399">
        <f t="shared" si="292"/>
        <v>1870</v>
      </c>
      <c r="N546" s="18" t="s">
        <v>1121</v>
      </c>
      <c r="O546" s="433"/>
      <c r="R546" s="18" t="s">
        <v>5783</v>
      </c>
      <c r="S546" s="375"/>
    </row>
    <row r="547" spans="1:19" ht="21.75" customHeight="1" x14ac:dyDescent="0.4">
      <c r="A547" s="258">
        <v>45980</v>
      </c>
      <c r="B547" s="325" t="s">
        <v>5725</v>
      </c>
      <c r="C547" s="32" t="s">
        <v>5667</v>
      </c>
      <c r="D547" s="18" t="s">
        <v>17</v>
      </c>
      <c r="E547" s="18" t="s">
        <v>328</v>
      </c>
      <c r="F547" s="18" t="s">
        <v>3599</v>
      </c>
      <c r="G547" s="63" t="s">
        <v>4573</v>
      </c>
      <c r="H547" s="399">
        <v>72000</v>
      </c>
      <c r="I547" s="353">
        <v>-21600</v>
      </c>
      <c r="J547" s="399">
        <f t="shared" si="290"/>
        <v>50400</v>
      </c>
      <c r="K547" s="18">
        <v>1</v>
      </c>
      <c r="L547" s="399">
        <f t="shared" si="291"/>
        <v>50400</v>
      </c>
      <c r="M547" s="399">
        <f t="shared" si="292"/>
        <v>55440</v>
      </c>
      <c r="N547" s="18" t="s">
        <v>1121</v>
      </c>
      <c r="O547" s="433"/>
      <c r="P547" s="18" t="s">
        <v>5727</v>
      </c>
      <c r="R547" s="18" t="s">
        <v>4798</v>
      </c>
      <c r="S547" s="375"/>
    </row>
    <row r="548" spans="1:19" ht="21.75" customHeight="1" x14ac:dyDescent="0.4">
      <c r="A548" s="258">
        <v>45980</v>
      </c>
      <c r="B548" s="325" t="s">
        <v>5725</v>
      </c>
      <c r="C548" s="32" t="s">
        <v>5667</v>
      </c>
      <c r="D548" s="18" t="s">
        <v>17</v>
      </c>
      <c r="E548" s="18" t="s">
        <v>332</v>
      </c>
      <c r="F548" s="18" t="s">
        <v>3555</v>
      </c>
      <c r="G548" s="251" t="s">
        <v>5726</v>
      </c>
      <c r="H548" s="399">
        <v>1700</v>
      </c>
      <c r="I548" s="353">
        <v>-170</v>
      </c>
      <c r="J548" s="399">
        <f t="shared" si="290"/>
        <v>1530</v>
      </c>
      <c r="K548" s="18">
        <v>1</v>
      </c>
      <c r="L548" s="399">
        <f t="shared" si="291"/>
        <v>1530</v>
      </c>
      <c r="M548" s="399">
        <f t="shared" si="292"/>
        <v>1683</v>
      </c>
      <c r="N548" s="18" t="s">
        <v>1121</v>
      </c>
      <c r="O548" s="433"/>
      <c r="P548" s="18" t="s">
        <v>5727</v>
      </c>
      <c r="R548" s="18" t="s">
        <v>4798</v>
      </c>
      <c r="S548" s="375"/>
    </row>
    <row r="549" spans="1:19" ht="21.75" customHeight="1" x14ac:dyDescent="0.4">
      <c r="A549" s="258">
        <v>45980</v>
      </c>
      <c r="B549" s="325" t="s">
        <v>2088</v>
      </c>
      <c r="C549" s="32" t="s">
        <v>5667</v>
      </c>
      <c r="D549" s="18" t="s">
        <v>22</v>
      </c>
      <c r="E549" s="18" t="s">
        <v>1496</v>
      </c>
      <c r="F549" s="18"/>
      <c r="G549" s="63" t="s">
        <v>4869</v>
      </c>
      <c r="H549" s="399">
        <v>2000</v>
      </c>
      <c r="I549" s="353"/>
      <c r="J549" s="399">
        <f t="shared" si="290"/>
        <v>2000</v>
      </c>
      <c r="K549" s="18">
        <v>1</v>
      </c>
      <c r="L549" s="399">
        <f t="shared" si="291"/>
        <v>2000</v>
      </c>
      <c r="M549" s="399">
        <f t="shared" si="292"/>
        <v>2200</v>
      </c>
      <c r="N549" s="18" t="s">
        <v>1516</v>
      </c>
      <c r="O549" s="433"/>
      <c r="P549" s="18" t="s">
        <v>5449</v>
      </c>
      <c r="Q549" s="18" t="s">
        <v>5449</v>
      </c>
      <c r="R549" s="18" t="s">
        <v>5449</v>
      </c>
      <c r="S549" s="375"/>
    </row>
    <row r="550" spans="1:19" ht="21.75" customHeight="1" x14ac:dyDescent="0.4">
      <c r="A550" s="258">
        <v>45981</v>
      </c>
      <c r="B550" s="325" t="s">
        <v>5728</v>
      </c>
      <c r="C550" s="32" t="s">
        <v>405</v>
      </c>
      <c r="D550" s="242" t="s">
        <v>5733</v>
      </c>
      <c r="E550" s="242" t="s">
        <v>328</v>
      </c>
      <c r="F550" s="242" t="s">
        <v>5732</v>
      </c>
      <c r="G550" s="435" t="s">
        <v>5739</v>
      </c>
      <c r="H550" s="399">
        <v>60000</v>
      </c>
      <c r="I550" s="353">
        <v>-9000</v>
      </c>
      <c r="J550" s="399">
        <f t="shared" si="290"/>
        <v>51000</v>
      </c>
      <c r="K550" s="18">
        <v>1</v>
      </c>
      <c r="L550" s="399">
        <f t="shared" si="291"/>
        <v>51000</v>
      </c>
      <c r="M550" s="399">
        <f t="shared" si="292"/>
        <v>56100</v>
      </c>
      <c r="N550" s="18" t="s">
        <v>20</v>
      </c>
      <c r="O550" s="433"/>
      <c r="P550" s="18" t="s">
        <v>2595</v>
      </c>
      <c r="Q550" s="18" t="s">
        <v>5730</v>
      </c>
      <c r="R550" s="18" t="s">
        <v>5730</v>
      </c>
      <c r="S550" s="375"/>
    </row>
    <row r="551" spans="1:19" ht="21.75" customHeight="1" x14ac:dyDescent="0.4">
      <c r="A551" s="258">
        <v>45981</v>
      </c>
      <c r="B551" s="325" t="s">
        <v>5728</v>
      </c>
      <c r="C551" s="32" t="s">
        <v>405</v>
      </c>
      <c r="D551" s="242" t="s">
        <v>5733</v>
      </c>
      <c r="E551" s="242" t="s">
        <v>330</v>
      </c>
      <c r="F551" s="258" t="s">
        <v>661</v>
      </c>
      <c r="G551" s="63" t="s">
        <v>5303</v>
      </c>
      <c r="H551" s="399">
        <v>5000</v>
      </c>
      <c r="I551" s="353"/>
      <c r="J551" s="399">
        <f t="shared" si="290"/>
        <v>5000</v>
      </c>
      <c r="K551" s="18">
        <v>1</v>
      </c>
      <c r="L551" s="399">
        <f t="shared" si="291"/>
        <v>5000</v>
      </c>
      <c r="M551" s="399">
        <f t="shared" si="292"/>
        <v>5500</v>
      </c>
      <c r="N551" s="18" t="s">
        <v>20</v>
      </c>
      <c r="O551" s="433"/>
      <c r="P551" s="18" t="s">
        <v>2595</v>
      </c>
      <c r="Q551" s="18" t="s">
        <v>5730</v>
      </c>
      <c r="R551" s="18" t="s">
        <v>5730</v>
      </c>
      <c r="S551" s="375"/>
    </row>
    <row r="552" spans="1:19" ht="21.75" customHeight="1" x14ac:dyDescent="0.4">
      <c r="A552" s="258">
        <v>45981</v>
      </c>
      <c r="B552" s="325" t="s">
        <v>5728</v>
      </c>
      <c r="C552" s="32" t="s">
        <v>405</v>
      </c>
      <c r="D552" s="242" t="s">
        <v>5733</v>
      </c>
      <c r="E552" s="242" t="s">
        <v>5734</v>
      </c>
      <c r="F552" s="18" t="s">
        <v>3555</v>
      </c>
      <c r="G552" s="425" t="s">
        <v>5400</v>
      </c>
      <c r="H552" s="399">
        <v>1900</v>
      </c>
      <c r="I552" s="353"/>
      <c r="J552" s="399">
        <f t="shared" si="290"/>
        <v>1900</v>
      </c>
      <c r="K552" s="18">
        <v>1</v>
      </c>
      <c r="L552" s="399">
        <f t="shared" si="291"/>
        <v>1900</v>
      </c>
      <c r="M552" s="399">
        <f t="shared" si="292"/>
        <v>2090</v>
      </c>
      <c r="N552" s="18" t="s">
        <v>20</v>
      </c>
      <c r="O552" s="433"/>
      <c r="P552" s="18" t="s">
        <v>2595</v>
      </c>
      <c r="Q552" s="18" t="s">
        <v>5730</v>
      </c>
      <c r="R552" s="18" t="s">
        <v>5730</v>
      </c>
      <c r="S552" s="375"/>
    </row>
    <row r="553" spans="1:19" ht="21.75" customHeight="1" x14ac:dyDescent="0.4">
      <c r="A553" s="258">
        <v>45981</v>
      </c>
      <c r="B553" s="325" t="s">
        <v>5731</v>
      </c>
      <c r="C553" s="32" t="s">
        <v>405</v>
      </c>
      <c r="D553" s="242" t="s">
        <v>22</v>
      </c>
      <c r="E553" s="18" t="s">
        <v>260</v>
      </c>
      <c r="F553" s="242"/>
      <c r="G553" s="251" t="s">
        <v>5735</v>
      </c>
      <c r="H553" s="399">
        <v>20000</v>
      </c>
      <c r="I553" s="353">
        <v>-10000</v>
      </c>
      <c r="J553" s="399">
        <f t="shared" si="290"/>
        <v>10000</v>
      </c>
      <c r="K553" s="18">
        <v>1</v>
      </c>
      <c r="L553" s="399">
        <f t="shared" si="291"/>
        <v>10000</v>
      </c>
      <c r="M553" s="399">
        <f t="shared" si="292"/>
        <v>11000</v>
      </c>
      <c r="N553" s="18" t="s">
        <v>20</v>
      </c>
      <c r="O553" s="447" t="s">
        <v>5729</v>
      </c>
      <c r="P553" s="18" t="s">
        <v>2595</v>
      </c>
      <c r="Q553" s="18" t="s">
        <v>5730</v>
      </c>
      <c r="R553" s="18" t="s">
        <v>5730</v>
      </c>
      <c r="S553" s="375"/>
    </row>
    <row r="554" spans="1:19" ht="21.75" customHeight="1" x14ac:dyDescent="0.4">
      <c r="A554" s="258">
        <v>45981</v>
      </c>
      <c r="B554" s="325" t="s">
        <v>5731</v>
      </c>
      <c r="C554" s="32" t="s">
        <v>405</v>
      </c>
      <c r="D554" s="242" t="s">
        <v>5733</v>
      </c>
      <c r="E554" s="242" t="s">
        <v>328</v>
      </c>
      <c r="F554" s="242" t="s">
        <v>788</v>
      </c>
      <c r="G554" s="435" t="s">
        <v>5738</v>
      </c>
      <c r="H554" s="399">
        <v>50000</v>
      </c>
      <c r="I554" s="353">
        <v>-10000</v>
      </c>
      <c r="J554" s="399">
        <f t="shared" si="290"/>
        <v>40000</v>
      </c>
      <c r="K554" s="18">
        <v>1</v>
      </c>
      <c r="L554" s="399">
        <f t="shared" si="291"/>
        <v>40000</v>
      </c>
      <c r="M554" s="399">
        <f t="shared" si="292"/>
        <v>44000</v>
      </c>
      <c r="N554" s="18" t="s">
        <v>1121</v>
      </c>
      <c r="O554" s="433"/>
      <c r="P554" s="18" t="s">
        <v>2595</v>
      </c>
      <c r="Q554" s="18" t="s">
        <v>5730</v>
      </c>
      <c r="R554" s="18" t="s">
        <v>5730</v>
      </c>
      <c r="S554" s="375"/>
    </row>
    <row r="555" spans="1:19" ht="21.75" customHeight="1" x14ac:dyDescent="0.4">
      <c r="A555" s="258">
        <v>45981</v>
      </c>
      <c r="B555" s="325" t="s">
        <v>5731</v>
      </c>
      <c r="C555" s="32" t="s">
        <v>405</v>
      </c>
      <c r="D555" s="242" t="s">
        <v>5733</v>
      </c>
      <c r="E555" s="242" t="s">
        <v>330</v>
      </c>
      <c r="F555" s="242" t="s">
        <v>5740</v>
      </c>
      <c r="G555" s="251" t="s">
        <v>5737</v>
      </c>
      <c r="H555" s="399">
        <v>5500</v>
      </c>
      <c r="I555" s="353"/>
      <c r="J555" s="399">
        <f t="shared" si="290"/>
        <v>5500</v>
      </c>
      <c r="K555" s="18">
        <v>1</v>
      </c>
      <c r="L555" s="399">
        <f t="shared" si="291"/>
        <v>5500</v>
      </c>
      <c r="M555" s="399">
        <f t="shared" si="292"/>
        <v>6050</v>
      </c>
      <c r="N555" s="18" t="s">
        <v>1121</v>
      </c>
      <c r="O555" s="433"/>
      <c r="P555" s="18" t="s">
        <v>2595</v>
      </c>
      <c r="Q555" s="18" t="s">
        <v>5730</v>
      </c>
      <c r="R555" s="18" t="s">
        <v>5730</v>
      </c>
      <c r="S555" s="375"/>
    </row>
    <row r="556" spans="1:19" ht="21.75" customHeight="1" x14ac:dyDescent="0.4">
      <c r="A556" s="258">
        <v>45981</v>
      </c>
      <c r="B556" s="325" t="s">
        <v>5731</v>
      </c>
      <c r="C556" s="32" t="s">
        <v>405</v>
      </c>
      <c r="D556" s="242" t="s">
        <v>5733</v>
      </c>
      <c r="E556" s="242" t="s">
        <v>5734</v>
      </c>
      <c r="F556" s="242" t="s">
        <v>5736</v>
      </c>
      <c r="G556" s="251" t="s">
        <v>5162</v>
      </c>
      <c r="H556" s="399">
        <v>1760</v>
      </c>
      <c r="I556" s="353"/>
      <c r="J556" s="399">
        <f t="shared" ref="J556:J569" si="304">SUM(H556:I556)</f>
        <v>1760</v>
      </c>
      <c r="K556" s="18">
        <v>1</v>
      </c>
      <c r="L556" s="399">
        <f t="shared" ref="L556:L569" si="305">SUM(J556*K556)</f>
        <v>1760</v>
      </c>
      <c r="M556" s="399">
        <f t="shared" ref="M556:M569" si="306">ROUNDDOWN(L556*1.1,0)</f>
        <v>1936</v>
      </c>
      <c r="N556" s="18" t="s">
        <v>1121</v>
      </c>
      <c r="O556" s="433"/>
      <c r="P556" s="18" t="s">
        <v>2595</v>
      </c>
      <c r="Q556" s="18" t="s">
        <v>5730</v>
      </c>
      <c r="R556" s="18" t="s">
        <v>5730</v>
      </c>
      <c r="S556" s="375"/>
    </row>
    <row r="557" spans="1:19" ht="21.75" customHeight="1" x14ac:dyDescent="0.4">
      <c r="A557" s="258">
        <v>45981</v>
      </c>
      <c r="B557" s="325" t="s">
        <v>5741</v>
      </c>
      <c r="C557" s="32" t="s">
        <v>5667</v>
      </c>
      <c r="D557" s="18" t="s">
        <v>5733</v>
      </c>
      <c r="E557" s="18" t="s">
        <v>5734</v>
      </c>
      <c r="F557" s="18" t="s">
        <v>3554</v>
      </c>
      <c r="G557" s="425" t="s">
        <v>5742</v>
      </c>
      <c r="H557" s="399">
        <v>2600</v>
      </c>
      <c r="I557" s="353">
        <v>-260</v>
      </c>
      <c r="J557" s="399">
        <f t="shared" si="304"/>
        <v>2340</v>
      </c>
      <c r="K557" s="18">
        <v>1</v>
      </c>
      <c r="L557" s="399">
        <f t="shared" si="305"/>
        <v>2340</v>
      </c>
      <c r="M557" s="399">
        <f t="shared" si="306"/>
        <v>2574</v>
      </c>
      <c r="N557" s="18" t="s">
        <v>1516</v>
      </c>
      <c r="O557" s="433"/>
      <c r="P557" s="18" t="s">
        <v>2595</v>
      </c>
      <c r="Q557" s="18" t="s">
        <v>2595</v>
      </c>
      <c r="R557" s="18" t="s">
        <v>5449</v>
      </c>
      <c r="S557" s="375"/>
    </row>
    <row r="558" spans="1:19" ht="18.75" x14ac:dyDescent="0.4">
      <c r="A558" s="258">
        <v>45982</v>
      </c>
      <c r="B558" s="325" t="s">
        <v>5745</v>
      </c>
      <c r="C558" s="32" t="s">
        <v>5667</v>
      </c>
      <c r="D558" s="18" t="s">
        <v>17</v>
      </c>
      <c r="E558" s="18" t="s">
        <v>2219</v>
      </c>
      <c r="F558" s="18" t="s">
        <v>5744</v>
      </c>
      <c r="G558" s="63" t="s">
        <v>5743</v>
      </c>
      <c r="H558" s="399">
        <v>45000</v>
      </c>
      <c r="I558" s="353">
        <v>-4500</v>
      </c>
      <c r="J558" s="399">
        <f t="shared" si="304"/>
        <v>40500</v>
      </c>
      <c r="K558" s="18">
        <v>1</v>
      </c>
      <c r="L558" s="399">
        <f t="shared" si="305"/>
        <v>40500</v>
      </c>
      <c r="M558" s="399">
        <f t="shared" si="306"/>
        <v>44550</v>
      </c>
      <c r="N558" s="18" t="s">
        <v>1516</v>
      </c>
      <c r="O558" s="447" t="s">
        <v>5746</v>
      </c>
      <c r="Q558" s="18" t="s">
        <v>5747</v>
      </c>
      <c r="R558" s="18" t="s">
        <v>5747</v>
      </c>
      <c r="S558" s="375"/>
    </row>
    <row r="559" spans="1:19" ht="21.75" customHeight="1" x14ac:dyDescent="0.4">
      <c r="A559" s="258">
        <v>45983</v>
      </c>
      <c r="B559" s="325" t="s">
        <v>5023</v>
      </c>
      <c r="C559" s="32" t="s">
        <v>5667</v>
      </c>
      <c r="D559" s="18" t="s">
        <v>22</v>
      </c>
      <c r="E559" s="18" t="s">
        <v>1496</v>
      </c>
      <c r="F559" s="18"/>
      <c r="G559" s="63" t="s">
        <v>4869</v>
      </c>
      <c r="H559" s="399">
        <v>2000</v>
      </c>
      <c r="I559" s="353"/>
      <c r="J559" s="399">
        <f t="shared" si="304"/>
        <v>2000</v>
      </c>
      <c r="K559" s="18">
        <v>1</v>
      </c>
      <c r="L559" s="399">
        <f t="shared" si="305"/>
        <v>2000</v>
      </c>
      <c r="M559" s="399">
        <f t="shared" si="306"/>
        <v>2200</v>
      </c>
      <c r="N559" s="18" t="s">
        <v>20</v>
      </c>
      <c r="O559" s="433"/>
      <c r="P559" s="18" t="s">
        <v>5449</v>
      </c>
      <c r="Q559" s="18" t="s">
        <v>5449</v>
      </c>
      <c r="R559" s="18" t="s">
        <v>5449</v>
      </c>
      <c r="S559" s="375"/>
    </row>
    <row r="560" spans="1:19" ht="21.75" customHeight="1" x14ac:dyDescent="0.4">
      <c r="A560" s="258">
        <v>45984</v>
      </c>
      <c r="B560" s="325" t="s">
        <v>5752</v>
      </c>
      <c r="C560" s="32" t="s">
        <v>405</v>
      </c>
      <c r="D560" s="18" t="s">
        <v>317</v>
      </c>
      <c r="E560" s="18" t="s">
        <v>28</v>
      </c>
      <c r="F560" s="18"/>
      <c r="G560" s="63" t="s">
        <v>5038</v>
      </c>
      <c r="H560" s="399">
        <v>5000</v>
      </c>
      <c r="I560" s="353"/>
      <c r="J560" s="399">
        <f t="shared" si="304"/>
        <v>5000</v>
      </c>
      <c r="K560" s="18">
        <v>1</v>
      </c>
      <c r="L560" s="399">
        <f t="shared" si="305"/>
        <v>5000</v>
      </c>
      <c r="M560" s="399">
        <f t="shared" si="306"/>
        <v>5500</v>
      </c>
      <c r="N560" s="18" t="s">
        <v>1516</v>
      </c>
      <c r="O560" s="433"/>
      <c r="R560" s="18" t="s">
        <v>5753</v>
      </c>
      <c r="S560" s="375"/>
    </row>
    <row r="561" spans="1:27" ht="21.75" customHeight="1" x14ac:dyDescent="0.4">
      <c r="A561" s="258">
        <v>45985</v>
      </c>
      <c r="B561" s="325" t="s">
        <v>5754</v>
      </c>
      <c r="C561" s="32" t="s">
        <v>5755</v>
      </c>
      <c r="D561" s="18" t="s">
        <v>5756</v>
      </c>
      <c r="E561" s="18" t="s">
        <v>5757</v>
      </c>
      <c r="F561" s="18"/>
      <c r="G561" s="63" t="s">
        <v>4869</v>
      </c>
      <c r="H561" s="399">
        <v>2000</v>
      </c>
      <c r="I561" s="353"/>
      <c r="J561" s="399">
        <f t="shared" si="304"/>
        <v>2000</v>
      </c>
      <c r="K561" s="18">
        <v>1</v>
      </c>
      <c r="L561" s="399">
        <f t="shared" si="305"/>
        <v>2000</v>
      </c>
      <c r="M561" s="399">
        <f t="shared" si="306"/>
        <v>2200</v>
      </c>
      <c r="N561" s="18" t="s">
        <v>1516</v>
      </c>
      <c r="O561" s="433"/>
      <c r="P561" s="18" t="s">
        <v>5758</v>
      </c>
      <c r="Q561" s="18" t="s">
        <v>4798</v>
      </c>
      <c r="R561" s="18" t="s">
        <v>5758</v>
      </c>
      <c r="S561" s="375"/>
    </row>
    <row r="562" spans="1:27" ht="21.75" customHeight="1" x14ac:dyDescent="0.4">
      <c r="A562" s="258">
        <v>45985</v>
      </c>
      <c r="B562" s="32" t="s">
        <v>4865</v>
      </c>
      <c r="C562" s="32" t="s">
        <v>5755</v>
      </c>
      <c r="D562" s="18" t="s">
        <v>5756</v>
      </c>
      <c r="E562" s="18" t="s">
        <v>5757</v>
      </c>
      <c r="F562" s="18"/>
      <c r="G562" s="63" t="s">
        <v>4869</v>
      </c>
      <c r="H562" s="399">
        <v>2000</v>
      </c>
      <c r="I562" s="353"/>
      <c r="J562" s="399">
        <f t="shared" ref="J562" si="307">SUM(H562:I562)</f>
        <v>2000</v>
      </c>
      <c r="K562" s="18">
        <v>1</v>
      </c>
      <c r="L562" s="399">
        <f t="shared" ref="L562" si="308">SUM(J562*K562)</f>
        <v>2000</v>
      </c>
      <c r="M562" s="399">
        <f t="shared" ref="M562" si="309">ROUNDDOWN(L562*1.1,0)</f>
        <v>2200</v>
      </c>
      <c r="N562" s="18" t="s">
        <v>20</v>
      </c>
      <c r="O562" s="433"/>
      <c r="P562" s="18" t="s">
        <v>4798</v>
      </c>
      <c r="Q562" s="18" t="s">
        <v>4798</v>
      </c>
      <c r="R562" s="18" t="s">
        <v>5758</v>
      </c>
      <c r="S562" s="375"/>
    </row>
    <row r="563" spans="1:27" ht="21.75" customHeight="1" x14ac:dyDescent="0.4">
      <c r="A563" s="258">
        <v>45987</v>
      </c>
      <c r="B563" s="325" t="s">
        <v>5759</v>
      </c>
      <c r="C563" s="32" t="s">
        <v>5760</v>
      </c>
      <c r="D563" s="18" t="s">
        <v>5761</v>
      </c>
      <c r="E563" s="18" t="s">
        <v>1496</v>
      </c>
      <c r="F563" s="18"/>
      <c r="G563" s="63" t="s">
        <v>4869</v>
      </c>
      <c r="H563" s="399">
        <v>2000</v>
      </c>
      <c r="I563" s="353"/>
      <c r="J563" s="399">
        <f t="shared" ref="J563:J568" si="310">SUM(H563:I563)</f>
        <v>2000</v>
      </c>
      <c r="K563" s="18">
        <v>1</v>
      </c>
      <c r="L563" s="399">
        <f t="shared" ref="L563:L568" si="311">SUM(J563*K563)</f>
        <v>2000</v>
      </c>
      <c r="M563" s="399">
        <f t="shared" ref="M563:M568" si="312">ROUNDDOWN(L563*1.1,0)</f>
        <v>2200</v>
      </c>
      <c r="N563" s="18" t="s">
        <v>1516</v>
      </c>
      <c r="O563" s="433"/>
      <c r="P563" s="18" t="s">
        <v>5449</v>
      </c>
      <c r="Q563" s="18" t="s">
        <v>5449</v>
      </c>
      <c r="R563" s="18" t="s">
        <v>5449</v>
      </c>
    </row>
    <row r="564" spans="1:27" ht="21.75" customHeight="1" x14ac:dyDescent="0.4">
      <c r="A564" s="258">
        <v>45987</v>
      </c>
      <c r="B564" s="325" t="s">
        <v>5762</v>
      </c>
      <c r="C564" s="32" t="s">
        <v>405</v>
      </c>
      <c r="D564" s="18" t="s">
        <v>22</v>
      </c>
      <c r="E564" s="18" t="s">
        <v>260</v>
      </c>
      <c r="F564" s="258"/>
      <c r="G564" s="63" t="s">
        <v>1502</v>
      </c>
      <c r="H564" s="399">
        <v>15000</v>
      </c>
      <c r="I564" s="353"/>
      <c r="J564" s="399">
        <f t="shared" si="310"/>
        <v>15000</v>
      </c>
      <c r="K564" s="18">
        <v>1</v>
      </c>
      <c r="L564" s="399">
        <f t="shared" si="311"/>
        <v>15000</v>
      </c>
      <c r="M564" s="399">
        <f t="shared" si="312"/>
        <v>16500</v>
      </c>
      <c r="N564" s="18" t="s">
        <v>1121</v>
      </c>
      <c r="O564" s="433"/>
      <c r="P564" s="18" t="s">
        <v>5763</v>
      </c>
      <c r="Q564" s="18" t="s">
        <v>5763</v>
      </c>
      <c r="R564" s="18" t="s">
        <v>5764</v>
      </c>
    </row>
    <row r="565" spans="1:27" ht="21.75" customHeight="1" x14ac:dyDescent="0.4">
      <c r="A565" s="258">
        <v>45987</v>
      </c>
      <c r="B565" s="325" t="s">
        <v>5762</v>
      </c>
      <c r="C565" s="32" t="s">
        <v>405</v>
      </c>
      <c r="D565" s="258" t="s">
        <v>5765</v>
      </c>
      <c r="E565" s="258" t="s">
        <v>5766</v>
      </c>
      <c r="F565" s="374" t="s">
        <v>3960</v>
      </c>
      <c r="G565" s="433" t="s">
        <v>5769</v>
      </c>
      <c r="H565" s="399">
        <v>42000</v>
      </c>
      <c r="I565" s="399">
        <v>-8400</v>
      </c>
      <c r="J565" s="399">
        <f t="shared" si="310"/>
        <v>33600</v>
      </c>
      <c r="K565" s="18">
        <v>1</v>
      </c>
      <c r="L565" s="399">
        <f t="shared" si="311"/>
        <v>33600</v>
      </c>
      <c r="M565" s="399">
        <f t="shared" si="312"/>
        <v>36960</v>
      </c>
      <c r="N565" s="18" t="s">
        <v>1121</v>
      </c>
      <c r="O565" s="433"/>
      <c r="P565" s="18" t="s">
        <v>5763</v>
      </c>
      <c r="Q565" s="18" t="s">
        <v>5763</v>
      </c>
      <c r="R565" s="18" t="s">
        <v>5764</v>
      </c>
    </row>
    <row r="566" spans="1:27" ht="21.75" customHeight="1" x14ac:dyDescent="0.4">
      <c r="A566" s="258">
        <v>45987</v>
      </c>
      <c r="B566" s="325" t="s">
        <v>5762</v>
      </c>
      <c r="C566" s="32" t="s">
        <v>405</v>
      </c>
      <c r="D566" s="258" t="s">
        <v>5765</v>
      </c>
      <c r="E566" s="258" t="s">
        <v>5767</v>
      </c>
      <c r="F566" s="258" t="s">
        <v>661</v>
      </c>
      <c r="G566" s="433" t="s">
        <v>5770</v>
      </c>
      <c r="H566" s="399">
        <v>5000</v>
      </c>
      <c r="I566" s="399"/>
      <c r="J566" s="399">
        <f t="shared" si="310"/>
        <v>5000</v>
      </c>
      <c r="K566" s="18">
        <v>1</v>
      </c>
      <c r="L566" s="399">
        <f t="shared" si="311"/>
        <v>5000</v>
      </c>
      <c r="M566" s="399">
        <f t="shared" si="312"/>
        <v>5500</v>
      </c>
      <c r="N566" s="18" t="s">
        <v>1121</v>
      </c>
      <c r="O566" s="433"/>
      <c r="P566" s="18" t="s">
        <v>5763</v>
      </c>
      <c r="Q566" s="18" t="s">
        <v>5763</v>
      </c>
      <c r="R566" s="18" t="s">
        <v>5764</v>
      </c>
    </row>
    <row r="567" spans="1:27" ht="21.75" customHeight="1" x14ac:dyDescent="0.4">
      <c r="A567" s="258">
        <v>45987</v>
      </c>
      <c r="B567" s="325" t="s">
        <v>5762</v>
      </c>
      <c r="C567" s="32" t="s">
        <v>405</v>
      </c>
      <c r="D567" s="258" t="s">
        <v>5765</v>
      </c>
      <c r="E567" s="258" t="s">
        <v>5768</v>
      </c>
      <c r="F567" s="18" t="s">
        <v>3554</v>
      </c>
      <c r="G567" s="433" t="s">
        <v>6223</v>
      </c>
      <c r="H567" s="399">
        <v>1300</v>
      </c>
      <c r="I567" s="399"/>
      <c r="J567" s="399">
        <f t="shared" si="310"/>
        <v>1300</v>
      </c>
      <c r="K567" s="18">
        <v>1</v>
      </c>
      <c r="L567" s="399">
        <f t="shared" si="311"/>
        <v>1300</v>
      </c>
      <c r="M567" s="399">
        <f t="shared" si="312"/>
        <v>1430</v>
      </c>
      <c r="N567" s="18" t="s">
        <v>1121</v>
      </c>
      <c r="O567" s="433"/>
      <c r="P567" s="18" t="s">
        <v>5763</v>
      </c>
      <c r="Q567" s="18" t="s">
        <v>5763</v>
      </c>
      <c r="R567" s="18" t="s">
        <v>5764</v>
      </c>
    </row>
    <row r="568" spans="1:27" ht="21.75" customHeight="1" x14ac:dyDescent="0.4">
      <c r="A568" s="258">
        <v>45988</v>
      </c>
      <c r="B568" s="325" t="s">
        <v>5771</v>
      </c>
      <c r="C568" s="32" t="s">
        <v>2557</v>
      </c>
      <c r="D568" s="18" t="s">
        <v>17</v>
      </c>
      <c r="E568" s="18" t="s">
        <v>426</v>
      </c>
      <c r="F568" s="18" t="s">
        <v>994</v>
      </c>
      <c r="G568" s="63" t="s">
        <v>5774</v>
      </c>
      <c r="H568" s="399">
        <v>1800</v>
      </c>
      <c r="I568" s="399">
        <v>-180</v>
      </c>
      <c r="J568" s="399">
        <f t="shared" si="310"/>
        <v>1620</v>
      </c>
      <c r="K568" s="18">
        <v>1</v>
      </c>
      <c r="L568" s="399">
        <f t="shared" si="311"/>
        <v>1620</v>
      </c>
      <c r="M568" s="399">
        <f t="shared" si="312"/>
        <v>1782</v>
      </c>
      <c r="N568" s="18" t="s">
        <v>1516</v>
      </c>
      <c r="O568" s="433"/>
      <c r="Q568" s="18" t="s">
        <v>5772</v>
      </c>
      <c r="R568" s="18" t="s">
        <v>5773</v>
      </c>
    </row>
    <row r="569" spans="1:27" s="411" customFormat="1" ht="21.75" customHeight="1" x14ac:dyDescent="0.4">
      <c r="A569" s="332">
        <v>45988</v>
      </c>
      <c r="B569" s="334" t="s">
        <v>5720</v>
      </c>
      <c r="C569" s="331" t="s">
        <v>405</v>
      </c>
      <c r="D569" s="332" t="s">
        <v>17</v>
      </c>
      <c r="E569" s="333" t="s">
        <v>328</v>
      </c>
      <c r="F569" s="333" t="s">
        <v>788</v>
      </c>
      <c r="G569" s="434" t="s">
        <v>5723</v>
      </c>
      <c r="H569" s="414">
        <v>22000</v>
      </c>
      <c r="I569" s="407">
        <v>-8800</v>
      </c>
      <c r="J569" s="414">
        <f t="shared" si="304"/>
        <v>13200</v>
      </c>
      <c r="K569" s="333">
        <v>1</v>
      </c>
      <c r="L569" s="414">
        <f t="shared" si="305"/>
        <v>13200</v>
      </c>
      <c r="M569" s="415">
        <f t="shared" si="306"/>
        <v>14520</v>
      </c>
      <c r="N569" s="333" t="s">
        <v>1121</v>
      </c>
      <c r="O569" s="450" t="s">
        <v>5834</v>
      </c>
      <c r="P569" s="333"/>
      <c r="Q569" s="333" t="s">
        <v>5832</v>
      </c>
      <c r="R569" s="333"/>
      <c r="S569" s="409"/>
      <c r="T569" s="410"/>
      <c r="U569" s="410"/>
      <c r="W569" s="412"/>
      <c r="X569" s="413"/>
      <c r="Y569" s="413"/>
      <c r="Z569" s="413"/>
      <c r="AA569" s="413"/>
    </row>
    <row r="570" spans="1:27" s="411" customFormat="1" ht="21.75" customHeight="1" x14ac:dyDescent="0.4">
      <c r="A570" s="332">
        <v>45988</v>
      </c>
      <c r="B570" s="334" t="s">
        <v>5720</v>
      </c>
      <c r="C570" s="331" t="s">
        <v>405</v>
      </c>
      <c r="D570" s="332" t="s">
        <v>17</v>
      </c>
      <c r="E570" s="333" t="s">
        <v>332</v>
      </c>
      <c r="F570" s="333" t="s">
        <v>3555</v>
      </c>
      <c r="G570" s="434" t="s">
        <v>5724</v>
      </c>
      <c r="H570" s="414">
        <v>1300</v>
      </c>
      <c r="I570" s="407"/>
      <c r="J570" s="414">
        <f t="shared" ref="J570:J645" si="313">SUM(H570:I570)</f>
        <v>1300</v>
      </c>
      <c r="K570" s="333">
        <v>1</v>
      </c>
      <c r="L570" s="414">
        <f t="shared" ref="L570:L645" si="314">SUM(J570*K570)</f>
        <v>1300</v>
      </c>
      <c r="M570" s="415">
        <f t="shared" ref="M570:M645" si="315">ROUNDDOWN(L570*1.1,0)</f>
        <v>1430</v>
      </c>
      <c r="N570" s="333" t="s">
        <v>1121</v>
      </c>
      <c r="O570" s="450" t="s">
        <v>5834</v>
      </c>
      <c r="P570" s="333"/>
      <c r="Q570" s="333" t="s">
        <v>5832</v>
      </c>
      <c r="R570" s="333"/>
      <c r="S570" s="409"/>
      <c r="T570" s="410"/>
      <c r="U570" s="410"/>
      <c r="W570" s="412"/>
      <c r="X570" s="413"/>
      <c r="Y570" s="413"/>
      <c r="Z570" s="413"/>
      <c r="AA570" s="413"/>
    </row>
    <row r="571" spans="1:27" ht="21.75" customHeight="1" x14ac:dyDescent="0.4">
      <c r="A571" s="258">
        <v>45988</v>
      </c>
      <c r="B571" s="322">
        <v>0.78333333333333333</v>
      </c>
      <c r="C571" s="32" t="s">
        <v>405</v>
      </c>
      <c r="D571" s="258" t="s">
        <v>17</v>
      </c>
      <c r="E571" s="242" t="s">
        <v>328</v>
      </c>
      <c r="F571" s="258" t="s">
        <v>790</v>
      </c>
      <c r="G571" s="63"/>
      <c r="H571" s="350">
        <v>39600</v>
      </c>
      <c r="I571" s="399"/>
      <c r="J571" s="350">
        <f t="shared" si="313"/>
        <v>39600</v>
      </c>
      <c r="K571" s="18">
        <v>1</v>
      </c>
      <c r="L571" s="350">
        <f t="shared" si="314"/>
        <v>39600</v>
      </c>
      <c r="M571" s="356">
        <f t="shared" si="315"/>
        <v>43560</v>
      </c>
      <c r="N571" s="18" t="s">
        <v>20</v>
      </c>
      <c r="O571" s="433"/>
      <c r="Q571" s="18" t="s">
        <v>5832</v>
      </c>
      <c r="S571" s="375"/>
    </row>
    <row r="572" spans="1:27" ht="21.75" customHeight="1" x14ac:dyDescent="0.4">
      <c r="A572" s="258">
        <v>45988</v>
      </c>
      <c r="B572" s="325" t="s">
        <v>5720</v>
      </c>
      <c r="C572" s="32" t="s">
        <v>405</v>
      </c>
      <c r="D572" s="258" t="s">
        <v>17</v>
      </c>
      <c r="E572" s="242" t="s">
        <v>332</v>
      </c>
      <c r="F572" s="18" t="s">
        <v>3555</v>
      </c>
      <c r="G572" s="63" t="s">
        <v>5784</v>
      </c>
      <c r="H572" s="350">
        <v>1300</v>
      </c>
      <c r="I572" s="399"/>
      <c r="J572" s="350">
        <f t="shared" si="313"/>
        <v>1300</v>
      </c>
      <c r="K572" s="18">
        <v>2</v>
      </c>
      <c r="L572" s="350">
        <f t="shared" si="314"/>
        <v>2600</v>
      </c>
      <c r="M572" s="356">
        <f t="shared" si="315"/>
        <v>2860</v>
      </c>
      <c r="N572" s="18" t="s">
        <v>1121</v>
      </c>
      <c r="O572" s="433"/>
      <c r="Q572" s="18" t="s">
        <v>5832</v>
      </c>
      <c r="S572" s="375"/>
    </row>
    <row r="573" spans="1:27" ht="21.75" customHeight="1" x14ac:dyDescent="0.4">
      <c r="A573" s="258">
        <v>45989</v>
      </c>
      <c r="B573" s="325" t="s">
        <v>148</v>
      </c>
      <c r="C573" s="32" t="s">
        <v>2557</v>
      </c>
      <c r="D573" s="18" t="s">
        <v>5109</v>
      </c>
      <c r="E573" s="18" t="s">
        <v>28</v>
      </c>
      <c r="F573" s="18"/>
      <c r="G573" s="63" t="s">
        <v>5036</v>
      </c>
      <c r="H573" s="399">
        <v>17500</v>
      </c>
      <c r="I573" s="399"/>
      <c r="J573" s="350">
        <f t="shared" si="313"/>
        <v>17500</v>
      </c>
      <c r="K573" s="18">
        <v>1</v>
      </c>
      <c r="L573" s="350">
        <f t="shared" si="314"/>
        <v>17500</v>
      </c>
      <c r="M573" s="356">
        <f t="shared" si="315"/>
        <v>19250</v>
      </c>
      <c r="N573" s="18" t="s">
        <v>20</v>
      </c>
      <c r="O573" s="439" t="s">
        <v>5704</v>
      </c>
      <c r="Q573" s="18" t="s">
        <v>5776</v>
      </c>
      <c r="R573" s="18" t="s">
        <v>5783</v>
      </c>
      <c r="S573" s="375"/>
    </row>
    <row r="574" spans="1:27" ht="21.75" customHeight="1" x14ac:dyDescent="0.4">
      <c r="A574" s="258">
        <v>45990</v>
      </c>
      <c r="B574" s="325" t="s">
        <v>5785</v>
      </c>
      <c r="C574" s="18" t="s">
        <v>405</v>
      </c>
      <c r="D574" s="18" t="s">
        <v>22</v>
      </c>
      <c r="E574" s="18" t="s">
        <v>1496</v>
      </c>
      <c r="F574" s="18"/>
      <c r="G574" s="63" t="s">
        <v>2422</v>
      </c>
      <c r="H574" s="399">
        <v>2000</v>
      </c>
      <c r="I574" s="353"/>
      <c r="J574" s="399">
        <f t="shared" si="313"/>
        <v>2000</v>
      </c>
      <c r="K574" s="18">
        <v>1</v>
      </c>
      <c r="L574" s="399">
        <f t="shared" si="314"/>
        <v>2000</v>
      </c>
      <c r="M574" s="399">
        <f t="shared" si="315"/>
        <v>2200</v>
      </c>
      <c r="N574" s="18" t="s">
        <v>20</v>
      </c>
      <c r="O574" s="433"/>
      <c r="Q574" s="18" t="s">
        <v>5783</v>
      </c>
      <c r="R574" s="18" t="s">
        <v>5783</v>
      </c>
      <c r="S574" s="375"/>
    </row>
    <row r="575" spans="1:27" ht="21.75" customHeight="1" x14ac:dyDescent="0.4">
      <c r="A575" s="258">
        <v>45990</v>
      </c>
      <c r="B575" s="325" t="s">
        <v>5786</v>
      </c>
      <c r="C575" s="18" t="s">
        <v>405</v>
      </c>
      <c r="D575" s="18" t="s">
        <v>22</v>
      </c>
      <c r="E575" s="18" t="s">
        <v>1496</v>
      </c>
      <c r="F575" s="18"/>
      <c r="G575" s="63" t="s">
        <v>2422</v>
      </c>
      <c r="H575" s="399">
        <v>2000</v>
      </c>
      <c r="I575" s="353"/>
      <c r="J575" s="399">
        <f t="shared" si="313"/>
        <v>2000</v>
      </c>
      <c r="K575" s="18">
        <v>1</v>
      </c>
      <c r="L575" s="399">
        <f t="shared" si="314"/>
        <v>2000</v>
      </c>
      <c r="M575" s="399">
        <f t="shared" si="315"/>
        <v>2200</v>
      </c>
      <c r="N575" s="18" t="s">
        <v>20</v>
      </c>
      <c r="O575" s="433"/>
      <c r="Q575" s="18" t="s">
        <v>5783</v>
      </c>
      <c r="R575" s="18" t="s">
        <v>5783</v>
      </c>
      <c r="S575" s="375"/>
    </row>
    <row r="576" spans="1:27" ht="21.75" customHeight="1" x14ac:dyDescent="0.4">
      <c r="A576" s="258">
        <v>45990</v>
      </c>
      <c r="B576" s="325" t="s">
        <v>5787</v>
      </c>
      <c r="C576" s="32" t="s">
        <v>2557</v>
      </c>
      <c r="D576" s="18" t="s">
        <v>5109</v>
      </c>
      <c r="E576" s="18" t="s">
        <v>28</v>
      </c>
      <c r="F576" s="18"/>
      <c r="G576" s="63" t="s">
        <v>5036</v>
      </c>
      <c r="H576" s="399">
        <v>17500</v>
      </c>
      <c r="I576" s="399"/>
      <c r="J576" s="350">
        <f t="shared" ref="J576" si="316">SUM(H576:I576)</f>
        <v>17500</v>
      </c>
      <c r="K576" s="18">
        <v>1</v>
      </c>
      <c r="L576" s="350">
        <f t="shared" ref="L576" si="317">SUM(J576*K576)</f>
        <v>17500</v>
      </c>
      <c r="M576" s="356">
        <f t="shared" ref="M576" si="318">ROUNDDOWN(L576*1.1,0)</f>
        <v>19250</v>
      </c>
      <c r="N576" s="18" t="s">
        <v>20</v>
      </c>
      <c r="O576" s="439" t="s">
        <v>5704</v>
      </c>
      <c r="Q576" s="18" t="s">
        <v>5783</v>
      </c>
      <c r="R576" s="18" t="s">
        <v>5783</v>
      </c>
      <c r="S576" s="375"/>
    </row>
    <row r="577" spans="1:19" ht="21.75" customHeight="1" x14ac:dyDescent="0.4">
      <c r="A577" s="258">
        <v>45990</v>
      </c>
      <c r="B577" s="325" t="s">
        <v>5787</v>
      </c>
      <c r="C577" s="32" t="s">
        <v>2557</v>
      </c>
      <c r="D577" s="18" t="s">
        <v>27</v>
      </c>
      <c r="E577" s="18" t="s">
        <v>28</v>
      </c>
      <c r="F577" s="18"/>
      <c r="G577" s="63" t="s">
        <v>5788</v>
      </c>
      <c r="H577" s="350">
        <v>15000</v>
      </c>
      <c r="I577" s="399">
        <v>-5000</v>
      </c>
      <c r="J577" s="350">
        <f t="shared" si="313"/>
        <v>10000</v>
      </c>
      <c r="K577" s="18">
        <v>1</v>
      </c>
      <c r="L577" s="350">
        <f t="shared" si="314"/>
        <v>10000</v>
      </c>
      <c r="M577" s="356">
        <f t="shared" si="315"/>
        <v>11000</v>
      </c>
      <c r="N577" s="18" t="s">
        <v>20</v>
      </c>
      <c r="O577" s="433"/>
      <c r="Q577" s="18" t="s">
        <v>5783</v>
      </c>
      <c r="R577" s="18" t="s">
        <v>5783</v>
      </c>
      <c r="S577" s="375"/>
    </row>
    <row r="578" spans="1:19" ht="21.75" customHeight="1" x14ac:dyDescent="0.4">
      <c r="A578" s="258">
        <v>45990</v>
      </c>
      <c r="B578" s="325" t="s">
        <v>5789</v>
      </c>
      <c r="C578" s="32" t="s">
        <v>5667</v>
      </c>
      <c r="D578" s="18" t="s">
        <v>27</v>
      </c>
      <c r="E578" s="18" t="s">
        <v>28</v>
      </c>
      <c r="F578" s="18"/>
      <c r="G578" s="63" t="s">
        <v>73</v>
      </c>
      <c r="H578" s="350">
        <v>2000</v>
      </c>
      <c r="I578" s="399"/>
      <c r="J578" s="350">
        <f t="shared" si="313"/>
        <v>2000</v>
      </c>
      <c r="K578" s="18">
        <v>3</v>
      </c>
      <c r="L578" s="350">
        <f t="shared" si="314"/>
        <v>6000</v>
      </c>
      <c r="M578" s="356">
        <f t="shared" si="315"/>
        <v>6600</v>
      </c>
      <c r="N578" s="18" t="s">
        <v>20</v>
      </c>
      <c r="O578" s="439" t="s">
        <v>5790</v>
      </c>
      <c r="Q578" s="18" t="s">
        <v>5783</v>
      </c>
      <c r="R578" s="18" t="s">
        <v>5783</v>
      </c>
      <c r="S578" s="375"/>
    </row>
    <row r="579" spans="1:19" ht="21.75" customHeight="1" x14ac:dyDescent="0.4">
      <c r="A579" s="258">
        <v>45990</v>
      </c>
      <c r="B579" s="325" t="s">
        <v>5023</v>
      </c>
      <c r="C579" s="32" t="s">
        <v>5667</v>
      </c>
      <c r="D579" s="18" t="s">
        <v>22</v>
      </c>
      <c r="E579" s="18" t="s">
        <v>1496</v>
      </c>
      <c r="F579" s="18"/>
      <c r="G579" s="63" t="s">
        <v>4869</v>
      </c>
      <c r="H579" s="399">
        <v>2000</v>
      </c>
      <c r="I579" s="353"/>
      <c r="J579" s="399">
        <f t="shared" si="313"/>
        <v>2000</v>
      </c>
      <c r="K579" s="18">
        <v>1</v>
      </c>
      <c r="L579" s="399">
        <f t="shared" si="314"/>
        <v>2000</v>
      </c>
      <c r="M579" s="399">
        <f t="shared" si="315"/>
        <v>2200</v>
      </c>
      <c r="N579" s="18" t="s">
        <v>20</v>
      </c>
      <c r="O579" s="433"/>
      <c r="P579" s="18" t="s">
        <v>5449</v>
      </c>
      <c r="Q579" s="18" t="s">
        <v>5449</v>
      </c>
      <c r="R579" s="18" t="s">
        <v>5449</v>
      </c>
      <c r="S579" s="375"/>
    </row>
    <row r="580" spans="1:19" ht="21.75" customHeight="1" x14ac:dyDescent="0.4">
      <c r="A580" s="258">
        <v>45990</v>
      </c>
      <c r="B580" s="325" t="s">
        <v>5023</v>
      </c>
      <c r="C580" s="32" t="s">
        <v>5667</v>
      </c>
      <c r="D580" s="18" t="s">
        <v>5791</v>
      </c>
      <c r="E580" s="18" t="s">
        <v>426</v>
      </c>
      <c r="F580" s="18" t="s">
        <v>994</v>
      </c>
      <c r="G580" s="63" t="s">
        <v>5792</v>
      </c>
      <c r="H580" s="350">
        <v>1800</v>
      </c>
      <c r="I580" s="399">
        <v>-180</v>
      </c>
      <c r="J580" s="350">
        <f t="shared" si="313"/>
        <v>1620</v>
      </c>
      <c r="K580" s="18">
        <v>1</v>
      </c>
      <c r="L580" s="350">
        <f t="shared" si="314"/>
        <v>1620</v>
      </c>
      <c r="M580" s="356">
        <f t="shared" si="315"/>
        <v>1782</v>
      </c>
      <c r="N580" s="18" t="s">
        <v>20</v>
      </c>
      <c r="O580" s="433"/>
      <c r="Q580" s="18" t="s">
        <v>5793</v>
      </c>
      <c r="R580" s="18" t="s">
        <v>5793</v>
      </c>
      <c r="S580" s="375"/>
    </row>
    <row r="581" spans="1:19" ht="21.75" customHeight="1" x14ac:dyDescent="0.4">
      <c r="A581" s="258">
        <v>45990</v>
      </c>
      <c r="B581" s="325" t="s">
        <v>5023</v>
      </c>
      <c r="C581" s="32" t="s">
        <v>2557</v>
      </c>
      <c r="D581" s="18" t="s">
        <v>5791</v>
      </c>
      <c r="E581" s="18" t="s">
        <v>426</v>
      </c>
      <c r="F581" s="18" t="s">
        <v>994</v>
      </c>
      <c r="G581" s="63" t="s">
        <v>5794</v>
      </c>
      <c r="H581" s="350">
        <v>1800</v>
      </c>
      <c r="I581" s="399">
        <v>-180</v>
      </c>
      <c r="J581" s="399">
        <f t="shared" si="313"/>
        <v>1620</v>
      </c>
      <c r="K581" s="18">
        <v>1</v>
      </c>
      <c r="L581" s="399">
        <f t="shared" si="314"/>
        <v>1620</v>
      </c>
      <c r="M581" s="399">
        <f t="shared" si="315"/>
        <v>1782</v>
      </c>
      <c r="N581" s="18" t="s">
        <v>20</v>
      </c>
      <c r="O581" s="433"/>
      <c r="Q581" s="18" t="s">
        <v>5449</v>
      </c>
      <c r="R581" s="18" t="s">
        <v>5449</v>
      </c>
      <c r="S581" s="375"/>
    </row>
    <row r="582" spans="1:19" ht="21.75" customHeight="1" x14ac:dyDescent="0.4">
      <c r="A582" s="258">
        <v>45990</v>
      </c>
      <c r="B582" s="32" t="s">
        <v>4865</v>
      </c>
      <c r="C582" s="32" t="s">
        <v>5667</v>
      </c>
      <c r="D582" s="18" t="s">
        <v>22</v>
      </c>
      <c r="E582" s="18" t="s">
        <v>1496</v>
      </c>
      <c r="F582" s="18"/>
      <c r="G582" s="63" t="s">
        <v>4869</v>
      </c>
      <c r="H582" s="350">
        <v>2000</v>
      </c>
      <c r="I582" s="399"/>
      <c r="J582" s="350">
        <f t="shared" si="313"/>
        <v>2000</v>
      </c>
      <c r="K582" s="18">
        <v>1</v>
      </c>
      <c r="L582" s="350">
        <f t="shared" si="314"/>
        <v>2000</v>
      </c>
      <c r="M582" s="356">
        <f t="shared" si="315"/>
        <v>2200</v>
      </c>
      <c r="N582" s="18" t="s">
        <v>20</v>
      </c>
      <c r="O582" s="433"/>
      <c r="P582" s="18" t="s">
        <v>4798</v>
      </c>
      <c r="Q582" s="18" t="s">
        <v>4798</v>
      </c>
      <c r="R582" s="18" t="s">
        <v>4798</v>
      </c>
      <c r="S582" s="375"/>
    </row>
    <row r="583" spans="1:19" ht="21.75" customHeight="1" x14ac:dyDescent="0.4">
      <c r="A583" s="258">
        <v>45990</v>
      </c>
      <c r="B583" s="325" t="s">
        <v>2088</v>
      </c>
      <c r="C583" s="32" t="s">
        <v>2557</v>
      </c>
      <c r="D583" s="18" t="s">
        <v>22</v>
      </c>
      <c r="E583" s="18" t="s">
        <v>1496</v>
      </c>
      <c r="F583" s="18"/>
      <c r="G583" s="63" t="s">
        <v>4869</v>
      </c>
      <c r="H583" s="399">
        <v>2000</v>
      </c>
      <c r="I583" s="353"/>
      <c r="J583" s="399">
        <f t="shared" si="313"/>
        <v>2000</v>
      </c>
      <c r="K583" s="18">
        <v>1</v>
      </c>
      <c r="L583" s="399">
        <f t="shared" si="314"/>
        <v>2000</v>
      </c>
      <c r="M583" s="399">
        <f t="shared" si="315"/>
        <v>2200</v>
      </c>
      <c r="N583" s="18" t="s">
        <v>1516</v>
      </c>
      <c r="O583" s="433"/>
      <c r="P583" s="18" t="s">
        <v>5449</v>
      </c>
      <c r="Q583" s="18" t="s">
        <v>5449</v>
      </c>
      <c r="R583" s="18" t="s">
        <v>5449</v>
      </c>
      <c r="S583" s="375"/>
    </row>
    <row r="584" spans="1:19" ht="21.75" customHeight="1" x14ac:dyDescent="0.4">
      <c r="A584" s="258">
        <v>45990</v>
      </c>
      <c r="B584" s="32" t="s">
        <v>4774</v>
      </c>
      <c r="C584" s="32" t="s">
        <v>2557</v>
      </c>
      <c r="D584" s="18" t="s">
        <v>27</v>
      </c>
      <c r="E584" s="18" t="s">
        <v>28</v>
      </c>
      <c r="F584" s="18"/>
      <c r="G584" s="63" t="s">
        <v>5036</v>
      </c>
      <c r="H584" s="399">
        <v>17500</v>
      </c>
      <c r="I584" s="399"/>
      <c r="J584" s="350">
        <f t="shared" si="313"/>
        <v>17500</v>
      </c>
      <c r="K584" s="18">
        <v>1</v>
      </c>
      <c r="L584" s="350">
        <f t="shared" si="314"/>
        <v>17500</v>
      </c>
      <c r="M584" s="356">
        <f t="shared" si="315"/>
        <v>19250</v>
      </c>
      <c r="N584" s="18" t="s">
        <v>20</v>
      </c>
      <c r="O584" s="439" t="s">
        <v>5803</v>
      </c>
      <c r="P584" s="18" t="s">
        <v>5795</v>
      </c>
      <c r="Q584" s="18" t="s">
        <v>5795</v>
      </c>
      <c r="R584" s="18" t="s">
        <v>5795</v>
      </c>
      <c r="S584" s="375"/>
    </row>
    <row r="585" spans="1:19" ht="21.75" customHeight="1" x14ac:dyDescent="0.4">
      <c r="A585" s="258">
        <v>45991</v>
      </c>
      <c r="B585" s="32" t="s">
        <v>4865</v>
      </c>
      <c r="C585" s="32" t="s">
        <v>5667</v>
      </c>
      <c r="D585" s="18" t="s">
        <v>22</v>
      </c>
      <c r="E585" s="18" t="s">
        <v>1496</v>
      </c>
      <c r="F585" s="18"/>
      <c r="G585" s="63" t="s">
        <v>4869</v>
      </c>
      <c r="H585" s="350">
        <v>2000</v>
      </c>
      <c r="I585" s="399"/>
      <c r="J585" s="350">
        <f t="shared" ref="J585:J588" si="319">SUM(H585:I585)</f>
        <v>2000</v>
      </c>
      <c r="K585" s="18">
        <v>1</v>
      </c>
      <c r="L585" s="350">
        <f t="shared" ref="L585:L588" si="320">SUM(J585*K585)</f>
        <v>2000</v>
      </c>
      <c r="M585" s="356">
        <f t="shared" ref="M585:M588" si="321">ROUNDDOWN(L585*1.1,0)</f>
        <v>2200</v>
      </c>
      <c r="N585" s="18" t="s">
        <v>20</v>
      </c>
      <c r="O585" s="433"/>
      <c r="P585" s="18" t="s">
        <v>5796</v>
      </c>
      <c r="Q585" s="18" t="s">
        <v>5797</v>
      </c>
      <c r="R585" s="18" t="s">
        <v>5797</v>
      </c>
      <c r="S585" s="375"/>
    </row>
    <row r="586" spans="1:19" ht="21.75" customHeight="1" x14ac:dyDescent="0.4">
      <c r="A586" s="258">
        <v>45991</v>
      </c>
      <c r="B586" s="325" t="s">
        <v>3424</v>
      </c>
      <c r="C586" s="32" t="s">
        <v>5667</v>
      </c>
      <c r="D586" s="18" t="s">
        <v>22</v>
      </c>
      <c r="E586" s="18" t="s">
        <v>1496</v>
      </c>
      <c r="F586" s="18"/>
      <c r="G586" s="63" t="s">
        <v>4869</v>
      </c>
      <c r="H586" s="399">
        <v>2000</v>
      </c>
      <c r="I586" s="353"/>
      <c r="J586" s="399">
        <f t="shared" si="319"/>
        <v>2000</v>
      </c>
      <c r="K586" s="18">
        <v>1</v>
      </c>
      <c r="L586" s="399">
        <f t="shared" si="320"/>
        <v>2000</v>
      </c>
      <c r="M586" s="399">
        <f t="shared" si="321"/>
        <v>2200</v>
      </c>
      <c r="N586" s="18" t="s">
        <v>1516</v>
      </c>
      <c r="O586" s="433"/>
      <c r="P586" s="18" t="s">
        <v>5449</v>
      </c>
      <c r="Q586" s="18" t="s">
        <v>5797</v>
      </c>
      <c r="R586" s="18" t="s">
        <v>5797</v>
      </c>
      <c r="S586" s="375"/>
    </row>
    <row r="587" spans="1:19" ht="21.75" customHeight="1" x14ac:dyDescent="0.4">
      <c r="A587" s="258">
        <v>45991</v>
      </c>
      <c r="B587" s="325" t="s">
        <v>5798</v>
      </c>
      <c r="C587" s="32" t="s">
        <v>405</v>
      </c>
      <c r="D587" s="18" t="s">
        <v>5799</v>
      </c>
      <c r="E587" s="18" t="s">
        <v>260</v>
      </c>
      <c r="F587" s="258"/>
      <c r="G587" s="63" t="s">
        <v>1502</v>
      </c>
      <c r="H587" s="399">
        <v>15000</v>
      </c>
      <c r="I587" s="353"/>
      <c r="J587" s="399">
        <f t="shared" si="319"/>
        <v>15000</v>
      </c>
      <c r="K587" s="18">
        <v>1</v>
      </c>
      <c r="L587" s="399">
        <f t="shared" si="320"/>
        <v>15000</v>
      </c>
      <c r="M587" s="399">
        <f t="shared" si="321"/>
        <v>16500</v>
      </c>
      <c r="N587" s="18" t="s">
        <v>20</v>
      </c>
      <c r="O587" s="433"/>
      <c r="P587" s="18" t="s">
        <v>5800</v>
      </c>
      <c r="Q587" s="18" t="s">
        <v>5800</v>
      </c>
      <c r="R587" s="18" t="s">
        <v>5797</v>
      </c>
      <c r="S587" s="375"/>
    </row>
    <row r="588" spans="1:19" ht="21.75" customHeight="1" x14ac:dyDescent="0.4">
      <c r="A588" s="258">
        <v>45991</v>
      </c>
      <c r="B588" s="325" t="s">
        <v>5023</v>
      </c>
      <c r="C588" s="32" t="s">
        <v>5667</v>
      </c>
      <c r="D588" s="18" t="s">
        <v>22</v>
      </c>
      <c r="E588" s="18" t="s">
        <v>1496</v>
      </c>
      <c r="F588" s="18"/>
      <c r="G588" s="63" t="s">
        <v>4869</v>
      </c>
      <c r="H588" s="399">
        <v>2000</v>
      </c>
      <c r="I588" s="353"/>
      <c r="J588" s="399">
        <f t="shared" si="319"/>
        <v>2000</v>
      </c>
      <c r="K588" s="18">
        <v>1</v>
      </c>
      <c r="L588" s="399">
        <f t="shared" si="320"/>
        <v>2000</v>
      </c>
      <c r="M588" s="399">
        <f t="shared" si="321"/>
        <v>2200</v>
      </c>
      <c r="N588" s="18" t="s">
        <v>20</v>
      </c>
      <c r="O588" s="433"/>
      <c r="P588" s="18" t="s">
        <v>5449</v>
      </c>
      <c r="Q588" s="18" t="s">
        <v>5449</v>
      </c>
      <c r="R588" s="18" t="s">
        <v>5449</v>
      </c>
      <c r="S588" s="375"/>
    </row>
    <row r="589" spans="1:19" ht="21.75" customHeight="1" x14ac:dyDescent="0.4">
      <c r="A589" s="258">
        <v>45991</v>
      </c>
      <c r="B589" s="325" t="s">
        <v>5801</v>
      </c>
      <c r="C589" s="32" t="s">
        <v>5802</v>
      </c>
      <c r="D589" s="18" t="s">
        <v>22</v>
      </c>
      <c r="E589" s="18" t="s">
        <v>1496</v>
      </c>
      <c r="F589" s="18"/>
      <c r="G589" s="63" t="s">
        <v>2422</v>
      </c>
      <c r="H589" s="350">
        <v>2000</v>
      </c>
      <c r="I589" s="399"/>
      <c r="J589" s="350">
        <v>2000</v>
      </c>
      <c r="K589" s="18">
        <v>1</v>
      </c>
      <c r="L589" s="350">
        <v>2000</v>
      </c>
      <c r="M589" s="356">
        <v>2200</v>
      </c>
      <c r="N589" s="18" t="s">
        <v>20</v>
      </c>
      <c r="O589" s="433"/>
      <c r="Q589" s="18" t="s">
        <v>2595</v>
      </c>
      <c r="R589" s="18" t="s">
        <v>2595</v>
      </c>
      <c r="S589" s="375"/>
    </row>
    <row r="590" spans="1:19" ht="21.75" customHeight="1" x14ac:dyDescent="0.4">
      <c r="A590" s="258">
        <v>45991</v>
      </c>
      <c r="B590" s="325" t="s">
        <v>5812</v>
      </c>
      <c r="C590" s="32" t="s">
        <v>5802</v>
      </c>
      <c r="D590" s="18" t="s">
        <v>22</v>
      </c>
      <c r="E590" s="18" t="s">
        <v>1496</v>
      </c>
      <c r="F590" s="18"/>
      <c r="G590" s="63" t="s">
        <v>2422</v>
      </c>
      <c r="H590" s="350">
        <v>2000</v>
      </c>
      <c r="I590" s="399"/>
      <c r="J590" s="350">
        <v>2000</v>
      </c>
      <c r="K590" s="18">
        <v>1</v>
      </c>
      <c r="L590" s="350">
        <v>2000</v>
      </c>
      <c r="M590" s="356">
        <v>2200</v>
      </c>
      <c r="N590" s="18" t="s">
        <v>1121</v>
      </c>
      <c r="O590" s="433"/>
      <c r="Q590" s="18" t="s">
        <v>2595</v>
      </c>
      <c r="R590" s="18" t="s">
        <v>2595</v>
      </c>
      <c r="S590" s="375"/>
    </row>
    <row r="591" spans="1:19" ht="21.75" customHeight="1" x14ac:dyDescent="0.4">
      <c r="A591" s="258">
        <v>45992</v>
      </c>
      <c r="B591" s="325" t="s">
        <v>2141</v>
      </c>
      <c r="C591" s="32" t="s">
        <v>4292</v>
      </c>
      <c r="D591" s="18" t="s">
        <v>17</v>
      </c>
      <c r="E591" s="18" t="s">
        <v>1442</v>
      </c>
      <c r="F591" s="18" t="s">
        <v>4507</v>
      </c>
      <c r="G591" s="63" t="s">
        <v>5807</v>
      </c>
      <c r="H591" s="350">
        <v>13640</v>
      </c>
      <c r="I591" s="399"/>
      <c r="J591" s="350">
        <f t="shared" ref="J591:J595" si="322">SUM(H591:I591)</f>
        <v>13640</v>
      </c>
      <c r="K591" s="18">
        <v>1</v>
      </c>
      <c r="L591" s="350">
        <f t="shared" ref="L591:L595" si="323">SUM(J591*K591)</f>
        <v>13640</v>
      </c>
      <c r="M591" s="356">
        <f t="shared" ref="M591:M595" si="324">ROUNDDOWN(L591*1.1,0)</f>
        <v>15004</v>
      </c>
      <c r="N591" s="18" t="s">
        <v>1121</v>
      </c>
      <c r="O591" s="433"/>
      <c r="Q591" s="18" t="s">
        <v>2595</v>
      </c>
      <c r="R591" s="18" t="s">
        <v>4803</v>
      </c>
      <c r="S591" s="375"/>
    </row>
    <row r="592" spans="1:19" ht="21.75" customHeight="1" x14ac:dyDescent="0.4">
      <c r="A592" s="258">
        <v>45992</v>
      </c>
      <c r="B592" s="325" t="s">
        <v>2141</v>
      </c>
      <c r="C592" s="32" t="s">
        <v>4292</v>
      </c>
      <c r="D592" s="18" t="s">
        <v>17</v>
      </c>
      <c r="E592" s="18" t="s">
        <v>1442</v>
      </c>
      <c r="F592" s="18" t="s">
        <v>4507</v>
      </c>
      <c r="G592" s="63" t="s">
        <v>5808</v>
      </c>
      <c r="H592" s="350">
        <v>13640</v>
      </c>
      <c r="I592" s="399"/>
      <c r="J592" s="350">
        <f t="shared" si="322"/>
        <v>13640</v>
      </c>
      <c r="K592" s="18">
        <v>1</v>
      </c>
      <c r="L592" s="350">
        <f t="shared" si="323"/>
        <v>13640</v>
      </c>
      <c r="M592" s="356">
        <f t="shared" si="324"/>
        <v>15004</v>
      </c>
      <c r="N592" s="18" t="s">
        <v>1121</v>
      </c>
      <c r="O592" s="433"/>
      <c r="Q592" s="18" t="s">
        <v>2595</v>
      </c>
      <c r="R592" s="18" t="s">
        <v>4803</v>
      </c>
      <c r="S592" s="375"/>
    </row>
    <row r="593" spans="1:27" ht="21.75" customHeight="1" x14ac:dyDescent="0.4">
      <c r="A593" s="258">
        <v>45992</v>
      </c>
      <c r="B593" s="32" t="s">
        <v>5616</v>
      </c>
      <c r="C593" s="32" t="s">
        <v>5802</v>
      </c>
      <c r="D593" s="18" t="s">
        <v>17</v>
      </c>
      <c r="E593" s="18" t="s">
        <v>1442</v>
      </c>
      <c r="F593" s="18" t="s">
        <v>790</v>
      </c>
      <c r="G593" s="63" t="s">
        <v>5809</v>
      </c>
      <c r="H593" s="350">
        <v>45364</v>
      </c>
      <c r="I593" s="399"/>
      <c r="J593" s="350">
        <f t="shared" si="322"/>
        <v>45364</v>
      </c>
      <c r="K593" s="18">
        <v>1</v>
      </c>
      <c r="L593" s="350">
        <f t="shared" si="323"/>
        <v>45364</v>
      </c>
      <c r="M593" s="356">
        <f t="shared" si="324"/>
        <v>49900</v>
      </c>
      <c r="N593" s="18" t="s">
        <v>1121</v>
      </c>
      <c r="O593" s="433"/>
      <c r="Q593" s="18" t="s">
        <v>2595</v>
      </c>
      <c r="R593" s="18" t="s">
        <v>4803</v>
      </c>
      <c r="S593" s="375"/>
    </row>
    <row r="594" spans="1:27" ht="21.75" customHeight="1" x14ac:dyDescent="0.4">
      <c r="A594" s="391">
        <v>45992</v>
      </c>
      <c r="B594" s="323" t="s">
        <v>5559</v>
      </c>
      <c r="C594" s="323" t="s">
        <v>2557</v>
      </c>
      <c r="D594" s="330" t="s">
        <v>198</v>
      </c>
      <c r="E594" s="168" t="s">
        <v>4409</v>
      </c>
      <c r="F594" s="168"/>
      <c r="G594" s="436" t="s">
        <v>5036</v>
      </c>
      <c r="H594" s="392">
        <v>-17500</v>
      </c>
      <c r="I594" s="393"/>
      <c r="J594" s="392">
        <f t="shared" si="322"/>
        <v>-17500</v>
      </c>
      <c r="K594" s="168">
        <v>1</v>
      </c>
      <c r="L594" s="392">
        <f t="shared" si="323"/>
        <v>-17500</v>
      </c>
      <c r="M594" s="394">
        <f t="shared" si="324"/>
        <v>-19250</v>
      </c>
      <c r="N594" s="168" t="s">
        <v>20</v>
      </c>
      <c r="O594" s="446" t="s">
        <v>5810</v>
      </c>
      <c r="Q594" s="18" t="s">
        <v>5811</v>
      </c>
      <c r="R594" s="18" t="s">
        <v>4803</v>
      </c>
      <c r="S594" s="375"/>
    </row>
    <row r="595" spans="1:27" ht="21.75" customHeight="1" x14ac:dyDescent="0.4">
      <c r="A595" s="258">
        <v>45992</v>
      </c>
      <c r="B595" s="325" t="s">
        <v>5813</v>
      </c>
      <c r="C595" s="32" t="s">
        <v>5667</v>
      </c>
      <c r="D595" s="258" t="s">
        <v>17</v>
      </c>
      <c r="E595" s="242" t="s">
        <v>332</v>
      </c>
      <c r="F595" s="18" t="s">
        <v>3554</v>
      </c>
      <c r="G595" s="428" t="s">
        <v>5470</v>
      </c>
      <c r="H595" s="350">
        <v>1500</v>
      </c>
      <c r="I595" s="399">
        <v>-150</v>
      </c>
      <c r="J595" s="350">
        <f t="shared" si="322"/>
        <v>1350</v>
      </c>
      <c r="K595" s="18">
        <v>3</v>
      </c>
      <c r="L595" s="350">
        <f t="shared" si="323"/>
        <v>4050</v>
      </c>
      <c r="M595" s="356">
        <f t="shared" si="324"/>
        <v>4455</v>
      </c>
      <c r="N595" s="18" t="s">
        <v>1121</v>
      </c>
      <c r="O595" s="433"/>
      <c r="Q595" s="18" t="s">
        <v>5815</v>
      </c>
      <c r="R595" s="18" t="s">
        <v>5815</v>
      </c>
      <c r="S595" s="375"/>
    </row>
    <row r="596" spans="1:27" ht="21.75" customHeight="1" x14ac:dyDescent="0.4">
      <c r="A596" s="258">
        <v>45992</v>
      </c>
      <c r="B596" s="325" t="s">
        <v>5813</v>
      </c>
      <c r="C596" s="32" t="s">
        <v>5667</v>
      </c>
      <c r="D596" s="258" t="s">
        <v>17</v>
      </c>
      <c r="E596" s="18" t="s">
        <v>292</v>
      </c>
      <c r="F596" s="18" t="s">
        <v>1051</v>
      </c>
      <c r="G596" s="63" t="s">
        <v>5814</v>
      </c>
      <c r="H596" s="350">
        <v>5700</v>
      </c>
      <c r="I596" s="399"/>
      <c r="J596" s="350">
        <f t="shared" si="313"/>
        <v>5700</v>
      </c>
      <c r="K596" s="18">
        <v>1</v>
      </c>
      <c r="L596" s="350">
        <f t="shared" si="314"/>
        <v>5700</v>
      </c>
      <c r="M596" s="356">
        <f t="shared" si="315"/>
        <v>6270</v>
      </c>
      <c r="N596" s="18" t="s">
        <v>1121</v>
      </c>
      <c r="O596" s="433"/>
      <c r="Q596" s="18" t="s">
        <v>5815</v>
      </c>
      <c r="R596" s="18" t="s">
        <v>5815</v>
      </c>
      <c r="S596" s="375"/>
    </row>
    <row r="597" spans="1:27" ht="21.75" customHeight="1" x14ac:dyDescent="0.4">
      <c r="A597" s="258">
        <v>45994</v>
      </c>
      <c r="B597" s="325" t="s">
        <v>5824</v>
      </c>
      <c r="C597" s="32" t="s">
        <v>405</v>
      </c>
      <c r="D597" s="18" t="s">
        <v>22</v>
      </c>
      <c r="E597" s="18" t="s">
        <v>260</v>
      </c>
      <c r="F597" s="258"/>
      <c r="G597" s="63" t="s">
        <v>1502</v>
      </c>
      <c r="H597" s="399">
        <v>15000</v>
      </c>
      <c r="I597" s="353"/>
      <c r="J597" s="399">
        <f t="shared" si="313"/>
        <v>15000</v>
      </c>
      <c r="K597" s="18">
        <v>1</v>
      </c>
      <c r="L597" s="399">
        <f t="shared" si="314"/>
        <v>15000</v>
      </c>
      <c r="M597" s="399">
        <f t="shared" si="315"/>
        <v>16500</v>
      </c>
      <c r="N597" s="18" t="s">
        <v>1516</v>
      </c>
      <c r="O597" s="433"/>
      <c r="Q597" s="18" t="s">
        <v>5827</v>
      </c>
      <c r="R597" s="18" t="s">
        <v>5828</v>
      </c>
      <c r="S597" s="375"/>
    </row>
    <row r="598" spans="1:27" ht="21.75" customHeight="1" x14ac:dyDescent="0.4">
      <c r="A598" s="258">
        <v>45994</v>
      </c>
      <c r="B598" s="325" t="s">
        <v>5824</v>
      </c>
      <c r="C598" s="32" t="s">
        <v>405</v>
      </c>
      <c r="D598" s="258" t="s">
        <v>17</v>
      </c>
      <c r="E598" s="242" t="s">
        <v>332</v>
      </c>
      <c r="F598" s="18" t="s">
        <v>3555</v>
      </c>
      <c r="G598" s="63" t="s">
        <v>5826</v>
      </c>
      <c r="H598" s="399">
        <v>2000</v>
      </c>
      <c r="I598" s="353"/>
      <c r="J598" s="399">
        <f t="shared" si="313"/>
        <v>2000</v>
      </c>
      <c r="K598" s="18">
        <v>2</v>
      </c>
      <c r="L598" s="399">
        <f t="shared" si="314"/>
        <v>4000</v>
      </c>
      <c r="M598" s="399">
        <f t="shared" si="315"/>
        <v>4400</v>
      </c>
      <c r="N598" s="18" t="s">
        <v>1516</v>
      </c>
      <c r="O598" s="433"/>
      <c r="Q598" s="18" t="s">
        <v>5827</v>
      </c>
      <c r="R598" s="18" t="s">
        <v>5828</v>
      </c>
      <c r="S598" s="375"/>
    </row>
    <row r="599" spans="1:27" ht="21.75" customHeight="1" x14ac:dyDescent="0.4">
      <c r="A599" s="258">
        <v>45994</v>
      </c>
      <c r="B599" s="325" t="s">
        <v>5824</v>
      </c>
      <c r="C599" s="32" t="s">
        <v>405</v>
      </c>
      <c r="D599" s="258" t="s">
        <v>17</v>
      </c>
      <c r="E599" s="18" t="s">
        <v>328</v>
      </c>
      <c r="F599" s="18" t="s">
        <v>5823</v>
      </c>
      <c r="G599" s="63" t="s">
        <v>5825</v>
      </c>
      <c r="H599" s="350">
        <v>6000</v>
      </c>
      <c r="I599" s="399"/>
      <c r="J599" s="350">
        <f t="shared" ref="J599:J600" si="325">SUM(H599:I599)</f>
        <v>6000</v>
      </c>
      <c r="K599" s="18">
        <v>2</v>
      </c>
      <c r="L599" s="350">
        <f t="shared" ref="L599:L600" si="326">SUM(J599*K599)</f>
        <v>12000</v>
      </c>
      <c r="M599" s="356">
        <f t="shared" ref="M599:M600" si="327">ROUNDDOWN(L599*1.1,0)</f>
        <v>13200</v>
      </c>
      <c r="N599" s="18" t="s">
        <v>1516</v>
      </c>
      <c r="O599" s="433"/>
      <c r="Q599" s="18" t="s">
        <v>5827</v>
      </c>
      <c r="R599" s="18" t="s">
        <v>5828</v>
      </c>
      <c r="S599" s="375"/>
    </row>
    <row r="600" spans="1:27" ht="21.75" customHeight="1" x14ac:dyDescent="0.4">
      <c r="A600" s="258">
        <v>45994</v>
      </c>
      <c r="B600" s="325" t="s">
        <v>5824</v>
      </c>
      <c r="C600" s="32" t="s">
        <v>405</v>
      </c>
      <c r="D600" s="96" t="s">
        <v>198</v>
      </c>
      <c r="E600" s="18"/>
      <c r="F600" s="18"/>
      <c r="G600" s="63" t="s">
        <v>2491</v>
      </c>
      <c r="H600" s="350">
        <v>-15000</v>
      </c>
      <c r="I600" s="353"/>
      <c r="J600" s="350">
        <f t="shared" si="325"/>
        <v>-15000</v>
      </c>
      <c r="K600" s="18">
        <v>1</v>
      </c>
      <c r="L600" s="350">
        <f t="shared" si="326"/>
        <v>-15000</v>
      </c>
      <c r="M600" s="358">
        <f t="shared" si="327"/>
        <v>-16500</v>
      </c>
      <c r="N600" s="18" t="s">
        <v>1516</v>
      </c>
      <c r="O600" s="433"/>
      <c r="Q600" s="18" t="s">
        <v>5827</v>
      </c>
      <c r="R600" s="18" t="s">
        <v>5828</v>
      </c>
      <c r="S600" s="375"/>
    </row>
    <row r="601" spans="1:27" ht="21.75" customHeight="1" x14ac:dyDescent="0.4">
      <c r="A601" s="258">
        <v>45994</v>
      </c>
      <c r="B601" s="325" t="s">
        <v>2141</v>
      </c>
      <c r="C601" s="32" t="s">
        <v>4292</v>
      </c>
      <c r="D601" s="258" t="s">
        <v>17</v>
      </c>
      <c r="E601" s="18" t="s">
        <v>328</v>
      </c>
      <c r="F601" s="18" t="s">
        <v>5818</v>
      </c>
      <c r="G601" s="63" t="s">
        <v>5819</v>
      </c>
      <c r="H601" s="350">
        <v>3750</v>
      </c>
      <c r="I601" s="399"/>
      <c r="J601" s="350">
        <f t="shared" si="313"/>
        <v>3750</v>
      </c>
      <c r="K601" s="18">
        <v>2</v>
      </c>
      <c r="L601" s="350">
        <f t="shared" si="314"/>
        <v>7500</v>
      </c>
      <c r="M601" s="356">
        <f t="shared" si="315"/>
        <v>8250</v>
      </c>
      <c r="N601" s="18" t="s">
        <v>1516</v>
      </c>
      <c r="O601" s="433"/>
      <c r="Q601" s="18" t="s">
        <v>2594</v>
      </c>
      <c r="R601" s="18" t="s">
        <v>2594</v>
      </c>
      <c r="S601" s="375"/>
    </row>
    <row r="602" spans="1:27" ht="21.75" customHeight="1" x14ac:dyDescent="0.4">
      <c r="A602" s="258">
        <v>45994</v>
      </c>
      <c r="B602" s="325" t="s">
        <v>5820</v>
      </c>
      <c r="C602" s="32" t="s">
        <v>5667</v>
      </c>
      <c r="D602" s="18" t="s">
        <v>5821</v>
      </c>
      <c r="E602" s="18" t="s">
        <v>332</v>
      </c>
      <c r="F602" s="18" t="s">
        <v>3555</v>
      </c>
      <c r="G602" s="63" t="s">
        <v>5822</v>
      </c>
      <c r="H602" s="350">
        <v>1900</v>
      </c>
      <c r="I602" s="399">
        <v>-190</v>
      </c>
      <c r="J602" s="350">
        <v>1710</v>
      </c>
      <c r="K602" s="18">
        <v>1</v>
      </c>
      <c r="L602" s="350">
        <f t="shared" si="314"/>
        <v>1710</v>
      </c>
      <c r="M602" s="356">
        <f t="shared" si="315"/>
        <v>1881</v>
      </c>
      <c r="N602" s="18" t="s">
        <v>1516</v>
      </c>
      <c r="O602" s="433"/>
      <c r="Q602" s="18" t="s">
        <v>2594</v>
      </c>
      <c r="R602" s="18" t="s">
        <v>2594</v>
      </c>
      <c r="S602" s="375"/>
    </row>
    <row r="603" spans="1:27" ht="21.75" customHeight="1" x14ac:dyDescent="0.4">
      <c r="A603" s="258">
        <v>45995</v>
      </c>
      <c r="B603" s="325" t="s">
        <v>5829</v>
      </c>
      <c r="C603" s="32" t="s">
        <v>2557</v>
      </c>
      <c r="D603" s="18" t="s">
        <v>22</v>
      </c>
      <c r="E603" s="18" t="s">
        <v>1496</v>
      </c>
      <c r="F603" s="18"/>
      <c r="G603" s="63" t="s">
        <v>4869</v>
      </c>
      <c r="H603" s="399">
        <v>2000</v>
      </c>
      <c r="I603" s="353"/>
      <c r="J603" s="399">
        <f t="shared" ref="J603" si="328">SUM(H603:I603)</f>
        <v>2000</v>
      </c>
      <c r="K603" s="18">
        <v>2</v>
      </c>
      <c r="L603" s="399">
        <f t="shared" si="314"/>
        <v>4000</v>
      </c>
      <c r="M603" s="399">
        <f t="shared" si="315"/>
        <v>4400</v>
      </c>
      <c r="N603" s="18" t="s">
        <v>1516</v>
      </c>
      <c r="O603" s="433"/>
      <c r="P603" s="18" t="s">
        <v>5830</v>
      </c>
      <c r="Q603" s="18" t="s">
        <v>5828</v>
      </c>
      <c r="R603" s="18" t="s">
        <v>5828</v>
      </c>
      <c r="S603" s="375"/>
    </row>
    <row r="604" spans="1:27" ht="21.75" customHeight="1" x14ac:dyDescent="0.4">
      <c r="A604" s="258">
        <v>45995</v>
      </c>
      <c r="B604" s="325" t="s">
        <v>5831</v>
      </c>
      <c r="C604" s="32" t="s">
        <v>2557</v>
      </c>
      <c r="D604" s="18" t="s">
        <v>22</v>
      </c>
      <c r="E604" s="18" t="s">
        <v>1496</v>
      </c>
      <c r="F604" s="18"/>
      <c r="G604" s="63" t="s">
        <v>4869</v>
      </c>
      <c r="H604" s="399">
        <v>2000</v>
      </c>
      <c r="I604" s="399"/>
      <c r="J604" s="350">
        <f t="shared" si="313"/>
        <v>2000</v>
      </c>
      <c r="K604" s="18">
        <v>1</v>
      </c>
      <c r="L604" s="350">
        <f t="shared" si="314"/>
        <v>2000</v>
      </c>
      <c r="M604" s="356">
        <f t="shared" si="315"/>
        <v>2200</v>
      </c>
      <c r="N604" s="18" t="s">
        <v>1516</v>
      </c>
      <c r="O604" s="433"/>
      <c r="P604" s="18" t="s">
        <v>5449</v>
      </c>
      <c r="Q604" s="18" t="s">
        <v>4803</v>
      </c>
      <c r="R604" s="18" t="s">
        <v>4803</v>
      </c>
      <c r="S604" s="375"/>
    </row>
    <row r="605" spans="1:27" ht="21.75" customHeight="1" x14ac:dyDescent="0.4">
      <c r="A605" s="258">
        <v>45995</v>
      </c>
      <c r="B605" s="325" t="s">
        <v>2088</v>
      </c>
      <c r="C605" s="32" t="s">
        <v>2557</v>
      </c>
      <c r="D605" s="18" t="s">
        <v>22</v>
      </c>
      <c r="E605" s="18" t="s">
        <v>1496</v>
      </c>
      <c r="F605" s="18"/>
      <c r="G605" s="63" t="s">
        <v>4869</v>
      </c>
      <c r="H605" s="399">
        <v>2000</v>
      </c>
      <c r="I605" s="399"/>
      <c r="J605" s="350">
        <f t="shared" si="313"/>
        <v>2000</v>
      </c>
      <c r="K605" s="18">
        <v>1</v>
      </c>
      <c r="L605" s="350">
        <f t="shared" si="314"/>
        <v>2000</v>
      </c>
      <c r="M605" s="356">
        <f t="shared" si="315"/>
        <v>2200</v>
      </c>
      <c r="N605" s="18" t="s">
        <v>1516</v>
      </c>
      <c r="O605" s="433"/>
      <c r="P605" s="18" t="s">
        <v>5449</v>
      </c>
      <c r="Q605" s="18" t="s">
        <v>5449</v>
      </c>
      <c r="R605" s="18" t="s">
        <v>5449</v>
      </c>
      <c r="S605" s="375"/>
    </row>
    <row r="606" spans="1:27" s="411" customFormat="1" ht="21.75" customHeight="1" x14ac:dyDescent="0.4">
      <c r="A606" s="332">
        <v>45996</v>
      </c>
      <c r="B606" s="334" t="s">
        <v>5720</v>
      </c>
      <c r="C606" s="331" t="s">
        <v>405</v>
      </c>
      <c r="D606" s="335" t="s">
        <v>198</v>
      </c>
      <c r="E606" s="333"/>
      <c r="F606" s="333"/>
      <c r="G606" s="434"/>
      <c r="H606" s="414">
        <v>-14500</v>
      </c>
      <c r="I606" s="407"/>
      <c r="J606" s="414">
        <f t="shared" si="313"/>
        <v>-14500</v>
      </c>
      <c r="K606" s="333">
        <v>1</v>
      </c>
      <c r="L606" s="414">
        <f t="shared" si="314"/>
        <v>-14500</v>
      </c>
      <c r="M606" s="415">
        <f t="shared" si="315"/>
        <v>-15950</v>
      </c>
      <c r="N606" s="333" t="s">
        <v>1121</v>
      </c>
      <c r="O606" s="450" t="s">
        <v>5833</v>
      </c>
      <c r="P606" s="333"/>
      <c r="Q606" s="333" t="s">
        <v>5832</v>
      </c>
      <c r="R606" s="333" t="s">
        <v>5835</v>
      </c>
      <c r="S606" s="375"/>
      <c r="T606" s="410"/>
      <c r="U606" s="410"/>
      <c r="W606" s="412"/>
      <c r="X606" s="413"/>
      <c r="Y606" s="413"/>
      <c r="Z606" s="413"/>
      <c r="AA606" s="413"/>
    </row>
    <row r="607" spans="1:27" ht="21.75" customHeight="1" x14ac:dyDescent="0.4">
      <c r="A607" s="258">
        <v>45996</v>
      </c>
      <c r="B607" s="325" t="s">
        <v>1861</v>
      </c>
      <c r="C607" s="32" t="s">
        <v>2557</v>
      </c>
      <c r="D607" s="18" t="s">
        <v>22</v>
      </c>
      <c r="E607" s="18" t="s">
        <v>1496</v>
      </c>
      <c r="F607" s="18"/>
      <c r="G607" s="63" t="s">
        <v>4869</v>
      </c>
      <c r="H607" s="399">
        <v>2000</v>
      </c>
      <c r="I607" s="353"/>
      <c r="J607" s="399">
        <f t="shared" si="313"/>
        <v>2000</v>
      </c>
      <c r="K607" s="18">
        <v>2</v>
      </c>
      <c r="L607" s="399">
        <f t="shared" ref="L607:L609" si="329">SUM(J607*K607)</f>
        <v>4000</v>
      </c>
      <c r="M607" s="399">
        <f t="shared" ref="M607:M609" si="330">ROUNDDOWN(L607*1.1,0)</f>
        <v>4400</v>
      </c>
      <c r="N607" s="18" t="s">
        <v>1516</v>
      </c>
      <c r="O607" s="433"/>
      <c r="P607" s="18" t="s">
        <v>5449</v>
      </c>
      <c r="Q607" s="18" t="s">
        <v>5449</v>
      </c>
      <c r="R607" s="18" t="s">
        <v>5449</v>
      </c>
      <c r="S607" s="375"/>
    </row>
    <row r="608" spans="1:27" ht="21.75" customHeight="1" x14ac:dyDescent="0.4">
      <c r="A608" s="258">
        <v>45997</v>
      </c>
      <c r="B608" s="32" t="s">
        <v>4865</v>
      </c>
      <c r="C608" s="32" t="s">
        <v>5667</v>
      </c>
      <c r="D608" s="18" t="s">
        <v>22</v>
      </c>
      <c r="E608" s="18" t="s">
        <v>1496</v>
      </c>
      <c r="F608" s="18"/>
      <c r="G608" s="63" t="s">
        <v>4869</v>
      </c>
      <c r="H608" s="350">
        <v>2000</v>
      </c>
      <c r="I608" s="406"/>
      <c r="J608" s="350">
        <f t="shared" ref="J608" si="331">SUM(H608:I608)</f>
        <v>2000</v>
      </c>
      <c r="K608" s="18">
        <v>1</v>
      </c>
      <c r="L608" s="350">
        <f t="shared" si="329"/>
        <v>2000</v>
      </c>
      <c r="M608" s="357">
        <f t="shared" si="330"/>
        <v>2200</v>
      </c>
      <c r="N608" s="18" t="s">
        <v>20</v>
      </c>
      <c r="O608" s="433"/>
      <c r="P608" s="18" t="s">
        <v>4798</v>
      </c>
      <c r="Q608" s="18" t="s">
        <v>4798</v>
      </c>
      <c r="R608" s="18" t="s">
        <v>4798</v>
      </c>
      <c r="S608" s="375"/>
    </row>
    <row r="609" spans="1:27" s="403" customFormat="1" ht="21.75" customHeight="1" x14ac:dyDescent="0.4">
      <c r="A609" s="370">
        <v>45997</v>
      </c>
      <c r="B609" s="322" t="s">
        <v>5859</v>
      </c>
      <c r="C609" s="191" t="s">
        <v>4292</v>
      </c>
      <c r="D609" s="192" t="s">
        <v>17</v>
      </c>
      <c r="E609" s="192" t="s">
        <v>328</v>
      </c>
      <c r="F609" s="192" t="s">
        <v>788</v>
      </c>
      <c r="G609" s="193" t="s">
        <v>5860</v>
      </c>
      <c r="H609" s="400">
        <v>50000</v>
      </c>
      <c r="I609" s="372">
        <v>-27500</v>
      </c>
      <c r="J609" s="400">
        <f t="shared" si="313"/>
        <v>22500</v>
      </c>
      <c r="K609" s="192">
        <v>1</v>
      </c>
      <c r="L609" s="400">
        <f t="shared" si="329"/>
        <v>22500</v>
      </c>
      <c r="M609" s="400">
        <f t="shared" si="330"/>
        <v>24750</v>
      </c>
      <c r="N609" s="192" t="s">
        <v>1516</v>
      </c>
      <c r="O609" s="451"/>
      <c r="P609" s="192"/>
      <c r="Q609" s="192" t="s">
        <v>5862</v>
      </c>
      <c r="R609" s="192" t="s">
        <v>5861</v>
      </c>
      <c r="S609" s="401"/>
      <c r="T609" s="402"/>
      <c r="U609" s="402"/>
      <c r="W609" s="404"/>
      <c r="X609" s="405"/>
      <c r="Y609" s="405"/>
      <c r="Z609" s="405"/>
      <c r="AA609" s="405"/>
    </row>
    <row r="610" spans="1:27" ht="21.75" customHeight="1" x14ac:dyDescent="0.4">
      <c r="A610" s="258">
        <v>45997</v>
      </c>
      <c r="B610" s="325" t="s">
        <v>5668</v>
      </c>
      <c r="C610" s="32" t="s">
        <v>5836</v>
      </c>
      <c r="D610" s="18" t="s">
        <v>5837</v>
      </c>
      <c r="E610" s="18" t="s">
        <v>328</v>
      </c>
      <c r="F610" s="18" t="s">
        <v>5839</v>
      </c>
      <c r="G610" s="63" t="s">
        <v>5840</v>
      </c>
      <c r="H610" s="350">
        <v>55000</v>
      </c>
      <c r="I610" s="399">
        <v>-11000</v>
      </c>
      <c r="J610" s="350">
        <f t="shared" si="313"/>
        <v>44000</v>
      </c>
      <c r="K610" s="18">
        <v>1</v>
      </c>
      <c r="L610" s="350">
        <f t="shared" si="314"/>
        <v>44000</v>
      </c>
      <c r="M610" s="356">
        <f t="shared" si="315"/>
        <v>48400</v>
      </c>
      <c r="N610" s="18" t="s">
        <v>1121</v>
      </c>
      <c r="O610" s="433"/>
      <c r="Q610" s="18" t="s">
        <v>5842</v>
      </c>
      <c r="R610" s="18" t="s">
        <v>5843</v>
      </c>
      <c r="S610" s="375"/>
    </row>
    <row r="611" spans="1:27" ht="21.75" customHeight="1" x14ac:dyDescent="0.4">
      <c r="A611" s="258">
        <v>45997</v>
      </c>
      <c r="B611" s="325" t="s">
        <v>5668</v>
      </c>
      <c r="C611" s="32" t="s">
        <v>5836</v>
      </c>
      <c r="D611" s="18" t="s">
        <v>5837</v>
      </c>
      <c r="E611" s="18" t="s">
        <v>5838</v>
      </c>
      <c r="F611" s="18" t="s">
        <v>3555</v>
      </c>
      <c r="G611" s="425" t="s">
        <v>5841</v>
      </c>
      <c r="H611" s="350">
        <v>1300</v>
      </c>
      <c r="I611" s="399"/>
      <c r="J611" s="350">
        <f t="shared" si="313"/>
        <v>1300</v>
      </c>
      <c r="K611" s="18">
        <v>1</v>
      </c>
      <c r="L611" s="350">
        <f t="shared" si="314"/>
        <v>1300</v>
      </c>
      <c r="M611" s="356">
        <f t="shared" si="315"/>
        <v>1430</v>
      </c>
      <c r="N611" s="18" t="s">
        <v>1121</v>
      </c>
      <c r="O611" s="433"/>
      <c r="Q611" s="18" t="s">
        <v>5842</v>
      </c>
      <c r="R611" s="18" t="s">
        <v>5843</v>
      </c>
      <c r="S611" s="375"/>
    </row>
    <row r="612" spans="1:27" ht="21.75" customHeight="1" x14ac:dyDescent="0.4">
      <c r="A612" s="258">
        <v>45997</v>
      </c>
      <c r="B612" s="325" t="s">
        <v>5023</v>
      </c>
      <c r="C612" s="32" t="s">
        <v>5667</v>
      </c>
      <c r="D612" s="18" t="s">
        <v>22</v>
      </c>
      <c r="E612" s="18" t="s">
        <v>1496</v>
      </c>
      <c r="F612" s="18"/>
      <c r="G612" s="63" t="s">
        <v>4869</v>
      </c>
      <c r="H612" s="399">
        <v>2000</v>
      </c>
      <c r="I612" s="353"/>
      <c r="J612" s="399">
        <f t="shared" ref="J612" si="332">SUM(H612:I612)</f>
        <v>2000</v>
      </c>
      <c r="K612" s="18">
        <v>1</v>
      </c>
      <c r="L612" s="399">
        <f t="shared" si="314"/>
        <v>2000</v>
      </c>
      <c r="M612" s="399">
        <f t="shared" si="315"/>
        <v>2200</v>
      </c>
      <c r="N612" s="18" t="s">
        <v>20</v>
      </c>
      <c r="O612" s="433"/>
      <c r="P612" s="18" t="s">
        <v>5449</v>
      </c>
      <c r="Q612" s="18" t="s">
        <v>5449</v>
      </c>
      <c r="R612" s="18" t="s">
        <v>5861</v>
      </c>
      <c r="S612" s="375"/>
    </row>
    <row r="613" spans="1:27" ht="21.75" customHeight="1" x14ac:dyDescent="0.4">
      <c r="A613" s="258">
        <v>45998</v>
      </c>
      <c r="B613" s="325" t="s">
        <v>5844</v>
      </c>
      <c r="C613" s="32" t="s">
        <v>5667</v>
      </c>
      <c r="D613" s="18" t="s">
        <v>5109</v>
      </c>
      <c r="E613" s="18" t="s">
        <v>28</v>
      </c>
      <c r="F613" s="18"/>
      <c r="G613" s="63" t="s">
        <v>5036</v>
      </c>
      <c r="H613" s="399">
        <v>17500</v>
      </c>
      <c r="I613" s="399"/>
      <c r="J613" s="350">
        <f t="shared" si="313"/>
        <v>17500</v>
      </c>
      <c r="K613" s="18">
        <v>1</v>
      </c>
      <c r="L613" s="350">
        <f t="shared" si="314"/>
        <v>17500</v>
      </c>
      <c r="M613" s="356">
        <f t="shared" si="315"/>
        <v>19250</v>
      </c>
      <c r="N613" s="18" t="s">
        <v>1121</v>
      </c>
      <c r="O613" s="439" t="s">
        <v>5847</v>
      </c>
      <c r="Q613" s="18" t="s">
        <v>2595</v>
      </c>
      <c r="R613" s="18" t="s">
        <v>5449</v>
      </c>
      <c r="S613" s="375"/>
    </row>
    <row r="614" spans="1:27" ht="21.75" customHeight="1" x14ac:dyDescent="0.4">
      <c r="A614" s="258">
        <v>45998</v>
      </c>
      <c r="B614" s="325" t="s">
        <v>2534</v>
      </c>
      <c r="C614" s="32" t="s">
        <v>5667</v>
      </c>
      <c r="D614" s="18" t="s">
        <v>5109</v>
      </c>
      <c r="E614" s="18" t="s">
        <v>28</v>
      </c>
      <c r="F614" s="18"/>
      <c r="G614" s="63" t="s">
        <v>5036</v>
      </c>
      <c r="H614" s="399">
        <v>17500</v>
      </c>
      <c r="I614" s="399"/>
      <c r="J614" s="350">
        <f t="shared" ref="J614" si="333">SUM(H614:I614)</f>
        <v>17500</v>
      </c>
      <c r="K614" s="18">
        <v>1</v>
      </c>
      <c r="L614" s="350">
        <f t="shared" ref="L614" si="334">SUM(J614*K614)</f>
        <v>17500</v>
      </c>
      <c r="M614" s="356">
        <f t="shared" ref="M614" si="335">ROUNDDOWN(L614*1.1,0)</f>
        <v>19250</v>
      </c>
      <c r="N614" s="18" t="s">
        <v>1121</v>
      </c>
      <c r="O614" s="439" t="s">
        <v>5803</v>
      </c>
      <c r="Q614" s="18" t="s">
        <v>2595</v>
      </c>
      <c r="R614" s="18" t="s">
        <v>4803</v>
      </c>
      <c r="S614" s="375"/>
    </row>
    <row r="615" spans="1:27" ht="21.75" customHeight="1" x14ac:dyDescent="0.4">
      <c r="A615" s="258">
        <v>45998</v>
      </c>
      <c r="B615" s="325" t="s">
        <v>5845</v>
      </c>
      <c r="C615" s="32" t="s">
        <v>5667</v>
      </c>
      <c r="D615" s="18" t="s">
        <v>5109</v>
      </c>
      <c r="E615" s="18" t="s">
        <v>28</v>
      </c>
      <c r="F615" s="18"/>
      <c r="G615" s="63" t="s">
        <v>5846</v>
      </c>
      <c r="H615" s="350">
        <v>22500</v>
      </c>
      <c r="I615" s="399"/>
      <c r="J615" s="350">
        <f t="shared" si="313"/>
        <v>22500</v>
      </c>
      <c r="K615" s="18">
        <v>1</v>
      </c>
      <c r="L615" s="350">
        <f t="shared" si="314"/>
        <v>22500</v>
      </c>
      <c r="M615" s="356">
        <f t="shared" si="315"/>
        <v>24750</v>
      </c>
      <c r="N615" s="18" t="s">
        <v>1121</v>
      </c>
      <c r="O615" s="439" t="s">
        <v>5803</v>
      </c>
      <c r="Q615" s="18" t="s">
        <v>2595</v>
      </c>
      <c r="R615" s="18" t="s">
        <v>5449</v>
      </c>
      <c r="S615" s="375"/>
    </row>
    <row r="616" spans="1:27" ht="21.75" customHeight="1" x14ac:dyDescent="0.4">
      <c r="A616" s="258">
        <v>45998</v>
      </c>
      <c r="B616" s="325" t="s">
        <v>5848</v>
      </c>
      <c r="C616" s="32" t="s">
        <v>5802</v>
      </c>
      <c r="D616" s="18" t="s">
        <v>22</v>
      </c>
      <c r="E616" s="18" t="s">
        <v>1496</v>
      </c>
      <c r="F616" s="18"/>
      <c r="G616" s="63" t="s">
        <v>2422</v>
      </c>
      <c r="H616" s="350">
        <v>2000</v>
      </c>
      <c r="I616" s="399"/>
      <c r="J616" s="350">
        <v>2000</v>
      </c>
      <c r="K616" s="18">
        <v>1</v>
      </c>
      <c r="L616" s="350">
        <v>2000</v>
      </c>
      <c r="M616" s="356">
        <v>2200</v>
      </c>
      <c r="N616" s="18" t="s">
        <v>1121</v>
      </c>
      <c r="O616" s="433"/>
      <c r="Q616" s="18" t="s">
        <v>2595</v>
      </c>
      <c r="R616" s="18" t="s">
        <v>5449</v>
      </c>
      <c r="S616" s="375"/>
    </row>
    <row r="617" spans="1:27" ht="21.75" customHeight="1" x14ac:dyDescent="0.4">
      <c r="A617" s="258">
        <v>45998</v>
      </c>
      <c r="B617" s="325" t="s">
        <v>5849</v>
      </c>
      <c r="C617" s="32" t="s">
        <v>5802</v>
      </c>
      <c r="D617" s="18" t="s">
        <v>22</v>
      </c>
      <c r="E617" s="18" t="s">
        <v>1496</v>
      </c>
      <c r="F617" s="18"/>
      <c r="G617" s="63" t="s">
        <v>2422</v>
      </c>
      <c r="H617" s="350">
        <v>2000</v>
      </c>
      <c r="I617" s="399"/>
      <c r="J617" s="350">
        <v>2000</v>
      </c>
      <c r="K617" s="18">
        <v>1</v>
      </c>
      <c r="L617" s="350">
        <v>2000</v>
      </c>
      <c r="M617" s="356">
        <v>2200</v>
      </c>
      <c r="N617" s="18" t="s">
        <v>1121</v>
      </c>
      <c r="O617" s="433"/>
      <c r="Q617" s="18" t="s">
        <v>2595</v>
      </c>
      <c r="R617" s="18" t="s">
        <v>5449</v>
      </c>
      <c r="S617" s="375"/>
    </row>
    <row r="618" spans="1:27" ht="21.75" customHeight="1" x14ac:dyDescent="0.4">
      <c r="A618" s="258">
        <v>45998</v>
      </c>
      <c r="B618" s="325" t="s">
        <v>5850</v>
      </c>
      <c r="C618" s="32" t="s">
        <v>5667</v>
      </c>
      <c r="D618" s="18" t="s">
        <v>5109</v>
      </c>
      <c r="E618" s="18" t="s">
        <v>28</v>
      </c>
      <c r="F618" s="18"/>
      <c r="G618" s="63" t="s">
        <v>5036</v>
      </c>
      <c r="H618" s="399">
        <v>17500</v>
      </c>
      <c r="I618" s="399"/>
      <c r="J618" s="350">
        <f t="shared" ref="J618:J620" si="336">SUM(H618:I618)</f>
        <v>17500</v>
      </c>
      <c r="K618" s="18">
        <v>1</v>
      </c>
      <c r="L618" s="350">
        <f t="shared" ref="L618:L620" si="337">SUM(J618*K618)</f>
        <v>17500</v>
      </c>
      <c r="M618" s="356">
        <f t="shared" ref="M618:M620" si="338">ROUNDDOWN(L618*1.1,0)</f>
        <v>19250</v>
      </c>
      <c r="N618" s="18" t="s">
        <v>1516</v>
      </c>
      <c r="O618" s="439" t="s">
        <v>5803</v>
      </c>
      <c r="Q618" s="18" t="s">
        <v>2595</v>
      </c>
      <c r="R618" s="18" t="s">
        <v>5449</v>
      </c>
      <c r="S618" s="375"/>
    </row>
    <row r="619" spans="1:27" ht="21.75" customHeight="1" x14ac:dyDescent="0.4">
      <c r="A619" s="258">
        <v>45999</v>
      </c>
      <c r="B619" s="336" t="s">
        <v>5824</v>
      </c>
      <c r="C619" s="32" t="s">
        <v>405</v>
      </c>
      <c r="D619" s="18" t="s">
        <v>17</v>
      </c>
      <c r="E619" s="18" t="s">
        <v>332</v>
      </c>
      <c r="F619" s="18" t="s">
        <v>3555</v>
      </c>
      <c r="G619" s="425" t="s">
        <v>5841</v>
      </c>
      <c r="H619" s="350">
        <v>2000</v>
      </c>
      <c r="I619" s="399"/>
      <c r="J619" s="350">
        <f t="shared" si="336"/>
        <v>2000</v>
      </c>
      <c r="K619" s="18">
        <v>4</v>
      </c>
      <c r="L619" s="350">
        <f t="shared" si="337"/>
        <v>8000</v>
      </c>
      <c r="M619" s="356">
        <f t="shared" si="338"/>
        <v>8800</v>
      </c>
      <c r="N619" s="18" t="s">
        <v>1516</v>
      </c>
      <c r="O619" s="433"/>
      <c r="S619" s="375"/>
    </row>
    <row r="620" spans="1:27" ht="21.75" customHeight="1" x14ac:dyDescent="0.4">
      <c r="A620" s="258">
        <v>45999</v>
      </c>
      <c r="B620" s="325" t="s">
        <v>3424</v>
      </c>
      <c r="C620" s="32" t="s">
        <v>5667</v>
      </c>
      <c r="D620" s="18" t="s">
        <v>22</v>
      </c>
      <c r="E620" s="18" t="s">
        <v>1496</v>
      </c>
      <c r="F620" s="18"/>
      <c r="G620" s="63" t="s">
        <v>4869</v>
      </c>
      <c r="H620" s="399">
        <v>2000</v>
      </c>
      <c r="I620" s="353"/>
      <c r="J620" s="399">
        <f t="shared" si="336"/>
        <v>2000</v>
      </c>
      <c r="K620" s="18">
        <v>1</v>
      </c>
      <c r="L620" s="399">
        <f t="shared" si="337"/>
        <v>2000</v>
      </c>
      <c r="M620" s="399">
        <f t="shared" si="338"/>
        <v>2200</v>
      </c>
      <c r="N620" s="18" t="s">
        <v>1516</v>
      </c>
      <c r="O620" s="433"/>
      <c r="P620" s="18" t="s">
        <v>5449</v>
      </c>
      <c r="Q620" s="18" t="s">
        <v>5449</v>
      </c>
      <c r="R620" s="18" t="s">
        <v>5449</v>
      </c>
      <c r="S620" s="375"/>
    </row>
    <row r="621" spans="1:27" ht="21.75" customHeight="1" x14ac:dyDescent="0.4">
      <c r="A621" s="258">
        <v>45999</v>
      </c>
      <c r="B621" s="325" t="s">
        <v>5069</v>
      </c>
      <c r="C621" s="32" t="s">
        <v>2557</v>
      </c>
      <c r="D621" s="18" t="s">
        <v>22</v>
      </c>
      <c r="E621" s="18" t="s">
        <v>1496</v>
      </c>
      <c r="F621" s="18"/>
      <c r="G621" s="63" t="s">
        <v>4869</v>
      </c>
      <c r="H621" s="399">
        <v>2000</v>
      </c>
      <c r="I621" s="353"/>
      <c r="J621" s="399">
        <f t="shared" ref="J621:J622" si="339">SUM(H621:I621)</f>
        <v>2000</v>
      </c>
      <c r="K621" s="18">
        <v>2</v>
      </c>
      <c r="L621" s="399">
        <f t="shared" si="314"/>
        <v>4000</v>
      </c>
      <c r="M621" s="399">
        <f t="shared" si="315"/>
        <v>4400</v>
      </c>
      <c r="N621" s="18" t="s">
        <v>1516</v>
      </c>
      <c r="O621" s="433"/>
      <c r="P621" s="18" t="s">
        <v>5449</v>
      </c>
      <c r="Q621" s="18" t="s">
        <v>5449</v>
      </c>
      <c r="R621" s="18" t="s">
        <v>5449</v>
      </c>
      <c r="S621" s="375"/>
    </row>
    <row r="622" spans="1:27" ht="21.75" customHeight="1" x14ac:dyDescent="0.4">
      <c r="A622" s="258">
        <v>45999</v>
      </c>
      <c r="B622" s="325" t="s">
        <v>817</v>
      </c>
      <c r="C622" s="32" t="s">
        <v>5667</v>
      </c>
      <c r="D622" s="18" t="s">
        <v>5109</v>
      </c>
      <c r="E622" s="18" t="s">
        <v>28</v>
      </c>
      <c r="F622" s="18"/>
      <c r="G622" s="63" t="s">
        <v>5036</v>
      </c>
      <c r="H622" s="399">
        <v>17500</v>
      </c>
      <c r="I622" s="399"/>
      <c r="J622" s="350">
        <f t="shared" si="339"/>
        <v>17500</v>
      </c>
      <c r="K622" s="18">
        <v>1</v>
      </c>
      <c r="L622" s="350">
        <f t="shared" ref="L622" si="340">SUM(J622*K622)</f>
        <v>17500</v>
      </c>
      <c r="M622" s="356">
        <f t="shared" ref="M622" si="341">ROUNDDOWN(L622*1.1,0)</f>
        <v>19250</v>
      </c>
      <c r="N622" s="18" t="s">
        <v>1121</v>
      </c>
      <c r="O622" s="439" t="s">
        <v>5803</v>
      </c>
      <c r="Q622" s="18" t="s">
        <v>2595</v>
      </c>
      <c r="R622" s="18" t="s">
        <v>5449</v>
      </c>
      <c r="S622" s="375"/>
    </row>
    <row r="623" spans="1:27" ht="21.75" customHeight="1" x14ac:dyDescent="0.4">
      <c r="A623" s="258">
        <v>45999</v>
      </c>
      <c r="B623" s="325" t="s">
        <v>5851</v>
      </c>
      <c r="C623" s="32" t="s">
        <v>4292</v>
      </c>
      <c r="D623" s="18" t="s">
        <v>5852</v>
      </c>
      <c r="E623" s="18" t="s">
        <v>426</v>
      </c>
      <c r="F623" s="18" t="s">
        <v>994</v>
      </c>
      <c r="G623" s="63" t="s">
        <v>5794</v>
      </c>
      <c r="H623" s="350">
        <v>1800</v>
      </c>
      <c r="I623" s="399">
        <v>-720</v>
      </c>
      <c r="J623" s="350">
        <f t="shared" si="313"/>
        <v>1080</v>
      </c>
      <c r="K623" s="18">
        <v>3</v>
      </c>
      <c r="L623" s="350">
        <f t="shared" si="314"/>
        <v>3240</v>
      </c>
      <c r="M623" s="356">
        <f t="shared" si="315"/>
        <v>3564</v>
      </c>
      <c r="N623" s="18" t="s">
        <v>1121</v>
      </c>
      <c r="O623" s="433"/>
      <c r="Q623" s="18" t="s">
        <v>2595</v>
      </c>
      <c r="R623" s="18" t="s">
        <v>5449</v>
      </c>
      <c r="S623" s="375"/>
    </row>
    <row r="624" spans="1:27" ht="21.75" customHeight="1" x14ac:dyDescent="0.4">
      <c r="A624" s="258">
        <v>46000</v>
      </c>
      <c r="B624" s="336" t="s">
        <v>5892</v>
      </c>
      <c r="C624" s="32" t="s">
        <v>405</v>
      </c>
      <c r="D624" s="18" t="s">
        <v>17</v>
      </c>
      <c r="E624" s="18" t="s">
        <v>328</v>
      </c>
      <c r="F624" s="18" t="s">
        <v>788</v>
      </c>
      <c r="G624" s="63" t="s">
        <v>5893</v>
      </c>
      <c r="H624" s="399">
        <v>50000</v>
      </c>
      <c r="I624" s="399">
        <v>-15000</v>
      </c>
      <c r="J624" s="350">
        <f t="shared" ref="J624:J626" si="342">SUM(H624:I624)</f>
        <v>35000</v>
      </c>
      <c r="K624" s="18">
        <v>1</v>
      </c>
      <c r="L624" s="350">
        <f t="shared" ref="L624:L626" si="343">SUM(J624*K624)</f>
        <v>35000</v>
      </c>
      <c r="M624" s="356">
        <f t="shared" ref="M624:M626" si="344">ROUNDDOWN(L624*1.1,0)</f>
        <v>38500</v>
      </c>
      <c r="N624" s="258" t="s">
        <v>6224</v>
      </c>
      <c r="O624" s="433"/>
      <c r="P624" s="18" t="s">
        <v>2595</v>
      </c>
      <c r="Q624" s="18" t="s">
        <v>5856</v>
      </c>
      <c r="R624" s="18" t="s">
        <v>2595</v>
      </c>
      <c r="S624" s="375"/>
    </row>
    <row r="625" spans="1:27" s="403" customFormat="1" ht="21.75" customHeight="1" x14ac:dyDescent="0.4">
      <c r="A625" s="370">
        <v>46001</v>
      </c>
      <c r="B625" s="322" t="s">
        <v>5965</v>
      </c>
      <c r="C625" s="191" t="s">
        <v>405</v>
      </c>
      <c r="D625" s="192" t="s">
        <v>17</v>
      </c>
      <c r="E625" s="192" t="s">
        <v>328</v>
      </c>
      <c r="F625" s="192" t="s">
        <v>5966</v>
      </c>
      <c r="G625" s="193" t="s">
        <v>5967</v>
      </c>
      <c r="H625" s="371">
        <v>72000</v>
      </c>
      <c r="I625" s="400">
        <v>-14400</v>
      </c>
      <c r="J625" s="371">
        <f t="shared" si="342"/>
        <v>57600</v>
      </c>
      <c r="K625" s="192">
        <v>1</v>
      </c>
      <c r="L625" s="371">
        <f t="shared" si="343"/>
        <v>57600</v>
      </c>
      <c r="M625" s="373">
        <f t="shared" si="344"/>
        <v>63360</v>
      </c>
      <c r="N625" s="192" t="s">
        <v>5968</v>
      </c>
      <c r="O625" s="451" t="s">
        <v>5970</v>
      </c>
      <c r="P625" s="192" t="s">
        <v>2595</v>
      </c>
      <c r="Q625" s="192" t="s">
        <v>2595</v>
      </c>
      <c r="R625" s="192" t="s">
        <v>2595</v>
      </c>
      <c r="S625" s="401"/>
      <c r="T625" s="402"/>
      <c r="U625" s="402"/>
      <c r="W625" s="404"/>
      <c r="X625" s="405"/>
      <c r="Y625" s="405"/>
      <c r="Z625" s="405"/>
      <c r="AA625" s="405"/>
    </row>
    <row r="626" spans="1:27" s="403" customFormat="1" ht="21.75" customHeight="1" x14ac:dyDescent="0.4">
      <c r="A626" s="370">
        <v>46001</v>
      </c>
      <c r="B626" s="322" t="s">
        <v>5965</v>
      </c>
      <c r="C626" s="191" t="s">
        <v>405</v>
      </c>
      <c r="D626" s="192" t="s">
        <v>17</v>
      </c>
      <c r="E626" s="192" t="s">
        <v>328</v>
      </c>
      <c r="F626" s="192" t="s">
        <v>5966</v>
      </c>
      <c r="G626" s="193" t="s">
        <v>5967</v>
      </c>
      <c r="H626" s="371">
        <v>52000</v>
      </c>
      <c r="I626" s="400">
        <v>-10400</v>
      </c>
      <c r="J626" s="371">
        <f t="shared" si="342"/>
        <v>41600</v>
      </c>
      <c r="K626" s="192">
        <v>2</v>
      </c>
      <c r="L626" s="371">
        <f t="shared" si="343"/>
        <v>83200</v>
      </c>
      <c r="M626" s="373">
        <f t="shared" si="344"/>
        <v>91520</v>
      </c>
      <c r="N626" s="192" t="s">
        <v>5968</v>
      </c>
      <c r="O626" s="451" t="s">
        <v>5970</v>
      </c>
      <c r="P626" s="192" t="s">
        <v>2595</v>
      </c>
      <c r="Q626" s="192" t="s">
        <v>2595</v>
      </c>
      <c r="R626" s="192" t="s">
        <v>2595</v>
      </c>
      <c r="S626" s="401"/>
      <c r="T626" s="402"/>
      <c r="U626" s="402"/>
      <c r="W626" s="404"/>
      <c r="X626" s="405"/>
      <c r="Y626" s="405"/>
      <c r="Z626" s="405"/>
      <c r="AA626" s="405"/>
    </row>
    <row r="627" spans="1:27" s="403" customFormat="1" ht="21.75" customHeight="1" x14ac:dyDescent="0.4">
      <c r="A627" s="370">
        <v>46001</v>
      </c>
      <c r="B627" s="322" t="s">
        <v>5965</v>
      </c>
      <c r="C627" s="191" t="s">
        <v>405</v>
      </c>
      <c r="D627" s="192" t="s">
        <v>17</v>
      </c>
      <c r="E627" s="192" t="s">
        <v>332</v>
      </c>
      <c r="F627" s="192" t="s">
        <v>3555</v>
      </c>
      <c r="G627" s="193" t="s">
        <v>5969</v>
      </c>
      <c r="H627" s="371">
        <v>1300</v>
      </c>
      <c r="I627" s="400"/>
      <c r="J627" s="371">
        <v>1300</v>
      </c>
      <c r="K627" s="192">
        <v>3</v>
      </c>
      <c r="L627" s="371">
        <f t="shared" ref="L627" si="345">SUM(J627*K627)</f>
        <v>3900</v>
      </c>
      <c r="M627" s="373">
        <f t="shared" ref="M627" si="346">ROUNDDOWN(L627*1.1,0)</f>
        <v>4290</v>
      </c>
      <c r="N627" s="192" t="s">
        <v>5968</v>
      </c>
      <c r="O627" s="451" t="s">
        <v>5970</v>
      </c>
      <c r="P627" s="192" t="s">
        <v>2595</v>
      </c>
      <c r="Q627" s="192" t="s">
        <v>2595</v>
      </c>
      <c r="R627" s="192" t="s">
        <v>2595</v>
      </c>
      <c r="S627" s="401"/>
      <c r="T627" s="402"/>
      <c r="U627" s="402"/>
      <c r="W627" s="404"/>
      <c r="X627" s="405"/>
      <c r="Y627" s="405"/>
      <c r="Z627" s="405"/>
      <c r="AA627" s="405"/>
    </row>
    <row r="628" spans="1:27" ht="21.75" customHeight="1" x14ac:dyDescent="0.4">
      <c r="A628" s="258">
        <v>46001</v>
      </c>
      <c r="B628" s="325" t="s">
        <v>1861</v>
      </c>
      <c r="C628" s="32" t="s">
        <v>2557</v>
      </c>
      <c r="D628" s="18" t="s">
        <v>22</v>
      </c>
      <c r="E628" s="18" t="s">
        <v>1496</v>
      </c>
      <c r="F628" s="18"/>
      <c r="G628" s="63" t="s">
        <v>4869</v>
      </c>
      <c r="H628" s="399">
        <v>2000</v>
      </c>
      <c r="I628" s="353"/>
      <c r="J628" s="399">
        <f t="shared" si="313"/>
        <v>2000</v>
      </c>
      <c r="K628" s="18">
        <v>4</v>
      </c>
      <c r="L628" s="399">
        <f t="shared" ref="L628:L630" si="347">SUM(J628*K628)</f>
        <v>8000</v>
      </c>
      <c r="M628" s="399">
        <f t="shared" ref="M628:M630" si="348">ROUNDDOWN(L628*1.1,0)</f>
        <v>8800</v>
      </c>
      <c r="N628" s="18" t="s">
        <v>1516</v>
      </c>
      <c r="O628" s="433"/>
      <c r="P628" s="18" t="s">
        <v>5449</v>
      </c>
      <c r="Q628" s="18" t="s">
        <v>2595</v>
      </c>
      <c r="R628" s="18" t="s">
        <v>5449</v>
      </c>
      <c r="S628" s="375"/>
    </row>
    <row r="629" spans="1:27" ht="21.75" customHeight="1" x14ac:dyDescent="0.4">
      <c r="A629" s="258">
        <v>46001</v>
      </c>
      <c r="B629" s="325" t="s">
        <v>5853</v>
      </c>
      <c r="C629" s="32" t="s">
        <v>405</v>
      </c>
      <c r="D629" s="18" t="s">
        <v>22</v>
      </c>
      <c r="E629" s="18" t="s">
        <v>260</v>
      </c>
      <c r="F629" s="258"/>
      <c r="G629" s="251" t="s">
        <v>1702</v>
      </c>
      <c r="H629" s="399">
        <v>20000</v>
      </c>
      <c r="I629" s="353"/>
      <c r="J629" s="399">
        <f t="shared" si="313"/>
        <v>20000</v>
      </c>
      <c r="K629" s="18">
        <v>1</v>
      </c>
      <c r="L629" s="399">
        <f t="shared" si="347"/>
        <v>20000</v>
      </c>
      <c r="M629" s="399">
        <f t="shared" si="348"/>
        <v>22000</v>
      </c>
      <c r="N629" s="18" t="s">
        <v>1516</v>
      </c>
      <c r="O629" s="447" t="s">
        <v>5854</v>
      </c>
      <c r="P629" s="18" t="s">
        <v>2595</v>
      </c>
      <c r="R629" s="18" t="s">
        <v>5449</v>
      </c>
      <c r="S629" s="375"/>
    </row>
    <row r="630" spans="1:27" ht="21.75" customHeight="1" x14ac:dyDescent="0.4">
      <c r="A630" s="332">
        <v>46001</v>
      </c>
      <c r="B630" s="334" t="s">
        <v>5855</v>
      </c>
      <c r="C630" s="331" t="s">
        <v>5667</v>
      </c>
      <c r="D630" s="335" t="s">
        <v>198</v>
      </c>
      <c r="E630" s="333" t="s">
        <v>4409</v>
      </c>
      <c r="F630" s="333"/>
      <c r="G630" s="434" t="s">
        <v>5858</v>
      </c>
      <c r="H630" s="414">
        <v>-24750</v>
      </c>
      <c r="I630" s="407"/>
      <c r="J630" s="414">
        <f t="shared" ref="J630" si="349">SUM(H630:I630)</f>
        <v>-24750</v>
      </c>
      <c r="K630" s="333">
        <v>1</v>
      </c>
      <c r="L630" s="414">
        <f t="shared" si="347"/>
        <v>-24750</v>
      </c>
      <c r="M630" s="415">
        <f t="shared" si="348"/>
        <v>-27225</v>
      </c>
      <c r="N630" s="333" t="s">
        <v>20</v>
      </c>
      <c r="O630" s="450" t="s">
        <v>5857</v>
      </c>
      <c r="P630" s="333"/>
      <c r="Q630" s="333" t="s">
        <v>2595</v>
      </c>
      <c r="R630" s="333" t="s">
        <v>5449</v>
      </c>
      <c r="S630" s="375"/>
    </row>
    <row r="631" spans="1:27" ht="21.75" customHeight="1" x14ac:dyDescent="0.4">
      <c r="A631" s="258">
        <v>46002</v>
      </c>
      <c r="B631" s="325" t="s">
        <v>5863</v>
      </c>
      <c r="C631" s="32" t="s">
        <v>405</v>
      </c>
      <c r="D631" s="18" t="s">
        <v>17</v>
      </c>
      <c r="E631" s="18" t="s">
        <v>332</v>
      </c>
      <c r="F631" s="18" t="s">
        <v>3554</v>
      </c>
      <c r="G631" s="63" t="s">
        <v>5655</v>
      </c>
      <c r="H631" s="350">
        <v>2700</v>
      </c>
      <c r="I631" s="399"/>
      <c r="J631" s="350">
        <f t="shared" si="313"/>
        <v>2700</v>
      </c>
      <c r="K631" s="18">
        <v>2</v>
      </c>
      <c r="L631" s="350">
        <f t="shared" si="314"/>
        <v>5400</v>
      </c>
      <c r="M631" s="356">
        <f t="shared" si="315"/>
        <v>5940</v>
      </c>
      <c r="N631" s="18" t="s">
        <v>1121</v>
      </c>
      <c r="O631" s="433"/>
      <c r="Q631" s="18" t="s">
        <v>5864</v>
      </c>
      <c r="R631" s="18" t="s">
        <v>5864</v>
      </c>
      <c r="S631" s="375"/>
    </row>
    <row r="632" spans="1:27" ht="21.75" customHeight="1" x14ac:dyDescent="0.4">
      <c r="A632" s="258">
        <v>46002</v>
      </c>
      <c r="B632" s="325" t="s">
        <v>5863</v>
      </c>
      <c r="C632" s="32" t="s">
        <v>405</v>
      </c>
      <c r="D632" s="18" t="s">
        <v>17</v>
      </c>
      <c r="E632" s="18" t="s">
        <v>332</v>
      </c>
      <c r="F632" s="18" t="s">
        <v>3554</v>
      </c>
      <c r="G632" s="63" t="s">
        <v>5865</v>
      </c>
      <c r="H632" s="350">
        <v>2600</v>
      </c>
      <c r="I632" s="399"/>
      <c r="J632" s="350">
        <f t="shared" si="313"/>
        <v>2600</v>
      </c>
      <c r="K632" s="18">
        <v>2</v>
      </c>
      <c r="L632" s="350">
        <f t="shared" si="314"/>
        <v>5200</v>
      </c>
      <c r="M632" s="356">
        <f t="shared" si="315"/>
        <v>5720</v>
      </c>
      <c r="N632" s="18" t="s">
        <v>1121</v>
      </c>
      <c r="O632" s="433"/>
      <c r="Q632" s="18" t="s">
        <v>5864</v>
      </c>
      <c r="R632" s="18" t="s">
        <v>5864</v>
      </c>
      <c r="S632" s="375"/>
    </row>
    <row r="633" spans="1:27" ht="21.75" customHeight="1" x14ac:dyDescent="0.4">
      <c r="A633" s="258">
        <v>46002</v>
      </c>
      <c r="B633" s="32" t="s">
        <v>148</v>
      </c>
      <c r="C633" s="32" t="s">
        <v>2557</v>
      </c>
      <c r="D633" s="18" t="s">
        <v>17</v>
      </c>
      <c r="E633" s="18" t="s">
        <v>292</v>
      </c>
      <c r="F633" s="18" t="s">
        <v>1051</v>
      </c>
      <c r="G633" s="63" t="s">
        <v>4973</v>
      </c>
      <c r="H633" s="350">
        <v>3200</v>
      </c>
      <c r="I633" s="399">
        <v>-320</v>
      </c>
      <c r="J633" s="350">
        <f t="shared" si="313"/>
        <v>2880</v>
      </c>
      <c r="K633" s="18">
        <v>1</v>
      </c>
      <c r="L633" s="350">
        <f t="shared" si="314"/>
        <v>2880</v>
      </c>
      <c r="M633" s="356">
        <f t="shared" si="315"/>
        <v>3168</v>
      </c>
      <c r="N633" s="18" t="s">
        <v>20</v>
      </c>
      <c r="O633" s="433"/>
      <c r="Q633" s="18" t="s">
        <v>5868</v>
      </c>
      <c r="R633" s="18" t="s">
        <v>5868</v>
      </c>
      <c r="S633" s="375"/>
    </row>
    <row r="634" spans="1:27" ht="21.75" customHeight="1" x14ac:dyDescent="0.4">
      <c r="A634" s="258">
        <v>46002</v>
      </c>
      <c r="B634" s="325" t="s">
        <v>5866</v>
      </c>
      <c r="C634" s="32" t="s">
        <v>2557</v>
      </c>
      <c r="D634" s="18" t="s">
        <v>17</v>
      </c>
      <c r="E634" s="18" t="s">
        <v>332</v>
      </c>
      <c r="F634" s="18" t="s">
        <v>3555</v>
      </c>
      <c r="G634" s="63" t="s">
        <v>5867</v>
      </c>
      <c r="H634" s="350">
        <v>1700</v>
      </c>
      <c r="I634" s="399">
        <v>-170</v>
      </c>
      <c r="J634" s="350">
        <f t="shared" ref="J634:J637" si="350">SUM(H634:I634)</f>
        <v>1530</v>
      </c>
      <c r="K634" s="18">
        <v>13</v>
      </c>
      <c r="L634" s="350">
        <f t="shared" ref="L634:L638" si="351">SUM(J634*K634)</f>
        <v>19890</v>
      </c>
      <c r="M634" s="356">
        <f t="shared" ref="M634:M638" si="352">ROUNDDOWN(L634*1.1,0)</f>
        <v>21879</v>
      </c>
      <c r="N634" s="18" t="s">
        <v>20</v>
      </c>
      <c r="O634" s="433"/>
      <c r="Q634" s="18" t="s">
        <v>5868</v>
      </c>
      <c r="R634" s="18" t="s">
        <v>5868</v>
      </c>
      <c r="S634" s="375"/>
    </row>
    <row r="635" spans="1:27" ht="21.75" customHeight="1" x14ac:dyDescent="0.4">
      <c r="A635" s="258">
        <v>46002</v>
      </c>
      <c r="B635" s="32" t="s">
        <v>4865</v>
      </c>
      <c r="C635" s="32" t="s">
        <v>5667</v>
      </c>
      <c r="D635" s="18" t="s">
        <v>22</v>
      </c>
      <c r="E635" s="18" t="s">
        <v>1496</v>
      </c>
      <c r="F635" s="18"/>
      <c r="G635" s="63" t="s">
        <v>4869</v>
      </c>
      <c r="H635" s="350">
        <v>2000</v>
      </c>
      <c r="I635" s="399"/>
      <c r="J635" s="350">
        <f t="shared" si="350"/>
        <v>2000</v>
      </c>
      <c r="K635" s="18">
        <v>1</v>
      </c>
      <c r="L635" s="350">
        <f t="shared" si="351"/>
        <v>2000</v>
      </c>
      <c r="M635" s="356">
        <f t="shared" si="352"/>
        <v>2200</v>
      </c>
      <c r="N635" s="18" t="s">
        <v>20</v>
      </c>
      <c r="O635" s="433"/>
      <c r="P635" s="18" t="s">
        <v>5868</v>
      </c>
      <c r="Q635" s="18" t="s">
        <v>5868</v>
      </c>
      <c r="R635" s="18" t="s">
        <v>5868</v>
      </c>
      <c r="S635" s="375"/>
    </row>
    <row r="636" spans="1:27" ht="21.75" customHeight="1" x14ac:dyDescent="0.4">
      <c r="A636" s="258">
        <v>46003</v>
      </c>
      <c r="B636" s="32" t="s">
        <v>5069</v>
      </c>
      <c r="C636" s="32" t="s">
        <v>5667</v>
      </c>
      <c r="D636" s="18" t="s">
        <v>22</v>
      </c>
      <c r="E636" s="18" t="s">
        <v>1496</v>
      </c>
      <c r="F636" s="18"/>
      <c r="G636" s="63" t="s">
        <v>4869</v>
      </c>
      <c r="H636" s="350">
        <v>2000</v>
      </c>
      <c r="I636" s="399"/>
      <c r="J636" s="350">
        <f t="shared" ref="J636" si="353">SUM(H636:I636)</f>
        <v>2000</v>
      </c>
      <c r="K636" s="18">
        <v>1</v>
      </c>
      <c r="L636" s="350">
        <f t="shared" ref="L636" si="354">SUM(J636*K636)</f>
        <v>2000</v>
      </c>
      <c r="M636" s="356">
        <f t="shared" ref="M636" si="355">ROUNDDOWN(L636*1.1,0)</f>
        <v>2200</v>
      </c>
      <c r="N636" s="18" t="s">
        <v>1516</v>
      </c>
      <c r="O636" s="433"/>
      <c r="P636" s="18" t="s">
        <v>5449</v>
      </c>
      <c r="Q636" s="18" t="s">
        <v>5449</v>
      </c>
      <c r="R636" s="18" t="s">
        <v>4803</v>
      </c>
      <c r="S636" s="375"/>
    </row>
    <row r="637" spans="1:27" ht="21.75" customHeight="1" x14ac:dyDescent="0.4">
      <c r="A637" s="258">
        <v>46003</v>
      </c>
      <c r="B637" s="336" t="s">
        <v>5869</v>
      </c>
      <c r="C637" s="32" t="s">
        <v>4292</v>
      </c>
      <c r="D637" s="18" t="s">
        <v>17</v>
      </c>
      <c r="E637" s="18" t="s">
        <v>328</v>
      </c>
      <c r="F637" s="18" t="s">
        <v>5872</v>
      </c>
      <c r="G637" s="63" t="s">
        <v>5873</v>
      </c>
      <c r="H637" s="350">
        <v>2550</v>
      </c>
      <c r="I637" s="353"/>
      <c r="J637" s="350">
        <f t="shared" si="350"/>
        <v>2550</v>
      </c>
      <c r="K637" s="18">
        <v>6</v>
      </c>
      <c r="L637" s="350">
        <f t="shared" si="351"/>
        <v>15300</v>
      </c>
      <c r="M637" s="356">
        <f t="shared" si="352"/>
        <v>16830</v>
      </c>
      <c r="N637" s="18" t="s">
        <v>1121</v>
      </c>
      <c r="O637" s="439"/>
      <c r="Q637" s="18" t="s">
        <v>5870</v>
      </c>
      <c r="R637" s="18" t="s">
        <v>5871</v>
      </c>
      <c r="S637" s="375"/>
    </row>
    <row r="638" spans="1:27" ht="21.75" customHeight="1" x14ac:dyDescent="0.4">
      <c r="A638" s="258">
        <v>46003</v>
      </c>
      <c r="B638" s="32" t="s">
        <v>1861</v>
      </c>
      <c r="C638" s="32" t="s">
        <v>5667</v>
      </c>
      <c r="D638" s="18" t="s">
        <v>22</v>
      </c>
      <c r="E638" s="18" t="s">
        <v>1496</v>
      </c>
      <c r="F638" s="18"/>
      <c r="G638" s="63" t="s">
        <v>4869</v>
      </c>
      <c r="H638" s="350">
        <v>2000</v>
      </c>
      <c r="I638" s="399"/>
      <c r="J638" s="350">
        <f t="shared" ref="J638" si="356">SUM(H638:I638)</f>
        <v>2000</v>
      </c>
      <c r="K638" s="18">
        <v>2</v>
      </c>
      <c r="L638" s="350">
        <f t="shared" si="351"/>
        <v>4000</v>
      </c>
      <c r="M638" s="356">
        <f t="shared" si="352"/>
        <v>4400</v>
      </c>
      <c r="N638" s="18" t="s">
        <v>1516</v>
      </c>
      <c r="O638" s="439"/>
      <c r="P638" s="18" t="s">
        <v>5888</v>
      </c>
      <c r="Q638" s="18" t="s">
        <v>5888</v>
      </c>
      <c r="R638" s="18" t="s">
        <v>5889</v>
      </c>
      <c r="S638" s="375"/>
    </row>
    <row r="639" spans="1:27" ht="21.75" customHeight="1" x14ac:dyDescent="0.4">
      <c r="A639" s="258">
        <v>46004</v>
      </c>
      <c r="B639" s="32" t="s">
        <v>4865</v>
      </c>
      <c r="C639" s="32" t="s">
        <v>5667</v>
      </c>
      <c r="D639" s="18" t="s">
        <v>22</v>
      </c>
      <c r="E639" s="18" t="s">
        <v>1496</v>
      </c>
      <c r="F639" s="18"/>
      <c r="G639" s="63" t="s">
        <v>4869</v>
      </c>
      <c r="H639" s="350">
        <v>2000</v>
      </c>
      <c r="I639" s="399"/>
      <c r="J639" s="350">
        <f t="shared" si="313"/>
        <v>2000</v>
      </c>
      <c r="K639" s="18">
        <v>1</v>
      </c>
      <c r="L639" s="350">
        <f t="shared" si="314"/>
        <v>2000</v>
      </c>
      <c r="M639" s="356">
        <f t="shared" si="315"/>
        <v>2200</v>
      </c>
      <c r="N639" s="18" t="s">
        <v>20</v>
      </c>
      <c r="O639" s="433"/>
      <c r="P639" s="18" t="s">
        <v>5874</v>
      </c>
      <c r="Q639" s="18" t="s">
        <v>5874</v>
      </c>
      <c r="R639" s="18" t="s">
        <v>5874</v>
      </c>
      <c r="S639" s="375"/>
    </row>
    <row r="640" spans="1:27" ht="21.75" customHeight="1" x14ac:dyDescent="0.4">
      <c r="A640" s="258">
        <v>46004</v>
      </c>
      <c r="B640" s="325" t="s">
        <v>5670</v>
      </c>
      <c r="C640" s="32" t="s">
        <v>2557</v>
      </c>
      <c r="D640" s="18" t="s">
        <v>5109</v>
      </c>
      <c r="E640" s="18" t="s">
        <v>4409</v>
      </c>
      <c r="F640" s="18"/>
      <c r="G640" s="63" t="s">
        <v>5036</v>
      </c>
      <c r="H640" s="399">
        <v>17500</v>
      </c>
      <c r="I640" s="399"/>
      <c r="J640" s="350">
        <f t="shared" si="313"/>
        <v>17500</v>
      </c>
      <c r="K640" s="18">
        <v>1</v>
      </c>
      <c r="L640" s="350">
        <f t="shared" si="314"/>
        <v>17500</v>
      </c>
      <c r="M640" s="356">
        <f t="shared" si="315"/>
        <v>19250</v>
      </c>
      <c r="N640" s="18" t="s">
        <v>1516</v>
      </c>
      <c r="O640" s="439" t="s">
        <v>5887</v>
      </c>
      <c r="P640" s="18" t="s">
        <v>5875</v>
      </c>
      <c r="Q640" s="18" t="s">
        <v>5875</v>
      </c>
      <c r="R640" s="18" t="s">
        <v>5875</v>
      </c>
      <c r="S640" s="375"/>
    </row>
    <row r="641" spans="1:19" ht="21.75" customHeight="1" x14ac:dyDescent="0.4">
      <c r="A641" s="258">
        <v>46004</v>
      </c>
      <c r="B641" s="325" t="s">
        <v>5670</v>
      </c>
      <c r="C641" s="32" t="s">
        <v>2557</v>
      </c>
      <c r="D641" s="18" t="s">
        <v>5109</v>
      </c>
      <c r="E641" s="18" t="s">
        <v>4409</v>
      </c>
      <c r="F641" s="18"/>
      <c r="G641" s="63" t="s">
        <v>5876</v>
      </c>
      <c r="H641" s="350">
        <v>8750</v>
      </c>
      <c r="I641" s="399"/>
      <c r="J641" s="350">
        <f t="shared" si="313"/>
        <v>8750</v>
      </c>
      <c r="K641" s="18">
        <v>1</v>
      </c>
      <c r="L641" s="350">
        <f t="shared" si="314"/>
        <v>8750</v>
      </c>
      <c r="M641" s="356">
        <f t="shared" si="315"/>
        <v>9625</v>
      </c>
      <c r="N641" s="18" t="s">
        <v>1516</v>
      </c>
      <c r="O641" s="439" t="s">
        <v>5803</v>
      </c>
      <c r="P641" s="18" t="s">
        <v>5875</v>
      </c>
      <c r="Q641" s="18" t="s">
        <v>5875</v>
      </c>
      <c r="R641" s="18" t="s">
        <v>5875</v>
      </c>
      <c r="S641" s="375"/>
    </row>
    <row r="642" spans="1:19" ht="21.75" customHeight="1" x14ac:dyDescent="0.4">
      <c r="A642" s="258">
        <v>46004</v>
      </c>
      <c r="B642" s="325" t="s">
        <v>5670</v>
      </c>
      <c r="C642" s="32" t="s">
        <v>2557</v>
      </c>
      <c r="D642" s="18" t="s">
        <v>27</v>
      </c>
      <c r="E642" s="18" t="s">
        <v>28</v>
      </c>
      <c r="F642" s="18"/>
      <c r="G642" s="63" t="s">
        <v>318</v>
      </c>
      <c r="H642" s="350">
        <v>15000</v>
      </c>
      <c r="I642" s="399">
        <v>-5000</v>
      </c>
      <c r="J642" s="350">
        <f t="shared" si="313"/>
        <v>10000</v>
      </c>
      <c r="K642" s="18">
        <v>1</v>
      </c>
      <c r="L642" s="350">
        <f t="shared" si="314"/>
        <v>10000</v>
      </c>
      <c r="M642" s="356">
        <f t="shared" si="315"/>
        <v>11000</v>
      </c>
      <c r="N642" s="18" t="s">
        <v>1516</v>
      </c>
      <c r="O642" s="433"/>
      <c r="Q642" s="18" t="s">
        <v>5875</v>
      </c>
      <c r="R642" s="18" t="s">
        <v>5875</v>
      </c>
      <c r="S642" s="375"/>
    </row>
    <row r="643" spans="1:19" ht="21.75" customHeight="1" x14ac:dyDescent="0.4">
      <c r="A643" s="258">
        <v>46004</v>
      </c>
      <c r="B643" s="325" t="s">
        <v>5878</v>
      </c>
      <c r="C643" s="32" t="s">
        <v>4292</v>
      </c>
      <c r="D643" s="18" t="s">
        <v>17</v>
      </c>
      <c r="E643" s="18" t="s">
        <v>328</v>
      </c>
      <c r="F643" s="18"/>
      <c r="G643" s="63" t="s">
        <v>5877</v>
      </c>
      <c r="H643" s="350">
        <v>3530</v>
      </c>
      <c r="I643" s="399"/>
      <c r="J643" s="350">
        <f t="shared" si="313"/>
        <v>3530</v>
      </c>
      <c r="K643" s="18">
        <v>1</v>
      </c>
      <c r="L643" s="350">
        <f t="shared" si="314"/>
        <v>3530</v>
      </c>
      <c r="M643" s="356">
        <f t="shared" si="315"/>
        <v>3883</v>
      </c>
      <c r="N643" s="18" t="s">
        <v>1516</v>
      </c>
      <c r="O643" s="433"/>
      <c r="Q643" s="18" t="s">
        <v>4798</v>
      </c>
      <c r="R643" s="18" t="s">
        <v>4798</v>
      </c>
      <c r="S643" s="375"/>
    </row>
    <row r="644" spans="1:19" ht="21.75" customHeight="1" x14ac:dyDescent="0.4">
      <c r="A644" s="258">
        <v>46004</v>
      </c>
      <c r="B644" s="325" t="s">
        <v>5879</v>
      </c>
      <c r="C644" s="32" t="s">
        <v>2557</v>
      </c>
      <c r="D644" s="18" t="s">
        <v>17</v>
      </c>
      <c r="E644" s="18" t="s">
        <v>332</v>
      </c>
      <c r="F644" s="18" t="s">
        <v>5880</v>
      </c>
      <c r="G644" s="464" t="s">
        <v>6415</v>
      </c>
      <c r="H644" s="350">
        <v>1800</v>
      </c>
      <c r="I644" s="399">
        <v>-180</v>
      </c>
      <c r="J644" s="350">
        <f t="shared" si="313"/>
        <v>1620</v>
      </c>
      <c r="K644" s="18">
        <v>1</v>
      </c>
      <c r="L644" s="350">
        <f t="shared" si="314"/>
        <v>1620</v>
      </c>
      <c r="M644" s="356">
        <f t="shared" si="315"/>
        <v>1782</v>
      </c>
      <c r="N644" s="18" t="s">
        <v>1516</v>
      </c>
      <c r="O644" s="433"/>
      <c r="Q644" s="18" t="s">
        <v>4798</v>
      </c>
      <c r="R644" s="18" t="s">
        <v>4798</v>
      </c>
      <c r="S644" s="375"/>
    </row>
    <row r="645" spans="1:19" ht="21.75" customHeight="1" x14ac:dyDescent="0.4">
      <c r="A645" s="258">
        <v>46005</v>
      </c>
      <c r="B645" s="325" t="s">
        <v>5023</v>
      </c>
      <c r="C645" s="32" t="s">
        <v>5667</v>
      </c>
      <c r="D645" s="18" t="s">
        <v>22</v>
      </c>
      <c r="E645" s="18" t="s">
        <v>1496</v>
      </c>
      <c r="F645" s="18"/>
      <c r="G645" s="63" t="s">
        <v>4869</v>
      </c>
      <c r="H645" s="399">
        <v>2000</v>
      </c>
      <c r="I645" s="353"/>
      <c r="J645" s="399">
        <f t="shared" si="313"/>
        <v>2000</v>
      </c>
      <c r="K645" s="18">
        <v>1</v>
      </c>
      <c r="L645" s="399">
        <f t="shared" si="314"/>
        <v>2000</v>
      </c>
      <c r="M645" s="399">
        <f t="shared" si="315"/>
        <v>2200</v>
      </c>
      <c r="N645" s="18" t="s">
        <v>20</v>
      </c>
      <c r="O645" s="433"/>
      <c r="P645" s="18" t="s">
        <v>5449</v>
      </c>
      <c r="Q645" s="18" t="s">
        <v>5449</v>
      </c>
      <c r="R645" s="18" t="s">
        <v>5449</v>
      </c>
      <c r="S645" s="375"/>
    </row>
    <row r="646" spans="1:19" ht="21.75" customHeight="1" x14ac:dyDescent="0.4">
      <c r="A646" s="258">
        <v>46005</v>
      </c>
      <c r="B646" s="325" t="s">
        <v>2088</v>
      </c>
      <c r="C646" s="32" t="s">
        <v>2557</v>
      </c>
      <c r="D646" s="18" t="s">
        <v>22</v>
      </c>
      <c r="E646" s="18" t="s">
        <v>1496</v>
      </c>
      <c r="F646" s="18"/>
      <c r="G646" s="63" t="s">
        <v>4869</v>
      </c>
      <c r="H646" s="399">
        <v>2000</v>
      </c>
      <c r="I646" s="399"/>
      <c r="J646" s="350">
        <f t="shared" ref="J646:J647" si="357">SUM(H646:I646)</f>
        <v>2000</v>
      </c>
      <c r="K646" s="18">
        <v>1</v>
      </c>
      <c r="L646" s="350">
        <f t="shared" ref="L646:L647" si="358">SUM(J646*K646)</f>
        <v>2000</v>
      </c>
      <c r="M646" s="356">
        <f t="shared" ref="M646:M647" si="359">ROUNDDOWN(L646*1.1,0)</f>
        <v>2200</v>
      </c>
      <c r="N646" s="18" t="s">
        <v>1516</v>
      </c>
      <c r="O646" s="433"/>
      <c r="P646" s="18" t="s">
        <v>5449</v>
      </c>
      <c r="Q646" s="18" t="s">
        <v>5449</v>
      </c>
      <c r="R646" s="18" t="s">
        <v>5449</v>
      </c>
      <c r="S646" s="375"/>
    </row>
    <row r="647" spans="1:19" ht="21.75" customHeight="1" x14ac:dyDescent="0.4">
      <c r="A647" s="258">
        <v>46005</v>
      </c>
      <c r="B647" s="32" t="s">
        <v>4865</v>
      </c>
      <c r="C647" s="32" t="s">
        <v>5667</v>
      </c>
      <c r="D647" s="18" t="s">
        <v>22</v>
      </c>
      <c r="E647" s="18" t="s">
        <v>1496</v>
      </c>
      <c r="F647" s="18"/>
      <c r="G647" s="63" t="s">
        <v>4869</v>
      </c>
      <c r="H647" s="350">
        <v>2000</v>
      </c>
      <c r="I647" s="399"/>
      <c r="J647" s="350">
        <f t="shared" si="357"/>
        <v>2000</v>
      </c>
      <c r="K647" s="18">
        <v>1</v>
      </c>
      <c r="L647" s="350">
        <f t="shared" si="358"/>
        <v>2000</v>
      </c>
      <c r="M647" s="356">
        <f t="shared" si="359"/>
        <v>2200</v>
      </c>
      <c r="N647" s="18" t="s">
        <v>20</v>
      </c>
      <c r="O647" s="433"/>
      <c r="P647" s="18" t="s">
        <v>2595</v>
      </c>
      <c r="Q647" s="18" t="s">
        <v>2595</v>
      </c>
      <c r="R647" s="18" t="s">
        <v>5449</v>
      </c>
      <c r="S647" s="375"/>
    </row>
    <row r="648" spans="1:19" ht="21.75" customHeight="1" x14ac:dyDescent="0.4">
      <c r="A648" s="258">
        <v>46005</v>
      </c>
      <c r="B648" s="325" t="s">
        <v>139</v>
      </c>
      <c r="C648" s="32" t="s">
        <v>5667</v>
      </c>
      <c r="D648" s="18" t="s">
        <v>22</v>
      </c>
      <c r="E648" s="18" t="s">
        <v>1496</v>
      </c>
      <c r="F648" s="18"/>
      <c r="G648" s="63" t="s">
        <v>4869</v>
      </c>
      <c r="H648" s="350">
        <v>2000</v>
      </c>
      <c r="I648" s="399"/>
      <c r="J648" s="350">
        <f t="shared" ref="J648" si="360">SUM(H648:I648)</f>
        <v>2000</v>
      </c>
      <c r="K648" s="18">
        <v>1</v>
      </c>
      <c r="L648" s="350">
        <f t="shared" ref="L648" si="361">SUM(J648*K648)</f>
        <v>2000</v>
      </c>
      <c r="M648" s="356">
        <f t="shared" ref="M648" si="362">ROUNDDOWN(L648*1.1,0)</f>
        <v>2200</v>
      </c>
      <c r="N648" s="18" t="s">
        <v>1516</v>
      </c>
      <c r="O648" s="433"/>
      <c r="P648" s="18" t="s">
        <v>5449</v>
      </c>
      <c r="Q648" s="18" t="s">
        <v>5449</v>
      </c>
      <c r="R648" s="18" t="s">
        <v>5449</v>
      </c>
      <c r="S648" s="375"/>
    </row>
    <row r="649" spans="1:19" ht="21.75" customHeight="1" x14ac:dyDescent="0.4">
      <c r="A649" s="258">
        <v>46005</v>
      </c>
      <c r="B649" s="325" t="s">
        <v>5890</v>
      </c>
      <c r="C649" s="32" t="s">
        <v>2557</v>
      </c>
      <c r="D649" s="18" t="s">
        <v>22</v>
      </c>
      <c r="E649" s="18" t="s">
        <v>5507</v>
      </c>
      <c r="F649" s="18"/>
      <c r="G649" s="428" t="s">
        <v>5534</v>
      </c>
      <c r="H649" s="350">
        <v>20000</v>
      </c>
      <c r="I649" s="399"/>
      <c r="J649" s="350">
        <f t="shared" ref="J649:J654" si="363">SUM(H649:I649)</f>
        <v>20000</v>
      </c>
      <c r="K649" s="18">
        <v>1</v>
      </c>
      <c r="L649" s="350">
        <f t="shared" ref="L649:L654" si="364">SUM(J649*K649)</f>
        <v>20000</v>
      </c>
      <c r="M649" s="356">
        <f t="shared" ref="M649:M654" si="365">ROUNDDOWN(L649*1.1,0)</f>
        <v>22000</v>
      </c>
      <c r="N649" s="18" t="s">
        <v>20</v>
      </c>
      <c r="O649" s="433"/>
      <c r="P649" s="18" t="s">
        <v>2595</v>
      </c>
      <c r="R649" s="18" t="s">
        <v>5889</v>
      </c>
      <c r="S649" s="375"/>
    </row>
    <row r="650" spans="1:19" ht="21.75" customHeight="1" x14ac:dyDescent="0.4">
      <c r="A650" s="258">
        <v>46005</v>
      </c>
      <c r="B650" s="325" t="s">
        <v>5891</v>
      </c>
      <c r="C650" s="32" t="s">
        <v>2557</v>
      </c>
      <c r="D650" s="18" t="s">
        <v>5109</v>
      </c>
      <c r="E650" s="18" t="s">
        <v>4409</v>
      </c>
      <c r="F650" s="18"/>
      <c r="G650" s="63" t="s">
        <v>5036</v>
      </c>
      <c r="H650" s="350">
        <v>17500</v>
      </c>
      <c r="I650" s="399"/>
      <c r="J650" s="350">
        <f t="shared" si="363"/>
        <v>17500</v>
      </c>
      <c r="K650" s="18">
        <v>1</v>
      </c>
      <c r="L650" s="350">
        <f t="shared" si="364"/>
        <v>17500</v>
      </c>
      <c r="M650" s="356">
        <f t="shared" si="365"/>
        <v>19250</v>
      </c>
      <c r="N650" s="18" t="s">
        <v>1516</v>
      </c>
      <c r="O650" s="439" t="s">
        <v>5887</v>
      </c>
      <c r="R650" s="18" t="s">
        <v>5889</v>
      </c>
      <c r="S650" s="375"/>
    </row>
    <row r="651" spans="1:19" ht="21.75" customHeight="1" x14ac:dyDescent="0.4">
      <c r="A651" s="258">
        <v>46006</v>
      </c>
      <c r="B651" s="325" t="s">
        <v>5883</v>
      </c>
      <c r="C651" s="32" t="s">
        <v>405</v>
      </c>
      <c r="D651" s="18" t="s">
        <v>22</v>
      </c>
      <c r="E651" s="18" t="s">
        <v>1496</v>
      </c>
      <c r="F651" s="18"/>
      <c r="G651" s="63" t="s">
        <v>5376</v>
      </c>
      <c r="H651" s="350">
        <v>5000</v>
      </c>
      <c r="I651" s="353"/>
      <c r="J651" s="350">
        <f t="shared" si="363"/>
        <v>5000</v>
      </c>
      <c r="K651" s="18">
        <v>1</v>
      </c>
      <c r="L651" s="350">
        <f t="shared" si="364"/>
        <v>5000</v>
      </c>
      <c r="M651" s="356">
        <f t="shared" si="365"/>
        <v>5500</v>
      </c>
      <c r="N651" s="18" t="s">
        <v>1516</v>
      </c>
      <c r="O651" s="433"/>
      <c r="P651" s="18" t="s">
        <v>2595</v>
      </c>
      <c r="Q651" s="18" t="s">
        <v>4803</v>
      </c>
      <c r="R651" s="18" t="s">
        <v>4803</v>
      </c>
      <c r="S651" s="375"/>
    </row>
    <row r="652" spans="1:19" ht="21.75" customHeight="1" x14ac:dyDescent="0.4">
      <c r="A652" s="258">
        <v>46006</v>
      </c>
      <c r="B652" s="325" t="s">
        <v>5884</v>
      </c>
      <c r="C652" s="32" t="s">
        <v>405</v>
      </c>
      <c r="D652" s="18" t="s">
        <v>22</v>
      </c>
      <c r="E652" s="18" t="s">
        <v>1496</v>
      </c>
      <c r="F652" s="18"/>
      <c r="G652" s="63" t="s">
        <v>5376</v>
      </c>
      <c r="H652" s="350">
        <v>5000</v>
      </c>
      <c r="I652" s="353"/>
      <c r="J652" s="350">
        <f t="shared" si="363"/>
        <v>5000</v>
      </c>
      <c r="K652" s="18">
        <v>1</v>
      </c>
      <c r="L652" s="350">
        <f t="shared" si="364"/>
        <v>5000</v>
      </c>
      <c r="M652" s="356">
        <f t="shared" si="365"/>
        <v>5500</v>
      </c>
      <c r="N652" s="18" t="s">
        <v>1516</v>
      </c>
      <c r="O652" s="447" t="s">
        <v>5885</v>
      </c>
      <c r="P652" s="18" t="s">
        <v>2595</v>
      </c>
      <c r="Q652" s="18" t="s">
        <v>4803</v>
      </c>
      <c r="R652" s="18" t="s">
        <v>4803</v>
      </c>
      <c r="S652" s="375"/>
    </row>
    <row r="653" spans="1:19" ht="21.75" customHeight="1" x14ac:dyDescent="0.4">
      <c r="A653" s="258">
        <v>46006</v>
      </c>
      <c r="B653" s="325" t="s">
        <v>5886</v>
      </c>
      <c r="C653" s="32" t="s">
        <v>5667</v>
      </c>
      <c r="D653" s="18" t="s">
        <v>5109</v>
      </c>
      <c r="E653" s="18" t="s">
        <v>28</v>
      </c>
      <c r="F653" s="18"/>
      <c r="G653" s="63" t="s">
        <v>5036</v>
      </c>
      <c r="H653" s="399">
        <v>17500</v>
      </c>
      <c r="I653" s="399"/>
      <c r="J653" s="350">
        <f t="shared" si="363"/>
        <v>17500</v>
      </c>
      <c r="K653" s="18">
        <v>1</v>
      </c>
      <c r="L653" s="350">
        <f t="shared" si="364"/>
        <v>17500</v>
      </c>
      <c r="M653" s="356">
        <f t="shared" si="365"/>
        <v>19250</v>
      </c>
      <c r="N653" s="18" t="s">
        <v>1516</v>
      </c>
      <c r="O653" s="439" t="s">
        <v>5887</v>
      </c>
      <c r="Q653" s="18" t="s">
        <v>4803</v>
      </c>
      <c r="R653" s="18" t="s">
        <v>4803</v>
      </c>
      <c r="S653" s="375"/>
    </row>
    <row r="654" spans="1:19" ht="21.75" customHeight="1" x14ac:dyDescent="0.4">
      <c r="A654" s="258">
        <v>46006</v>
      </c>
      <c r="B654" s="325" t="s">
        <v>5069</v>
      </c>
      <c r="C654" s="32" t="s">
        <v>2557</v>
      </c>
      <c r="D654" s="18" t="s">
        <v>22</v>
      </c>
      <c r="E654" s="18" t="s">
        <v>1496</v>
      </c>
      <c r="F654" s="18"/>
      <c r="G654" s="63" t="s">
        <v>4869</v>
      </c>
      <c r="H654" s="399">
        <v>2000</v>
      </c>
      <c r="I654" s="353"/>
      <c r="J654" s="399">
        <f t="shared" si="363"/>
        <v>2000</v>
      </c>
      <c r="K654" s="18">
        <v>1</v>
      </c>
      <c r="L654" s="399">
        <f t="shared" si="364"/>
        <v>2000</v>
      </c>
      <c r="M654" s="399">
        <f t="shared" si="365"/>
        <v>2200</v>
      </c>
      <c r="N654" s="18" t="s">
        <v>1516</v>
      </c>
      <c r="O654" s="433"/>
      <c r="P654" s="18" t="s">
        <v>5449</v>
      </c>
      <c r="Q654" s="18" t="s">
        <v>4803</v>
      </c>
      <c r="R654" s="18" t="s">
        <v>4803</v>
      </c>
      <c r="S654" s="375"/>
    </row>
    <row r="655" spans="1:19" ht="21.75" customHeight="1" x14ac:dyDescent="0.4">
      <c r="A655" s="258">
        <v>46008</v>
      </c>
      <c r="B655" s="325" t="s">
        <v>1297</v>
      </c>
      <c r="C655" s="32" t="s">
        <v>5894</v>
      </c>
      <c r="D655" s="258" t="s">
        <v>5895</v>
      </c>
      <c r="E655" s="18" t="s">
        <v>292</v>
      </c>
      <c r="F655" s="18" t="s">
        <v>1051</v>
      </c>
      <c r="G655" s="63" t="s">
        <v>5896</v>
      </c>
      <c r="H655" s="350">
        <v>5700</v>
      </c>
      <c r="I655" s="258"/>
      <c r="J655" s="350">
        <f t="shared" ref="J655:J722" si="366">SUM(H655:I655)</f>
        <v>5700</v>
      </c>
      <c r="K655" s="18">
        <v>1</v>
      </c>
      <c r="L655" s="350">
        <f t="shared" ref="L655:L722" si="367">SUM(J655*K655)</f>
        <v>5700</v>
      </c>
      <c r="M655" s="356">
        <f t="shared" ref="M655:M722" si="368">ROUNDDOWN(L655*1.1,0)</f>
        <v>6270</v>
      </c>
      <c r="N655" s="347" t="s">
        <v>5898</v>
      </c>
      <c r="O655" s="447" t="s">
        <v>5900</v>
      </c>
      <c r="P655" s="18" t="s">
        <v>2595</v>
      </c>
      <c r="Q655" s="18" t="s">
        <v>2595</v>
      </c>
      <c r="R655" s="18" t="s">
        <v>2595</v>
      </c>
    </row>
    <row r="656" spans="1:19" ht="21.75" customHeight="1" x14ac:dyDescent="0.4">
      <c r="A656" s="258">
        <v>46008</v>
      </c>
      <c r="B656" s="325" t="s">
        <v>1297</v>
      </c>
      <c r="C656" s="32" t="s">
        <v>2557</v>
      </c>
      <c r="D656" s="258" t="s">
        <v>17</v>
      </c>
      <c r="E656" s="18" t="s">
        <v>332</v>
      </c>
      <c r="F656" s="18" t="s">
        <v>3555</v>
      </c>
      <c r="G656" s="433" t="s">
        <v>5897</v>
      </c>
      <c r="H656" s="399">
        <v>1700</v>
      </c>
      <c r="I656" s="399">
        <v>-170</v>
      </c>
      <c r="J656" s="399">
        <v>1530</v>
      </c>
      <c r="K656" s="18">
        <v>2</v>
      </c>
      <c r="L656" s="399">
        <v>3060</v>
      </c>
      <c r="M656" s="399">
        <v>3366</v>
      </c>
      <c r="N656" s="347" t="s">
        <v>1057</v>
      </c>
      <c r="O656" s="447" t="s">
        <v>5900</v>
      </c>
      <c r="P656" s="18" t="s">
        <v>2595</v>
      </c>
      <c r="Q656" s="18" t="s">
        <v>2595</v>
      </c>
      <c r="R656" s="18" t="s">
        <v>2595</v>
      </c>
    </row>
    <row r="657" spans="1:19" ht="21.75" customHeight="1" x14ac:dyDescent="0.4">
      <c r="A657" s="258">
        <v>46008</v>
      </c>
      <c r="B657" s="258" t="s">
        <v>5899</v>
      </c>
      <c r="C657" s="32" t="s">
        <v>2557</v>
      </c>
      <c r="D657" s="18" t="s">
        <v>27</v>
      </c>
      <c r="E657" s="18" t="s">
        <v>28</v>
      </c>
      <c r="F657" s="258"/>
      <c r="G657" s="63" t="s">
        <v>5036</v>
      </c>
      <c r="H657" s="399">
        <v>17500</v>
      </c>
      <c r="I657" s="399"/>
      <c r="J657" s="350">
        <f t="shared" ref="J657:J658" si="369">SUM(H657:I657)</f>
        <v>17500</v>
      </c>
      <c r="K657" s="18">
        <v>1</v>
      </c>
      <c r="L657" s="350">
        <f t="shared" ref="L657:L658" si="370">SUM(J657*K657)</f>
        <v>17500</v>
      </c>
      <c r="M657" s="356">
        <f t="shared" ref="M657:M658" si="371">ROUNDDOWN(L657*1.1,0)</f>
        <v>19250</v>
      </c>
      <c r="N657" s="18" t="s">
        <v>1516</v>
      </c>
      <c r="O657" s="439" t="s">
        <v>5887</v>
      </c>
      <c r="P657" s="18" t="s">
        <v>2595</v>
      </c>
      <c r="Q657" s="18" t="s">
        <v>2595</v>
      </c>
      <c r="R657" s="18" t="s">
        <v>2595</v>
      </c>
    </row>
    <row r="658" spans="1:19" ht="21.75" customHeight="1" x14ac:dyDescent="0.4">
      <c r="A658" s="258">
        <v>46008</v>
      </c>
      <c r="B658" s="325" t="s">
        <v>5708</v>
      </c>
      <c r="C658" s="32" t="s">
        <v>2557</v>
      </c>
      <c r="D658" s="258" t="s">
        <v>17</v>
      </c>
      <c r="E658" s="18" t="s">
        <v>332</v>
      </c>
      <c r="F658" s="18" t="s">
        <v>3553</v>
      </c>
      <c r="G658" s="433" t="s">
        <v>5901</v>
      </c>
      <c r="H658" s="399">
        <v>1600</v>
      </c>
      <c r="I658" s="399">
        <v>-160</v>
      </c>
      <c r="J658" s="399">
        <f t="shared" si="369"/>
        <v>1440</v>
      </c>
      <c r="K658" s="258">
        <v>2</v>
      </c>
      <c r="L658" s="399">
        <f t="shared" si="370"/>
        <v>2880</v>
      </c>
      <c r="M658" s="399">
        <f t="shared" si="371"/>
        <v>3168</v>
      </c>
      <c r="N658" s="18" t="s">
        <v>20</v>
      </c>
      <c r="O658" s="433"/>
      <c r="Q658" s="18" t="s">
        <v>5903</v>
      </c>
      <c r="R658" s="18" t="s">
        <v>5902</v>
      </c>
      <c r="S658" s="375"/>
    </row>
    <row r="659" spans="1:19" ht="21.75" customHeight="1" x14ac:dyDescent="0.4">
      <c r="A659" s="258">
        <v>46010</v>
      </c>
      <c r="B659" s="325" t="s">
        <v>5308</v>
      </c>
      <c r="C659" s="32" t="s">
        <v>2557</v>
      </c>
      <c r="D659" s="258" t="s">
        <v>17</v>
      </c>
      <c r="E659" s="258" t="s">
        <v>426</v>
      </c>
      <c r="F659" s="18" t="s">
        <v>994</v>
      </c>
      <c r="G659" s="433" t="s">
        <v>5904</v>
      </c>
      <c r="H659" s="399">
        <v>1800</v>
      </c>
      <c r="I659" s="399">
        <v>-180</v>
      </c>
      <c r="J659" s="350">
        <f t="shared" si="366"/>
        <v>1620</v>
      </c>
      <c r="K659" s="18">
        <v>1</v>
      </c>
      <c r="L659" s="350">
        <f t="shared" si="367"/>
        <v>1620</v>
      </c>
      <c r="M659" s="356">
        <f t="shared" si="368"/>
        <v>1782</v>
      </c>
      <c r="N659" s="18" t="s">
        <v>1516</v>
      </c>
      <c r="O659" s="433"/>
      <c r="Q659" s="18" t="s">
        <v>2594</v>
      </c>
      <c r="R659" s="18" t="s">
        <v>2594</v>
      </c>
    </row>
    <row r="660" spans="1:19" ht="21.75" customHeight="1" x14ac:dyDescent="0.4">
      <c r="A660" s="258">
        <v>46011</v>
      </c>
      <c r="B660" s="325" t="s">
        <v>5905</v>
      </c>
      <c r="C660" s="32" t="s">
        <v>405</v>
      </c>
      <c r="D660" s="258" t="s">
        <v>22</v>
      </c>
      <c r="E660" s="258" t="s">
        <v>260</v>
      </c>
      <c r="F660" s="258"/>
      <c r="G660" s="63" t="s">
        <v>1502</v>
      </c>
      <c r="H660" s="399">
        <v>10000</v>
      </c>
      <c r="I660" s="258"/>
      <c r="J660" s="350">
        <f t="shared" si="366"/>
        <v>10000</v>
      </c>
      <c r="K660" s="18">
        <v>1</v>
      </c>
      <c r="L660" s="350">
        <f t="shared" si="367"/>
        <v>10000</v>
      </c>
      <c r="M660" s="356">
        <f t="shared" si="368"/>
        <v>11000</v>
      </c>
      <c r="N660" s="18" t="s">
        <v>1516</v>
      </c>
      <c r="O660" s="439" t="s">
        <v>5906</v>
      </c>
      <c r="P660" s="18" t="s">
        <v>2594</v>
      </c>
      <c r="Q660" s="18" t="s">
        <v>2594</v>
      </c>
      <c r="R660" s="18" t="s">
        <v>2594</v>
      </c>
    </row>
    <row r="661" spans="1:19" ht="21.75" customHeight="1" x14ac:dyDescent="0.4">
      <c r="A661" s="258">
        <v>46011</v>
      </c>
      <c r="B661" s="325" t="s">
        <v>4399</v>
      </c>
      <c r="C661" s="32" t="s">
        <v>405</v>
      </c>
      <c r="D661" s="96" t="s">
        <v>198</v>
      </c>
      <c r="E661" s="18"/>
      <c r="F661" s="18"/>
      <c r="G661" s="63" t="s">
        <v>2491</v>
      </c>
      <c r="H661" s="350">
        <v>-10000</v>
      </c>
      <c r="I661" s="353"/>
      <c r="J661" s="350">
        <f t="shared" ref="J661" si="372">SUM(H661:I661)</f>
        <v>-10000</v>
      </c>
      <c r="K661" s="18">
        <v>1</v>
      </c>
      <c r="L661" s="350">
        <f t="shared" ref="L661" si="373">SUM(J661*K661)</f>
        <v>-10000</v>
      </c>
      <c r="M661" s="358">
        <f t="shared" ref="M661" si="374">ROUNDDOWN(L661*1.1,0)</f>
        <v>-11000</v>
      </c>
      <c r="N661" s="18" t="s">
        <v>1516</v>
      </c>
      <c r="O661" s="439"/>
      <c r="Q661" s="18" t="s">
        <v>2594</v>
      </c>
      <c r="R661" s="18" t="s">
        <v>2594</v>
      </c>
      <c r="S661" s="375"/>
    </row>
    <row r="662" spans="1:19" ht="21.75" customHeight="1" x14ac:dyDescent="0.4">
      <c r="A662" s="258">
        <v>46011</v>
      </c>
      <c r="B662" s="325" t="s">
        <v>5905</v>
      </c>
      <c r="C662" s="32" t="s">
        <v>405</v>
      </c>
      <c r="D662" s="258" t="s">
        <v>5907</v>
      </c>
      <c r="E662" s="258" t="s">
        <v>328</v>
      </c>
      <c r="F662" s="258" t="s">
        <v>5908</v>
      </c>
      <c r="G662" s="433" t="s">
        <v>5909</v>
      </c>
      <c r="H662" s="399">
        <v>66000</v>
      </c>
      <c r="I662" s="399">
        <v>-9900</v>
      </c>
      <c r="J662" s="350">
        <f t="shared" si="366"/>
        <v>56100</v>
      </c>
      <c r="K662" s="18">
        <v>1</v>
      </c>
      <c r="L662" s="350">
        <f t="shared" si="367"/>
        <v>56100</v>
      </c>
      <c r="M662" s="356">
        <f t="shared" si="368"/>
        <v>61710</v>
      </c>
      <c r="N662" s="32" t="s">
        <v>405</v>
      </c>
      <c r="O662" s="439"/>
      <c r="P662" s="18" t="s">
        <v>2594</v>
      </c>
      <c r="Q662" s="18" t="s">
        <v>2594</v>
      </c>
      <c r="R662" s="18" t="s">
        <v>2594</v>
      </c>
    </row>
    <row r="663" spans="1:19" ht="21.75" customHeight="1" x14ac:dyDescent="0.4">
      <c r="A663" s="258">
        <v>46012</v>
      </c>
      <c r="B663" s="325" t="s">
        <v>5910</v>
      </c>
      <c r="C663" s="32" t="s">
        <v>2557</v>
      </c>
      <c r="D663" s="18" t="s">
        <v>5109</v>
      </c>
      <c r="E663" s="18" t="s">
        <v>4409</v>
      </c>
      <c r="F663" s="18"/>
      <c r="G663" s="63" t="s">
        <v>5911</v>
      </c>
      <c r="H663" s="399">
        <v>17500</v>
      </c>
      <c r="I663" s="258"/>
      <c r="J663" s="350">
        <f t="shared" si="366"/>
        <v>17500</v>
      </c>
      <c r="K663" s="18">
        <v>1</v>
      </c>
      <c r="L663" s="350">
        <f t="shared" si="367"/>
        <v>17500</v>
      </c>
      <c r="M663" s="356">
        <f t="shared" si="368"/>
        <v>19250</v>
      </c>
      <c r="N663" s="18" t="s">
        <v>1516</v>
      </c>
      <c r="O663" s="439" t="s">
        <v>5887</v>
      </c>
      <c r="Q663" s="18" t="s">
        <v>4798</v>
      </c>
      <c r="R663" s="18" t="s">
        <v>5912</v>
      </c>
    </row>
    <row r="664" spans="1:19" ht="21.75" customHeight="1" x14ac:dyDescent="0.4">
      <c r="A664" s="258">
        <v>46012</v>
      </c>
      <c r="B664" s="325" t="s">
        <v>5913</v>
      </c>
      <c r="C664" s="32" t="s">
        <v>405</v>
      </c>
      <c r="D664" s="18" t="s">
        <v>22</v>
      </c>
      <c r="E664" s="18" t="s">
        <v>260</v>
      </c>
      <c r="F664" s="258"/>
      <c r="G664" s="63" t="s">
        <v>1502</v>
      </c>
      <c r="H664" s="399">
        <v>15000</v>
      </c>
      <c r="I664" s="258"/>
      <c r="J664" s="350">
        <f t="shared" si="366"/>
        <v>15000</v>
      </c>
      <c r="K664" s="18">
        <v>1</v>
      </c>
      <c r="L664" s="350">
        <f t="shared" si="367"/>
        <v>15000</v>
      </c>
      <c r="M664" s="356">
        <f t="shared" si="368"/>
        <v>16500</v>
      </c>
      <c r="N664" s="18" t="s">
        <v>1516</v>
      </c>
      <c r="O664" s="433"/>
      <c r="P664" s="18" t="s">
        <v>2595</v>
      </c>
      <c r="Q664" s="18" t="s">
        <v>5914</v>
      </c>
      <c r="R664" s="18" t="s">
        <v>4798</v>
      </c>
    </row>
    <row r="665" spans="1:19" ht="21.75" customHeight="1" x14ac:dyDescent="0.4">
      <c r="A665" s="258">
        <v>46012</v>
      </c>
      <c r="B665" s="325" t="s">
        <v>5918</v>
      </c>
      <c r="C665" s="32" t="s">
        <v>405</v>
      </c>
      <c r="D665" s="18" t="s">
        <v>22</v>
      </c>
      <c r="E665" s="18" t="s">
        <v>260</v>
      </c>
      <c r="F665" s="258"/>
      <c r="G665" s="63" t="s">
        <v>1502</v>
      </c>
      <c r="H665" s="399">
        <v>10000</v>
      </c>
      <c r="I665" s="258"/>
      <c r="J665" s="350">
        <f t="shared" si="366"/>
        <v>10000</v>
      </c>
      <c r="K665" s="18">
        <v>1</v>
      </c>
      <c r="L665" s="350">
        <f t="shared" si="367"/>
        <v>10000</v>
      </c>
      <c r="M665" s="356">
        <f t="shared" si="368"/>
        <v>11000</v>
      </c>
      <c r="N665" s="18" t="s">
        <v>20</v>
      </c>
      <c r="O665" s="433"/>
      <c r="Q665" s="18" t="s">
        <v>5929</v>
      </c>
      <c r="R665" s="18" t="s">
        <v>5930</v>
      </c>
    </row>
    <row r="666" spans="1:19" ht="21.75" customHeight="1" x14ac:dyDescent="0.4">
      <c r="A666" s="258">
        <v>46013</v>
      </c>
      <c r="B666" s="325" t="s">
        <v>5915</v>
      </c>
      <c r="C666" s="32" t="s">
        <v>5916</v>
      </c>
      <c r="D666" s="258" t="s">
        <v>5917</v>
      </c>
      <c r="E666" s="18" t="s">
        <v>1496</v>
      </c>
      <c r="F666" s="18"/>
      <c r="G666" s="63" t="s">
        <v>4869</v>
      </c>
      <c r="H666" s="399">
        <v>2000</v>
      </c>
      <c r="I666" s="353"/>
      <c r="J666" s="399">
        <f t="shared" si="366"/>
        <v>2000</v>
      </c>
      <c r="K666" s="18">
        <v>2</v>
      </c>
      <c r="L666" s="399">
        <f t="shared" si="367"/>
        <v>4000</v>
      </c>
      <c r="M666" s="399">
        <f t="shared" si="368"/>
        <v>4400</v>
      </c>
      <c r="N666" s="18" t="s">
        <v>20</v>
      </c>
      <c r="O666" s="433"/>
      <c r="P666" s="18" t="s">
        <v>5449</v>
      </c>
      <c r="Q666" s="18" t="s">
        <v>5449</v>
      </c>
      <c r="R666" s="18" t="s">
        <v>5449</v>
      </c>
    </row>
    <row r="667" spans="1:19" ht="21.75" customHeight="1" x14ac:dyDescent="0.4">
      <c r="A667" s="258">
        <v>46013</v>
      </c>
      <c r="B667" s="325" t="s">
        <v>5069</v>
      </c>
      <c r="C667" s="32" t="s">
        <v>5916</v>
      </c>
      <c r="D667" s="258" t="s">
        <v>5917</v>
      </c>
      <c r="E667" s="18" t="s">
        <v>1496</v>
      </c>
      <c r="F667" s="18"/>
      <c r="G667" s="63" t="s">
        <v>4869</v>
      </c>
      <c r="H667" s="399">
        <v>2000</v>
      </c>
      <c r="I667" s="353"/>
      <c r="J667" s="399">
        <f t="shared" si="366"/>
        <v>2000</v>
      </c>
      <c r="K667" s="18">
        <v>1</v>
      </c>
      <c r="L667" s="399">
        <f t="shared" si="367"/>
        <v>2000</v>
      </c>
      <c r="M667" s="399">
        <f t="shared" si="368"/>
        <v>2200</v>
      </c>
      <c r="N667" s="18" t="s">
        <v>1516</v>
      </c>
      <c r="O667" s="433"/>
      <c r="P667" s="18" t="s">
        <v>5449</v>
      </c>
      <c r="Q667" s="18" t="s">
        <v>5449</v>
      </c>
      <c r="R667" s="18" t="s">
        <v>5449</v>
      </c>
    </row>
    <row r="668" spans="1:19" ht="21.75" customHeight="1" x14ac:dyDescent="0.4">
      <c r="A668" s="258">
        <v>46013</v>
      </c>
      <c r="B668" s="32" t="s">
        <v>1861</v>
      </c>
      <c r="C668" s="32" t="s">
        <v>5667</v>
      </c>
      <c r="D668" s="18" t="s">
        <v>22</v>
      </c>
      <c r="E668" s="18" t="s">
        <v>1496</v>
      </c>
      <c r="F668" s="18"/>
      <c r="G668" s="63" t="s">
        <v>4869</v>
      </c>
      <c r="H668" s="350">
        <v>2000</v>
      </c>
      <c r="I668" s="399"/>
      <c r="J668" s="350">
        <f t="shared" si="366"/>
        <v>2000</v>
      </c>
      <c r="K668" s="18">
        <v>1</v>
      </c>
      <c r="L668" s="350">
        <f t="shared" si="367"/>
        <v>2000</v>
      </c>
      <c r="M668" s="356">
        <f t="shared" si="368"/>
        <v>2200</v>
      </c>
      <c r="N668" s="18" t="s">
        <v>1516</v>
      </c>
      <c r="O668" s="439"/>
      <c r="P668" s="18" t="s">
        <v>5449</v>
      </c>
      <c r="Q668" s="18" t="s">
        <v>5449</v>
      </c>
      <c r="R668" s="18" t="s">
        <v>5449</v>
      </c>
    </row>
    <row r="669" spans="1:19" ht="21.75" customHeight="1" x14ac:dyDescent="0.4">
      <c r="A669" s="258">
        <v>46013</v>
      </c>
      <c r="B669" s="325" t="s">
        <v>5919</v>
      </c>
      <c r="C669" s="32" t="s">
        <v>405</v>
      </c>
      <c r="D669" s="18" t="s">
        <v>22</v>
      </c>
      <c r="E669" s="18" t="s">
        <v>260</v>
      </c>
      <c r="F669" s="258"/>
      <c r="G669" s="63" t="s">
        <v>1502</v>
      </c>
      <c r="H669" s="399">
        <v>15000</v>
      </c>
      <c r="I669" s="258"/>
      <c r="J669" s="350">
        <f t="shared" ref="J669" si="375">SUM(H669:I669)</f>
        <v>15000</v>
      </c>
      <c r="K669" s="18">
        <v>1</v>
      </c>
      <c r="L669" s="350">
        <f t="shared" ref="L669" si="376">SUM(J669*K669)</f>
        <v>15000</v>
      </c>
      <c r="M669" s="356">
        <f t="shared" ref="M669" si="377">ROUNDDOWN(L669*1.1,0)</f>
        <v>16500</v>
      </c>
      <c r="N669" s="18" t="s">
        <v>1516</v>
      </c>
      <c r="O669" s="433"/>
      <c r="P669" s="18" t="s">
        <v>2595</v>
      </c>
      <c r="Q669" s="18" t="s">
        <v>2595</v>
      </c>
      <c r="R669" s="18" t="s">
        <v>4803</v>
      </c>
    </row>
    <row r="670" spans="1:19" ht="21.75" customHeight="1" x14ac:dyDescent="0.4">
      <c r="A670" s="258">
        <v>46013</v>
      </c>
      <c r="B670" s="325" t="s">
        <v>5919</v>
      </c>
      <c r="C670" s="32" t="s">
        <v>405</v>
      </c>
      <c r="D670" s="258" t="s">
        <v>17</v>
      </c>
      <c r="E670" s="258" t="s">
        <v>328</v>
      </c>
      <c r="F670" s="374" t="s">
        <v>3960</v>
      </c>
      <c r="G670" s="433" t="s">
        <v>5922</v>
      </c>
      <c r="H670" s="399">
        <v>40000</v>
      </c>
      <c r="I670" s="399">
        <v>-8000</v>
      </c>
      <c r="J670" s="350">
        <f t="shared" si="366"/>
        <v>32000</v>
      </c>
      <c r="K670" s="18">
        <v>1</v>
      </c>
      <c r="L670" s="350">
        <f t="shared" si="367"/>
        <v>32000</v>
      </c>
      <c r="M670" s="356">
        <f t="shared" si="368"/>
        <v>35200</v>
      </c>
      <c r="N670" s="18" t="s">
        <v>1121</v>
      </c>
      <c r="O670" s="433"/>
      <c r="P670" s="18" t="s">
        <v>2595</v>
      </c>
      <c r="Q670" s="18" t="s">
        <v>2595</v>
      </c>
      <c r="R670" s="18" t="s">
        <v>4803</v>
      </c>
    </row>
    <row r="671" spans="1:19" ht="21.75" customHeight="1" x14ac:dyDescent="0.4">
      <c r="A671" s="258">
        <v>46013</v>
      </c>
      <c r="B671" s="325" t="s">
        <v>5919</v>
      </c>
      <c r="C671" s="32" t="s">
        <v>405</v>
      </c>
      <c r="D671" s="258" t="s">
        <v>17</v>
      </c>
      <c r="E671" s="18" t="s">
        <v>332</v>
      </c>
      <c r="F671" s="18" t="s">
        <v>3555</v>
      </c>
      <c r="G671" s="433" t="s">
        <v>5923</v>
      </c>
      <c r="H671" s="399">
        <v>1300</v>
      </c>
      <c r="I671" s="258"/>
      <c r="J671" s="350">
        <f t="shared" si="366"/>
        <v>1300</v>
      </c>
      <c r="K671" s="18">
        <v>1</v>
      </c>
      <c r="L671" s="350">
        <f t="shared" si="367"/>
        <v>1300</v>
      </c>
      <c r="M671" s="356">
        <f t="shared" si="368"/>
        <v>1430</v>
      </c>
      <c r="N671" s="18" t="s">
        <v>1121</v>
      </c>
      <c r="O671" s="433"/>
      <c r="P671" s="18" t="s">
        <v>2595</v>
      </c>
      <c r="Q671" s="18" t="s">
        <v>2595</v>
      </c>
      <c r="R671" s="18" t="s">
        <v>4803</v>
      </c>
    </row>
    <row r="672" spans="1:19" ht="21.75" customHeight="1" x14ac:dyDescent="0.4">
      <c r="A672" s="258">
        <v>46013</v>
      </c>
      <c r="B672" s="325" t="s">
        <v>5919</v>
      </c>
      <c r="C672" s="32" t="s">
        <v>405</v>
      </c>
      <c r="D672" s="258" t="s">
        <v>17</v>
      </c>
      <c r="E672" s="258" t="s">
        <v>330</v>
      </c>
      <c r="F672" s="258" t="s">
        <v>5921</v>
      </c>
      <c r="G672" s="433"/>
      <c r="H672" s="399">
        <v>3000</v>
      </c>
      <c r="I672" s="258"/>
      <c r="J672" s="350">
        <f t="shared" si="366"/>
        <v>3000</v>
      </c>
      <c r="K672" s="18">
        <v>1</v>
      </c>
      <c r="L672" s="350">
        <f t="shared" si="367"/>
        <v>3000</v>
      </c>
      <c r="M672" s="356">
        <f t="shared" si="368"/>
        <v>3300</v>
      </c>
      <c r="N672" s="18" t="s">
        <v>1121</v>
      </c>
      <c r="O672" s="433"/>
      <c r="P672" s="18" t="s">
        <v>2595</v>
      </c>
      <c r="Q672" s="18" t="s">
        <v>2595</v>
      </c>
      <c r="R672" s="18" t="s">
        <v>4803</v>
      </c>
    </row>
    <row r="673" spans="1:19" ht="21.75" customHeight="1" x14ac:dyDescent="0.4">
      <c r="A673" s="258">
        <v>46013</v>
      </c>
      <c r="B673" s="325" t="s">
        <v>5884</v>
      </c>
      <c r="C673" s="32" t="s">
        <v>405</v>
      </c>
      <c r="D673" s="258" t="s">
        <v>17</v>
      </c>
      <c r="E673" s="258" t="s">
        <v>328</v>
      </c>
      <c r="F673" s="258" t="s">
        <v>788</v>
      </c>
      <c r="G673" s="433" t="s">
        <v>5924</v>
      </c>
      <c r="H673" s="399">
        <v>55000</v>
      </c>
      <c r="I673" s="399">
        <v>-11000</v>
      </c>
      <c r="J673" s="350">
        <f t="shared" si="366"/>
        <v>44000</v>
      </c>
      <c r="K673" s="18">
        <v>1</v>
      </c>
      <c r="L673" s="350">
        <f t="shared" si="367"/>
        <v>44000</v>
      </c>
      <c r="M673" s="356">
        <f t="shared" si="368"/>
        <v>48400</v>
      </c>
      <c r="N673" s="18" t="s">
        <v>1121</v>
      </c>
      <c r="O673" s="433"/>
      <c r="P673" s="18" t="s">
        <v>2595</v>
      </c>
      <c r="Q673" s="18" t="s">
        <v>2595</v>
      </c>
      <c r="R673" s="18" t="s">
        <v>4803</v>
      </c>
    </row>
    <row r="674" spans="1:19" ht="21.75" customHeight="1" x14ac:dyDescent="0.4">
      <c r="A674" s="258">
        <v>46013</v>
      </c>
      <c r="B674" s="325" t="s">
        <v>5883</v>
      </c>
      <c r="C674" s="32" t="s">
        <v>405</v>
      </c>
      <c r="D674" s="258" t="s">
        <v>17</v>
      </c>
      <c r="E674" s="258" t="s">
        <v>328</v>
      </c>
      <c r="F674" s="258" t="s">
        <v>5925</v>
      </c>
      <c r="G674" s="433" t="s">
        <v>5926</v>
      </c>
      <c r="H674" s="399">
        <v>40000</v>
      </c>
      <c r="I674" s="399">
        <v>-8000</v>
      </c>
      <c r="J674" s="350">
        <f t="shared" si="366"/>
        <v>32000</v>
      </c>
      <c r="K674" s="18">
        <v>1</v>
      </c>
      <c r="L674" s="350">
        <f t="shared" si="367"/>
        <v>32000</v>
      </c>
      <c r="M674" s="356">
        <f t="shared" si="368"/>
        <v>35200</v>
      </c>
      <c r="N674" s="18" t="s">
        <v>1121</v>
      </c>
      <c r="O674" s="433"/>
      <c r="P674" s="18" t="s">
        <v>2595</v>
      </c>
      <c r="Q674" s="18" t="s">
        <v>2595</v>
      </c>
      <c r="R674" s="18" t="s">
        <v>4803</v>
      </c>
    </row>
    <row r="675" spans="1:19" ht="21.75" customHeight="1" x14ac:dyDescent="0.4">
      <c r="A675" s="258">
        <v>46013</v>
      </c>
      <c r="B675" s="325" t="s">
        <v>5883</v>
      </c>
      <c r="C675" s="32" t="s">
        <v>405</v>
      </c>
      <c r="D675" s="258" t="s">
        <v>17</v>
      </c>
      <c r="E675" s="18" t="s">
        <v>332</v>
      </c>
      <c r="F675" s="18" t="s">
        <v>3555</v>
      </c>
      <c r="G675" s="7" t="s">
        <v>6199</v>
      </c>
      <c r="H675" s="399">
        <v>1300</v>
      </c>
      <c r="I675" s="258"/>
      <c r="J675" s="350">
        <f t="shared" si="366"/>
        <v>1300</v>
      </c>
      <c r="K675" s="18">
        <v>1</v>
      </c>
      <c r="L675" s="350">
        <f t="shared" si="367"/>
        <v>1300</v>
      </c>
      <c r="M675" s="356">
        <f t="shared" si="368"/>
        <v>1430</v>
      </c>
      <c r="N675" s="18" t="s">
        <v>1121</v>
      </c>
      <c r="O675" s="433"/>
      <c r="P675" s="18" t="s">
        <v>2595</v>
      </c>
      <c r="Q675" s="18" t="s">
        <v>2595</v>
      </c>
      <c r="R675" s="18" t="s">
        <v>4803</v>
      </c>
    </row>
    <row r="676" spans="1:19" ht="21.75" customHeight="1" x14ac:dyDescent="0.4">
      <c r="A676" s="258">
        <v>46013</v>
      </c>
      <c r="B676" s="325" t="s">
        <v>5920</v>
      </c>
      <c r="C676" s="32" t="s">
        <v>405</v>
      </c>
      <c r="D676" s="258" t="s">
        <v>17</v>
      </c>
      <c r="E676" s="258" t="s">
        <v>328</v>
      </c>
      <c r="F676" s="258" t="s">
        <v>788</v>
      </c>
      <c r="G676" s="433" t="s">
        <v>5927</v>
      </c>
      <c r="H676" s="399">
        <v>55000</v>
      </c>
      <c r="I676" s="399">
        <v>-11000</v>
      </c>
      <c r="J676" s="350">
        <f t="shared" si="366"/>
        <v>44000</v>
      </c>
      <c r="K676" s="18">
        <v>1</v>
      </c>
      <c r="L676" s="350">
        <f t="shared" si="367"/>
        <v>44000</v>
      </c>
      <c r="M676" s="356">
        <f t="shared" si="368"/>
        <v>48400</v>
      </c>
      <c r="N676" s="18" t="s">
        <v>1121</v>
      </c>
      <c r="O676" s="447" t="s">
        <v>5928</v>
      </c>
      <c r="P676" s="18" t="s">
        <v>2595</v>
      </c>
      <c r="Q676" s="18" t="s">
        <v>2595</v>
      </c>
      <c r="R676" s="18" t="s">
        <v>4803</v>
      </c>
    </row>
    <row r="677" spans="1:19" ht="21.75" customHeight="1" x14ac:dyDescent="0.4">
      <c r="A677" s="258">
        <v>46014</v>
      </c>
      <c r="B677" s="325" t="s">
        <v>5628</v>
      </c>
      <c r="C677" s="32" t="s">
        <v>2557</v>
      </c>
      <c r="D677" s="18" t="s">
        <v>5109</v>
      </c>
      <c r="E677" s="18" t="s">
        <v>4409</v>
      </c>
      <c r="F677" s="18"/>
      <c r="G677" s="63" t="s">
        <v>5036</v>
      </c>
      <c r="H677" s="399">
        <v>17500</v>
      </c>
      <c r="I677" s="258"/>
      <c r="J677" s="350">
        <f t="shared" si="366"/>
        <v>17500</v>
      </c>
      <c r="K677" s="18">
        <v>1</v>
      </c>
      <c r="L677" s="350">
        <f t="shared" si="367"/>
        <v>17500</v>
      </c>
      <c r="M677" s="356">
        <f t="shared" si="368"/>
        <v>19250</v>
      </c>
      <c r="N677" s="18" t="s">
        <v>1516</v>
      </c>
      <c r="O677" s="439" t="s">
        <v>5847</v>
      </c>
      <c r="Q677" s="18" t="s">
        <v>4803</v>
      </c>
      <c r="R677" s="18" t="s">
        <v>4803</v>
      </c>
      <c r="S677" s="375"/>
    </row>
    <row r="678" spans="1:19" ht="21.75" customHeight="1" x14ac:dyDescent="0.4">
      <c r="A678" s="258">
        <v>46014</v>
      </c>
      <c r="B678" s="325" t="s">
        <v>139</v>
      </c>
      <c r="C678" s="32" t="s">
        <v>5932</v>
      </c>
      <c r="D678" s="258" t="s">
        <v>17</v>
      </c>
      <c r="E678" s="258" t="s">
        <v>292</v>
      </c>
      <c r="F678" s="18" t="s">
        <v>3642</v>
      </c>
      <c r="G678" s="63" t="s">
        <v>1431</v>
      </c>
      <c r="H678" s="399">
        <v>5800</v>
      </c>
      <c r="I678" s="399">
        <v>-580</v>
      </c>
      <c r="J678" s="350">
        <f t="shared" si="366"/>
        <v>5220</v>
      </c>
      <c r="K678" s="18">
        <v>1</v>
      </c>
      <c r="L678" s="350">
        <f t="shared" si="367"/>
        <v>5220</v>
      </c>
      <c r="M678" s="356">
        <f t="shared" si="368"/>
        <v>5742</v>
      </c>
      <c r="N678" s="18" t="s">
        <v>1516</v>
      </c>
      <c r="O678" s="433"/>
      <c r="Q678" s="18" t="s">
        <v>4803</v>
      </c>
      <c r="R678" s="18" t="s">
        <v>4803</v>
      </c>
    </row>
    <row r="679" spans="1:19" ht="21.75" customHeight="1" x14ac:dyDescent="0.4">
      <c r="A679" s="258">
        <v>46014</v>
      </c>
      <c r="B679" s="325" t="s">
        <v>139</v>
      </c>
      <c r="C679" s="32" t="s">
        <v>5932</v>
      </c>
      <c r="D679" s="258" t="s">
        <v>17</v>
      </c>
      <c r="E679" s="258" t="s">
        <v>292</v>
      </c>
      <c r="F679" s="18" t="s">
        <v>3642</v>
      </c>
      <c r="G679" s="63" t="s">
        <v>5931</v>
      </c>
      <c r="H679" s="399">
        <v>5800</v>
      </c>
      <c r="I679" s="399">
        <v>-580</v>
      </c>
      <c r="J679" s="350">
        <f t="shared" si="366"/>
        <v>5220</v>
      </c>
      <c r="K679" s="18">
        <v>1</v>
      </c>
      <c r="L679" s="350">
        <f t="shared" si="367"/>
        <v>5220</v>
      </c>
      <c r="M679" s="356">
        <f t="shared" si="368"/>
        <v>5742</v>
      </c>
      <c r="N679" s="18" t="s">
        <v>1516</v>
      </c>
      <c r="O679" s="433"/>
      <c r="Q679" s="18" t="s">
        <v>4803</v>
      </c>
      <c r="R679" s="18" t="s">
        <v>4803</v>
      </c>
      <c r="S679" s="375"/>
    </row>
    <row r="680" spans="1:19" ht="21.75" customHeight="1" x14ac:dyDescent="0.4">
      <c r="A680" s="258">
        <v>46015</v>
      </c>
      <c r="B680" s="325" t="s">
        <v>5933</v>
      </c>
      <c r="C680" s="32" t="s">
        <v>5934</v>
      </c>
      <c r="D680" s="258" t="s">
        <v>17</v>
      </c>
      <c r="E680" s="258" t="s">
        <v>426</v>
      </c>
      <c r="F680" s="18" t="s">
        <v>994</v>
      </c>
      <c r="G680" s="433" t="s">
        <v>5904</v>
      </c>
      <c r="H680" s="399">
        <v>1800</v>
      </c>
      <c r="I680" s="399">
        <v>-180</v>
      </c>
      <c r="J680" s="350">
        <f t="shared" si="366"/>
        <v>1620</v>
      </c>
      <c r="K680" s="18">
        <v>1</v>
      </c>
      <c r="L680" s="350">
        <f t="shared" si="367"/>
        <v>1620</v>
      </c>
      <c r="M680" s="356">
        <f t="shared" si="368"/>
        <v>1782</v>
      </c>
      <c r="N680" s="18" t="s">
        <v>1516</v>
      </c>
      <c r="O680" s="433"/>
      <c r="Q680" s="18" t="s">
        <v>5935</v>
      </c>
      <c r="R680" s="18" t="s">
        <v>5935</v>
      </c>
    </row>
    <row r="681" spans="1:19" ht="21.75" customHeight="1" x14ac:dyDescent="0.4">
      <c r="A681" s="258">
        <v>46015</v>
      </c>
      <c r="B681" s="325" t="s">
        <v>5937</v>
      </c>
      <c r="C681" s="32" t="s">
        <v>2557</v>
      </c>
      <c r="D681" s="258" t="s">
        <v>17</v>
      </c>
      <c r="E681" s="258" t="s">
        <v>426</v>
      </c>
      <c r="F681" s="18" t="s">
        <v>994</v>
      </c>
      <c r="G681" s="433" t="s">
        <v>5936</v>
      </c>
      <c r="H681" s="399">
        <v>1800</v>
      </c>
      <c r="I681" s="399">
        <v>-180</v>
      </c>
      <c r="J681" s="350">
        <f t="shared" si="366"/>
        <v>1620</v>
      </c>
      <c r="K681" s="18">
        <v>1</v>
      </c>
      <c r="L681" s="350">
        <f t="shared" si="367"/>
        <v>1620</v>
      </c>
      <c r="M681" s="356">
        <f t="shared" si="368"/>
        <v>1782</v>
      </c>
      <c r="N681" s="258" t="s">
        <v>20</v>
      </c>
      <c r="O681" s="433"/>
      <c r="Q681" s="18" t="s">
        <v>2594</v>
      </c>
      <c r="R681" s="18" t="s">
        <v>2594</v>
      </c>
    </row>
    <row r="682" spans="1:19" ht="21.75" customHeight="1" x14ac:dyDescent="0.4">
      <c r="A682" s="258">
        <v>46015</v>
      </c>
      <c r="B682" s="325" t="s">
        <v>5023</v>
      </c>
      <c r="C682" s="32" t="s">
        <v>5667</v>
      </c>
      <c r="D682" s="18" t="s">
        <v>22</v>
      </c>
      <c r="E682" s="18" t="s">
        <v>1496</v>
      </c>
      <c r="F682" s="18"/>
      <c r="G682" s="63" t="s">
        <v>4869</v>
      </c>
      <c r="H682" s="399">
        <v>2000</v>
      </c>
      <c r="I682" s="353"/>
      <c r="J682" s="399">
        <f t="shared" si="366"/>
        <v>2000</v>
      </c>
      <c r="K682" s="18">
        <v>1</v>
      </c>
      <c r="L682" s="399">
        <f t="shared" si="367"/>
        <v>2000</v>
      </c>
      <c r="M682" s="399">
        <f t="shared" si="368"/>
        <v>2200</v>
      </c>
      <c r="N682" s="18" t="s">
        <v>20</v>
      </c>
      <c r="O682" s="433"/>
      <c r="P682" s="18" t="s">
        <v>5449</v>
      </c>
      <c r="Q682" s="18" t="s">
        <v>5449</v>
      </c>
      <c r="R682" s="18" t="s">
        <v>5449</v>
      </c>
    </row>
    <row r="683" spans="1:19" ht="21.75" customHeight="1" x14ac:dyDescent="0.4">
      <c r="A683" s="258">
        <v>46015</v>
      </c>
      <c r="B683" s="325" t="s">
        <v>3424</v>
      </c>
      <c r="C683" s="32" t="s">
        <v>5667</v>
      </c>
      <c r="D683" s="258" t="s">
        <v>17</v>
      </c>
      <c r="E683" s="258" t="s">
        <v>328</v>
      </c>
      <c r="F683" s="258" t="s">
        <v>788</v>
      </c>
      <c r="G683" s="433" t="s">
        <v>5938</v>
      </c>
      <c r="H683" s="399">
        <v>50000</v>
      </c>
      <c r="I683" s="399">
        <v>-10000</v>
      </c>
      <c r="J683" s="350">
        <f t="shared" si="366"/>
        <v>40000</v>
      </c>
      <c r="K683" s="18">
        <v>1</v>
      </c>
      <c r="L683" s="350">
        <f t="shared" si="367"/>
        <v>40000</v>
      </c>
      <c r="M683" s="356">
        <f t="shared" si="368"/>
        <v>44000</v>
      </c>
      <c r="N683" s="18" t="s">
        <v>1516</v>
      </c>
      <c r="O683" s="433"/>
      <c r="Q683" s="18" t="s">
        <v>2594</v>
      </c>
      <c r="R683" s="18" t="s">
        <v>2594</v>
      </c>
    </row>
    <row r="684" spans="1:19" ht="21.75" customHeight="1" x14ac:dyDescent="0.4">
      <c r="A684" s="258">
        <v>46016</v>
      </c>
      <c r="B684" s="336" t="s">
        <v>5959</v>
      </c>
      <c r="C684" s="32" t="s">
        <v>2557</v>
      </c>
      <c r="D684" s="258" t="s">
        <v>17</v>
      </c>
      <c r="E684" s="258" t="s">
        <v>426</v>
      </c>
      <c r="F684" s="18" t="s">
        <v>994</v>
      </c>
      <c r="G684" s="433"/>
      <c r="H684" s="399">
        <v>1800</v>
      </c>
      <c r="I684" s="399">
        <v>-180</v>
      </c>
      <c r="J684" s="350">
        <f t="shared" si="366"/>
        <v>1620</v>
      </c>
      <c r="K684" s="18">
        <v>1</v>
      </c>
      <c r="L684" s="350">
        <f t="shared" si="367"/>
        <v>1620</v>
      </c>
      <c r="M684" s="356">
        <f t="shared" si="368"/>
        <v>1782</v>
      </c>
      <c r="N684" s="18" t="s">
        <v>20</v>
      </c>
      <c r="O684" s="433"/>
      <c r="Q684" s="18" t="s">
        <v>2595</v>
      </c>
      <c r="R684" s="18" t="s">
        <v>4803</v>
      </c>
    </row>
    <row r="685" spans="1:19" ht="21.75" customHeight="1" x14ac:dyDescent="0.4">
      <c r="A685" s="258">
        <v>46016</v>
      </c>
      <c r="B685" s="325" t="s">
        <v>5953</v>
      </c>
      <c r="C685" s="32" t="s">
        <v>405</v>
      </c>
      <c r="D685" s="18" t="s">
        <v>22</v>
      </c>
      <c r="E685" s="18" t="s">
        <v>1496</v>
      </c>
      <c r="F685" s="18"/>
      <c r="G685" s="63" t="s">
        <v>5376</v>
      </c>
      <c r="H685" s="350">
        <v>5000</v>
      </c>
      <c r="I685" s="353"/>
      <c r="J685" s="350">
        <f t="shared" si="366"/>
        <v>5000</v>
      </c>
      <c r="K685" s="18">
        <v>1</v>
      </c>
      <c r="L685" s="350">
        <f t="shared" si="367"/>
        <v>5000</v>
      </c>
      <c r="M685" s="356">
        <f t="shared" si="368"/>
        <v>5500</v>
      </c>
      <c r="N685" s="18" t="s">
        <v>20</v>
      </c>
      <c r="O685" s="433"/>
      <c r="Q685" s="18" t="s">
        <v>2595</v>
      </c>
      <c r="R685" s="18" t="s">
        <v>4803</v>
      </c>
    </row>
    <row r="686" spans="1:19" ht="21.75" customHeight="1" x14ac:dyDescent="0.4">
      <c r="A686" s="258">
        <v>46016</v>
      </c>
      <c r="B686" s="325" t="s">
        <v>5953</v>
      </c>
      <c r="C686" s="32" t="s">
        <v>405</v>
      </c>
      <c r="D686" s="258" t="s">
        <v>17</v>
      </c>
      <c r="E686" s="18" t="s">
        <v>332</v>
      </c>
      <c r="F686" s="18" t="s">
        <v>3553</v>
      </c>
      <c r="G686" s="433" t="s">
        <v>5954</v>
      </c>
      <c r="H686" s="399">
        <v>1500</v>
      </c>
      <c r="I686" s="399"/>
      <c r="J686" s="350">
        <f t="shared" ref="J686:J688" si="378">SUM(H686:I686)</f>
        <v>1500</v>
      </c>
      <c r="K686" s="18">
        <v>9</v>
      </c>
      <c r="L686" s="350">
        <f t="shared" ref="L686:L688" si="379">SUM(J686*K686)</f>
        <v>13500</v>
      </c>
      <c r="M686" s="356">
        <f t="shared" ref="M686:M688" si="380">ROUNDDOWN(L686*1.1,0)</f>
        <v>14850</v>
      </c>
      <c r="N686" s="18" t="s">
        <v>20</v>
      </c>
      <c r="O686" s="433"/>
      <c r="Q686" s="18" t="s">
        <v>2595</v>
      </c>
      <c r="R686" s="18" t="s">
        <v>4803</v>
      </c>
    </row>
    <row r="687" spans="1:19" ht="21.75" customHeight="1" x14ac:dyDescent="0.4">
      <c r="A687" s="258">
        <v>46016</v>
      </c>
      <c r="B687" s="325" t="s">
        <v>5953</v>
      </c>
      <c r="C687" s="32" t="s">
        <v>405</v>
      </c>
      <c r="D687" s="258" t="s">
        <v>17</v>
      </c>
      <c r="E687" s="258" t="s">
        <v>426</v>
      </c>
      <c r="F687" s="18" t="s">
        <v>994</v>
      </c>
      <c r="G687" s="433"/>
      <c r="H687" s="399">
        <v>1800</v>
      </c>
      <c r="I687" s="399"/>
      <c r="J687" s="350">
        <f t="shared" si="378"/>
        <v>1800</v>
      </c>
      <c r="K687" s="18">
        <v>2</v>
      </c>
      <c r="L687" s="350">
        <f t="shared" si="379"/>
        <v>3600</v>
      </c>
      <c r="M687" s="356">
        <f t="shared" si="380"/>
        <v>3960</v>
      </c>
      <c r="N687" s="18" t="s">
        <v>20</v>
      </c>
      <c r="O687" s="433"/>
      <c r="Q687" s="18" t="s">
        <v>2595</v>
      </c>
      <c r="R687" s="18" t="s">
        <v>4803</v>
      </c>
    </row>
    <row r="688" spans="1:19" ht="21.75" customHeight="1" x14ac:dyDescent="0.4">
      <c r="A688" s="258">
        <v>46017</v>
      </c>
      <c r="B688" s="325" t="s">
        <v>5955</v>
      </c>
      <c r="C688" s="32" t="s">
        <v>405</v>
      </c>
      <c r="D688" s="258" t="s">
        <v>17</v>
      </c>
      <c r="E688" s="18" t="s">
        <v>332</v>
      </c>
      <c r="F688" s="18" t="s">
        <v>3555</v>
      </c>
      <c r="G688" s="433" t="s">
        <v>5956</v>
      </c>
      <c r="H688" s="399">
        <v>2800</v>
      </c>
      <c r="I688" s="399">
        <v>-896</v>
      </c>
      <c r="J688" s="350">
        <f t="shared" si="378"/>
        <v>1904</v>
      </c>
      <c r="K688" s="18">
        <v>3</v>
      </c>
      <c r="L688" s="350">
        <f t="shared" si="379"/>
        <v>5712</v>
      </c>
      <c r="M688" s="356">
        <f t="shared" si="380"/>
        <v>6283</v>
      </c>
      <c r="N688" s="18" t="s">
        <v>1121</v>
      </c>
      <c r="O688" s="433"/>
      <c r="Q688" s="18" t="s">
        <v>2595</v>
      </c>
      <c r="R688" s="18" t="s">
        <v>4803</v>
      </c>
    </row>
    <row r="689" spans="1:27" ht="21.75" customHeight="1" x14ac:dyDescent="0.4">
      <c r="A689" s="258">
        <v>46017</v>
      </c>
      <c r="B689" s="325" t="s">
        <v>5939</v>
      </c>
      <c r="C689" s="32" t="s">
        <v>405</v>
      </c>
      <c r="D689" s="258" t="s">
        <v>17</v>
      </c>
      <c r="E689" s="258" t="s">
        <v>328</v>
      </c>
      <c r="F689" s="258" t="s">
        <v>788</v>
      </c>
      <c r="G689" s="433" t="s">
        <v>5958</v>
      </c>
      <c r="H689" s="399">
        <v>55000</v>
      </c>
      <c r="I689" s="399">
        <v>-11000</v>
      </c>
      <c r="J689" s="350">
        <f t="shared" si="366"/>
        <v>44000</v>
      </c>
      <c r="K689" s="18">
        <v>1</v>
      </c>
      <c r="L689" s="350">
        <f t="shared" si="367"/>
        <v>44000</v>
      </c>
      <c r="M689" s="356">
        <f t="shared" si="368"/>
        <v>48400</v>
      </c>
      <c r="N689" s="18" t="s">
        <v>20</v>
      </c>
      <c r="O689" s="433"/>
      <c r="Q689" s="18" t="s">
        <v>5940</v>
      </c>
      <c r="R689" s="18" t="s">
        <v>5941</v>
      </c>
    </row>
    <row r="690" spans="1:27" ht="21.75" customHeight="1" x14ac:dyDescent="0.4">
      <c r="A690" s="258">
        <v>46017</v>
      </c>
      <c r="B690" s="325" t="s">
        <v>5939</v>
      </c>
      <c r="C690" s="32" t="s">
        <v>405</v>
      </c>
      <c r="D690" s="258" t="s">
        <v>17</v>
      </c>
      <c r="E690" s="18" t="s">
        <v>332</v>
      </c>
      <c r="F690" s="18" t="s">
        <v>3555</v>
      </c>
      <c r="G690" s="433" t="s">
        <v>5923</v>
      </c>
      <c r="H690" s="399">
        <v>1300</v>
      </c>
      <c r="I690" s="399"/>
      <c r="J690" s="350">
        <f t="shared" si="366"/>
        <v>1300</v>
      </c>
      <c r="K690" s="18">
        <v>1</v>
      </c>
      <c r="L690" s="350">
        <f t="shared" si="367"/>
        <v>1300</v>
      </c>
      <c r="M690" s="356">
        <f t="shared" si="368"/>
        <v>1430</v>
      </c>
      <c r="N690" s="18" t="s">
        <v>20</v>
      </c>
      <c r="O690" s="433"/>
      <c r="Q690" s="18" t="s">
        <v>5940</v>
      </c>
      <c r="R690" s="18" t="s">
        <v>5941</v>
      </c>
    </row>
    <row r="691" spans="1:27" ht="21.75" customHeight="1" x14ac:dyDescent="0.4">
      <c r="A691" s="258">
        <v>46018</v>
      </c>
      <c r="B691" s="325" t="s">
        <v>4774</v>
      </c>
      <c r="C691" s="32" t="s">
        <v>5667</v>
      </c>
      <c r="D691" s="18" t="s">
        <v>5109</v>
      </c>
      <c r="E691" s="18" t="s">
        <v>4409</v>
      </c>
      <c r="F691" s="258"/>
      <c r="G691" s="63" t="s">
        <v>5036</v>
      </c>
      <c r="H691" s="399">
        <v>17500</v>
      </c>
      <c r="I691" s="399"/>
      <c r="J691" s="350">
        <f t="shared" si="366"/>
        <v>17500</v>
      </c>
      <c r="K691" s="18">
        <v>1</v>
      </c>
      <c r="L691" s="350">
        <f t="shared" si="367"/>
        <v>17500</v>
      </c>
      <c r="M691" s="356">
        <f t="shared" si="368"/>
        <v>19250</v>
      </c>
      <c r="N691" s="18" t="s">
        <v>20</v>
      </c>
      <c r="O691" s="439" t="s">
        <v>5887</v>
      </c>
      <c r="Q691" s="18" t="s">
        <v>2594</v>
      </c>
      <c r="R691" s="18" t="s">
        <v>2594</v>
      </c>
    </row>
    <row r="692" spans="1:27" ht="21.75" customHeight="1" x14ac:dyDescent="0.4">
      <c r="A692" s="258">
        <v>46018</v>
      </c>
      <c r="B692" s="325" t="s">
        <v>2088</v>
      </c>
      <c r="C692" s="32" t="s">
        <v>5942</v>
      </c>
      <c r="D692" s="258" t="s">
        <v>17</v>
      </c>
      <c r="E692" s="258" t="s">
        <v>332</v>
      </c>
      <c r="F692" s="18" t="s">
        <v>3555</v>
      </c>
      <c r="G692" s="425" t="s">
        <v>5943</v>
      </c>
      <c r="H692" s="399">
        <v>1700</v>
      </c>
      <c r="I692" s="399">
        <v>-170</v>
      </c>
      <c r="J692" s="350">
        <f t="shared" si="366"/>
        <v>1530</v>
      </c>
      <c r="K692" s="18">
        <v>3</v>
      </c>
      <c r="L692" s="350">
        <f t="shared" si="367"/>
        <v>4590</v>
      </c>
      <c r="M692" s="356">
        <f t="shared" si="368"/>
        <v>5049</v>
      </c>
      <c r="N692" s="18" t="s">
        <v>1516</v>
      </c>
      <c r="O692" s="433"/>
      <c r="P692" s="18" t="s">
        <v>2594</v>
      </c>
      <c r="Q692" s="18" t="s">
        <v>2595</v>
      </c>
      <c r="R692" s="18" t="s">
        <v>5449</v>
      </c>
    </row>
    <row r="693" spans="1:27" ht="21.75" customHeight="1" x14ac:dyDescent="0.4">
      <c r="A693" s="258">
        <v>46018</v>
      </c>
      <c r="B693" s="325" t="s">
        <v>2088</v>
      </c>
      <c r="C693" s="32" t="s">
        <v>5942</v>
      </c>
      <c r="D693" s="18" t="s">
        <v>22</v>
      </c>
      <c r="E693" s="18" t="s">
        <v>1496</v>
      </c>
      <c r="F693" s="18"/>
      <c r="G693" s="63" t="s">
        <v>4869</v>
      </c>
      <c r="H693" s="399">
        <v>2000</v>
      </c>
      <c r="I693" s="353"/>
      <c r="J693" s="399">
        <f t="shared" ref="J693" si="381">SUM(H693:I693)</f>
        <v>2000</v>
      </c>
      <c r="K693" s="18">
        <v>1</v>
      </c>
      <c r="L693" s="399">
        <f t="shared" ref="L693" si="382">SUM(J693*K693)</f>
        <v>2000</v>
      </c>
      <c r="M693" s="399">
        <f t="shared" ref="M693" si="383">ROUNDDOWN(L693*1.1,0)</f>
        <v>2200</v>
      </c>
      <c r="N693" s="18" t="s">
        <v>1516</v>
      </c>
      <c r="O693" s="433"/>
      <c r="P693" s="18" t="s">
        <v>5944</v>
      </c>
      <c r="Q693" s="18" t="s">
        <v>5945</v>
      </c>
      <c r="R693" s="18" t="s">
        <v>5944</v>
      </c>
    </row>
    <row r="694" spans="1:27" ht="21.75" customHeight="1" x14ac:dyDescent="0.4">
      <c r="A694" s="258">
        <v>46018</v>
      </c>
      <c r="B694" s="325" t="s">
        <v>5946</v>
      </c>
      <c r="C694" s="32" t="s">
        <v>5942</v>
      </c>
      <c r="D694" s="18" t="s">
        <v>22</v>
      </c>
      <c r="E694" s="18" t="s">
        <v>1496</v>
      </c>
      <c r="F694" s="18"/>
      <c r="G694" s="63" t="s">
        <v>4869</v>
      </c>
      <c r="H694" s="399">
        <v>2000</v>
      </c>
      <c r="I694" s="353"/>
      <c r="J694" s="399">
        <f t="shared" ref="J694" si="384">SUM(H694:I694)</f>
        <v>2000</v>
      </c>
      <c r="K694" s="18">
        <v>1</v>
      </c>
      <c r="L694" s="399">
        <f t="shared" ref="L694" si="385">SUM(J694*K694)</f>
        <v>2000</v>
      </c>
      <c r="M694" s="399">
        <f t="shared" ref="M694" si="386">ROUNDDOWN(L694*1.1,0)</f>
        <v>2200</v>
      </c>
      <c r="N694" s="18" t="s">
        <v>20</v>
      </c>
      <c r="O694" s="447" t="s">
        <v>5957</v>
      </c>
      <c r="P694" s="18" t="s">
        <v>5944</v>
      </c>
      <c r="Q694" s="18" t="s">
        <v>5945</v>
      </c>
      <c r="R694" s="18" t="s">
        <v>5944</v>
      </c>
    </row>
    <row r="695" spans="1:27" ht="21.75" customHeight="1" x14ac:dyDescent="0.4">
      <c r="A695" s="258">
        <v>46018</v>
      </c>
      <c r="B695" s="325" t="s">
        <v>5947</v>
      </c>
      <c r="C695" s="32" t="s">
        <v>2557</v>
      </c>
      <c r="D695" s="258" t="s">
        <v>17</v>
      </c>
      <c r="E695" s="18" t="s">
        <v>332</v>
      </c>
      <c r="F695" s="18" t="s">
        <v>3555</v>
      </c>
      <c r="G695" s="433" t="s">
        <v>5948</v>
      </c>
      <c r="H695" s="399">
        <v>1300</v>
      </c>
      <c r="I695" s="399">
        <v>-130</v>
      </c>
      <c r="J695" s="350">
        <f t="shared" si="366"/>
        <v>1170</v>
      </c>
      <c r="K695" s="18">
        <v>3</v>
      </c>
      <c r="L695" s="350">
        <f t="shared" si="367"/>
        <v>3510</v>
      </c>
      <c r="M695" s="356">
        <f t="shared" si="368"/>
        <v>3861</v>
      </c>
      <c r="N695" s="18" t="s">
        <v>20</v>
      </c>
      <c r="O695" s="433"/>
      <c r="Q695" s="18" t="s">
        <v>2594</v>
      </c>
      <c r="R695" s="18" t="s">
        <v>4803</v>
      </c>
    </row>
    <row r="696" spans="1:27" ht="21.75" customHeight="1" x14ac:dyDescent="0.4">
      <c r="A696" s="258">
        <v>46018</v>
      </c>
      <c r="B696" s="325" t="s">
        <v>5879</v>
      </c>
      <c r="C696" s="32" t="s">
        <v>2557</v>
      </c>
      <c r="D696" s="258" t="s">
        <v>17</v>
      </c>
      <c r="E696" s="258" t="s">
        <v>1442</v>
      </c>
      <c r="F696" s="258" t="s">
        <v>5949</v>
      </c>
      <c r="G696" s="433" t="s">
        <v>5950</v>
      </c>
      <c r="H696" s="399">
        <v>49000</v>
      </c>
      <c r="I696" s="399">
        <v>-7350</v>
      </c>
      <c r="J696" s="350">
        <f t="shared" si="366"/>
        <v>41650</v>
      </c>
      <c r="K696" s="18">
        <v>1</v>
      </c>
      <c r="L696" s="350">
        <f t="shared" si="367"/>
        <v>41650</v>
      </c>
      <c r="M696" s="356">
        <f t="shared" si="368"/>
        <v>45815</v>
      </c>
      <c r="N696" s="18" t="s">
        <v>1121</v>
      </c>
      <c r="O696" s="433"/>
      <c r="Q696" s="18" t="s">
        <v>2594</v>
      </c>
      <c r="R696" s="18" t="s">
        <v>4803</v>
      </c>
    </row>
    <row r="697" spans="1:27" ht="21.75" customHeight="1" x14ac:dyDescent="0.4">
      <c r="A697" s="258">
        <v>46018</v>
      </c>
      <c r="B697" s="325" t="s">
        <v>5879</v>
      </c>
      <c r="C697" s="32" t="s">
        <v>2557</v>
      </c>
      <c r="D697" s="258" t="s">
        <v>17</v>
      </c>
      <c r="E697" s="18" t="s">
        <v>332</v>
      </c>
      <c r="F697" s="258" t="s">
        <v>3553</v>
      </c>
      <c r="G697" s="464" t="s">
        <v>6418</v>
      </c>
      <c r="H697" s="399">
        <v>1800</v>
      </c>
      <c r="I697" s="399">
        <v>-180</v>
      </c>
      <c r="J697" s="350">
        <f t="shared" si="366"/>
        <v>1620</v>
      </c>
      <c r="K697" s="18">
        <v>1</v>
      </c>
      <c r="L697" s="350">
        <f t="shared" si="367"/>
        <v>1620</v>
      </c>
      <c r="M697" s="356">
        <f t="shared" si="368"/>
        <v>1782</v>
      </c>
      <c r="N697" s="18" t="s">
        <v>1121</v>
      </c>
      <c r="O697" s="433"/>
      <c r="Q697" s="18" t="s">
        <v>2594</v>
      </c>
      <c r="R697" s="18" t="s">
        <v>4803</v>
      </c>
    </row>
    <row r="698" spans="1:27" ht="21.75" customHeight="1" x14ac:dyDescent="0.4">
      <c r="A698" s="258">
        <v>46018</v>
      </c>
      <c r="B698" s="325" t="s">
        <v>5879</v>
      </c>
      <c r="C698" s="32" t="s">
        <v>2557</v>
      </c>
      <c r="D698" s="258" t="s">
        <v>17</v>
      </c>
      <c r="E698" s="258" t="s">
        <v>328</v>
      </c>
      <c r="F698" s="258" t="s">
        <v>788</v>
      </c>
      <c r="G698" s="433" t="s">
        <v>5951</v>
      </c>
      <c r="H698" s="399">
        <v>25000</v>
      </c>
      <c r="I698" s="399">
        <v>-5000</v>
      </c>
      <c r="J698" s="350">
        <f t="shared" si="366"/>
        <v>20000</v>
      </c>
      <c r="K698" s="18">
        <v>1</v>
      </c>
      <c r="L698" s="350">
        <f t="shared" si="367"/>
        <v>20000</v>
      </c>
      <c r="M698" s="356">
        <f t="shared" si="368"/>
        <v>22000</v>
      </c>
      <c r="N698" s="18" t="s">
        <v>1121</v>
      </c>
      <c r="O698" s="433"/>
      <c r="Q698" s="18" t="s">
        <v>2594</v>
      </c>
      <c r="R698" s="18" t="s">
        <v>4803</v>
      </c>
    </row>
    <row r="699" spans="1:27" ht="21.75" customHeight="1" x14ac:dyDescent="0.4">
      <c r="A699" s="258">
        <v>46018</v>
      </c>
      <c r="B699" s="325" t="s">
        <v>148</v>
      </c>
      <c r="C699" s="32" t="s">
        <v>2557</v>
      </c>
      <c r="D699" s="258" t="s">
        <v>22</v>
      </c>
      <c r="E699" s="18" t="s">
        <v>4409</v>
      </c>
      <c r="F699" s="258"/>
      <c r="G699" s="63" t="s">
        <v>5036</v>
      </c>
      <c r="H699" s="399">
        <v>17500</v>
      </c>
      <c r="I699" s="399"/>
      <c r="J699" s="350">
        <f t="shared" si="366"/>
        <v>17500</v>
      </c>
      <c r="K699" s="18">
        <v>1</v>
      </c>
      <c r="L699" s="350">
        <f t="shared" si="367"/>
        <v>17500</v>
      </c>
      <c r="M699" s="356">
        <f t="shared" si="368"/>
        <v>19250</v>
      </c>
      <c r="N699" s="258" t="s">
        <v>5952</v>
      </c>
      <c r="O699" s="439" t="s">
        <v>5887</v>
      </c>
      <c r="Q699" s="18" t="s">
        <v>2595</v>
      </c>
      <c r="R699" s="18" t="s">
        <v>4803</v>
      </c>
      <c r="S699" s="375"/>
    </row>
    <row r="700" spans="1:27" ht="21.75" customHeight="1" x14ac:dyDescent="0.4">
      <c r="A700" s="258">
        <v>46019</v>
      </c>
      <c r="B700" s="325" t="s">
        <v>162</v>
      </c>
      <c r="C700" s="32" t="s">
        <v>2557</v>
      </c>
      <c r="D700" s="258" t="s">
        <v>17</v>
      </c>
      <c r="E700" s="258" t="s">
        <v>292</v>
      </c>
      <c r="F700" s="18" t="s">
        <v>1051</v>
      </c>
      <c r="G700" s="63" t="s">
        <v>4973</v>
      </c>
      <c r="H700" s="399">
        <v>3200</v>
      </c>
      <c r="I700" s="399">
        <v>-320</v>
      </c>
      <c r="J700" s="350">
        <f t="shared" si="366"/>
        <v>2880</v>
      </c>
      <c r="K700" s="18">
        <v>1</v>
      </c>
      <c r="L700" s="350">
        <f t="shared" si="367"/>
        <v>2880</v>
      </c>
      <c r="M700" s="356">
        <f t="shared" si="368"/>
        <v>3168</v>
      </c>
      <c r="N700" s="347" t="s">
        <v>20</v>
      </c>
      <c r="O700" s="447" t="s">
        <v>5960</v>
      </c>
      <c r="Q700" s="18" t="s">
        <v>5961</v>
      </c>
      <c r="R700" s="18" t="s">
        <v>5962</v>
      </c>
      <c r="S700" s="375"/>
    </row>
    <row r="701" spans="1:27" ht="21.75" customHeight="1" x14ac:dyDescent="0.4">
      <c r="A701" s="258">
        <v>46026</v>
      </c>
      <c r="B701" s="325" t="s">
        <v>4061</v>
      </c>
      <c r="C701" s="32" t="s">
        <v>2557</v>
      </c>
      <c r="D701" s="258" t="s">
        <v>17</v>
      </c>
      <c r="E701" s="18" t="s">
        <v>332</v>
      </c>
      <c r="F701" s="18" t="s">
        <v>3554</v>
      </c>
      <c r="G701" s="63" t="s">
        <v>5047</v>
      </c>
      <c r="H701" s="399">
        <v>1300</v>
      </c>
      <c r="I701" s="399">
        <v>-130</v>
      </c>
      <c r="J701" s="350">
        <f t="shared" si="366"/>
        <v>1170</v>
      </c>
      <c r="K701" s="18">
        <v>1</v>
      </c>
      <c r="L701" s="350">
        <f t="shared" si="367"/>
        <v>1170</v>
      </c>
      <c r="M701" s="356">
        <f t="shared" si="368"/>
        <v>1287</v>
      </c>
      <c r="N701" s="18" t="s">
        <v>1121</v>
      </c>
      <c r="O701" s="455"/>
      <c r="Q701" s="18" t="s">
        <v>2594</v>
      </c>
      <c r="R701" s="18" t="s">
        <v>2594</v>
      </c>
      <c r="W701" s="354">
        <f>X701/H701</f>
        <v>0.62538461538461543</v>
      </c>
      <c r="X701" s="355">
        <v>813</v>
      </c>
      <c r="Y701" s="355">
        <f>K701</f>
        <v>1</v>
      </c>
      <c r="Z701" s="355">
        <f>X701*Y701</f>
        <v>813</v>
      </c>
      <c r="AA701" s="355">
        <f t="shared" ref="AA701:AA702" si="387">L701-Z701</f>
        <v>357</v>
      </c>
    </row>
    <row r="702" spans="1:27" ht="21.75" customHeight="1" x14ac:dyDescent="0.4">
      <c r="A702" s="258">
        <v>46026</v>
      </c>
      <c r="B702" s="325" t="s">
        <v>5963</v>
      </c>
      <c r="C702" s="32" t="s">
        <v>2557</v>
      </c>
      <c r="D702" s="258" t="s">
        <v>17</v>
      </c>
      <c r="E702" s="18" t="s">
        <v>332</v>
      </c>
      <c r="F702" s="258" t="s">
        <v>3553</v>
      </c>
      <c r="G702" s="463" t="s">
        <v>6419</v>
      </c>
      <c r="H702" s="399">
        <v>1800</v>
      </c>
      <c r="I702" s="399">
        <v>-180</v>
      </c>
      <c r="J702" s="350">
        <v>1620</v>
      </c>
      <c r="K702" s="18">
        <v>1</v>
      </c>
      <c r="L702" s="350">
        <f t="shared" si="367"/>
        <v>1620</v>
      </c>
      <c r="M702" s="356">
        <f t="shared" si="368"/>
        <v>1782</v>
      </c>
      <c r="N702" s="18" t="s">
        <v>1121</v>
      </c>
      <c r="O702" s="455"/>
      <c r="Q702" s="18" t="s">
        <v>2594</v>
      </c>
      <c r="R702" s="18" t="s">
        <v>2594</v>
      </c>
      <c r="W702" s="354">
        <f>X702/H702</f>
        <v>0.5</v>
      </c>
      <c r="X702" s="355">
        <v>900</v>
      </c>
      <c r="Y702" s="355">
        <f>K702</f>
        <v>1</v>
      </c>
      <c r="Z702" s="355">
        <f>X702*Y702</f>
        <v>900</v>
      </c>
      <c r="AA702" s="355">
        <f t="shared" si="387"/>
        <v>720</v>
      </c>
    </row>
    <row r="703" spans="1:27" ht="21.75" customHeight="1" x14ac:dyDescent="0.4">
      <c r="A703" s="258">
        <v>46027</v>
      </c>
      <c r="B703" s="325" t="s">
        <v>3424</v>
      </c>
      <c r="C703" s="32" t="s">
        <v>5667</v>
      </c>
      <c r="D703" s="18" t="s">
        <v>22</v>
      </c>
      <c r="E703" s="18" t="s">
        <v>1496</v>
      </c>
      <c r="F703" s="18"/>
      <c r="G703" s="63" t="s">
        <v>4869</v>
      </c>
      <c r="H703" s="399">
        <v>2000</v>
      </c>
      <c r="I703" s="353"/>
      <c r="J703" s="399">
        <f t="shared" ref="J703:J706" si="388">SUM(H703:I703)</f>
        <v>2000</v>
      </c>
      <c r="K703" s="18">
        <v>1</v>
      </c>
      <c r="L703" s="399">
        <f t="shared" si="367"/>
        <v>2000</v>
      </c>
      <c r="M703" s="399">
        <f t="shared" si="368"/>
        <v>2200</v>
      </c>
      <c r="N703" s="18" t="s">
        <v>1516</v>
      </c>
      <c r="O703" s="455"/>
      <c r="P703" s="18" t="s">
        <v>5964</v>
      </c>
      <c r="Q703" s="18" t="s">
        <v>5964</v>
      </c>
      <c r="R703" s="18" t="s">
        <v>5964</v>
      </c>
    </row>
    <row r="704" spans="1:27" ht="21.75" customHeight="1" x14ac:dyDescent="0.4">
      <c r="A704" s="258">
        <v>46027</v>
      </c>
      <c r="B704" s="325" t="s">
        <v>6144</v>
      </c>
      <c r="C704" s="32" t="s">
        <v>6145</v>
      </c>
      <c r="D704" s="18" t="s">
        <v>27</v>
      </c>
      <c r="E704" s="242" t="s">
        <v>5237</v>
      </c>
      <c r="F704" s="18"/>
      <c r="G704" s="63" t="s">
        <v>6032</v>
      </c>
      <c r="H704" s="399">
        <v>2500</v>
      </c>
      <c r="I704" s="353"/>
      <c r="J704" s="399">
        <f t="shared" si="388"/>
        <v>2500</v>
      </c>
      <c r="K704" s="18">
        <v>2</v>
      </c>
      <c r="L704" s="399">
        <f t="shared" si="367"/>
        <v>5000</v>
      </c>
      <c r="M704" s="399">
        <f t="shared" si="368"/>
        <v>5500</v>
      </c>
      <c r="N704" s="18" t="s">
        <v>6147</v>
      </c>
      <c r="O704" s="455"/>
      <c r="R704" s="18" t="s">
        <v>4803</v>
      </c>
    </row>
    <row r="705" spans="1:27" ht="21.75" customHeight="1" x14ac:dyDescent="0.4">
      <c r="A705" s="258">
        <v>46028</v>
      </c>
      <c r="B705" s="325" t="s">
        <v>5977</v>
      </c>
      <c r="C705" s="32" t="s">
        <v>4292</v>
      </c>
      <c r="D705" s="258" t="s">
        <v>17</v>
      </c>
      <c r="E705" s="258" t="s">
        <v>292</v>
      </c>
      <c r="F705" s="18" t="s">
        <v>1051</v>
      </c>
      <c r="G705" s="63" t="s">
        <v>4973</v>
      </c>
      <c r="H705" s="399">
        <v>2400</v>
      </c>
      <c r="I705" s="353"/>
      <c r="J705" s="399">
        <f t="shared" si="388"/>
        <v>2400</v>
      </c>
      <c r="K705" s="18">
        <v>1</v>
      </c>
      <c r="L705" s="399">
        <f t="shared" si="367"/>
        <v>2400</v>
      </c>
      <c r="M705" s="399">
        <f t="shared" si="368"/>
        <v>2640</v>
      </c>
      <c r="N705" s="18" t="s">
        <v>1516</v>
      </c>
      <c r="O705" s="455"/>
      <c r="R705" s="18" t="s">
        <v>5979</v>
      </c>
      <c r="W705" s="354">
        <f t="shared" ref="W705:W708" si="389">X705/H705</f>
        <v>1</v>
      </c>
      <c r="X705" s="355">
        <v>2400</v>
      </c>
      <c r="Y705" s="355">
        <f t="shared" ref="Y705:Y708" si="390">K705</f>
        <v>1</v>
      </c>
      <c r="Z705" s="355">
        <f t="shared" ref="Z705:Z708" si="391">X705*Y705</f>
        <v>2400</v>
      </c>
      <c r="AA705" s="355">
        <f t="shared" ref="AA705:AA708" si="392">L705-Z705</f>
        <v>0</v>
      </c>
    </row>
    <row r="706" spans="1:27" ht="21.75" customHeight="1" x14ac:dyDescent="0.4">
      <c r="A706" s="258">
        <v>46028</v>
      </c>
      <c r="B706" s="325" t="s">
        <v>5977</v>
      </c>
      <c r="C706" s="32" t="s">
        <v>4292</v>
      </c>
      <c r="D706" s="258" t="s">
        <v>17</v>
      </c>
      <c r="E706" s="258" t="s">
        <v>426</v>
      </c>
      <c r="F706" s="18" t="s">
        <v>994</v>
      </c>
      <c r="G706" s="437" t="s">
        <v>6156</v>
      </c>
      <c r="H706" s="406">
        <v>1080</v>
      </c>
      <c r="I706" s="353"/>
      <c r="J706" s="406">
        <f t="shared" si="388"/>
        <v>1080</v>
      </c>
      <c r="K706" s="18">
        <v>4</v>
      </c>
      <c r="L706" s="406">
        <f t="shared" si="367"/>
        <v>4320</v>
      </c>
      <c r="M706" s="406">
        <f t="shared" si="368"/>
        <v>4752</v>
      </c>
      <c r="N706" s="18" t="s">
        <v>1516</v>
      </c>
      <c r="O706" s="455"/>
      <c r="R706" s="18" t="s">
        <v>5979</v>
      </c>
      <c r="W706" s="354">
        <f t="shared" si="389"/>
        <v>1</v>
      </c>
      <c r="X706" s="355">
        <v>1080</v>
      </c>
      <c r="Y706" s="355">
        <f t="shared" si="390"/>
        <v>4</v>
      </c>
      <c r="Z706" s="355">
        <f t="shared" si="391"/>
        <v>4320</v>
      </c>
      <c r="AA706" s="355">
        <f t="shared" si="392"/>
        <v>0</v>
      </c>
    </row>
    <row r="707" spans="1:27" ht="21.75" customHeight="1" x14ac:dyDescent="0.4">
      <c r="A707" s="258">
        <v>46029</v>
      </c>
      <c r="B707" s="325" t="s">
        <v>5971</v>
      </c>
      <c r="C707" s="32" t="s">
        <v>2557</v>
      </c>
      <c r="D707" s="258" t="s">
        <v>17</v>
      </c>
      <c r="E707" s="258" t="s">
        <v>426</v>
      </c>
      <c r="F707" s="18" t="s">
        <v>994</v>
      </c>
      <c r="G707" s="433" t="s">
        <v>5972</v>
      </c>
      <c r="H707" s="399">
        <v>1800</v>
      </c>
      <c r="I707" s="399">
        <v>-180</v>
      </c>
      <c r="J707" s="350">
        <f t="shared" si="366"/>
        <v>1620</v>
      </c>
      <c r="K707" s="18">
        <v>1</v>
      </c>
      <c r="L707" s="350">
        <f t="shared" si="367"/>
        <v>1620</v>
      </c>
      <c r="M707" s="356">
        <f t="shared" si="368"/>
        <v>1782</v>
      </c>
      <c r="N707" s="18" t="s">
        <v>1516</v>
      </c>
      <c r="O707" s="455"/>
      <c r="Q707" s="18" t="s">
        <v>2594</v>
      </c>
      <c r="R707" s="18" t="s">
        <v>2594</v>
      </c>
      <c r="W707" s="354">
        <f t="shared" si="389"/>
        <v>0.6</v>
      </c>
      <c r="X707" s="355">
        <v>1080</v>
      </c>
      <c r="Y707" s="355">
        <f t="shared" si="390"/>
        <v>1</v>
      </c>
      <c r="Z707" s="355">
        <f t="shared" si="391"/>
        <v>1080</v>
      </c>
      <c r="AA707" s="355">
        <f t="shared" si="392"/>
        <v>540</v>
      </c>
    </row>
    <row r="708" spans="1:27" ht="21.75" customHeight="1" x14ac:dyDescent="0.4">
      <c r="A708" s="258">
        <v>46029</v>
      </c>
      <c r="B708" s="325" t="s">
        <v>5978</v>
      </c>
      <c r="C708" s="32" t="s">
        <v>2557</v>
      </c>
      <c r="D708" s="258" t="s">
        <v>17</v>
      </c>
      <c r="E708" s="18" t="s">
        <v>332</v>
      </c>
      <c r="F708" s="258" t="s">
        <v>3553</v>
      </c>
      <c r="G708" s="63" t="s">
        <v>5613</v>
      </c>
      <c r="H708" s="399">
        <v>1800</v>
      </c>
      <c r="I708" s="399">
        <v>-180</v>
      </c>
      <c r="J708" s="350">
        <f t="shared" si="366"/>
        <v>1620</v>
      </c>
      <c r="K708" s="18">
        <v>1</v>
      </c>
      <c r="L708" s="350">
        <f t="shared" ref="L708" si="393">SUM(J708*K708)</f>
        <v>1620</v>
      </c>
      <c r="M708" s="356">
        <f t="shared" ref="M708" si="394">ROUNDDOWN(L708*1.1,0)</f>
        <v>1782</v>
      </c>
      <c r="N708" s="18" t="s">
        <v>1516</v>
      </c>
      <c r="O708" s="455"/>
      <c r="Q708" s="18" t="s">
        <v>5979</v>
      </c>
      <c r="R708" s="18" t="s">
        <v>5979</v>
      </c>
      <c r="W708" s="354">
        <f t="shared" si="389"/>
        <v>0.5</v>
      </c>
      <c r="X708" s="355">
        <v>900</v>
      </c>
      <c r="Y708" s="355">
        <f t="shared" si="390"/>
        <v>1</v>
      </c>
      <c r="Z708" s="355">
        <f t="shared" si="391"/>
        <v>900</v>
      </c>
      <c r="AA708" s="355">
        <f t="shared" si="392"/>
        <v>720</v>
      </c>
    </row>
    <row r="709" spans="1:27" ht="21.75" customHeight="1" x14ac:dyDescent="0.4">
      <c r="A709" s="258">
        <v>46029</v>
      </c>
      <c r="B709" s="325" t="s">
        <v>139</v>
      </c>
      <c r="C709" s="32" t="s">
        <v>5973</v>
      </c>
      <c r="D709" s="258" t="s">
        <v>5974</v>
      </c>
      <c r="E709" s="258" t="s">
        <v>5975</v>
      </c>
      <c r="F709" s="258"/>
      <c r="G709" s="63" t="s">
        <v>4869</v>
      </c>
      <c r="H709" s="399">
        <v>2000</v>
      </c>
      <c r="I709" s="353"/>
      <c r="J709" s="399">
        <f t="shared" si="366"/>
        <v>2000</v>
      </c>
      <c r="K709" s="18">
        <v>1</v>
      </c>
      <c r="L709" s="399">
        <f t="shared" si="367"/>
        <v>2000</v>
      </c>
      <c r="M709" s="399">
        <f t="shared" si="368"/>
        <v>2200</v>
      </c>
      <c r="N709" s="18" t="s">
        <v>1516</v>
      </c>
      <c r="O709" s="455"/>
      <c r="P709" s="18" t="s">
        <v>5449</v>
      </c>
      <c r="Q709" s="18" t="s">
        <v>5976</v>
      </c>
      <c r="R709" s="18" t="s">
        <v>5976</v>
      </c>
      <c r="S709" s="375"/>
    </row>
    <row r="710" spans="1:27" ht="21.75" customHeight="1" x14ac:dyDescent="0.4">
      <c r="A710" s="258">
        <v>46030</v>
      </c>
      <c r="B710" s="325" t="s">
        <v>5980</v>
      </c>
      <c r="C710" s="32" t="s">
        <v>5802</v>
      </c>
      <c r="D710" s="18" t="s">
        <v>22</v>
      </c>
      <c r="E710" s="18" t="s">
        <v>1496</v>
      </c>
      <c r="F710" s="18"/>
      <c r="G710" s="63" t="s">
        <v>2422</v>
      </c>
      <c r="H710" s="350">
        <v>2000</v>
      </c>
      <c r="I710" s="399"/>
      <c r="J710" s="350">
        <v>2000</v>
      </c>
      <c r="K710" s="18">
        <v>1</v>
      </c>
      <c r="L710" s="350">
        <v>2000</v>
      </c>
      <c r="M710" s="356">
        <v>2200</v>
      </c>
      <c r="N710" s="18" t="s">
        <v>1516</v>
      </c>
      <c r="O710" s="455"/>
      <c r="Q710" s="18" t="s">
        <v>5981</v>
      </c>
      <c r="R710" s="18" t="s">
        <v>5981</v>
      </c>
      <c r="S710" s="375"/>
    </row>
    <row r="711" spans="1:27" ht="21.75" customHeight="1" x14ac:dyDescent="0.4">
      <c r="A711" s="258">
        <v>46031</v>
      </c>
      <c r="B711" s="325" t="s">
        <v>4503</v>
      </c>
      <c r="C711" s="32" t="s">
        <v>4292</v>
      </c>
      <c r="D711" s="258" t="s">
        <v>17</v>
      </c>
      <c r="E711" s="258" t="s">
        <v>292</v>
      </c>
      <c r="F711" s="258" t="s">
        <v>1051</v>
      </c>
      <c r="G711" s="433" t="s">
        <v>6000</v>
      </c>
      <c r="H711" s="399">
        <v>5700</v>
      </c>
      <c r="I711" s="399">
        <v>-828</v>
      </c>
      <c r="J711" s="350">
        <f t="shared" si="366"/>
        <v>4872</v>
      </c>
      <c r="K711" s="18">
        <v>1</v>
      </c>
      <c r="L711" s="350">
        <f t="shared" si="367"/>
        <v>4872</v>
      </c>
      <c r="M711" s="356">
        <f t="shared" si="368"/>
        <v>5359</v>
      </c>
      <c r="N711" s="18" t="s">
        <v>1516</v>
      </c>
      <c r="O711" s="455"/>
      <c r="R711" s="18" t="s">
        <v>5982</v>
      </c>
      <c r="W711" s="354">
        <f>X711/H711</f>
        <v>0.88140350877192986</v>
      </c>
      <c r="X711" s="355">
        <v>5024</v>
      </c>
      <c r="Y711" s="355">
        <f>K711</f>
        <v>1</v>
      </c>
      <c r="Z711" s="355">
        <f>X711*Y711</f>
        <v>5024</v>
      </c>
      <c r="AA711" s="355">
        <f>L711-Z711</f>
        <v>-152</v>
      </c>
    </row>
    <row r="712" spans="1:27" ht="21.75" customHeight="1" x14ac:dyDescent="0.4">
      <c r="A712" s="258">
        <v>46031</v>
      </c>
      <c r="B712" s="325" t="s">
        <v>5983</v>
      </c>
      <c r="C712" s="32" t="s">
        <v>5984</v>
      </c>
      <c r="D712" s="18" t="s">
        <v>27</v>
      </c>
      <c r="E712" s="18" t="s">
        <v>4409</v>
      </c>
      <c r="F712" s="258"/>
      <c r="G712" s="63" t="s">
        <v>5985</v>
      </c>
      <c r="H712" s="399">
        <v>17500</v>
      </c>
      <c r="I712" s="399"/>
      <c r="J712" s="350">
        <f t="shared" ref="J712" si="395">SUM(H712:I712)</f>
        <v>17500</v>
      </c>
      <c r="K712" s="18">
        <v>1</v>
      </c>
      <c r="L712" s="350">
        <f t="shared" ref="L712" si="396">SUM(J712*K712)</f>
        <v>17500</v>
      </c>
      <c r="M712" s="356">
        <f t="shared" ref="M712" si="397">ROUNDDOWN(L712*1.1,0)</f>
        <v>19250</v>
      </c>
      <c r="N712" s="18" t="s">
        <v>1516</v>
      </c>
      <c r="O712" s="454" t="s">
        <v>5887</v>
      </c>
      <c r="Q712" s="18" t="s">
        <v>5986</v>
      </c>
      <c r="R712" s="18" t="s">
        <v>5986</v>
      </c>
    </row>
    <row r="713" spans="1:27" ht="21.75" customHeight="1" x14ac:dyDescent="0.4">
      <c r="A713" s="258">
        <v>46031</v>
      </c>
      <c r="B713" s="325" t="s">
        <v>1861</v>
      </c>
      <c r="C713" s="32" t="s">
        <v>5667</v>
      </c>
      <c r="D713" s="258" t="s">
        <v>17</v>
      </c>
      <c r="E713" s="258" t="s">
        <v>292</v>
      </c>
      <c r="F713" s="18" t="s">
        <v>3642</v>
      </c>
      <c r="G713" s="433" t="s">
        <v>6001</v>
      </c>
      <c r="H713" s="399">
        <v>4500</v>
      </c>
      <c r="I713" s="399"/>
      <c r="J713" s="350">
        <f t="shared" si="366"/>
        <v>4500</v>
      </c>
      <c r="K713" s="18">
        <v>1</v>
      </c>
      <c r="L713" s="350">
        <f t="shared" si="367"/>
        <v>4500</v>
      </c>
      <c r="M713" s="356">
        <f t="shared" si="368"/>
        <v>4950</v>
      </c>
      <c r="N713" s="347" t="s">
        <v>20</v>
      </c>
      <c r="O713" s="455"/>
      <c r="Q713" s="18" t="s">
        <v>5987</v>
      </c>
      <c r="R713" s="18" t="s">
        <v>5987</v>
      </c>
      <c r="W713" s="354">
        <f t="shared" ref="W713:W715" si="398">X713/H713</f>
        <v>1.05</v>
      </c>
      <c r="X713" s="355">
        <v>4725</v>
      </c>
      <c r="Y713" s="355">
        <f t="shared" ref="Y713:Y715" si="399">K713</f>
        <v>1</v>
      </c>
      <c r="Z713" s="355">
        <f t="shared" ref="Z713:Z715" si="400">X713*Y713</f>
        <v>4725</v>
      </c>
      <c r="AA713" s="355">
        <f t="shared" ref="AA713:AA715" si="401">L713-Z713</f>
        <v>-225</v>
      </c>
    </row>
    <row r="714" spans="1:27" ht="21.75" customHeight="1" x14ac:dyDescent="0.4">
      <c r="A714" s="258">
        <v>46031</v>
      </c>
      <c r="B714" s="325" t="s">
        <v>5999</v>
      </c>
      <c r="C714" s="32" t="s">
        <v>405</v>
      </c>
      <c r="D714" s="258" t="s">
        <v>17</v>
      </c>
      <c r="E714" s="258" t="s">
        <v>292</v>
      </c>
      <c r="F714" s="258" t="s">
        <v>1051</v>
      </c>
      <c r="G714" s="433" t="s">
        <v>6000</v>
      </c>
      <c r="H714" s="399">
        <v>5700</v>
      </c>
      <c r="I714" s="399"/>
      <c r="J714" s="350">
        <v>5700</v>
      </c>
      <c r="K714" s="18">
        <v>1</v>
      </c>
      <c r="L714" s="350">
        <f t="shared" si="367"/>
        <v>5700</v>
      </c>
      <c r="M714" s="356">
        <f t="shared" si="368"/>
        <v>6270</v>
      </c>
      <c r="N714" s="18" t="s">
        <v>1516</v>
      </c>
      <c r="O714" s="455"/>
      <c r="Q714" s="18" t="s">
        <v>5987</v>
      </c>
      <c r="R714" s="18" t="s">
        <v>5987</v>
      </c>
      <c r="W714" s="354">
        <f t="shared" si="398"/>
        <v>0.88140350877192986</v>
      </c>
      <c r="X714" s="355">
        <v>5024</v>
      </c>
      <c r="Y714" s="355">
        <f t="shared" si="399"/>
        <v>1</v>
      </c>
      <c r="Z714" s="355">
        <f t="shared" si="400"/>
        <v>5024</v>
      </c>
      <c r="AA714" s="355">
        <f t="shared" si="401"/>
        <v>676</v>
      </c>
    </row>
    <row r="715" spans="1:27" ht="21.75" customHeight="1" x14ac:dyDescent="0.4">
      <c r="A715" s="258">
        <v>46031</v>
      </c>
      <c r="B715" s="325" t="s">
        <v>5988</v>
      </c>
      <c r="C715" s="32" t="s">
        <v>5989</v>
      </c>
      <c r="D715" s="258" t="s">
        <v>17</v>
      </c>
      <c r="E715" s="258" t="s">
        <v>292</v>
      </c>
      <c r="F715" s="18" t="s">
        <v>3642</v>
      </c>
      <c r="G715" s="433" t="s">
        <v>6002</v>
      </c>
      <c r="H715" s="399">
        <v>4500</v>
      </c>
      <c r="I715" s="399"/>
      <c r="J715" s="350">
        <f t="shared" si="366"/>
        <v>4500</v>
      </c>
      <c r="K715" s="18">
        <v>1</v>
      </c>
      <c r="L715" s="350">
        <f t="shared" si="367"/>
        <v>4500</v>
      </c>
      <c r="M715" s="356">
        <f t="shared" si="368"/>
        <v>4950</v>
      </c>
      <c r="N715" s="18" t="s">
        <v>1516</v>
      </c>
      <c r="O715" s="455"/>
      <c r="Q715" s="18" t="s">
        <v>5987</v>
      </c>
      <c r="R715" s="18" t="s">
        <v>5987</v>
      </c>
      <c r="W715" s="354">
        <f t="shared" si="398"/>
        <v>1.05</v>
      </c>
      <c r="X715" s="355">
        <v>4725</v>
      </c>
      <c r="Y715" s="355">
        <f t="shared" si="399"/>
        <v>1</v>
      </c>
      <c r="Z715" s="355">
        <f t="shared" si="400"/>
        <v>4725</v>
      </c>
      <c r="AA715" s="355">
        <f t="shared" si="401"/>
        <v>-225</v>
      </c>
    </row>
    <row r="716" spans="1:27" ht="21.75" customHeight="1" x14ac:dyDescent="0.4">
      <c r="A716" s="258">
        <v>46031</v>
      </c>
      <c r="B716" s="325" t="s">
        <v>5045</v>
      </c>
      <c r="C716" s="32" t="s">
        <v>2557</v>
      </c>
      <c r="D716" s="18" t="s">
        <v>27</v>
      </c>
      <c r="E716" s="18" t="s">
        <v>28</v>
      </c>
      <c r="F716" s="18"/>
      <c r="G716" s="63" t="s">
        <v>73</v>
      </c>
      <c r="H716" s="399">
        <v>2000</v>
      </c>
      <c r="I716" s="353"/>
      <c r="J716" s="399">
        <f t="shared" ref="J716" si="402">SUM(H716:I716)</f>
        <v>2000</v>
      </c>
      <c r="K716" s="18">
        <v>3</v>
      </c>
      <c r="L716" s="399">
        <f t="shared" si="367"/>
        <v>6000</v>
      </c>
      <c r="M716" s="399">
        <f t="shared" si="368"/>
        <v>6600</v>
      </c>
      <c r="N716" s="18" t="s">
        <v>1516</v>
      </c>
      <c r="O716" s="454" t="s">
        <v>5990</v>
      </c>
      <c r="Q716" s="18" t="s">
        <v>5987</v>
      </c>
      <c r="R716" s="18" t="s">
        <v>5987</v>
      </c>
    </row>
    <row r="717" spans="1:27" ht="21.75" customHeight="1" x14ac:dyDescent="0.4">
      <c r="A717" s="258">
        <v>46032</v>
      </c>
      <c r="B717" s="325" t="s">
        <v>5991</v>
      </c>
      <c r="C717" s="32" t="s">
        <v>2557</v>
      </c>
      <c r="D717" s="258" t="s">
        <v>17</v>
      </c>
      <c r="E717" s="18" t="s">
        <v>332</v>
      </c>
      <c r="F717" s="258" t="s">
        <v>3553</v>
      </c>
      <c r="G717" s="433" t="s">
        <v>5992</v>
      </c>
      <c r="H717" s="399">
        <v>1500</v>
      </c>
      <c r="I717" s="399">
        <v>-150</v>
      </c>
      <c r="J717" s="350">
        <f t="shared" si="366"/>
        <v>1350</v>
      </c>
      <c r="K717" s="18">
        <v>1</v>
      </c>
      <c r="L717" s="350">
        <f t="shared" si="367"/>
        <v>1350</v>
      </c>
      <c r="M717" s="356">
        <f t="shared" si="368"/>
        <v>1485</v>
      </c>
      <c r="N717" s="18" t="s">
        <v>1516</v>
      </c>
      <c r="O717" s="455"/>
      <c r="Q717" s="18" t="s">
        <v>2594</v>
      </c>
      <c r="R717" s="18" t="s">
        <v>2594</v>
      </c>
      <c r="W717" s="354">
        <f>X717/H717</f>
        <v>0.5</v>
      </c>
      <c r="X717" s="355">
        <v>750</v>
      </c>
      <c r="Y717" s="355">
        <f>K717</f>
        <v>1</v>
      </c>
      <c r="Z717" s="355">
        <f>X717*Y717</f>
        <v>750</v>
      </c>
      <c r="AA717" s="355">
        <f>L717-Z717</f>
        <v>600</v>
      </c>
    </row>
    <row r="718" spans="1:27" ht="21.75" customHeight="1" x14ac:dyDescent="0.4">
      <c r="A718" s="258">
        <v>46032</v>
      </c>
      <c r="B718" s="325" t="s">
        <v>4865</v>
      </c>
      <c r="C718" s="32" t="s">
        <v>2557</v>
      </c>
      <c r="D718" s="258" t="s">
        <v>22</v>
      </c>
      <c r="E718" s="258" t="s">
        <v>1496</v>
      </c>
      <c r="F718" s="258"/>
      <c r="G718" s="63" t="s">
        <v>4869</v>
      </c>
      <c r="H718" s="399">
        <v>2000</v>
      </c>
      <c r="I718" s="399"/>
      <c r="J718" s="350">
        <f t="shared" si="366"/>
        <v>2000</v>
      </c>
      <c r="K718" s="18">
        <v>1</v>
      </c>
      <c r="L718" s="350">
        <f t="shared" si="367"/>
        <v>2000</v>
      </c>
      <c r="M718" s="356">
        <f t="shared" si="368"/>
        <v>2200</v>
      </c>
      <c r="N718" s="347" t="s">
        <v>20</v>
      </c>
      <c r="O718" s="455"/>
      <c r="P718" s="18" t="s">
        <v>5993</v>
      </c>
      <c r="Q718" s="18" t="s">
        <v>5993</v>
      </c>
      <c r="R718" s="18" t="s">
        <v>5993</v>
      </c>
    </row>
    <row r="719" spans="1:27" ht="21.75" customHeight="1" x14ac:dyDescent="0.4">
      <c r="A719" s="258">
        <v>46032</v>
      </c>
      <c r="B719" s="325" t="s">
        <v>162</v>
      </c>
      <c r="C719" s="32" t="s">
        <v>2557</v>
      </c>
      <c r="D719" s="18" t="s">
        <v>27</v>
      </c>
      <c r="E719" s="18" t="s">
        <v>28</v>
      </c>
      <c r="F719" s="18"/>
      <c r="G719" s="63" t="s">
        <v>73</v>
      </c>
      <c r="H719" s="399">
        <v>2000</v>
      </c>
      <c r="I719" s="353"/>
      <c r="J719" s="399">
        <f t="shared" ref="J719" si="403">SUM(H719:I719)</f>
        <v>2000</v>
      </c>
      <c r="K719" s="18">
        <v>2</v>
      </c>
      <c r="L719" s="399">
        <f t="shared" si="367"/>
        <v>4000</v>
      </c>
      <c r="M719" s="399">
        <f t="shared" si="368"/>
        <v>4400</v>
      </c>
      <c r="N719" s="18" t="s">
        <v>1516</v>
      </c>
      <c r="O719" s="454" t="s">
        <v>5994</v>
      </c>
      <c r="Q719" s="18" t="s">
        <v>2596</v>
      </c>
      <c r="R719" s="18" t="s">
        <v>2596</v>
      </c>
    </row>
    <row r="720" spans="1:27" ht="21.75" customHeight="1" x14ac:dyDescent="0.4">
      <c r="A720" s="258">
        <v>46032</v>
      </c>
      <c r="B720" s="325" t="s">
        <v>5947</v>
      </c>
      <c r="C720" s="32" t="s">
        <v>2557</v>
      </c>
      <c r="D720" s="258" t="s">
        <v>17</v>
      </c>
      <c r="E720" s="18" t="s">
        <v>332</v>
      </c>
      <c r="F720" s="18" t="s">
        <v>3555</v>
      </c>
      <c r="G720" s="433" t="s">
        <v>5948</v>
      </c>
      <c r="H720" s="399">
        <v>1300</v>
      </c>
      <c r="I720" s="399">
        <v>-130</v>
      </c>
      <c r="J720" s="350">
        <f t="shared" si="366"/>
        <v>1170</v>
      </c>
      <c r="K720" s="18">
        <v>1</v>
      </c>
      <c r="L720" s="350">
        <f t="shared" si="367"/>
        <v>1170</v>
      </c>
      <c r="M720" s="356">
        <f t="shared" si="368"/>
        <v>1287</v>
      </c>
      <c r="N720" s="347" t="s">
        <v>20</v>
      </c>
      <c r="O720" s="455"/>
      <c r="Q720" s="18" t="s">
        <v>2594</v>
      </c>
      <c r="R720" s="18" t="s">
        <v>2594</v>
      </c>
      <c r="W720" s="354">
        <f>X720/H720</f>
        <v>0.57999999999999996</v>
      </c>
      <c r="X720" s="355">
        <v>754</v>
      </c>
      <c r="Y720" s="355">
        <f>K720</f>
        <v>1</v>
      </c>
      <c r="Z720" s="355">
        <f>X720*Y720</f>
        <v>754</v>
      </c>
      <c r="AA720" s="355">
        <f t="shared" ref="AA720" si="404">L720-Z720</f>
        <v>416</v>
      </c>
    </row>
    <row r="721" spans="1:27" ht="21.75" customHeight="1" x14ac:dyDescent="0.4">
      <c r="A721" s="258">
        <v>46032</v>
      </c>
      <c r="B721" s="325" t="s">
        <v>5537</v>
      </c>
      <c r="C721" s="32" t="s">
        <v>2557</v>
      </c>
      <c r="D721" s="258" t="s">
        <v>22</v>
      </c>
      <c r="E721" s="18" t="s">
        <v>1496</v>
      </c>
      <c r="F721" s="18"/>
      <c r="G721" s="63" t="s">
        <v>4869</v>
      </c>
      <c r="H721" s="399">
        <v>2000</v>
      </c>
      <c r="I721" s="399"/>
      <c r="J721" s="350">
        <f t="shared" si="366"/>
        <v>2000</v>
      </c>
      <c r="K721" s="18">
        <v>1</v>
      </c>
      <c r="L721" s="350">
        <f t="shared" si="367"/>
        <v>2000</v>
      </c>
      <c r="M721" s="356">
        <f t="shared" si="368"/>
        <v>2200</v>
      </c>
      <c r="N721" s="347" t="s">
        <v>20</v>
      </c>
      <c r="O721" s="455"/>
      <c r="P721" s="18" t="s">
        <v>6218</v>
      </c>
      <c r="Q721" s="18" t="s">
        <v>5995</v>
      </c>
      <c r="R721" s="18" t="s">
        <v>5996</v>
      </c>
    </row>
    <row r="722" spans="1:27" ht="21.75" customHeight="1" x14ac:dyDescent="0.4">
      <c r="A722" s="258">
        <v>46032</v>
      </c>
      <c r="B722" s="325" t="s">
        <v>5708</v>
      </c>
      <c r="C722" s="32" t="s">
        <v>2557</v>
      </c>
      <c r="D722" s="18" t="s">
        <v>17</v>
      </c>
      <c r="E722" s="18" t="s">
        <v>1442</v>
      </c>
      <c r="F722" s="258" t="s">
        <v>5998</v>
      </c>
      <c r="G722" s="433" t="s">
        <v>5997</v>
      </c>
      <c r="H722" s="399">
        <v>49000</v>
      </c>
      <c r="I722" s="399">
        <v>-4900</v>
      </c>
      <c r="J722" s="350">
        <f t="shared" si="366"/>
        <v>44100</v>
      </c>
      <c r="K722" s="18">
        <v>1</v>
      </c>
      <c r="L722" s="350">
        <f t="shared" si="367"/>
        <v>44100</v>
      </c>
      <c r="M722" s="356">
        <f t="shared" si="368"/>
        <v>48510</v>
      </c>
      <c r="N722" s="18" t="s">
        <v>1121</v>
      </c>
      <c r="O722" s="455"/>
      <c r="Q722" s="18" t="s">
        <v>5996</v>
      </c>
      <c r="R722" s="18" t="s">
        <v>5996</v>
      </c>
      <c r="W722" s="354">
        <f>X722/H722</f>
        <v>0.9</v>
      </c>
      <c r="X722" s="355">
        <v>44100</v>
      </c>
      <c r="Y722" s="355">
        <f>K722</f>
        <v>1</v>
      </c>
      <c r="Z722" s="355">
        <f>X722*Y722</f>
        <v>44100</v>
      </c>
      <c r="AA722" s="355">
        <f>L722-Z722</f>
        <v>0</v>
      </c>
    </row>
    <row r="723" spans="1:27" ht="21.75" customHeight="1" x14ac:dyDescent="0.4">
      <c r="A723" s="258">
        <v>46033</v>
      </c>
      <c r="B723" s="325" t="s">
        <v>2088</v>
      </c>
      <c r="C723" s="32" t="s">
        <v>2557</v>
      </c>
      <c r="D723" s="258" t="s">
        <v>22</v>
      </c>
      <c r="E723" s="18" t="s">
        <v>1496</v>
      </c>
      <c r="F723" s="18"/>
      <c r="G723" s="63" t="s">
        <v>4869</v>
      </c>
      <c r="H723" s="399">
        <v>2000</v>
      </c>
      <c r="I723" s="399"/>
      <c r="J723" s="350">
        <f t="shared" ref="J723:J725" si="405">SUM(H723:I723)</f>
        <v>2000</v>
      </c>
      <c r="K723" s="18">
        <v>2</v>
      </c>
      <c r="L723" s="350">
        <f t="shared" ref="L723:L725" si="406">SUM(J723*K723)</f>
        <v>4000</v>
      </c>
      <c r="M723" s="356">
        <f t="shared" ref="M723:M725" si="407">ROUNDDOWN(L723*1.1,0)</f>
        <v>4400</v>
      </c>
      <c r="N723" s="18" t="s">
        <v>1516</v>
      </c>
      <c r="O723" s="455"/>
      <c r="P723" s="18" t="s">
        <v>6003</v>
      </c>
      <c r="Q723" s="18" t="s">
        <v>6003</v>
      </c>
      <c r="R723" s="18" t="s">
        <v>6004</v>
      </c>
      <c r="S723" s="375"/>
    </row>
    <row r="724" spans="1:27" ht="21.75" customHeight="1" x14ac:dyDescent="0.4">
      <c r="A724" s="258">
        <v>46033</v>
      </c>
      <c r="B724" s="325" t="s">
        <v>5890</v>
      </c>
      <c r="C724" s="32" t="s">
        <v>2557</v>
      </c>
      <c r="D724" s="18" t="s">
        <v>27</v>
      </c>
      <c r="E724" s="18" t="s">
        <v>4409</v>
      </c>
      <c r="F724" s="258"/>
      <c r="G724" s="63" t="s">
        <v>6005</v>
      </c>
      <c r="H724" s="399">
        <v>8500</v>
      </c>
      <c r="I724" s="399"/>
      <c r="J724" s="350">
        <f t="shared" si="405"/>
        <v>8500</v>
      </c>
      <c r="K724" s="18">
        <v>1</v>
      </c>
      <c r="L724" s="350">
        <f t="shared" si="406"/>
        <v>8500</v>
      </c>
      <c r="M724" s="356">
        <f t="shared" si="407"/>
        <v>9350</v>
      </c>
      <c r="N724" s="18" t="s">
        <v>1516</v>
      </c>
      <c r="O724" s="454" t="s">
        <v>5887</v>
      </c>
      <c r="Q724" s="18" t="s">
        <v>5449</v>
      </c>
      <c r="R724" s="18" t="s">
        <v>5449</v>
      </c>
    </row>
    <row r="725" spans="1:27" ht="21.75" customHeight="1" x14ac:dyDescent="0.4">
      <c r="A725" s="258">
        <v>46033</v>
      </c>
      <c r="B725" s="325" t="s">
        <v>5890</v>
      </c>
      <c r="C725" s="32" t="s">
        <v>2557</v>
      </c>
      <c r="D725" s="18" t="s">
        <v>22</v>
      </c>
      <c r="E725" s="18" t="s">
        <v>5507</v>
      </c>
      <c r="F725" s="18"/>
      <c r="G725" s="428" t="s">
        <v>5534</v>
      </c>
      <c r="H725" s="350">
        <v>20000</v>
      </c>
      <c r="I725" s="399"/>
      <c r="J725" s="350">
        <f t="shared" si="405"/>
        <v>20000</v>
      </c>
      <c r="K725" s="18">
        <v>1</v>
      </c>
      <c r="L725" s="350">
        <f t="shared" si="406"/>
        <v>20000</v>
      </c>
      <c r="M725" s="356">
        <f t="shared" si="407"/>
        <v>22000</v>
      </c>
      <c r="N725" s="18" t="s">
        <v>1516</v>
      </c>
      <c r="O725" s="455"/>
      <c r="P725" s="18" t="s">
        <v>2595</v>
      </c>
      <c r="Q725" s="18" t="s">
        <v>6004</v>
      </c>
      <c r="R725" s="18" t="s">
        <v>4803</v>
      </c>
      <c r="S725" s="375"/>
    </row>
    <row r="726" spans="1:27" ht="21.75" customHeight="1" x14ac:dyDescent="0.4">
      <c r="A726" s="258">
        <v>46033</v>
      </c>
      <c r="B726" s="325" t="s">
        <v>223</v>
      </c>
      <c r="C726" s="32" t="s">
        <v>2557</v>
      </c>
      <c r="D726" s="18" t="s">
        <v>27</v>
      </c>
      <c r="E726" s="18" t="s">
        <v>4409</v>
      </c>
      <c r="F726" s="258"/>
      <c r="G726" s="63" t="s">
        <v>5036</v>
      </c>
      <c r="H726" s="399">
        <v>17500</v>
      </c>
      <c r="I726" s="399"/>
      <c r="J726" s="350">
        <f t="shared" ref="J726" si="408">SUM(H726:I726)</f>
        <v>17500</v>
      </c>
      <c r="K726" s="18">
        <v>2</v>
      </c>
      <c r="L726" s="350">
        <f t="shared" ref="L726:L727" si="409">SUM(J726*K726)</f>
        <v>35000</v>
      </c>
      <c r="M726" s="356">
        <f t="shared" ref="M726:M727" si="410">ROUNDDOWN(L726*1.1,0)</f>
        <v>38500</v>
      </c>
      <c r="N726" s="18" t="s">
        <v>1516</v>
      </c>
      <c r="O726" s="454" t="s">
        <v>6006</v>
      </c>
      <c r="Q726" s="18" t="s">
        <v>4803</v>
      </c>
      <c r="R726" s="18" t="s">
        <v>4803</v>
      </c>
      <c r="S726" s="375"/>
    </row>
    <row r="727" spans="1:27" ht="21.75" customHeight="1" x14ac:dyDescent="0.4">
      <c r="A727" s="258">
        <v>46033</v>
      </c>
      <c r="B727" s="325" t="s">
        <v>5023</v>
      </c>
      <c r="C727" s="32" t="s">
        <v>2557</v>
      </c>
      <c r="D727" s="258" t="s">
        <v>22</v>
      </c>
      <c r="E727" s="18" t="s">
        <v>1496</v>
      </c>
      <c r="F727" s="18"/>
      <c r="G727" s="63" t="s">
        <v>4869</v>
      </c>
      <c r="H727" s="399">
        <v>2000</v>
      </c>
      <c r="I727" s="399"/>
      <c r="J727" s="350">
        <f t="shared" ref="J727" si="411">SUM(H727:I727)</f>
        <v>2000</v>
      </c>
      <c r="K727" s="18">
        <v>1</v>
      </c>
      <c r="L727" s="350">
        <f t="shared" si="409"/>
        <v>2000</v>
      </c>
      <c r="M727" s="356">
        <f t="shared" si="410"/>
        <v>2200</v>
      </c>
      <c r="N727" s="347" t="s">
        <v>20</v>
      </c>
      <c r="O727" s="455"/>
      <c r="P727" s="18" t="s">
        <v>6007</v>
      </c>
      <c r="Q727" s="18" t="s">
        <v>6007</v>
      </c>
      <c r="R727" s="18" t="s">
        <v>6007</v>
      </c>
    </row>
    <row r="728" spans="1:27" ht="21.75" customHeight="1" x14ac:dyDescent="0.4">
      <c r="A728" s="258">
        <v>46033</v>
      </c>
      <c r="B728" s="325" t="s">
        <v>6010</v>
      </c>
      <c r="C728" s="32" t="s">
        <v>405</v>
      </c>
      <c r="D728" s="18" t="s">
        <v>17</v>
      </c>
      <c r="E728" s="18" t="s">
        <v>332</v>
      </c>
      <c r="F728" s="18" t="s">
        <v>3555</v>
      </c>
      <c r="G728" s="433" t="s">
        <v>6008</v>
      </c>
      <c r="H728" s="399">
        <v>1300</v>
      </c>
      <c r="I728" s="399"/>
      <c r="J728" s="350">
        <f t="shared" ref="J728:J811" si="412">SUM(H728:I728)</f>
        <v>1300</v>
      </c>
      <c r="K728" s="18">
        <v>1</v>
      </c>
      <c r="L728" s="350">
        <f t="shared" ref="L728:L811" si="413">SUM(J728*K728)</f>
        <v>1300</v>
      </c>
      <c r="M728" s="356">
        <f t="shared" ref="M728:M811" si="414">ROUNDDOWN(L728*1.1,0)</f>
        <v>1430</v>
      </c>
      <c r="N728" s="347" t="s">
        <v>20</v>
      </c>
      <c r="O728" s="455"/>
      <c r="Q728" s="18" t="s">
        <v>6009</v>
      </c>
      <c r="R728" s="18" t="s">
        <v>5449</v>
      </c>
      <c r="W728" s="354">
        <f>X728/H728</f>
        <v>0.57999999999999996</v>
      </c>
      <c r="X728" s="355">
        <v>754</v>
      </c>
      <c r="Y728" s="355">
        <f>K728</f>
        <v>1</v>
      </c>
      <c r="Z728" s="355">
        <f>X728*Y728</f>
        <v>754</v>
      </c>
      <c r="AA728" s="355">
        <f t="shared" ref="AA728" si="415">L728-Z728</f>
        <v>546</v>
      </c>
    </row>
    <row r="729" spans="1:27" ht="21.75" customHeight="1" x14ac:dyDescent="0.4">
      <c r="A729" s="258">
        <v>46034</v>
      </c>
      <c r="B729" s="325" t="s">
        <v>6011</v>
      </c>
      <c r="C729" s="32" t="s">
        <v>6012</v>
      </c>
      <c r="D729" s="18" t="s">
        <v>27</v>
      </c>
      <c r="E729" s="18" t="s">
        <v>4409</v>
      </c>
      <c r="F729" s="258"/>
      <c r="G729" s="63" t="s">
        <v>5036</v>
      </c>
      <c r="H729" s="399">
        <v>17500</v>
      </c>
      <c r="I729" s="399"/>
      <c r="J729" s="350">
        <f t="shared" ref="J729:J731" si="416">SUM(H729:I729)</f>
        <v>17500</v>
      </c>
      <c r="K729" s="18">
        <v>1</v>
      </c>
      <c r="L729" s="350">
        <f t="shared" si="413"/>
        <v>17500</v>
      </c>
      <c r="M729" s="356">
        <f t="shared" si="414"/>
        <v>19250</v>
      </c>
      <c r="N729" s="347" t="s">
        <v>20</v>
      </c>
      <c r="O729" s="454" t="s">
        <v>5887</v>
      </c>
      <c r="Q729" s="18" t="s">
        <v>6013</v>
      </c>
      <c r="R729" s="18" t="s">
        <v>6013</v>
      </c>
    </row>
    <row r="730" spans="1:27" ht="21.75" customHeight="1" x14ac:dyDescent="0.4">
      <c r="A730" s="258">
        <v>46034</v>
      </c>
      <c r="B730" s="325" t="s">
        <v>6014</v>
      </c>
      <c r="C730" s="32" t="s">
        <v>405</v>
      </c>
      <c r="D730" s="18" t="s">
        <v>22</v>
      </c>
      <c r="E730" s="18" t="s">
        <v>260</v>
      </c>
      <c r="F730" s="258"/>
      <c r="G730" s="63" t="s">
        <v>1502</v>
      </c>
      <c r="H730" s="399">
        <v>20000</v>
      </c>
      <c r="I730" s="399">
        <v>-5000</v>
      </c>
      <c r="J730" s="350">
        <f t="shared" si="416"/>
        <v>15000</v>
      </c>
      <c r="K730" s="18">
        <v>1</v>
      </c>
      <c r="L730" s="350">
        <f t="shared" si="413"/>
        <v>15000</v>
      </c>
      <c r="M730" s="356">
        <f t="shared" si="414"/>
        <v>16500</v>
      </c>
      <c r="N730" s="347" t="s">
        <v>20</v>
      </c>
      <c r="O730" s="456" t="s">
        <v>6015</v>
      </c>
      <c r="Q730" s="18" t="s">
        <v>6016</v>
      </c>
      <c r="R730" s="18" t="s">
        <v>6013</v>
      </c>
    </row>
    <row r="731" spans="1:27" ht="21.75" customHeight="1" x14ac:dyDescent="0.4">
      <c r="A731" s="258">
        <v>46034</v>
      </c>
      <c r="B731" s="325" t="s">
        <v>3424</v>
      </c>
      <c r="C731" s="32" t="s">
        <v>2557</v>
      </c>
      <c r="D731" s="258" t="s">
        <v>22</v>
      </c>
      <c r="E731" s="18" t="s">
        <v>1496</v>
      </c>
      <c r="F731" s="18"/>
      <c r="G731" s="63" t="s">
        <v>4869</v>
      </c>
      <c r="H731" s="399">
        <v>2000</v>
      </c>
      <c r="I731" s="399"/>
      <c r="J731" s="350">
        <f t="shared" si="416"/>
        <v>2000</v>
      </c>
      <c r="K731" s="18">
        <v>1</v>
      </c>
      <c r="L731" s="350">
        <f t="shared" si="413"/>
        <v>2000</v>
      </c>
      <c r="M731" s="356">
        <f t="shared" si="414"/>
        <v>2200</v>
      </c>
      <c r="N731" s="18" t="s">
        <v>1516</v>
      </c>
      <c r="O731" s="455"/>
      <c r="P731" s="18" t="s">
        <v>6013</v>
      </c>
      <c r="Q731" s="18" t="s">
        <v>6013</v>
      </c>
      <c r="R731" s="18" t="s">
        <v>6013</v>
      </c>
    </row>
    <row r="732" spans="1:27" ht="21.75" customHeight="1" x14ac:dyDescent="0.4">
      <c r="A732" s="258">
        <v>46034</v>
      </c>
      <c r="B732" s="325" t="s">
        <v>6035</v>
      </c>
      <c r="C732" s="32" t="s">
        <v>5802</v>
      </c>
      <c r="D732" s="18" t="s">
        <v>22</v>
      </c>
      <c r="E732" s="18" t="s">
        <v>1496</v>
      </c>
      <c r="F732" s="18"/>
      <c r="G732" s="63" t="s">
        <v>2422</v>
      </c>
      <c r="H732" s="350">
        <v>2000</v>
      </c>
      <c r="I732" s="399"/>
      <c r="J732" s="350">
        <v>2000</v>
      </c>
      <c r="K732" s="18">
        <v>1</v>
      </c>
      <c r="L732" s="350">
        <f t="shared" ref="L732" si="417">SUM(J732*K732)</f>
        <v>2000</v>
      </c>
      <c r="M732" s="356">
        <f t="shared" ref="M732" si="418">ROUNDDOWN(L732*1.1,0)</f>
        <v>2200</v>
      </c>
      <c r="N732" s="347" t="s">
        <v>20</v>
      </c>
      <c r="O732" s="455"/>
      <c r="R732" s="18" t="s">
        <v>6020</v>
      </c>
    </row>
    <row r="733" spans="1:27" ht="21.75" customHeight="1" x14ac:dyDescent="0.4">
      <c r="A733" s="258">
        <v>46034</v>
      </c>
      <c r="B733" s="325" t="s">
        <v>6017</v>
      </c>
      <c r="C733" s="32" t="s">
        <v>405</v>
      </c>
      <c r="D733" s="18" t="s">
        <v>317</v>
      </c>
      <c r="E733" s="18" t="s">
        <v>28</v>
      </c>
      <c r="F733" s="18"/>
      <c r="G733" s="63" t="s">
        <v>5038</v>
      </c>
      <c r="H733" s="399">
        <v>5000</v>
      </c>
      <c r="I733" s="399"/>
      <c r="J733" s="350">
        <f t="shared" si="412"/>
        <v>5000</v>
      </c>
      <c r="K733" s="18">
        <v>1</v>
      </c>
      <c r="L733" s="350">
        <f t="shared" si="413"/>
        <v>5000</v>
      </c>
      <c r="M733" s="356">
        <f t="shared" si="414"/>
        <v>5500</v>
      </c>
      <c r="N733" s="18" t="s">
        <v>1516</v>
      </c>
      <c r="O733" s="455"/>
      <c r="P733" s="18" t="s">
        <v>6018</v>
      </c>
      <c r="Q733" s="18" t="s">
        <v>6018</v>
      </c>
      <c r="R733" s="18" t="s">
        <v>6018</v>
      </c>
    </row>
    <row r="734" spans="1:27" ht="21.75" customHeight="1" x14ac:dyDescent="0.4">
      <c r="A734" s="258">
        <v>46035</v>
      </c>
      <c r="B734" s="325" t="s">
        <v>6019</v>
      </c>
      <c r="C734" s="32" t="s">
        <v>2557</v>
      </c>
      <c r="D734" s="18" t="s">
        <v>17</v>
      </c>
      <c r="E734" s="258" t="s">
        <v>328</v>
      </c>
      <c r="F734" s="258" t="s">
        <v>788</v>
      </c>
      <c r="G734" s="433" t="s">
        <v>6043</v>
      </c>
      <c r="H734" s="399">
        <v>50000</v>
      </c>
      <c r="I734" s="399">
        <v>-5000</v>
      </c>
      <c r="J734" s="350">
        <f t="shared" si="412"/>
        <v>45000</v>
      </c>
      <c r="K734" s="18">
        <v>1</v>
      </c>
      <c r="L734" s="350">
        <f t="shared" si="413"/>
        <v>45000</v>
      </c>
      <c r="M734" s="356">
        <f t="shared" si="414"/>
        <v>49500</v>
      </c>
      <c r="N734" s="18" t="s">
        <v>1121</v>
      </c>
      <c r="O734" s="455"/>
      <c r="Q734" s="18" t="s">
        <v>4803</v>
      </c>
      <c r="R734" s="18" t="s">
        <v>4803</v>
      </c>
      <c r="W734" s="354">
        <v>0.45</v>
      </c>
      <c r="X734" s="355">
        <f>H734*W734</f>
        <v>22500</v>
      </c>
      <c r="Y734" s="355">
        <f>K734</f>
        <v>1</v>
      </c>
      <c r="Z734" s="355">
        <f t="shared" ref="Z734:Z735" si="419">X734*Y734</f>
        <v>22500</v>
      </c>
      <c r="AA734" s="355">
        <f>L734-Z734</f>
        <v>22500</v>
      </c>
    </row>
    <row r="735" spans="1:27" ht="21.75" customHeight="1" x14ac:dyDescent="0.4">
      <c r="A735" s="258">
        <v>46035</v>
      </c>
      <c r="B735" s="325" t="s">
        <v>6019</v>
      </c>
      <c r="C735" s="32" t="s">
        <v>2557</v>
      </c>
      <c r="D735" s="18" t="s">
        <v>17</v>
      </c>
      <c r="E735" s="18" t="s">
        <v>332</v>
      </c>
      <c r="F735" s="18" t="s">
        <v>3555</v>
      </c>
      <c r="G735" s="432" t="s">
        <v>6044</v>
      </c>
      <c r="H735" s="399">
        <v>1300</v>
      </c>
      <c r="I735" s="399">
        <v>-130</v>
      </c>
      <c r="J735" s="350">
        <f t="shared" si="412"/>
        <v>1170</v>
      </c>
      <c r="K735" s="18">
        <v>15</v>
      </c>
      <c r="L735" s="350">
        <f t="shared" si="413"/>
        <v>17550</v>
      </c>
      <c r="M735" s="356">
        <f t="shared" si="414"/>
        <v>19305</v>
      </c>
      <c r="N735" s="18" t="s">
        <v>1121</v>
      </c>
      <c r="O735" s="455"/>
      <c r="Q735" s="18" t="s">
        <v>4803</v>
      </c>
      <c r="R735" s="18" t="s">
        <v>4803</v>
      </c>
      <c r="W735" s="354">
        <f>X735/H735</f>
        <v>0.57999999999999996</v>
      </c>
      <c r="X735" s="355">
        <v>754</v>
      </c>
      <c r="Y735" s="355">
        <f>K735</f>
        <v>15</v>
      </c>
      <c r="Z735" s="355">
        <f t="shared" si="419"/>
        <v>11310</v>
      </c>
      <c r="AA735" s="355">
        <f>L735-Z735</f>
        <v>6240</v>
      </c>
    </row>
    <row r="736" spans="1:27" ht="21.75" customHeight="1" x14ac:dyDescent="0.4">
      <c r="A736" s="258">
        <v>46035</v>
      </c>
      <c r="B736" s="325" t="s">
        <v>6019</v>
      </c>
      <c r="C736" s="32" t="s">
        <v>2557</v>
      </c>
      <c r="D736" s="18" t="s">
        <v>27</v>
      </c>
      <c r="E736" s="18" t="s">
        <v>4409</v>
      </c>
      <c r="F736" s="258"/>
      <c r="G736" s="63" t="s">
        <v>5858</v>
      </c>
      <c r="H736" s="399">
        <v>22500</v>
      </c>
      <c r="I736" s="399"/>
      <c r="J736" s="350">
        <f t="shared" si="412"/>
        <v>22500</v>
      </c>
      <c r="K736" s="18">
        <v>2</v>
      </c>
      <c r="L736" s="350">
        <f t="shared" si="413"/>
        <v>45000</v>
      </c>
      <c r="M736" s="356">
        <f t="shared" si="414"/>
        <v>49500</v>
      </c>
      <c r="N736" s="18" t="s">
        <v>1516</v>
      </c>
      <c r="O736" s="454" t="s">
        <v>6006</v>
      </c>
      <c r="Q736" s="18" t="s">
        <v>4803</v>
      </c>
      <c r="R736" s="18" t="s">
        <v>4803</v>
      </c>
    </row>
    <row r="737" spans="1:27" ht="21.75" customHeight="1" x14ac:dyDescent="0.4">
      <c r="A737" s="258">
        <v>46036</v>
      </c>
      <c r="B737" s="325" t="s">
        <v>6021</v>
      </c>
      <c r="C737" s="32" t="s">
        <v>6022</v>
      </c>
      <c r="D737" s="258" t="s">
        <v>6023</v>
      </c>
      <c r="E737" s="258" t="s">
        <v>332</v>
      </c>
      <c r="F737" s="258" t="s">
        <v>3554</v>
      </c>
      <c r="G737" s="433" t="s">
        <v>6024</v>
      </c>
      <c r="H737" s="399">
        <v>1300</v>
      </c>
      <c r="I737" s="399">
        <v>-130</v>
      </c>
      <c r="J737" s="350">
        <f t="shared" si="412"/>
        <v>1170</v>
      </c>
      <c r="K737" s="18">
        <v>1</v>
      </c>
      <c r="L737" s="350">
        <f t="shared" si="413"/>
        <v>1170</v>
      </c>
      <c r="M737" s="356">
        <f t="shared" si="414"/>
        <v>1287</v>
      </c>
      <c r="N737" s="258" t="s">
        <v>1516</v>
      </c>
      <c r="O737" s="455"/>
      <c r="P737" s="18" t="s">
        <v>6025</v>
      </c>
      <c r="Q737" s="18" t="s">
        <v>6025</v>
      </c>
      <c r="R737" s="18" t="s">
        <v>6025</v>
      </c>
      <c r="W737" s="354">
        <f t="shared" ref="W737:W738" si="420">X737/H737</f>
        <v>0.62538461538461543</v>
      </c>
      <c r="X737" s="355">
        <v>813</v>
      </c>
      <c r="Y737" s="355">
        <f t="shared" ref="Y737:Y738" si="421">K737</f>
        <v>1</v>
      </c>
      <c r="Z737" s="355">
        <f t="shared" ref="Z737:Z738" si="422">X737*Y737</f>
        <v>813</v>
      </c>
      <c r="AA737" s="355">
        <f t="shared" ref="AA737:AA738" si="423">L737-Z737</f>
        <v>357</v>
      </c>
    </row>
    <row r="738" spans="1:27" ht="21.75" customHeight="1" x14ac:dyDescent="0.4">
      <c r="A738" s="258">
        <v>46036</v>
      </c>
      <c r="B738" s="325" t="s">
        <v>6026</v>
      </c>
      <c r="C738" s="32" t="s">
        <v>6022</v>
      </c>
      <c r="D738" s="258" t="s">
        <v>17</v>
      </c>
      <c r="E738" s="258" t="s">
        <v>426</v>
      </c>
      <c r="F738" s="18" t="s">
        <v>994</v>
      </c>
      <c r="G738" s="433" t="s">
        <v>5972</v>
      </c>
      <c r="H738" s="399">
        <v>1800</v>
      </c>
      <c r="I738" s="399">
        <v>-180</v>
      </c>
      <c r="J738" s="350">
        <f t="shared" si="412"/>
        <v>1620</v>
      </c>
      <c r="K738" s="18">
        <v>1</v>
      </c>
      <c r="L738" s="350">
        <f t="shared" si="413"/>
        <v>1620</v>
      </c>
      <c r="M738" s="356">
        <f t="shared" si="414"/>
        <v>1782</v>
      </c>
      <c r="N738" s="258" t="s">
        <v>6027</v>
      </c>
      <c r="O738" s="455"/>
      <c r="P738" s="18" t="s">
        <v>6025</v>
      </c>
      <c r="Q738" s="18" t="s">
        <v>6025</v>
      </c>
      <c r="R738" s="18" t="s">
        <v>6025</v>
      </c>
      <c r="W738" s="354">
        <f t="shared" si="420"/>
        <v>0.6</v>
      </c>
      <c r="X738" s="355">
        <v>1080</v>
      </c>
      <c r="Y738" s="355">
        <f t="shared" si="421"/>
        <v>1</v>
      </c>
      <c r="Z738" s="355">
        <f t="shared" si="422"/>
        <v>1080</v>
      </c>
      <c r="AA738" s="355">
        <f t="shared" si="423"/>
        <v>540</v>
      </c>
    </row>
    <row r="739" spans="1:27" ht="21.75" customHeight="1" x14ac:dyDescent="0.4">
      <c r="A739" s="258">
        <v>46036</v>
      </c>
      <c r="B739" s="325" t="s">
        <v>6028</v>
      </c>
      <c r="C739" s="32" t="s">
        <v>6022</v>
      </c>
      <c r="D739" s="18" t="s">
        <v>27</v>
      </c>
      <c r="E739" s="18" t="s">
        <v>4409</v>
      </c>
      <c r="F739" s="258"/>
      <c r="G739" s="63" t="s">
        <v>6029</v>
      </c>
      <c r="H739" s="399">
        <v>4250</v>
      </c>
      <c r="I739" s="399"/>
      <c r="J739" s="350">
        <f t="shared" si="412"/>
        <v>4250</v>
      </c>
      <c r="K739" s="18">
        <v>1</v>
      </c>
      <c r="L739" s="350">
        <f t="shared" si="413"/>
        <v>4250</v>
      </c>
      <c r="M739" s="356">
        <f t="shared" si="414"/>
        <v>4675</v>
      </c>
      <c r="N739" s="258" t="s">
        <v>1516</v>
      </c>
      <c r="O739" s="454" t="s">
        <v>5887</v>
      </c>
      <c r="Q739" s="18" t="s">
        <v>4803</v>
      </c>
      <c r="R739" s="18" t="s">
        <v>4803</v>
      </c>
    </row>
    <row r="740" spans="1:27" ht="21.75" customHeight="1" x14ac:dyDescent="0.4">
      <c r="A740" s="258">
        <v>46036</v>
      </c>
      <c r="B740" s="325" t="s">
        <v>6028</v>
      </c>
      <c r="C740" s="32" t="s">
        <v>6022</v>
      </c>
      <c r="D740" s="18" t="s">
        <v>27</v>
      </c>
      <c r="E740" s="18" t="s">
        <v>4409</v>
      </c>
      <c r="F740" s="258"/>
      <c r="G740" s="63" t="s">
        <v>6005</v>
      </c>
      <c r="H740" s="399">
        <v>8500</v>
      </c>
      <c r="I740" s="399"/>
      <c r="J740" s="350">
        <f t="shared" si="412"/>
        <v>8500</v>
      </c>
      <c r="K740" s="18">
        <v>1</v>
      </c>
      <c r="L740" s="350">
        <f t="shared" si="413"/>
        <v>8500</v>
      </c>
      <c r="M740" s="356">
        <f t="shared" si="414"/>
        <v>9350</v>
      </c>
      <c r="N740" s="258" t="s">
        <v>1516</v>
      </c>
      <c r="O740" s="454" t="s">
        <v>6030</v>
      </c>
      <c r="Q740" s="18" t="s">
        <v>4803</v>
      </c>
      <c r="R740" s="18" t="s">
        <v>4803</v>
      </c>
    </row>
    <row r="741" spans="1:27" ht="21.75" customHeight="1" x14ac:dyDescent="0.4">
      <c r="A741" s="258">
        <v>46036</v>
      </c>
      <c r="B741" s="325" t="s">
        <v>6028</v>
      </c>
      <c r="C741" s="32" t="s">
        <v>6022</v>
      </c>
      <c r="D741" s="18" t="s">
        <v>27</v>
      </c>
      <c r="E741" s="242" t="s">
        <v>5237</v>
      </c>
      <c r="F741" s="18"/>
      <c r="G741" s="63" t="s">
        <v>6032</v>
      </c>
      <c r="H741" s="399">
        <v>2500</v>
      </c>
      <c r="I741" s="399"/>
      <c r="J741" s="350">
        <f t="shared" si="412"/>
        <v>2500</v>
      </c>
      <c r="K741" s="18">
        <v>1</v>
      </c>
      <c r="L741" s="350">
        <f t="shared" si="413"/>
        <v>2500</v>
      </c>
      <c r="M741" s="356">
        <f t="shared" si="414"/>
        <v>2750</v>
      </c>
      <c r="N741" s="258" t="s">
        <v>1516</v>
      </c>
      <c r="O741" s="455"/>
      <c r="Q741" s="18" t="s">
        <v>4803</v>
      </c>
      <c r="R741" s="18" t="s">
        <v>4803</v>
      </c>
    </row>
    <row r="742" spans="1:27" ht="21.75" customHeight="1" x14ac:dyDescent="0.4">
      <c r="A742" s="258">
        <v>46036</v>
      </c>
      <c r="B742" s="325" t="s">
        <v>6028</v>
      </c>
      <c r="C742" s="32" t="s">
        <v>2557</v>
      </c>
      <c r="D742" s="258" t="s">
        <v>22</v>
      </c>
      <c r="E742" s="18" t="s">
        <v>1496</v>
      </c>
      <c r="F742" s="18"/>
      <c r="G742" s="63" t="s">
        <v>4869</v>
      </c>
      <c r="H742" s="399">
        <v>2000</v>
      </c>
      <c r="I742" s="399"/>
      <c r="J742" s="399">
        <f t="shared" ref="J742" si="424">SUM(H742:I742)</f>
        <v>2000</v>
      </c>
      <c r="K742" s="18">
        <v>1</v>
      </c>
      <c r="L742" s="350">
        <f t="shared" ref="L742" si="425">SUM(J742*K742)</f>
        <v>2000</v>
      </c>
      <c r="M742" s="356">
        <f t="shared" ref="M742" si="426">ROUNDDOWN(L742*1.1,0)</f>
        <v>2200</v>
      </c>
      <c r="N742" s="258" t="s">
        <v>1516</v>
      </c>
      <c r="O742" s="455"/>
      <c r="P742" s="18" t="s">
        <v>6031</v>
      </c>
      <c r="Q742" s="18" t="s">
        <v>4803</v>
      </c>
      <c r="R742" s="18" t="s">
        <v>4803</v>
      </c>
    </row>
    <row r="743" spans="1:27" ht="21.75" customHeight="1" x14ac:dyDescent="0.4">
      <c r="A743" s="258">
        <v>46036</v>
      </c>
      <c r="B743" s="325" t="s">
        <v>6033</v>
      </c>
      <c r="C743" s="32" t="s">
        <v>6022</v>
      </c>
      <c r="D743" s="18" t="s">
        <v>27</v>
      </c>
      <c r="E743" s="18" t="s">
        <v>4409</v>
      </c>
      <c r="F743" s="258"/>
      <c r="G743" s="63" t="s">
        <v>5036</v>
      </c>
      <c r="H743" s="399">
        <v>17500</v>
      </c>
      <c r="I743" s="399"/>
      <c r="J743" s="350">
        <f t="shared" si="412"/>
        <v>17500</v>
      </c>
      <c r="K743" s="18">
        <v>1</v>
      </c>
      <c r="L743" s="350">
        <f t="shared" si="413"/>
        <v>17500</v>
      </c>
      <c r="M743" s="356">
        <f t="shared" si="414"/>
        <v>19250</v>
      </c>
      <c r="N743" s="258" t="s">
        <v>1516</v>
      </c>
      <c r="O743" s="454" t="s">
        <v>5887</v>
      </c>
      <c r="Q743" s="18" t="s">
        <v>6034</v>
      </c>
      <c r="R743" s="18" t="s">
        <v>6034</v>
      </c>
    </row>
    <row r="744" spans="1:27" ht="21.75" customHeight="1" x14ac:dyDescent="0.4">
      <c r="A744" s="258">
        <v>46036</v>
      </c>
      <c r="B744" s="325" t="s">
        <v>1861</v>
      </c>
      <c r="C744" s="32" t="s">
        <v>2557</v>
      </c>
      <c r="D744" s="258" t="s">
        <v>22</v>
      </c>
      <c r="E744" s="18" t="s">
        <v>1496</v>
      </c>
      <c r="F744" s="18"/>
      <c r="G744" s="63" t="s">
        <v>4869</v>
      </c>
      <c r="H744" s="399">
        <v>2000</v>
      </c>
      <c r="I744" s="399"/>
      <c r="J744" s="399">
        <f t="shared" ref="J744" si="427">SUM(H744:I744)</f>
        <v>2000</v>
      </c>
      <c r="K744" s="18">
        <v>1</v>
      </c>
      <c r="L744" s="350">
        <f t="shared" si="413"/>
        <v>2000</v>
      </c>
      <c r="M744" s="356">
        <f t="shared" si="414"/>
        <v>2200</v>
      </c>
      <c r="N744" s="258" t="s">
        <v>1516</v>
      </c>
      <c r="O744" s="455"/>
      <c r="P744" s="18" t="s">
        <v>6037</v>
      </c>
      <c r="Q744" s="18" t="s">
        <v>6037</v>
      </c>
      <c r="R744" s="18" t="s">
        <v>6037</v>
      </c>
    </row>
    <row r="745" spans="1:27" ht="21.75" customHeight="1" x14ac:dyDescent="0.4">
      <c r="A745" s="258">
        <v>46036</v>
      </c>
      <c r="B745" s="325" t="s">
        <v>6036</v>
      </c>
      <c r="C745" s="32" t="s">
        <v>6022</v>
      </c>
      <c r="D745" s="18" t="s">
        <v>6933</v>
      </c>
      <c r="E745" s="18" t="s">
        <v>4409</v>
      </c>
      <c r="F745" s="258"/>
      <c r="G745" s="63" t="s">
        <v>5036</v>
      </c>
      <c r="H745" s="399">
        <v>17500</v>
      </c>
      <c r="I745" s="399"/>
      <c r="J745" s="350">
        <f t="shared" ref="J745" si="428">SUM(H745:I745)</f>
        <v>17500</v>
      </c>
      <c r="K745" s="18">
        <v>1</v>
      </c>
      <c r="L745" s="350">
        <f t="shared" ref="L745" si="429">SUM(J745*K745)</f>
        <v>17500</v>
      </c>
      <c r="M745" s="356">
        <f t="shared" ref="M745" si="430">ROUNDDOWN(L745*1.1,0)</f>
        <v>19250</v>
      </c>
      <c r="N745" s="258" t="s">
        <v>1516</v>
      </c>
      <c r="O745" s="454" t="s">
        <v>6030</v>
      </c>
      <c r="Q745" s="18" t="s">
        <v>6042</v>
      </c>
      <c r="R745" s="18" t="s">
        <v>6042</v>
      </c>
    </row>
    <row r="746" spans="1:27" ht="21.75" customHeight="1" x14ac:dyDescent="0.4">
      <c r="A746" s="258">
        <v>46036</v>
      </c>
      <c r="B746" s="325" t="s">
        <v>6038</v>
      </c>
      <c r="C746" s="32" t="s">
        <v>405</v>
      </c>
      <c r="D746" s="18" t="s">
        <v>17</v>
      </c>
      <c r="E746" s="258" t="s">
        <v>328</v>
      </c>
      <c r="F746" s="258" t="s">
        <v>6039</v>
      </c>
      <c r="G746" s="433" t="s">
        <v>6040</v>
      </c>
      <c r="H746" s="399">
        <v>70000</v>
      </c>
      <c r="I746" s="399">
        <v>-14000</v>
      </c>
      <c r="J746" s="350">
        <f t="shared" si="412"/>
        <v>56000</v>
      </c>
      <c r="K746" s="18">
        <v>1</v>
      </c>
      <c r="L746" s="350">
        <f t="shared" si="413"/>
        <v>56000</v>
      </c>
      <c r="M746" s="356">
        <f t="shared" si="414"/>
        <v>61600</v>
      </c>
      <c r="N746" s="18" t="s">
        <v>1121</v>
      </c>
      <c r="O746" s="455"/>
      <c r="P746" s="18" t="s">
        <v>6041</v>
      </c>
      <c r="Q746" s="18" t="s">
        <v>6041</v>
      </c>
      <c r="R746" s="18" t="s">
        <v>6042</v>
      </c>
      <c r="S746" s="375"/>
      <c r="W746" s="354">
        <f t="shared" ref="W746:W747" si="431">X746/H746</f>
        <v>0.55000000000000004</v>
      </c>
      <c r="X746" s="355">
        <v>38500</v>
      </c>
      <c r="Y746" s="355">
        <f t="shared" ref="Y746:Y747" si="432">K746</f>
        <v>1</v>
      </c>
      <c r="Z746" s="355">
        <f t="shared" ref="Z746:Z747" si="433">X746*Y746</f>
        <v>38500</v>
      </c>
      <c r="AA746" s="355">
        <f t="shared" ref="AA746:AA747" si="434">L746-Z746</f>
        <v>17500</v>
      </c>
    </row>
    <row r="747" spans="1:27" ht="21.75" customHeight="1" x14ac:dyDescent="0.4">
      <c r="A747" s="258">
        <v>46037</v>
      </c>
      <c r="B747" s="325" t="s">
        <v>6045</v>
      </c>
      <c r="C747" s="32" t="s">
        <v>2557</v>
      </c>
      <c r="D747" s="258" t="s">
        <v>17</v>
      </c>
      <c r="E747" s="258" t="s">
        <v>292</v>
      </c>
      <c r="F747" s="18" t="s">
        <v>3642</v>
      </c>
      <c r="G747" s="433" t="s">
        <v>6047</v>
      </c>
      <c r="H747" s="399">
        <v>4500</v>
      </c>
      <c r="I747" s="399"/>
      <c r="J747" s="350">
        <f t="shared" ref="J747:J748" si="435">SUM(H747:I747)</f>
        <v>4500</v>
      </c>
      <c r="K747" s="18">
        <v>1</v>
      </c>
      <c r="L747" s="350">
        <f t="shared" si="413"/>
        <v>4500</v>
      </c>
      <c r="M747" s="356">
        <f t="shared" si="414"/>
        <v>4950</v>
      </c>
      <c r="N747" s="18" t="s">
        <v>1516</v>
      </c>
      <c r="O747" s="455"/>
      <c r="Q747" s="18" t="s">
        <v>6046</v>
      </c>
      <c r="R747" s="18" t="s">
        <v>6046</v>
      </c>
      <c r="S747" s="375"/>
      <c r="W747" s="354">
        <f t="shared" si="431"/>
        <v>1.05</v>
      </c>
      <c r="X747" s="355">
        <v>4725</v>
      </c>
      <c r="Y747" s="355">
        <f t="shared" si="432"/>
        <v>1</v>
      </c>
      <c r="Z747" s="355">
        <f t="shared" si="433"/>
        <v>4725</v>
      </c>
      <c r="AA747" s="355">
        <f t="shared" si="434"/>
        <v>-225</v>
      </c>
    </row>
    <row r="748" spans="1:27" ht="21.75" customHeight="1" x14ac:dyDescent="0.4">
      <c r="A748" s="258">
        <v>46037</v>
      </c>
      <c r="B748" s="325" t="s">
        <v>5069</v>
      </c>
      <c r="C748" s="32" t="s">
        <v>2557</v>
      </c>
      <c r="D748" s="258" t="s">
        <v>22</v>
      </c>
      <c r="E748" s="18" t="s">
        <v>1496</v>
      </c>
      <c r="F748" s="18"/>
      <c r="G748" s="63" t="s">
        <v>4869</v>
      </c>
      <c r="H748" s="399">
        <v>2000</v>
      </c>
      <c r="I748" s="353"/>
      <c r="J748" s="399">
        <f t="shared" si="435"/>
        <v>2000</v>
      </c>
      <c r="K748" s="18">
        <v>2</v>
      </c>
      <c r="L748" s="350">
        <f t="shared" si="413"/>
        <v>4000</v>
      </c>
      <c r="M748" s="356">
        <f t="shared" si="414"/>
        <v>4400</v>
      </c>
      <c r="N748" s="18" t="s">
        <v>1516</v>
      </c>
      <c r="O748" s="455"/>
      <c r="P748" s="18" t="s">
        <v>6048</v>
      </c>
      <c r="Q748" s="18" t="s">
        <v>6048</v>
      </c>
      <c r="R748" s="18" t="s">
        <v>6046</v>
      </c>
    </row>
    <row r="749" spans="1:27" ht="21.75" customHeight="1" x14ac:dyDescent="0.4">
      <c r="A749" s="258">
        <v>46037</v>
      </c>
      <c r="B749" s="325" t="s">
        <v>5069</v>
      </c>
      <c r="C749" s="32" t="s">
        <v>2557</v>
      </c>
      <c r="D749" s="258" t="s">
        <v>17</v>
      </c>
      <c r="E749" s="258" t="s">
        <v>426</v>
      </c>
      <c r="F749" s="18" t="s">
        <v>994</v>
      </c>
      <c r="G749" s="433" t="s">
        <v>6050</v>
      </c>
      <c r="H749" s="399">
        <v>1800</v>
      </c>
      <c r="I749" s="399">
        <v>-180</v>
      </c>
      <c r="J749" s="350">
        <f t="shared" ref="J749:J754" si="436">SUM(H749:I749)</f>
        <v>1620</v>
      </c>
      <c r="K749" s="18">
        <v>1</v>
      </c>
      <c r="L749" s="350">
        <f t="shared" ref="L749:L754" si="437">SUM(J749*K749)</f>
        <v>1620</v>
      </c>
      <c r="M749" s="356">
        <f t="shared" ref="M749:M754" si="438">ROUNDDOWN(L749*1.1,0)</f>
        <v>1782</v>
      </c>
      <c r="N749" s="18" t="s">
        <v>1516</v>
      </c>
      <c r="O749" s="455"/>
      <c r="Q749" s="18" t="s">
        <v>5449</v>
      </c>
      <c r="R749" s="18" t="s">
        <v>4803</v>
      </c>
      <c r="W749" s="354">
        <f t="shared" ref="W749:W750" si="439">X749/H749</f>
        <v>0.6</v>
      </c>
      <c r="X749" s="355">
        <v>1080</v>
      </c>
      <c r="Y749" s="355">
        <f t="shared" ref="Y749:Y750" si="440">K749</f>
        <v>1</v>
      </c>
      <c r="Z749" s="355">
        <f t="shared" ref="Z749:Z750" si="441">X749*Y749</f>
        <v>1080</v>
      </c>
      <c r="AA749" s="355">
        <f t="shared" ref="AA749:AA750" si="442">L749-Z749</f>
        <v>540</v>
      </c>
    </row>
    <row r="750" spans="1:27" ht="21.75" customHeight="1" x14ac:dyDescent="0.4">
      <c r="A750" s="258">
        <v>46037</v>
      </c>
      <c r="B750" s="325" t="s">
        <v>5069</v>
      </c>
      <c r="C750" s="32" t="s">
        <v>2557</v>
      </c>
      <c r="D750" s="258" t="s">
        <v>17</v>
      </c>
      <c r="E750" s="258" t="s">
        <v>426</v>
      </c>
      <c r="F750" s="18" t="s">
        <v>994</v>
      </c>
      <c r="G750" s="433" t="s">
        <v>6049</v>
      </c>
      <c r="H750" s="399">
        <v>1800</v>
      </c>
      <c r="I750" s="399">
        <v>-180</v>
      </c>
      <c r="J750" s="350">
        <f t="shared" si="436"/>
        <v>1620</v>
      </c>
      <c r="K750" s="18">
        <v>1</v>
      </c>
      <c r="L750" s="350">
        <f t="shared" si="437"/>
        <v>1620</v>
      </c>
      <c r="M750" s="356">
        <f t="shared" si="438"/>
        <v>1782</v>
      </c>
      <c r="N750" s="18" t="s">
        <v>1516</v>
      </c>
      <c r="O750" s="455"/>
      <c r="Q750" s="18" t="s">
        <v>5449</v>
      </c>
      <c r="R750" s="18" t="s">
        <v>4803</v>
      </c>
      <c r="S750" s="375"/>
      <c r="W750" s="354">
        <f t="shared" si="439"/>
        <v>0.6</v>
      </c>
      <c r="X750" s="355">
        <v>1080</v>
      </c>
      <c r="Y750" s="355">
        <f t="shared" si="440"/>
        <v>1</v>
      </c>
      <c r="Z750" s="355">
        <f t="shared" si="441"/>
        <v>1080</v>
      </c>
      <c r="AA750" s="355">
        <f t="shared" si="442"/>
        <v>540</v>
      </c>
    </row>
    <row r="751" spans="1:27" ht="21.75" customHeight="1" x14ac:dyDescent="0.4">
      <c r="A751" s="258">
        <v>46037</v>
      </c>
      <c r="B751" s="325" t="s">
        <v>1059</v>
      </c>
      <c r="C751" s="32" t="s">
        <v>2557</v>
      </c>
      <c r="D751" s="18" t="s">
        <v>27</v>
      </c>
      <c r="E751" s="242" t="s">
        <v>5237</v>
      </c>
      <c r="F751" s="18"/>
      <c r="G751" s="63" t="s">
        <v>6032</v>
      </c>
      <c r="H751" s="399">
        <v>2500</v>
      </c>
      <c r="I751" s="399"/>
      <c r="J751" s="350">
        <f t="shared" si="436"/>
        <v>2500</v>
      </c>
      <c r="K751" s="18">
        <v>1</v>
      </c>
      <c r="L751" s="350">
        <f t="shared" si="437"/>
        <v>2500</v>
      </c>
      <c r="M751" s="356">
        <f t="shared" si="438"/>
        <v>2750</v>
      </c>
      <c r="N751" s="18" t="s">
        <v>6147</v>
      </c>
      <c r="O751" s="455"/>
      <c r="R751" s="18" t="s">
        <v>4803</v>
      </c>
      <c r="S751" s="375"/>
    </row>
    <row r="752" spans="1:27" ht="21.75" customHeight="1" x14ac:dyDescent="0.4">
      <c r="A752" s="258">
        <v>46037</v>
      </c>
      <c r="B752" s="325" t="s">
        <v>1059</v>
      </c>
      <c r="C752" s="32" t="s">
        <v>2557</v>
      </c>
      <c r="D752" s="18" t="s">
        <v>27</v>
      </c>
      <c r="E752" s="242" t="s">
        <v>5237</v>
      </c>
      <c r="F752" s="258"/>
      <c r="G752" s="433" t="s">
        <v>6148</v>
      </c>
      <c r="H752" s="399">
        <v>1800</v>
      </c>
      <c r="I752" s="399"/>
      <c r="J752" s="350">
        <f t="shared" si="436"/>
        <v>1800</v>
      </c>
      <c r="K752" s="18">
        <v>1</v>
      </c>
      <c r="L752" s="350">
        <f t="shared" si="437"/>
        <v>1800</v>
      </c>
      <c r="M752" s="356">
        <f t="shared" si="438"/>
        <v>1980</v>
      </c>
      <c r="N752" s="18" t="s">
        <v>6147</v>
      </c>
      <c r="O752" s="455"/>
      <c r="R752" s="18" t="s">
        <v>4803</v>
      </c>
      <c r="S752" s="375"/>
    </row>
    <row r="753" spans="1:27" ht="21.75" customHeight="1" x14ac:dyDescent="0.4">
      <c r="A753" s="258">
        <v>46038</v>
      </c>
      <c r="B753" s="325" t="s">
        <v>6051</v>
      </c>
      <c r="C753" s="32" t="s">
        <v>405</v>
      </c>
      <c r="D753" s="18" t="s">
        <v>317</v>
      </c>
      <c r="E753" s="18" t="s">
        <v>28</v>
      </c>
      <c r="F753" s="18"/>
      <c r="G753" s="63" t="s">
        <v>5038</v>
      </c>
      <c r="H753" s="399">
        <v>5000</v>
      </c>
      <c r="I753" s="399"/>
      <c r="J753" s="350">
        <f t="shared" si="436"/>
        <v>5000</v>
      </c>
      <c r="K753" s="18">
        <v>1</v>
      </c>
      <c r="L753" s="350">
        <f t="shared" si="437"/>
        <v>5000</v>
      </c>
      <c r="M753" s="356">
        <f t="shared" si="438"/>
        <v>5500</v>
      </c>
      <c r="N753" s="18" t="s">
        <v>1516</v>
      </c>
      <c r="O753" s="455"/>
      <c r="P753" s="18" t="s">
        <v>6052</v>
      </c>
      <c r="Q753" s="18" t="s">
        <v>6053</v>
      </c>
      <c r="R753" s="18" t="s">
        <v>6053</v>
      </c>
    </row>
    <row r="754" spans="1:27" ht="21.75" customHeight="1" x14ac:dyDescent="0.4">
      <c r="A754" s="258">
        <v>46038</v>
      </c>
      <c r="B754" s="325" t="s">
        <v>4996</v>
      </c>
      <c r="C754" s="32" t="s">
        <v>405</v>
      </c>
      <c r="D754" s="258" t="s">
        <v>17</v>
      </c>
      <c r="E754" s="258" t="s">
        <v>328</v>
      </c>
      <c r="F754" s="258" t="s">
        <v>788</v>
      </c>
      <c r="G754" s="63" t="s">
        <v>5893</v>
      </c>
      <c r="H754" s="399">
        <v>50000</v>
      </c>
      <c r="I754" s="399">
        <v>-15000</v>
      </c>
      <c r="J754" s="350">
        <f t="shared" si="436"/>
        <v>35000</v>
      </c>
      <c r="K754" s="18">
        <v>1</v>
      </c>
      <c r="L754" s="350">
        <f t="shared" si="437"/>
        <v>35000</v>
      </c>
      <c r="M754" s="356">
        <f t="shared" si="438"/>
        <v>38500</v>
      </c>
      <c r="N754" s="258" t="s">
        <v>6224</v>
      </c>
      <c r="O754" s="454"/>
      <c r="R754" s="18" t="s">
        <v>6062</v>
      </c>
      <c r="W754" s="354">
        <v>0.45</v>
      </c>
      <c r="X754" s="355">
        <f t="shared" ref="X754:X755" si="443">H754*W754</f>
        <v>22500</v>
      </c>
      <c r="Y754" s="355">
        <f t="shared" ref="Y754:Y755" si="444">K754</f>
        <v>1</v>
      </c>
      <c r="Z754" s="355">
        <f t="shared" ref="Z754:Z755" si="445">X754*Y754</f>
        <v>22500</v>
      </c>
      <c r="AA754" s="355">
        <f t="shared" ref="AA754:AA755" si="446">L754-Z754</f>
        <v>12500</v>
      </c>
    </row>
    <row r="755" spans="1:27" ht="21.75" customHeight="1" x14ac:dyDescent="0.4">
      <c r="A755" s="258">
        <v>46038</v>
      </c>
      <c r="B755" s="325" t="s">
        <v>5634</v>
      </c>
      <c r="C755" s="32" t="s">
        <v>6054</v>
      </c>
      <c r="D755" s="258" t="s">
        <v>17</v>
      </c>
      <c r="E755" s="258" t="s">
        <v>328</v>
      </c>
      <c r="F755" s="258" t="s">
        <v>788</v>
      </c>
      <c r="G755" s="433" t="s">
        <v>6055</v>
      </c>
      <c r="H755" s="399">
        <v>12000</v>
      </c>
      <c r="I755" s="399">
        <v>-1200</v>
      </c>
      <c r="J755" s="350">
        <f t="shared" si="412"/>
        <v>10800</v>
      </c>
      <c r="K755" s="18">
        <v>1</v>
      </c>
      <c r="L755" s="350">
        <f t="shared" si="413"/>
        <v>10800</v>
      </c>
      <c r="M755" s="356">
        <f t="shared" si="414"/>
        <v>11880</v>
      </c>
      <c r="N755" s="18" t="s">
        <v>1121</v>
      </c>
      <c r="O755" s="455"/>
      <c r="Q755" s="18" t="s">
        <v>6053</v>
      </c>
      <c r="R755" s="18" t="s">
        <v>6053</v>
      </c>
      <c r="W755" s="416">
        <v>0.6</v>
      </c>
      <c r="X755" s="355">
        <f t="shared" si="443"/>
        <v>7200</v>
      </c>
      <c r="Y755" s="355">
        <f t="shared" si="444"/>
        <v>1</v>
      </c>
      <c r="Z755" s="355">
        <f t="shared" si="445"/>
        <v>7200</v>
      </c>
      <c r="AA755" s="355">
        <f t="shared" si="446"/>
        <v>3600</v>
      </c>
    </row>
    <row r="756" spans="1:27" ht="21.75" customHeight="1" x14ac:dyDescent="0.4">
      <c r="A756" s="258">
        <v>46038</v>
      </c>
      <c r="B756" s="325" t="s">
        <v>1861</v>
      </c>
      <c r="C756" s="32" t="s">
        <v>2557</v>
      </c>
      <c r="D756" s="258" t="s">
        <v>22</v>
      </c>
      <c r="E756" s="18" t="s">
        <v>1496</v>
      </c>
      <c r="F756" s="18"/>
      <c r="G756" s="63" t="s">
        <v>4869</v>
      </c>
      <c r="H756" s="399">
        <v>2000</v>
      </c>
      <c r="I756" s="353"/>
      <c r="J756" s="399">
        <f t="shared" ref="J756" si="447">SUM(H756:I756)</f>
        <v>2000</v>
      </c>
      <c r="K756" s="18">
        <v>1</v>
      </c>
      <c r="L756" s="350">
        <f t="shared" ref="L756:L757" si="448">SUM(J756*K756)</f>
        <v>2000</v>
      </c>
      <c r="M756" s="356">
        <f t="shared" ref="M756:M757" si="449">ROUNDDOWN(L756*1.1,0)</f>
        <v>2200</v>
      </c>
      <c r="N756" s="18" t="s">
        <v>1516</v>
      </c>
      <c r="O756" s="455"/>
      <c r="P756" s="18" t="s">
        <v>6053</v>
      </c>
      <c r="Q756" s="18" t="s">
        <v>6053</v>
      </c>
      <c r="R756" s="18" t="s">
        <v>6053</v>
      </c>
    </row>
    <row r="757" spans="1:27" ht="21.75" customHeight="1" x14ac:dyDescent="0.4">
      <c r="A757" s="258">
        <v>46038</v>
      </c>
      <c r="B757" s="325" t="s">
        <v>139</v>
      </c>
      <c r="C757" s="32" t="s">
        <v>5667</v>
      </c>
      <c r="D757" s="258" t="s">
        <v>17</v>
      </c>
      <c r="E757" s="258" t="s">
        <v>426</v>
      </c>
      <c r="F757" s="18" t="s">
        <v>994</v>
      </c>
      <c r="G757" s="433" t="s">
        <v>6056</v>
      </c>
      <c r="H757" s="399">
        <v>1800</v>
      </c>
      <c r="I757" s="399">
        <v>-180</v>
      </c>
      <c r="J757" s="350">
        <f t="shared" ref="J757:J761" si="450">SUM(H757:I757)</f>
        <v>1620</v>
      </c>
      <c r="K757" s="18">
        <v>1</v>
      </c>
      <c r="L757" s="350">
        <f t="shared" si="448"/>
        <v>1620</v>
      </c>
      <c r="M757" s="356">
        <f t="shared" si="449"/>
        <v>1782</v>
      </c>
      <c r="N757" s="18" t="s">
        <v>1516</v>
      </c>
      <c r="O757" s="455"/>
      <c r="P757" s="18" t="s">
        <v>6053</v>
      </c>
      <c r="Q757" s="18" t="s">
        <v>6053</v>
      </c>
      <c r="R757" s="18" t="s">
        <v>5459</v>
      </c>
      <c r="W757" s="354">
        <f>X757/H757</f>
        <v>0.6</v>
      </c>
      <c r="X757" s="355">
        <v>1080</v>
      </c>
      <c r="Y757" s="355">
        <f>K757</f>
        <v>1</v>
      </c>
      <c r="Z757" s="355">
        <f>X757*Y757</f>
        <v>1080</v>
      </c>
      <c r="AA757" s="355">
        <f>L757-Z757</f>
        <v>540</v>
      </c>
    </row>
    <row r="758" spans="1:27" ht="21.75" customHeight="1" x14ac:dyDescent="0.4">
      <c r="A758" s="258">
        <v>46039</v>
      </c>
      <c r="B758" s="325" t="s">
        <v>5023</v>
      </c>
      <c r="C758" s="32" t="s">
        <v>2557</v>
      </c>
      <c r="D758" s="258" t="s">
        <v>22</v>
      </c>
      <c r="E758" s="18" t="s">
        <v>1496</v>
      </c>
      <c r="F758" s="18"/>
      <c r="G758" s="63" t="s">
        <v>4869</v>
      </c>
      <c r="H758" s="399">
        <v>2000</v>
      </c>
      <c r="I758" s="353"/>
      <c r="J758" s="399">
        <f t="shared" si="450"/>
        <v>2000</v>
      </c>
      <c r="K758" s="18">
        <v>1</v>
      </c>
      <c r="L758" s="350">
        <f t="shared" ref="L758:L762" si="451">SUM(J758*K758)</f>
        <v>2000</v>
      </c>
      <c r="M758" s="356">
        <f t="shared" ref="M758:M762" si="452">ROUNDDOWN(L758*1.1,0)</f>
        <v>2200</v>
      </c>
      <c r="N758" s="258" t="s">
        <v>20</v>
      </c>
      <c r="O758" s="455"/>
      <c r="P758" s="18" t="s">
        <v>6053</v>
      </c>
      <c r="Q758" s="18" t="s">
        <v>6053</v>
      </c>
      <c r="R758" s="18" t="s">
        <v>6053</v>
      </c>
    </row>
    <row r="759" spans="1:27" ht="21.75" customHeight="1" x14ac:dyDescent="0.4">
      <c r="A759" s="258">
        <v>46039</v>
      </c>
      <c r="B759" s="325" t="s">
        <v>6149</v>
      </c>
      <c r="C759" s="32" t="s">
        <v>2557</v>
      </c>
      <c r="D759" s="18" t="s">
        <v>27</v>
      </c>
      <c r="E759" s="242" t="s">
        <v>5237</v>
      </c>
      <c r="F759" s="18"/>
      <c r="G759" s="63" t="s">
        <v>364</v>
      </c>
      <c r="H759" s="399">
        <v>25000</v>
      </c>
      <c r="I759" s="353"/>
      <c r="J759" s="399">
        <f t="shared" si="450"/>
        <v>25000</v>
      </c>
      <c r="K759" s="18">
        <v>1</v>
      </c>
      <c r="L759" s="350">
        <f t="shared" si="451"/>
        <v>25000</v>
      </c>
      <c r="M759" s="356">
        <f t="shared" si="452"/>
        <v>27500</v>
      </c>
      <c r="N759" s="18" t="s">
        <v>6147</v>
      </c>
      <c r="O759" s="455"/>
      <c r="R759" s="18" t="s">
        <v>4803</v>
      </c>
    </row>
    <row r="760" spans="1:27" s="411" customFormat="1" ht="21.75" customHeight="1" x14ac:dyDescent="0.4">
      <c r="A760" s="332">
        <v>46040</v>
      </c>
      <c r="B760" s="334" t="s">
        <v>6150</v>
      </c>
      <c r="C760" s="331" t="s">
        <v>2557</v>
      </c>
      <c r="D760" s="335" t="s">
        <v>198</v>
      </c>
      <c r="E760" s="333" t="s">
        <v>4409</v>
      </c>
      <c r="F760" s="333"/>
      <c r="G760" s="434" t="s">
        <v>5043</v>
      </c>
      <c r="H760" s="407">
        <v>-55000</v>
      </c>
      <c r="I760" s="408"/>
      <c r="J760" s="407">
        <f t="shared" si="450"/>
        <v>-55000</v>
      </c>
      <c r="K760" s="333">
        <v>1</v>
      </c>
      <c r="L760" s="414">
        <f t="shared" si="451"/>
        <v>-55000</v>
      </c>
      <c r="M760" s="415">
        <f t="shared" si="452"/>
        <v>-60500</v>
      </c>
      <c r="N760" s="333" t="s">
        <v>6152</v>
      </c>
      <c r="O760" s="453" t="s">
        <v>6211</v>
      </c>
      <c r="P760" s="333"/>
      <c r="Q760" s="333" t="s">
        <v>6151</v>
      </c>
      <c r="R760" s="333" t="s">
        <v>6146</v>
      </c>
      <c r="S760" s="410"/>
      <c r="T760" s="410"/>
      <c r="U760" s="410"/>
      <c r="W760" s="412"/>
      <c r="X760" s="413"/>
      <c r="Y760" s="413"/>
      <c r="Z760" s="413"/>
      <c r="AA760" s="413"/>
    </row>
    <row r="761" spans="1:27" ht="21.75" customHeight="1" x14ac:dyDescent="0.4">
      <c r="A761" s="258">
        <v>46040</v>
      </c>
      <c r="B761" s="325" t="s">
        <v>6057</v>
      </c>
      <c r="C761" s="32" t="s">
        <v>405</v>
      </c>
      <c r="D761" s="18" t="s">
        <v>22</v>
      </c>
      <c r="E761" s="18" t="s">
        <v>260</v>
      </c>
      <c r="F761" s="258"/>
      <c r="G761" s="63" t="s">
        <v>1502</v>
      </c>
      <c r="H761" s="399">
        <v>15000</v>
      </c>
      <c r="I761" s="399">
        <v>-5000</v>
      </c>
      <c r="J761" s="350">
        <f t="shared" si="450"/>
        <v>10000</v>
      </c>
      <c r="K761" s="18">
        <v>1</v>
      </c>
      <c r="L761" s="350">
        <f t="shared" si="451"/>
        <v>10000</v>
      </c>
      <c r="M761" s="356">
        <f t="shared" si="452"/>
        <v>11000</v>
      </c>
      <c r="N761" s="18" t="s">
        <v>1516</v>
      </c>
      <c r="O761" s="456" t="s">
        <v>6058</v>
      </c>
      <c r="P761" s="18" t="s">
        <v>6059</v>
      </c>
      <c r="Q761" s="18" t="s">
        <v>6060</v>
      </c>
      <c r="R761" s="18" t="s">
        <v>6060</v>
      </c>
      <c r="S761" s="375"/>
    </row>
    <row r="762" spans="1:27" ht="21.75" customHeight="1" x14ac:dyDescent="0.4">
      <c r="A762" s="258">
        <v>46040</v>
      </c>
      <c r="B762" s="325" t="s">
        <v>139</v>
      </c>
      <c r="C762" s="32" t="s">
        <v>5667</v>
      </c>
      <c r="D762" s="258" t="s">
        <v>17</v>
      </c>
      <c r="E762" s="258" t="s">
        <v>426</v>
      </c>
      <c r="F762" s="18" t="s">
        <v>994</v>
      </c>
      <c r="G762" s="433" t="s">
        <v>6056</v>
      </c>
      <c r="H762" s="399">
        <v>1800</v>
      </c>
      <c r="I762" s="399">
        <v>-180</v>
      </c>
      <c r="J762" s="350">
        <f t="shared" ref="J762" si="453">SUM(H762:I762)</f>
        <v>1620</v>
      </c>
      <c r="K762" s="18">
        <v>2</v>
      </c>
      <c r="L762" s="350">
        <f t="shared" si="451"/>
        <v>3240</v>
      </c>
      <c r="M762" s="356">
        <f t="shared" si="452"/>
        <v>3564</v>
      </c>
      <c r="N762" s="18" t="s">
        <v>1516</v>
      </c>
      <c r="O762" s="455"/>
      <c r="P762" s="18" t="s">
        <v>6061</v>
      </c>
      <c r="Q762" s="18" t="s">
        <v>6061</v>
      </c>
      <c r="R762" s="18" t="s">
        <v>6061</v>
      </c>
      <c r="S762" s="375"/>
      <c r="W762" s="354">
        <f t="shared" ref="W762" si="454">X762/H762</f>
        <v>0.6</v>
      </c>
      <c r="X762" s="355">
        <v>1080</v>
      </c>
      <c r="Y762" s="355">
        <f t="shared" ref="Y762:Y763" si="455">K762</f>
        <v>2</v>
      </c>
      <c r="Z762" s="355">
        <f t="shared" ref="Z762" si="456">X762*Y762</f>
        <v>2160</v>
      </c>
      <c r="AA762" s="355">
        <f t="shared" ref="AA762:AA763" si="457">L762-Z762</f>
        <v>1080</v>
      </c>
    </row>
    <row r="763" spans="1:27" ht="21.75" customHeight="1" x14ac:dyDescent="0.4">
      <c r="A763" s="258">
        <v>46042</v>
      </c>
      <c r="B763" s="349" t="s">
        <v>67</v>
      </c>
      <c r="C763" s="32" t="s">
        <v>4292</v>
      </c>
      <c r="D763" s="258" t="s">
        <v>17</v>
      </c>
      <c r="E763" s="18" t="s">
        <v>6066</v>
      </c>
      <c r="F763" s="18" t="s">
        <v>6065</v>
      </c>
      <c r="G763" s="63" t="s">
        <v>6064</v>
      </c>
      <c r="H763" s="399">
        <v>46000</v>
      </c>
      <c r="I763" s="399">
        <v>-11500</v>
      </c>
      <c r="J763" s="350">
        <f t="shared" si="412"/>
        <v>34500</v>
      </c>
      <c r="K763" s="18">
        <v>1</v>
      </c>
      <c r="L763" s="350">
        <f t="shared" si="413"/>
        <v>34500</v>
      </c>
      <c r="M763" s="356">
        <f t="shared" si="414"/>
        <v>37950</v>
      </c>
      <c r="N763" s="18" t="s">
        <v>1121</v>
      </c>
      <c r="O763" s="455"/>
      <c r="R763" s="18" t="s">
        <v>6063</v>
      </c>
      <c r="S763" s="375"/>
      <c r="W763" s="416">
        <v>0.7</v>
      </c>
      <c r="X763" s="355">
        <f>SUM(H763*W763)</f>
        <v>32199.999999999996</v>
      </c>
      <c r="Y763" s="355">
        <f t="shared" si="455"/>
        <v>1</v>
      </c>
      <c r="Z763" s="355">
        <f>X763*Y763</f>
        <v>32199.999999999996</v>
      </c>
      <c r="AA763" s="355">
        <f t="shared" si="457"/>
        <v>2300.0000000000036</v>
      </c>
    </row>
    <row r="764" spans="1:27" ht="21.75" customHeight="1" x14ac:dyDescent="0.4">
      <c r="A764" s="258">
        <v>46043</v>
      </c>
      <c r="B764" s="325" t="s">
        <v>1861</v>
      </c>
      <c r="C764" s="32" t="s">
        <v>2557</v>
      </c>
      <c r="D764" s="258" t="s">
        <v>22</v>
      </c>
      <c r="E764" s="18" t="s">
        <v>1496</v>
      </c>
      <c r="F764" s="18"/>
      <c r="G764" s="63" t="s">
        <v>4869</v>
      </c>
      <c r="H764" s="399">
        <v>2000</v>
      </c>
      <c r="I764" s="353"/>
      <c r="J764" s="399">
        <f t="shared" ref="J764" si="458">SUM(H764:I764)</f>
        <v>2000</v>
      </c>
      <c r="K764" s="18">
        <v>2</v>
      </c>
      <c r="L764" s="350">
        <f t="shared" si="413"/>
        <v>4000</v>
      </c>
      <c r="M764" s="356">
        <f t="shared" si="414"/>
        <v>4400</v>
      </c>
      <c r="N764" s="18" t="s">
        <v>1516</v>
      </c>
      <c r="O764" s="455"/>
      <c r="P764" s="18" t="s">
        <v>6053</v>
      </c>
      <c r="Q764" s="18" t="s">
        <v>6053</v>
      </c>
      <c r="R764" s="18" t="s">
        <v>6053</v>
      </c>
    </row>
    <row r="765" spans="1:27" ht="21.75" customHeight="1" x14ac:dyDescent="0.4">
      <c r="A765" s="258">
        <v>46043</v>
      </c>
      <c r="B765" s="325" t="s">
        <v>6067</v>
      </c>
      <c r="C765" s="32" t="s">
        <v>2557</v>
      </c>
      <c r="D765" s="258" t="s">
        <v>17</v>
      </c>
      <c r="E765" s="258" t="s">
        <v>332</v>
      </c>
      <c r="F765" s="18" t="s">
        <v>3555</v>
      </c>
      <c r="G765" s="7" t="s">
        <v>6283</v>
      </c>
      <c r="H765" s="399">
        <v>1500</v>
      </c>
      <c r="I765" s="399">
        <v>-150</v>
      </c>
      <c r="J765" s="350">
        <f t="shared" si="412"/>
        <v>1350</v>
      </c>
      <c r="K765" s="18">
        <v>7</v>
      </c>
      <c r="L765" s="350">
        <f t="shared" si="413"/>
        <v>9450</v>
      </c>
      <c r="M765" s="356">
        <f t="shared" si="414"/>
        <v>10395</v>
      </c>
      <c r="N765" s="18" t="s">
        <v>1516</v>
      </c>
      <c r="O765" s="455"/>
      <c r="P765" s="18" t="s">
        <v>2594</v>
      </c>
      <c r="Q765" s="18" t="s">
        <v>2594</v>
      </c>
      <c r="R765" s="18" t="s">
        <v>2594</v>
      </c>
      <c r="W765" s="354">
        <f t="shared" ref="W765:W766" si="459">X765/H765</f>
        <v>0.50266666666666671</v>
      </c>
      <c r="X765" s="355">
        <v>754</v>
      </c>
      <c r="Y765" s="355">
        <f t="shared" ref="Y765:Y766" si="460">K765</f>
        <v>7</v>
      </c>
      <c r="Z765" s="355">
        <f t="shared" ref="Z765:Z766" si="461">X765*Y765</f>
        <v>5278</v>
      </c>
      <c r="AA765" s="355">
        <f t="shared" ref="AA765:AA766" si="462">L765-Z765</f>
        <v>4172</v>
      </c>
    </row>
    <row r="766" spans="1:27" ht="21.75" customHeight="1" x14ac:dyDescent="0.4">
      <c r="A766" s="258">
        <v>46043</v>
      </c>
      <c r="B766" s="325" t="s">
        <v>6067</v>
      </c>
      <c r="C766" s="32" t="s">
        <v>2557</v>
      </c>
      <c r="D766" s="258" t="s">
        <v>17</v>
      </c>
      <c r="E766" s="258" t="s">
        <v>332</v>
      </c>
      <c r="F766" s="258" t="s">
        <v>3553</v>
      </c>
      <c r="G766" s="464" t="s">
        <v>6417</v>
      </c>
      <c r="H766" s="399">
        <v>1800</v>
      </c>
      <c r="I766" s="399">
        <v>-180</v>
      </c>
      <c r="J766" s="350">
        <f t="shared" si="412"/>
        <v>1620</v>
      </c>
      <c r="K766" s="18">
        <v>1</v>
      </c>
      <c r="L766" s="350">
        <f t="shared" si="413"/>
        <v>1620</v>
      </c>
      <c r="M766" s="356">
        <f t="shared" si="414"/>
        <v>1782</v>
      </c>
      <c r="N766" s="18" t="s">
        <v>1516</v>
      </c>
      <c r="O766" s="455"/>
      <c r="P766" s="18" t="s">
        <v>2594</v>
      </c>
      <c r="Q766" s="18" t="s">
        <v>2594</v>
      </c>
      <c r="R766" s="18" t="s">
        <v>2594</v>
      </c>
      <c r="W766" s="354">
        <f t="shared" si="459"/>
        <v>0.5</v>
      </c>
      <c r="X766" s="355">
        <v>900</v>
      </c>
      <c r="Y766" s="355">
        <f t="shared" si="460"/>
        <v>1</v>
      </c>
      <c r="Z766" s="355">
        <f t="shared" si="461"/>
        <v>900</v>
      </c>
      <c r="AA766" s="355">
        <f t="shared" si="462"/>
        <v>720</v>
      </c>
    </row>
    <row r="767" spans="1:27" ht="21.75" customHeight="1" x14ac:dyDescent="0.4">
      <c r="A767" s="258">
        <v>46044</v>
      </c>
      <c r="B767" s="325" t="s">
        <v>6068</v>
      </c>
      <c r="C767" s="32"/>
      <c r="D767" s="325"/>
      <c r="E767" s="258" t="s">
        <v>292</v>
      </c>
      <c r="F767" s="18" t="s">
        <v>3642</v>
      </c>
      <c r="G767" s="63" t="s">
        <v>684</v>
      </c>
      <c r="H767" s="399">
        <v>5800</v>
      </c>
      <c r="I767" s="399">
        <v>-1450</v>
      </c>
      <c r="J767" s="350">
        <f t="shared" si="412"/>
        <v>4350</v>
      </c>
      <c r="K767" s="18">
        <v>1</v>
      </c>
      <c r="L767" s="350">
        <f t="shared" si="413"/>
        <v>4350</v>
      </c>
      <c r="M767" s="356">
        <f t="shared" si="414"/>
        <v>4785</v>
      </c>
      <c r="N767" s="258" t="s">
        <v>20</v>
      </c>
      <c r="O767" s="455"/>
      <c r="P767" s="18" t="s">
        <v>2594</v>
      </c>
      <c r="Q767" s="18" t="s">
        <v>2594</v>
      </c>
      <c r="R767" s="18" t="s">
        <v>2594</v>
      </c>
    </row>
    <row r="768" spans="1:27" ht="21.75" customHeight="1" x14ac:dyDescent="0.4">
      <c r="A768" s="258">
        <v>46045</v>
      </c>
      <c r="B768" s="325" t="s">
        <v>6014</v>
      </c>
      <c r="C768" s="32" t="s">
        <v>405</v>
      </c>
      <c r="D768" s="325" t="s">
        <v>17</v>
      </c>
      <c r="E768" s="258" t="s">
        <v>328</v>
      </c>
      <c r="F768" s="258" t="s">
        <v>788</v>
      </c>
      <c r="G768" s="63" t="s">
        <v>6092</v>
      </c>
      <c r="H768" s="399">
        <v>25000</v>
      </c>
      <c r="I768" s="399">
        <v>-5000</v>
      </c>
      <c r="J768" s="350">
        <f t="shared" si="412"/>
        <v>20000</v>
      </c>
      <c r="K768" s="18">
        <v>2</v>
      </c>
      <c r="L768" s="350">
        <f t="shared" si="413"/>
        <v>40000</v>
      </c>
      <c r="M768" s="356">
        <f t="shared" si="414"/>
        <v>44000</v>
      </c>
      <c r="N768" s="258" t="s">
        <v>1921</v>
      </c>
      <c r="O768" s="455"/>
      <c r="Q768" s="18" t="s">
        <v>6138</v>
      </c>
      <c r="R768" s="18" t="s">
        <v>6138</v>
      </c>
      <c r="W768" s="354">
        <v>0.45</v>
      </c>
      <c r="X768" s="355">
        <f>H768*W768</f>
        <v>11250</v>
      </c>
      <c r="Y768" s="355">
        <f>K768</f>
        <v>2</v>
      </c>
      <c r="Z768" s="355">
        <f t="shared" ref="Z768:Z770" si="463">X768*Y768</f>
        <v>22500</v>
      </c>
      <c r="AA768" s="355">
        <f t="shared" ref="AA768:AA770" si="464">L768-Z768</f>
        <v>17500</v>
      </c>
    </row>
    <row r="769" spans="1:27" ht="21.75" customHeight="1" x14ac:dyDescent="0.4">
      <c r="A769" s="258">
        <v>46045</v>
      </c>
      <c r="B769" s="325" t="s">
        <v>6014</v>
      </c>
      <c r="C769" s="32" t="s">
        <v>405</v>
      </c>
      <c r="D769" s="258" t="s">
        <v>17</v>
      </c>
      <c r="E769" s="258" t="s">
        <v>330</v>
      </c>
      <c r="F769" s="18" t="s">
        <v>3543</v>
      </c>
      <c r="G769" s="63" t="s">
        <v>6093</v>
      </c>
      <c r="H769" s="399">
        <v>5500</v>
      </c>
      <c r="I769" s="399">
        <v>0</v>
      </c>
      <c r="J769" s="350">
        <f t="shared" si="412"/>
        <v>5500</v>
      </c>
      <c r="K769" s="18">
        <v>2</v>
      </c>
      <c r="L769" s="350">
        <f t="shared" si="413"/>
        <v>11000</v>
      </c>
      <c r="M769" s="356">
        <f t="shared" si="414"/>
        <v>12100</v>
      </c>
      <c r="N769" s="258" t="s">
        <v>1921</v>
      </c>
      <c r="O769" s="455"/>
      <c r="Q769" s="18" t="s">
        <v>6138</v>
      </c>
      <c r="R769" s="18" t="s">
        <v>6138</v>
      </c>
      <c r="W769" s="354">
        <f t="shared" ref="W769:W770" si="465">X769/H769</f>
        <v>0.47272727272727272</v>
      </c>
      <c r="X769" s="355">
        <v>2600</v>
      </c>
      <c r="Y769" s="355">
        <f t="shared" ref="Y769:Y770" si="466">K769</f>
        <v>2</v>
      </c>
      <c r="Z769" s="355">
        <f t="shared" si="463"/>
        <v>5200</v>
      </c>
      <c r="AA769" s="355">
        <f t="shared" si="464"/>
        <v>5800</v>
      </c>
    </row>
    <row r="770" spans="1:27" ht="21.75" customHeight="1" x14ac:dyDescent="0.4">
      <c r="A770" s="258">
        <v>46045</v>
      </c>
      <c r="B770" s="325" t="s">
        <v>6014</v>
      </c>
      <c r="C770" s="32" t="s">
        <v>405</v>
      </c>
      <c r="D770" s="325" t="s">
        <v>17</v>
      </c>
      <c r="E770" s="258" t="s">
        <v>332</v>
      </c>
      <c r="F770" s="258" t="s">
        <v>3554</v>
      </c>
      <c r="G770" s="63" t="s">
        <v>6094</v>
      </c>
      <c r="H770" s="399">
        <v>1300</v>
      </c>
      <c r="I770" s="399">
        <v>0</v>
      </c>
      <c r="J770" s="350">
        <f t="shared" si="412"/>
        <v>1300</v>
      </c>
      <c r="K770" s="18">
        <v>2</v>
      </c>
      <c r="L770" s="350">
        <f t="shared" si="413"/>
        <v>2600</v>
      </c>
      <c r="M770" s="356">
        <f t="shared" si="414"/>
        <v>2860</v>
      </c>
      <c r="N770" s="258" t="s">
        <v>1921</v>
      </c>
      <c r="O770" s="455"/>
      <c r="Q770" s="18" t="s">
        <v>6138</v>
      </c>
      <c r="R770" s="18" t="s">
        <v>6138</v>
      </c>
      <c r="W770" s="354">
        <f t="shared" si="465"/>
        <v>0.62538461538461543</v>
      </c>
      <c r="X770" s="355">
        <v>813</v>
      </c>
      <c r="Y770" s="355">
        <f t="shared" si="466"/>
        <v>2</v>
      </c>
      <c r="Z770" s="355">
        <f t="shared" si="463"/>
        <v>1626</v>
      </c>
      <c r="AA770" s="355">
        <f t="shared" si="464"/>
        <v>974</v>
      </c>
    </row>
    <row r="771" spans="1:27" ht="21.75" customHeight="1" x14ac:dyDescent="0.4">
      <c r="A771" s="258">
        <v>46046</v>
      </c>
      <c r="B771" s="325" t="s">
        <v>2088</v>
      </c>
      <c r="C771" s="32" t="s">
        <v>2557</v>
      </c>
      <c r="D771" s="258" t="s">
        <v>22</v>
      </c>
      <c r="E771" s="18" t="s">
        <v>1496</v>
      </c>
      <c r="F771" s="18"/>
      <c r="G771" s="63" t="s">
        <v>4869</v>
      </c>
      <c r="H771" s="399">
        <v>2000</v>
      </c>
      <c r="I771" s="399"/>
      <c r="J771" s="350">
        <f t="shared" si="412"/>
        <v>2000</v>
      </c>
      <c r="K771" s="18">
        <v>1</v>
      </c>
      <c r="L771" s="350">
        <f t="shared" si="413"/>
        <v>2000</v>
      </c>
      <c r="M771" s="356">
        <f t="shared" si="414"/>
        <v>2200</v>
      </c>
      <c r="N771" s="18" t="s">
        <v>1516</v>
      </c>
      <c r="O771" s="455"/>
      <c r="P771" s="18" t="s">
        <v>6053</v>
      </c>
      <c r="Q771" s="18" t="s">
        <v>6053</v>
      </c>
      <c r="R771" s="18" t="s">
        <v>6053</v>
      </c>
    </row>
    <row r="772" spans="1:27" ht="21.75" customHeight="1" x14ac:dyDescent="0.4">
      <c r="A772" s="258">
        <v>46046</v>
      </c>
      <c r="B772" s="325" t="s">
        <v>5023</v>
      </c>
      <c r="C772" s="32" t="s">
        <v>2557</v>
      </c>
      <c r="D772" s="258" t="s">
        <v>22</v>
      </c>
      <c r="E772" s="18" t="s">
        <v>1496</v>
      </c>
      <c r="F772" s="18"/>
      <c r="G772" s="63" t="s">
        <v>4869</v>
      </c>
      <c r="H772" s="399">
        <v>2000</v>
      </c>
      <c r="I772" s="353"/>
      <c r="J772" s="399">
        <f t="shared" ref="J772" si="467">SUM(H772:I772)</f>
        <v>2000</v>
      </c>
      <c r="K772" s="18">
        <v>1</v>
      </c>
      <c r="L772" s="350">
        <f t="shared" si="413"/>
        <v>2000</v>
      </c>
      <c r="M772" s="356">
        <f t="shared" si="414"/>
        <v>2200</v>
      </c>
      <c r="N772" s="258" t="s">
        <v>20</v>
      </c>
      <c r="O772" s="455"/>
      <c r="P772" s="18" t="s">
        <v>6053</v>
      </c>
      <c r="Q772" s="18" t="s">
        <v>6053</v>
      </c>
      <c r="R772" s="18" t="s">
        <v>6053</v>
      </c>
      <c r="S772" s="375"/>
    </row>
    <row r="773" spans="1:27" ht="21.75" customHeight="1" x14ac:dyDescent="0.4">
      <c r="A773" s="258">
        <v>46047</v>
      </c>
      <c r="B773" s="336" t="s">
        <v>6078</v>
      </c>
      <c r="C773" s="32" t="s">
        <v>2557</v>
      </c>
      <c r="D773" s="258" t="s">
        <v>17</v>
      </c>
      <c r="E773" s="258" t="s">
        <v>426</v>
      </c>
      <c r="F773" s="18" t="s">
        <v>994</v>
      </c>
      <c r="G773" s="433" t="s">
        <v>6056</v>
      </c>
      <c r="H773" s="399">
        <v>1800</v>
      </c>
      <c r="I773" s="399">
        <v>-180</v>
      </c>
      <c r="J773" s="350">
        <f t="shared" si="412"/>
        <v>1620</v>
      </c>
      <c r="K773" s="18">
        <v>1</v>
      </c>
      <c r="L773" s="350">
        <f t="shared" si="413"/>
        <v>1620</v>
      </c>
      <c r="M773" s="356">
        <f t="shared" si="414"/>
        <v>1782</v>
      </c>
      <c r="N773" s="18" t="s">
        <v>1516</v>
      </c>
      <c r="O773" s="455"/>
      <c r="Q773" s="18" t="s">
        <v>6089</v>
      </c>
      <c r="R773" s="18" t="s">
        <v>6071</v>
      </c>
      <c r="W773" s="354">
        <f>X773/H773</f>
        <v>0.6</v>
      </c>
      <c r="X773" s="355">
        <v>1080</v>
      </c>
      <c r="Y773" s="355">
        <f>K773</f>
        <v>1</v>
      </c>
      <c r="Z773" s="355">
        <f>X773*Y773</f>
        <v>1080</v>
      </c>
      <c r="AA773" s="355">
        <f>L773-Z773</f>
        <v>540</v>
      </c>
    </row>
    <row r="774" spans="1:27" ht="21.75" customHeight="1" x14ac:dyDescent="0.4">
      <c r="A774" s="258">
        <v>46047</v>
      </c>
      <c r="B774" s="325" t="s">
        <v>6069</v>
      </c>
      <c r="C774" s="32" t="s">
        <v>405</v>
      </c>
      <c r="D774" s="18" t="s">
        <v>22</v>
      </c>
      <c r="E774" s="18" t="s">
        <v>260</v>
      </c>
      <c r="F774" s="258"/>
      <c r="G774" s="251" t="s">
        <v>1702</v>
      </c>
      <c r="H774" s="399">
        <v>20000</v>
      </c>
      <c r="I774" s="399">
        <v>-500</v>
      </c>
      <c r="J774" s="350">
        <f t="shared" si="412"/>
        <v>19500</v>
      </c>
      <c r="K774" s="18">
        <v>1</v>
      </c>
      <c r="L774" s="350">
        <f t="shared" si="413"/>
        <v>19500</v>
      </c>
      <c r="M774" s="356">
        <f t="shared" si="414"/>
        <v>21450</v>
      </c>
      <c r="N774" s="258" t="s">
        <v>20</v>
      </c>
      <c r="O774" s="456" t="s">
        <v>6088</v>
      </c>
      <c r="Q774" s="18" t="s">
        <v>5459</v>
      </c>
      <c r="R774" s="18" t="s">
        <v>6071</v>
      </c>
    </row>
    <row r="775" spans="1:27" ht="21.75" customHeight="1" x14ac:dyDescent="0.4">
      <c r="A775" s="258">
        <v>46047</v>
      </c>
      <c r="B775" s="325" t="s">
        <v>6070</v>
      </c>
      <c r="C775" s="32" t="s">
        <v>2557</v>
      </c>
      <c r="D775" s="18" t="s">
        <v>27</v>
      </c>
      <c r="E775" s="18" t="s">
        <v>4409</v>
      </c>
      <c r="F775" s="258"/>
      <c r="G775" s="63" t="s">
        <v>5036</v>
      </c>
      <c r="H775" s="399">
        <v>17500</v>
      </c>
      <c r="I775" s="399"/>
      <c r="J775" s="350">
        <f t="shared" ref="J775" si="468">SUM(H775:I775)</f>
        <v>17500</v>
      </c>
      <c r="K775" s="18">
        <v>1</v>
      </c>
      <c r="L775" s="350">
        <f t="shared" ref="L775" si="469">SUM(J775*K775)</f>
        <v>17500</v>
      </c>
      <c r="M775" s="356">
        <f t="shared" ref="M775" si="470">ROUNDDOWN(L775*1.1,0)</f>
        <v>19250</v>
      </c>
      <c r="N775" s="258" t="s">
        <v>1516</v>
      </c>
      <c r="O775" s="454" t="s">
        <v>5887</v>
      </c>
      <c r="Q775" s="18" t="s">
        <v>6089</v>
      </c>
      <c r="R775" s="18" t="s">
        <v>6071</v>
      </c>
    </row>
    <row r="776" spans="1:27" ht="21.75" customHeight="1" x14ac:dyDescent="0.4">
      <c r="A776" s="258">
        <v>46047</v>
      </c>
      <c r="B776" s="336" t="s">
        <v>6079</v>
      </c>
      <c r="C776" s="32" t="s">
        <v>2557</v>
      </c>
      <c r="D776" s="258" t="s">
        <v>17</v>
      </c>
      <c r="E776" s="258" t="s">
        <v>332</v>
      </c>
      <c r="F776" s="18" t="s">
        <v>3554</v>
      </c>
      <c r="G776" s="425" t="s">
        <v>6072</v>
      </c>
      <c r="H776" s="399">
        <v>2700</v>
      </c>
      <c r="I776" s="399">
        <v>-270</v>
      </c>
      <c r="J776" s="350">
        <f t="shared" si="412"/>
        <v>2430</v>
      </c>
      <c r="K776" s="18">
        <v>1</v>
      </c>
      <c r="L776" s="350">
        <f t="shared" si="413"/>
        <v>2430</v>
      </c>
      <c r="M776" s="356">
        <f t="shared" si="414"/>
        <v>2673</v>
      </c>
      <c r="N776" s="18" t="s">
        <v>1121</v>
      </c>
      <c r="O776" s="455"/>
      <c r="Q776" s="18" t="s">
        <v>6089</v>
      </c>
      <c r="R776" s="18" t="s">
        <v>6071</v>
      </c>
      <c r="W776" s="354">
        <f t="shared" ref="W776:W778" si="471">X776/H776</f>
        <v>0.60185185185185186</v>
      </c>
      <c r="X776" s="355">
        <v>1625</v>
      </c>
      <c r="Y776" s="355">
        <f t="shared" ref="Y776:Y778" si="472">K776</f>
        <v>1</v>
      </c>
      <c r="Z776" s="355">
        <f t="shared" ref="Z776:Z778" si="473">X776*Y776</f>
        <v>1625</v>
      </c>
      <c r="AA776" s="355">
        <f t="shared" ref="AA776:AA778" si="474">L776-Z776</f>
        <v>805</v>
      </c>
    </row>
    <row r="777" spans="1:27" ht="21.75" customHeight="1" x14ac:dyDescent="0.4">
      <c r="A777" s="258">
        <v>46048</v>
      </c>
      <c r="B777" s="325" t="s">
        <v>1297</v>
      </c>
      <c r="C777" s="32" t="s">
        <v>2557</v>
      </c>
      <c r="D777" s="258" t="s">
        <v>17</v>
      </c>
      <c r="E777" s="258" t="s">
        <v>330</v>
      </c>
      <c r="F777" s="258" t="s">
        <v>632</v>
      </c>
      <c r="G777" s="433" t="s">
        <v>6155</v>
      </c>
      <c r="H777" s="399">
        <v>3000</v>
      </c>
      <c r="I777" s="399"/>
      <c r="J777" s="350">
        <f t="shared" si="412"/>
        <v>3000</v>
      </c>
      <c r="K777" s="18">
        <v>1</v>
      </c>
      <c r="L777" s="350">
        <f t="shared" si="413"/>
        <v>3000</v>
      </c>
      <c r="M777" s="356">
        <f t="shared" si="414"/>
        <v>3300</v>
      </c>
      <c r="N777" s="18" t="s">
        <v>1516</v>
      </c>
      <c r="O777" s="455"/>
      <c r="Q777" s="18" t="s">
        <v>6071</v>
      </c>
      <c r="R777" s="18" t="s">
        <v>6071</v>
      </c>
      <c r="W777" s="354">
        <f t="shared" si="471"/>
        <v>0</v>
      </c>
      <c r="X777" s="355">
        <v>0</v>
      </c>
      <c r="Y777" s="355">
        <f t="shared" si="472"/>
        <v>1</v>
      </c>
      <c r="Z777" s="355">
        <f t="shared" si="473"/>
        <v>0</v>
      </c>
      <c r="AA777" s="355">
        <f t="shared" si="474"/>
        <v>3000</v>
      </c>
    </row>
    <row r="778" spans="1:27" ht="21.75" customHeight="1" x14ac:dyDescent="0.4">
      <c r="A778" s="258">
        <v>46048</v>
      </c>
      <c r="B778" s="325" t="s">
        <v>1297</v>
      </c>
      <c r="C778" s="32" t="s">
        <v>2557</v>
      </c>
      <c r="D778" s="258" t="s">
        <v>17</v>
      </c>
      <c r="E778" s="258" t="s">
        <v>332</v>
      </c>
      <c r="F778" s="18" t="s">
        <v>3555</v>
      </c>
      <c r="G778" s="63" t="s">
        <v>6073</v>
      </c>
      <c r="H778" s="399">
        <v>1900</v>
      </c>
      <c r="I778" s="353">
        <v>-190</v>
      </c>
      <c r="J778" s="399">
        <f t="shared" si="412"/>
        <v>1710</v>
      </c>
      <c r="K778" s="18">
        <v>1</v>
      </c>
      <c r="L778" s="350">
        <f t="shared" ref="L778" si="475">SUM(J778*K778)</f>
        <v>1710</v>
      </c>
      <c r="M778" s="356">
        <f t="shared" ref="M778" si="476">ROUNDDOWN(L778*1.1,0)</f>
        <v>1881</v>
      </c>
      <c r="N778" s="18" t="s">
        <v>1516</v>
      </c>
      <c r="O778" s="455"/>
      <c r="Q778" s="18" t="s">
        <v>6071</v>
      </c>
      <c r="R778" s="18" t="s">
        <v>6071</v>
      </c>
      <c r="W778" s="354">
        <f t="shared" si="471"/>
        <v>0.5189473684210526</v>
      </c>
      <c r="X778" s="355">
        <v>986</v>
      </c>
      <c r="Y778" s="355">
        <f t="shared" si="472"/>
        <v>1</v>
      </c>
      <c r="Z778" s="355">
        <f t="shared" si="473"/>
        <v>986</v>
      </c>
      <c r="AA778" s="355">
        <f t="shared" si="474"/>
        <v>724</v>
      </c>
    </row>
    <row r="779" spans="1:27" ht="21.75" customHeight="1" x14ac:dyDescent="0.4">
      <c r="A779" s="258">
        <v>46048</v>
      </c>
      <c r="B779" s="325" t="s">
        <v>1861</v>
      </c>
      <c r="C779" s="32" t="s">
        <v>2557</v>
      </c>
      <c r="D779" s="258" t="s">
        <v>22</v>
      </c>
      <c r="E779" s="18" t="s">
        <v>1496</v>
      </c>
      <c r="F779" s="18"/>
      <c r="G779" s="63" t="s">
        <v>4869</v>
      </c>
      <c r="H779" s="399">
        <v>2000</v>
      </c>
      <c r="I779" s="353"/>
      <c r="J779" s="399">
        <f t="shared" ref="J779:J780" si="477">SUM(H779:I779)</f>
        <v>2000</v>
      </c>
      <c r="K779" s="18">
        <v>2</v>
      </c>
      <c r="L779" s="350">
        <f t="shared" ref="L779:L780" si="478">SUM(J779*K779)</f>
        <v>4000</v>
      </c>
      <c r="M779" s="356">
        <f t="shared" ref="M779:M780" si="479">ROUNDDOWN(L779*1.1,0)</f>
        <v>4400</v>
      </c>
      <c r="N779" s="18" t="s">
        <v>1516</v>
      </c>
      <c r="O779" s="455"/>
      <c r="P779" s="18" t="s">
        <v>6053</v>
      </c>
      <c r="Q779" s="18" t="s">
        <v>6053</v>
      </c>
      <c r="R779" s="18" t="s">
        <v>6071</v>
      </c>
      <c r="S779" s="375"/>
    </row>
    <row r="780" spans="1:27" ht="21.75" customHeight="1" x14ac:dyDescent="0.4">
      <c r="A780" s="258">
        <v>46048</v>
      </c>
      <c r="B780" s="325" t="s">
        <v>148</v>
      </c>
      <c r="C780" s="32" t="s">
        <v>6074</v>
      </c>
      <c r="D780" s="18" t="s">
        <v>27</v>
      </c>
      <c r="E780" s="18" t="s">
        <v>4409</v>
      </c>
      <c r="F780" s="258"/>
      <c r="G780" s="63" t="s">
        <v>5036</v>
      </c>
      <c r="H780" s="399">
        <v>17500</v>
      </c>
      <c r="I780" s="399"/>
      <c r="J780" s="350">
        <f t="shared" si="477"/>
        <v>17500</v>
      </c>
      <c r="K780" s="18">
        <v>1</v>
      </c>
      <c r="L780" s="350">
        <f t="shared" si="478"/>
        <v>17500</v>
      </c>
      <c r="M780" s="356">
        <f t="shared" si="479"/>
        <v>19250</v>
      </c>
      <c r="N780" s="258" t="s">
        <v>20</v>
      </c>
      <c r="O780" s="454" t="s">
        <v>6030</v>
      </c>
      <c r="Q780" s="18" t="s">
        <v>6077</v>
      </c>
      <c r="R780" s="18" t="s">
        <v>6077</v>
      </c>
    </row>
    <row r="781" spans="1:27" ht="21.75" customHeight="1" x14ac:dyDescent="0.4">
      <c r="A781" s="258">
        <v>46048</v>
      </c>
      <c r="B781" s="325" t="s">
        <v>4865</v>
      </c>
      <c r="C781" s="32" t="s">
        <v>2557</v>
      </c>
      <c r="D781" s="258" t="s">
        <v>22</v>
      </c>
      <c r="E781" s="258" t="s">
        <v>1496</v>
      </c>
      <c r="F781" s="258"/>
      <c r="G781" s="63" t="s">
        <v>4869</v>
      </c>
      <c r="H781" s="399">
        <v>2000</v>
      </c>
      <c r="I781" s="399"/>
      <c r="J781" s="399">
        <f t="shared" ref="J781:J783" si="480">SUM(H781:I781)</f>
        <v>2000</v>
      </c>
      <c r="K781" s="18">
        <v>1</v>
      </c>
      <c r="L781" s="350">
        <f t="shared" si="413"/>
        <v>2000</v>
      </c>
      <c r="M781" s="356">
        <f t="shared" si="414"/>
        <v>2200</v>
      </c>
      <c r="N781" s="258" t="s">
        <v>20</v>
      </c>
      <c r="O781" s="455"/>
      <c r="P781" s="18" t="s">
        <v>6075</v>
      </c>
      <c r="Q781" s="18" t="s">
        <v>6075</v>
      </c>
      <c r="R781" s="18" t="s">
        <v>6075</v>
      </c>
    </row>
    <row r="782" spans="1:27" ht="21.75" customHeight="1" x14ac:dyDescent="0.4">
      <c r="A782" s="258">
        <v>46050</v>
      </c>
      <c r="B782" s="325" t="s">
        <v>6076</v>
      </c>
      <c r="C782" s="32" t="s">
        <v>2557</v>
      </c>
      <c r="D782" s="258" t="s">
        <v>22</v>
      </c>
      <c r="E782" s="258" t="s">
        <v>1496</v>
      </c>
      <c r="F782" s="258"/>
      <c r="G782" s="63" t="s">
        <v>4869</v>
      </c>
      <c r="H782" s="399">
        <v>2000</v>
      </c>
      <c r="I782" s="353"/>
      <c r="J782" s="399">
        <f t="shared" si="480"/>
        <v>2000</v>
      </c>
      <c r="K782" s="18">
        <v>1</v>
      </c>
      <c r="L782" s="350">
        <f t="shared" si="413"/>
        <v>2000</v>
      </c>
      <c r="M782" s="356">
        <f t="shared" si="414"/>
        <v>2200</v>
      </c>
      <c r="N782" s="18" t="s">
        <v>1516</v>
      </c>
      <c r="O782" s="455"/>
      <c r="P782" s="18" t="s">
        <v>6053</v>
      </c>
      <c r="Q782" s="18" t="s">
        <v>6053</v>
      </c>
      <c r="R782" s="18" t="s">
        <v>4803</v>
      </c>
      <c r="S782" s="375"/>
    </row>
    <row r="783" spans="1:27" ht="21.75" customHeight="1" x14ac:dyDescent="0.4">
      <c r="A783" s="258">
        <v>46050</v>
      </c>
      <c r="B783" s="325" t="s">
        <v>6085</v>
      </c>
      <c r="C783" s="32" t="s">
        <v>6086</v>
      </c>
      <c r="D783" s="18" t="s">
        <v>27</v>
      </c>
      <c r="E783" s="242" t="s">
        <v>5237</v>
      </c>
      <c r="F783" s="18"/>
      <c r="G783" s="63" t="s">
        <v>364</v>
      </c>
      <c r="H783" s="350">
        <v>25000</v>
      </c>
      <c r="I783" s="353"/>
      <c r="J783" s="350">
        <f t="shared" si="480"/>
        <v>25000</v>
      </c>
      <c r="K783" s="18">
        <v>1</v>
      </c>
      <c r="L783" s="350">
        <f t="shared" si="413"/>
        <v>25000</v>
      </c>
      <c r="M783" s="356">
        <f t="shared" si="414"/>
        <v>27500</v>
      </c>
      <c r="N783" s="18" t="s">
        <v>1516</v>
      </c>
      <c r="O783" s="455"/>
      <c r="Q783" s="18" t="s">
        <v>2595</v>
      </c>
      <c r="R783" s="18" t="s">
        <v>4803</v>
      </c>
      <c r="S783" s="375"/>
    </row>
    <row r="784" spans="1:27" ht="21.75" customHeight="1" x14ac:dyDescent="0.4">
      <c r="A784" s="258">
        <v>46050</v>
      </c>
      <c r="B784" s="325" t="s">
        <v>5859</v>
      </c>
      <c r="C784" s="32" t="s">
        <v>4292</v>
      </c>
      <c r="D784" s="258" t="s">
        <v>17</v>
      </c>
      <c r="E784" s="258" t="s">
        <v>426</v>
      </c>
      <c r="F784" s="18" t="s">
        <v>994</v>
      </c>
      <c r="G784" s="433" t="s">
        <v>6080</v>
      </c>
      <c r="H784" s="406">
        <v>1800</v>
      </c>
      <c r="I784" s="406">
        <v>-720</v>
      </c>
      <c r="J784" s="350">
        <f t="shared" si="412"/>
        <v>1080</v>
      </c>
      <c r="K784" s="18">
        <v>2</v>
      </c>
      <c r="L784" s="350">
        <f t="shared" si="413"/>
        <v>2160</v>
      </c>
      <c r="M784" s="357">
        <f t="shared" si="414"/>
        <v>2376</v>
      </c>
      <c r="N784" s="18" t="s">
        <v>1516</v>
      </c>
      <c r="O784" s="455"/>
      <c r="Q784" s="18" t="s">
        <v>6053</v>
      </c>
      <c r="R784" s="18" t="s">
        <v>6053</v>
      </c>
      <c r="W784" s="354">
        <f t="shared" ref="W784:W786" si="481">X784/H784</f>
        <v>0.6</v>
      </c>
      <c r="X784" s="355">
        <v>1080</v>
      </c>
      <c r="Y784" s="355">
        <f t="shared" ref="Y784:Y786" si="482">K784</f>
        <v>2</v>
      </c>
      <c r="Z784" s="355">
        <f t="shared" ref="Z784:Z786" si="483">X784*Y784</f>
        <v>2160</v>
      </c>
      <c r="AA784" s="355">
        <f>L784-Z784</f>
        <v>0</v>
      </c>
    </row>
    <row r="785" spans="1:27" ht="21.75" customHeight="1" x14ac:dyDescent="0.4">
      <c r="A785" s="258">
        <v>46050</v>
      </c>
      <c r="B785" s="325" t="s">
        <v>5859</v>
      </c>
      <c r="C785" s="32" t="s">
        <v>4292</v>
      </c>
      <c r="D785" s="258" t="s">
        <v>17</v>
      </c>
      <c r="E785" s="258" t="s">
        <v>426</v>
      </c>
      <c r="F785" s="18" t="s">
        <v>994</v>
      </c>
      <c r="G785" s="433" t="s">
        <v>5904</v>
      </c>
      <c r="H785" s="406">
        <v>1800</v>
      </c>
      <c r="I785" s="406">
        <v>-720</v>
      </c>
      <c r="J785" s="350">
        <f t="shared" si="412"/>
        <v>1080</v>
      </c>
      <c r="K785" s="18">
        <v>6</v>
      </c>
      <c r="L785" s="350">
        <f t="shared" si="413"/>
        <v>6480</v>
      </c>
      <c r="M785" s="357">
        <f t="shared" si="414"/>
        <v>7128</v>
      </c>
      <c r="N785" s="18" t="s">
        <v>1516</v>
      </c>
      <c r="O785" s="455"/>
      <c r="Q785" s="18" t="s">
        <v>6053</v>
      </c>
      <c r="R785" s="18" t="s">
        <v>6053</v>
      </c>
      <c r="W785" s="354">
        <f t="shared" si="481"/>
        <v>0.6</v>
      </c>
      <c r="X785" s="355">
        <v>1080</v>
      </c>
      <c r="Y785" s="355">
        <f t="shared" si="482"/>
        <v>6</v>
      </c>
      <c r="Z785" s="355">
        <f t="shared" si="483"/>
        <v>6480</v>
      </c>
      <c r="AA785" s="355">
        <f t="shared" ref="AA785:AA786" si="484">L785-Z785</f>
        <v>0</v>
      </c>
    </row>
    <row r="786" spans="1:27" ht="21.75" customHeight="1" x14ac:dyDescent="0.4">
      <c r="A786" s="258">
        <v>46050</v>
      </c>
      <c r="B786" s="325" t="s">
        <v>5859</v>
      </c>
      <c r="C786" s="32" t="s">
        <v>4292</v>
      </c>
      <c r="D786" s="258" t="s">
        <v>17</v>
      </c>
      <c r="E786" s="258" t="s">
        <v>426</v>
      </c>
      <c r="F786" s="18" t="s">
        <v>994</v>
      </c>
      <c r="G786" s="433" t="s">
        <v>6081</v>
      </c>
      <c r="H786" s="406">
        <v>1800</v>
      </c>
      <c r="I786" s="406">
        <v>-720</v>
      </c>
      <c r="J786" s="350">
        <f t="shared" si="412"/>
        <v>1080</v>
      </c>
      <c r="K786" s="18">
        <v>6</v>
      </c>
      <c r="L786" s="350">
        <f t="shared" si="413"/>
        <v>6480</v>
      </c>
      <c r="M786" s="357">
        <f t="shared" si="414"/>
        <v>7128</v>
      </c>
      <c r="N786" s="18" t="s">
        <v>1516</v>
      </c>
      <c r="O786" s="455"/>
      <c r="Q786" s="18" t="s">
        <v>6053</v>
      </c>
      <c r="R786" s="18" t="s">
        <v>6053</v>
      </c>
      <c r="W786" s="354">
        <f t="shared" si="481"/>
        <v>0.6</v>
      </c>
      <c r="X786" s="355">
        <v>1080</v>
      </c>
      <c r="Y786" s="355">
        <f t="shared" si="482"/>
        <v>6</v>
      </c>
      <c r="Z786" s="355">
        <f t="shared" si="483"/>
        <v>6480</v>
      </c>
      <c r="AA786" s="355">
        <f t="shared" si="484"/>
        <v>0</v>
      </c>
    </row>
    <row r="787" spans="1:27" ht="21.75" customHeight="1" x14ac:dyDescent="0.4">
      <c r="A787" s="258">
        <v>46050</v>
      </c>
      <c r="B787" s="325" t="s">
        <v>4774</v>
      </c>
      <c r="C787" s="32" t="s">
        <v>6082</v>
      </c>
      <c r="D787" s="18" t="s">
        <v>27</v>
      </c>
      <c r="E787" s="18" t="s">
        <v>4409</v>
      </c>
      <c r="F787" s="258"/>
      <c r="G787" s="63" t="s">
        <v>5036</v>
      </c>
      <c r="H787" s="399">
        <v>17500</v>
      </c>
      <c r="I787" s="399"/>
      <c r="J787" s="350">
        <f t="shared" ref="J787" si="485">SUM(H787:I787)</f>
        <v>17500</v>
      </c>
      <c r="K787" s="18">
        <v>1</v>
      </c>
      <c r="L787" s="350">
        <f t="shared" si="413"/>
        <v>17500</v>
      </c>
      <c r="M787" s="356">
        <f t="shared" si="414"/>
        <v>19250</v>
      </c>
      <c r="N787" s="258" t="s">
        <v>20</v>
      </c>
      <c r="O787" s="454" t="s">
        <v>6030</v>
      </c>
      <c r="Q787" s="18" t="s">
        <v>6083</v>
      </c>
      <c r="R787" s="18" t="s">
        <v>6084</v>
      </c>
    </row>
    <row r="788" spans="1:27" ht="21.75" customHeight="1" x14ac:dyDescent="0.4">
      <c r="A788" s="258">
        <v>46051</v>
      </c>
      <c r="B788" s="325" t="s">
        <v>678</v>
      </c>
      <c r="C788" s="32" t="s">
        <v>2557</v>
      </c>
      <c r="D788" s="258" t="s">
        <v>17</v>
      </c>
      <c r="E788" s="258" t="s">
        <v>332</v>
      </c>
      <c r="F788" s="18" t="s">
        <v>3550</v>
      </c>
      <c r="G788" s="63" t="s">
        <v>5129</v>
      </c>
      <c r="H788" s="399">
        <v>1800</v>
      </c>
      <c r="I788" s="399">
        <v>-180</v>
      </c>
      <c r="J788" s="350">
        <f t="shared" si="412"/>
        <v>1620</v>
      </c>
      <c r="K788" s="18">
        <v>1</v>
      </c>
      <c r="L788" s="350">
        <f t="shared" si="413"/>
        <v>1620</v>
      </c>
      <c r="M788" s="356">
        <f t="shared" si="414"/>
        <v>1782</v>
      </c>
      <c r="N788" s="258" t="s">
        <v>20</v>
      </c>
      <c r="O788" s="455"/>
      <c r="Q788" s="18" t="s">
        <v>6087</v>
      </c>
      <c r="R788" s="18" t="s">
        <v>6087</v>
      </c>
      <c r="S788" s="375"/>
      <c r="W788" s="354">
        <f t="shared" ref="W788:W792" si="486">X788/H788</f>
        <v>0.6</v>
      </c>
      <c r="X788" s="355">
        <v>1080</v>
      </c>
      <c r="Y788" s="355">
        <f t="shared" ref="Y788:Y792" si="487">K788</f>
        <v>1</v>
      </c>
      <c r="Z788" s="355">
        <f t="shared" ref="Z788:Z796" si="488">X788*Y788</f>
        <v>1080</v>
      </c>
      <c r="AA788" s="355">
        <f t="shared" ref="AA788:AA796" si="489">L788-Z788</f>
        <v>540</v>
      </c>
    </row>
    <row r="789" spans="1:27" ht="21.75" customHeight="1" x14ac:dyDescent="0.4">
      <c r="A789" s="258">
        <v>46051</v>
      </c>
      <c r="B789" s="325" t="s">
        <v>678</v>
      </c>
      <c r="C789" s="32" t="s">
        <v>2557</v>
      </c>
      <c r="D789" s="258" t="s">
        <v>17</v>
      </c>
      <c r="E789" s="258" t="s">
        <v>332</v>
      </c>
      <c r="F789" s="18" t="s">
        <v>3550</v>
      </c>
      <c r="G789" s="63" t="s">
        <v>5129</v>
      </c>
      <c r="H789" s="399">
        <v>1800</v>
      </c>
      <c r="I789" s="399">
        <v>-180</v>
      </c>
      <c r="J789" s="350">
        <f t="shared" ref="J789" si="490">SUM(H789:I789)</f>
        <v>1620</v>
      </c>
      <c r="K789" s="18">
        <v>2</v>
      </c>
      <c r="L789" s="350">
        <f t="shared" ref="L789" si="491">SUM(J789*K789)</f>
        <v>3240</v>
      </c>
      <c r="M789" s="356">
        <f t="shared" ref="M789" si="492">ROUNDDOWN(L789*1.1,0)</f>
        <v>3564</v>
      </c>
      <c r="N789" s="18" t="s">
        <v>1516</v>
      </c>
      <c r="O789" s="455"/>
      <c r="Q789" s="18" t="s">
        <v>4803</v>
      </c>
      <c r="R789" s="18" t="s">
        <v>4803</v>
      </c>
      <c r="W789" s="354">
        <f t="shared" si="486"/>
        <v>0.6</v>
      </c>
      <c r="X789" s="355">
        <v>1080</v>
      </c>
      <c r="Y789" s="355">
        <f t="shared" si="487"/>
        <v>2</v>
      </c>
      <c r="Z789" s="355">
        <f t="shared" si="488"/>
        <v>2160</v>
      </c>
      <c r="AA789" s="355">
        <f t="shared" si="489"/>
        <v>1080</v>
      </c>
    </row>
    <row r="790" spans="1:27" ht="21.75" customHeight="1" x14ac:dyDescent="0.4">
      <c r="A790" s="258">
        <v>46051</v>
      </c>
      <c r="B790" s="325" t="s">
        <v>678</v>
      </c>
      <c r="C790" s="32" t="s">
        <v>2557</v>
      </c>
      <c r="D790" s="258" t="s">
        <v>17</v>
      </c>
      <c r="E790" s="258" t="s">
        <v>332</v>
      </c>
      <c r="F790" s="18" t="s">
        <v>3550</v>
      </c>
      <c r="G790" s="63" t="s">
        <v>4960</v>
      </c>
      <c r="H790" s="399">
        <v>2000</v>
      </c>
      <c r="I790" s="399">
        <v>-200</v>
      </c>
      <c r="J790" s="350">
        <f t="shared" si="412"/>
        <v>1800</v>
      </c>
      <c r="K790" s="18">
        <v>2</v>
      </c>
      <c r="L790" s="350">
        <f t="shared" si="413"/>
        <v>3600</v>
      </c>
      <c r="M790" s="356">
        <f t="shared" si="414"/>
        <v>3960</v>
      </c>
      <c r="N790" s="18" t="s">
        <v>1516</v>
      </c>
      <c r="O790" s="455"/>
      <c r="Q790" s="18" t="s">
        <v>4803</v>
      </c>
      <c r="R790" s="18" t="s">
        <v>4803</v>
      </c>
      <c r="S790" s="375"/>
      <c r="W790" s="354">
        <f t="shared" si="486"/>
        <v>0.6</v>
      </c>
      <c r="X790" s="355">
        <v>1200</v>
      </c>
      <c r="Y790" s="355">
        <f t="shared" si="487"/>
        <v>2</v>
      </c>
      <c r="Z790" s="355">
        <f t="shared" si="488"/>
        <v>2400</v>
      </c>
      <c r="AA790" s="355">
        <f t="shared" si="489"/>
        <v>1200</v>
      </c>
    </row>
    <row r="791" spans="1:27" ht="21.75" customHeight="1" x14ac:dyDescent="0.4">
      <c r="A791" s="258">
        <v>46051</v>
      </c>
      <c r="B791" s="325" t="s">
        <v>6090</v>
      </c>
      <c r="C791" s="32" t="s">
        <v>2557</v>
      </c>
      <c r="D791" s="258" t="s">
        <v>17</v>
      </c>
      <c r="E791" s="258" t="s">
        <v>332</v>
      </c>
      <c r="F791" s="18" t="s">
        <v>3555</v>
      </c>
      <c r="G791" s="63" t="s">
        <v>6091</v>
      </c>
      <c r="H791" s="399">
        <v>1500</v>
      </c>
      <c r="I791" s="399">
        <v>-150</v>
      </c>
      <c r="J791" s="350">
        <f t="shared" si="412"/>
        <v>1350</v>
      </c>
      <c r="K791" s="18">
        <v>3</v>
      </c>
      <c r="L791" s="350">
        <f t="shared" si="413"/>
        <v>4050</v>
      </c>
      <c r="M791" s="356">
        <f t="shared" si="414"/>
        <v>4455</v>
      </c>
      <c r="N791" s="18" t="s">
        <v>1516</v>
      </c>
      <c r="O791" s="455"/>
      <c r="Q791" s="18" t="s">
        <v>4803</v>
      </c>
      <c r="R791" s="18" t="s">
        <v>4803</v>
      </c>
      <c r="S791" s="375"/>
      <c r="W791" s="354">
        <f t="shared" si="486"/>
        <v>0.50266666666666671</v>
      </c>
      <c r="X791" s="355">
        <v>754</v>
      </c>
      <c r="Y791" s="355">
        <f t="shared" si="487"/>
        <v>3</v>
      </c>
      <c r="Z791" s="355">
        <f t="shared" si="488"/>
        <v>2262</v>
      </c>
      <c r="AA791" s="355">
        <f t="shared" si="489"/>
        <v>1788</v>
      </c>
    </row>
    <row r="792" spans="1:27" ht="21.75" customHeight="1" x14ac:dyDescent="0.4">
      <c r="A792" s="258">
        <v>46051</v>
      </c>
      <c r="B792" s="325" t="s">
        <v>6130</v>
      </c>
      <c r="C792" s="32" t="s">
        <v>405</v>
      </c>
      <c r="D792" s="258" t="s">
        <v>17</v>
      </c>
      <c r="E792" s="258" t="s">
        <v>328</v>
      </c>
      <c r="F792" s="18" t="s">
        <v>5282</v>
      </c>
      <c r="G792" s="63" t="s">
        <v>6131</v>
      </c>
      <c r="H792" s="399">
        <v>10000</v>
      </c>
      <c r="I792" s="399">
        <v>-2000</v>
      </c>
      <c r="J792" s="350">
        <f t="shared" si="412"/>
        <v>8000</v>
      </c>
      <c r="K792" s="18">
        <v>9</v>
      </c>
      <c r="L792" s="350">
        <f t="shared" si="413"/>
        <v>72000</v>
      </c>
      <c r="M792" s="356">
        <f t="shared" si="414"/>
        <v>79200</v>
      </c>
      <c r="N792" s="18" t="s">
        <v>1121</v>
      </c>
      <c r="O792" s="455"/>
      <c r="P792" s="18" t="s">
        <v>6136</v>
      </c>
      <c r="Q792" s="18" t="s">
        <v>6137</v>
      </c>
      <c r="R792" s="18" t="s">
        <v>6137</v>
      </c>
      <c r="S792" s="375"/>
      <c r="W792" s="354">
        <f t="shared" si="486"/>
        <v>0.76</v>
      </c>
      <c r="X792" s="355">
        <v>7600</v>
      </c>
      <c r="Y792" s="355">
        <f t="shared" si="487"/>
        <v>9</v>
      </c>
      <c r="Z792" s="355">
        <f t="shared" si="488"/>
        <v>68400</v>
      </c>
      <c r="AA792" s="355">
        <f t="shared" si="489"/>
        <v>3600</v>
      </c>
    </row>
    <row r="793" spans="1:27" ht="21.75" customHeight="1" x14ac:dyDescent="0.4">
      <c r="A793" s="258">
        <v>46051</v>
      </c>
      <c r="B793" s="325" t="s">
        <v>6130</v>
      </c>
      <c r="C793" s="32" t="s">
        <v>405</v>
      </c>
      <c r="D793" s="258" t="s">
        <v>17</v>
      </c>
      <c r="E793" s="258" t="s">
        <v>328</v>
      </c>
      <c r="F793" s="18" t="s">
        <v>788</v>
      </c>
      <c r="G793" s="63" t="s">
        <v>6132</v>
      </c>
      <c r="H793" s="399">
        <v>50000</v>
      </c>
      <c r="I793" s="399">
        <v>-10000</v>
      </c>
      <c r="J793" s="350">
        <f t="shared" si="412"/>
        <v>40000</v>
      </c>
      <c r="K793" s="18">
        <v>1</v>
      </c>
      <c r="L793" s="350">
        <f t="shared" si="413"/>
        <v>40000</v>
      </c>
      <c r="M793" s="356">
        <f t="shared" si="414"/>
        <v>44000</v>
      </c>
      <c r="N793" s="18" t="s">
        <v>1121</v>
      </c>
      <c r="O793" s="455"/>
      <c r="P793" s="18" t="s">
        <v>6136</v>
      </c>
      <c r="Q793" s="18" t="s">
        <v>6137</v>
      </c>
      <c r="R793" s="18" t="s">
        <v>6137</v>
      </c>
      <c r="S793" s="375"/>
      <c r="W793" s="354">
        <v>0.45</v>
      </c>
      <c r="X793" s="355">
        <f t="shared" ref="X793:X794" si="493">H793*W793</f>
        <v>22500</v>
      </c>
      <c r="Y793" s="355">
        <f t="shared" ref="Y793:Y796" si="494">K793</f>
        <v>1</v>
      </c>
      <c r="Z793" s="355">
        <f t="shared" si="488"/>
        <v>22500</v>
      </c>
      <c r="AA793" s="355">
        <f t="shared" si="489"/>
        <v>17500</v>
      </c>
    </row>
    <row r="794" spans="1:27" ht="21.75" customHeight="1" x14ac:dyDescent="0.4">
      <c r="A794" s="258">
        <v>46051</v>
      </c>
      <c r="B794" s="325" t="s">
        <v>6130</v>
      </c>
      <c r="C794" s="32" t="s">
        <v>405</v>
      </c>
      <c r="D794" s="258" t="s">
        <v>17</v>
      </c>
      <c r="E794" s="258" t="s">
        <v>328</v>
      </c>
      <c r="F794" s="18" t="s">
        <v>788</v>
      </c>
      <c r="G794" s="63" t="s">
        <v>6133</v>
      </c>
      <c r="H794" s="399">
        <v>50000</v>
      </c>
      <c r="I794" s="399">
        <v>-10000</v>
      </c>
      <c r="J794" s="350">
        <f t="shared" si="412"/>
        <v>40000</v>
      </c>
      <c r="K794" s="18">
        <v>1</v>
      </c>
      <c r="L794" s="350">
        <f t="shared" si="413"/>
        <v>40000</v>
      </c>
      <c r="M794" s="356">
        <f t="shared" si="414"/>
        <v>44000</v>
      </c>
      <c r="N794" s="18" t="s">
        <v>1121</v>
      </c>
      <c r="O794" s="455"/>
      <c r="P794" s="18" t="s">
        <v>6136</v>
      </c>
      <c r="Q794" s="18" t="s">
        <v>6137</v>
      </c>
      <c r="R794" s="18" t="s">
        <v>6137</v>
      </c>
      <c r="S794" s="375"/>
      <c r="W794" s="354">
        <v>0.45</v>
      </c>
      <c r="X794" s="355">
        <f t="shared" si="493"/>
        <v>22500</v>
      </c>
      <c r="Y794" s="355">
        <f t="shared" si="494"/>
        <v>1</v>
      </c>
      <c r="Z794" s="355">
        <f t="shared" si="488"/>
        <v>22500</v>
      </c>
      <c r="AA794" s="355">
        <f t="shared" si="489"/>
        <v>17500</v>
      </c>
    </row>
    <row r="795" spans="1:27" ht="21.75" customHeight="1" x14ac:dyDescent="0.4">
      <c r="A795" s="258">
        <v>46051</v>
      </c>
      <c r="B795" s="325" t="s">
        <v>6130</v>
      </c>
      <c r="C795" s="32" t="s">
        <v>405</v>
      </c>
      <c r="D795" s="258" t="s">
        <v>17</v>
      </c>
      <c r="E795" s="258" t="s">
        <v>330</v>
      </c>
      <c r="F795" s="18" t="s">
        <v>3543</v>
      </c>
      <c r="G795" s="63" t="s">
        <v>6134</v>
      </c>
      <c r="H795" s="399">
        <v>5500</v>
      </c>
      <c r="I795" s="399"/>
      <c r="J795" s="399">
        <v>5500</v>
      </c>
      <c r="K795" s="18">
        <v>1</v>
      </c>
      <c r="L795" s="350">
        <v>5500</v>
      </c>
      <c r="M795" s="356">
        <v>6050</v>
      </c>
      <c r="N795" s="18" t="s">
        <v>1121</v>
      </c>
      <c r="O795" s="455"/>
      <c r="P795" s="18" t="s">
        <v>6136</v>
      </c>
      <c r="Q795" s="18" t="s">
        <v>6137</v>
      </c>
      <c r="R795" s="18" t="s">
        <v>6137</v>
      </c>
      <c r="S795" s="375"/>
      <c r="W795" s="354">
        <f t="shared" ref="W795:W796" si="495">X795/H795</f>
        <v>0.47272727272727272</v>
      </c>
      <c r="X795" s="355">
        <v>2600</v>
      </c>
      <c r="Y795" s="355">
        <f t="shared" si="494"/>
        <v>1</v>
      </c>
      <c r="Z795" s="355">
        <f t="shared" si="488"/>
        <v>2600</v>
      </c>
      <c r="AA795" s="355">
        <f t="shared" si="489"/>
        <v>2900</v>
      </c>
    </row>
    <row r="796" spans="1:27" ht="21.75" customHeight="1" x14ac:dyDescent="0.4">
      <c r="A796" s="258">
        <v>46051</v>
      </c>
      <c r="B796" s="325" t="s">
        <v>6130</v>
      </c>
      <c r="C796" s="32" t="s">
        <v>405</v>
      </c>
      <c r="D796" s="258" t="s">
        <v>17</v>
      </c>
      <c r="E796" s="258" t="s">
        <v>332</v>
      </c>
      <c r="F796" s="18" t="s">
        <v>3554</v>
      </c>
      <c r="G796" s="63" t="s">
        <v>6135</v>
      </c>
      <c r="H796" s="399">
        <v>2700</v>
      </c>
      <c r="I796" s="399"/>
      <c r="J796" s="399">
        <v>2700</v>
      </c>
      <c r="K796" s="18">
        <v>11</v>
      </c>
      <c r="L796" s="350">
        <v>29700</v>
      </c>
      <c r="M796" s="356">
        <v>32670</v>
      </c>
      <c r="N796" s="18" t="s">
        <v>1121</v>
      </c>
      <c r="O796" s="455"/>
      <c r="P796" s="18" t="s">
        <v>6136</v>
      </c>
      <c r="Q796" s="18" t="s">
        <v>6137</v>
      </c>
      <c r="R796" s="18" t="s">
        <v>6137</v>
      </c>
      <c r="S796" s="375"/>
      <c r="W796" s="354">
        <f t="shared" si="495"/>
        <v>0.60185185185185186</v>
      </c>
      <c r="X796" s="355">
        <v>1625</v>
      </c>
      <c r="Y796" s="355">
        <f t="shared" si="494"/>
        <v>11</v>
      </c>
      <c r="Z796" s="355">
        <f t="shared" si="488"/>
        <v>17875</v>
      </c>
      <c r="AA796" s="355">
        <f t="shared" si="489"/>
        <v>11825</v>
      </c>
    </row>
    <row r="797" spans="1:27" ht="21.75" customHeight="1" x14ac:dyDescent="0.4">
      <c r="A797" s="258">
        <v>46051</v>
      </c>
      <c r="B797" s="325" t="s">
        <v>1059</v>
      </c>
      <c r="C797" s="32" t="s">
        <v>2557</v>
      </c>
      <c r="D797" s="18" t="s">
        <v>27</v>
      </c>
      <c r="E797" s="242" t="s">
        <v>5237</v>
      </c>
      <c r="F797" s="18"/>
      <c r="G797" s="63" t="s">
        <v>6032</v>
      </c>
      <c r="H797" s="399">
        <v>2500</v>
      </c>
      <c r="I797" s="399"/>
      <c r="J797" s="350">
        <f t="shared" ref="J797:J798" si="496">SUM(H797:I797)</f>
        <v>2500</v>
      </c>
      <c r="K797" s="18">
        <v>1</v>
      </c>
      <c r="L797" s="350">
        <f t="shared" ref="L797:L798" si="497">SUM(J797*K797)</f>
        <v>2500</v>
      </c>
      <c r="M797" s="356">
        <f t="shared" ref="M797:M798" si="498">ROUNDDOWN(L797*1.1,0)</f>
        <v>2750</v>
      </c>
      <c r="N797" s="18" t="s">
        <v>6147</v>
      </c>
      <c r="O797" s="455"/>
      <c r="R797" s="18" t="s">
        <v>4803</v>
      </c>
      <c r="S797" s="375"/>
    </row>
    <row r="798" spans="1:27" ht="21.75" customHeight="1" x14ac:dyDescent="0.4">
      <c r="A798" s="258">
        <v>46051</v>
      </c>
      <c r="B798" s="325" t="s">
        <v>1059</v>
      </c>
      <c r="C798" s="32" t="s">
        <v>2557</v>
      </c>
      <c r="D798" s="18" t="s">
        <v>27</v>
      </c>
      <c r="E798" s="242" t="s">
        <v>5237</v>
      </c>
      <c r="F798" s="258"/>
      <c r="G798" s="433" t="s">
        <v>6148</v>
      </c>
      <c r="H798" s="399">
        <v>1800</v>
      </c>
      <c r="I798" s="399"/>
      <c r="J798" s="350">
        <f t="shared" si="496"/>
        <v>1800</v>
      </c>
      <c r="K798" s="18">
        <v>1</v>
      </c>
      <c r="L798" s="350">
        <f t="shared" si="497"/>
        <v>1800</v>
      </c>
      <c r="M798" s="356">
        <f t="shared" si="498"/>
        <v>1980</v>
      </c>
      <c r="N798" s="18" t="s">
        <v>6147</v>
      </c>
      <c r="O798" s="455"/>
      <c r="R798" s="18" t="s">
        <v>4803</v>
      </c>
      <c r="S798" s="375"/>
    </row>
    <row r="799" spans="1:27" ht="21.75" customHeight="1" x14ac:dyDescent="0.4">
      <c r="A799" s="258">
        <v>46051</v>
      </c>
      <c r="B799" s="325" t="s">
        <v>6095</v>
      </c>
      <c r="C799" s="32" t="s">
        <v>2557</v>
      </c>
      <c r="D799" s="258" t="s">
        <v>22</v>
      </c>
      <c r="E799" s="258" t="s">
        <v>1496</v>
      </c>
      <c r="F799" s="258"/>
      <c r="G799" s="63" t="s">
        <v>4869</v>
      </c>
      <c r="H799" s="399">
        <v>2000</v>
      </c>
      <c r="I799" s="353"/>
      <c r="J799" s="399">
        <f t="shared" ref="J799" si="499">SUM(H799:I799)</f>
        <v>2000</v>
      </c>
      <c r="K799" s="18">
        <v>1</v>
      </c>
      <c r="L799" s="350">
        <f t="shared" ref="L799" si="500">SUM(J799*K799)</f>
        <v>2000</v>
      </c>
      <c r="M799" s="356">
        <f t="shared" ref="M799" si="501">ROUNDDOWN(L799*1.1,0)</f>
        <v>2200</v>
      </c>
      <c r="N799" s="18" t="s">
        <v>1516</v>
      </c>
      <c r="O799" s="455"/>
      <c r="P799" s="18" t="s">
        <v>6096</v>
      </c>
      <c r="Q799" s="18" t="s">
        <v>6097</v>
      </c>
      <c r="R799" s="18" t="s">
        <v>6097</v>
      </c>
    </row>
    <row r="800" spans="1:27" ht="21.75" customHeight="1" x14ac:dyDescent="0.4">
      <c r="A800" s="258">
        <v>46052</v>
      </c>
      <c r="B800" s="325" t="s">
        <v>5628</v>
      </c>
      <c r="C800" s="32" t="s">
        <v>6098</v>
      </c>
      <c r="D800" s="18" t="s">
        <v>27</v>
      </c>
      <c r="E800" s="258" t="s">
        <v>6099</v>
      </c>
      <c r="F800" s="258"/>
      <c r="G800" s="433" t="s">
        <v>6100</v>
      </c>
      <c r="H800" s="399">
        <v>17500</v>
      </c>
      <c r="I800" s="399"/>
      <c r="J800" s="350">
        <f t="shared" si="412"/>
        <v>17500</v>
      </c>
      <c r="K800" s="18">
        <v>1</v>
      </c>
      <c r="L800" s="350">
        <f t="shared" si="413"/>
        <v>17500</v>
      </c>
      <c r="M800" s="356">
        <f t="shared" si="414"/>
        <v>19250</v>
      </c>
      <c r="N800" s="258" t="s">
        <v>1516</v>
      </c>
      <c r="O800" s="454" t="s">
        <v>6030</v>
      </c>
      <c r="Q800" s="18" t="s">
        <v>6101</v>
      </c>
      <c r="R800" s="18" t="s">
        <v>6101</v>
      </c>
    </row>
    <row r="801" spans="1:27" ht="21.75" customHeight="1" x14ac:dyDescent="0.4">
      <c r="A801" s="258">
        <v>46052</v>
      </c>
      <c r="B801" s="325" t="s">
        <v>6102</v>
      </c>
      <c r="C801" s="32" t="s">
        <v>405</v>
      </c>
      <c r="D801" s="258" t="s">
        <v>6103</v>
      </c>
      <c r="E801" s="258" t="s">
        <v>328</v>
      </c>
      <c r="F801" s="258" t="s">
        <v>788</v>
      </c>
      <c r="G801" s="433" t="s">
        <v>6106</v>
      </c>
      <c r="H801" s="399">
        <v>45000</v>
      </c>
      <c r="I801" s="399">
        <v>-9000</v>
      </c>
      <c r="J801" s="350">
        <f t="shared" si="412"/>
        <v>36000</v>
      </c>
      <c r="K801" s="18">
        <v>1</v>
      </c>
      <c r="L801" s="350">
        <f t="shared" si="413"/>
        <v>36000</v>
      </c>
      <c r="M801" s="356">
        <f t="shared" si="414"/>
        <v>39600</v>
      </c>
      <c r="N801" s="258" t="s">
        <v>1516</v>
      </c>
      <c r="O801" s="455"/>
      <c r="P801" s="18" t="s">
        <v>6104</v>
      </c>
      <c r="Q801" s="18" t="s">
        <v>6104</v>
      </c>
      <c r="R801" s="18" t="s">
        <v>6104</v>
      </c>
      <c r="W801" s="354">
        <v>0.45</v>
      </c>
      <c r="X801" s="355">
        <f t="shared" ref="X801:X802" si="502">H801*W801</f>
        <v>20250</v>
      </c>
      <c r="Y801" s="355">
        <f t="shared" ref="Y801:Y805" si="503">K801</f>
        <v>1</v>
      </c>
      <c r="Z801" s="355">
        <f t="shared" ref="Z801:Z805" si="504">X801*Y801</f>
        <v>20250</v>
      </c>
      <c r="AA801" s="355">
        <f t="shared" ref="AA801:AA805" si="505">L801-Z801</f>
        <v>15750</v>
      </c>
    </row>
    <row r="802" spans="1:27" ht="21.75" customHeight="1" x14ac:dyDescent="0.4">
      <c r="A802" s="258">
        <v>46052</v>
      </c>
      <c r="B802" s="325" t="s">
        <v>6102</v>
      </c>
      <c r="C802" s="32" t="s">
        <v>405</v>
      </c>
      <c r="D802" s="258" t="s">
        <v>6103</v>
      </c>
      <c r="E802" s="258" t="s">
        <v>328</v>
      </c>
      <c r="F802" s="258" t="s">
        <v>788</v>
      </c>
      <c r="G802" s="433" t="s">
        <v>6107</v>
      </c>
      <c r="H802" s="399">
        <v>16000</v>
      </c>
      <c r="I802" s="399">
        <v>-3200</v>
      </c>
      <c r="J802" s="350">
        <f t="shared" si="412"/>
        <v>12800</v>
      </c>
      <c r="K802" s="18">
        <v>1</v>
      </c>
      <c r="L802" s="350">
        <f t="shared" si="413"/>
        <v>12800</v>
      </c>
      <c r="M802" s="356">
        <f t="shared" si="414"/>
        <v>14080</v>
      </c>
      <c r="N802" s="258" t="s">
        <v>1516</v>
      </c>
      <c r="O802" s="455"/>
      <c r="P802" s="18" t="s">
        <v>6104</v>
      </c>
      <c r="Q802" s="18" t="s">
        <v>6104</v>
      </c>
      <c r="R802" s="18" t="s">
        <v>6104</v>
      </c>
      <c r="W802" s="354">
        <v>0.45</v>
      </c>
      <c r="X802" s="355">
        <f t="shared" si="502"/>
        <v>7200</v>
      </c>
      <c r="Y802" s="355">
        <f t="shared" si="503"/>
        <v>1</v>
      </c>
      <c r="Z802" s="355">
        <f t="shared" si="504"/>
        <v>7200</v>
      </c>
      <c r="AA802" s="355">
        <f t="shared" si="505"/>
        <v>5600</v>
      </c>
    </row>
    <row r="803" spans="1:27" ht="21.75" customHeight="1" x14ac:dyDescent="0.4">
      <c r="A803" s="258">
        <v>46052</v>
      </c>
      <c r="B803" s="325" t="s">
        <v>6102</v>
      </c>
      <c r="C803" s="32" t="s">
        <v>405</v>
      </c>
      <c r="D803" s="258" t="s">
        <v>6103</v>
      </c>
      <c r="E803" s="258" t="s">
        <v>1442</v>
      </c>
      <c r="F803" s="258" t="s">
        <v>6105</v>
      </c>
      <c r="G803" s="433" t="s">
        <v>6108</v>
      </c>
      <c r="H803" s="399">
        <v>20000</v>
      </c>
      <c r="I803" s="399"/>
      <c r="J803" s="350">
        <f t="shared" si="412"/>
        <v>20000</v>
      </c>
      <c r="K803" s="18">
        <v>1</v>
      </c>
      <c r="L803" s="350">
        <f t="shared" si="413"/>
        <v>20000</v>
      </c>
      <c r="M803" s="356">
        <f t="shared" si="414"/>
        <v>22000</v>
      </c>
      <c r="N803" s="258" t="s">
        <v>1516</v>
      </c>
      <c r="O803" s="455"/>
      <c r="P803" s="18" t="s">
        <v>6104</v>
      </c>
      <c r="Q803" s="18" t="s">
        <v>6104</v>
      </c>
      <c r="R803" s="18" t="s">
        <v>6104</v>
      </c>
      <c r="W803" s="354">
        <f t="shared" ref="W803:W805" si="506">X803/H803</f>
        <v>1</v>
      </c>
      <c r="X803" s="355">
        <v>20000</v>
      </c>
      <c r="Y803" s="355">
        <f t="shared" si="503"/>
        <v>1</v>
      </c>
      <c r="Z803" s="355">
        <f t="shared" si="504"/>
        <v>20000</v>
      </c>
      <c r="AA803" s="355">
        <f t="shared" si="505"/>
        <v>0</v>
      </c>
    </row>
    <row r="804" spans="1:27" ht="21.75" customHeight="1" x14ac:dyDescent="0.4">
      <c r="A804" s="258">
        <v>46052</v>
      </c>
      <c r="B804" s="325" t="s">
        <v>6102</v>
      </c>
      <c r="C804" s="32" t="s">
        <v>405</v>
      </c>
      <c r="D804" s="258" t="s">
        <v>17</v>
      </c>
      <c r="E804" s="258" t="s">
        <v>332</v>
      </c>
      <c r="F804" s="258" t="s">
        <v>3555</v>
      </c>
      <c r="G804" s="433" t="s">
        <v>6110</v>
      </c>
      <c r="H804" s="399">
        <v>1500</v>
      </c>
      <c r="I804" s="399"/>
      <c r="J804" s="350">
        <f t="shared" si="412"/>
        <v>1500</v>
      </c>
      <c r="K804" s="18">
        <v>2</v>
      </c>
      <c r="L804" s="350">
        <f t="shared" si="413"/>
        <v>3000</v>
      </c>
      <c r="M804" s="356">
        <f t="shared" si="414"/>
        <v>3300</v>
      </c>
      <c r="N804" s="258" t="s">
        <v>1516</v>
      </c>
      <c r="O804" s="455"/>
      <c r="P804" s="18" t="s">
        <v>6104</v>
      </c>
      <c r="Q804" s="18" t="s">
        <v>6104</v>
      </c>
      <c r="R804" s="18" t="s">
        <v>6104</v>
      </c>
      <c r="W804" s="354">
        <f t="shared" si="506"/>
        <v>0.50266666666666671</v>
      </c>
      <c r="X804" s="355">
        <v>754</v>
      </c>
      <c r="Y804" s="355">
        <f t="shared" si="503"/>
        <v>2</v>
      </c>
      <c r="Z804" s="355">
        <f t="shared" si="504"/>
        <v>1508</v>
      </c>
      <c r="AA804" s="355">
        <f t="shared" si="505"/>
        <v>1492</v>
      </c>
    </row>
    <row r="805" spans="1:27" ht="21.75" customHeight="1" x14ac:dyDescent="0.4">
      <c r="A805" s="258">
        <v>46052</v>
      </c>
      <c r="B805" s="325" t="s">
        <v>6102</v>
      </c>
      <c r="C805" s="32" t="s">
        <v>405</v>
      </c>
      <c r="D805" s="258" t="s">
        <v>17</v>
      </c>
      <c r="E805" s="258" t="s">
        <v>330</v>
      </c>
      <c r="F805" s="258" t="s">
        <v>6109</v>
      </c>
      <c r="G805" s="63" t="s">
        <v>3819</v>
      </c>
      <c r="H805" s="399">
        <v>5000</v>
      </c>
      <c r="I805" s="399"/>
      <c r="J805" s="350">
        <f t="shared" si="412"/>
        <v>5000</v>
      </c>
      <c r="K805" s="18">
        <v>1</v>
      </c>
      <c r="L805" s="350">
        <f t="shared" si="413"/>
        <v>5000</v>
      </c>
      <c r="M805" s="356">
        <f t="shared" si="414"/>
        <v>5500</v>
      </c>
      <c r="N805" s="258" t="s">
        <v>1516</v>
      </c>
      <c r="O805" s="455"/>
      <c r="P805" s="18" t="s">
        <v>6104</v>
      </c>
      <c r="Q805" s="18" t="s">
        <v>6104</v>
      </c>
      <c r="R805" s="18" t="s">
        <v>6104</v>
      </c>
      <c r="W805" s="354">
        <f t="shared" si="506"/>
        <v>0.45</v>
      </c>
      <c r="X805" s="355">
        <v>2250</v>
      </c>
      <c r="Y805" s="355">
        <f t="shared" si="503"/>
        <v>1</v>
      </c>
      <c r="Z805" s="355">
        <f t="shared" si="504"/>
        <v>2250</v>
      </c>
      <c r="AA805" s="355">
        <f t="shared" si="505"/>
        <v>2750</v>
      </c>
    </row>
    <row r="806" spans="1:27" ht="21.75" customHeight="1" x14ac:dyDescent="0.4">
      <c r="A806" s="258">
        <v>46052</v>
      </c>
      <c r="B806" s="325" t="s">
        <v>6102</v>
      </c>
      <c r="C806" s="32" t="s">
        <v>405</v>
      </c>
      <c r="D806" s="258" t="s">
        <v>22</v>
      </c>
      <c r="E806" s="18" t="s">
        <v>260</v>
      </c>
      <c r="F806" s="258"/>
      <c r="G806" s="63" t="s">
        <v>6111</v>
      </c>
      <c r="H806" s="399">
        <v>18000</v>
      </c>
      <c r="I806" s="399"/>
      <c r="J806" s="350">
        <f t="shared" si="412"/>
        <v>18000</v>
      </c>
      <c r="K806" s="18">
        <v>1</v>
      </c>
      <c r="L806" s="350">
        <f t="shared" si="413"/>
        <v>18000</v>
      </c>
      <c r="M806" s="356">
        <f t="shared" si="414"/>
        <v>19800</v>
      </c>
      <c r="N806" s="258" t="s">
        <v>1516</v>
      </c>
      <c r="O806" s="455"/>
      <c r="P806" s="18" t="s">
        <v>2596</v>
      </c>
      <c r="Q806" s="18" t="s">
        <v>2596</v>
      </c>
      <c r="R806" s="18" t="s">
        <v>4798</v>
      </c>
    </row>
    <row r="807" spans="1:27" ht="21.75" customHeight="1" x14ac:dyDescent="0.4">
      <c r="A807" s="258">
        <v>46052</v>
      </c>
      <c r="B807" s="325" t="s">
        <v>6129</v>
      </c>
      <c r="C807" s="32" t="s">
        <v>405</v>
      </c>
      <c r="D807" s="258" t="s">
        <v>17</v>
      </c>
      <c r="E807" s="258" t="s">
        <v>328</v>
      </c>
      <c r="F807" s="258" t="s">
        <v>6124</v>
      </c>
      <c r="G807" s="63" t="s">
        <v>6125</v>
      </c>
      <c r="H807" s="399">
        <v>48000</v>
      </c>
      <c r="I807" s="399">
        <v>-4800</v>
      </c>
      <c r="J807" s="350">
        <f t="shared" si="412"/>
        <v>43200</v>
      </c>
      <c r="K807" s="18">
        <v>1</v>
      </c>
      <c r="L807" s="350">
        <f t="shared" si="413"/>
        <v>43200</v>
      </c>
      <c r="M807" s="356">
        <f t="shared" si="414"/>
        <v>47520</v>
      </c>
      <c r="N807" s="18" t="s">
        <v>1121</v>
      </c>
      <c r="O807" s="455"/>
      <c r="Q807" s="18" t="s">
        <v>6128</v>
      </c>
      <c r="R807" s="18" t="s">
        <v>6121</v>
      </c>
      <c r="W807" s="354">
        <f t="shared" ref="W807:W811" si="507">X807/H807</f>
        <v>0.62</v>
      </c>
      <c r="X807" s="355">
        <v>29760</v>
      </c>
      <c r="Y807" s="355">
        <f t="shared" ref="Y807:Y811" si="508">K807</f>
        <v>1</v>
      </c>
      <c r="Z807" s="355">
        <f t="shared" ref="Z807:Z811" si="509">X807*Y807</f>
        <v>29760</v>
      </c>
      <c r="AA807" s="355">
        <f t="shared" ref="AA807:AA811" si="510">L807-Z807</f>
        <v>13440</v>
      </c>
    </row>
    <row r="808" spans="1:27" ht="21.75" customHeight="1" x14ac:dyDescent="0.4">
      <c r="A808" s="258">
        <v>46052</v>
      </c>
      <c r="B808" s="325" t="s">
        <v>6129</v>
      </c>
      <c r="C808" s="32" t="s">
        <v>405</v>
      </c>
      <c r="D808" s="258" t="s">
        <v>17</v>
      </c>
      <c r="E808" s="258" t="s">
        <v>328</v>
      </c>
      <c r="F808" s="258" t="s">
        <v>6124</v>
      </c>
      <c r="G808" s="63" t="s">
        <v>6126</v>
      </c>
      <c r="H808" s="399">
        <v>48000</v>
      </c>
      <c r="I808" s="399">
        <v>-4800</v>
      </c>
      <c r="J808" s="350">
        <f t="shared" ref="J808" si="511">SUM(H808:I808)</f>
        <v>43200</v>
      </c>
      <c r="K808" s="18">
        <v>1</v>
      </c>
      <c r="L808" s="350">
        <f t="shared" ref="L808" si="512">SUM(J808*K808)</f>
        <v>43200</v>
      </c>
      <c r="M808" s="356">
        <f t="shared" ref="M808" si="513">ROUNDDOWN(L808*1.1,0)</f>
        <v>47520</v>
      </c>
      <c r="N808" s="18" t="s">
        <v>1121</v>
      </c>
      <c r="O808" s="455"/>
      <c r="Q808" s="18" t="s">
        <v>6128</v>
      </c>
      <c r="R808" s="18" t="s">
        <v>4803</v>
      </c>
      <c r="W808" s="354">
        <f t="shared" si="507"/>
        <v>0.62</v>
      </c>
      <c r="X808" s="355">
        <v>29760</v>
      </c>
      <c r="Y808" s="355">
        <f t="shared" si="508"/>
        <v>1</v>
      </c>
      <c r="Z808" s="355">
        <f t="shared" si="509"/>
        <v>29760</v>
      </c>
      <c r="AA808" s="355">
        <f t="shared" si="510"/>
        <v>13440</v>
      </c>
    </row>
    <row r="809" spans="1:27" ht="21.75" customHeight="1" x14ac:dyDescent="0.4">
      <c r="A809" s="258">
        <v>46052</v>
      </c>
      <c r="B809" s="325" t="s">
        <v>6129</v>
      </c>
      <c r="C809" s="32" t="s">
        <v>405</v>
      </c>
      <c r="D809" s="258" t="s">
        <v>17</v>
      </c>
      <c r="E809" s="258" t="s">
        <v>332</v>
      </c>
      <c r="F809" s="258" t="s">
        <v>3555</v>
      </c>
      <c r="G809" s="63" t="s">
        <v>6127</v>
      </c>
      <c r="H809" s="399">
        <v>2100</v>
      </c>
      <c r="I809" s="399"/>
      <c r="J809" s="350">
        <f t="shared" ref="J809" si="514">SUM(H809:I809)</f>
        <v>2100</v>
      </c>
      <c r="K809" s="18">
        <v>2</v>
      </c>
      <c r="L809" s="350">
        <f t="shared" si="413"/>
        <v>4200</v>
      </c>
      <c r="M809" s="356">
        <f t="shared" si="414"/>
        <v>4620</v>
      </c>
      <c r="N809" s="18" t="s">
        <v>1121</v>
      </c>
      <c r="O809" s="455"/>
      <c r="Q809" s="18" t="s">
        <v>6128</v>
      </c>
      <c r="R809" s="18" t="s">
        <v>6121</v>
      </c>
      <c r="W809" s="354">
        <f t="shared" si="507"/>
        <v>0.52476190476190476</v>
      </c>
      <c r="X809" s="355">
        <v>1102</v>
      </c>
      <c r="Y809" s="355">
        <f t="shared" si="508"/>
        <v>2</v>
      </c>
      <c r="Z809" s="355">
        <f t="shared" si="509"/>
        <v>2204</v>
      </c>
      <c r="AA809" s="355">
        <f t="shared" si="510"/>
        <v>1996</v>
      </c>
    </row>
    <row r="810" spans="1:27" ht="21.75" customHeight="1" x14ac:dyDescent="0.4">
      <c r="A810" s="258">
        <v>46053</v>
      </c>
      <c r="B810" s="325" t="s">
        <v>6112</v>
      </c>
      <c r="C810" s="32" t="s">
        <v>2557</v>
      </c>
      <c r="D810" s="258" t="s">
        <v>17</v>
      </c>
      <c r="E810" s="258" t="s">
        <v>426</v>
      </c>
      <c r="F810" s="18" t="s">
        <v>994</v>
      </c>
      <c r="G810" s="433" t="s">
        <v>6080</v>
      </c>
      <c r="H810" s="399">
        <v>1800</v>
      </c>
      <c r="I810" s="399">
        <v>-180</v>
      </c>
      <c r="J810" s="350">
        <f t="shared" si="412"/>
        <v>1620</v>
      </c>
      <c r="K810" s="18">
        <v>1</v>
      </c>
      <c r="L810" s="350">
        <f t="shared" si="413"/>
        <v>1620</v>
      </c>
      <c r="M810" s="356">
        <f t="shared" si="414"/>
        <v>1782</v>
      </c>
      <c r="N810" s="258" t="s">
        <v>20</v>
      </c>
      <c r="O810" s="455"/>
      <c r="Q810" s="18" t="s">
        <v>2594</v>
      </c>
      <c r="R810" s="18" t="s">
        <v>2594</v>
      </c>
      <c r="W810" s="354">
        <f t="shared" si="507"/>
        <v>0.6</v>
      </c>
      <c r="X810" s="355">
        <v>1080</v>
      </c>
      <c r="Y810" s="355">
        <f t="shared" si="508"/>
        <v>1</v>
      </c>
      <c r="Z810" s="355">
        <f t="shared" si="509"/>
        <v>1080</v>
      </c>
      <c r="AA810" s="355">
        <f t="shared" si="510"/>
        <v>540</v>
      </c>
    </row>
    <row r="811" spans="1:27" ht="21.75" customHeight="1" x14ac:dyDescent="0.4">
      <c r="A811" s="258">
        <v>46053</v>
      </c>
      <c r="B811" s="325" t="s">
        <v>6113</v>
      </c>
      <c r="C811" s="32" t="s">
        <v>2557</v>
      </c>
      <c r="D811" s="258" t="s">
        <v>17</v>
      </c>
      <c r="E811" s="258" t="s">
        <v>332</v>
      </c>
      <c r="F811" s="258" t="s">
        <v>3555</v>
      </c>
      <c r="G811" s="433" t="s">
        <v>6114</v>
      </c>
      <c r="H811" s="399">
        <v>3800</v>
      </c>
      <c r="I811" s="399"/>
      <c r="J811" s="350">
        <f t="shared" si="412"/>
        <v>3800</v>
      </c>
      <c r="K811" s="18">
        <v>1</v>
      </c>
      <c r="L811" s="350">
        <f t="shared" si="413"/>
        <v>3800</v>
      </c>
      <c r="M811" s="356">
        <f t="shared" si="414"/>
        <v>4180</v>
      </c>
      <c r="N811" s="258" t="s">
        <v>1516</v>
      </c>
      <c r="O811" s="455"/>
      <c r="Q811" s="18" t="s">
        <v>2594</v>
      </c>
      <c r="R811" s="18" t="s">
        <v>2594</v>
      </c>
      <c r="W811" s="354">
        <f t="shared" si="507"/>
        <v>0.57999999999999996</v>
      </c>
      <c r="X811" s="355">
        <v>2204</v>
      </c>
      <c r="Y811" s="355">
        <f t="shared" si="508"/>
        <v>1</v>
      </c>
      <c r="Z811" s="355">
        <f t="shared" si="509"/>
        <v>2204</v>
      </c>
      <c r="AA811" s="355">
        <f t="shared" si="510"/>
        <v>1596</v>
      </c>
    </row>
    <row r="812" spans="1:27" ht="21.75" customHeight="1" x14ac:dyDescent="0.4">
      <c r="A812" s="258">
        <v>46053</v>
      </c>
      <c r="B812" s="325" t="s">
        <v>5537</v>
      </c>
      <c r="C812" s="32" t="s">
        <v>2557</v>
      </c>
      <c r="D812" s="258" t="s">
        <v>22</v>
      </c>
      <c r="E812" s="258" t="s">
        <v>1496</v>
      </c>
      <c r="F812" s="258"/>
      <c r="G812" s="63" t="s">
        <v>4869</v>
      </c>
      <c r="H812" s="399">
        <v>2000</v>
      </c>
      <c r="I812" s="399"/>
      <c r="J812" s="350">
        <f t="shared" ref="J812:J852" si="515">SUM(H812:I812)</f>
        <v>2000</v>
      </c>
      <c r="K812" s="18">
        <v>1</v>
      </c>
      <c r="L812" s="350">
        <f t="shared" ref="L812:L852" si="516">SUM(J812*K812)</f>
        <v>2000</v>
      </c>
      <c r="M812" s="356">
        <f t="shared" ref="M812:M852" si="517">ROUNDDOWN(L812*1.1,0)</f>
        <v>2200</v>
      </c>
      <c r="N812" s="258" t="s">
        <v>20</v>
      </c>
      <c r="O812" s="455"/>
      <c r="P812" s="18" t="s">
        <v>2595</v>
      </c>
      <c r="Q812" s="18" t="s">
        <v>2594</v>
      </c>
      <c r="R812" s="18" t="s">
        <v>2594</v>
      </c>
    </row>
    <row r="813" spans="1:27" ht="21.75" customHeight="1" x14ac:dyDescent="0.4">
      <c r="A813" s="258">
        <v>46054</v>
      </c>
      <c r="B813" s="325" t="s">
        <v>2088</v>
      </c>
      <c r="C813" s="32" t="s">
        <v>2557</v>
      </c>
      <c r="D813" s="258" t="s">
        <v>22</v>
      </c>
      <c r="E813" s="258" t="s">
        <v>1496</v>
      </c>
      <c r="F813" s="258"/>
      <c r="G813" s="63" t="s">
        <v>4869</v>
      </c>
      <c r="H813" s="399">
        <v>2000</v>
      </c>
      <c r="I813" s="399"/>
      <c r="J813" s="350">
        <f t="shared" ref="J813" si="518">SUM(H813:I813)</f>
        <v>2000</v>
      </c>
      <c r="K813" s="18">
        <v>2</v>
      </c>
      <c r="L813" s="350">
        <f t="shared" ref="L813" si="519">SUM(J813*K813)</f>
        <v>4000</v>
      </c>
      <c r="M813" s="356">
        <f t="shared" ref="M813" si="520">ROUNDDOWN(L813*1.1,0)</f>
        <v>4400</v>
      </c>
      <c r="N813" s="258" t="s">
        <v>1516</v>
      </c>
      <c r="O813" s="455"/>
      <c r="P813" s="18" t="s">
        <v>6115</v>
      </c>
      <c r="Q813" s="18" t="s">
        <v>6115</v>
      </c>
      <c r="R813" s="18" t="s">
        <v>6115</v>
      </c>
    </row>
    <row r="814" spans="1:27" ht="21.75" customHeight="1" x14ac:dyDescent="0.4">
      <c r="A814" s="258">
        <v>46054</v>
      </c>
      <c r="B814" s="325" t="s">
        <v>5023</v>
      </c>
      <c r="C814" s="32" t="s">
        <v>2557</v>
      </c>
      <c r="D814" s="258" t="s">
        <v>22</v>
      </c>
      <c r="E814" s="258" t="s">
        <v>1496</v>
      </c>
      <c r="F814" s="258"/>
      <c r="G814" s="63" t="s">
        <v>4869</v>
      </c>
      <c r="H814" s="399">
        <v>2000</v>
      </c>
      <c r="I814" s="399"/>
      <c r="J814" s="350">
        <f t="shared" ref="J814" si="521">SUM(H814:I814)</f>
        <v>2000</v>
      </c>
      <c r="K814" s="18">
        <v>1</v>
      </c>
      <c r="L814" s="350">
        <f t="shared" ref="L814" si="522">SUM(J814*K814)</f>
        <v>2000</v>
      </c>
      <c r="M814" s="356">
        <f t="shared" ref="M814" si="523">ROUNDDOWN(L814*1.1,0)</f>
        <v>2200</v>
      </c>
      <c r="N814" s="258" t="s">
        <v>20</v>
      </c>
      <c r="O814" s="455"/>
      <c r="P814" s="18" t="s">
        <v>6115</v>
      </c>
      <c r="Q814" s="18" t="s">
        <v>6115</v>
      </c>
      <c r="R814" s="18" t="s">
        <v>6115</v>
      </c>
    </row>
    <row r="815" spans="1:27" ht="21.75" customHeight="1" x14ac:dyDescent="0.4">
      <c r="A815" s="258">
        <v>46054</v>
      </c>
      <c r="B815" s="325" t="s">
        <v>5023</v>
      </c>
      <c r="C815" s="32" t="s">
        <v>2557</v>
      </c>
      <c r="D815" s="258" t="s">
        <v>6116</v>
      </c>
      <c r="E815" s="258" t="s">
        <v>6117</v>
      </c>
      <c r="F815" s="258" t="s">
        <v>6118</v>
      </c>
      <c r="G815" s="433" t="s">
        <v>6119</v>
      </c>
      <c r="H815" s="399">
        <v>3000</v>
      </c>
      <c r="I815" s="399">
        <v>-300</v>
      </c>
      <c r="J815" s="350">
        <f t="shared" si="515"/>
        <v>2700</v>
      </c>
      <c r="K815" s="18">
        <v>1</v>
      </c>
      <c r="L815" s="350">
        <f t="shared" si="516"/>
        <v>2700</v>
      </c>
      <c r="M815" s="356">
        <f t="shared" si="517"/>
        <v>2970</v>
      </c>
      <c r="N815" s="258" t="s">
        <v>20</v>
      </c>
      <c r="O815" s="455"/>
      <c r="Q815" s="18" t="s">
        <v>5449</v>
      </c>
      <c r="R815" s="18" t="s">
        <v>5449</v>
      </c>
      <c r="W815" s="354">
        <f>X815/H815</f>
        <v>0.6</v>
      </c>
      <c r="X815" s="355">
        <v>1800</v>
      </c>
      <c r="Y815" s="355">
        <f>K815</f>
        <v>1</v>
      </c>
      <c r="Z815" s="355">
        <f>X815*Y815</f>
        <v>1800</v>
      </c>
      <c r="AA815" s="355">
        <f>L815-Z815</f>
        <v>900</v>
      </c>
    </row>
    <row r="816" spans="1:27" ht="21.75" customHeight="1" x14ac:dyDescent="0.4">
      <c r="A816" s="258">
        <v>46054</v>
      </c>
      <c r="B816" s="325" t="s">
        <v>6120</v>
      </c>
      <c r="C816" s="32" t="s">
        <v>2557</v>
      </c>
      <c r="D816" s="18" t="s">
        <v>27</v>
      </c>
      <c r="E816" s="18" t="s">
        <v>28</v>
      </c>
      <c r="F816" s="18"/>
      <c r="G816" s="63" t="s">
        <v>73</v>
      </c>
      <c r="H816" s="399">
        <v>2000</v>
      </c>
      <c r="I816" s="399"/>
      <c r="J816" s="350">
        <f t="shared" si="515"/>
        <v>2000</v>
      </c>
      <c r="K816" s="18">
        <v>3</v>
      </c>
      <c r="L816" s="350">
        <f t="shared" si="516"/>
        <v>6000</v>
      </c>
      <c r="M816" s="356">
        <f t="shared" si="517"/>
        <v>6600</v>
      </c>
      <c r="N816" s="258" t="s">
        <v>1516</v>
      </c>
      <c r="O816" s="454" t="s">
        <v>6177</v>
      </c>
      <c r="P816" s="18" t="s">
        <v>5449</v>
      </c>
      <c r="Q816" s="18" t="s">
        <v>5449</v>
      </c>
      <c r="R816" s="18" t="s">
        <v>5449</v>
      </c>
    </row>
    <row r="817" spans="1:27" ht="21.75" customHeight="1" x14ac:dyDescent="0.4">
      <c r="A817" s="258">
        <v>46055</v>
      </c>
      <c r="B817" s="325" t="s">
        <v>6122</v>
      </c>
      <c r="C817" s="32" t="s">
        <v>5802</v>
      </c>
      <c r="D817" s="18" t="s">
        <v>22</v>
      </c>
      <c r="E817" s="18" t="s">
        <v>1496</v>
      </c>
      <c r="F817" s="18"/>
      <c r="G817" s="63" t="s">
        <v>2422</v>
      </c>
      <c r="H817" s="350">
        <v>2000</v>
      </c>
      <c r="I817" s="399"/>
      <c r="J817" s="350">
        <v>2000</v>
      </c>
      <c r="K817" s="18">
        <v>1</v>
      </c>
      <c r="L817" s="350">
        <f t="shared" si="516"/>
        <v>2000</v>
      </c>
      <c r="M817" s="356">
        <f t="shared" si="517"/>
        <v>2200</v>
      </c>
      <c r="N817" s="347" t="s">
        <v>20</v>
      </c>
      <c r="O817" s="455"/>
      <c r="Q817" s="18" t="s">
        <v>6121</v>
      </c>
      <c r="R817" s="18" t="s">
        <v>6121</v>
      </c>
    </row>
    <row r="818" spans="1:27" ht="21.75" customHeight="1" x14ac:dyDescent="0.4">
      <c r="A818" s="258">
        <v>46055</v>
      </c>
      <c r="B818" s="325" t="s">
        <v>3424</v>
      </c>
      <c r="C818" s="32" t="s">
        <v>2557</v>
      </c>
      <c r="D818" s="258" t="s">
        <v>22</v>
      </c>
      <c r="E818" s="258" t="s">
        <v>1496</v>
      </c>
      <c r="F818" s="258"/>
      <c r="G818" s="63" t="s">
        <v>4869</v>
      </c>
      <c r="H818" s="399">
        <v>2000</v>
      </c>
      <c r="I818" s="399"/>
      <c r="J818" s="350">
        <f t="shared" ref="J818" si="524">SUM(H818:I818)</f>
        <v>2000</v>
      </c>
      <c r="K818" s="18">
        <v>1</v>
      </c>
      <c r="L818" s="350">
        <f t="shared" ref="L818" si="525">SUM(J818*K818)</f>
        <v>2000</v>
      </c>
      <c r="M818" s="356">
        <f t="shared" ref="M818" si="526">ROUNDDOWN(L818*1.1,0)</f>
        <v>2200</v>
      </c>
      <c r="N818" s="258" t="s">
        <v>1516</v>
      </c>
      <c r="O818" s="455"/>
      <c r="P818" s="18" t="s">
        <v>6123</v>
      </c>
      <c r="Q818" s="18" t="s">
        <v>6121</v>
      </c>
      <c r="R818" s="18" t="s">
        <v>6121</v>
      </c>
      <c r="S818" s="375"/>
    </row>
    <row r="819" spans="1:27" ht="21.75" customHeight="1" x14ac:dyDescent="0.4">
      <c r="A819" s="258">
        <v>46057</v>
      </c>
      <c r="B819" s="325" t="s">
        <v>6139</v>
      </c>
      <c r="C819" s="32" t="s">
        <v>6140</v>
      </c>
      <c r="D819" s="258" t="s">
        <v>17</v>
      </c>
      <c r="E819" s="258" t="s">
        <v>332</v>
      </c>
      <c r="F819" s="258" t="s">
        <v>3555</v>
      </c>
      <c r="G819" s="433" t="s">
        <v>4880</v>
      </c>
      <c r="H819" s="406">
        <v>2100</v>
      </c>
      <c r="I819" s="406">
        <v>-210</v>
      </c>
      <c r="J819" s="350">
        <f t="shared" si="515"/>
        <v>1890</v>
      </c>
      <c r="K819" s="18">
        <v>2</v>
      </c>
      <c r="L819" s="350">
        <f t="shared" si="516"/>
        <v>3780</v>
      </c>
      <c r="M819" s="357">
        <f t="shared" si="517"/>
        <v>4158</v>
      </c>
      <c r="N819" s="258" t="s">
        <v>1516</v>
      </c>
      <c r="O819" s="455"/>
      <c r="Q819" s="18" t="s">
        <v>6141</v>
      </c>
      <c r="R819" s="18" t="s">
        <v>6141</v>
      </c>
      <c r="S819" s="375"/>
      <c r="W819" s="354">
        <f t="shared" ref="W819:W823" si="527">X819/H819</f>
        <v>0.52476190476190476</v>
      </c>
      <c r="X819" s="355">
        <v>1102</v>
      </c>
      <c r="Y819" s="355">
        <f t="shared" ref="Y819:Y823" si="528">K819</f>
        <v>2</v>
      </c>
      <c r="Z819" s="355">
        <v>2204</v>
      </c>
      <c r="AA819" s="355">
        <f t="shared" ref="AA819:AA822" si="529">L819-Z819</f>
        <v>1576</v>
      </c>
    </row>
    <row r="820" spans="1:27" ht="21.75" customHeight="1" x14ac:dyDescent="0.4">
      <c r="A820" s="258">
        <v>46058</v>
      </c>
      <c r="B820" s="325" t="s">
        <v>420</v>
      </c>
      <c r="C820" s="32" t="s">
        <v>2557</v>
      </c>
      <c r="D820" s="258" t="s">
        <v>17</v>
      </c>
      <c r="E820" s="258" t="s">
        <v>330</v>
      </c>
      <c r="F820" s="258" t="s">
        <v>6153</v>
      </c>
      <c r="G820" s="433" t="s">
        <v>6142</v>
      </c>
      <c r="H820" s="399">
        <v>5000</v>
      </c>
      <c r="I820" s="258"/>
      <c r="J820" s="399">
        <v>5000</v>
      </c>
      <c r="K820" s="18">
        <v>1</v>
      </c>
      <c r="L820" s="399">
        <v>5000</v>
      </c>
      <c r="M820" s="399">
        <v>5500</v>
      </c>
      <c r="N820" s="258" t="s">
        <v>20</v>
      </c>
      <c r="O820" s="455"/>
      <c r="P820" s="18" t="s">
        <v>2594</v>
      </c>
      <c r="Q820" s="18" t="s">
        <v>2594</v>
      </c>
      <c r="R820" s="18" t="s">
        <v>2594</v>
      </c>
      <c r="W820" s="354">
        <f t="shared" si="527"/>
        <v>0.45</v>
      </c>
      <c r="X820" s="355">
        <v>2250</v>
      </c>
      <c r="Y820" s="355">
        <f t="shared" si="528"/>
        <v>1</v>
      </c>
      <c r="Z820" s="355">
        <f t="shared" ref="Z820:Z823" si="530">X820*Y820</f>
        <v>2250</v>
      </c>
      <c r="AA820" s="355">
        <f>L820-Z820</f>
        <v>2750</v>
      </c>
    </row>
    <row r="821" spans="1:27" ht="21.75" customHeight="1" x14ac:dyDescent="0.4">
      <c r="A821" s="258">
        <v>46058</v>
      </c>
      <c r="B821" s="325" t="s">
        <v>405</v>
      </c>
      <c r="C821" s="32" t="s">
        <v>5802</v>
      </c>
      <c r="D821" s="258" t="s">
        <v>17</v>
      </c>
      <c r="E821" s="258" t="s">
        <v>426</v>
      </c>
      <c r="F821" s="18" t="s">
        <v>994</v>
      </c>
      <c r="G821" s="433" t="s">
        <v>6080</v>
      </c>
      <c r="H821" s="399">
        <v>1800</v>
      </c>
      <c r="I821" s="258"/>
      <c r="J821" s="399">
        <v>1800</v>
      </c>
      <c r="K821" s="18">
        <v>1</v>
      </c>
      <c r="L821" s="399">
        <v>1800</v>
      </c>
      <c r="M821" s="399">
        <v>1980</v>
      </c>
      <c r="N821" s="258" t="s">
        <v>1516</v>
      </c>
      <c r="O821" s="455"/>
      <c r="P821" s="18" t="s">
        <v>5449</v>
      </c>
      <c r="Q821" s="18" t="s">
        <v>5449</v>
      </c>
      <c r="R821" s="18" t="s">
        <v>5449</v>
      </c>
      <c r="W821" s="354">
        <f t="shared" si="527"/>
        <v>0.6</v>
      </c>
      <c r="X821" s="355">
        <v>1080</v>
      </c>
      <c r="Y821" s="355">
        <f t="shared" si="528"/>
        <v>1</v>
      </c>
      <c r="Z821" s="355">
        <f t="shared" si="530"/>
        <v>1080</v>
      </c>
      <c r="AA821" s="355">
        <f t="shared" si="529"/>
        <v>720</v>
      </c>
    </row>
    <row r="822" spans="1:27" ht="21.75" customHeight="1" x14ac:dyDescent="0.4">
      <c r="A822" s="258">
        <v>46058</v>
      </c>
      <c r="B822" s="325" t="s">
        <v>6143</v>
      </c>
      <c r="C822" s="32" t="s">
        <v>2557</v>
      </c>
      <c r="D822" s="258" t="s">
        <v>17</v>
      </c>
      <c r="E822" s="258" t="s">
        <v>426</v>
      </c>
      <c r="F822" s="18" t="s">
        <v>994</v>
      </c>
      <c r="G822" s="433" t="s">
        <v>6056</v>
      </c>
      <c r="H822" s="399">
        <v>1800</v>
      </c>
      <c r="I822" s="399">
        <v>-180</v>
      </c>
      <c r="J822" s="350">
        <f t="shared" ref="J822" si="531">SUM(H822:I822)</f>
        <v>1620</v>
      </c>
      <c r="K822" s="18">
        <v>1</v>
      </c>
      <c r="L822" s="350">
        <f t="shared" ref="L822" si="532">SUM(J822*K822)</f>
        <v>1620</v>
      </c>
      <c r="M822" s="356">
        <f t="shared" ref="M822" si="533">ROUNDDOWN(L822*1.1,0)</f>
        <v>1782</v>
      </c>
      <c r="N822" s="258" t="s">
        <v>20</v>
      </c>
      <c r="O822" s="455"/>
      <c r="P822" s="18" t="s">
        <v>2594</v>
      </c>
      <c r="Q822" s="18" t="s">
        <v>2594</v>
      </c>
      <c r="R822" s="18" t="s">
        <v>2594</v>
      </c>
      <c r="S822" s="375"/>
      <c r="W822" s="354">
        <f t="shared" si="527"/>
        <v>0.6</v>
      </c>
      <c r="X822" s="355">
        <v>1080</v>
      </c>
      <c r="Y822" s="355">
        <f t="shared" si="528"/>
        <v>1</v>
      </c>
      <c r="Z822" s="355">
        <f t="shared" si="530"/>
        <v>1080</v>
      </c>
      <c r="AA822" s="355">
        <f t="shared" si="529"/>
        <v>540</v>
      </c>
    </row>
    <row r="823" spans="1:27" ht="21.75" customHeight="1" x14ac:dyDescent="0.4">
      <c r="A823" s="258">
        <v>46060</v>
      </c>
      <c r="B823" s="325" t="s">
        <v>1447</v>
      </c>
      <c r="C823" s="32" t="s">
        <v>2557</v>
      </c>
      <c r="D823" s="258" t="s">
        <v>17</v>
      </c>
      <c r="E823" s="258" t="s">
        <v>292</v>
      </c>
      <c r="F823" s="258" t="s">
        <v>1051</v>
      </c>
      <c r="G823" s="433" t="s">
        <v>4973</v>
      </c>
      <c r="H823" s="399">
        <v>3200</v>
      </c>
      <c r="I823" s="399">
        <v>-320</v>
      </c>
      <c r="J823" s="350">
        <f t="shared" si="515"/>
        <v>2880</v>
      </c>
      <c r="K823" s="18">
        <v>1</v>
      </c>
      <c r="L823" s="350">
        <f t="shared" si="516"/>
        <v>2880</v>
      </c>
      <c r="M823" s="356">
        <f t="shared" si="517"/>
        <v>3168</v>
      </c>
      <c r="N823" s="258" t="s">
        <v>20</v>
      </c>
      <c r="O823" s="455"/>
      <c r="P823" s="18" t="s">
        <v>5449</v>
      </c>
      <c r="Q823" s="18" t="s">
        <v>5449</v>
      </c>
      <c r="R823" s="18" t="s">
        <v>5449</v>
      </c>
      <c r="W823" s="354">
        <f t="shared" si="527"/>
        <v>0.75</v>
      </c>
      <c r="X823" s="355">
        <v>2400</v>
      </c>
      <c r="Y823" s="355">
        <f t="shared" si="528"/>
        <v>1</v>
      </c>
      <c r="Z823" s="355">
        <f t="shared" si="530"/>
        <v>2400</v>
      </c>
      <c r="AA823" s="355">
        <f>L823-Z823</f>
        <v>480</v>
      </c>
    </row>
    <row r="824" spans="1:27" ht="21.75" customHeight="1" x14ac:dyDescent="0.4">
      <c r="A824" s="258">
        <v>46060</v>
      </c>
      <c r="B824" s="336" t="s">
        <v>4865</v>
      </c>
      <c r="C824" s="32" t="s">
        <v>2557</v>
      </c>
      <c r="D824" s="18" t="s">
        <v>22</v>
      </c>
      <c r="E824" s="18" t="s">
        <v>5507</v>
      </c>
      <c r="F824" s="258"/>
      <c r="G824" s="428" t="s">
        <v>5534</v>
      </c>
      <c r="H824" s="399">
        <v>20000</v>
      </c>
      <c r="I824" s="399"/>
      <c r="J824" s="350">
        <f t="shared" ref="J824" si="534">SUM(H824:I824)</f>
        <v>20000</v>
      </c>
      <c r="K824" s="18">
        <v>1</v>
      </c>
      <c r="L824" s="350">
        <f t="shared" ref="L824" si="535">SUM(J824*K824)</f>
        <v>20000</v>
      </c>
      <c r="M824" s="356">
        <f t="shared" ref="M824" si="536">ROUNDDOWN(L824*1.1,0)</f>
        <v>22000</v>
      </c>
      <c r="N824" s="258" t="s">
        <v>20</v>
      </c>
      <c r="O824" s="455"/>
      <c r="P824" s="18" t="s">
        <v>2595</v>
      </c>
      <c r="Q824" s="18" t="s">
        <v>2595</v>
      </c>
      <c r="R824" s="18" t="s">
        <v>6209</v>
      </c>
    </row>
    <row r="825" spans="1:27" ht="21.75" customHeight="1" x14ac:dyDescent="0.4">
      <c r="A825" s="258">
        <v>46060</v>
      </c>
      <c r="B825" s="325" t="s">
        <v>5023</v>
      </c>
      <c r="C825" s="32" t="s">
        <v>2557</v>
      </c>
      <c r="D825" s="258" t="s">
        <v>22</v>
      </c>
      <c r="E825" s="258" t="s">
        <v>1496</v>
      </c>
      <c r="F825" s="258"/>
      <c r="G825" s="63" t="s">
        <v>4869</v>
      </c>
      <c r="H825" s="399">
        <v>2000</v>
      </c>
      <c r="I825" s="399"/>
      <c r="J825" s="350">
        <f t="shared" ref="J825" si="537">SUM(H825:I825)</f>
        <v>2000</v>
      </c>
      <c r="K825" s="18">
        <v>1</v>
      </c>
      <c r="L825" s="350">
        <f t="shared" si="516"/>
        <v>2000</v>
      </c>
      <c r="M825" s="356">
        <f t="shared" si="517"/>
        <v>2200</v>
      </c>
      <c r="N825" s="258" t="s">
        <v>20</v>
      </c>
      <c r="O825" s="455"/>
      <c r="P825" s="18" t="s">
        <v>5449</v>
      </c>
      <c r="Q825" s="18" t="s">
        <v>5449</v>
      </c>
      <c r="R825" s="18" t="s">
        <v>5449</v>
      </c>
    </row>
    <row r="826" spans="1:27" ht="21.75" customHeight="1" x14ac:dyDescent="0.4">
      <c r="A826" s="258">
        <v>46060</v>
      </c>
      <c r="B826" s="325" t="s">
        <v>2088</v>
      </c>
      <c r="C826" s="32" t="s">
        <v>2557</v>
      </c>
      <c r="D826" s="258" t="s">
        <v>22</v>
      </c>
      <c r="E826" s="258" t="s">
        <v>1496</v>
      </c>
      <c r="F826" s="258"/>
      <c r="G826" s="63" t="s">
        <v>4869</v>
      </c>
      <c r="H826" s="399">
        <v>2000</v>
      </c>
      <c r="I826" s="399"/>
      <c r="J826" s="350">
        <f t="shared" ref="J826" si="538">SUM(H826:I826)</f>
        <v>2000</v>
      </c>
      <c r="K826" s="18">
        <v>1</v>
      </c>
      <c r="L826" s="350">
        <f t="shared" si="516"/>
        <v>2000</v>
      </c>
      <c r="M826" s="356">
        <f t="shared" si="517"/>
        <v>2200</v>
      </c>
      <c r="N826" s="258" t="s">
        <v>1516</v>
      </c>
      <c r="O826" s="455"/>
      <c r="P826" s="18" t="s">
        <v>5449</v>
      </c>
      <c r="Q826" s="18" t="s">
        <v>5449</v>
      </c>
      <c r="R826" s="18" t="s">
        <v>5449</v>
      </c>
    </row>
    <row r="827" spans="1:27" ht="21.75" customHeight="1" x14ac:dyDescent="0.4">
      <c r="A827" s="258">
        <v>46060</v>
      </c>
      <c r="B827" s="325" t="s">
        <v>6036</v>
      </c>
      <c r="C827" s="32" t="s">
        <v>2557</v>
      </c>
      <c r="D827" s="18" t="s">
        <v>27</v>
      </c>
      <c r="E827" s="18" t="s">
        <v>28</v>
      </c>
      <c r="F827" s="258"/>
      <c r="G827" s="63" t="s">
        <v>4582</v>
      </c>
      <c r="H827" s="399">
        <v>5000</v>
      </c>
      <c r="I827" s="399"/>
      <c r="J827" s="350">
        <f t="shared" si="515"/>
        <v>5000</v>
      </c>
      <c r="K827" s="18">
        <v>1</v>
      </c>
      <c r="L827" s="350">
        <f t="shared" si="516"/>
        <v>5000</v>
      </c>
      <c r="M827" s="356">
        <f t="shared" si="517"/>
        <v>5500</v>
      </c>
      <c r="N827" s="258" t="s">
        <v>1516</v>
      </c>
      <c r="O827" s="454" t="s">
        <v>6176</v>
      </c>
      <c r="P827" s="18" t="s">
        <v>2595</v>
      </c>
      <c r="Q827" s="18" t="s">
        <v>2595</v>
      </c>
      <c r="R827" s="18" t="s">
        <v>5449</v>
      </c>
    </row>
    <row r="828" spans="1:27" ht="21.75" customHeight="1" x14ac:dyDescent="0.4">
      <c r="A828" s="258">
        <v>46060</v>
      </c>
      <c r="B828" s="325" t="s">
        <v>5991</v>
      </c>
      <c r="C828" s="32" t="s">
        <v>2557</v>
      </c>
      <c r="D828" s="258" t="s">
        <v>17</v>
      </c>
      <c r="E828" s="258" t="s">
        <v>426</v>
      </c>
      <c r="F828" s="18" t="s">
        <v>994</v>
      </c>
      <c r="G828" s="433" t="s">
        <v>5972</v>
      </c>
      <c r="H828" s="399">
        <v>1800</v>
      </c>
      <c r="I828" s="399">
        <v>-180</v>
      </c>
      <c r="J828" s="350">
        <f t="shared" ref="J828" si="539">SUM(H828:I828)</f>
        <v>1620</v>
      </c>
      <c r="K828" s="18">
        <v>1</v>
      </c>
      <c r="L828" s="350">
        <f t="shared" si="516"/>
        <v>1620</v>
      </c>
      <c r="M828" s="356">
        <f t="shared" si="517"/>
        <v>1782</v>
      </c>
      <c r="N828" s="258" t="s">
        <v>1516</v>
      </c>
      <c r="O828" s="455"/>
      <c r="P828" s="18" t="s">
        <v>5449</v>
      </c>
      <c r="Q828" s="18" t="s">
        <v>5449</v>
      </c>
      <c r="R828" s="18" t="s">
        <v>5449</v>
      </c>
      <c r="W828" s="354">
        <f t="shared" ref="W828:W829" si="540">X828/H828</f>
        <v>0.6</v>
      </c>
      <c r="X828" s="355">
        <v>1080</v>
      </c>
      <c r="Y828" s="355">
        <v>1</v>
      </c>
      <c r="Z828" s="355">
        <f t="shared" ref="Z828:Z829" si="541">X828*Y828</f>
        <v>1080</v>
      </c>
      <c r="AA828" s="355">
        <f t="shared" ref="AA828" si="542">L828-Z828</f>
        <v>540</v>
      </c>
    </row>
    <row r="829" spans="1:27" ht="21.75" customHeight="1" x14ac:dyDescent="0.4">
      <c r="A829" s="258">
        <v>46060</v>
      </c>
      <c r="B829" s="325" t="s">
        <v>6157</v>
      </c>
      <c r="C829" s="32" t="s">
        <v>2557</v>
      </c>
      <c r="D829" s="258" t="s">
        <v>17</v>
      </c>
      <c r="E829" s="258" t="s">
        <v>426</v>
      </c>
      <c r="F829" s="18" t="s">
        <v>994</v>
      </c>
      <c r="G829" s="433" t="s">
        <v>5972</v>
      </c>
      <c r="H829" s="399">
        <v>1800</v>
      </c>
      <c r="I829" s="399">
        <v>-180</v>
      </c>
      <c r="J829" s="350">
        <f t="shared" ref="J829" si="543">SUM(H829:I829)</f>
        <v>1620</v>
      </c>
      <c r="K829" s="18">
        <v>1</v>
      </c>
      <c r="L829" s="350">
        <f t="shared" ref="L829" si="544">SUM(J829*K829)</f>
        <v>1620</v>
      </c>
      <c r="M829" s="356">
        <f t="shared" ref="M829" si="545">ROUNDDOWN(L829*1.1,0)</f>
        <v>1782</v>
      </c>
      <c r="N829" s="258" t="s">
        <v>20</v>
      </c>
      <c r="O829" s="455"/>
      <c r="P829" s="18" t="s">
        <v>5449</v>
      </c>
      <c r="Q829" s="18" t="s">
        <v>5449</v>
      </c>
      <c r="R829" s="18" t="s">
        <v>5449</v>
      </c>
      <c r="W829" s="354">
        <f t="shared" si="540"/>
        <v>0.6</v>
      </c>
      <c r="X829" s="355">
        <v>1080</v>
      </c>
      <c r="Y829" s="355">
        <v>1</v>
      </c>
      <c r="Z829" s="355">
        <f t="shared" si="541"/>
        <v>1080</v>
      </c>
      <c r="AA829" s="355">
        <f>L829-Z829</f>
        <v>540</v>
      </c>
    </row>
    <row r="830" spans="1:27" ht="21.75" customHeight="1" x14ac:dyDescent="0.4">
      <c r="A830" s="258">
        <v>46061</v>
      </c>
      <c r="B830" s="325" t="s">
        <v>184</v>
      </c>
      <c r="C830" s="32" t="s">
        <v>2557</v>
      </c>
      <c r="D830" s="258" t="s">
        <v>17</v>
      </c>
      <c r="E830" s="258" t="s">
        <v>332</v>
      </c>
      <c r="F830" s="258" t="s">
        <v>3554</v>
      </c>
      <c r="G830" s="63" t="s">
        <v>5047</v>
      </c>
      <c r="H830" s="399">
        <v>1300</v>
      </c>
      <c r="I830" s="399">
        <v>-130</v>
      </c>
      <c r="J830" s="350">
        <f t="shared" si="515"/>
        <v>1170</v>
      </c>
      <c r="K830" s="18">
        <v>1</v>
      </c>
      <c r="L830" s="350">
        <f t="shared" si="516"/>
        <v>1170</v>
      </c>
      <c r="M830" s="356">
        <f t="shared" si="517"/>
        <v>1287</v>
      </c>
      <c r="N830" s="258" t="s">
        <v>20</v>
      </c>
      <c r="O830" s="455"/>
      <c r="P830" s="18" t="s">
        <v>2594</v>
      </c>
      <c r="Q830" s="18" t="s">
        <v>2594</v>
      </c>
      <c r="R830" s="18" t="s">
        <v>2595</v>
      </c>
      <c r="W830" s="354">
        <v>0.63</v>
      </c>
      <c r="X830" s="355">
        <v>813</v>
      </c>
      <c r="Y830" s="355">
        <v>1</v>
      </c>
      <c r="Z830" s="355">
        <f t="shared" ref="Z830:Z832" si="546">X830*Y830</f>
        <v>813</v>
      </c>
      <c r="AA830" s="355">
        <f t="shared" ref="AA830" si="547">L830-Z830</f>
        <v>357</v>
      </c>
    </row>
    <row r="831" spans="1:27" ht="21.75" customHeight="1" x14ac:dyDescent="0.4">
      <c r="A831" s="258">
        <v>46062</v>
      </c>
      <c r="B831" s="325" t="s">
        <v>5991</v>
      </c>
      <c r="C831" s="32" t="s">
        <v>2557</v>
      </c>
      <c r="D831" s="258" t="s">
        <v>17</v>
      </c>
      <c r="E831" s="258" t="s">
        <v>332</v>
      </c>
      <c r="F831" s="258" t="s">
        <v>3554</v>
      </c>
      <c r="G831" s="425" t="s">
        <v>5742</v>
      </c>
      <c r="H831" s="399">
        <v>2600</v>
      </c>
      <c r="I831" s="399">
        <v>-260</v>
      </c>
      <c r="J831" s="350">
        <f t="shared" si="515"/>
        <v>2340</v>
      </c>
      <c r="K831" s="18">
        <v>1</v>
      </c>
      <c r="L831" s="350">
        <f t="shared" si="516"/>
        <v>2340</v>
      </c>
      <c r="M831" s="356">
        <f t="shared" si="517"/>
        <v>2574</v>
      </c>
      <c r="N831" s="258" t="s">
        <v>1516</v>
      </c>
      <c r="O831" s="455"/>
      <c r="P831" s="18" t="s">
        <v>2595</v>
      </c>
      <c r="Q831" s="18" t="s">
        <v>2595</v>
      </c>
      <c r="R831" s="18" t="s">
        <v>5449</v>
      </c>
      <c r="W831" s="354">
        <f t="shared" ref="W831" si="548">X831/H831</f>
        <v>0.57692307692307687</v>
      </c>
      <c r="X831" s="355">
        <v>1500</v>
      </c>
      <c r="Y831" s="355">
        <v>1</v>
      </c>
      <c r="Z831" s="355">
        <f t="shared" si="546"/>
        <v>1500</v>
      </c>
      <c r="AA831" s="355">
        <f>L831-Z831</f>
        <v>840</v>
      </c>
    </row>
    <row r="832" spans="1:27" ht="21.75" customHeight="1" x14ac:dyDescent="0.4">
      <c r="A832" s="258">
        <v>46062</v>
      </c>
      <c r="B832" s="325" t="s">
        <v>6158</v>
      </c>
      <c r="C832" s="32" t="s">
        <v>2557</v>
      </c>
      <c r="D832" s="258" t="s">
        <v>17</v>
      </c>
      <c r="E832" s="258" t="s">
        <v>1442</v>
      </c>
      <c r="F832" s="258" t="s">
        <v>6160</v>
      </c>
      <c r="G832" s="433" t="s">
        <v>6161</v>
      </c>
      <c r="H832" s="399">
        <v>108000</v>
      </c>
      <c r="I832" s="399">
        <v>-32400</v>
      </c>
      <c r="J832" s="350">
        <f t="shared" si="515"/>
        <v>75600</v>
      </c>
      <c r="K832" s="18">
        <v>1</v>
      </c>
      <c r="L832" s="350">
        <f t="shared" si="516"/>
        <v>75600</v>
      </c>
      <c r="M832" s="356">
        <f t="shared" si="517"/>
        <v>83160</v>
      </c>
      <c r="N832" s="18" t="s">
        <v>1121</v>
      </c>
      <c r="O832" s="455"/>
      <c r="P832" s="18" t="s">
        <v>6159</v>
      </c>
      <c r="Q832" s="18" t="s">
        <v>6159</v>
      </c>
      <c r="R832" s="18" t="s">
        <v>5449</v>
      </c>
      <c r="W832" s="354">
        <v>0.63</v>
      </c>
      <c r="X832" s="355">
        <v>68040</v>
      </c>
      <c r="Y832" s="355">
        <v>1</v>
      </c>
      <c r="Z832" s="355">
        <f t="shared" si="546"/>
        <v>68040</v>
      </c>
      <c r="AA832" s="355">
        <f>L832-Z832</f>
        <v>7560</v>
      </c>
    </row>
    <row r="833" spans="1:27" ht="21.75" customHeight="1" x14ac:dyDescent="0.4">
      <c r="A833" s="258">
        <v>46062</v>
      </c>
      <c r="B833" s="325" t="s">
        <v>3424</v>
      </c>
      <c r="C833" s="32" t="s">
        <v>2557</v>
      </c>
      <c r="D833" s="258" t="s">
        <v>22</v>
      </c>
      <c r="E833" s="258" t="s">
        <v>1496</v>
      </c>
      <c r="F833" s="258"/>
      <c r="G833" s="63" t="s">
        <v>4869</v>
      </c>
      <c r="H833" s="399">
        <v>2000</v>
      </c>
      <c r="I833" s="399"/>
      <c r="J833" s="350">
        <f t="shared" ref="J833" si="549">SUM(H833:I833)</f>
        <v>2000</v>
      </c>
      <c r="K833" s="18">
        <v>1</v>
      </c>
      <c r="L833" s="350">
        <f t="shared" si="516"/>
        <v>2000</v>
      </c>
      <c r="M833" s="356">
        <f t="shared" si="517"/>
        <v>2200</v>
      </c>
      <c r="N833" s="258" t="s">
        <v>1516</v>
      </c>
      <c r="O833" s="455"/>
      <c r="P833" s="18" t="s">
        <v>5449</v>
      </c>
      <c r="Q833" s="18" t="s">
        <v>5449</v>
      </c>
      <c r="R833" s="18" t="s">
        <v>5449</v>
      </c>
    </row>
    <row r="834" spans="1:27" ht="21.75" customHeight="1" x14ac:dyDescent="0.4">
      <c r="A834" s="258">
        <v>46062</v>
      </c>
      <c r="B834" s="326" t="s">
        <v>6162</v>
      </c>
      <c r="C834" s="32" t="s">
        <v>6163</v>
      </c>
      <c r="D834" s="459" t="s">
        <v>198</v>
      </c>
      <c r="E834" s="258" t="s">
        <v>6099</v>
      </c>
      <c r="F834" s="258"/>
      <c r="G834" s="433" t="s">
        <v>6165</v>
      </c>
      <c r="H834" s="399">
        <v>-17500</v>
      </c>
      <c r="I834" s="399"/>
      <c r="J834" s="350">
        <f t="shared" si="515"/>
        <v>-17500</v>
      </c>
      <c r="K834" s="18">
        <v>7</v>
      </c>
      <c r="L834" s="350">
        <f t="shared" si="516"/>
        <v>-122500</v>
      </c>
      <c r="M834" s="358">
        <f t="shared" si="517"/>
        <v>-134750</v>
      </c>
      <c r="N834" s="258" t="s">
        <v>6164</v>
      </c>
      <c r="O834" s="456" t="s">
        <v>6166</v>
      </c>
      <c r="P834" s="18" t="s">
        <v>6167</v>
      </c>
      <c r="Q834" s="18" t="s">
        <v>6167</v>
      </c>
      <c r="R834" s="18" t="s">
        <v>6167</v>
      </c>
    </row>
    <row r="835" spans="1:27" ht="21.75" customHeight="1" x14ac:dyDescent="0.4">
      <c r="A835" s="258">
        <v>46064</v>
      </c>
      <c r="B835" s="325" t="s">
        <v>6168</v>
      </c>
      <c r="C835" s="32" t="s">
        <v>405</v>
      </c>
      <c r="D835" s="18" t="s">
        <v>27</v>
      </c>
      <c r="E835" s="18" t="s">
        <v>28</v>
      </c>
      <c r="F835" s="18"/>
      <c r="G835" s="63" t="s">
        <v>5038</v>
      </c>
      <c r="H835" s="399">
        <v>5000</v>
      </c>
      <c r="I835" s="399"/>
      <c r="J835" s="350">
        <f t="shared" si="515"/>
        <v>5000</v>
      </c>
      <c r="K835" s="18">
        <v>1</v>
      </c>
      <c r="L835" s="350">
        <f t="shared" si="516"/>
        <v>5000</v>
      </c>
      <c r="M835" s="356">
        <f t="shared" si="517"/>
        <v>5500</v>
      </c>
      <c r="N835" s="258" t="s">
        <v>1516</v>
      </c>
      <c r="O835" s="433"/>
      <c r="P835" s="18" t="s">
        <v>2594</v>
      </c>
      <c r="Q835" s="18" t="s">
        <v>2594</v>
      </c>
      <c r="R835" s="18" t="s">
        <v>2594</v>
      </c>
    </row>
    <row r="836" spans="1:27" ht="21.75" customHeight="1" x14ac:dyDescent="0.4">
      <c r="A836" s="258">
        <v>46064</v>
      </c>
      <c r="B836" s="325" t="s">
        <v>5069</v>
      </c>
      <c r="C836" s="32" t="s">
        <v>2557</v>
      </c>
      <c r="D836" s="258" t="s">
        <v>22</v>
      </c>
      <c r="E836" s="258" t="s">
        <v>1496</v>
      </c>
      <c r="F836" s="258"/>
      <c r="G836" s="63" t="s">
        <v>4869</v>
      </c>
      <c r="H836" s="399">
        <v>2000</v>
      </c>
      <c r="I836" s="399"/>
      <c r="J836" s="350">
        <f t="shared" si="515"/>
        <v>2000</v>
      </c>
      <c r="K836" s="18">
        <v>2</v>
      </c>
      <c r="L836" s="350">
        <f t="shared" si="516"/>
        <v>4000</v>
      </c>
      <c r="M836" s="356">
        <f t="shared" si="517"/>
        <v>4400</v>
      </c>
      <c r="N836" s="258" t="s">
        <v>1516</v>
      </c>
      <c r="O836" s="433"/>
      <c r="P836" s="18" t="s">
        <v>5449</v>
      </c>
      <c r="Q836" s="18" t="s">
        <v>5449</v>
      </c>
      <c r="R836" s="18" t="s">
        <v>5449</v>
      </c>
    </row>
    <row r="837" spans="1:27" ht="21.75" customHeight="1" x14ac:dyDescent="0.4">
      <c r="A837" s="258">
        <v>46065</v>
      </c>
      <c r="B837" s="325" t="s">
        <v>6169</v>
      </c>
      <c r="C837" s="32" t="s">
        <v>6170</v>
      </c>
      <c r="D837" s="258" t="s">
        <v>6171</v>
      </c>
      <c r="E837" s="258" t="s">
        <v>332</v>
      </c>
      <c r="F837" s="258" t="s">
        <v>3553</v>
      </c>
      <c r="G837" s="63" t="s">
        <v>5613</v>
      </c>
      <c r="H837" s="399">
        <v>1800</v>
      </c>
      <c r="I837" s="399">
        <v>-180</v>
      </c>
      <c r="J837" s="350">
        <f t="shared" si="515"/>
        <v>1620</v>
      </c>
      <c r="K837" s="18">
        <v>6</v>
      </c>
      <c r="L837" s="350">
        <f t="shared" si="516"/>
        <v>9720</v>
      </c>
      <c r="M837" s="356">
        <f t="shared" si="517"/>
        <v>10692</v>
      </c>
      <c r="N837" s="18" t="s">
        <v>1121</v>
      </c>
      <c r="O837" s="433"/>
      <c r="P837" s="18" t="s">
        <v>2595</v>
      </c>
      <c r="Q837" s="18" t="s">
        <v>2595</v>
      </c>
      <c r="R837" s="18" t="s">
        <v>2595</v>
      </c>
      <c r="W837" s="354">
        <f t="shared" ref="W837" si="550">X837/H837</f>
        <v>0.5</v>
      </c>
      <c r="X837" s="355">
        <v>900</v>
      </c>
      <c r="Y837" s="355">
        <v>6</v>
      </c>
      <c r="Z837" s="355">
        <v>5400</v>
      </c>
      <c r="AA837" s="355">
        <f>L837-Z837</f>
        <v>4320</v>
      </c>
    </row>
    <row r="838" spans="1:27" ht="21.75" customHeight="1" x14ac:dyDescent="0.4">
      <c r="A838" s="258">
        <v>46065</v>
      </c>
      <c r="B838" s="325" t="s">
        <v>1059</v>
      </c>
      <c r="C838" s="32" t="s">
        <v>6172</v>
      </c>
      <c r="D838" s="258" t="s">
        <v>22</v>
      </c>
      <c r="E838" s="258" t="s">
        <v>1496</v>
      </c>
      <c r="F838" s="258"/>
      <c r="G838" s="63" t="s">
        <v>4869</v>
      </c>
      <c r="H838" s="399">
        <v>2000</v>
      </c>
      <c r="I838" s="399"/>
      <c r="J838" s="350">
        <f t="shared" si="515"/>
        <v>2000</v>
      </c>
      <c r="K838" s="18">
        <v>1</v>
      </c>
      <c r="L838" s="350">
        <f t="shared" si="516"/>
        <v>2000</v>
      </c>
      <c r="M838" s="356">
        <f t="shared" si="517"/>
        <v>2200</v>
      </c>
      <c r="N838" s="258" t="s">
        <v>1516</v>
      </c>
      <c r="O838" s="433"/>
      <c r="P838" s="18" t="s">
        <v>2594</v>
      </c>
      <c r="Q838" s="18" t="s">
        <v>2594</v>
      </c>
      <c r="R838" s="18" t="s">
        <v>2594</v>
      </c>
    </row>
    <row r="839" spans="1:27" ht="21.75" customHeight="1" x14ac:dyDescent="0.4">
      <c r="A839" s="258">
        <v>46066</v>
      </c>
      <c r="B839" s="325" t="s">
        <v>6173</v>
      </c>
      <c r="C839" s="32" t="s">
        <v>2557</v>
      </c>
      <c r="D839" s="18" t="s">
        <v>22</v>
      </c>
      <c r="E839" s="18" t="s">
        <v>5507</v>
      </c>
      <c r="F839" s="18"/>
      <c r="G839" s="428" t="s">
        <v>6210</v>
      </c>
      <c r="H839" s="350">
        <v>5000</v>
      </c>
      <c r="I839" s="353"/>
      <c r="J839" s="350">
        <f t="shared" si="515"/>
        <v>5000</v>
      </c>
      <c r="K839" s="18">
        <v>1</v>
      </c>
      <c r="L839" s="350">
        <f t="shared" si="516"/>
        <v>5000</v>
      </c>
      <c r="M839" s="356">
        <f t="shared" si="517"/>
        <v>5500</v>
      </c>
      <c r="N839" s="258" t="s">
        <v>1516</v>
      </c>
      <c r="O839" s="433"/>
      <c r="P839" s="18" t="s">
        <v>6174</v>
      </c>
      <c r="Q839" s="18" t="s">
        <v>6175</v>
      </c>
      <c r="R839" s="18" t="s">
        <v>6175</v>
      </c>
    </row>
    <row r="840" spans="1:27" ht="21.75" customHeight="1" x14ac:dyDescent="0.4">
      <c r="A840" s="258">
        <v>46066</v>
      </c>
      <c r="B840" s="325" t="s">
        <v>5890</v>
      </c>
      <c r="C840" s="32" t="s">
        <v>2557</v>
      </c>
      <c r="D840" s="18" t="s">
        <v>27</v>
      </c>
      <c r="E840" s="258" t="s">
        <v>6099</v>
      </c>
      <c r="F840" s="258"/>
      <c r="G840" s="433" t="s">
        <v>6005</v>
      </c>
      <c r="H840" s="399">
        <v>8500</v>
      </c>
      <c r="I840" s="399"/>
      <c r="J840" s="350">
        <f t="shared" si="515"/>
        <v>8500</v>
      </c>
      <c r="K840" s="18">
        <v>2</v>
      </c>
      <c r="L840" s="350">
        <f t="shared" si="516"/>
        <v>17000</v>
      </c>
      <c r="M840" s="356">
        <f t="shared" si="517"/>
        <v>18700</v>
      </c>
      <c r="N840" s="258" t="s">
        <v>1516</v>
      </c>
      <c r="O840" s="454" t="s">
        <v>6178</v>
      </c>
      <c r="Q840" s="18" t="s">
        <v>6179</v>
      </c>
      <c r="R840" s="18" t="s">
        <v>6179</v>
      </c>
      <c r="S840" s="375"/>
    </row>
    <row r="841" spans="1:27" ht="21.75" customHeight="1" x14ac:dyDescent="0.4">
      <c r="A841" s="258">
        <v>46067</v>
      </c>
      <c r="B841" s="325" t="s">
        <v>6204</v>
      </c>
      <c r="C841" s="32" t="s">
        <v>405</v>
      </c>
      <c r="D841" s="258" t="s">
        <v>22</v>
      </c>
      <c r="E841" s="258" t="s">
        <v>1496</v>
      </c>
      <c r="F841" s="258"/>
      <c r="G841" s="433" t="s">
        <v>6186</v>
      </c>
      <c r="H841" s="399">
        <v>3000</v>
      </c>
      <c r="I841" s="399"/>
      <c r="J841" s="350">
        <f t="shared" si="515"/>
        <v>3000</v>
      </c>
      <c r="K841" s="18">
        <v>1</v>
      </c>
      <c r="L841" s="350">
        <f t="shared" si="516"/>
        <v>3000</v>
      </c>
      <c r="M841" s="356">
        <f t="shared" si="517"/>
        <v>3300</v>
      </c>
      <c r="N841" s="258" t="s">
        <v>6205</v>
      </c>
      <c r="O841" s="439"/>
      <c r="Q841" s="18" t="s">
        <v>6183</v>
      </c>
      <c r="R841" s="18" t="s">
        <v>6184</v>
      </c>
    </row>
    <row r="842" spans="1:27" ht="21.75" customHeight="1" x14ac:dyDescent="0.4">
      <c r="A842" s="258">
        <v>46067</v>
      </c>
      <c r="B842" s="325" t="s">
        <v>6180</v>
      </c>
      <c r="C842" s="32" t="s">
        <v>6181</v>
      </c>
      <c r="D842" s="18" t="s">
        <v>27</v>
      </c>
      <c r="E842" s="258" t="s">
        <v>6099</v>
      </c>
      <c r="F842" s="258"/>
      <c r="G842" s="433" t="s">
        <v>5036</v>
      </c>
      <c r="H842" s="399">
        <v>17500</v>
      </c>
      <c r="I842" s="399"/>
      <c r="J842" s="350">
        <f t="shared" si="515"/>
        <v>17500</v>
      </c>
      <c r="K842" s="18">
        <v>1</v>
      </c>
      <c r="L842" s="350">
        <f t="shared" si="516"/>
        <v>17500</v>
      </c>
      <c r="M842" s="356">
        <f t="shared" si="517"/>
        <v>19250</v>
      </c>
      <c r="N842" s="258" t="s">
        <v>1516</v>
      </c>
      <c r="O842" s="454" t="s">
        <v>6182</v>
      </c>
      <c r="Q842" s="18" t="s">
        <v>6183</v>
      </c>
      <c r="R842" s="18" t="s">
        <v>6184</v>
      </c>
    </row>
    <row r="843" spans="1:27" ht="21.75" customHeight="1" x14ac:dyDescent="0.4">
      <c r="A843" s="258">
        <v>46067</v>
      </c>
      <c r="B843" s="325" t="s">
        <v>5069</v>
      </c>
      <c r="C843" s="32" t="s">
        <v>2557</v>
      </c>
      <c r="D843" s="258" t="s">
        <v>22</v>
      </c>
      <c r="E843" s="258" t="s">
        <v>1496</v>
      </c>
      <c r="F843" s="258"/>
      <c r="G843" s="63" t="s">
        <v>4869</v>
      </c>
      <c r="H843" s="399">
        <v>2000</v>
      </c>
      <c r="I843" s="399"/>
      <c r="J843" s="350">
        <f t="shared" ref="J843" si="551">SUM(H843:I843)</f>
        <v>2000</v>
      </c>
      <c r="K843" s="18">
        <v>2</v>
      </c>
      <c r="L843" s="350">
        <f t="shared" ref="L843" si="552">SUM(J843*K843)</f>
        <v>4000</v>
      </c>
      <c r="M843" s="356">
        <f t="shared" ref="M843" si="553">ROUNDDOWN(L843*1.1,0)</f>
        <v>4400</v>
      </c>
      <c r="N843" s="258" t="s">
        <v>1516</v>
      </c>
      <c r="O843" s="433"/>
      <c r="P843" s="18" t="s">
        <v>5449</v>
      </c>
      <c r="Q843" s="18" t="s">
        <v>5449</v>
      </c>
      <c r="R843" s="18" t="s">
        <v>5449</v>
      </c>
    </row>
    <row r="844" spans="1:27" ht="21.75" customHeight="1" x14ac:dyDescent="0.4">
      <c r="A844" s="258">
        <v>46067</v>
      </c>
      <c r="B844" s="325" t="s">
        <v>6158</v>
      </c>
      <c r="C844" s="32" t="s">
        <v>6181</v>
      </c>
      <c r="D844" s="258" t="s">
        <v>17</v>
      </c>
      <c r="E844" s="258" t="s">
        <v>332</v>
      </c>
      <c r="F844" s="258" t="s">
        <v>3555</v>
      </c>
      <c r="G844" t="s">
        <v>6185</v>
      </c>
      <c r="H844" s="399">
        <v>2100</v>
      </c>
      <c r="I844" s="399">
        <v>-210</v>
      </c>
      <c r="J844" s="350">
        <f t="shared" si="515"/>
        <v>1890</v>
      </c>
      <c r="K844" s="18">
        <v>1</v>
      </c>
      <c r="L844" s="350">
        <f t="shared" si="516"/>
        <v>1890</v>
      </c>
      <c r="M844" s="356">
        <f t="shared" si="517"/>
        <v>2079</v>
      </c>
      <c r="N844" s="258" t="s">
        <v>20</v>
      </c>
      <c r="O844" s="433"/>
      <c r="P844" s="18" t="s">
        <v>6183</v>
      </c>
      <c r="Q844" s="18" t="s">
        <v>6183</v>
      </c>
      <c r="R844" s="18" t="s">
        <v>6183</v>
      </c>
      <c r="W844" s="354">
        <f t="shared" ref="W844" si="554">X844/H844</f>
        <v>0.52476190476190476</v>
      </c>
      <c r="X844" s="355">
        <v>1102</v>
      </c>
      <c r="Y844" s="355">
        <v>1</v>
      </c>
      <c r="Z844" s="355">
        <v>1102</v>
      </c>
      <c r="AA844" s="355">
        <f>L844-Z844</f>
        <v>788</v>
      </c>
    </row>
    <row r="845" spans="1:27" ht="21.75" customHeight="1" x14ac:dyDescent="0.4">
      <c r="A845" s="258">
        <v>46067</v>
      </c>
      <c r="B845" s="325" t="s">
        <v>6187</v>
      </c>
      <c r="C845" s="32" t="s">
        <v>6188</v>
      </c>
      <c r="D845" s="258" t="s">
        <v>17</v>
      </c>
      <c r="E845" s="258" t="s">
        <v>332</v>
      </c>
      <c r="F845" s="258" t="s">
        <v>3555</v>
      </c>
      <c r="G845" s="7" t="s">
        <v>6189</v>
      </c>
      <c r="H845" s="399">
        <v>1500</v>
      </c>
      <c r="I845" s="399">
        <v>-150</v>
      </c>
      <c r="J845" s="350">
        <f t="shared" si="515"/>
        <v>1350</v>
      </c>
      <c r="K845" s="18">
        <v>1</v>
      </c>
      <c r="L845" s="350">
        <f t="shared" si="516"/>
        <v>1350</v>
      </c>
      <c r="M845" s="356">
        <f t="shared" si="517"/>
        <v>1485</v>
      </c>
      <c r="N845" s="258" t="s">
        <v>1516</v>
      </c>
      <c r="O845" s="433"/>
      <c r="Q845" s="18" t="s">
        <v>6190</v>
      </c>
      <c r="R845" s="18" t="s">
        <v>6190</v>
      </c>
      <c r="W845" s="354">
        <f t="shared" ref="W845:W846" si="555">X845/H845</f>
        <v>0.50266666666666671</v>
      </c>
      <c r="X845" s="355">
        <v>754</v>
      </c>
      <c r="Y845" s="355">
        <v>1</v>
      </c>
      <c r="Z845" s="355">
        <f t="shared" ref="Z845" si="556">X845*Y845</f>
        <v>754</v>
      </c>
      <c r="AA845" s="355">
        <f t="shared" ref="AA845" si="557">L845-Z845</f>
        <v>596</v>
      </c>
    </row>
    <row r="846" spans="1:27" ht="21.75" customHeight="1" x14ac:dyDescent="0.4">
      <c r="A846" s="258">
        <v>46067</v>
      </c>
      <c r="B846" s="325" t="s">
        <v>6191</v>
      </c>
      <c r="C846" s="32" t="s">
        <v>4292</v>
      </c>
      <c r="D846" s="258" t="s">
        <v>6192</v>
      </c>
      <c r="E846" s="258" t="s">
        <v>1442</v>
      </c>
      <c r="F846" s="258" t="s">
        <v>632</v>
      </c>
      <c r="G846" s="433" t="s">
        <v>6193</v>
      </c>
      <c r="H846" s="399"/>
      <c r="I846" s="399"/>
      <c r="J846" s="350">
        <v>42000</v>
      </c>
      <c r="K846" s="18">
        <v>1</v>
      </c>
      <c r="L846" s="350">
        <f t="shared" si="516"/>
        <v>42000</v>
      </c>
      <c r="M846" s="356">
        <f t="shared" si="517"/>
        <v>46200</v>
      </c>
      <c r="N846" s="18" t="s">
        <v>1121</v>
      </c>
      <c r="O846" s="433"/>
      <c r="P846" s="18" t="s">
        <v>2594</v>
      </c>
      <c r="Q846" s="18" t="s">
        <v>2594</v>
      </c>
      <c r="R846" s="18" t="s">
        <v>2594</v>
      </c>
      <c r="W846" s="354" t="e">
        <f t="shared" si="555"/>
        <v>#DIV/0!</v>
      </c>
      <c r="X846" s="355">
        <v>42000</v>
      </c>
      <c r="Y846" s="355">
        <v>1</v>
      </c>
      <c r="Z846" s="355">
        <v>42000</v>
      </c>
      <c r="AA846" s="355">
        <f>L846-Z846</f>
        <v>0</v>
      </c>
    </row>
    <row r="847" spans="1:27" ht="21.75" customHeight="1" x14ac:dyDescent="0.4">
      <c r="A847" s="258">
        <v>46067</v>
      </c>
      <c r="B847" s="325" t="s">
        <v>6206</v>
      </c>
      <c r="C847" s="32" t="s">
        <v>2557</v>
      </c>
      <c r="D847" s="258" t="s">
        <v>22</v>
      </c>
      <c r="E847" s="258" t="s">
        <v>1496</v>
      </c>
      <c r="F847" s="258"/>
      <c r="G847" s="63" t="s">
        <v>4869</v>
      </c>
      <c r="H847" s="399">
        <v>2000</v>
      </c>
      <c r="I847" s="399"/>
      <c r="J847" s="350">
        <f t="shared" ref="J847" si="558">SUM(H847:I847)</f>
        <v>2000</v>
      </c>
      <c r="K847" s="18">
        <v>1</v>
      </c>
      <c r="L847" s="350">
        <f t="shared" si="516"/>
        <v>2000</v>
      </c>
      <c r="M847" s="356">
        <f t="shared" si="517"/>
        <v>2200</v>
      </c>
      <c r="N847" s="18" t="s">
        <v>6207</v>
      </c>
      <c r="O847" s="453" t="s">
        <v>6250</v>
      </c>
      <c r="P847" s="18" t="s">
        <v>6208</v>
      </c>
      <c r="Q847" s="18" t="s">
        <v>6208</v>
      </c>
      <c r="R847" s="18" t="s">
        <v>6209</v>
      </c>
    </row>
    <row r="848" spans="1:27" ht="21.75" customHeight="1" x14ac:dyDescent="0.4">
      <c r="A848" s="258">
        <v>46068</v>
      </c>
      <c r="B848" s="325" t="s">
        <v>6194</v>
      </c>
      <c r="C848" s="32" t="s">
        <v>2557</v>
      </c>
      <c r="D848" s="258" t="s">
        <v>22</v>
      </c>
      <c r="E848" s="258" t="s">
        <v>1496</v>
      </c>
      <c r="F848" s="258"/>
      <c r="G848" s="63" t="s">
        <v>4869</v>
      </c>
      <c r="H848" s="399">
        <v>2000</v>
      </c>
      <c r="I848" s="399"/>
      <c r="J848" s="350">
        <f t="shared" si="515"/>
        <v>2000</v>
      </c>
      <c r="K848" s="18">
        <v>1</v>
      </c>
      <c r="L848" s="350">
        <f t="shared" si="516"/>
        <v>2000</v>
      </c>
      <c r="M848" s="356">
        <f t="shared" si="517"/>
        <v>2200</v>
      </c>
      <c r="N848" s="258" t="s">
        <v>20</v>
      </c>
      <c r="O848" s="433"/>
      <c r="P848" s="18" t="s">
        <v>2594</v>
      </c>
      <c r="Q848" s="18" t="s">
        <v>2594</v>
      </c>
      <c r="R848" s="18" t="s">
        <v>2594</v>
      </c>
    </row>
    <row r="849" spans="1:27" ht="21.75" customHeight="1" x14ac:dyDescent="0.4">
      <c r="A849" s="258">
        <v>46068</v>
      </c>
      <c r="B849" s="325" t="s">
        <v>2088</v>
      </c>
      <c r="C849" s="32" t="s">
        <v>2557</v>
      </c>
      <c r="D849" s="258" t="s">
        <v>22</v>
      </c>
      <c r="E849" s="258" t="s">
        <v>1496</v>
      </c>
      <c r="F849" s="258"/>
      <c r="G849" s="63" t="s">
        <v>4869</v>
      </c>
      <c r="H849" s="399">
        <v>2000</v>
      </c>
      <c r="I849" s="399"/>
      <c r="J849" s="350">
        <f t="shared" si="515"/>
        <v>2000</v>
      </c>
      <c r="K849" s="18">
        <v>1</v>
      </c>
      <c r="L849" s="350">
        <f t="shared" ref="L849:L850" si="559">SUM(J849*K849)</f>
        <v>2000</v>
      </c>
      <c r="M849" s="356">
        <f t="shared" ref="M849:M850" si="560">ROUNDDOWN(L849*1.1,0)</f>
        <v>2200</v>
      </c>
      <c r="N849" s="258" t="s">
        <v>1516</v>
      </c>
      <c r="O849" s="433"/>
      <c r="P849" s="18" t="s">
        <v>5449</v>
      </c>
      <c r="Q849" s="18" t="s">
        <v>5449</v>
      </c>
      <c r="R849" s="18" t="s">
        <v>5449</v>
      </c>
    </row>
    <row r="850" spans="1:27" ht="21.75" customHeight="1" x14ac:dyDescent="0.4">
      <c r="A850" s="258">
        <v>46068</v>
      </c>
      <c r="B850" s="325" t="s">
        <v>5023</v>
      </c>
      <c r="C850" s="32" t="s">
        <v>2557</v>
      </c>
      <c r="D850" s="258" t="s">
        <v>22</v>
      </c>
      <c r="E850" s="258" t="s">
        <v>1496</v>
      </c>
      <c r="F850" s="258"/>
      <c r="G850" s="63" t="s">
        <v>4869</v>
      </c>
      <c r="H850" s="399">
        <v>2000</v>
      </c>
      <c r="I850" s="399"/>
      <c r="J850" s="350">
        <f t="shared" ref="J850" si="561">SUM(H850:I850)</f>
        <v>2000</v>
      </c>
      <c r="K850" s="18">
        <v>1</v>
      </c>
      <c r="L850" s="350">
        <f t="shared" si="559"/>
        <v>2000</v>
      </c>
      <c r="M850" s="356">
        <f t="shared" si="560"/>
        <v>2200</v>
      </c>
      <c r="N850" s="258" t="s">
        <v>20</v>
      </c>
      <c r="O850" s="433"/>
      <c r="P850" s="18" t="s">
        <v>5449</v>
      </c>
      <c r="Q850" s="18" t="s">
        <v>5449</v>
      </c>
      <c r="R850" s="18" t="s">
        <v>5449</v>
      </c>
    </row>
    <row r="851" spans="1:27" ht="21.75" customHeight="1" x14ac:dyDescent="0.4">
      <c r="A851" s="258">
        <v>46068</v>
      </c>
      <c r="B851" s="325" t="s">
        <v>5023</v>
      </c>
      <c r="C851" s="32" t="s">
        <v>2557</v>
      </c>
      <c r="D851" s="258" t="s">
        <v>17</v>
      </c>
      <c r="E851" s="258" t="s">
        <v>426</v>
      </c>
      <c r="F851" s="18" t="s">
        <v>994</v>
      </c>
      <c r="G851" s="433" t="s">
        <v>5972</v>
      </c>
      <c r="H851" s="399">
        <v>1800</v>
      </c>
      <c r="I851" s="399">
        <v>-180</v>
      </c>
      <c r="J851" s="350">
        <f t="shared" si="515"/>
        <v>1620</v>
      </c>
      <c r="K851" s="18">
        <v>1</v>
      </c>
      <c r="L851" s="350">
        <f t="shared" si="516"/>
        <v>1620</v>
      </c>
      <c r="M851" s="356">
        <f t="shared" si="517"/>
        <v>1782</v>
      </c>
      <c r="N851" s="258" t="s">
        <v>20</v>
      </c>
      <c r="O851" s="433"/>
      <c r="Q851" s="18" t="s">
        <v>5449</v>
      </c>
      <c r="R851" s="18" t="s">
        <v>5449</v>
      </c>
      <c r="W851" s="354">
        <f t="shared" ref="W851:W853" si="562">X851/H851</f>
        <v>0.6</v>
      </c>
      <c r="X851" s="355">
        <v>1080</v>
      </c>
      <c r="Y851" s="355">
        <v>1</v>
      </c>
      <c r="Z851" s="355">
        <f t="shared" ref="Z851" si="563">X851*Y851</f>
        <v>1080</v>
      </c>
      <c r="AA851" s="355">
        <f t="shared" ref="AA851:AA852" si="564">L851-Z851</f>
        <v>540</v>
      </c>
    </row>
    <row r="852" spans="1:27" ht="21.75" customHeight="1" x14ac:dyDescent="0.4">
      <c r="A852" s="258">
        <v>46068</v>
      </c>
      <c r="B852" s="325" t="s">
        <v>6038</v>
      </c>
      <c r="C852" s="32" t="s">
        <v>405</v>
      </c>
      <c r="D852" s="258" t="s">
        <v>6195</v>
      </c>
      <c r="E852" s="258" t="s">
        <v>328</v>
      </c>
      <c r="F852" s="258" t="s">
        <v>6196</v>
      </c>
      <c r="G852" s="433" t="s">
        <v>6197</v>
      </c>
      <c r="H852" s="406">
        <v>20000</v>
      </c>
      <c r="I852" s="406">
        <v>-4000</v>
      </c>
      <c r="J852" s="350">
        <f t="shared" si="515"/>
        <v>16000</v>
      </c>
      <c r="K852" s="18">
        <v>4</v>
      </c>
      <c r="L852" s="350">
        <f t="shared" si="516"/>
        <v>64000</v>
      </c>
      <c r="M852" s="357">
        <f t="shared" si="517"/>
        <v>70400</v>
      </c>
      <c r="N852" s="18" t="s">
        <v>1121</v>
      </c>
      <c r="O852" s="433"/>
      <c r="P852" s="18" t="s">
        <v>5449</v>
      </c>
      <c r="Q852" s="18" t="s">
        <v>5449</v>
      </c>
      <c r="R852" s="18" t="s">
        <v>5449</v>
      </c>
      <c r="W852" s="354">
        <f t="shared" si="562"/>
        <v>0.55000000000000004</v>
      </c>
      <c r="X852" s="355">
        <v>11000</v>
      </c>
      <c r="Y852" s="355">
        <v>4</v>
      </c>
      <c r="Z852" s="355">
        <v>44000</v>
      </c>
      <c r="AA852" s="355">
        <f t="shared" si="564"/>
        <v>20000</v>
      </c>
    </row>
    <row r="853" spans="1:27" ht="21.75" customHeight="1" x14ac:dyDescent="0.4">
      <c r="A853" s="258">
        <v>46068</v>
      </c>
      <c r="B853" s="325" t="s">
        <v>6038</v>
      </c>
      <c r="C853" s="32" t="s">
        <v>405</v>
      </c>
      <c r="D853" s="258" t="s">
        <v>6195</v>
      </c>
      <c r="E853" s="258" t="s">
        <v>328</v>
      </c>
      <c r="F853" s="258" t="s">
        <v>6196</v>
      </c>
      <c r="G853" s="433" t="s">
        <v>6198</v>
      </c>
      <c r="H853" s="406">
        <v>20000</v>
      </c>
      <c r="I853" s="406">
        <v>-4000</v>
      </c>
      <c r="J853" s="350">
        <f t="shared" ref="J853:J923" si="565">SUM(H853:I853)</f>
        <v>16000</v>
      </c>
      <c r="K853" s="18">
        <v>4</v>
      </c>
      <c r="L853" s="350">
        <f t="shared" ref="L853:L923" si="566">SUM(J853*K853)</f>
        <v>64000</v>
      </c>
      <c r="M853" s="357">
        <f t="shared" ref="M853:M923" si="567">ROUNDDOWN(L853*1.1,0)</f>
        <v>70400</v>
      </c>
      <c r="N853" s="18" t="s">
        <v>1121</v>
      </c>
      <c r="O853" s="433"/>
      <c r="P853" s="18" t="s">
        <v>5449</v>
      </c>
      <c r="Q853" s="18" t="s">
        <v>5449</v>
      </c>
      <c r="R853" s="18" t="s">
        <v>5449</v>
      </c>
      <c r="W853" s="354">
        <f t="shared" si="562"/>
        <v>0.55000000000000004</v>
      </c>
      <c r="X853" s="355">
        <v>11000</v>
      </c>
      <c r="Y853" s="355">
        <v>4</v>
      </c>
      <c r="Z853" s="355">
        <v>44000</v>
      </c>
      <c r="AA853" s="355">
        <f>L853-Z853</f>
        <v>20000</v>
      </c>
    </row>
    <row r="854" spans="1:27" ht="21.75" customHeight="1" x14ac:dyDescent="0.4">
      <c r="A854" s="258">
        <v>46068</v>
      </c>
      <c r="B854" s="325" t="s">
        <v>6038</v>
      </c>
      <c r="C854" s="32" t="s">
        <v>405</v>
      </c>
      <c r="D854" s="258" t="s">
        <v>17</v>
      </c>
      <c r="E854" s="258" t="s">
        <v>332</v>
      </c>
      <c r="F854" s="258" t="s">
        <v>3554</v>
      </c>
      <c r="G854" s="63" t="s">
        <v>3973</v>
      </c>
      <c r="H854" s="406">
        <v>1300</v>
      </c>
      <c r="I854" s="406"/>
      <c r="J854" s="350">
        <v>1300</v>
      </c>
      <c r="K854" s="18">
        <v>8</v>
      </c>
      <c r="L854" s="350">
        <f t="shared" ref="L854" si="568">SUM(J854*K854)</f>
        <v>10400</v>
      </c>
      <c r="M854" s="357">
        <f t="shared" ref="M854" si="569">ROUNDDOWN(L854*1.1,0)</f>
        <v>11440</v>
      </c>
      <c r="N854" s="18" t="s">
        <v>1121</v>
      </c>
      <c r="O854" s="453" t="s">
        <v>6271</v>
      </c>
      <c r="P854" s="18" t="s">
        <v>5449</v>
      </c>
      <c r="Q854" s="18" t="s">
        <v>5449</v>
      </c>
      <c r="R854" s="18" t="s">
        <v>5449</v>
      </c>
      <c r="W854" s="404"/>
      <c r="X854" s="405"/>
      <c r="Y854" s="405">
        <v>8</v>
      </c>
      <c r="Z854" s="405"/>
      <c r="AA854" s="355">
        <f t="shared" ref="AA854:AA859" si="570">L854-Z854</f>
        <v>10400</v>
      </c>
    </row>
    <row r="855" spans="1:27" ht="21.75" customHeight="1" x14ac:dyDescent="0.4">
      <c r="A855" s="258">
        <v>46068</v>
      </c>
      <c r="B855" s="325" t="s">
        <v>6038</v>
      </c>
      <c r="C855" s="32" t="s">
        <v>405</v>
      </c>
      <c r="D855" s="258" t="s">
        <v>17</v>
      </c>
      <c r="E855" s="258" t="s">
        <v>332</v>
      </c>
      <c r="F855" s="258" t="s">
        <v>3555</v>
      </c>
      <c r="G855" s="7" t="s">
        <v>6199</v>
      </c>
      <c r="H855" s="406">
        <v>1500</v>
      </c>
      <c r="I855" s="406"/>
      <c r="J855" s="350">
        <f t="shared" ref="J855" si="571">SUM(H855:I855)</f>
        <v>1500</v>
      </c>
      <c r="K855" s="18">
        <v>1</v>
      </c>
      <c r="L855" s="350">
        <f t="shared" ref="L855" si="572">SUM(J855*K855)</f>
        <v>1500</v>
      </c>
      <c r="M855" s="357">
        <f t="shared" ref="M855" si="573">ROUNDDOWN(L855*1.1,0)</f>
        <v>1650</v>
      </c>
      <c r="N855" s="18" t="s">
        <v>1121</v>
      </c>
      <c r="O855" s="456"/>
      <c r="P855" s="18" t="s">
        <v>5449</v>
      </c>
      <c r="Q855" s="18" t="s">
        <v>5449</v>
      </c>
      <c r="R855" s="18" t="s">
        <v>5449</v>
      </c>
      <c r="W855" s="354">
        <f t="shared" ref="W855:W866" si="574">X855/H855</f>
        <v>0.50266666666666671</v>
      </c>
      <c r="X855" s="355">
        <v>754</v>
      </c>
      <c r="Y855" s="355">
        <v>1</v>
      </c>
      <c r="Z855" s="355">
        <f t="shared" ref="Z855" si="575">X855*Y855</f>
        <v>754</v>
      </c>
      <c r="AA855" s="355">
        <f t="shared" si="570"/>
        <v>746</v>
      </c>
    </row>
    <row r="856" spans="1:27" ht="21.75" customHeight="1" x14ac:dyDescent="0.4">
      <c r="A856" s="258">
        <v>46068</v>
      </c>
      <c r="B856" s="325" t="s">
        <v>6038</v>
      </c>
      <c r="C856" s="32" t="s">
        <v>405</v>
      </c>
      <c r="D856" s="258" t="s">
        <v>6195</v>
      </c>
      <c r="E856" s="258" t="s">
        <v>328</v>
      </c>
      <c r="F856" s="258" t="s">
        <v>6196</v>
      </c>
      <c r="G856" s="433" t="s">
        <v>6200</v>
      </c>
      <c r="H856" s="406">
        <v>33000</v>
      </c>
      <c r="I856" s="406">
        <v>-6600</v>
      </c>
      <c r="J856" s="350">
        <f t="shared" si="565"/>
        <v>26400</v>
      </c>
      <c r="K856" s="18">
        <v>1</v>
      </c>
      <c r="L856" s="350">
        <f t="shared" si="566"/>
        <v>26400</v>
      </c>
      <c r="M856" s="357">
        <f t="shared" si="567"/>
        <v>29040</v>
      </c>
      <c r="N856" s="18" t="s">
        <v>1121</v>
      </c>
      <c r="O856" s="456"/>
      <c r="P856" s="18" t="s">
        <v>5449</v>
      </c>
      <c r="Q856" s="18" t="s">
        <v>5449</v>
      </c>
      <c r="R856" s="18" t="s">
        <v>5449</v>
      </c>
      <c r="W856" s="354">
        <f t="shared" si="574"/>
        <v>0.55000000000000004</v>
      </c>
      <c r="X856" s="355">
        <v>18150</v>
      </c>
      <c r="Y856" s="355">
        <v>1</v>
      </c>
      <c r="Z856" s="355">
        <v>18150</v>
      </c>
      <c r="AA856" s="355">
        <f t="shared" si="570"/>
        <v>8250</v>
      </c>
    </row>
    <row r="857" spans="1:27" ht="21.75" customHeight="1" x14ac:dyDescent="0.4">
      <c r="A857" s="258">
        <v>46068</v>
      </c>
      <c r="B857" s="325" t="s">
        <v>6038</v>
      </c>
      <c r="C857" s="32" t="s">
        <v>405</v>
      </c>
      <c r="D857" s="258" t="s">
        <v>6195</v>
      </c>
      <c r="E857" s="258" t="s">
        <v>1442</v>
      </c>
      <c r="F857" s="258" t="s">
        <v>6201</v>
      </c>
      <c r="G857" s="433" t="s">
        <v>6202</v>
      </c>
      <c r="H857" s="406">
        <v>49000</v>
      </c>
      <c r="I857" s="406">
        <v>-4900</v>
      </c>
      <c r="J857" s="350">
        <f t="shared" si="565"/>
        <v>44100</v>
      </c>
      <c r="K857" s="18">
        <v>1</v>
      </c>
      <c r="L857" s="350">
        <f t="shared" si="566"/>
        <v>44100</v>
      </c>
      <c r="M857" s="357">
        <f t="shared" si="567"/>
        <v>48510</v>
      </c>
      <c r="N857" s="18" t="s">
        <v>1121</v>
      </c>
      <c r="O857" s="456"/>
      <c r="P857" s="18" t="s">
        <v>5449</v>
      </c>
      <c r="Q857" s="18" t="s">
        <v>5449</v>
      </c>
      <c r="R857" s="18" t="s">
        <v>5449</v>
      </c>
      <c r="W857" s="354">
        <f t="shared" si="574"/>
        <v>0</v>
      </c>
      <c r="Y857" s="355">
        <v>1</v>
      </c>
      <c r="AA857" s="355">
        <f t="shared" si="570"/>
        <v>44100</v>
      </c>
    </row>
    <row r="858" spans="1:27" ht="21.75" customHeight="1" x14ac:dyDescent="0.4">
      <c r="A858" s="258">
        <v>46068</v>
      </c>
      <c r="B858" s="325" t="s">
        <v>6038</v>
      </c>
      <c r="C858" s="32" t="s">
        <v>405</v>
      </c>
      <c r="D858" s="258" t="s">
        <v>17</v>
      </c>
      <c r="E858" s="258" t="s">
        <v>332</v>
      </c>
      <c r="F858" s="258" t="s">
        <v>3555</v>
      </c>
      <c r="G858" s="7"/>
      <c r="H858" s="406">
        <v>1600</v>
      </c>
      <c r="I858" s="406"/>
      <c r="J858" s="350">
        <f t="shared" ref="J858" si="576">SUM(H858:I858)</f>
        <v>1600</v>
      </c>
      <c r="K858" s="18">
        <v>1</v>
      </c>
      <c r="L858" s="350">
        <f t="shared" ref="L858:L859" si="577">SUM(J858*K858)</f>
        <v>1600</v>
      </c>
      <c r="M858" s="357">
        <f t="shared" ref="M858:M859" si="578">ROUNDDOWN(L858*1.1,0)</f>
        <v>1760</v>
      </c>
      <c r="N858" s="18" t="s">
        <v>1121</v>
      </c>
      <c r="O858" s="453" t="s">
        <v>6216</v>
      </c>
      <c r="P858" s="18" t="s">
        <v>5449</v>
      </c>
      <c r="Q858" s="18" t="s">
        <v>5449</v>
      </c>
      <c r="R858" s="18" t="s">
        <v>5449</v>
      </c>
      <c r="W858" s="354">
        <f t="shared" si="574"/>
        <v>0</v>
      </c>
      <c r="X858" s="405"/>
      <c r="Y858" s="405">
        <v>1</v>
      </c>
      <c r="Z858" s="405"/>
      <c r="AA858" s="355">
        <f t="shared" si="570"/>
        <v>1600</v>
      </c>
    </row>
    <row r="859" spans="1:27" s="403" customFormat="1" ht="21.75" customHeight="1" x14ac:dyDescent="0.4">
      <c r="A859" s="370">
        <v>46069</v>
      </c>
      <c r="B859" s="326" t="s">
        <v>4996</v>
      </c>
      <c r="C859" s="191" t="s">
        <v>405</v>
      </c>
      <c r="D859" s="370" t="s">
        <v>17</v>
      </c>
      <c r="E859" s="370" t="s">
        <v>328</v>
      </c>
      <c r="F859" s="370" t="s">
        <v>788</v>
      </c>
      <c r="G859" s="193" t="s">
        <v>6328</v>
      </c>
      <c r="H859" s="400">
        <v>50000</v>
      </c>
      <c r="I859" s="400">
        <v>-15000</v>
      </c>
      <c r="J859" s="371">
        <f t="shared" ref="J859" si="579">SUM(H859:I859)</f>
        <v>35000</v>
      </c>
      <c r="K859" s="192">
        <v>1</v>
      </c>
      <c r="L859" s="371">
        <f t="shared" si="577"/>
        <v>35000</v>
      </c>
      <c r="M859" s="373">
        <f t="shared" si="578"/>
        <v>38500</v>
      </c>
      <c r="N859" s="370" t="s">
        <v>6224</v>
      </c>
      <c r="O859" s="453"/>
      <c r="P859" s="192"/>
      <c r="Q859" s="192"/>
      <c r="R859" s="192" t="s">
        <v>6329</v>
      </c>
      <c r="S859" s="402" t="s">
        <v>6330</v>
      </c>
      <c r="T859" s="402"/>
      <c r="U859" s="402"/>
      <c r="W859" s="404">
        <v>0.45</v>
      </c>
      <c r="X859" s="405">
        <f t="shared" ref="X859" si="580">H859*W859</f>
        <v>22500</v>
      </c>
      <c r="Y859" s="405">
        <f t="shared" ref="Y859" si="581">K859</f>
        <v>1</v>
      </c>
      <c r="Z859" s="405">
        <f t="shared" ref="Z859" si="582">X859*Y859</f>
        <v>22500</v>
      </c>
      <c r="AA859" s="355">
        <f t="shared" si="570"/>
        <v>12500</v>
      </c>
    </row>
    <row r="860" spans="1:27" ht="21.75" customHeight="1" x14ac:dyDescent="0.4">
      <c r="A860" s="258">
        <v>46069</v>
      </c>
      <c r="B860" s="325" t="s">
        <v>6212</v>
      </c>
      <c r="C860" s="32" t="s">
        <v>2557</v>
      </c>
      <c r="D860" s="258" t="s">
        <v>22</v>
      </c>
      <c r="E860" s="18" t="s">
        <v>260</v>
      </c>
      <c r="F860" s="258"/>
      <c r="G860" s="63" t="s">
        <v>5177</v>
      </c>
      <c r="H860" s="399">
        <v>10000</v>
      </c>
      <c r="I860" s="399"/>
      <c r="J860" s="350">
        <f t="shared" si="565"/>
        <v>10000</v>
      </c>
      <c r="K860" s="18">
        <v>1</v>
      </c>
      <c r="L860" s="350">
        <f t="shared" si="566"/>
        <v>10000</v>
      </c>
      <c r="M860" s="356">
        <f t="shared" si="567"/>
        <v>11000</v>
      </c>
      <c r="N860" s="18" t="s">
        <v>1121</v>
      </c>
      <c r="O860" s="456"/>
      <c r="P860" s="18" t="s">
        <v>6213</v>
      </c>
      <c r="Q860" s="18" t="s">
        <v>6209</v>
      </c>
      <c r="R860" s="18" t="s">
        <v>6209</v>
      </c>
    </row>
    <row r="861" spans="1:27" ht="21.75" customHeight="1" x14ac:dyDescent="0.4">
      <c r="A861" s="258">
        <v>46069</v>
      </c>
      <c r="B861" s="325" t="s">
        <v>6212</v>
      </c>
      <c r="C861" s="32" t="s">
        <v>2557</v>
      </c>
      <c r="D861" s="258" t="s">
        <v>17</v>
      </c>
      <c r="E861" s="258" t="s">
        <v>328</v>
      </c>
      <c r="F861" s="258" t="s">
        <v>788</v>
      </c>
      <c r="G861" s="433" t="s">
        <v>6214</v>
      </c>
      <c r="H861" s="399">
        <v>55000</v>
      </c>
      <c r="I861" s="399">
        <v>-16500</v>
      </c>
      <c r="J861" s="350">
        <f t="shared" si="565"/>
        <v>38500</v>
      </c>
      <c r="K861" s="18">
        <v>1</v>
      </c>
      <c r="L861" s="350">
        <f t="shared" si="566"/>
        <v>38500</v>
      </c>
      <c r="M861" s="356">
        <f t="shared" si="567"/>
        <v>42350</v>
      </c>
      <c r="N861" s="18" t="s">
        <v>1121</v>
      </c>
      <c r="O861" s="456"/>
      <c r="Q861" s="18" t="s">
        <v>6209</v>
      </c>
      <c r="R861" s="18" t="s">
        <v>6209</v>
      </c>
      <c r="W861" s="354">
        <f t="shared" si="574"/>
        <v>0.45</v>
      </c>
      <c r="X861" s="355">
        <v>24750</v>
      </c>
      <c r="Y861" s="355">
        <v>1</v>
      </c>
      <c r="Z861" s="355">
        <v>24750</v>
      </c>
      <c r="AA861" s="355">
        <f t="shared" ref="AA861:AA864" si="583">L861-Z861</f>
        <v>13750</v>
      </c>
    </row>
    <row r="862" spans="1:27" ht="21.75" customHeight="1" x14ac:dyDescent="0.4">
      <c r="A862" s="258">
        <v>46069</v>
      </c>
      <c r="B862" s="325" t="s">
        <v>6212</v>
      </c>
      <c r="C862" s="32" t="s">
        <v>2557</v>
      </c>
      <c r="D862" s="258" t="s">
        <v>17</v>
      </c>
      <c r="E862" s="258" t="s">
        <v>1442</v>
      </c>
      <c r="F862" s="258" t="s">
        <v>661</v>
      </c>
      <c r="G862" s="433" t="s">
        <v>6215</v>
      </c>
      <c r="H862" s="399">
        <v>100000</v>
      </c>
      <c r="I862" s="399">
        <v>-15000</v>
      </c>
      <c r="J862" s="350">
        <f t="shared" si="565"/>
        <v>85000</v>
      </c>
      <c r="K862" s="18">
        <v>1</v>
      </c>
      <c r="L862" s="350">
        <f t="shared" si="566"/>
        <v>85000</v>
      </c>
      <c r="M862" s="356">
        <f t="shared" si="567"/>
        <v>93500</v>
      </c>
      <c r="N862" s="18" t="s">
        <v>1121</v>
      </c>
      <c r="O862" s="456"/>
      <c r="Q862" s="18" t="s">
        <v>6209</v>
      </c>
      <c r="R862" s="18" t="s">
        <v>6209</v>
      </c>
      <c r="S862" s="458"/>
      <c r="W862" s="354">
        <f t="shared" si="574"/>
        <v>0.63</v>
      </c>
      <c r="X862" s="355">
        <v>63000</v>
      </c>
      <c r="Y862" s="355">
        <v>1</v>
      </c>
      <c r="Z862" s="355">
        <v>63000</v>
      </c>
      <c r="AA862" s="355">
        <f t="shared" si="583"/>
        <v>22000</v>
      </c>
    </row>
    <row r="863" spans="1:27" ht="21.75" customHeight="1" x14ac:dyDescent="0.4">
      <c r="A863" s="258">
        <v>46069</v>
      </c>
      <c r="B863" s="325" t="s">
        <v>6212</v>
      </c>
      <c r="C863" s="32" t="s">
        <v>2557</v>
      </c>
      <c r="D863" s="258" t="s">
        <v>17</v>
      </c>
      <c r="E863" s="258" t="s">
        <v>332</v>
      </c>
      <c r="F863" s="258" t="s">
        <v>3555</v>
      </c>
      <c r="G863" s="7" t="s">
        <v>6199</v>
      </c>
      <c r="H863" s="399">
        <v>1500</v>
      </c>
      <c r="I863" s="399">
        <v>-150</v>
      </c>
      <c r="J863" s="350">
        <f t="shared" si="565"/>
        <v>1350</v>
      </c>
      <c r="K863" s="18">
        <v>1</v>
      </c>
      <c r="L863" s="350">
        <f t="shared" si="566"/>
        <v>1350</v>
      </c>
      <c r="M863" s="356">
        <f t="shared" si="567"/>
        <v>1485</v>
      </c>
      <c r="N863" s="18" t="s">
        <v>1121</v>
      </c>
      <c r="O863" s="456"/>
      <c r="Q863" s="18" t="s">
        <v>6209</v>
      </c>
      <c r="R863" s="18" t="s">
        <v>6209</v>
      </c>
      <c r="S863" s="457"/>
      <c r="W863" s="354">
        <f t="shared" si="574"/>
        <v>0.50266666666666671</v>
      </c>
      <c r="X863" s="355">
        <v>754</v>
      </c>
      <c r="Y863" s="355">
        <v>1</v>
      </c>
      <c r="Z863" s="355">
        <f t="shared" ref="Z863" si="584">X863*Y863</f>
        <v>754</v>
      </c>
      <c r="AA863" s="355">
        <f t="shared" si="583"/>
        <v>596</v>
      </c>
    </row>
    <row r="864" spans="1:27" ht="21.75" customHeight="1" x14ac:dyDescent="0.4">
      <c r="A864" s="258">
        <v>46069</v>
      </c>
      <c r="B864" s="325" t="s">
        <v>678</v>
      </c>
      <c r="C864" s="32" t="s">
        <v>2557</v>
      </c>
      <c r="D864" s="258" t="s">
        <v>17</v>
      </c>
      <c r="E864" s="258" t="s">
        <v>332</v>
      </c>
      <c r="F864" s="18" t="s">
        <v>3550</v>
      </c>
      <c r="G864" s="63" t="s">
        <v>4960</v>
      </c>
      <c r="H864" s="399">
        <v>2000</v>
      </c>
      <c r="I864" s="399">
        <v>-200</v>
      </c>
      <c r="J864" s="350">
        <f t="shared" si="565"/>
        <v>1800</v>
      </c>
      <c r="K864" s="18">
        <v>1</v>
      </c>
      <c r="L864" s="350">
        <f t="shared" si="566"/>
        <v>1800</v>
      </c>
      <c r="M864" s="356">
        <f t="shared" si="567"/>
        <v>1980</v>
      </c>
      <c r="N864" s="347" t="s">
        <v>6219</v>
      </c>
      <c r="O864" s="456"/>
      <c r="Q864" s="18" t="s">
        <v>6218</v>
      </c>
      <c r="R864" s="18" t="s">
        <v>6220</v>
      </c>
      <c r="W864" s="354">
        <f t="shared" si="574"/>
        <v>0.6</v>
      </c>
      <c r="X864" s="355">
        <v>1200</v>
      </c>
      <c r="Y864" s="355">
        <v>1</v>
      </c>
      <c r="Z864" s="355">
        <v>1200</v>
      </c>
      <c r="AA864" s="355">
        <f t="shared" si="583"/>
        <v>600</v>
      </c>
    </row>
    <row r="865" spans="1:27" ht="21.75" customHeight="1" x14ac:dyDescent="0.4">
      <c r="A865" s="258">
        <v>46069</v>
      </c>
      <c r="B865" s="325" t="s">
        <v>139</v>
      </c>
      <c r="C865" s="32" t="s">
        <v>2557</v>
      </c>
      <c r="D865" s="258" t="s">
        <v>22</v>
      </c>
      <c r="E865" s="258" t="s">
        <v>1496</v>
      </c>
      <c r="F865" s="258"/>
      <c r="G865" s="63" t="s">
        <v>4869</v>
      </c>
      <c r="H865" s="399">
        <v>2000</v>
      </c>
      <c r="I865" s="399"/>
      <c r="J865" s="350">
        <f t="shared" si="565"/>
        <v>2000</v>
      </c>
      <c r="K865" s="18">
        <v>1</v>
      </c>
      <c r="L865" s="350">
        <f t="shared" si="566"/>
        <v>2000</v>
      </c>
      <c r="M865" s="356">
        <f t="shared" si="567"/>
        <v>2200</v>
      </c>
      <c r="N865" s="258" t="s">
        <v>1516</v>
      </c>
      <c r="O865" s="456"/>
      <c r="P865" s="18" t="s">
        <v>5449</v>
      </c>
      <c r="Q865" s="18" t="s">
        <v>5449</v>
      </c>
      <c r="R865" s="18" t="s">
        <v>5449</v>
      </c>
    </row>
    <row r="866" spans="1:27" ht="21.75" customHeight="1" x14ac:dyDescent="0.4">
      <c r="A866" s="258">
        <v>46071</v>
      </c>
      <c r="B866" s="325" t="s">
        <v>6221</v>
      </c>
      <c r="C866" s="32" t="s">
        <v>405</v>
      </c>
      <c r="D866" s="258" t="s">
        <v>6222</v>
      </c>
      <c r="E866" s="258" t="s">
        <v>332</v>
      </c>
      <c r="F866" s="258" t="s">
        <v>3554</v>
      </c>
      <c r="G866" s="433" t="s">
        <v>6223</v>
      </c>
      <c r="H866" s="399">
        <v>1300</v>
      </c>
      <c r="I866" s="399"/>
      <c r="J866" s="350">
        <f t="shared" si="565"/>
        <v>1300</v>
      </c>
      <c r="K866" s="18">
        <v>4</v>
      </c>
      <c r="L866" s="350">
        <f t="shared" si="566"/>
        <v>5200</v>
      </c>
      <c r="M866" s="356">
        <f t="shared" si="567"/>
        <v>5720</v>
      </c>
      <c r="N866" s="258" t="s">
        <v>6224</v>
      </c>
      <c r="O866" s="453" t="s">
        <v>6251</v>
      </c>
      <c r="P866" s="18" t="s">
        <v>6225</v>
      </c>
      <c r="Q866" s="18" t="s">
        <v>6226</v>
      </c>
      <c r="R866" s="18" t="s">
        <v>6226</v>
      </c>
      <c r="W866" s="354">
        <f t="shared" si="574"/>
        <v>0.62538461538461543</v>
      </c>
      <c r="X866" s="355">
        <v>813</v>
      </c>
      <c r="Y866" s="355">
        <v>4</v>
      </c>
      <c r="Z866" s="355">
        <v>3252</v>
      </c>
      <c r="AA866" s="355">
        <f>L866-Z866</f>
        <v>1948</v>
      </c>
    </row>
    <row r="867" spans="1:27" ht="21.75" customHeight="1" x14ac:dyDescent="0.4">
      <c r="A867" s="258">
        <v>46071</v>
      </c>
      <c r="B867" s="325" t="s">
        <v>5023</v>
      </c>
      <c r="C867" s="32" t="s">
        <v>2557</v>
      </c>
      <c r="D867" s="258" t="s">
        <v>22</v>
      </c>
      <c r="E867" s="258" t="s">
        <v>1496</v>
      </c>
      <c r="F867" s="258"/>
      <c r="G867" s="63" t="s">
        <v>4869</v>
      </c>
      <c r="H867" s="399">
        <v>2000</v>
      </c>
      <c r="I867" s="399"/>
      <c r="J867" s="350">
        <f t="shared" ref="J867" si="585">SUM(H867:I867)</f>
        <v>2000</v>
      </c>
      <c r="K867" s="18">
        <v>1</v>
      </c>
      <c r="L867" s="350">
        <f t="shared" si="566"/>
        <v>2000</v>
      </c>
      <c r="M867" s="356">
        <f t="shared" si="567"/>
        <v>2200</v>
      </c>
      <c r="N867" s="258" t="s">
        <v>20</v>
      </c>
      <c r="O867" s="433"/>
      <c r="P867" s="18" t="s">
        <v>5449</v>
      </c>
      <c r="Q867" s="18" t="s">
        <v>5449</v>
      </c>
      <c r="R867" s="18" t="s">
        <v>5449</v>
      </c>
    </row>
    <row r="868" spans="1:27" ht="21.75" customHeight="1" x14ac:dyDescent="0.4">
      <c r="A868" s="258">
        <v>46071</v>
      </c>
      <c r="B868" s="325" t="s">
        <v>6051</v>
      </c>
      <c r="C868" s="32" t="s">
        <v>6227</v>
      </c>
      <c r="D868" s="18" t="s">
        <v>27</v>
      </c>
      <c r="E868" s="258" t="s">
        <v>6099</v>
      </c>
      <c r="F868" s="258"/>
      <c r="G868" s="433" t="s">
        <v>6229</v>
      </c>
      <c r="H868" s="399">
        <v>15000</v>
      </c>
      <c r="I868" s="399">
        <v>-5000</v>
      </c>
      <c r="J868" s="350">
        <f t="shared" si="565"/>
        <v>10000</v>
      </c>
      <c r="K868" s="18">
        <v>1</v>
      </c>
      <c r="L868" s="350">
        <f t="shared" si="566"/>
        <v>10000</v>
      </c>
      <c r="M868" s="356">
        <f t="shared" si="567"/>
        <v>11000</v>
      </c>
      <c r="N868" s="258" t="s">
        <v>1516</v>
      </c>
      <c r="O868" s="456" t="s">
        <v>6230</v>
      </c>
      <c r="P868" s="18" t="s">
        <v>6233</v>
      </c>
      <c r="Q868" s="18" t="s">
        <v>6233</v>
      </c>
      <c r="R868" s="18" t="s">
        <v>6233</v>
      </c>
    </row>
    <row r="869" spans="1:27" ht="21.75" customHeight="1" x14ac:dyDescent="0.4">
      <c r="A869" s="258">
        <v>46071</v>
      </c>
      <c r="B869" s="325" t="s">
        <v>6051</v>
      </c>
      <c r="C869" s="32" t="s">
        <v>6227</v>
      </c>
      <c r="D869" s="258" t="s">
        <v>6228</v>
      </c>
      <c r="E869" s="258" t="s">
        <v>6099</v>
      </c>
      <c r="F869" s="258"/>
      <c r="G869" s="433" t="s">
        <v>6234</v>
      </c>
      <c r="H869" s="399">
        <v>4375</v>
      </c>
      <c r="I869" s="399"/>
      <c r="J869" s="350">
        <f t="shared" si="565"/>
        <v>4375</v>
      </c>
      <c r="K869" s="18">
        <v>1</v>
      </c>
      <c r="L869" s="350">
        <f t="shared" si="566"/>
        <v>4375</v>
      </c>
      <c r="M869" s="356">
        <f t="shared" si="567"/>
        <v>4812</v>
      </c>
      <c r="N869" s="258" t="s">
        <v>1516</v>
      </c>
      <c r="O869" s="456" t="s">
        <v>6232</v>
      </c>
      <c r="P869" s="18" t="s">
        <v>6233</v>
      </c>
      <c r="Q869" s="18" t="s">
        <v>6233</v>
      </c>
      <c r="R869" s="18" t="s">
        <v>6233</v>
      </c>
    </row>
    <row r="870" spans="1:27" ht="21.75" customHeight="1" x14ac:dyDescent="0.4">
      <c r="A870" s="258">
        <v>46071</v>
      </c>
      <c r="B870" s="325" t="s">
        <v>6051</v>
      </c>
      <c r="C870" s="32" t="s">
        <v>6227</v>
      </c>
      <c r="D870" s="258" t="s">
        <v>6228</v>
      </c>
      <c r="E870" s="258" t="s">
        <v>6099</v>
      </c>
      <c r="F870" s="258"/>
      <c r="G870" s="433" t="s">
        <v>6231</v>
      </c>
      <c r="H870" s="399">
        <v>17500</v>
      </c>
      <c r="I870" s="399"/>
      <c r="J870" s="350">
        <f t="shared" si="565"/>
        <v>17500</v>
      </c>
      <c r="K870" s="18">
        <v>1</v>
      </c>
      <c r="L870" s="350">
        <f t="shared" si="566"/>
        <v>17500</v>
      </c>
      <c r="M870" s="356">
        <f t="shared" si="567"/>
        <v>19250</v>
      </c>
      <c r="N870" s="258" t="s">
        <v>1516</v>
      </c>
      <c r="O870" s="456" t="s">
        <v>6182</v>
      </c>
      <c r="P870" s="18" t="s">
        <v>6233</v>
      </c>
      <c r="Q870" s="18" t="s">
        <v>6233</v>
      </c>
      <c r="R870" s="18" t="s">
        <v>6233</v>
      </c>
    </row>
    <row r="871" spans="1:27" ht="21.75" customHeight="1" x14ac:dyDescent="0.4">
      <c r="A871" s="258">
        <v>46071</v>
      </c>
      <c r="B871" s="325" t="s">
        <v>4836</v>
      </c>
      <c r="C871" s="32" t="s">
        <v>6236</v>
      </c>
      <c r="D871" s="258" t="s">
        <v>6235</v>
      </c>
      <c r="E871" s="258" t="s">
        <v>332</v>
      </c>
      <c r="F871" s="258" t="s">
        <v>6237</v>
      </c>
      <c r="G871" s="7" t="s">
        <v>6199</v>
      </c>
      <c r="H871" s="399">
        <v>1500</v>
      </c>
      <c r="I871" s="399">
        <v>-150</v>
      </c>
      <c r="J871" s="350">
        <f t="shared" si="565"/>
        <v>1350</v>
      </c>
      <c r="K871" s="18">
        <v>1</v>
      </c>
      <c r="L871" s="350">
        <f t="shared" si="566"/>
        <v>1350</v>
      </c>
      <c r="M871" s="356">
        <f t="shared" si="567"/>
        <v>1485</v>
      </c>
      <c r="N871" s="258" t="s">
        <v>6238</v>
      </c>
      <c r="O871" s="456"/>
      <c r="P871" s="18" t="s">
        <v>2595</v>
      </c>
      <c r="Q871" s="18" t="s">
        <v>2595</v>
      </c>
      <c r="R871" s="18" t="s">
        <v>2595</v>
      </c>
      <c r="W871" s="354">
        <f t="shared" ref="W871:W877" si="586">X871/H871</f>
        <v>0.50266666666666671</v>
      </c>
      <c r="X871" s="355">
        <v>754</v>
      </c>
      <c r="Y871" s="355">
        <v>1</v>
      </c>
      <c r="Z871" s="355">
        <f t="shared" ref="Z871" si="587">X871*Y871</f>
        <v>754</v>
      </c>
      <c r="AA871" s="355">
        <f t="shared" ref="AA871:AA877" si="588">L871-Z871</f>
        <v>596</v>
      </c>
    </row>
    <row r="872" spans="1:27" ht="21.75" customHeight="1" x14ac:dyDescent="0.4">
      <c r="A872" s="258">
        <v>46071</v>
      </c>
      <c r="B872" s="325" t="s">
        <v>6249</v>
      </c>
      <c r="C872" s="32" t="s">
        <v>4292</v>
      </c>
      <c r="D872" s="258" t="s">
        <v>6239</v>
      </c>
      <c r="E872" s="258" t="s">
        <v>328</v>
      </c>
      <c r="F872" s="258" t="s">
        <v>6240</v>
      </c>
      <c r="G872" s="433" t="s">
        <v>6241</v>
      </c>
      <c r="H872" s="399">
        <v>2550</v>
      </c>
      <c r="I872" s="399"/>
      <c r="J872" s="350">
        <f t="shared" si="565"/>
        <v>2550</v>
      </c>
      <c r="K872" s="18">
        <v>7</v>
      </c>
      <c r="L872" s="350">
        <f t="shared" si="566"/>
        <v>17850</v>
      </c>
      <c r="M872" s="356">
        <f t="shared" si="567"/>
        <v>19635</v>
      </c>
      <c r="N872" s="258" t="s">
        <v>6224</v>
      </c>
      <c r="O872" s="456"/>
      <c r="P872" s="18" t="s">
        <v>2595</v>
      </c>
      <c r="Q872" s="18" t="s">
        <v>2595</v>
      </c>
      <c r="R872" s="18" t="s">
        <v>2595</v>
      </c>
      <c r="W872" s="354">
        <f t="shared" si="586"/>
        <v>1</v>
      </c>
      <c r="X872" s="355">
        <v>2550</v>
      </c>
      <c r="Y872" s="355">
        <v>7</v>
      </c>
      <c r="AA872" s="355">
        <f t="shared" si="588"/>
        <v>17850</v>
      </c>
    </row>
    <row r="873" spans="1:27" ht="21.75" customHeight="1" x14ac:dyDescent="0.4">
      <c r="A873" s="258">
        <v>46071</v>
      </c>
      <c r="B873" s="325" t="s">
        <v>6249</v>
      </c>
      <c r="C873" s="32" t="s">
        <v>4292</v>
      </c>
      <c r="D873" s="258" t="s">
        <v>6239</v>
      </c>
      <c r="E873" s="258" t="s">
        <v>332</v>
      </c>
      <c r="F873" s="258" t="s">
        <v>3555</v>
      </c>
      <c r="G873" s="433" t="s">
        <v>6243</v>
      </c>
      <c r="H873" s="399">
        <v>1020</v>
      </c>
      <c r="I873" s="399"/>
      <c r="J873" s="350">
        <f t="shared" ref="J873:J875" si="589">SUM(H873:I873)</f>
        <v>1020</v>
      </c>
      <c r="K873" s="18">
        <v>7</v>
      </c>
      <c r="L873" s="350">
        <f t="shared" ref="L873:L875" si="590">SUM(J873*K873)</f>
        <v>7140</v>
      </c>
      <c r="M873" s="356">
        <f t="shared" ref="M873:M875" si="591">ROUNDDOWN(L873*1.1,0)</f>
        <v>7854</v>
      </c>
      <c r="N873" s="258" t="s">
        <v>6224</v>
      </c>
      <c r="O873" s="456"/>
      <c r="P873" s="18" t="s">
        <v>2595</v>
      </c>
      <c r="Q873" s="18" t="s">
        <v>2595</v>
      </c>
      <c r="R873" s="18" t="s">
        <v>2595</v>
      </c>
      <c r="W873" s="354">
        <f t="shared" si="586"/>
        <v>1</v>
      </c>
      <c r="X873" s="355">
        <v>1020</v>
      </c>
      <c r="Y873" s="355">
        <v>7</v>
      </c>
      <c r="Z873" s="355">
        <v>7140</v>
      </c>
      <c r="AA873" s="355">
        <f t="shared" si="588"/>
        <v>0</v>
      </c>
    </row>
    <row r="874" spans="1:27" ht="21.75" customHeight="1" x14ac:dyDescent="0.4">
      <c r="A874" s="258">
        <v>46071</v>
      </c>
      <c r="B874" s="325" t="s">
        <v>6249</v>
      </c>
      <c r="C874" s="32" t="s">
        <v>4292</v>
      </c>
      <c r="D874" s="258" t="s">
        <v>6239</v>
      </c>
      <c r="E874" s="258" t="s">
        <v>332</v>
      </c>
      <c r="F874" s="258" t="s">
        <v>3555</v>
      </c>
      <c r="G874" s="433" t="s">
        <v>6244</v>
      </c>
      <c r="H874" s="399">
        <v>1020</v>
      </c>
      <c r="I874" s="399"/>
      <c r="J874" s="350">
        <f t="shared" si="589"/>
        <v>1020</v>
      </c>
      <c r="K874" s="18">
        <v>3</v>
      </c>
      <c r="L874" s="350">
        <f t="shared" si="590"/>
        <v>3060</v>
      </c>
      <c r="M874" s="356">
        <f t="shared" si="591"/>
        <v>3366</v>
      </c>
      <c r="N874" s="258" t="s">
        <v>6224</v>
      </c>
      <c r="O874" s="456"/>
      <c r="P874" s="18" t="s">
        <v>2595</v>
      </c>
      <c r="Q874" s="18" t="s">
        <v>2595</v>
      </c>
      <c r="R874" s="18" t="s">
        <v>2595</v>
      </c>
      <c r="W874" s="354">
        <f t="shared" si="586"/>
        <v>1</v>
      </c>
      <c r="X874" s="355">
        <v>1020</v>
      </c>
      <c r="Y874" s="355">
        <v>3</v>
      </c>
      <c r="Z874" s="355">
        <v>3060</v>
      </c>
      <c r="AA874" s="355">
        <f t="shared" si="588"/>
        <v>0</v>
      </c>
    </row>
    <row r="875" spans="1:27" ht="21.75" customHeight="1" x14ac:dyDescent="0.4">
      <c r="A875" s="258">
        <v>46071</v>
      </c>
      <c r="B875" s="325" t="s">
        <v>6249</v>
      </c>
      <c r="C875" s="32" t="s">
        <v>4292</v>
      </c>
      <c r="D875" s="258" t="s">
        <v>6239</v>
      </c>
      <c r="E875" s="258" t="s">
        <v>332</v>
      </c>
      <c r="F875" s="258" t="s">
        <v>6242</v>
      </c>
      <c r="G875" s="433" t="s">
        <v>6245</v>
      </c>
      <c r="H875" s="399">
        <v>1100</v>
      </c>
      <c r="I875" s="399"/>
      <c r="J875" s="350">
        <f t="shared" si="589"/>
        <v>1100</v>
      </c>
      <c r="K875" s="18">
        <v>3</v>
      </c>
      <c r="L875" s="350">
        <f t="shared" si="590"/>
        <v>3300</v>
      </c>
      <c r="M875" s="356">
        <f t="shared" si="591"/>
        <v>3630</v>
      </c>
      <c r="N875" s="258" t="s">
        <v>6224</v>
      </c>
      <c r="O875" s="456"/>
      <c r="P875" s="18" t="s">
        <v>2595</v>
      </c>
      <c r="Q875" s="18" t="s">
        <v>2595</v>
      </c>
      <c r="R875" s="18" t="s">
        <v>2595</v>
      </c>
      <c r="W875" s="354">
        <f t="shared" si="586"/>
        <v>1</v>
      </c>
      <c r="X875" s="355">
        <v>1100</v>
      </c>
      <c r="Y875" s="355">
        <v>3</v>
      </c>
      <c r="Z875" s="355">
        <v>3300</v>
      </c>
      <c r="AA875" s="355">
        <f t="shared" si="588"/>
        <v>0</v>
      </c>
    </row>
    <row r="876" spans="1:27" ht="21.75" customHeight="1" x14ac:dyDescent="0.4">
      <c r="A876" s="258">
        <v>46071</v>
      </c>
      <c r="B876" s="325" t="s">
        <v>6249</v>
      </c>
      <c r="C876" s="32" t="s">
        <v>4292</v>
      </c>
      <c r="D876" s="258" t="s">
        <v>6239</v>
      </c>
      <c r="E876" s="258" t="s">
        <v>6246</v>
      </c>
      <c r="F876" s="258" t="s">
        <v>6247</v>
      </c>
      <c r="G876" s="433" t="s">
        <v>6246</v>
      </c>
      <c r="H876" s="399">
        <v>280</v>
      </c>
      <c r="I876" s="399"/>
      <c r="J876" s="350">
        <f t="shared" si="565"/>
        <v>280</v>
      </c>
      <c r="K876" s="18">
        <v>7</v>
      </c>
      <c r="L876" s="350">
        <f t="shared" si="566"/>
        <v>1960</v>
      </c>
      <c r="M876" s="356">
        <f t="shared" si="567"/>
        <v>2156</v>
      </c>
      <c r="N876" s="258" t="s">
        <v>6224</v>
      </c>
      <c r="O876" s="456"/>
      <c r="P876" s="18" t="s">
        <v>2595</v>
      </c>
      <c r="Q876" s="18" t="s">
        <v>2595</v>
      </c>
      <c r="R876" s="18" t="s">
        <v>2595</v>
      </c>
      <c r="W876" s="354">
        <f t="shared" si="586"/>
        <v>1</v>
      </c>
      <c r="X876" s="355">
        <v>280</v>
      </c>
      <c r="Y876" s="355">
        <v>7</v>
      </c>
      <c r="Z876" s="355">
        <v>1960</v>
      </c>
      <c r="AA876" s="355">
        <f t="shared" si="588"/>
        <v>0</v>
      </c>
    </row>
    <row r="877" spans="1:27" ht="21.75" customHeight="1" x14ac:dyDescent="0.4">
      <c r="A877" s="258">
        <v>46071</v>
      </c>
      <c r="B877" s="325" t="s">
        <v>6249</v>
      </c>
      <c r="C877" s="32" t="s">
        <v>4292</v>
      </c>
      <c r="D877" s="258" t="s">
        <v>6239</v>
      </c>
      <c r="E877" s="258"/>
      <c r="F877" s="258"/>
      <c r="G877" s="433" t="s">
        <v>6248</v>
      </c>
      <c r="H877" s="399">
        <v>2950</v>
      </c>
      <c r="I877" s="399"/>
      <c r="J877" s="350">
        <f t="shared" si="565"/>
        <v>2950</v>
      </c>
      <c r="K877" s="18">
        <v>1</v>
      </c>
      <c r="L877" s="350">
        <f t="shared" si="566"/>
        <v>2950</v>
      </c>
      <c r="M877" s="356">
        <f t="shared" si="567"/>
        <v>3245</v>
      </c>
      <c r="N877" s="258" t="s">
        <v>6224</v>
      </c>
      <c r="O877" s="456"/>
      <c r="P877" s="18" t="s">
        <v>2595</v>
      </c>
      <c r="Q877" s="18" t="s">
        <v>2595</v>
      </c>
      <c r="R877" s="18" t="s">
        <v>2595</v>
      </c>
      <c r="S877" s="457"/>
      <c r="W877" s="354">
        <f t="shared" si="586"/>
        <v>0</v>
      </c>
      <c r="Y877" s="355">
        <v>1</v>
      </c>
      <c r="AA877" s="355">
        <f t="shared" si="588"/>
        <v>2950</v>
      </c>
    </row>
    <row r="878" spans="1:27" ht="21.75" customHeight="1" x14ac:dyDescent="0.4">
      <c r="A878" s="258">
        <v>46071</v>
      </c>
      <c r="B878" s="325" t="s">
        <v>1059</v>
      </c>
      <c r="C878" s="32" t="s">
        <v>2557</v>
      </c>
      <c r="D878" s="18" t="s">
        <v>27</v>
      </c>
      <c r="E878" s="242" t="s">
        <v>5237</v>
      </c>
      <c r="F878" s="258"/>
      <c r="G878" s="63" t="s">
        <v>364</v>
      </c>
      <c r="H878" s="350">
        <v>25000</v>
      </c>
      <c r="I878" s="399"/>
      <c r="J878" s="350">
        <f t="shared" ref="J878:J879" si="592">SUM(H878:I878)</f>
        <v>25000</v>
      </c>
      <c r="K878" s="18">
        <v>1</v>
      </c>
      <c r="L878" s="350">
        <f t="shared" ref="L878:L879" si="593">SUM(J878*K878)</f>
        <v>25000</v>
      </c>
      <c r="M878" s="356">
        <f t="shared" ref="M878:M879" si="594">ROUNDDOWN(L878*1.1,0)</f>
        <v>27500</v>
      </c>
      <c r="N878" s="18" t="s">
        <v>4233</v>
      </c>
      <c r="O878" s="456"/>
      <c r="R878" s="18" t="s">
        <v>4803</v>
      </c>
    </row>
    <row r="879" spans="1:27" ht="21.75" customHeight="1" x14ac:dyDescent="0.4">
      <c r="A879" s="258">
        <v>46071</v>
      </c>
      <c r="B879" s="325" t="s">
        <v>6270</v>
      </c>
      <c r="C879" s="32" t="s">
        <v>2557</v>
      </c>
      <c r="D879" s="18" t="s">
        <v>27</v>
      </c>
      <c r="E879" s="242" t="s">
        <v>5237</v>
      </c>
      <c r="F879" s="258"/>
      <c r="G879" s="63" t="s">
        <v>6032</v>
      </c>
      <c r="H879" s="399">
        <v>2500</v>
      </c>
      <c r="I879" s="399"/>
      <c r="J879" s="350">
        <f t="shared" si="592"/>
        <v>2500</v>
      </c>
      <c r="K879" s="18">
        <v>2</v>
      </c>
      <c r="L879" s="350">
        <f t="shared" si="593"/>
        <v>5000</v>
      </c>
      <c r="M879" s="356">
        <f t="shared" si="594"/>
        <v>5500</v>
      </c>
      <c r="N879" s="18" t="s">
        <v>4233</v>
      </c>
      <c r="O879" s="456"/>
      <c r="R879" s="18" t="s">
        <v>4803</v>
      </c>
    </row>
    <row r="880" spans="1:27" ht="21.75" customHeight="1" x14ac:dyDescent="0.4">
      <c r="A880" s="258">
        <v>46073</v>
      </c>
      <c r="B880" s="325" t="s">
        <v>6162</v>
      </c>
      <c r="C880" s="32" t="s">
        <v>6252</v>
      </c>
      <c r="D880" s="258" t="s">
        <v>6253</v>
      </c>
      <c r="E880" s="258" t="s">
        <v>328</v>
      </c>
      <c r="F880" s="258" t="s">
        <v>788</v>
      </c>
      <c r="G880" s="433" t="s">
        <v>6106</v>
      </c>
      <c r="H880" s="399">
        <v>45000</v>
      </c>
      <c r="I880" s="399">
        <v>-9000</v>
      </c>
      <c r="J880" s="350">
        <f t="shared" si="565"/>
        <v>36000</v>
      </c>
      <c r="K880" s="18">
        <v>1</v>
      </c>
      <c r="L880" s="350">
        <f t="shared" si="566"/>
        <v>36000</v>
      </c>
      <c r="M880" s="356">
        <f t="shared" si="567"/>
        <v>39600</v>
      </c>
      <c r="N880" s="258" t="s">
        <v>1121</v>
      </c>
      <c r="O880" s="456"/>
      <c r="P880" s="18" t="s">
        <v>6256</v>
      </c>
      <c r="Q880" s="18" t="s">
        <v>6256</v>
      </c>
      <c r="R880" s="18" t="s">
        <v>6258</v>
      </c>
      <c r="W880" s="354">
        <f t="shared" ref="W880:W881" si="595">X880/H880</f>
        <v>0.45</v>
      </c>
      <c r="X880" s="355">
        <v>20250</v>
      </c>
      <c r="Y880" s="355">
        <v>1</v>
      </c>
      <c r="Z880" s="355">
        <v>20250</v>
      </c>
      <c r="AA880" s="355">
        <f t="shared" ref="AA880:AA881" si="596">L880-Z880</f>
        <v>15750</v>
      </c>
    </row>
    <row r="881" spans="1:27" ht="21.75" customHeight="1" x14ac:dyDescent="0.4">
      <c r="A881" s="258">
        <v>46073</v>
      </c>
      <c r="B881" s="325" t="s">
        <v>6162</v>
      </c>
      <c r="C881" s="32" t="s">
        <v>6252</v>
      </c>
      <c r="D881" s="258" t="s">
        <v>6253</v>
      </c>
      <c r="E881" s="258" t="s">
        <v>332</v>
      </c>
      <c r="F881" s="18" t="s">
        <v>3550</v>
      </c>
      <c r="G881" s="63" t="s">
        <v>6254</v>
      </c>
      <c r="H881" s="399">
        <v>1800</v>
      </c>
      <c r="I881" s="399">
        <v>-180</v>
      </c>
      <c r="J881" s="350">
        <f t="shared" si="565"/>
        <v>1620</v>
      </c>
      <c r="K881" s="18">
        <v>1</v>
      </c>
      <c r="L881" s="350">
        <f t="shared" si="566"/>
        <v>1620</v>
      </c>
      <c r="M881" s="356">
        <f t="shared" si="567"/>
        <v>1782</v>
      </c>
      <c r="N881" s="258" t="s">
        <v>1121</v>
      </c>
      <c r="O881" s="456"/>
      <c r="Q881" s="18" t="s">
        <v>6256</v>
      </c>
      <c r="R881" s="18" t="s">
        <v>6258</v>
      </c>
      <c r="W881" s="354">
        <f t="shared" si="595"/>
        <v>0.6</v>
      </c>
      <c r="X881" s="355">
        <v>1080</v>
      </c>
      <c r="Y881" s="355">
        <v>1</v>
      </c>
      <c r="Z881" s="355">
        <v>1080</v>
      </c>
      <c r="AA881" s="355">
        <f t="shared" si="596"/>
        <v>540</v>
      </c>
    </row>
    <row r="882" spans="1:27" ht="21.75" customHeight="1" x14ac:dyDescent="0.4">
      <c r="A882" s="258">
        <v>46073</v>
      </c>
      <c r="B882" s="325" t="s">
        <v>6255</v>
      </c>
      <c r="C882" s="32" t="s">
        <v>405</v>
      </c>
      <c r="D882" s="18" t="s">
        <v>317</v>
      </c>
      <c r="E882" s="18" t="s">
        <v>28</v>
      </c>
      <c r="F882" s="18"/>
      <c r="G882" s="63" t="s">
        <v>5038</v>
      </c>
      <c r="H882" s="399">
        <v>5000</v>
      </c>
      <c r="I882" s="399"/>
      <c r="J882" s="350">
        <f t="shared" si="565"/>
        <v>5000</v>
      </c>
      <c r="K882" s="18">
        <v>1</v>
      </c>
      <c r="L882" s="350">
        <f t="shared" si="566"/>
        <v>5000</v>
      </c>
      <c r="M882" s="356">
        <f t="shared" si="567"/>
        <v>5500</v>
      </c>
      <c r="N882" s="18" t="s">
        <v>1516</v>
      </c>
      <c r="O882" s="456"/>
      <c r="P882" s="18" t="s">
        <v>6257</v>
      </c>
      <c r="Q882" s="18" t="s">
        <v>6257</v>
      </c>
      <c r="R882" s="18" t="s">
        <v>6258</v>
      </c>
      <c r="S882" s="457"/>
    </row>
    <row r="883" spans="1:27" ht="21.75" customHeight="1" x14ac:dyDescent="0.4">
      <c r="A883" s="258">
        <v>46073</v>
      </c>
      <c r="B883" s="325" t="s">
        <v>6259</v>
      </c>
      <c r="C883" s="32" t="s">
        <v>4292</v>
      </c>
      <c r="D883" s="258" t="s">
        <v>6260</v>
      </c>
      <c r="E883" s="258" t="s">
        <v>332</v>
      </c>
      <c r="F883" s="258" t="s">
        <v>3555</v>
      </c>
      <c r="G883" t="s">
        <v>6261</v>
      </c>
      <c r="H883" s="399">
        <v>1500</v>
      </c>
      <c r="I883" s="399">
        <v>-746</v>
      </c>
      <c r="J883" s="350">
        <f t="shared" si="565"/>
        <v>754</v>
      </c>
      <c r="K883" s="18">
        <v>1</v>
      </c>
      <c r="L883" s="350">
        <f t="shared" si="566"/>
        <v>754</v>
      </c>
      <c r="M883" s="356">
        <f t="shared" si="567"/>
        <v>829</v>
      </c>
      <c r="N883" s="18" t="s">
        <v>1516</v>
      </c>
      <c r="O883" s="456"/>
      <c r="P883" s="18" t="s">
        <v>5449</v>
      </c>
      <c r="Q883" s="18" t="s">
        <v>5449</v>
      </c>
      <c r="R883" s="18" t="s">
        <v>5449</v>
      </c>
      <c r="W883" s="354">
        <f>X883/H883</f>
        <v>0.50266666666666671</v>
      </c>
      <c r="X883" s="355">
        <v>754</v>
      </c>
      <c r="Y883" s="355">
        <v>1</v>
      </c>
      <c r="Z883" s="355">
        <f t="shared" ref="Z883" si="597">X883*Y883</f>
        <v>754</v>
      </c>
      <c r="AA883" s="355">
        <f t="shared" ref="AA883:AA884" si="598">L883-Z883</f>
        <v>0</v>
      </c>
    </row>
    <row r="884" spans="1:27" ht="21.75" customHeight="1" x14ac:dyDescent="0.4">
      <c r="A884" s="258">
        <v>46073</v>
      </c>
      <c r="B884" s="325" t="s">
        <v>6262</v>
      </c>
      <c r="C884" s="32" t="s">
        <v>6263</v>
      </c>
      <c r="D884" s="258" t="s">
        <v>6264</v>
      </c>
      <c r="E884" s="258" t="s">
        <v>332</v>
      </c>
      <c r="F884" s="258" t="s">
        <v>6265</v>
      </c>
      <c r="G884" s="433" t="s">
        <v>6266</v>
      </c>
      <c r="H884" s="399">
        <v>3800</v>
      </c>
      <c r="I884" s="399"/>
      <c r="J884" s="350">
        <f t="shared" si="565"/>
        <v>3800</v>
      </c>
      <c r="K884" s="18">
        <v>1</v>
      </c>
      <c r="L884" s="350">
        <f t="shared" si="566"/>
        <v>3800</v>
      </c>
      <c r="M884" s="356">
        <f t="shared" si="567"/>
        <v>4180</v>
      </c>
      <c r="N884" s="258" t="s">
        <v>6267</v>
      </c>
      <c r="O884" s="456"/>
      <c r="P884" s="18" t="s">
        <v>6268</v>
      </c>
      <c r="Q884" s="18" t="s">
        <v>6268</v>
      </c>
      <c r="R884" s="18" t="s">
        <v>6268</v>
      </c>
      <c r="W884" s="354">
        <f t="shared" ref="W884" si="599">X884/H884</f>
        <v>0.57999999999999996</v>
      </c>
      <c r="X884" s="355">
        <v>2204</v>
      </c>
      <c r="Y884" s="355">
        <v>1</v>
      </c>
      <c r="Z884" s="355">
        <v>2204</v>
      </c>
      <c r="AA884" s="355">
        <f t="shared" si="598"/>
        <v>1596</v>
      </c>
    </row>
    <row r="885" spans="1:27" ht="21.75" customHeight="1" x14ac:dyDescent="0.4">
      <c r="A885" s="258">
        <v>46074</v>
      </c>
      <c r="B885" s="325" t="s">
        <v>5023</v>
      </c>
      <c r="C885" s="32" t="s">
        <v>2557</v>
      </c>
      <c r="D885" s="258" t="s">
        <v>22</v>
      </c>
      <c r="E885" s="258" t="s">
        <v>1496</v>
      </c>
      <c r="F885" s="258"/>
      <c r="G885" s="63" t="s">
        <v>4869</v>
      </c>
      <c r="H885" s="399">
        <v>2000</v>
      </c>
      <c r="I885" s="399"/>
      <c r="J885" s="350">
        <f t="shared" ref="J885" si="600">SUM(H885:I885)</f>
        <v>2000</v>
      </c>
      <c r="K885" s="18">
        <v>1</v>
      </c>
      <c r="L885" s="350">
        <f t="shared" ref="L885" si="601">SUM(J885*K885)</f>
        <v>2000</v>
      </c>
      <c r="M885" s="356">
        <f t="shared" ref="M885" si="602">ROUNDDOWN(L885*1.1,0)</f>
        <v>2200</v>
      </c>
      <c r="N885" s="258" t="s">
        <v>20</v>
      </c>
      <c r="O885" s="433"/>
      <c r="P885" s="18" t="s">
        <v>5449</v>
      </c>
      <c r="Q885" s="18" t="s">
        <v>5449</v>
      </c>
      <c r="R885" s="18" t="s">
        <v>5449</v>
      </c>
      <c r="S885" s="458"/>
    </row>
    <row r="886" spans="1:27" ht="21.75" customHeight="1" x14ac:dyDescent="0.4">
      <c r="A886" s="258">
        <v>46075</v>
      </c>
      <c r="B886" s="325" t="s">
        <v>4774</v>
      </c>
      <c r="C886" s="32" t="s">
        <v>2557</v>
      </c>
      <c r="D886" s="18" t="s">
        <v>27</v>
      </c>
      <c r="E886" s="18" t="s">
        <v>4409</v>
      </c>
      <c r="F886" s="258"/>
      <c r="G886" s="63" t="s">
        <v>6269</v>
      </c>
      <c r="H886" s="399">
        <v>17500</v>
      </c>
      <c r="I886" s="399"/>
      <c r="J886" s="350">
        <f t="shared" si="565"/>
        <v>17500</v>
      </c>
      <c r="K886" s="18">
        <v>1</v>
      </c>
      <c r="L886" s="350">
        <f t="shared" si="566"/>
        <v>17500</v>
      </c>
      <c r="M886" s="356">
        <f t="shared" si="567"/>
        <v>19250</v>
      </c>
      <c r="N886" s="258" t="s">
        <v>20</v>
      </c>
      <c r="O886" s="454" t="s">
        <v>6182</v>
      </c>
      <c r="P886" s="18" t="s">
        <v>2594</v>
      </c>
      <c r="Q886" s="18" t="s">
        <v>2594</v>
      </c>
      <c r="R886" s="18" t="s">
        <v>2594</v>
      </c>
      <c r="S886" s="457"/>
    </row>
    <row r="887" spans="1:27" ht="21.75" customHeight="1" x14ac:dyDescent="0.4">
      <c r="A887" s="258">
        <v>46078</v>
      </c>
      <c r="B887" s="325" t="s">
        <v>148</v>
      </c>
      <c r="C887" s="32" t="s">
        <v>2557</v>
      </c>
      <c r="D887" s="18" t="s">
        <v>27</v>
      </c>
      <c r="E887" s="18" t="s">
        <v>4409</v>
      </c>
      <c r="F887" s="258"/>
      <c r="G887" s="63" t="s">
        <v>6269</v>
      </c>
      <c r="H887" s="399">
        <v>17500</v>
      </c>
      <c r="I887" s="399"/>
      <c r="J887" s="350">
        <f t="shared" ref="J887:J889" si="603">SUM(H887:I887)</f>
        <v>17500</v>
      </c>
      <c r="K887" s="18">
        <v>1</v>
      </c>
      <c r="L887" s="350">
        <f t="shared" ref="L887:L889" si="604">SUM(J887*K887)</f>
        <v>17500</v>
      </c>
      <c r="M887" s="356">
        <f t="shared" ref="M887:M889" si="605">ROUNDDOWN(L887*1.1,0)</f>
        <v>19250</v>
      </c>
      <c r="N887" s="258" t="s">
        <v>20</v>
      </c>
      <c r="O887" s="454" t="s">
        <v>6182</v>
      </c>
      <c r="Q887" s="18" t="s">
        <v>6273</v>
      </c>
      <c r="R887" s="18" t="s">
        <v>6272</v>
      </c>
      <c r="S887" s="458"/>
    </row>
    <row r="888" spans="1:27" ht="21.75" customHeight="1" x14ac:dyDescent="0.4">
      <c r="A888" s="258">
        <v>46078</v>
      </c>
      <c r="B888" s="325" t="s">
        <v>6423</v>
      </c>
      <c r="C888" s="32" t="s">
        <v>405</v>
      </c>
      <c r="D888" s="18" t="s">
        <v>6424</v>
      </c>
      <c r="E888" s="18" t="s">
        <v>1442</v>
      </c>
      <c r="F888" s="258" t="s">
        <v>6350</v>
      </c>
      <c r="G888" s="63" t="s">
        <v>6351</v>
      </c>
      <c r="H888" s="399"/>
      <c r="I888" s="399"/>
      <c r="J888" s="350"/>
      <c r="K888" s="18"/>
      <c r="L888" s="350"/>
      <c r="M888" s="356"/>
      <c r="N888" s="258"/>
      <c r="O888" s="454"/>
      <c r="S888" s="458"/>
      <c r="AA888" s="355">
        <f>L888-Z888</f>
        <v>0</v>
      </c>
    </row>
    <row r="889" spans="1:27" ht="21.75" customHeight="1" x14ac:dyDescent="0.4">
      <c r="A889" s="258">
        <v>46079</v>
      </c>
      <c r="B889" s="325" t="s">
        <v>5069</v>
      </c>
      <c r="C889" s="32" t="s">
        <v>2557</v>
      </c>
      <c r="D889" s="258" t="s">
        <v>22</v>
      </c>
      <c r="E889" s="258" t="s">
        <v>1496</v>
      </c>
      <c r="F889" s="258"/>
      <c r="G889" s="63" t="s">
        <v>4869</v>
      </c>
      <c r="H889" s="399">
        <v>2000</v>
      </c>
      <c r="I889" s="399"/>
      <c r="J889" s="350">
        <f t="shared" si="603"/>
        <v>2000</v>
      </c>
      <c r="K889" s="18">
        <v>1</v>
      </c>
      <c r="L889" s="350">
        <f t="shared" si="604"/>
        <v>2000</v>
      </c>
      <c r="M889" s="356">
        <f t="shared" si="605"/>
        <v>2200</v>
      </c>
      <c r="N889" s="258" t="s">
        <v>1516</v>
      </c>
      <c r="O889" s="456"/>
      <c r="P889" s="18" t="s">
        <v>6274</v>
      </c>
      <c r="Q889" s="18" t="s">
        <v>6274</v>
      </c>
      <c r="R889" s="18" t="s">
        <v>6272</v>
      </c>
      <c r="S889" s="457"/>
    </row>
    <row r="890" spans="1:27" ht="21.75" customHeight="1" x14ac:dyDescent="0.4">
      <c r="A890" s="258">
        <v>46081</v>
      </c>
      <c r="B890" s="325" t="s">
        <v>6204</v>
      </c>
      <c r="C890" s="32" t="s">
        <v>4313</v>
      </c>
      <c r="D890" s="258" t="s">
        <v>22</v>
      </c>
      <c r="E890" s="258" t="s">
        <v>1496</v>
      </c>
      <c r="F890" s="258"/>
      <c r="G890" s="433" t="s">
        <v>6186</v>
      </c>
      <c r="H890" s="399">
        <v>3000</v>
      </c>
      <c r="I890" s="399"/>
      <c r="J890" s="350">
        <v>3000</v>
      </c>
      <c r="K890" s="18">
        <v>1</v>
      </c>
      <c r="L890" s="350">
        <v>3000</v>
      </c>
      <c r="M890" s="356">
        <v>3300</v>
      </c>
      <c r="N890" s="258" t="s">
        <v>20</v>
      </c>
      <c r="O890" s="456"/>
      <c r="P890" s="18" t="s">
        <v>6275</v>
      </c>
      <c r="Q890" s="18" t="s">
        <v>2595</v>
      </c>
      <c r="R890" s="18" t="s">
        <v>2595</v>
      </c>
    </row>
    <row r="891" spans="1:27" ht="21.75" customHeight="1" x14ac:dyDescent="0.4">
      <c r="A891" s="258">
        <v>46081</v>
      </c>
      <c r="B891" s="325" t="s">
        <v>6276</v>
      </c>
      <c r="C891" s="32" t="s">
        <v>2557</v>
      </c>
      <c r="D891" s="258" t="s">
        <v>6277</v>
      </c>
      <c r="E891" s="258" t="s">
        <v>332</v>
      </c>
      <c r="F891" s="258" t="s">
        <v>3555</v>
      </c>
      <c r="G891" s="433" t="s">
        <v>6044</v>
      </c>
      <c r="H891" s="399">
        <v>1500</v>
      </c>
      <c r="I891" s="399">
        <v>-150</v>
      </c>
      <c r="J891" s="350">
        <f t="shared" si="565"/>
        <v>1350</v>
      </c>
      <c r="K891" s="18">
        <v>1</v>
      </c>
      <c r="L891" s="350">
        <f t="shared" si="566"/>
        <v>1350</v>
      </c>
      <c r="M891" s="356">
        <f t="shared" si="567"/>
        <v>1485</v>
      </c>
      <c r="N891" s="258" t="s">
        <v>1121</v>
      </c>
      <c r="O891" s="456"/>
      <c r="P891" s="18" t="s">
        <v>2595</v>
      </c>
      <c r="Q891" s="18" t="s">
        <v>2595</v>
      </c>
      <c r="R891" s="18" t="s">
        <v>2595</v>
      </c>
      <c r="S891" s="457"/>
      <c r="W891" s="354">
        <f t="shared" ref="W891:W899" si="606">X891/H891</f>
        <v>0.50266666666666671</v>
      </c>
      <c r="X891" s="355">
        <v>754</v>
      </c>
      <c r="Y891" s="355">
        <v>1</v>
      </c>
      <c r="Z891" s="355">
        <v>754</v>
      </c>
      <c r="AA891" s="355">
        <f t="shared" ref="AA891:AA897" si="607">L891-Z891</f>
        <v>596</v>
      </c>
    </row>
    <row r="892" spans="1:27" ht="21.75" customHeight="1" x14ac:dyDescent="0.4">
      <c r="A892" s="258">
        <v>46082</v>
      </c>
      <c r="B892" s="325" t="s">
        <v>6278</v>
      </c>
      <c r="C892" s="32" t="s">
        <v>4313</v>
      </c>
      <c r="D892" s="258" t="s">
        <v>17</v>
      </c>
      <c r="E892" s="258" t="s">
        <v>328</v>
      </c>
      <c r="F892" s="258" t="s">
        <v>6279</v>
      </c>
      <c r="G892" s="433" t="s">
        <v>6281</v>
      </c>
      <c r="H892" s="399">
        <v>50000</v>
      </c>
      <c r="I892" s="399">
        <v>-15000</v>
      </c>
      <c r="J892" s="350">
        <f t="shared" si="565"/>
        <v>35000</v>
      </c>
      <c r="K892" s="18">
        <v>1</v>
      </c>
      <c r="L892" s="350">
        <f t="shared" si="566"/>
        <v>35000</v>
      </c>
      <c r="M892" s="356">
        <f>ROUNDDOWN(L892*1.1,0)</f>
        <v>38500</v>
      </c>
      <c r="N892" s="258" t="s">
        <v>1121</v>
      </c>
      <c r="O892" s="456"/>
      <c r="P892" s="18" t="s">
        <v>2594</v>
      </c>
      <c r="Q892" s="18" t="s">
        <v>2594</v>
      </c>
      <c r="R892" s="18" t="s">
        <v>2594</v>
      </c>
      <c r="W892" s="354">
        <f t="shared" si="606"/>
        <v>0.45</v>
      </c>
      <c r="X892" s="355">
        <v>22500</v>
      </c>
      <c r="Y892" s="355">
        <v>1</v>
      </c>
      <c r="Z892" s="355">
        <v>22500</v>
      </c>
      <c r="AA892" s="355">
        <f t="shared" si="607"/>
        <v>12500</v>
      </c>
    </row>
    <row r="893" spans="1:27" ht="21.75" customHeight="1" x14ac:dyDescent="0.4">
      <c r="A893" s="258">
        <v>46082</v>
      </c>
      <c r="B893" s="325" t="s">
        <v>6278</v>
      </c>
      <c r="C893" s="32" t="s">
        <v>4313</v>
      </c>
      <c r="D893" s="258" t="s">
        <v>17</v>
      </c>
      <c r="E893" s="258" t="s">
        <v>328</v>
      </c>
      <c r="F893" s="258" t="s">
        <v>6279</v>
      </c>
      <c r="G893" s="433" t="s">
        <v>6280</v>
      </c>
      <c r="H893" s="399">
        <v>50000</v>
      </c>
      <c r="I893" s="399">
        <v>-15000</v>
      </c>
      <c r="J893" s="350">
        <f t="shared" si="565"/>
        <v>35000</v>
      </c>
      <c r="K893" s="18">
        <v>1</v>
      </c>
      <c r="L893" s="350">
        <f t="shared" si="566"/>
        <v>35000</v>
      </c>
      <c r="M893" s="356">
        <f t="shared" si="567"/>
        <v>38500</v>
      </c>
      <c r="N893" s="258" t="s">
        <v>1121</v>
      </c>
      <c r="O893" s="456"/>
      <c r="P893" s="18" t="s">
        <v>2594</v>
      </c>
      <c r="Q893" s="18" t="s">
        <v>2594</v>
      </c>
      <c r="R893" s="18" t="s">
        <v>2594</v>
      </c>
      <c r="W893" s="354">
        <f t="shared" si="606"/>
        <v>0.45</v>
      </c>
      <c r="X893" s="355">
        <v>22500</v>
      </c>
      <c r="Y893" s="355">
        <v>1</v>
      </c>
      <c r="Z893" s="355">
        <v>22500</v>
      </c>
      <c r="AA893" s="355">
        <f t="shared" si="607"/>
        <v>12500</v>
      </c>
    </row>
    <row r="894" spans="1:27" ht="21.75" customHeight="1" x14ac:dyDescent="0.4">
      <c r="A894" s="258">
        <v>46082</v>
      </c>
      <c r="B894" s="325" t="s">
        <v>6278</v>
      </c>
      <c r="C894" s="32" t="s">
        <v>4313</v>
      </c>
      <c r="D894" s="258" t="s">
        <v>17</v>
      </c>
      <c r="E894" s="258" t="s">
        <v>328</v>
      </c>
      <c r="F894" s="258" t="s">
        <v>6279</v>
      </c>
      <c r="G894" s="433" t="s">
        <v>6282</v>
      </c>
      <c r="H894" s="399">
        <v>20000</v>
      </c>
      <c r="I894" s="399">
        <v>-6000</v>
      </c>
      <c r="J894" s="350">
        <f t="shared" si="565"/>
        <v>14000</v>
      </c>
      <c r="K894" s="18">
        <v>1</v>
      </c>
      <c r="L894" s="350">
        <f t="shared" si="566"/>
        <v>14000</v>
      </c>
      <c r="M894" s="356">
        <f t="shared" si="567"/>
        <v>15400</v>
      </c>
      <c r="N894" s="258" t="s">
        <v>1121</v>
      </c>
      <c r="O894" s="456"/>
      <c r="P894" s="18" t="s">
        <v>2594</v>
      </c>
      <c r="Q894" s="18" t="s">
        <v>2594</v>
      </c>
      <c r="R894" s="18" t="s">
        <v>2594</v>
      </c>
      <c r="W894" s="354">
        <f t="shared" si="606"/>
        <v>0.45</v>
      </c>
      <c r="X894" s="355">
        <v>9000</v>
      </c>
      <c r="Y894" s="355">
        <v>1</v>
      </c>
      <c r="Z894" s="355">
        <v>9000</v>
      </c>
      <c r="AA894" s="355">
        <f t="shared" si="607"/>
        <v>5000</v>
      </c>
    </row>
    <row r="895" spans="1:27" ht="21.75" customHeight="1" x14ac:dyDescent="0.4">
      <c r="A895" s="258">
        <v>46082</v>
      </c>
      <c r="B895" s="325" t="s">
        <v>6278</v>
      </c>
      <c r="C895" s="32" t="s">
        <v>4313</v>
      </c>
      <c r="D895" s="258" t="s">
        <v>17</v>
      </c>
      <c r="E895" s="258" t="s">
        <v>332</v>
      </c>
      <c r="F895" s="258" t="s">
        <v>3555</v>
      </c>
      <c r="G895" s="7" t="s">
        <v>6283</v>
      </c>
      <c r="H895" s="399">
        <v>1500</v>
      </c>
      <c r="I895" s="399"/>
      <c r="J895" s="350">
        <f t="shared" si="565"/>
        <v>1500</v>
      </c>
      <c r="K895" s="18">
        <v>2</v>
      </c>
      <c r="L895" s="350">
        <f t="shared" si="566"/>
        <v>3000</v>
      </c>
      <c r="M895" s="356">
        <f t="shared" si="567"/>
        <v>3300</v>
      </c>
      <c r="N895" s="258" t="s">
        <v>1121</v>
      </c>
      <c r="O895" s="456"/>
      <c r="P895" s="18" t="s">
        <v>2594</v>
      </c>
      <c r="Q895" s="18" t="s">
        <v>2594</v>
      </c>
      <c r="R895" s="18" t="s">
        <v>2594</v>
      </c>
      <c r="W895" s="354">
        <f t="shared" si="606"/>
        <v>0.50266666666666671</v>
      </c>
      <c r="X895" s="355">
        <v>754</v>
      </c>
      <c r="Y895" s="355">
        <v>2</v>
      </c>
      <c r="Z895" s="355">
        <v>1508</v>
      </c>
      <c r="AA895" s="355">
        <f t="shared" si="607"/>
        <v>1492</v>
      </c>
    </row>
    <row r="896" spans="1:27" ht="21.75" customHeight="1" x14ac:dyDescent="0.4">
      <c r="A896" s="258">
        <v>46082</v>
      </c>
      <c r="B896" s="325" t="s">
        <v>6278</v>
      </c>
      <c r="C896" s="32" t="s">
        <v>4313</v>
      </c>
      <c r="D896" s="258" t="s">
        <v>17</v>
      </c>
      <c r="E896" s="258" t="s">
        <v>332</v>
      </c>
      <c r="F896" s="258" t="s">
        <v>3555</v>
      </c>
      <c r="G896" s="7" t="s">
        <v>6189</v>
      </c>
      <c r="H896" s="399">
        <v>1500</v>
      </c>
      <c r="I896" s="399"/>
      <c r="J896" s="350">
        <f t="shared" si="565"/>
        <v>1500</v>
      </c>
      <c r="K896" s="18">
        <v>1</v>
      </c>
      <c r="L896" s="350">
        <f t="shared" si="566"/>
        <v>1500</v>
      </c>
      <c r="M896" s="356">
        <f t="shared" si="567"/>
        <v>1650</v>
      </c>
      <c r="N896" s="258" t="s">
        <v>1121</v>
      </c>
      <c r="O896" s="456"/>
      <c r="P896" s="18" t="s">
        <v>2594</v>
      </c>
      <c r="Q896" s="18" t="s">
        <v>2594</v>
      </c>
      <c r="R896" s="18" t="s">
        <v>2594</v>
      </c>
      <c r="W896" s="354">
        <f t="shared" si="606"/>
        <v>0.50266666666666671</v>
      </c>
      <c r="X896" s="355">
        <v>754</v>
      </c>
      <c r="Y896" s="355">
        <v>1</v>
      </c>
      <c r="Z896" s="355">
        <v>754</v>
      </c>
      <c r="AA896" s="355">
        <f t="shared" si="607"/>
        <v>746</v>
      </c>
    </row>
    <row r="897" spans="1:27" ht="21.75" customHeight="1" x14ac:dyDescent="0.4">
      <c r="A897" s="258">
        <v>46083</v>
      </c>
      <c r="B897" s="325" t="s">
        <v>6284</v>
      </c>
      <c r="C897" s="32" t="s">
        <v>6285</v>
      </c>
      <c r="D897" s="258" t="s">
        <v>6286</v>
      </c>
      <c r="E897" s="258" t="s">
        <v>332</v>
      </c>
      <c r="F897" s="258" t="s">
        <v>3555</v>
      </c>
      <c r="G897" t="s">
        <v>6287</v>
      </c>
      <c r="H897" s="399">
        <v>2100</v>
      </c>
      <c r="I897" s="399">
        <v>-210</v>
      </c>
      <c r="J897" s="350">
        <f t="shared" si="565"/>
        <v>1890</v>
      </c>
      <c r="K897" s="18">
        <v>1</v>
      </c>
      <c r="L897" s="350">
        <f t="shared" si="566"/>
        <v>1890</v>
      </c>
      <c r="M897" s="356">
        <f t="shared" si="567"/>
        <v>2079</v>
      </c>
      <c r="N897" s="258" t="s">
        <v>1516</v>
      </c>
      <c r="O897" s="456"/>
      <c r="P897" s="18" t="s">
        <v>2595</v>
      </c>
      <c r="Q897" s="18" t="s">
        <v>2595</v>
      </c>
      <c r="R897" s="18" t="s">
        <v>5449</v>
      </c>
      <c r="W897" s="354">
        <f t="shared" si="606"/>
        <v>0.52476190476190476</v>
      </c>
      <c r="X897" s="355">
        <v>1102</v>
      </c>
      <c r="Y897" s="355">
        <v>1</v>
      </c>
      <c r="Z897" s="355">
        <v>1102</v>
      </c>
      <c r="AA897" s="355">
        <f t="shared" si="607"/>
        <v>788</v>
      </c>
    </row>
    <row r="898" spans="1:27" ht="21.75" customHeight="1" x14ac:dyDescent="0.4">
      <c r="A898" s="258">
        <v>46083</v>
      </c>
      <c r="B898" s="325" t="s">
        <v>3424</v>
      </c>
      <c r="C898" s="32" t="s">
        <v>6288</v>
      </c>
      <c r="D898" s="258" t="s">
        <v>22</v>
      </c>
      <c r="E898" s="258" t="s">
        <v>1496</v>
      </c>
      <c r="F898" s="258"/>
      <c r="G898" s="63" t="s">
        <v>4869</v>
      </c>
      <c r="H898" s="399">
        <v>2000</v>
      </c>
      <c r="I898" s="399"/>
      <c r="J898" s="350">
        <f t="shared" ref="J898" si="608">SUM(H898:I898)</f>
        <v>2000</v>
      </c>
      <c r="K898" s="18">
        <v>2</v>
      </c>
      <c r="L898" s="350">
        <f t="shared" si="566"/>
        <v>4000</v>
      </c>
      <c r="M898" s="356">
        <f t="shared" si="567"/>
        <v>4400</v>
      </c>
      <c r="N898" s="258" t="s">
        <v>1516</v>
      </c>
      <c r="O898" s="456"/>
      <c r="P898" s="18" t="s">
        <v>5449</v>
      </c>
      <c r="Q898" s="18" t="s">
        <v>5449</v>
      </c>
      <c r="R898" s="18" t="s">
        <v>5449</v>
      </c>
      <c r="S898" s="458"/>
    </row>
    <row r="899" spans="1:27" ht="21.75" customHeight="1" x14ac:dyDescent="0.4">
      <c r="A899" s="258">
        <v>46083</v>
      </c>
      <c r="B899" s="325" t="s">
        <v>5978</v>
      </c>
      <c r="C899" s="32" t="s">
        <v>6288</v>
      </c>
      <c r="D899" s="258" t="s">
        <v>17</v>
      </c>
      <c r="E899" s="258" t="s">
        <v>332</v>
      </c>
      <c r="F899" s="258" t="s">
        <v>3553</v>
      </c>
      <c r="G899" s="63" t="s">
        <v>5613</v>
      </c>
      <c r="H899" s="399">
        <v>1800</v>
      </c>
      <c r="I899" s="399">
        <v>-180</v>
      </c>
      <c r="J899" s="350">
        <f t="shared" si="565"/>
        <v>1620</v>
      </c>
      <c r="K899" s="18">
        <v>1</v>
      </c>
      <c r="L899" s="350">
        <f t="shared" si="566"/>
        <v>1620</v>
      </c>
      <c r="M899" s="356">
        <f t="shared" si="567"/>
        <v>1782</v>
      </c>
      <c r="N899" s="258" t="s">
        <v>1121</v>
      </c>
      <c r="O899" s="456"/>
      <c r="P899" s="18" t="s">
        <v>2595</v>
      </c>
      <c r="Q899" s="18" t="s">
        <v>2595</v>
      </c>
      <c r="R899" s="18" t="s">
        <v>5449</v>
      </c>
      <c r="S899" s="458"/>
      <c r="W899" s="354">
        <f t="shared" si="606"/>
        <v>0.5</v>
      </c>
      <c r="X899" s="355">
        <v>900</v>
      </c>
      <c r="Y899" s="355">
        <v>1</v>
      </c>
      <c r="Z899" s="355">
        <v>900</v>
      </c>
      <c r="AA899" s="355">
        <f>L899-Z899</f>
        <v>720</v>
      </c>
    </row>
    <row r="900" spans="1:27" ht="21.75" customHeight="1" x14ac:dyDescent="0.4">
      <c r="A900" s="258">
        <v>46084</v>
      </c>
      <c r="B900" s="325" t="s">
        <v>6289</v>
      </c>
      <c r="C900" s="32" t="s">
        <v>2557</v>
      </c>
      <c r="D900" s="18" t="s">
        <v>27</v>
      </c>
      <c r="E900" s="18" t="s">
        <v>4409</v>
      </c>
      <c r="F900" s="258"/>
      <c r="G900" s="63" t="s">
        <v>6290</v>
      </c>
      <c r="H900" s="399">
        <v>22500</v>
      </c>
      <c r="I900" s="399"/>
      <c r="J900" s="350">
        <f t="shared" si="565"/>
        <v>22500</v>
      </c>
      <c r="K900" s="18">
        <v>1</v>
      </c>
      <c r="L900" s="350">
        <f t="shared" si="566"/>
        <v>22500</v>
      </c>
      <c r="M900" s="356">
        <f t="shared" si="567"/>
        <v>24750</v>
      </c>
      <c r="N900" s="258" t="s">
        <v>1516</v>
      </c>
      <c r="O900" s="454" t="s">
        <v>6182</v>
      </c>
      <c r="Q900" s="18" t="s">
        <v>6291</v>
      </c>
      <c r="R900" s="18" t="s">
        <v>6291</v>
      </c>
      <c r="S900" s="457"/>
    </row>
    <row r="901" spans="1:27" ht="21.75" customHeight="1" x14ac:dyDescent="0.4">
      <c r="A901" s="258">
        <v>46085</v>
      </c>
      <c r="B901" s="325" t="s">
        <v>6292</v>
      </c>
      <c r="C901" s="32" t="s">
        <v>6293</v>
      </c>
      <c r="D901" s="18" t="s">
        <v>27</v>
      </c>
      <c r="E901" s="18" t="s">
        <v>28</v>
      </c>
      <c r="F901" s="18"/>
      <c r="G901" s="63" t="s">
        <v>5038</v>
      </c>
      <c r="H901" s="399">
        <v>5000</v>
      </c>
      <c r="I901" s="399"/>
      <c r="J901" s="350">
        <f t="shared" si="565"/>
        <v>5000</v>
      </c>
      <c r="K901" s="18">
        <v>1</v>
      </c>
      <c r="L901" s="350">
        <f t="shared" si="566"/>
        <v>5000</v>
      </c>
      <c r="M901" s="356">
        <f t="shared" si="567"/>
        <v>5500</v>
      </c>
      <c r="N901" s="258" t="s">
        <v>1516</v>
      </c>
      <c r="O901" s="456"/>
      <c r="P901" s="18" t="s">
        <v>2594</v>
      </c>
      <c r="Q901" s="18" t="s">
        <v>2594</v>
      </c>
      <c r="R901" s="18" t="s">
        <v>2594</v>
      </c>
    </row>
    <row r="902" spans="1:27" ht="21.75" customHeight="1" x14ac:dyDescent="0.4">
      <c r="A902" s="258">
        <v>46085</v>
      </c>
      <c r="B902" s="325" t="s">
        <v>6294</v>
      </c>
      <c r="C902" s="32" t="s">
        <v>2557</v>
      </c>
      <c r="D902" s="18" t="s">
        <v>27</v>
      </c>
      <c r="E902" s="18" t="s">
        <v>4409</v>
      </c>
      <c r="F902" s="258"/>
      <c r="G902" s="63" t="s">
        <v>6290</v>
      </c>
      <c r="H902" s="399">
        <v>22500</v>
      </c>
      <c r="I902" s="399"/>
      <c r="J902" s="350">
        <f t="shared" si="565"/>
        <v>22500</v>
      </c>
      <c r="K902" s="18">
        <v>1</v>
      </c>
      <c r="L902" s="350">
        <f t="shared" si="566"/>
        <v>22500</v>
      </c>
      <c r="M902" s="356">
        <f t="shared" si="567"/>
        <v>24750</v>
      </c>
      <c r="N902" s="258" t="s">
        <v>1516</v>
      </c>
      <c r="O902" s="454" t="s">
        <v>6182</v>
      </c>
      <c r="P902" s="18" t="s">
        <v>2594</v>
      </c>
      <c r="Q902" s="18" t="s">
        <v>2594</v>
      </c>
      <c r="R902" s="18" t="s">
        <v>2594</v>
      </c>
    </row>
    <row r="903" spans="1:27" ht="21.75" customHeight="1" x14ac:dyDescent="0.4">
      <c r="A903" s="258">
        <v>46085</v>
      </c>
      <c r="B903" s="325" t="s">
        <v>6295</v>
      </c>
      <c r="C903" s="32" t="s">
        <v>2557</v>
      </c>
      <c r="D903" s="258" t="s">
        <v>17</v>
      </c>
      <c r="E903" s="258" t="s">
        <v>332</v>
      </c>
      <c r="F903" s="258" t="s">
        <v>3555</v>
      </c>
      <c r="G903" s="7" t="s">
        <v>6296</v>
      </c>
      <c r="H903" s="399">
        <v>2100</v>
      </c>
      <c r="I903" s="399">
        <v>-210</v>
      </c>
      <c r="J903" s="350">
        <f t="shared" si="565"/>
        <v>1890</v>
      </c>
      <c r="K903" s="18">
        <v>5</v>
      </c>
      <c r="L903" s="350">
        <f t="shared" si="566"/>
        <v>9450</v>
      </c>
      <c r="M903" s="356">
        <f t="shared" si="567"/>
        <v>10395</v>
      </c>
      <c r="N903" s="258" t="s">
        <v>1516</v>
      </c>
      <c r="O903" s="456"/>
      <c r="P903" s="18" t="s">
        <v>2594</v>
      </c>
      <c r="Q903" s="18" t="s">
        <v>2594</v>
      </c>
      <c r="R903" s="18" t="s">
        <v>2594</v>
      </c>
      <c r="W903" s="354">
        <f t="shared" ref="W903" si="609">X903/H903</f>
        <v>0.52476190476190476</v>
      </c>
      <c r="X903" s="355">
        <v>1102</v>
      </c>
      <c r="Y903" s="355">
        <v>5</v>
      </c>
      <c r="Z903" s="355">
        <v>1102</v>
      </c>
      <c r="AA903" s="355">
        <f>L903-Z903</f>
        <v>8348</v>
      </c>
    </row>
    <row r="904" spans="1:27" ht="21.75" customHeight="1" x14ac:dyDescent="0.4">
      <c r="A904" s="258">
        <v>46085</v>
      </c>
      <c r="B904" s="325" t="s">
        <v>6297</v>
      </c>
      <c r="C904" s="32" t="s">
        <v>2557</v>
      </c>
      <c r="D904" s="18" t="s">
        <v>27</v>
      </c>
      <c r="E904" s="18" t="s">
        <v>4409</v>
      </c>
      <c r="F904" s="258"/>
      <c r="G904" s="433" t="s">
        <v>6005</v>
      </c>
      <c r="H904" s="399">
        <v>8500</v>
      </c>
      <c r="I904" s="399"/>
      <c r="J904" s="350">
        <f t="shared" si="565"/>
        <v>8500</v>
      </c>
      <c r="K904" s="18">
        <v>1</v>
      </c>
      <c r="L904" s="350">
        <f t="shared" si="566"/>
        <v>8500</v>
      </c>
      <c r="M904" s="356">
        <f t="shared" si="567"/>
        <v>9350</v>
      </c>
      <c r="N904" s="258" t="s">
        <v>1516</v>
      </c>
      <c r="O904" s="454" t="s">
        <v>6182</v>
      </c>
      <c r="P904" s="18" t="s">
        <v>2594</v>
      </c>
      <c r="Q904" s="18" t="s">
        <v>2594</v>
      </c>
      <c r="R904" s="18" t="s">
        <v>2594</v>
      </c>
      <c r="S904" s="457"/>
    </row>
    <row r="905" spans="1:27" ht="21.75" customHeight="1" x14ac:dyDescent="0.4">
      <c r="A905" s="258">
        <v>46086</v>
      </c>
      <c r="B905" s="325" t="s">
        <v>420</v>
      </c>
      <c r="C905" s="32" t="s">
        <v>2557</v>
      </c>
      <c r="D905" s="459" t="s">
        <v>198</v>
      </c>
      <c r="E905" s="18" t="s">
        <v>4409</v>
      </c>
      <c r="F905" s="258"/>
      <c r="G905" s="63" t="s">
        <v>6269</v>
      </c>
      <c r="H905" s="399">
        <v>-17500</v>
      </c>
      <c r="I905" s="399"/>
      <c r="J905" s="350">
        <f t="shared" ref="J905" si="610">SUM(H905:I905)</f>
        <v>-17500</v>
      </c>
      <c r="K905" s="18">
        <v>1</v>
      </c>
      <c r="L905" s="350">
        <f t="shared" si="566"/>
        <v>-17500</v>
      </c>
      <c r="M905" s="358">
        <f t="shared" si="567"/>
        <v>-19250</v>
      </c>
      <c r="N905" s="258" t="s">
        <v>20</v>
      </c>
      <c r="O905" s="454" t="s">
        <v>6309</v>
      </c>
      <c r="Q905" s="18" t="s">
        <v>6300</v>
      </c>
      <c r="R905" s="18" t="s">
        <v>6301</v>
      </c>
    </row>
    <row r="906" spans="1:27" ht="21.75" customHeight="1" x14ac:dyDescent="0.4">
      <c r="A906" s="258">
        <v>46086</v>
      </c>
      <c r="B906" s="325" t="s">
        <v>420</v>
      </c>
      <c r="C906" s="32" t="s">
        <v>2557</v>
      </c>
      <c r="D906" s="18" t="s">
        <v>27</v>
      </c>
      <c r="E906" s="18" t="s">
        <v>28</v>
      </c>
      <c r="F906" s="18"/>
      <c r="G906" s="63" t="s">
        <v>73</v>
      </c>
      <c r="H906" s="399">
        <v>2000</v>
      </c>
      <c r="I906" s="399"/>
      <c r="J906" s="350">
        <f t="shared" ref="J906" si="611">SUM(H906:I906)</f>
        <v>2000</v>
      </c>
      <c r="K906" s="18">
        <v>1</v>
      </c>
      <c r="L906" s="350">
        <f t="shared" si="566"/>
        <v>2000</v>
      </c>
      <c r="M906" s="356">
        <f t="shared" si="567"/>
        <v>2200</v>
      </c>
      <c r="N906" s="258" t="s">
        <v>6298</v>
      </c>
      <c r="O906" s="456" t="s">
        <v>6299</v>
      </c>
      <c r="Q906" s="18" t="s">
        <v>6300</v>
      </c>
      <c r="R906" s="18" t="s">
        <v>6301</v>
      </c>
    </row>
    <row r="907" spans="1:27" ht="21.75" customHeight="1" x14ac:dyDescent="0.4">
      <c r="A907" s="258">
        <v>46086</v>
      </c>
      <c r="B907" s="325" t="s">
        <v>6302</v>
      </c>
      <c r="C907" s="32" t="s">
        <v>6303</v>
      </c>
      <c r="D907" s="18" t="s">
        <v>6304</v>
      </c>
      <c r="E907" s="18" t="s">
        <v>6305</v>
      </c>
      <c r="F907" s="18" t="s">
        <v>994</v>
      </c>
      <c r="G907" s="433" t="s">
        <v>6050</v>
      </c>
      <c r="H907" s="399">
        <v>1800</v>
      </c>
      <c r="I907" s="399">
        <v>-180</v>
      </c>
      <c r="J907" s="350">
        <f>SUM(H907:I907)</f>
        <v>1620</v>
      </c>
      <c r="K907" s="18">
        <v>3</v>
      </c>
      <c r="L907" s="350">
        <f t="shared" si="566"/>
        <v>4860</v>
      </c>
      <c r="M907" s="356">
        <f>ROUNDDOWN(L907*1.1,0)</f>
        <v>5346</v>
      </c>
      <c r="N907" s="258" t="s">
        <v>1516</v>
      </c>
      <c r="O907" s="456"/>
      <c r="Q907" s="18" t="s">
        <v>6306</v>
      </c>
      <c r="R907" s="18" t="s">
        <v>6306</v>
      </c>
      <c r="W907" s="354">
        <f t="shared" ref="W907" si="612">X907/H907</f>
        <v>0.6</v>
      </c>
      <c r="X907" s="355">
        <v>1080</v>
      </c>
      <c r="Y907" s="355">
        <v>3</v>
      </c>
      <c r="Z907" s="355">
        <v>3240</v>
      </c>
      <c r="AA907" s="355">
        <f>L907-Z907</f>
        <v>1620</v>
      </c>
    </row>
    <row r="908" spans="1:27" ht="21.75" customHeight="1" x14ac:dyDescent="0.4">
      <c r="A908" s="258">
        <v>46086</v>
      </c>
      <c r="B908" s="325" t="s">
        <v>6307</v>
      </c>
      <c r="C908" s="32" t="s">
        <v>6303</v>
      </c>
      <c r="D908" s="18" t="s">
        <v>6308</v>
      </c>
      <c r="E908" s="18" t="s">
        <v>6308</v>
      </c>
      <c r="F908" s="18"/>
      <c r="G908" s="63" t="s">
        <v>4869</v>
      </c>
      <c r="H908" s="399">
        <v>2000</v>
      </c>
      <c r="I908" s="399"/>
      <c r="J908" s="350">
        <f>SUM(H908:I908)</f>
        <v>2000</v>
      </c>
      <c r="K908" s="18">
        <v>1</v>
      </c>
      <c r="L908" s="350">
        <f t="shared" si="566"/>
        <v>2000</v>
      </c>
      <c r="M908" s="356">
        <f>ROUNDDOWN(L908*1.1,0)</f>
        <v>2200</v>
      </c>
      <c r="N908" s="258" t="s">
        <v>1516</v>
      </c>
      <c r="O908" s="456"/>
      <c r="P908" s="18" t="s">
        <v>6306</v>
      </c>
      <c r="Q908" s="18" t="s">
        <v>6306</v>
      </c>
      <c r="R908" s="18" t="s">
        <v>6306</v>
      </c>
      <c r="S908" s="457"/>
    </row>
    <row r="909" spans="1:27" ht="21.75" customHeight="1" x14ac:dyDescent="0.4">
      <c r="A909" s="258">
        <v>46087</v>
      </c>
      <c r="B909" s="325" t="s">
        <v>5023</v>
      </c>
      <c r="C909" s="32" t="s">
        <v>2557</v>
      </c>
      <c r="D909" s="18" t="s">
        <v>17</v>
      </c>
      <c r="E909" s="18" t="s">
        <v>292</v>
      </c>
      <c r="F909" s="18" t="s">
        <v>1051</v>
      </c>
      <c r="G909" s="433" t="s">
        <v>6000</v>
      </c>
      <c r="H909" s="399">
        <v>5700</v>
      </c>
      <c r="I909" s="399"/>
      <c r="J909" s="350">
        <f t="shared" ref="J909:J917" si="613">SUM(H909:I909)</f>
        <v>5700</v>
      </c>
      <c r="K909" s="18">
        <v>1</v>
      </c>
      <c r="L909" s="350">
        <f t="shared" si="566"/>
        <v>5700</v>
      </c>
      <c r="M909" s="356">
        <f t="shared" ref="M909:M917" si="614">ROUNDDOWN(L909*1.1,0)</f>
        <v>6270</v>
      </c>
      <c r="N909" s="258" t="s">
        <v>20</v>
      </c>
      <c r="O909" s="456"/>
      <c r="P909" s="18" t="s">
        <v>5449</v>
      </c>
      <c r="Q909" s="18" t="s">
        <v>5449</v>
      </c>
      <c r="R909" s="18" t="s">
        <v>5449</v>
      </c>
      <c r="W909" s="354">
        <f t="shared" ref="W909" si="615">X909/H909</f>
        <v>0.88140350877192986</v>
      </c>
      <c r="X909" s="355">
        <v>5024</v>
      </c>
      <c r="Y909" s="355">
        <f t="shared" ref="Y909" si="616">K909</f>
        <v>1</v>
      </c>
      <c r="Z909" s="355">
        <f t="shared" ref="Z909" si="617">X909*Y909</f>
        <v>5024</v>
      </c>
      <c r="AA909" s="355">
        <f>L909-Z909</f>
        <v>676</v>
      </c>
    </row>
    <row r="910" spans="1:27" ht="21.75" customHeight="1" x14ac:dyDescent="0.4">
      <c r="A910" s="258">
        <v>46087</v>
      </c>
      <c r="B910" s="325" t="s">
        <v>5023</v>
      </c>
      <c r="C910" s="32" t="s">
        <v>2557</v>
      </c>
      <c r="D910" s="18" t="s">
        <v>22</v>
      </c>
      <c r="E910" s="18" t="s">
        <v>22</v>
      </c>
      <c r="F910" s="18"/>
      <c r="G910" s="63" t="s">
        <v>4869</v>
      </c>
      <c r="H910" s="399">
        <v>2000</v>
      </c>
      <c r="I910" s="399"/>
      <c r="J910" s="350">
        <f t="shared" si="613"/>
        <v>2000</v>
      </c>
      <c r="K910" s="18">
        <v>1</v>
      </c>
      <c r="L910" s="350">
        <f t="shared" si="566"/>
        <v>2000</v>
      </c>
      <c r="M910" s="356">
        <f t="shared" si="614"/>
        <v>2200</v>
      </c>
      <c r="N910" s="258" t="s">
        <v>20</v>
      </c>
      <c r="O910" s="456"/>
      <c r="P910" s="18" t="s">
        <v>5449</v>
      </c>
      <c r="Q910" s="18" t="s">
        <v>5449</v>
      </c>
      <c r="R910" s="18" t="s">
        <v>5449</v>
      </c>
    </row>
    <row r="911" spans="1:27" ht="21.75" customHeight="1" x14ac:dyDescent="0.4">
      <c r="A911" s="258">
        <v>46087</v>
      </c>
      <c r="B911" s="326" t="s">
        <v>6314</v>
      </c>
      <c r="C911" s="32" t="s">
        <v>2557</v>
      </c>
      <c r="D911" s="18" t="s">
        <v>22</v>
      </c>
      <c r="E911" s="258" t="s">
        <v>6099</v>
      </c>
      <c r="F911" s="258"/>
      <c r="G911" s="433" t="s">
        <v>6327</v>
      </c>
      <c r="H911" s="399">
        <v>17500</v>
      </c>
      <c r="I911" s="399"/>
      <c r="J911" s="350">
        <f t="shared" ref="J911" si="618">SUM(H911:I911)</f>
        <v>17500</v>
      </c>
      <c r="K911" s="18">
        <v>7</v>
      </c>
      <c r="L911" s="350">
        <f t="shared" si="566"/>
        <v>122500</v>
      </c>
      <c r="M911" s="460">
        <f t="shared" si="614"/>
        <v>134750</v>
      </c>
      <c r="N911" s="258" t="s">
        <v>20</v>
      </c>
      <c r="O911" s="456" t="s">
        <v>6315</v>
      </c>
      <c r="R911" s="18" t="s">
        <v>6316</v>
      </c>
    </row>
    <row r="912" spans="1:27" ht="21.75" customHeight="1" x14ac:dyDescent="0.4">
      <c r="A912" s="258">
        <v>46087</v>
      </c>
      <c r="B912" s="325" t="s">
        <v>6310</v>
      </c>
      <c r="C912" s="32" t="s">
        <v>405</v>
      </c>
      <c r="D912" s="18" t="s">
        <v>22</v>
      </c>
      <c r="E912" s="18" t="s">
        <v>1496</v>
      </c>
      <c r="F912" s="18"/>
      <c r="G912" s="63" t="s">
        <v>2422</v>
      </c>
      <c r="H912" s="399">
        <v>2000</v>
      </c>
      <c r="I912" s="399"/>
      <c r="J912" s="350">
        <f t="shared" si="613"/>
        <v>2000</v>
      </c>
      <c r="K912" s="18">
        <v>1</v>
      </c>
      <c r="L912" s="350">
        <f t="shared" si="566"/>
        <v>2000</v>
      </c>
      <c r="M912" s="356">
        <f t="shared" si="614"/>
        <v>2200</v>
      </c>
      <c r="N912" s="258" t="s">
        <v>1516</v>
      </c>
      <c r="O912" s="456"/>
      <c r="P912" s="18" t="s">
        <v>2595</v>
      </c>
      <c r="Q912" s="18" t="s">
        <v>2595</v>
      </c>
      <c r="R912" s="18" t="s">
        <v>5449</v>
      </c>
    </row>
    <row r="913" spans="1:27" ht="21.75" customHeight="1" x14ac:dyDescent="0.4">
      <c r="A913" s="258">
        <v>46088</v>
      </c>
      <c r="B913" s="325" t="s">
        <v>5890</v>
      </c>
      <c r="C913" s="32" t="s">
        <v>2557</v>
      </c>
      <c r="D913" s="18" t="s">
        <v>22</v>
      </c>
      <c r="E913" s="18" t="s">
        <v>5507</v>
      </c>
      <c r="F913" s="18"/>
      <c r="G913" s="428" t="s">
        <v>5534</v>
      </c>
      <c r="H913" s="399">
        <v>20000</v>
      </c>
      <c r="I913" s="399"/>
      <c r="J913" s="350">
        <f t="shared" si="613"/>
        <v>20000</v>
      </c>
      <c r="K913" s="18">
        <v>1</v>
      </c>
      <c r="L913" s="350">
        <f t="shared" si="566"/>
        <v>20000</v>
      </c>
      <c r="M913" s="356">
        <f t="shared" si="614"/>
        <v>22000</v>
      </c>
      <c r="N913" s="258" t="s">
        <v>1516</v>
      </c>
      <c r="O913" s="456"/>
      <c r="P913" s="18" t="s">
        <v>2595</v>
      </c>
      <c r="Q913" s="18" t="s">
        <v>2595</v>
      </c>
      <c r="R913" s="18" t="s">
        <v>4798</v>
      </c>
    </row>
    <row r="914" spans="1:27" ht="21.75" customHeight="1" x14ac:dyDescent="0.4">
      <c r="A914" s="258">
        <v>46088</v>
      </c>
      <c r="B914" s="325" t="s">
        <v>6313</v>
      </c>
      <c r="C914" s="32" t="s">
        <v>2557</v>
      </c>
      <c r="D914" s="18" t="s">
        <v>17</v>
      </c>
      <c r="E914" s="18" t="s">
        <v>426</v>
      </c>
      <c r="F914" s="18" t="s">
        <v>994</v>
      </c>
      <c r="G914" s="433" t="s">
        <v>6311</v>
      </c>
      <c r="H914" s="399">
        <v>1800</v>
      </c>
      <c r="I914" s="399">
        <v>-180</v>
      </c>
      <c r="J914" s="350">
        <f t="shared" si="613"/>
        <v>1620</v>
      </c>
      <c r="K914" s="18">
        <v>2</v>
      </c>
      <c r="L914" s="350">
        <f t="shared" si="566"/>
        <v>3240</v>
      </c>
      <c r="M914" s="356">
        <f t="shared" si="614"/>
        <v>3564</v>
      </c>
      <c r="N914" s="258" t="s">
        <v>20</v>
      </c>
      <c r="O914" s="456"/>
      <c r="Q914" s="18" t="s">
        <v>4798</v>
      </c>
      <c r="R914" s="18" t="s">
        <v>4798</v>
      </c>
      <c r="W914" s="354">
        <f t="shared" ref="W914" si="619">X914/H914</f>
        <v>0.6</v>
      </c>
      <c r="X914" s="355">
        <v>1080</v>
      </c>
      <c r="Y914" s="355">
        <v>2</v>
      </c>
      <c r="Z914" s="355">
        <v>2160</v>
      </c>
      <c r="AA914" s="355">
        <f t="shared" ref="AA914:AA915" si="620">L914-Z914</f>
        <v>1080</v>
      </c>
    </row>
    <row r="915" spans="1:27" ht="21.75" customHeight="1" x14ac:dyDescent="0.4">
      <c r="A915" s="258">
        <v>46088</v>
      </c>
      <c r="B915" s="325" t="s">
        <v>6312</v>
      </c>
      <c r="C915" s="32" t="s">
        <v>2557</v>
      </c>
      <c r="D915" s="258" t="s">
        <v>17</v>
      </c>
      <c r="E915" s="258" t="s">
        <v>332</v>
      </c>
      <c r="F915" s="258" t="s">
        <v>3553</v>
      </c>
      <c r="G915" s="125" t="s">
        <v>6419</v>
      </c>
      <c r="H915" s="399">
        <v>1800</v>
      </c>
      <c r="I915" s="399">
        <v>-180</v>
      </c>
      <c r="J915" s="350">
        <f t="shared" si="613"/>
        <v>1620</v>
      </c>
      <c r="K915" s="18">
        <v>1</v>
      </c>
      <c r="L915" s="350">
        <f t="shared" si="566"/>
        <v>1620</v>
      </c>
      <c r="M915" s="356">
        <f t="shared" si="614"/>
        <v>1782</v>
      </c>
      <c r="N915" s="258" t="s">
        <v>20</v>
      </c>
      <c r="O915" s="456"/>
      <c r="Q915" s="18" t="s">
        <v>4798</v>
      </c>
      <c r="R915" s="18" t="s">
        <v>4798</v>
      </c>
      <c r="W915" s="354">
        <f t="shared" ref="W915" si="621">X915/H915</f>
        <v>0.5</v>
      </c>
      <c r="X915" s="355">
        <v>900</v>
      </c>
      <c r="Y915" s="355">
        <f t="shared" ref="Y915" si="622">K915</f>
        <v>1</v>
      </c>
      <c r="Z915" s="355">
        <f t="shared" ref="Z915" si="623">X915*Y915</f>
        <v>900</v>
      </c>
      <c r="AA915" s="355">
        <f t="shared" si="620"/>
        <v>720</v>
      </c>
    </row>
    <row r="916" spans="1:27" ht="21.75" customHeight="1" x14ac:dyDescent="0.4">
      <c r="A916" s="258">
        <v>46088</v>
      </c>
      <c r="B916" s="325" t="s">
        <v>6168</v>
      </c>
      <c r="C916" s="32" t="s">
        <v>2557</v>
      </c>
      <c r="D916" s="18" t="s">
        <v>27</v>
      </c>
      <c r="E916" s="258" t="s">
        <v>6099</v>
      </c>
      <c r="F916" s="18"/>
      <c r="G916" s="433" t="s">
        <v>318</v>
      </c>
      <c r="H916" s="399">
        <v>15000</v>
      </c>
      <c r="I916" s="399">
        <v>-5000</v>
      </c>
      <c r="J916" s="350">
        <f t="shared" si="613"/>
        <v>10000</v>
      </c>
      <c r="K916" s="18">
        <v>1</v>
      </c>
      <c r="L916" s="350">
        <f t="shared" si="566"/>
        <v>10000</v>
      </c>
      <c r="M916" s="356">
        <f t="shared" si="614"/>
        <v>11000</v>
      </c>
      <c r="N916" s="258" t="s">
        <v>1516</v>
      </c>
      <c r="O916" s="456"/>
      <c r="Q916" s="18" t="s">
        <v>4798</v>
      </c>
      <c r="R916" s="18" t="s">
        <v>4798</v>
      </c>
    </row>
    <row r="917" spans="1:27" ht="21.75" customHeight="1" x14ac:dyDescent="0.4">
      <c r="A917" s="258">
        <v>46088</v>
      </c>
      <c r="B917" s="325" t="s">
        <v>6168</v>
      </c>
      <c r="C917" s="32" t="s">
        <v>2557</v>
      </c>
      <c r="D917" s="18" t="s">
        <v>27</v>
      </c>
      <c r="E917" s="258" t="s">
        <v>6099</v>
      </c>
      <c r="F917" s="18"/>
      <c r="G917" s="433" t="s">
        <v>1353</v>
      </c>
      <c r="H917" s="399">
        <v>8750</v>
      </c>
      <c r="I917" s="399"/>
      <c r="J917" s="350">
        <f t="shared" si="613"/>
        <v>8750</v>
      </c>
      <c r="K917" s="18">
        <v>1</v>
      </c>
      <c r="L917" s="350">
        <f t="shared" si="566"/>
        <v>8750</v>
      </c>
      <c r="M917" s="356">
        <f t="shared" si="614"/>
        <v>9625</v>
      </c>
      <c r="N917" s="258" t="s">
        <v>1516</v>
      </c>
      <c r="O917" s="456" t="s">
        <v>6299</v>
      </c>
      <c r="Q917" s="18" t="s">
        <v>4798</v>
      </c>
      <c r="R917" s="18" t="s">
        <v>4798</v>
      </c>
      <c r="S917" s="457"/>
    </row>
    <row r="918" spans="1:27" ht="21.75" customHeight="1" x14ac:dyDescent="0.4">
      <c r="A918" s="258">
        <v>46089</v>
      </c>
      <c r="B918" s="325" t="s">
        <v>6317</v>
      </c>
      <c r="C918" s="32" t="s">
        <v>2557</v>
      </c>
      <c r="D918" s="258" t="s">
        <v>17</v>
      </c>
      <c r="E918" s="258" t="s">
        <v>332</v>
      </c>
      <c r="F918" s="258" t="s">
        <v>3554</v>
      </c>
      <c r="G918" s="433" t="s">
        <v>6223</v>
      </c>
      <c r="H918" s="399">
        <v>1300</v>
      </c>
      <c r="I918" s="399">
        <v>-130</v>
      </c>
      <c r="J918" s="350">
        <f t="shared" si="565"/>
        <v>1170</v>
      </c>
      <c r="K918" s="18">
        <v>1</v>
      </c>
      <c r="L918" s="350">
        <f t="shared" si="566"/>
        <v>1170</v>
      </c>
      <c r="M918" s="356">
        <f t="shared" si="567"/>
        <v>1287</v>
      </c>
      <c r="N918" s="258" t="s">
        <v>1516</v>
      </c>
      <c r="O918" s="456"/>
      <c r="Q918" s="18" t="s">
        <v>6318</v>
      </c>
      <c r="R918" s="18" t="s">
        <v>6318</v>
      </c>
      <c r="W918" s="354">
        <f t="shared" ref="W918" si="624">X918/H918</f>
        <v>0.62538461538461543</v>
      </c>
      <c r="X918" s="355">
        <v>813</v>
      </c>
      <c r="Y918" s="355">
        <v>1</v>
      </c>
      <c r="Z918" s="355">
        <v>813</v>
      </c>
      <c r="AA918" s="355">
        <f>L918-Z918</f>
        <v>357</v>
      </c>
    </row>
    <row r="919" spans="1:27" ht="21.75" customHeight="1" x14ac:dyDescent="0.4">
      <c r="A919" s="258">
        <v>46089</v>
      </c>
      <c r="B919" s="325" t="s">
        <v>5023</v>
      </c>
      <c r="C919" s="32" t="s">
        <v>6319</v>
      </c>
      <c r="D919" s="18" t="s">
        <v>22</v>
      </c>
      <c r="E919" s="18" t="s">
        <v>22</v>
      </c>
      <c r="F919" s="18"/>
      <c r="G919" s="63" t="s">
        <v>4869</v>
      </c>
      <c r="H919" s="399">
        <v>2000</v>
      </c>
      <c r="I919" s="399"/>
      <c r="J919" s="350">
        <f t="shared" ref="J919" si="625">SUM(H919:I919)</f>
        <v>2000</v>
      </c>
      <c r="K919" s="18">
        <v>2</v>
      </c>
      <c r="L919" s="350">
        <f t="shared" ref="L919" si="626">SUM(J919*K919)</f>
        <v>4000</v>
      </c>
      <c r="M919" s="356">
        <f t="shared" si="567"/>
        <v>4400</v>
      </c>
      <c r="N919" s="258" t="s">
        <v>20</v>
      </c>
      <c r="O919" s="456"/>
      <c r="P919" s="18" t="s">
        <v>5449</v>
      </c>
      <c r="Q919" s="18" t="s">
        <v>5449</v>
      </c>
      <c r="R919" s="18" t="s">
        <v>5449</v>
      </c>
      <c r="S919" s="457"/>
    </row>
    <row r="920" spans="1:27" ht="21.75" customHeight="1" x14ac:dyDescent="0.4">
      <c r="A920" s="258">
        <v>46092</v>
      </c>
      <c r="B920" s="325" t="s">
        <v>6320</v>
      </c>
      <c r="C920" s="32" t="s">
        <v>2557</v>
      </c>
      <c r="D920" s="18" t="s">
        <v>22</v>
      </c>
      <c r="E920" s="18" t="s">
        <v>22</v>
      </c>
      <c r="F920" s="18"/>
      <c r="G920" s="63" t="s">
        <v>4869</v>
      </c>
      <c r="H920" s="399">
        <v>2000</v>
      </c>
      <c r="I920" s="399"/>
      <c r="J920" s="350">
        <f t="shared" ref="J920" si="627">SUM(H920:I920)</f>
        <v>2000</v>
      </c>
      <c r="K920" s="18">
        <v>2</v>
      </c>
      <c r="L920" s="350">
        <f t="shared" ref="L920" si="628">SUM(J920*K920)</f>
        <v>4000</v>
      </c>
      <c r="M920" s="356">
        <f t="shared" ref="M920" si="629">ROUNDDOWN(L920*1.1,0)</f>
        <v>4400</v>
      </c>
      <c r="N920" s="258" t="s">
        <v>1516</v>
      </c>
      <c r="O920" s="456"/>
      <c r="P920" s="18" t="s">
        <v>5449</v>
      </c>
      <c r="Q920" s="18" t="s">
        <v>5449</v>
      </c>
      <c r="R920" s="18" t="s">
        <v>5449</v>
      </c>
    </row>
    <row r="921" spans="1:27" ht="21.75" customHeight="1" x14ac:dyDescent="0.4">
      <c r="A921" s="258">
        <v>46092</v>
      </c>
      <c r="B921" s="325" t="s">
        <v>6036</v>
      </c>
      <c r="C921" s="32" t="s">
        <v>2557</v>
      </c>
      <c r="D921" s="18" t="s">
        <v>17</v>
      </c>
      <c r="E921" s="258" t="s">
        <v>332</v>
      </c>
      <c r="F921" s="258" t="s">
        <v>6321</v>
      </c>
      <c r="G921" s="433" t="s">
        <v>6326</v>
      </c>
      <c r="H921" s="399">
        <v>2000</v>
      </c>
      <c r="I921" s="399">
        <v>-200</v>
      </c>
      <c r="J921" s="350">
        <f t="shared" si="565"/>
        <v>1800</v>
      </c>
      <c r="K921" s="18">
        <v>1</v>
      </c>
      <c r="L921" s="350">
        <f t="shared" si="566"/>
        <v>1800</v>
      </c>
      <c r="M921" s="356">
        <f t="shared" si="567"/>
        <v>1980</v>
      </c>
      <c r="N921" s="258" t="s">
        <v>20</v>
      </c>
      <c r="O921" s="456"/>
      <c r="R921" s="18" t="s">
        <v>4798</v>
      </c>
      <c r="W921" s="354">
        <f t="shared" ref="W921" si="630">X921/H921</f>
        <v>0.66</v>
      </c>
      <c r="X921" s="367">
        <v>1320</v>
      </c>
      <c r="Y921" s="355">
        <v>1</v>
      </c>
      <c r="Z921" s="355">
        <v>1320</v>
      </c>
      <c r="AA921" s="355">
        <f>L921-Z921</f>
        <v>480</v>
      </c>
    </row>
    <row r="922" spans="1:27" ht="21.75" customHeight="1" x14ac:dyDescent="0.4">
      <c r="A922" s="258">
        <v>46092</v>
      </c>
      <c r="B922" s="325" t="s">
        <v>2088</v>
      </c>
      <c r="C922" s="32" t="s">
        <v>2557</v>
      </c>
      <c r="D922" s="258" t="s">
        <v>22</v>
      </c>
      <c r="E922" s="258" t="s">
        <v>1496</v>
      </c>
      <c r="F922" s="258"/>
      <c r="G922" s="63" t="s">
        <v>4869</v>
      </c>
      <c r="H922" s="399">
        <v>2000</v>
      </c>
      <c r="I922" s="399"/>
      <c r="J922" s="350">
        <f t="shared" si="565"/>
        <v>2000</v>
      </c>
      <c r="K922" s="18">
        <v>1</v>
      </c>
      <c r="L922" s="350">
        <f t="shared" si="566"/>
        <v>2000</v>
      </c>
      <c r="M922" s="356">
        <f t="shared" si="567"/>
        <v>2200</v>
      </c>
      <c r="N922" s="258" t="s">
        <v>1516</v>
      </c>
      <c r="O922" s="456"/>
      <c r="P922" s="18" t="s">
        <v>6392</v>
      </c>
      <c r="Q922" s="18" t="s">
        <v>6392</v>
      </c>
      <c r="R922" s="18" t="s">
        <v>4798</v>
      </c>
    </row>
    <row r="923" spans="1:27" ht="21.75" customHeight="1" x14ac:dyDescent="0.4">
      <c r="A923" s="258">
        <v>46092</v>
      </c>
      <c r="B923" s="325" t="s">
        <v>6322</v>
      </c>
      <c r="C923" s="32" t="s">
        <v>4292</v>
      </c>
      <c r="D923" s="258" t="s">
        <v>17</v>
      </c>
      <c r="E923" s="258" t="s">
        <v>328</v>
      </c>
      <c r="F923" s="258" t="s">
        <v>788</v>
      </c>
      <c r="G923" s="433" t="s">
        <v>6323</v>
      </c>
      <c r="H923" s="399">
        <v>50000</v>
      </c>
      <c r="I923" s="399">
        <v>-27500</v>
      </c>
      <c r="J923" s="350">
        <f t="shared" si="565"/>
        <v>22500</v>
      </c>
      <c r="K923" s="18">
        <v>1</v>
      </c>
      <c r="L923" s="350">
        <f t="shared" si="566"/>
        <v>22500</v>
      </c>
      <c r="M923" s="356">
        <f t="shared" si="567"/>
        <v>24750</v>
      </c>
      <c r="N923" s="258" t="s">
        <v>1121</v>
      </c>
      <c r="O923" s="456"/>
      <c r="R923" s="18" t="s">
        <v>4798</v>
      </c>
      <c r="W923" s="354">
        <f t="shared" ref="W923:W926" si="631">X923/H923</f>
        <v>0.45</v>
      </c>
      <c r="X923" s="355">
        <v>22500</v>
      </c>
      <c r="Y923" s="355">
        <v>1</v>
      </c>
      <c r="Z923" s="355">
        <v>22500</v>
      </c>
      <c r="AA923" s="355">
        <f t="shared" ref="AA923:AA928" si="632">L923-Z923</f>
        <v>0</v>
      </c>
    </row>
    <row r="924" spans="1:27" ht="21.75" customHeight="1" x14ac:dyDescent="0.4">
      <c r="A924" s="258">
        <v>46092</v>
      </c>
      <c r="B924" s="325" t="s">
        <v>6322</v>
      </c>
      <c r="C924" s="32" t="s">
        <v>4292</v>
      </c>
      <c r="D924" s="258" t="s">
        <v>17</v>
      </c>
      <c r="E924" s="258" t="s">
        <v>332</v>
      </c>
      <c r="F924" s="258" t="s">
        <v>3555</v>
      </c>
      <c r="G924" s="433" t="s">
        <v>6324</v>
      </c>
      <c r="H924" s="399">
        <v>2800</v>
      </c>
      <c r="I924" s="399">
        <v>-1120</v>
      </c>
      <c r="J924" s="350">
        <f t="shared" ref="J924:J998" si="633">SUM(H924:I924)</f>
        <v>1680</v>
      </c>
      <c r="K924" s="18">
        <v>1</v>
      </c>
      <c r="L924" s="350">
        <f t="shared" ref="L924:L998" si="634">SUM(J924*K924)</f>
        <v>1680</v>
      </c>
      <c r="M924" s="356">
        <f t="shared" ref="M924:M998" si="635">ROUNDDOWN(L924*1.1,0)</f>
        <v>1848</v>
      </c>
      <c r="N924" s="258" t="s">
        <v>1121</v>
      </c>
      <c r="O924" s="456"/>
      <c r="R924" s="18" t="s">
        <v>4798</v>
      </c>
      <c r="W924" s="354">
        <f t="shared" si="631"/>
        <v>0.6</v>
      </c>
      <c r="X924" s="355">
        <v>1680</v>
      </c>
      <c r="Y924" s="355">
        <v>1</v>
      </c>
      <c r="Z924" s="355">
        <v>1680</v>
      </c>
      <c r="AA924" s="355">
        <f t="shared" si="632"/>
        <v>0</v>
      </c>
    </row>
    <row r="925" spans="1:27" ht="21.75" customHeight="1" x14ac:dyDescent="0.4">
      <c r="A925" s="258">
        <v>46092</v>
      </c>
      <c r="B925" s="325" t="s">
        <v>6322</v>
      </c>
      <c r="C925" s="32" t="s">
        <v>4292</v>
      </c>
      <c r="D925" s="258" t="s">
        <v>17</v>
      </c>
      <c r="E925" s="258" t="s">
        <v>330</v>
      </c>
      <c r="F925" s="18" t="s">
        <v>3543</v>
      </c>
      <c r="G925" s="433" t="s">
        <v>6325</v>
      </c>
      <c r="H925" s="399">
        <v>5500</v>
      </c>
      <c r="I925" s="399">
        <v>-2900</v>
      </c>
      <c r="J925" s="350">
        <f t="shared" si="633"/>
        <v>2600</v>
      </c>
      <c r="K925" s="18">
        <v>1</v>
      </c>
      <c r="L925" s="350">
        <f t="shared" si="634"/>
        <v>2600</v>
      </c>
      <c r="M925" s="356">
        <f t="shared" si="635"/>
        <v>2860</v>
      </c>
      <c r="N925" s="258" t="s">
        <v>1121</v>
      </c>
      <c r="O925" s="456"/>
      <c r="R925" s="18" t="s">
        <v>4798</v>
      </c>
      <c r="S925" s="457"/>
      <c r="W925" s="354">
        <f t="shared" si="631"/>
        <v>0.47272727272727272</v>
      </c>
      <c r="X925" s="355">
        <v>2600</v>
      </c>
      <c r="Y925" s="355">
        <v>1</v>
      </c>
      <c r="Z925" s="355">
        <v>2600</v>
      </c>
      <c r="AA925" s="355">
        <f t="shared" si="632"/>
        <v>0</v>
      </c>
    </row>
    <row r="926" spans="1:27" ht="21.75" customHeight="1" x14ac:dyDescent="0.4">
      <c r="A926" s="258">
        <v>46093</v>
      </c>
      <c r="B926" s="325" t="s">
        <v>6331</v>
      </c>
      <c r="C926" s="32" t="s">
        <v>405</v>
      </c>
      <c r="D926" s="18" t="s">
        <v>17</v>
      </c>
      <c r="E926" s="18" t="s">
        <v>328</v>
      </c>
      <c r="F926" s="258" t="s">
        <v>788</v>
      </c>
      <c r="G926" s="433" t="s">
        <v>6332</v>
      </c>
      <c r="H926" s="399">
        <v>40000</v>
      </c>
      <c r="I926" s="399">
        <v>-8000</v>
      </c>
      <c r="J926" s="350">
        <f t="shared" si="633"/>
        <v>32000</v>
      </c>
      <c r="K926" s="18">
        <v>1</v>
      </c>
      <c r="L926" s="350">
        <f t="shared" si="634"/>
        <v>32000</v>
      </c>
      <c r="M926" s="356">
        <f t="shared" si="635"/>
        <v>35200</v>
      </c>
      <c r="N926" s="258" t="s">
        <v>1121</v>
      </c>
      <c r="O926" s="456"/>
      <c r="Q926" s="18" t="s">
        <v>4803</v>
      </c>
      <c r="R926" s="18" t="s">
        <v>4803</v>
      </c>
      <c r="W926" s="354">
        <f t="shared" si="631"/>
        <v>0.45</v>
      </c>
      <c r="X926" s="355">
        <v>18000</v>
      </c>
      <c r="Y926" s="355">
        <v>1</v>
      </c>
      <c r="Z926" s="355">
        <v>18000</v>
      </c>
      <c r="AA926" s="355">
        <f t="shared" si="632"/>
        <v>14000</v>
      </c>
    </row>
    <row r="927" spans="1:27" ht="21.75" customHeight="1" x14ac:dyDescent="0.4">
      <c r="A927" s="258">
        <v>46093</v>
      </c>
      <c r="B927" s="325" t="s">
        <v>6331</v>
      </c>
      <c r="C927" s="32" t="s">
        <v>405</v>
      </c>
      <c r="D927" s="18" t="s">
        <v>17</v>
      </c>
      <c r="E927" s="258" t="s">
        <v>332</v>
      </c>
      <c r="F927" s="258" t="s">
        <v>3554</v>
      </c>
      <c r="G927" s="63" t="s">
        <v>5655</v>
      </c>
      <c r="H927" s="399">
        <v>2700</v>
      </c>
      <c r="I927" s="399">
        <v>-270</v>
      </c>
      <c r="J927" s="350">
        <f t="shared" si="633"/>
        <v>2430</v>
      </c>
      <c r="K927" s="18">
        <v>1</v>
      </c>
      <c r="L927" s="350">
        <f t="shared" si="634"/>
        <v>2430</v>
      </c>
      <c r="M927" s="356">
        <f t="shared" si="635"/>
        <v>2673</v>
      </c>
      <c r="N927" s="258" t="s">
        <v>1121</v>
      </c>
      <c r="O927" s="456"/>
      <c r="Q927" s="18" t="s">
        <v>4803</v>
      </c>
      <c r="R927" s="18" t="s">
        <v>4803</v>
      </c>
      <c r="S927" s="457"/>
      <c r="W927" s="354">
        <f t="shared" ref="W927:W928" si="636">X927/H927</f>
        <v>0.60185185185185186</v>
      </c>
      <c r="X927" s="355">
        <v>1625</v>
      </c>
      <c r="Y927" s="355">
        <f t="shared" ref="Y927" si="637">K927</f>
        <v>1</v>
      </c>
      <c r="Z927" s="355">
        <f t="shared" ref="Z927" si="638">X927*Y927</f>
        <v>1625</v>
      </c>
      <c r="AA927" s="355">
        <f t="shared" si="632"/>
        <v>805</v>
      </c>
    </row>
    <row r="928" spans="1:27" ht="21.75" customHeight="1" x14ac:dyDescent="0.4">
      <c r="A928" s="258">
        <v>46093</v>
      </c>
      <c r="B928" s="325" t="s">
        <v>6333</v>
      </c>
      <c r="C928" s="32" t="s">
        <v>2557</v>
      </c>
      <c r="D928" s="18" t="s">
        <v>17</v>
      </c>
      <c r="E928" s="18" t="s">
        <v>426</v>
      </c>
      <c r="F928" s="18" t="s">
        <v>994</v>
      </c>
      <c r="G928" s="433" t="s">
        <v>5972</v>
      </c>
      <c r="H928" s="399">
        <v>1800</v>
      </c>
      <c r="I928" s="399">
        <v>-180</v>
      </c>
      <c r="J928" s="350">
        <f t="shared" si="633"/>
        <v>1620</v>
      </c>
      <c r="K928" s="18">
        <v>1</v>
      </c>
      <c r="L928" s="350">
        <f t="shared" si="634"/>
        <v>1620</v>
      </c>
      <c r="M928" s="356">
        <f t="shared" si="635"/>
        <v>1782</v>
      </c>
      <c r="N928" s="258" t="s">
        <v>1516</v>
      </c>
      <c r="O928" s="456"/>
      <c r="Q928" s="18" t="s">
        <v>4798</v>
      </c>
      <c r="R928" s="18" t="s">
        <v>4798</v>
      </c>
      <c r="S928" s="457"/>
      <c r="W928" s="354">
        <f t="shared" si="636"/>
        <v>0.6</v>
      </c>
      <c r="X928" s="355">
        <v>1080</v>
      </c>
      <c r="Y928" s="355">
        <v>1</v>
      </c>
      <c r="Z928" s="355">
        <v>1080</v>
      </c>
      <c r="AA928" s="355">
        <f t="shared" si="632"/>
        <v>540</v>
      </c>
    </row>
    <row r="929" spans="1:27" ht="21.75" customHeight="1" x14ac:dyDescent="0.4">
      <c r="A929" s="258">
        <v>46094</v>
      </c>
      <c r="B929" s="325" t="s">
        <v>6334</v>
      </c>
      <c r="C929" s="32" t="s">
        <v>2557</v>
      </c>
      <c r="D929" s="18" t="s">
        <v>27</v>
      </c>
      <c r="E929" s="18" t="s">
        <v>28</v>
      </c>
      <c r="F929" s="18"/>
      <c r="G929" s="63" t="s">
        <v>73</v>
      </c>
      <c r="H929" s="399">
        <v>2000</v>
      </c>
      <c r="I929" s="399"/>
      <c r="J929" s="350">
        <f t="shared" si="633"/>
        <v>2000</v>
      </c>
      <c r="K929" s="18">
        <v>3</v>
      </c>
      <c r="L929" s="350">
        <f t="shared" si="634"/>
        <v>6000</v>
      </c>
      <c r="M929" s="356">
        <f t="shared" si="635"/>
        <v>6600</v>
      </c>
      <c r="N929" s="258" t="s">
        <v>1516</v>
      </c>
      <c r="O929" s="456" t="s">
        <v>6335</v>
      </c>
      <c r="Q929" s="18" t="s">
        <v>6336</v>
      </c>
      <c r="R929" s="18" t="s">
        <v>6336</v>
      </c>
    </row>
    <row r="930" spans="1:27" ht="21.75" customHeight="1" x14ac:dyDescent="0.4">
      <c r="A930" s="258">
        <v>46094</v>
      </c>
      <c r="B930" s="325" t="s">
        <v>5978</v>
      </c>
      <c r="C930" s="32" t="s">
        <v>2557</v>
      </c>
      <c r="D930" s="18" t="s">
        <v>27</v>
      </c>
      <c r="E930" s="18" t="s">
        <v>4409</v>
      </c>
      <c r="F930" s="258"/>
      <c r="G930" s="63" t="s">
        <v>6269</v>
      </c>
      <c r="H930" s="399">
        <v>17500</v>
      </c>
      <c r="I930" s="399"/>
      <c r="J930" s="350">
        <f t="shared" si="633"/>
        <v>17500</v>
      </c>
      <c r="K930" s="18">
        <v>1</v>
      </c>
      <c r="L930" s="350">
        <f t="shared" si="634"/>
        <v>17500</v>
      </c>
      <c r="M930" s="356">
        <f t="shared" si="635"/>
        <v>19250</v>
      </c>
      <c r="N930" s="258" t="s">
        <v>1516</v>
      </c>
      <c r="O930" s="454" t="s">
        <v>6182</v>
      </c>
      <c r="Q930" s="18" t="s">
        <v>6336</v>
      </c>
      <c r="R930" s="18" t="s">
        <v>6336</v>
      </c>
      <c r="S930" s="457"/>
    </row>
    <row r="931" spans="1:27" ht="21.75" customHeight="1" x14ac:dyDescent="0.4">
      <c r="A931" s="258">
        <v>46094</v>
      </c>
      <c r="B931" s="325" t="s">
        <v>5069</v>
      </c>
      <c r="C931" s="32" t="s">
        <v>2557</v>
      </c>
      <c r="D931" s="258" t="s">
        <v>22</v>
      </c>
      <c r="E931" s="258" t="s">
        <v>1496</v>
      </c>
      <c r="F931" s="258"/>
      <c r="G931" s="63" t="s">
        <v>4869</v>
      </c>
      <c r="H931" s="399">
        <v>2000</v>
      </c>
      <c r="I931" s="399"/>
      <c r="J931" s="350">
        <f t="shared" si="633"/>
        <v>2000</v>
      </c>
      <c r="K931" s="18">
        <v>1</v>
      </c>
      <c r="L931" s="350">
        <f t="shared" si="634"/>
        <v>2000</v>
      </c>
      <c r="M931" s="356">
        <f t="shared" si="635"/>
        <v>2200</v>
      </c>
      <c r="N931" s="258" t="s">
        <v>1516</v>
      </c>
      <c r="O931" s="456"/>
      <c r="P931" s="18" t="s">
        <v>6337</v>
      </c>
      <c r="Q931" s="18" t="s">
        <v>4803</v>
      </c>
      <c r="R931" s="18" t="s">
        <v>4803</v>
      </c>
      <c r="S931" s="457"/>
    </row>
    <row r="932" spans="1:27" ht="21.75" customHeight="1" x14ac:dyDescent="0.4">
      <c r="A932" s="258">
        <v>46094</v>
      </c>
      <c r="B932" s="325" t="s">
        <v>6338</v>
      </c>
      <c r="C932" s="32" t="s">
        <v>2557</v>
      </c>
      <c r="D932" s="18" t="s">
        <v>27</v>
      </c>
      <c r="E932" s="18" t="s">
        <v>4409</v>
      </c>
      <c r="F932" s="258"/>
      <c r="G932" s="63" t="s">
        <v>6269</v>
      </c>
      <c r="H932" s="399">
        <v>17500</v>
      </c>
      <c r="I932" s="399"/>
      <c r="J932" s="350">
        <f t="shared" si="633"/>
        <v>17500</v>
      </c>
      <c r="K932" s="18">
        <v>1</v>
      </c>
      <c r="L932" s="350">
        <f t="shared" si="634"/>
        <v>17500</v>
      </c>
      <c r="M932" s="356">
        <f t="shared" si="635"/>
        <v>19250</v>
      </c>
      <c r="N932" s="258" t="s">
        <v>1516</v>
      </c>
      <c r="O932" s="454" t="s">
        <v>6356</v>
      </c>
      <c r="Q932" s="18" t="s">
        <v>6339</v>
      </c>
      <c r="R932" s="18" t="s">
        <v>6339</v>
      </c>
    </row>
    <row r="933" spans="1:27" ht="21.75" customHeight="1" x14ac:dyDescent="0.4">
      <c r="A933" s="258">
        <v>46095</v>
      </c>
      <c r="B933" s="325" t="s">
        <v>6204</v>
      </c>
      <c r="C933" s="32" t="s">
        <v>4313</v>
      </c>
      <c r="D933" s="258" t="s">
        <v>22</v>
      </c>
      <c r="E933" s="258" t="s">
        <v>1496</v>
      </c>
      <c r="F933" s="258"/>
      <c r="G933" s="433" t="s">
        <v>6186</v>
      </c>
      <c r="H933" s="399">
        <v>3000</v>
      </c>
      <c r="I933" s="399"/>
      <c r="J933" s="350">
        <v>3000</v>
      </c>
      <c r="K933" s="18">
        <v>1</v>
      </c>
      <c r="L933" s="350">
        <v>3000</v>
      </c>
      <c r="M933" s="356">
        <v>3300</v>
      </c>
      <c r="N933" s="258" t="s">
        <v>20</v>
      </c>
      <c r="O933" s="456"/>
      <c r="R933" s="18" t="s">
        <v>6354</v>
      </c>
    </row>
    <row r="934" spans="1:27" ht="21.75" customHeight="1" x14ac:dyDescent="0.4">
      <c r="A934" s="258">
        <v>46095</v>
      </c>
      <c r="B934" s="325" t="s">
        <v>2088</v>
      </c>
      <c r="C934" s="32" t="s">
        <v>6340</v>
      </c>
      <c r="D934" s="258" t="s">
        <v>6341</v>
      </c>
      <c r="E934" s="258" t="s">
        <v>332</v>
      </c>
      <c r="F934" s="258" t="s">
        <v>3555</v>
      </c>
      <c r="G934" s="433" t="s">
        <v>6342</v>
      </c>
      <c r="H934" s="399">
        <v>1900</v>
      </c>
      <c r="I934" s="399">
        <v>-190</v>
      </c>
      <c r="J934" s="350">
        <f t="shared" si="633"/>
        <v>1710</v>
      </c>
      <c r="K934" s="18">
        <v>1</v>
      </c>
      <c r="L934" s="350">
        <f t="shared" si="634"/>
        <v>1710</v>
      </c>
      <c r="M934" s="356">
        <f t="shared" si="635"/>
        <v>1881</v>
      </c>
      <c r="N934" s="258" t="s">
        <v>1516</v>
      </c>
      <c r="O934" s="456"/>
      <c r="P934" s="18" t="s">
        <v>6343</v>
      </c>
      <c r="Q934" s="18" t="s">
        <v>6343</v>
      </c>
      <c r="R934" s="18" t="s">
        <v>5459</v>
      </c>
      <c r="W934" s="354">
        <f t="shared" ref="W934:W936" si="639">X934/H934</f>
        <v>0.5189473684210526</v>
      </c>
      <c r="X934" s="355">
        <v>986</v>
      </c>
      <c r="Y934" s="355">
        <v>1</v>
      </c>
      <c r="Z934" s="355">
        <v>986</v>
      </c>
      <c r="AA934" s="355">
        <f t="shared" ref="AA934:AA936" si="640">L934-Z934</f>
        <v>724</v>
      </c>
    </row>
    <row r="935" spans="1:27" ht="21.75" customHeight="1" x14ac:dyDescent="0.4">
      <c r="A935" s="258">
        <v>46095</v>
      </c>
      <c r="B935" s="325" t="s">
        <v>678</v>
      </c>
      <c r="C935" s="32" t="s">
        <v>2557</v>
      </c>
      <c r="D935" s="258" t="s">
        <v>17</v>
      </c>
      <c r="E935" s="258" t="s">
        <v>332</v>
      </c>
      <c r="F935" s="18" t="s">
        <v>3550</v>
      </c>
      <c r="G935" s="63" t="s">
        <v>6358</v>
      </c>
      <c r="H935" s="399">
        <v>2000</v>
      </c>
      <c r="I935" s="399">
        <v>-200</v>
      </c>
      <c r="J935" s="350">
        <f t="shared" si="633"/>
        <v>1800</v>
      </c>
      <c r="K935" s="18">
        <v>1</v>
      </c>
      <c r="L935" s="350">
        <f t="shared" si="634"/>
        <v>1800</v>
      </c>
      <c r="M935" s="356">
        <f t="shared" si="635"/>
        <v>1980</v>
      </c>
      <c r="N935" s="258" t="s">
        <v>6344</v>
      </c>
      <c r="O935" s="456"/>
      <c r="P935" s="18" t="s">
        <v>2594</v>
      </c>
      <c r="Q935" s="18" t="s">
        <v>2594</v>
      </c>
      <c r="R935" s="18" t="s">
        <v>5459</v>
      </c>
      <c r="W935" s="354">
        <f t="shared" si="639"/>
        <v>0.6</v>
      </c>
      <c r="X935" s="355">
        <v>1200</v>
      </c>
      <c r="Y935" s="355">
        <v>1</v>
      </c>
      <c r="Z935" s="355">
        <v>1200</v>
      </c>
      <c r="AA935" s="355">
        <f t="shared" si="640"/>
        <v>600</v>
      </c>
    </row>
    <row r="936" spans="1:27" ht="21.75" customHeight="1" x14ac:dyDescent="0.4">
      <c r="A936" s="258">
        <v>46095</v>
      </c>
      <c r="B936" s="325" t="s">
        <v>139</v>
      </c>
      <c r="C936" s="32" t="s">
        <v>2557</v>
      </c>
      <c r="D936" s="258" t="s">
        <v>17</v>
      </c>
      <c r="E936" s="258" t="s">
        <v>332</v>
      </c>
      <c r="F936" s="258" t="s">
        <v>3555</v>
      </c>
      <c r="G936" s="7" t="s">
        <v>6296</v>
      </c>
      <c r="H936" s="399">
        <v>2100</v>
      </c>
      <c r="I936" s="399">
        <v>-210</v>
      </c>
      <c r="J936" s="350">
        <f t="shared" ref="J936" si="641">SUM(H936:I936)</f>
        <v>1890</v>
      </c>
      <c r="K936" s="18">
        <v>4</v>
      </c>
      <c r="L936" s="350">
        <f t="shared" si="634"/>
        <v>7560</v>
      </c>
      <c r="M936" s="356">
        <f t="shared" si="635"/>
        <v>8316</v>
      </c>
      <c r="N936" s="258" t="s">
        <v>1516</v>
      </c>
      <c r="O936" s="456"/>
      <c r="P936" s="18" t="s">
        <v>2594</v>
      </c>
      <c r="Q936" s="18" t="s">
        <v>2594</v>
      </c>
      <c r="R936" s="18" t="s">
        <v>5459</v>
      </c>
      <c r="W936" s="354">
        <f t="shared" si="639"/>
        <v>0.52476190476190476</v>
      </c>
      <c r="X936" s="355">
        <v>1102</v>
      </c>
      <c r="Y936" s="355">
        <v>4</v>
      </c>
      <c r="Z936" s="355">
        <v>4408</v>
      </c>
      <c r="AA936" s="355">
        <f t="shared" si="640"/>
        <v>3152</v>
      </c>
    </row>
    <row r="937" spans="1:27" ht="21.75" customHeight="1" x14ac:dyDescent="0.4">
      <c r="A937" s="258">
        <v>46096</v>
      </c>
      <c r="B937" s="325" t="s">
        <v>6355</v>
      </c>
      <c r="C937" s="32" t="s">
        <v>2557</v>
      </c>
      <c r="D937" s="18" t="s">
        <v>27</v>
      </c>
      <c r="E937" s="18" t="s">
        <v>28</v>
      </c>
      <c r="F937" s="258"/>
      <c r="G937" s="433" t="s">
        <v>6005</v>
      </c>
      <c r="H937" s="399">
        <v>8500</v>
      </c>
      <c r="I937" s="399"/>
      <c r="J937" s="350">
        <v>8500</v>
      </c>
      <c r="K937" s="18">
        <v>1</v>
      </c>
      <c r="L937" s="350">
        <v>8500</v>
      </c>
      <c r="M937" s="356">
        <v>9350</v>
      </c>
      <c r="N937" s="258" t="s">
        <v>1516</v>
      </c>
      <c r="O937" s="454" t="s">
        <v>6356</v>
      </c>
      <c r="Q937" s="18" t="s">
        <v>6357</v>
      </c>
      <c r="R937" s="18" t="s">
        <v>6354</v>
      </c>
    </row>
    <row r="938" spans="1:27" ht="21.75" customHeight="1" x14ac:dyDescent="0.4">
      <c r="A938" s="258">
        <v>46096</v>
      </c>
      <c r="B938" s="325" t="s">
        <v>6345</v>
      </c>
      <c r="C938" s="32" t="s">
        <v>6346</v>
      </c>
      <c r="D938" s="258" t="s">
        <v>6347</v>
      </c>
      <c r="E938" s="258" t="s">
        <v>328</v>
      </c>
      <c r="F938" s="258" t="s">
        <v>6348</v>
      </c>
      <c r="G938" s="433" t="s">
        <v>6349</v>
      </c>
      <c r="H938" s="399">
        <v>70000</v>
      </c>
      <c r="I938" s="399">
        <v>-14000</v>
      </c>
      <c r="J938" s="350">
        <f t="shared" si="633"/>
        <v>56000</v>
      </c>
      <c r="K938" s="18">
        <v>1</v>
      </c>
      <c r="L938" s="350">
        <f t="shared" si="634"/>
        <v>56000</v>
      </c>
      <c r="M938" s="356">
        <f t="shared" si="635"/>
        <v>61600</v>
      </c>
      <c r="N938" s="258" t="s">
        <v>1121</v>
      </c>
      <c r="O938" s="456"/>
      <c r="P938" s="18" t="s">
        <v>5449</v>
      </c>
      <c r="Q938" s="18" t="s">
        <v>5449</v>
      </c>
      <c r="R938" s="18" t="s">
        <v>5449</v>
      </c>
      <c r="W938" s="354">
        <f t="shared" ref="W938:W940" si="642">X938/H938</f>
        <v>0.55000000000000004</v>
      </c>
      <c r="X938" s="355">
        <v>38500</v>
      </c>
      <c r="Y938" s="355">
        <v>1</v>
      </c>
      <c r="Z938" s="355">
        <v>38500</v>
      </c>
      <c r="AA938" s="355">
        <f t="shared" ref="AA938:AA940" si="643">L938-Z938</f>
        <v>17500</v>
      </c>
    </row>
    <row r="939" spans="1:27" ht="21.75" customHeight="1" x14ac:dyDescent="0.4">
      <c r="A939" s="258">
        <v>46096</v>
      </c>
      <c r="B939" s="325" t="s">
        <v>6345</v>
      </c>
      <c r="C939" s="32" t="s">
        <v>6346</v>
      </c>
      <c r="D939" s="258" t="s">
        <v>6347</v>
      </c>
      <c r="E939" s="258" t="s">
        <v>1442</v>
      </c>
      <c r="F939" s="258" t="s">
        <v>6350</v>
      </c>
      <c r="G939" s="433" t="s">
        <v>6351</v>
      </c>
      <c r="H939" s="399">
        <v>84000</v>
      </c>
      <c r="I939" s="399"/>
      <c r="J939" s="350">
        <v>84000</v>
      </c>
      <c r="K939" s="18">
        <v>1</v>
      </c>
      <c r="L939" s="350">
        <f t="shared" si="634"/>
        <v>84000</v>
      </c>
      <c r="M939" s="356">
        <f t="shared" si="635"/>
        <v>92400</v>
      </c>
      <c r="N939" s="258" t="s">
        <v>1121</v>
      </c>
      <c r="O939" s="456"/>
      <c r="P939" s="18" t="s">
        <v>5449</v>
      </c>
      <c r="Q939" s="18" t="s">
        <v>5449</v>
      </c>
      <c r="R939" s="18" t="s">
        <v>5449</v>
      </c>
      <c r="W939" s="354">
        <f t="shared" si="642"/>
        <v>0</v>
      </c>
      <c r="X939" s="367"/>
      <c r="Y939" s="355">
        <v>1</v>
      </c>
      <c r="AA939" s="355">
        <f t="shared" si="643"/>
        <v>84000</v>
      </c>
    </row>
    <row r="940" spans="1:27" ht="21.75" customHeight="1" x14ac:dyDescent="0.4">
      <c r="A940" s="258">
        <v>46096</v>
      </c>
      <c r="B940" s="325" t="s">
        <v>6345</v>
      </c>
      <c r="C940" s="32" t="s">
        <v>6346</v>
      </c>
      <c r="D940" s="258" t="s">
        <v>6347</v>
      </c>
      <c r="E940" s="258" t="s">
        <v>332</v>
      </c>
      <c r="F940" s="258" t="s">
        <v>3555</v>
      </c>
      <c r="G940" t="s">
        <v>6199</v>
      </c>
      <c r="H940" s="399">
        <v>1500</v>
      </c>
      <c r="I940" s="399"/>
      <c r="J940" s="350">
        <f t="shared" si="633"/>
        <v>1500</v>
      </c>
      <c r="K940" s="18">
        <v>1</v>
      </c>
      <c r="L940" s="350">
        <f t="shared" si="634"/>
        <v>1500</v>
      </c>
      <c r="M940" s="356">
        <f t="shared" si="635"/>
        <v>1650</v>
      </c>
      <c r="N940" s="258" t="s">
        <v>1121</v>
      </c>
      <c r="O940" s="456"/>
      <c r="P940" s="18" t="s">
        <v>5449</v>
      </c>
      <c r="Q940" s="18" t="s">
        <v>5449</v>
      </c>
      <c r="R940" s="18" t="s">
        <v>5449</v>
      </c>
      <c r="S940" s="458"/>
      <c r="W940" s="354">
        <f t="shared" si="642"/>
        <v>0.50266666666666671</v>
      </c>
      <c r="X940" s="355">
        <v>754</v>
      </c>
      <c r="Y940" s="355">
        <v>1</v>
      </c>
      <c r="Z940" s="355">
        <v>754</v>
      </c>
      <c r="AA940" s="355">
        <f t="shared" si="643"/>
        <v>746</v>
      </c>
    </row>
    <row r="941" spans="1:27" ht="21.75" customHeight="1" x14ac:dyDescent="0.4">
      <c r="A941" s="258">
        <v>46096</v>
      </c>
      <c r="B941" s="325" t="s">
        <v>5023</v>
      </c>
      <c r="C941" s="32" t="s">
        <v>6352</v>
      </c>
      <c r="D941" s="258" t="s">
        <v>22</v>
      </c>
      <c r="E941" s="258" t="s">
        <v>1496</v>
      </c>
      <c r="F941" s="258"/>
      <c r="G941" s="63" t="s">
        <v>4869</v>
      </c>
      <c r="H941" s="399">
        <v>2000</v>
      </c>
      <c r="I941" s="399"/>
      <c r="J941" s="350">
        <f t="shared" ref="J941" si="644">SUM(H941:I941)</f>
        <v>2000</v>
      </c>
      <c r="K941" s="18">
        <v>1</v>
      </c>
      <c r="L941" s="350">
        <f t="shared" ref="L941" si="645">SUM(J941*K941)</f>
        <v>2000</v>
      </c>
      <c r="M941" s="356">
        <f t="shared" ref="M941" si="646">ROUNDDOWN(L941*1.1,0)</f>
        <v>2200</v>
      </c>
      <c r="N941" s="258" t="s">
        <v>6353</v>
      </c>
      <c r="O941" s="456"/>
      <c r="P941" s="18" t="s">
        <v>5449</v>
      </c>
      <c r="Q941" s="18" t="s">
        <v>5449</v>
      </c>
      <c r="R941" s="18" t="s">
        <v>5449</v>
      </c>
      <c r="S941" s="457"/>
    </row>
    <row r="942" spans="1:27" ht="21.75" customHeight="1" x14ac:dyDescent="0.4">
      <c r="A942" s="258">
        <v>46097</v>
      </c>
      <c r="B942" s="325" t="s">
        <v>1861</v>
      </c>
      <c r="C942" s="32" t="s">
        <v>6359</v>
      </c>
      <c r="D942" s="18" t="s">
        <v>2457</v>
      </c>
      <c r="E942" s="18" t="s">
        <v>1615</v>
      </c>
      <c r="F942" s="63"/>
      <c r="G942" s="50" t="s">
        <v>6360</v>
      </c>
      <c r="H942" s="399">
        <v>15000</v>
      </c>
      <c r="I942" s="399"/>
      <c r="J942" s="350">
        <f t="shared" si="633"/>
        <v>15000</v>
      </c>
      <c r="K942" s="18">
        <v>1</v>
      </c>
      <c r="L942" s="350">
        <f t="shared" si="634"/>
        <v>15000</v>
      </c>
      <c r="M942" s="356">
        <f t="shared" si="635"/>
        <v>16500</v>
      </c>
      <c r="N942" s="258" t="s">
        <v>1516</v>
      </c>
      <c r="O942" s="456"/>
      <c r="Q942" s="18" t="s">
        <v>6361</v>
      </c>
      <c r="R942" s="18" t="s">
        <v>6361</v>
      </c>
    </row>
    <row r="943" spans="1:27" ht="21.75" customHeight="1" x14ac:dyDescent="0.4">
      <c r="A943" s="258">
        <v>46097</v>
      </c>
      <c r="B943" s="325" t="s">
        <v>6362</v>
      </c>
      <c r="C943" s="32" t="s">
        <v>2557</v>
      </c>
      <c r="D943" s="18" t="s">
        <v>2457</v>
      </c>
      <c r="E943" s="18" t="s">
        <v>1615</v>
      </c>
      <c r="F943" s="258"/>
      <c r="G943" s="50" t="s">
        <v>6360</v>
      </c>
      <c r="H943" s="399">
        <v>15000</v>
      </c>
      <c r="I943" s="399"/>
      <c r="J943" s="350">
        <f t="shared" si="633"/>
        <v>15000</v>
      </c>
      <c r="K943" s="18">
        <v>1</v>
      </c>
      <c r="L943" s="350">
        <f t="shared" si="634"/>
        <v>15000</v>
      </c>
      <c r="M943" s="356">
        <f t="shared" si="635"/>
        <v>16500</v>
      </c>
      <c r="N943" s="258" t="s">
        <v>1516</v>
      </c>
      <c r="O943" s="456"/>
      <c r="Q943" s="18" t="s">
        <v>6363</v>
      </c>
      <c r="R943" s="18" t="s">
        <v>6363</v>
      </c>
    </row>
    <row r="944" spans="1:27" ht="21.75" customHeight="1" x14ac:dyDescent="0.4">
      <c r="A944" s="258">
        <v>46097</v>
      </c>
      <c r="B944" s="325" t="s">
        <v>5032</v>
      </c>
      <c r="C944" s="32" t="s">
        <v>2557</v>
      </c>
      <c r="D944" s="18" t="s">
        <v>2457</v>
      </c>
      <c r="E944" s="18" t="s">
        <v>1615</v>
      </c>
      <c r="F944" s="258"/>
      <c r="G944" s="50" t="s">
        <v>6360</v>
      </c>
      <c r="H944" s="399">
        <v>15000</v>
      </c>
      <c r="I944" s="399"/>
      <c r="J944" s="350">
        <f t="shared" si="633"/>
        <v>15000</v>
      </c>
      <c r="K944" s="18">
        <v>1</v>
      </c>
      <c r="L944" s="350">
        <f t="shared" si="634"/>
        <v>15000</v>
      </c>
      <c r="M944" s="356">
        <f t="shared" si="635"/>
        <v>16500</v>
      </c>
      <c r="N944" s="258" t="s">
        <v>1516</v>
      </c>
      <c r="O944" s="456"/>
      <c r="Q944" s="18" t="s">
        <v>6364</v>
      </c>
      <c r="R944" s="18" t="s">
        <v>2596</v>
      </c>
    </row>
    <row r="945" spans="1:27" ht="21.75" customHeight="1" x14ac:dyDescent="0.4">
      <c r="A945" s="258">
        <v>46097</v>
      </c>
      <c r="B945" s="325" t="s">
        <v>6373</v>
      </c>
      <c r="C945" s="32" t="s">
        <v>2557</v>
      </c>
      <c r="D945" s="18" t="s">
        <v>27</v>
      </c>
      <c r="E945" s="18" t="s">
        <v>4409</v>
      </c>
      <c r="F945" s="258"/>
      <c r="G945" s="63" t="s">
        <v>6269</v>
      </c>
      <c r="H945" s="399">
        <v>17500</v>
      </c>
      <c r="I945" s="399"/>
      <c r="J945" s="350">
        <f t="shared" ref="J945" si="647">SUM(H945:I945)</f>
        <v>17500</v>
      </c>
      <c r="K945" s="18">
        <v>1</v>
      </c>
      <c r="L945" s="350">
        <f t="shared" ref="L945" si="648">SUM(J945*K945)</f>
        <v>17500</v>
      </c>
      <c r="M945" s="356">
        <f t="shared" ref="M945" si="649">ROUNDDOWN(L945*1.1,0)</f>
        <v>19250</v>
      </c>
      <c r="N945" s="258" t="s">
        <v>1516</v>
      </c>
      <c r="O945" s="454" t="s">
        <v>6356</v>
      </c>
      <c r="Q945" s="18" t="s">
        <v>6374</v>
      </c>
      <c r="R945" s="18" t="s">
        <v>6375</v>
      </c>
    </row>
    <row r="946" spans="1:27" ht="21.75" customHeight="1" x14ac:dyDescent="0.4">
      <c r="A946" s="258">
        <v>46098</v>
      </c>
      <c r="B946" s="325" t="s">
        <v>6372</v>
      </c>
      <c r="C946" s="32" t="s">
        <v>4292</v>
      </c>
      <c r="D946" s="258" t="s">
        <v>6365</v>
      </c>
      <c r="E946" s="258" t="s">
        <v>1442</v>
      </c>
      <c r="F946" s="258" t="s">
        <v>6366</v>
      </c>
      <c r="G946" s="461" t="s">
        <v>6367</v>
      </c>
      <c r="H946" s="399">
        <v>14260</v>
      </c>
      <c r="I946" s="399"/>
      <c r="J946" s="350">
        <v>14260</v>
      </c>
      <c r="K946" s="18">
        <v>3</v>
      </c>
      <c r="L946" s="350">
        <f t="shared" si="634"/>
        <v>42780</v>
      </c>
      <c r="M946" s="356">
        <f t="shared" si="635"/>
        <v>47058</v>
      </c>
      <c r="N946" s="258" t="s">
        <v>1121</v>
      </c>
      <c r="O946" s="456"/>
      <c r="P946" s="18" t="s">
        <v>2595</v>
      </c>
      <c r="Q946" s="18" t="s">
        <v>2595</v>
      </c>
      <c r="R946" s="18" t="s">
        <v>2595</v>
      </c>
      <c r="W946" s="354">
        <f t="shared" ref="W946:W947" si="650">X946/H946</f>
        <v>1</v>
      </c>
      <c r="X946" s="367">
        <v>14260</v>
      </c>
      <c r="Y946" s="355">
        <v>3</v>
      </c>
      <c r="AA946" s="355">
        <f t="shared" ref="AA946:AA947" si="651">L946-Z946</f>
        <v>42780</v>
      </c>
    </row>
    <row r="947" spans="1:27" ht="21.75" customHeight="1" x14ac:dyDescent="0.4">
      <c r="A947" s="258">
        <v>46099</v>
      </c>
      <c r="B947" s="325" t="s">
        <v>6368</v>
      </c>
      <c r="C947" s="32" t="s">
        <v>6369</v>
      </c>
      <c r="D947" s="258" t="s">
        <v>6370</v>
      </c>
      <c r="E947" s="258" t="s">
        <v>426</v>
      </c>
      <c r="F947" s="18" t="s">
        <v>994</v>
      </c>
      <c r="G947" s="433" t="s">
        <v>6081</v>
      </c>
      <c r="H947" s="406">
        <v>1800</v>
      </c>
      <c r="I947" s="406">
        <v>-180</v>
      </c>
      <c r="J947" s="350">
        <f t="shared" ref="J947:J952" si="652">SUM(H947:I947)</f>
        <v>1620</v>
      </c>
      <c r="K947" s="18">
        <v>1</v>
      </c>
      <c r="L947" s="350">
        <f t="shared" si="634"/>
        <v>1620</v>
      </c>
      <c r="M947" s="357">
        <f t="shared" si="635"/>
        <v>1782</v>
      </c>
      <c r="N947" s="18" t="s">
        <v>1121</v>
      </c>
      <c r="O947" s="456"/>
      <c r="Q947" s="18" t="s">
        <v>6371</v>
      </c>
      <c r="R947" s="18" t="s">
        <v>6371</v>
      </c>
      <c r="W947" s="354">
        <f t="shared" si="650"/>
        <v>0.6</v>
      </c>
      <c r="X947" s="355">
        <v>1080</v>
      </c>
      <c r="Y947" s="355">
        <v>1</v>
      </c>
      <c r="Z947" s="355">
        <v>1080</v>
      </c>
      <c r="AA947" s="355">
        <f t="shared" si="651"/>
        <v>540</v>
      </c>
    </row>
    <row r="948" spans="1:27" ht="21.75" customHeight="1" x14ac:dyDescent="0.4">
      <c r="A948" s="258">
        <v>46100</v>
      </c>
      <c r="B948" s="325" t="s">
        <v>2433</v>
      </c>
      <c r="C948" s="32" t="s">
        <v>2557</v>
      </c>
      <c r="D948" s="18" t="s">
        <v>2457</v>
      </c>
      <c r="E948" s="18" t="s">
        <v>1615</v>
      </c>
      <c r="F948" s="258"/>
      <c r="G948" s="50" t="s">
        <v>6360</v>
      </c>
      <c r="H948" s="399">
        <v>15000</v>
      </c>
      <c r="I948" s="399"/>
      <c r="J948" s="350">
        <f t="shared" si="652"/>
        <v>15000</v>
      </c>
      <c r="K948" s="18">
        <v>1</v>
      </c>
      <c r="L948" s="350">
        <f t="shared" ref="L948:L952" si="653">SUM(J948*K948)</f>
        <v>15000</v>
      </c>
      <c r="M948" s="356">
        <f t="shared" ref="M948:M952" si="654">ROUNDDOWN(L948*1.1,0)</f>
        <v>16500</v>
      </c>
      <c r="N948" s="258" t="s">
        <v>1516</v>
      </c>
      <c r="O948" s="456"/>
      <c r="Q948" s="18" t="s">
        <v>6375</v>
      </c>
      <c r="R948" s="18" t="s">
        <v>6375</v>
      </c>
      <c r="S948" s="457"/>
    </row>
    <row r="949" spans="1:27" ht="21.75" customHeight="1" x14ac:dyDescent="0.4">
      <c r="A949" s="258">
        <v>46100</v>
      </c>
      <c r="B949" s="325" t="s">
        <v>6376</v>
      </c>
      <c r="C949" s="32" t="s">
        <v>2557</v>
      </c>
      <c r="D949" s="18" t="s">
        <v>27</v>
      </c>
      <c r="E949" s="18" t="s">
        <v>4409</v>
      </c>
      <c r="F949" s="258"/>
      <c r="G949" s="63" t="s">
        <v>6269</v>
      </c>
      <c r="H949" s="399">
        <v>17500</v>
      </c>
      <c r="I949" s="399"/>
      <c r="J949" s="350">
        <f t="shared" si="652"/>
        <v>17500</v>
      </c>
      <c r="K949" s="18">
        <v>1</v>
      </c>
      <c r="L949" s="350">
        <f t="shared" si="653"/>
        <v>17500</v>
      </c>
      <c r="M949" s="356">
        <f t="shared" si="654"/>
        <v>19250</v>
      </c>
      <c r="N949" s="258" t="s">
        <v>20</v>
      </c>
      <c r="O949" s="454" t="s">
        <v>6356</v>
      </c>
      <c r="Q949" s="18" t="s">
        <v>4803</v>
      </c>
      <c r="R949" s="18" t="s">
        <v>4803</v>
      </c>
    </row>
    <row r="950" spans="1:27" ht="21.75" customHeight="1" x14ac:dyDescent="0.4">
      <c r="A950" s="258">
        <v>46100</v>
      </c>
      <c r="B950" s="325" t="s">
        <v>2088</v>
      </c>
      <c r="C950" s="32" t="s">
        <v>2557</v>
      </c>
      <c r="D950" s="258" t="s">
        <v>22</v>
      </c>
      <c r="E950" s="258" t="s">
        <v>1496</v>
      </c>
      <c r="F950" s="258"/>
      <c r="G950" s="63" t="s">
        <v>4869</v>
      </c>
      <c r="H950" s="399">
        <v>2000</v>
      </c>
      <c r="I950" s="399"/>
      <c r="J950" s="350">
        <f t="shared" si="652"/>
        <v>2000</v>
      </c>
      <c r="K950" s="18">
        <v>1</v>
      </c>
      <c r="L950" s="350">
        <f t="shared" si="653"/>
        <v>2000</v>
      </c>
      <c r="M950" s="356">
        <f t="shared" si="654"/>
        <v>2200</v>
      </c>
      <c r="N950" s="258" t="s">
        <v>1516</v>
      </c>
      <c r="O950" s="456"/>
      <c r="P950" s="18" t="s">
        <v>5449</v>
      </c>
      <c r="Q950" s="18" t="s">
        <v>5449</v>
      </c>
      <c r="R950" s="18" t="s">
        <v>5449</v>
      </c>
    </row>
    <row r="951" spans="1:27" ht="21.75" customHeight="1" x14ac:dyDescent="0.4">
      <c r="A951" s="258">
        <v>46101</v>
      </c>
      <c r="B951" s="325" t="s">
        <v>6377</v>
      </c>
      <c r="C951" s="32" t="s">
        <v>2557</v>
      </c>
      <c r="D951" s="18" t="s">
        <v>17</v>
      </c>
      <c r="E951" s="258" t="s">
        <v>328</v>
      </c>
      <c r="F951" s="18" t="s">
        <v>6378</v>
      </c>
      <c r="G951" s="63" t="s">
        <v>6380</v>
      </c>
      <c r="H951" s="399">
        <v>50000</v>
      </c>
      <c r="I951" s="399">
        <v>-15000</v>
      </c>
      <c r="J951" s="350">
        <f t="shared" si="652"/>
        <v>35000</v>
      </c>
      <c r="K951" s="18">
        <v>1</v>
      </c>
      <c r="L951" s="350">
        <f t="shared" si="653"/>
        <v>35000</v>
      </c>
      <c r="M951" s="356">
        <f t="shared" si="654"/>
        <v>38500</v>
      </c>
      <c r="N951" s="258" t="s">
        <v>1121</v>
      </c>
      <c r="O951" s="456"/>
      <c r="Q951" s="18" t="s">
        <v>6379</v>
      </c>
      <c r="R951" s="18" t="s">
        <v>6379</v>
      </c>
      <c r="W951" s="354">
        <f t="shared" ref="W951:W953" si="655">X951/H951</f>
        <v>0.45</v>
      </c>
      <c r="X951" s="355">
        <v>22500</v>
      </c>
      <c r="Y951" s="355">
        <v>1</v>
      </c>
      <c r="Z951" s="355">
        <v>22500</v>
      </c>
      <c r="AA951" s="355">
        <f t="shared" ref="AA951:AA954" si="656">L951-Z951</f>
        <v>12500</v>
      </c>
    </row>
    <row r="952" spans="1:27" ht="21.75" customHeight="1" x14ac:dyDescent="0.4">
      <c r="A952" s="258">
        <v>46101</v>
      </c>
      <c r="B952" s="325" t="s">
        <v>6377</v>
      </c>
      <c r="C952" s="32" t="s">
        <v>2557</v>
      </c>
      <c r="D952" s="18" t="s">
        <v>17</v>
      </c>
      <c r="E952" s="258" t="s">
        <v>332</v>
      </c>
      <c r="F952" s="258" t="s">
        <v>3555</v>
      </c>
      <c r="G952" s="63" t="s">
        <v>6381</v>
      </c>
      <c r="H952" s="399">
        <v>1900</v>
      </c>
      <c r="I952" s="399">
        <v>-190</v>
      </c>
      <c r="J952" s="350">
        <f t="shared" si="652"/>
        <v>1710</v>
      </c>
      <c r="K952" s="18">
        <v>2</v>
      </c>
      <c r="L952" s="350">
        <f t="shared" si="653"/>
        <v>3420</v>
      </c>
      <c r="M952" s="356">
        <f t="shared" si="654"/>
        <v>3762</v>
      </c>
      <c r="N952" s="258" t="s">
        <v>1121</v>
      </c>
      <c r="O952" s="456"/>
      <c r="Q952" s="18" t="s">
        <v>6379</v>
      </c>
      <c r="R952" s="18" t="s">
        <v>6379</v>
      </c>
      <c r="S952" s="457"/>
      <c r="W952" s="354">
        <f t="shared" si="655"/>
        <v>0.5368421052631579</v>
      </c>
      <c r="X952" s="355">
        <v>1020</v>
      </c>
      <c r="Y952" s="355">
        <v>1</v>
      </c>
      <c r="Z952" s="355">
        <v>1020</v>
      </c>
      <c r="AA952" s="355">
        <f t="shared" si="656"/>
        <v>2400</v>
      </c>
    </row>
    <row r="953" spans="1:27" ht="21.75" customHeight="1" x14ac:dyDescent="0.4">
      <c r="A953" s="258">
        <v>46101</v>
      </c>
      <c r="B953" s="325" t="s">
        <v>6384</v>
      </c>
      <c r="C953" s="32" t="s">
        <v>2557</v>
      </c>
      <c r="D953" s="18" t="s">
        <v>17</v>
      </c>
      <c r="E953" s="258" t="s">
        <v>328</v>
      </c>
      <c r="F953" s="18" t="s">
        <v>3595</v>
      </c>
      <c r="G953" s="433" t="s">
        <v>6382</v>
      </c>
      <c r="H953" s="399">
        <v>50000</v>
      </c>
      <c r="I953" s="399">
        <v>-25000</v>
      </c>
      <c r="J953" s="350">
        <f t="shared" si="633"/>
        <v>25000</v>
      </c>
      <c r="K953" s="18">
        <v>1</v>
      </c>
      <c r="L953" s="350">
        <f t="shared" si="634"/>
        <v>25000</v>
      </c>
      <c r="M953" s="356">
        <f t="shared" si="635"/>
        <v>27500</v>
      </c>
      <c r="N953" s="258" t="s">
        <v>1121</v>
      </c>
      <c r="O953" s="456"/>
      <c r="Q953" s="18" t="s">
        <v>4803</v>
      </c>
      <c r="R953" s="18" t="s">
        <v>4803</v>
      </c>
      <c r="W953" s="354">
        <f t="shared" si="655"/>
        <v>0.4</v>
      </c>
      <c r="X953" s="367">
        <v>20000</v>
      </c>
      <c r="Y953" s="355">
        <v>1</v>
      </c>
      <c r="AA953" s="355">
        <f t="shared" si="656"/>
        <v>25000</v>
      </c>
    </row>
    <row r="954" spans="1:27" ht="21.75" customHeight="1" x14ac:dyDescent="0.4">
      <c r="A954" s="258">
        <v>46101</v>
      </c>
      <c r="B954" s="325" t="s">
        <v>6384</v>
      </c>
      <c r="C954" s="32" t="s">
        <v>2557</v>
      </c>
      <c r="D954" s="18" t="s">
        <v>17</v>
      </c>
      <c r="E954" s="258" t="s">
        <v>332</v>
      </c>
      <c r="F954" s="258" t="s">
        <v>3555</v>
      </c>
      <c r="G954" s="433" t="s">
        <v>6383</v>
      </c>
      <c r="H954" s="399">
        <v>1500</v>
      </c>
      <c r="I954" s="399">
        <v>-150</v>
      </c>
      <c r="J954" s="350">
        <f t="shared" si="633"/>
        <v>1350</v>
      </c>
      <c r="K954" s="18">
        <v>1</v>
      </c>
      <c r="L954" s="350">
        <f t="shared" si="634"/>
        <v>1350</v>
      </c>
      <c r="M954" s="356">
        <f t="shared" si="635"/>
        <v>1485</v>
      </c>
      <c r="N954" s="258" t="s">
        <v>1121</v>
      </c>
      <c r="O954" s="456"/>
      <c r="Q954" s="18" t="s">
        <v>4803</v>
      </c>
      <c r="R954" s="18" t="s">
        <v>4803</v>
      </c>
      <c r="S954" s="457"/>
      <c r="W954" s="354">
        <f t="shared" ref="W954:W958" si="657">X954/H954</f>
        <v>0.50266666666666671</v>
      </c>
      <c r="X954" s="355">
        <v>754</v>
      </c>
      <c r="Y954" s="355">
        <v>1</v>
      </c>
      <c r="Z954" s="355">
        <v>754</v>
      </c>
      <c r="AA954" s="355">
        <f t="shared" si="656"/>
        <v>596</v>
      </c>
    </row>
    <row r="955" spans="1:27" ht="21.75" customHeight="1" x14ac:dyDescent="0.4">
      <c r="A955" s="258">
        <v>46101</v>
      </c>
      <c r="B955" s="325" t="s">
        <v>6399</v>
      </c>
      <c r="C955" s="32" t="s">
        <v>2557</v>
      </c>
      <c r="D955" s="18" t="s">
        <v>27</v>
      </c>
      <c r="E955" s="242" t="s">
        <v>5237</v>
      </c>
      <c r="F955" s="258"/>
      <c r="G955" s="433" t="s">
        <v>6148</v>
      </c>
      <c r="H955" s="399">
        <v>1800</v>
      </c>
      <c r="I955" s="399"/>
      <c r="J955" s="350">
        <f t="shared" si="633"/>
        <v>1800</v>
      </c>
      <c r="K955" s="18">
        <v>1</v>
      </c>
      <c r="L955" s="350">
        <f t="shared" si="634"/>
        <v>1800</v>
      </c>
      <c r="M955" s="356">
        <f t="shared" si="635"/>
        <v>1980</v>
      </c>
      <c r="N955" s="18" t="s">
        <v>4233</v>
      </c>
      <c r="O955" s="456"/>
      <c r="R955" s="18" t="s">
        <v>4803</v>
      </c>
      <c r="S955" s="457"/>
    </row>
    <row r="956" spans="1:27" ht="21.75" customHeight="1" x14ac:dyDescent="0.4">
      <c r="A956" s="258">
        <v>46102</v>
      </c>
      <c r="B956" s="325" t="s">
        <v>6385</v>
      </c>
      <c r="C956" s="32" t="s">
        <v>2557</v>
      </c>
      <c r="D956" s="18" t="s">
        <v>2457</v>
      </c>
      <c r="E956" s="18" t="s">
        <v>1615</v>
      </c>
      <c r="F956" s="63"/>
      <c r="G956" s="50" t="s">
        <v>6360</v>
      </c>
      <c r="H956" s="399">
        <v>15000</v>
      </c>
      <c r="I956" s="399"/>
      <c r="J956" s="350">
        <f t="shared" ref="J956" si="658">SUM(H956:I956)</f>
        <v>15000</v>
      </c>
      <c r="K956" s="18">
        <v>1</v>
      </c>
      <c r="L956" s="350">
        <f t="shared" ref="L956" si="659">SUM(J956*K956)</f>
        <v>15000</v>
      </c>
      <c r="M956" s="356">
        <f t="shared" ref="M956" si="660">ROUNDDOWN(L956*1.1,0)</f>
        <v>16500</v>
      </c>
      <c r="N956" s="258" t="s">
        <v>1516</v>
      </c>
      <c r="O956" s="456"/>
      <c r="Q956" s="18" t="s">
        <v>5449</v>
      </c>
      <c r="R956" s="18" t="s">
        <v>5449</v>
      </c>
    </row>
    <row r="957" spans="1:27" ht="21.75" customHeight="1" x14ac:dyDescent="0.4">
      <c r="A957" s="258">
        <v>46102</v>
      </c>
      <c r="B957" s="325" t="s">
        <v>139</v>
      </c>
      <c r="C957" s="32" t="s">
        <v>2557</v>
      </c>
      <c r="D957" s="258" t="s">
        <v>17</v>
      </c>
      <c r="E957" s="258" t="s">
        <v>292</v>
      </c>
      <c r="F957" s="18" t="s">
        <v>3642</v>
      </c>
      <c r="G957" s="433" t="s">
        <v>6386</v>
      </c>
      <c r="H957" s="399">
        <v>5800</v>
      </c>
      <c r="I957" s="399">
        <v>-580</v>
      </c>
      <c r="J957" s="350">
        <f t="shared" si="633"/>
        <v>5220</v>
      </c>
      <c r="K957" s="18">
        <v>1</v>
      </c>
      <c r="L957" s="350">
        <f t="shared" si="634"/>
        <v>5220</v>
      </c>
      <c r="M957" s="356">
        <f t="shared" si="635"/>
        <v>5742</v>
      </c>
      <c r="N957" s="258" t="s">
        <v>1516</v>
      </c>
      <c r="O957" s="456"/>
      <c r="Q957" s="18" t="s">
        <v>2594</v>
      </c>
      <c r="R957" s="18" t="s">
        <v>2594</v>
      </c>
      <c r="W957" s="354">
        <f t="shared" si="657"/>
        <v>0.75</v>
      </c>
      <c r="X957" s="355">
        <v>4350</v>
      </c>
      <c r="Y957" s="355">
        <v>1</v>
      </c>
      <c r="Z957" s="355">
        <v>4350</v>
      </c>
      <c r="AA957" s="355">
        <f t="shared" ref="AA957:AA958" si="661">L957-Z957</f>
        <v>870</v>
      </c>
    </row>
    <row r="958" spans="1:27" ht="21.75" customHeight="1" x14ac:dyDescent="0.4">
      <c r="A958" s="258">
        <v>46102</v>
      </c>
      <c r="B958" s="325" t="s">
        <v>6387</v>
      </c>
      <c r="C958" s="32" t="s">
        <v>6388</v>
      </c>
      <c r="D958" s="258" t="s">
        <v>17</v>
      </c>
      <c r="E958" s="258" t="s">
        <v>332</v>
      </c>
      <c r="F958" s="258" t="s">
        <v>3555</v>
      </c>
      <c r="G958" s="433" t="s">
        <v>6243</v>
      </c>
      <c r="H958" s="399">
        <v>1900</v>
      </c>
      <c r="I958" s="399">
        <v>-190</v>
      </c>
      <c r="J958" s="350">
        <f t="shared" si="633"/>
        <v>1710</v>
      </c>
      <c r="K958" s="18">
        <v>1</v>
      </c>
      <c r="L958" s="350">
        <f t="shared" si="634"/>
        <v>1710</v>
      </c>
      <c r="M958" s="356">
        <f t="shared" si="635"/>
        <v>1881</v>
      </c>
      <c r="N958" s="258" t="s">
        <v>20</v>
      </c>
      <c r="O958" s="456"/>
      <c r="Q958" s="18" t="s">
        <v>2594</v>
      </c>
      <c r="R958" s="18" t="s">
        <v>2594</v>
      </c>
      <c r="W958" s="354">
        <f t="shared" si="657"/>
        <v>0.5368421052631579</v>
      </c>
      <c r="X958" s="355">
        <v>1020</v>
      </c>
      <c r="Y958" s="355">
        <v>1</v>
      </c>
      <c r="Z958" s="355">
        <v>986</v>
      </c>
      <c r="AA958" s="355">
        <f t="shared" si="661"/>
        <v>724</v>
      </c>
    </row>
    <row r="959" spans="1:27" ht="21.75" customHeight="1" x14ac:dyDescent="0.4">
      <c r="A959" s="258">
        <v>46102</v>
      </c>
      <c r="B959" s="325" t="s">
        <v>139</v>
      </c>
      <c r="C959" s="32" t="s">
        <v>2557</v>
      </c>
      <c r="D959" s="258" t="s">
        <v>22</v>
      </c>
      <c r="E959" s="258" t="s">
        <v>1496</v>
      </c>
      <c r="F959" s="258"/>
      <c r="G959" s="63" t="s">
        <v>4869</v>
      </c>
      <c r="H959" s="399">
        <v>2000</v>
      </c>
      <c r="I959" s="399"/>
      <c r="J959" s="350">
        <f t="shared" si="633"/>
        <v>2000</v>
      </c>
      <c r="K959" s="18">
        <v>1</v>
      </c>
      <c r="L959" s="350">
        <f t="shared" si="634"/>
        <v>2000</v>
      </c>
      <c r="M959" s="356">
        <f t="shared" si="635"/>
        <v>2200</v>
      </c>
      <c r="N959" s="258" t="s">
        <v>1516</v>
      </c>
      <c r="O959" s="456"/>
      <c r="P959" s="18" t="s">
        <v>6392</v>
      </c>
      <c r="Q959" s="18" t="s">
        <v>5449</v>
      </c>
      <c r="R959" s="18" t="s">
        <v>2594</v>
      </c>
    </row>
    <row r="960" spans="1:27" ht="21.75" customHeight="1" x14ac:dyDescent="0.4">
      <c r="A960" s="258">
        <v>46102</v>
      </c>
      <c r="B960" s="325" t="s">
        <v>5023</v>
      </c>
      <c r="C960" s="32" t="s">
        <v>2557</v>
      </c>
      <c r="D960" s="258" t="s">
        <v>22</v>
      </c>
      <c r="E960" s="258" t="s">
        <v>1496</v>
      </c>
      <c r="F960" s="258"/>
      <c r="G960" s="63" t="s">
        <v>4869</v>
      </c>
      <c r="H960" s="399">
        <v>2000</v>
      </c>
      <c r="I960" s="399"/>
      <c r="J960" s="350">
        <f t="shared" si="633"/>
        <v>2000</v>
      </c>
      <c r="K960" s="18">
        <v>1</v>
      </c>
      <c r="L960" s="350">
        <f t="shared" si="634"/>
        <v>2000</v>
      </c>
      <c r="M960" s="356">
        <f t="shared" si="635"/>
        <v>2200</v>
      </c>
      <c r="N960" s="258" t="s">
        <v>20</v>
      </c>
      <c r="O960" s="456"/>
      <c r="P960" s="18" t="s">
        <v>6392</v>
      </c>
      <c r="Q960" s="18" t="s">
        <v>5449</v>
      </c>
      <c r="R960" s="18" t="s">
        <v>2594</v>
      </c>
    </row>
    <row r="961" spans="1:27" ht="21.75" customHeight="1" x14ac:dyDescent="0.4">
      <c r="A961" s="258">
        <v>46102</v>
      </c>
      <c r="B961" s="325" t="s">
        <v>6389</v>
      </c>
      <c r="C961" s="32" t="s">
        <v>6388</v>
      </c>
      <c r="D961" s="258" t="s">
        <v>22</v>
      </c>
      <c r="E961" s="258" t="s">
        <v>1496</v>
      </c>
      <c r="F961" s="258"/>
      <c r="G961" s="63" t="s">
        <v>4869</v>
      </c>
      <c r="H961" s="399">
        <v>2000</v>
      </c>
      <c r="I961" s="399"/>
      <c r="J961" s="350">
        <f t="shared" si="633"/>
        <v>2000</v>
      </c>
      <c r="K961" s="18">
        <v>1</v>
      </c>
      <c r="L961" s="350">
        <f t="shared" si="634"/>
        <v>2000</v>
      </c>
      <c r="M961" s="356">
        <f t="shared" si="635"/>
        <v>2200</v>
      </c>
      <c r="N961" s="258" t="s">
        <v>20</v>
      </c>
      <c r="O961" s="456"/>
      <c r="P961" s="18" t="s">
        <v>6391</v>
      </c>
      <c r="Q961" s="18" t="s">
        <v>2595</v>
      </c>
      <c r="R961" s="18" t="s">
        <v>2594</v>
      </c>
    </row>
    <row r="962" spans="1:27" ht="21.75" customHeight="1" x14ac:dyDescent="0.4">
      <c r="A962" s="258">
        <v>46102</v>
      </c>
      <c r="B962" s="325" t="s">
        <v>139</v>
      </c>
      <c r="C962" s="32" t="s">
        <v>2557</v>
      </c>
      <c r="D962" s="258" t="s">
        <v>17</v>
      </c>
      <c r="E962" s="258" t="s">
        <v>426</v>
      </c>
      <c r="F962" s="18" t="s">
        <v>994</v>
      </c>
      <c r="G962" s="433" t="s">
        <v>6390</v>
      </c>
      <c r="H962" s="399">
        <v>1800</v>
      </c>
      <c r="I962" s="399">
        <v>-180</v>
      </c>
      <c r="J962" s="350">
        <f t="shared" si="633"/>
        <v>1620</v>
      </c>
      <c r="K962" s="18">
        <v>2</v>
      </c>
      <c r="L962" s="350">
        <f t="shared" si="634"/>
        <v>3240</v>
      </c>
      <c r="M962" s="356">
        <f t="shared" si="635"/>
        <v>3564</v>
      </c>
      <c r="N962" s="258" t="s">
        <v>1516</v>
      </c>
      <c r="O962" s="456"/>
      <c r="Q962" s="18" t="s">
        <v>2594</v>
      </c>
      <c r="R962" s="18" t="s">
        <v>2594</v>
      </c>
      <c r="W962" s="354">
        <f t="shared" ref="W962" si="662">X962/H962</f>
        <v>0.6</v>
      </c>
      <c r="X962" s="355">
        <v>1080</v>
      </c>
      <c r="Y962" s="355">
        <v>2</v>
      </c>
      <c r="Z962" s="355">
        <v>2160</v>
      </c>
      <c r="AA962" s="355">
        <f>L962-Z962</f>
        <v>1080</v>
      </c>
    </row>
    <row r="963" spans="1:27" ht="21.75" customHeight="1" x14ac:dyDescent="0.4">
      <c r="A963" s="258">
        <v>46103</v>
      </c>
      <c r="B963" s="325" t="s">
        <v>5023</v>
      </c>
      <c r="C963" s="32" t="s">
        <v>2557</v>
      </c>
      <c r="D963" s="18" t="s">
        <v>22</v>
      </c>
      <c r="E963" s="18" t="s">
        <v>22</v>
      </c>
      <c r="F963" s="18"/>
      <c r="G963" s="63" t="s">
        <v>4869</v>
      </c>
      <c r="H963" s="399">
        <v>2000</v>
      </c>
      <c r="I963" s="399"/>
      <c r="J963" s="350">
        <f t="shared" si="633"/>
        <v>2000</v>
      </c>
      <c r="K963" s="18">
        <v>1</v>
      </c>
      <c r="L963" s="350">
        <f t="shared" si="634"/>
        <v>2000</v>
      </c>
      <c r="M963" s="356">
        <f t="shared" si="635"/>
        <v>2200</v>
      </c>
      <c r="N963" s="258" t="s">
        <v>20</v>
      </c>
      <c r="O963" s="456"/>
      <c r="P963" s="18" t="s">
        <v>5449</v>
      </c>
      <c r="Q963" s="18" t="s">
        <v>5449</v>
      </c>
      <c r="R963" s="18" t="s">
        <v>5449</v>
      </c>
    </row>
    <row r="964" spans="1:27" ht="21.75" customHeight="1" x14ac:dyDescent="0.4">
      <c r="A964" s="258">
        <v>46103</v>
      </c>
      <c r="B964" s="325" t="s">
        <v>4836</v>
      </c>
      <c r="C964" s="32" t="s">
        <v>2557</v>
      </c>
      <c r="D964" s="258" t="s">
        <v>17</v>
      </c>
      <c r="E964" s="258" t="s">
        <v>332</v>
      </c>
      <c r="F964" s="258" t="s">
        <v>3555</v>
      </c>
      <c r="G964" s="433" t="s">
        <v>6383</v>
      </c>
      <c r="H964" s="399">
        <v>1500</v>
      </c>
      <c r="I964" s="399">
        <v>-150</v>
      </c>
      <c r="J964" s="350">
        <f t="shared" ref="J964:J965" si="663">SUM(H964:I964)</f>
        <v>1350</v>
      </c>
      <c r="K964" s="18">
        <v>1</v>
      </c>
      <c r="L964" s="350">
        <f t="shared" ref="L964:L965" si="664">SUM(J964*K964)</f>
        <v>1350</v>
      </c>
      <c r="M964" s="356">
        <f t="shared" ref="M964:M965" si="665">ROUNDDOWN(L964*1.1,0)</f>
        <v>1485</v>
      </c>
      <c r="N964" s="258" t="s">
        <v>1516</v>
      </c>
      <c r="O964" s="456"/>
      <c r="Q964" s="18" t="s">
        <v>5449</v>
      </c>
      <c r="R964" s="18" t="s">
        <v>5449</v>
      </c>
      <c r="W964" s="354">
        <f t="shared" ref="W964" si="666">X964/H964</f>
        <v>0.50266666666666671</v>
      </c>
      <c r="X964" s="355">
        <v>754</v>
      </c>
      <c r="Y964" s="355">
        <v>1</v>
      </c>
      <c r="Z964" s="355">
        <f>X964*Y964</f>
        <v>754</v>
      </c>
      <c r="AA964" s="355">
        <f>L964-Z964</f>
        <v>596</v>
      </c>
    </row>
    <row r="965" spans="1:27" ht="21.75" customHeight="1" x14ac:dyDescent="0.4">
      <c r="A965" s="258">
        <v>46103</v>
      </c>
      <c r="B965" s="325" t="s">
        <v>6144</v>
      </c>
      <c r="C965" s="32" t="s">
        <v>2557</v>
      </c>
      <c r="D965" s="18" t="s">
        <v>27</v>
      </c>
      <c r="E965" s="242" t="s">
        <v>5237</v>
      </c>
      <c r="F965" s="258"/>
      <c r="G965" s="63" t="s">
        <v>6032</v>
      </c>
      <c r="H965" s="399">
        <v>2500</v>
      </c>
      <c r="I965" s="399"/>
      <c r="J965" s="350">
        <f t="shared" si="663"/>
        <v>2500</v>
      </c>
      <c r="K965" s="18">
        <v>2</v>
      </c>
      <c r="L965" s="350">
        <f t="shared" si="664"/>
        <v>5000</v>
      </c>
      <c r="M965" s="356">
        <f t="shared" si="665"/>
        <v>5500</v>
      </c>
      <c r="N965" s="18" t="s">
        <v>4233</v>
      </c>
      <c r="O965" s="456"/>
      <c r="R965" s="18" t="s">
        <v>4803</v>
      </c>
    </row>
    <row r="966" spans="1:27" ht="21.75" customHeight="1" x14ac:dyDescent="0.4">
      <c r="A966" s="258">
        <v>46104</v>
      </c>
      <c r="B966" s="325" t="s">
        <v>5069</v>
      </c>
      <c r="C966" s="32" t="s">
        <v>2557</v>
      </c>
      <c r="D966" s="258" t="s">
        <v>22</v>
      </c>
      <c r="E966" s="258" t="s">
        <v>1496</v>
      </c>
      <c r="F966" s="258"/>
      <c r="G966" s="63" t="s">
        <v>4869</v>
      </c>
      <c r="H966" s="399">
        <v>2000</v>
      </c>
      <c r="I966" s="399"/>
      <c r="J966" s="350">
        <f t="shared" si="633"/>
        <v>2000</v>
      </c>
      <c r="K966" s="18">
        <v>2</v>
      </c>
      <c r="L966" s="350">
        <f t="shared" si="634"/>
        <v>4000</v>
      </c>
      <c r="M966" s="356">
        <f t="shared" si="635"/>
        <v>4400</v>
      </c>
      <c r="N966" s="258" t="s">
        <v>1516</v>
      </c>
      <c r="O966" s="456"/>
      <c r="P966" s="18" t="s">
        <v>5449</v>
      </c>
      <c r="Q966" s="18" t="s">
        <v>5449</v>
      </c>
      <c r="R966" s="18" t="s">
        <v>5449</v>
      </c>
    </row>
    <row r="967" spans="1:27" ht="21.75" customHeight="1" x14ac:dyDescent="0.4">
      <c r="A967" s="258">
        <v>46104</v>
      </c>
      <c r="B967" s="325" t="s">
        <v>5069</v>
      </c>
      <c r="C967" s="32" t="s">
        <v>2557</v>
      </c>
      <c r="D967" s="258" t="s">
        <v>17</v>
      </c>
      <c r="E967" s="258" t="s">
        <v>426</v>
      </c>
      <c r="F967" s="18" t="s">
        <v>994</v>
      </c>
      <c r="G967" s="433" t="s">
        <v>6436</v>
      </c>
      <c r="H967" s="399">
        <v>1800</v>
      </c>
      <c r="I967" s="399">
        <v>-180</v>
      </c>
      <c r="J967" s="350">
        <f t="shared" ref="J967:J968" si="667">SUM(H967:I967)</f>
        <v>1620</v>
      </c>
      <c r="K967" s="18">
        <v>2</v>
      </c>
      <c r="L967" s="350">
        <f t="shared" ref="L967:L968" si="668">SUM(J967*K967)</f>
        <v>3240</v>
      </c>
      <c r="M967" s="356">
        <f t="shared" ref="M967:M968" si="669">ROUNDDOWN(L967*1.1,0)</f>
        <v>3564</v>
      </c>
      <c r="N967" s="258" t="s">
        <v>1516</v>
      </c>
      <c r="O967" s="456"/>
      <c r="Q967" s="18" t="s">
        <v>5449</v>
      </c>
      <c r="R967" s="18" t="s">
        <v>5449</v>
      </c>
      <c r="W967" s="354">
        <f t="shared" ref="W967" si="670">X967/H967</f>
        <v>0.6</v>
      </c>
      <c r="X967" s="355">
        <v>1080</v>
      </c>
      <c r="Y967" s="355">
        <v>2</v>
      </c>
      <c r="Z967" s="355">
        <v>2160</v>
      </c>
      <c r="AA967" s="355">
        <f>L967-Z967</f>
        <v>1080</v>
      </c>
    </row>
    <row r="968" spans="1:27" ht="21.75" customHeight="1" x14ac:dyDescent="0.4">
      <c r="A968" s="258">
        <v>46104</v>
      </c>
      <c r="B968" s="325" t="s">
        <v>5069</v>
      </c>
      <c r="C968" s="32" t="s">
        <v>2557</v>
      </c>
      <c r="D968" s="18" t="s">
        <v>2457</v>
      </c>
      <c r="E968" s="18" t="s">
        <v>1615</v>
      </c>
      <c r="F968" s="63"/>
      <c r="G968" s="50" t="s">
        <v>6360</v>
      </c>
      <c r="H968" s="399">
        <v>15000</v>
      </c>
      <c r="I968" s="399"/>
      <c r="J968" s="350">
        <f t="shared" si="667"/>
        <v>15000</v>
      </c>
      <c r="K968" s="18">
        <v>1</v>
      </c>
      <c r="L968" s="350">
        <f t="shared" si="668"/>
        <v>15000</v>
      </c>
      <c r="M968" s="356">
        <f t="shared" si="669"/>
        <v>16500</v>
      </c>
      <c r="N968" s="258" t="s">
        <v>1516</v>
      </c>
      <c r="O968" s="456"/>
      <c r="Q968" s="18" t="s">
        <v>5449</v>
      </c>
      <c r="R968" s="18" t="s">
        <v>5449</v>
      </c>
    </row>
    <row r="969" spans="1:27" ht="21.75" customHeight="1" x14ac:dyDescent="0.4">
      <c r="A969" s="258">
        <v>46104</v>
      </c>
      <c r="B969" s="325" t="s">
        <v>1861</v>
      </c>
      <c r="C969" s="32" t="s">
        <v>2557</v>
      </c>
      <c r="D969" s="258" t="s">
        <v>22</v>
      </c>
      <c r="E969" s="258" t="s">
        <v>1496</v>
      </c>
      <c r="F969" s="258"/>
      <c r="G969" s="63" t="s">
        <v>4869</v>
      </c>
      <c r="H969" s="399">
        <v>2000</v>
      </c>
      <c r="I969" s="399"/>
      <c r="J969" s="350">
        <f t="shared" si="633"/>
        <v>2000</v>
      </c>
      <c r="K969" s="18">
        <v>1</v>
      </c>
      <c r="L969" s="350">
        <f t="shared" si="634"/>
        <v>2000</v>
      </c>
      <c r="M969" s="356">
        <f t="shared" si="635"/>
        <v>2200</v>
      </c>
      <c r="N969" s="258" t="s">
        <v>1516</v>
      </c>
      <c r="O969" s="456"/>
      <c r="P969" s="18" t="s">
        <v>5449</v>
      </c>
      <c r="Q969" s="18" t="s">
        <v>5449</v>
      </c>
      <c r="R969" s="18" t="s">
        <v>5449</v>
      </c>
    </row>
    <row r="970" spans="1:27" ht="21.75" customHeight="1" x14ac:dyDescent="0.4">
      <c r="A970" s="258">
        <v>46104</v>
      </c>
      <c r="B970" s="325" t="s">
        <v>6393</v>
      </c>
      <c r="C970" s="32" t="s">
        <v>2557</v>
      </c>
      <c r="D970" s="258" t="s">
        <v>17</v>
      </c>
      <c r="E970" s="258" t="s">
        <v>426</v>
      </c>
      <c r="F970" s="18" t="s">
        <v>994</v>
      </c>
      <c r="G970" s="433" t="s">
        <v>6435</v>
      </c>
      <c r="H970" s="399">
        <v>1800</v>
      </c>
      <c r="I970" s="399">
        <v>-180</v>
      </c>
      <c r="J970" s="350">
        <f t="shared" si="633"/>
        <v>1620</v>
      </c>
      <c r="K970" s="18">
        <v>1</v>
      </c>
      <c r="L970" s="350">
        <f t="shared" si="634"/>
        <v>1620</v>
      </c>
      <c r="M970" s="356">
        <f t="shared" si="635"/>
        <v>1782</v>
      </c>
      <c r="N970" s="258" t="s">
        <v>1516</v>
      </c>
      <c r="O970" s="456"/>
      <c r="P970" s="18" t="s">
        <v>2595</v>
      </c>
      <c r="Q970" s="18" t="s">
        <v>2595</v>
      </c>
      <c r="R970" s="18" t="s">
        <v>2595</v>
      </c>
      <c r="W970" s="354">
        <f t="shared" ref="W970" si="671">X970/H970</f>
        <v>0.6</v>
      </c>
      <c r="X970" s="355">
        <v>1080</v>
      </c>
      <c r="Y970" s="355">
        <v>1</v>
      </c>
      <c r="Z970" s="355">
        <v>1080</v>
      </c>
      <c r="AA970" s="355">
        <f>L970-Z970</f>
        <v>540</v>
      </c>
    </row>
    <row r="971" spans="1:27" ht="21.75" customHeight="1" x14ac:dyDescent="0.4">
      <c r="A971" s="258">
        <v>46104</v>
      </c>
      <c r="B971" s="325" t="s">
        <v>3424</v>
      </c>
      <c r="C971" s="32" t="s">
        <v>2557</v>
      </c>
      <c r="D971" s="258" t="s">
        <v>22</v>
      </c>
      <c r="E971" s="258" t="s">
        <v>1496</v>
      </c>
      <c r="F971" s="258"/>
      <c r="G971" s="63" t="s">
        <v>4869</v>
      </c>
      <c r="H971" s="399">
        <v>2000</v>
      </c>
      <c r="I971" s="399"/>
      <c r="J971" s="350">
        <f t="shared" si="633"/>
        <v>2000</v>
      </c>
      <c r="K971" s="18">
        <v>1</v>
      </c>
      <c r="L971" s="350">
        <f t="shared" si="634"/>
        <v>2000</v>
      </c>
      <c r="M971" s="356">
        <f t="shared" si="635"/>
        <v>2200</v>
      </c>
      <c r="N971" s="258" t="s">
        <v>1516</v>
      </c>
      <c r="O971" s="456"/>
      <c r="P971" s="18" t="s">
        <v>5449</v>
      </c>
      <c r="Q971" s="18" t="s">
        <v>6395</v>
      </c>
      <c r="R971" s="18" t="s">
        <v>6395</v>
      </c>
    </row>
    <row r="972" spans="1:27" ht="21.75" customHeight="1" x14ac:dyDescent="0.4">
      <c r="A972" s="258">
        <v>46104</v>
      </c>
      <c r="B972" s="325" t="s">
        <v>6036</v>
      </c>
      <c r="C972" s="32" t="s">
        <v>2557</v>
      </c>
      <c r="D972" s="258" t="s">
        <v>17</v>
      </c>
      <c r="E972" s="258" t="s">
        <v>332</v>
      </c>
      <c r="F972" s="258" t="s">
        <v>3556</v>
      </c>
      <c r="G972" s="433" t="s">
        <v>6394</v>
      </c>
      <c r="H972" s="399">
        <v>2000</v>
      </c>
      <c r="I972" s="399">
        <v>-200</v>
      </c>
      <c r="J972" s="350">
        <f t="shared" si="633"/>
        <v>1800</v>
      </c>
      <c r="K972" s="18">
        <v>1</v>
      </c>
      <c r="L972" s="350">
        <f t="shared" si="634"/>
        <v>1800</v>
      </c>
      <c r="M972" s="356">
        <f t="shared" si="635"/>
        <v>1980</v>
      </c>
      <c r="N972" s="258" t="s">
        <v>1516</v>
      </c>
      <c r="O972" s="456"/>
      <c r="Q972" s="18" t="s">
        <v>6397</v>
      </c>
      <c r="R972" s="18" t="s">
        <v>6397</v>
      </c>
      <c r="W972" s="354">
        <f t="shared" ref="W972:W979" si="672">X972/H972</f>
        <v>0.66</v>
      </c>
      <c r="X972" s="355">
        <v>1320</v>
      </c>
      <c r="Y972" s="355">
        <v>1</v>
      </c>
      <c r="Z972" s="355">
        <v>1320</v>
      </c>
      <c r="AA972" s="355">
        <f t="shared" ref="AA972:AA979" si="673">L972-Z972</f>
        <v>480</v>
      </c>
    </row>
    <row r="973" spans="1:27" ht="21.75" customHeight="1" x14ac:dyDescent="0.4">
      <c r="A973" s="258">
        <v>46104</v>
      </c>
      <c r="B973" s="325" t="s">
        <v>6036</v>
      </c>
      <c r="C973" s="32" t="s">
        <v>2557</v>
      </c>
      <c r="D973" s="258" t="s">
        <v>17</v>
      </c>
      <c r="E973" s="258" t="s">
        <v>426</v>
      </c>
      <c r="F973" s="18" t="s">
        <v>994</v>
      </c>
      <c r="G973" s="462" t="s">
        <v>6403</v>
      </c>
      <c r="H973" s="399">
        <v>1800</v>
      </c>
      <c r="I973" s="399"/>
      <c r="J973" s="350">
        <f t="shared" ref="J973" si="674">SUM(H973:I973)</f>
        <v>1800</v>
      </c>
      <c r="K973" s="18">
        <v>2</v>
      </c>
      <c r="L973" s="350">
        <f t="shared" ref="L973" si="675">SUM(J973*K973)</f>
        <v>3600</v>
      </c>
      <c r="M973" s="356">
        <f t="shared" ref="M973" si="676">ROUNDDOWN(L973*1.1,0)</f>
        <v>3960</v>
      </c>
      <c r="N973" s="258" t="s">
        <v>1516</v>
      </c>
      <c r="O973" s="456"/>
      <c r="Q973" s="18" t="s">
        <v>6402</v>
      </c>
      <c r="R973" s="18" t="s">
        <v>6398</v>
      </c>
      <c r="S973" s="458"/>
      <c r="W973" s="354">
        <f t="shared" si="672"/>
        <v>0.6</v>
      </c>
      <c r="X973" s="355">
        <v>1080</v>
      </c>
      <c r="Y973" s="355">
        <v>2</v>
      </c>
      <c r="Z973" s="355">
        <v>2160</v>
      </c>
      <c r="AA973" s="355">
        <f t="shared" si="673"/>
        <v>1440</v>
      </c>
    </row>
    <row r="974" spans="1:27" ht="21.75" customHeight="1" x14ac:dyDescent="0.4">
      <c r="A974" s="258">
        <v>46104</v>
      </c>
      <c r="B974" s="325" t="s">
        <v>6396</v>
      </c>
      <c r="C974" s="32" t="s">
        <v>2557</v>
      </c>
      <c r="D974" s="258" t="s">
        <v>17</v>
      </c>
      <c r="E974" s="258" t="s">
        <v>292</v>
      </c>
      <c r="F974" s="258" t="s">
        <v>1051</v>
      </c>
      <c r="G974" s="433" t="s">
        <v>6000</v>
      </c>
      <c r="H974" s="399">
        <v>5700</v>
      </c>
      <c r="I974" s="399"/>
      <c r="J974" s="350">
        <f t="shared" si="633"/>
        <v>5700</v>
      </c>
      <c r="K974" s="18">
        <v>1</v>
      </c>
      <c r="L974" s="350">
        <f t="shared" si="634"/>
        <v>5700</v>
      </c>
      <c r="M974" s="356">
        <f t="shared" si="635"/>
        <v>6270</v>
      </c>
      <c r="N974" s="258" t="s">
        <v>1516</v>
      </c>
      <c r="O974" s="456"/>
      <c r="Q974" s="18" t="s">
        <v>6397</v>
      </c>
      <c r="R974" s="18" t="s">
        <v>6397</v>
      </c>
      <c r="S974" s="457"/>
      <c r="W974" s="354">
        <f t="shared" si="672"/>
        <v>0.88140350877192986</v>
      </c>
      <c r="X974" s="355">
        <v>5024</v>
      </c>
      <c r="Y974" s="355">
        <f t="shared" ref="Y974" si="677">K974</f>
        <v>1</v>
      </c>
      <c r="Z974" s="355">
        <f t="shared" ref="Z974" si="678">X974*Y974</f>
        <v>5024</v>
      </c>
      <c r="AA974" s="355">
        <f t="shared" si="673"/>
        <v>676</v>
      </c>
    </row>
    <row r="975" spans="1:27" ht="21.75" customHeight="1" x14ac:dyDescent="0.4">
      <c r="A975" s="258">
        <v>46106</v>
      </c>
      <c r="B975" s="325" t="s">
        <v>1242</v>
      </c>
      <c r="C975" s="32" t="s">
        <v>2557</v>
      </c>
      <c r="D975" s="258" t="s">
        <v>17</v>
      </c>
      <c r="E975" s="258" t="s">
        <v>332</v>
      </c>
      <c r="F975" s="18" t="s">
        <v>3554</v>
      </c>
      <c r="G975" s="425" t="s">
        <v>5470</v>
      </c>
      <c r="H975" s="399">
        <v>1500</v>
      </c>
      <c r="I975" s="399">
        <v>-150</v>
      </c>
      <c r="J975" s="350">
        <f t="shared" si="633"/>
        <v>1350</v>
      </c>
      <c r="K975" s="18">
        <v>1</v>
      </c>
      <c r="L975" s="350">
        <f t="shared" si="634"/>
        <v>1350</v>
      </c>
      <c r="M975" s="356">
        <f t="shared" si="635"/>
        <v>1485</v>
      </c>
      <c r="N975" s="258" t="s">
        <v>1516</v>
      </c>
      <c r="O975" s="456"/>
      <c r="Q975" s="18" t="s">
        <v>6408</v>
      </c>
      <c r="R975" s="18" t="s">
        <v>5449</v>
      </c>
      <c r="S975" s="457"/>
      <c r="W975" s="354">
        <f t="shared" si="672"/>
        <v>0.6253333333333333</v>
      </c>
      <c r="X975" s="355">
        <v>938</v>
      </c>
      <c r="Y975" s="355">
        <v>1</v>
      </c>
      <c r="Z975" s="355">
        <v>938</v>
      </c>
      <c r="AA975" s="355">
        <f t="shared" si="673"/>
        <v>412</v>
      </c>
    </row>
    <row r="976" spans="1:27" ht="21.75" customHeight="1" x14ac:dyDescent="0.4">
      <c r="A976" s="258">
        <v>46106</v>
      </c>
      <c r="B976" s="325" t="s">
        <v>6162</v>
      </c>
      <c r="C976" s="32" t="s">
        <v>6400</v>
      </c>
      <c r="D976" s="258" t="s">
        <v>6401</v>
      </c>
      <c r="E976" s="258" t="s">
        <v>1442</v>
      </c>
      <c r="F976" s="258" t="s">
        <v>6350</v>
      </c>
      <c r="G976" s="433" t="s">
        <v>6351</v>
      </c>
      <c r="H976" s="399">
        <v>84000</v>
      </c>
      <c r="I976" s="399"/>
      <c r="J976" s="350">
        <f t="shared" si="633"/>
        <v>84000</v>
      </c>
      <c r="K976" s="18">
        <v>1</v>
      </c>
      <c r="L976" s="350">
        <f t="shared" si="634"/>
        <v>84000</v>
      </c>
      <c r="M976" s="356">
        <f t="shared" si="635"/>
        <v>92400</v>
      </c>
      <c r="N976" s="258" t="s">
        <v>1516</v>
      </c>
      <c r="O976" s="456"/>
      <c r="Q976" s="18" t="s">
        <v>6402</v>
      </c>
      <c r="R976" s="18" t="s">
        <v>6402</v>
      </c>
      <c r="W976" s="354">
        <f t="shared" si="672"/>
        <v>0.9</v>
      </c>
      <c r="X976" s="367">
        <v>75600</v>
      </c>
      <c r="Y976" s="355">
        <v>1</v>
      </c>
      <c r="AA976" s="355">
        <f t="shared" si="673"/>
        <v>84000</v>
      </c>
    </row>
    <row r="977" spans="1:27" ht="21.75" customHeight="1" x14ac:dyDescent="0.4">
      <c r="A977" s="258">
        <v>46106</v>
      </c>
      <c r="B977" s="325" t="s">
        <v>6404</v>
      </c>
      <c r="C977" s="32" t="s">
        <v>6405</v>
      </c>
      <c r="D977" s="258" t="s">
        <v>6406</v>
      </c>
      <c r="E977" s="258" t="s">
        <v>332</v>
      </c>
      <c r="F977" s="258" t="s">
        <v>3555</v>
      </c>
      <c r="G977" s="433" t="s">
        <v>6411</v>
      </c>
      <c r="H977" s="399">
        <v>1500</v>
      </c>
      <c r="I977" s="399">
        <v>-150</v>
      </c>
      <c r="J977" s="350">
        <f t="shared" si="633"/>
        <v>1350</v>
      </c>
      <c r="K977" s="18">
        <v>1</v>
      </c>
      <c r="L977" s="350">
        <f t="shared" si="634"/>
        <v>1350</v>
      </c>
      <c r="M977" s="356">
        <f t="shared" si="635"/>
        <v>1485</v>
      </c>
      <c r="N977" s="258" t="s">
        <v>1516</v>
      </c>
      <c r="O977" s="456"/>
      <c r="Q977" s="18" t="s">
        <v>6407</v>
      </c>
      <c r="R977" s="18" t="s">
        <v>6407</v>
      </c>
      <c r="W977" s="354">
        <f t="shared" si="672"/>
        <v>0.50266666666666671</v>
      </c>
      <c r="X977" s="355">
        <v>754</v>
      </c>
      <c r="Y977" s="355">
        <v>1</v>
      </c>
      <c r="Z977" s="355">
        <f>X977*Y977</f>
        <v>754</v>
      </c>
      <c r="AA977" s="355">
        <f t="shared" si="673"/>
        <v>596</v>
      </c>
    </row>
    <row r="978" spans="1:27" ht="21.75" customHeight="1" x14ac:dyDescent="0.4">
      <c r="A978" s="258">
        <v>46106</v>
      </c>
      <c r="B978" s="325" t="s">
        <v>6423</v>
      </c>
      <c r="C978" s="32" t="s">
        <v>6425</v>
      </c>
      <c r="D978" s="258" t="s">
        <v>6424</v>
      </c>
      <c r="E978" s="258" t="s">
        <v>328</v>
      </c>
      <c r="F978" s="258" t="s">
        <v>788</v>
      </c>
      <c r="G978" s="433" t="s">
        <v>6426</v>
      </c>
      <c r="H978" s="399">
        <v>50000</v>
      </c>
      <c r="I978" s="399">
        <v>-10000</v>
      </c>
      <c r="J978" s="350">
        <f t="shared" si="633"/>
        <v>40000</v>
      </c>
      <c r="K978" s="18">
        <v>1</v>
      </c>
      <c r="L978" s="350">
        <f t="shared" si="634"/>
        <v>40000</v>
      </c>
      <c r="M978" s="356">
        <f t="shared" si="635"/>
        <v>44000</v>
      </c>
      <c r="N978" s="258" t="s">
        <v>1921</v>
      </c>
      <c r="O978" s="456"/>
      <c r="P978" s="18" t="s">
        <v>6446</v>
      </c>
      <c r="Q978" s="18" t="s">
        <v>6446</v>
      </c>
      <c r="R978" s="18" t="s">
        <v>6446</v>
      </c>
      <c r="W978" s="354">
        <f t="shared" si="672"/>
        <v>0.45</v>
      </c>
      <c r="X978" s="355">
        <v>22500</v>
      </c>
      <c r="Y978" s="355">
        <v>1</v>
      </c>
      <c r="Z978" s="355">
        <v>22500</v>
      </c>
      <c r="AA978" s="355">
        <f t="shared" si="673"/>
        <v>17500</v>
      </c>
    </row>
    <row r="979" spans="1:27" ht="21.75" customHeight="1" x14ac:dyDescent="0.4">
      <c r="A979" s="258">
        <v>46106</v>
      </c>
      <c r="B979" s="325" t="s">
        <v>6423</v>
      </c>
      <c r="C979" s="32" t="s">
        <v>6425</v>
      </c>
      <c r="D979" s="258" t="s">
        <v>6424</v>
      </c>
      <c r="E979" s="258" t="s">
        <v>1442</v>
      </c>
      <c r="F979" s="258" t="s">
        <v>6350</v>
      </c>
      <c r="G979" s="433" t="s">
        <v>6351</v>
      </c>
      <c r="H979" s="399">
        <v>84000</v>
      </c>
      <c r="I979" s="399"/>
      <c r="J979" s="350">
        <f t="shared" ref="J979" si="679">SUM(H979:I979)</f>
        <v>84000</v>
      </c>
      <c r="K979" s="18">
        <v>1</v>
      </c>
      <c r="L979" s="350">
        <f t="shared" ref="L979" si="680">SUM(J979*K979)</f>
        <v>84000</v>
      </c>
      <c r="M979" s="356">
        <f t="shared" ref="M979" si="681">ROUNDDOWN(L979*1.1,0)</f>
        <v>92400</v>
      </c>
      <c r="N979" s="258" t="s">
        <v>1921</v>
      </c>
      <c r="O979" s="456"/>
      <c r="P979" s="18" t="s">
        <v>6446</v>
      </c>
      <c r="Q979" s="18" t="s">
        <v>6446</v>
      </c>
      <c r="R979" s="18" t="s">
        <v>6446</v>
      </c>
      <c r="W979" s="354">
        <f t="shared" si="672"/>
        <v>1</v>
      </c>
      <c r="X979" s="355">
        <v>84000</v>
      </c>
      <c r="Y979" s="355">
        <v>1</v>
      </c>
      <c r="Z979" s="355">
        <v>84000</v>
      </c>
      <c r="AA979" s="355">
        <f t="shared" si="673"/>
        <v>0</v>
      </c>
    </row>
    <row r="980" spans="1:27" ht="21.75" customHeight="1" x14ac:dyDescent="0.4">
      <c r="A980" s="258">
        <v>46107</v>
      </c>
      <c r="B980" s="325" t="s">
        <v>5456</v>
      </c>
      <c r="C980" s="32" t="s">
        <v>2557</v>
      </c>
      <c r="D980" s="258" t="s">
        <v>22</v>
      </c>
      <c r="E980" s="258" t="s">
        <v>1496</v>
      </c>
      <c r="F980" s="258"/>
      <c r="G980" s="63" t="s">
        <v>4869</v>
      </c>
      <c r="H980" s="399">
        <v>2000</v>
      </c>
      <c r="I980" s="399"/>
      <c r="J980" s="350">
        <f t="shared" ref="J980" si="682">SUM(H980:I980)</f>
        <v>2000</v>
      </c>
      <c r="K980" s="18">
        <v>1</v>
      </c>
      <c r="L980" s="350">
        <f t="shared" ref="L980" si="683">SUM(J980*K980)</f>
        <v>2000</v>
      </c>
      <c r="M980" s="356">
        <f t="shared" ref="M980" si="684">ROUNDDOWN(L980*1.1,0)</f>
        <v>2200</v>
      </c>
      <c r="N980" s="258" t="s">
        <v>1516</v>
      </c>
      <c r="O980" s="456"/>
      <c r="P980" s="18" t="s">
        <v>6409</v>
      </c>
      <c r="Q980" s="18" t="s">
        <v>6410</v>
      </c>
      <c r="R980" s="18" t="s">
        <v>6410</v>
      </c>
      <c r="S980" s="457"/>
    </row>
    <row r="981" spans="1:27" ht="21.75" customHeight="1" x14ac:dyDescent="0.4">
      <c r="A981" s="258">
        <v>46107</v>
      </c>
      <c r="B981" s="325" t="s">
        <v>6312</v>
      </c>
      <c r="C981" s="32" t="s">
        <v>2557</v>
      </c>
      <c r="D981" s="18" t="s">
        <v>27</v>
      </c>
      <c r="E981" s="18" t="s">
        <v>4409</v>
      </c>
      <c r="F981" s="258"/>
      <c r="G981" s="63" t="s">
        <v>6269</v>
      </c>
      <c r="H981" s="399">
        <v>17500</v>
      </c>
      <c r="I981" s="399"/>
      <c r="J981" s="350">
        <f t="shared" si="633"/>
        <v>17500</v>
      </c>
      <c r="K981" s="18">
        <v>1</v>
      </c>
      <c r="L981" s="350">
        <f t="shared" si="634"/>
        <v>17500</v>
      </c>
      <c r="M981" s="356">
        <f t="shared" si="635"/>
        <v>19250</v>
      </c>
      <c r="N981" s="258" t="s">
        <v>20</v>
      </c>
      <c r="O981" s="454" t="s">
        <v>6356</v>
      </c>
      <c r="Q981" s="18" t="s">
        <v>2594</v>
      </c>
      <c r="R981" s="18" t="s">
        <v>2594</v>
      </c>
    </row>
    <row r="982" spans="1:27" ht="21.75" customHeight="1" x14ac:dyDescent="0.4">
      <c r="A982" s="258">
        <v>46107</v>
      </c>
      <c r="B982" s="325" t="s">
        <v>5879</v>
      </c>
      <c r="C982" s="32" t="s">
        <v>2557</v>
      </c>
      <c r="D982" s="258" t="s">
        <v>6412</v>
      </c>
      <c r="E982" s="258" t="s">
        <v>328</v>
      </c>
      <c r="F982" s="258" t="s">
        <v>3595</v>
      </c>
      <c r="G982" s="433" t="s">
        <v>6413</v>
      </c>
      <c r="H982" s="399">
        <v>50000</v>
      </c>
      <c r="I982" s="399">
        <v>-15000</v>
      </c>
      <c r="J982" s="350">
        <f t="shared" si="633"/>
        <v>35000</v>
      </c>
      <c r="K982" s="18">
        <v>1</v>
      </c>
      <c r="L982" s="350">
        <f t="shared" si="634"/>
        <v>35000</v>
      </c>
      <c r="M982" s="356">
        <f t="shared" si="635"/>
        <v>38500</v>
      </c>
      <c r="N982" s="258" t="s">
        <v>1121</v>
      </c>
      <c r="O982" s="456"/>
      <c r="Q982" s="18" t="s">
        <v>2594</v>
      </c>
      <c r="R982" s="18" t="s">
        <v>2594</v>
      </c>
      <c r="W982" s="354">
        <f t="shared" ref="W982:W983" si="685">X982/H982</f>
        <v>0.45</v>
      </c>
      <c r="X982" s="355">
        <v>22500</v>
      </c>
      <c r="Y982" s="355">
        <v>1</v>
      </c>
      <c r="Z982" s="355">
        <v>22500</v>
      </c>
      <c r="AA982" s="355">
        <f t="shared" ref="AA982:AA984" si="686">L982-Z982</f>
        <v>12500</v>
      </c>
    </row>
    <row r="983" spans="1:27" ht="21.75" customHeight="1" x14ac:dyDescent="0.4">
      <c r="A983" s="258">
        <v>46107</v>
      </c>
      <c r="B983" s="325" t="s">
        <v>5879</v>
      </c>
      <c r="C983" s="32" t="s">
        <v>2557</v>
      </c>
      <c r="D983" s="258" t="s">
        <v>6412</v>
      </c>
      <c r="E983" s="258" t="s">
        <v>330</v>
      </c>
      <c r="F983" s="258" t="s">
        <v>661</v>
      </c>
      <c r="G983" s="433" t="s">
        <v>6414</v>
      </c>
      <c r="H983" s="399">
        <v>5000</v>
      </c>
      <c r="I983" s="399"/>
      <c r="J983" s="350">
        <f t="shared" si="633"/>
        <v>5000</v>
      </c>
      <c r="K983" s="18">
        <v>1</v>
      </c>
      <c r="L983" s="350">
        <f t="shared" si="634"/>
        <v>5000</v>
      </c>
      <c r="M983" s="356">
        <f t="shared" si="635"/>
        <v>5500</v>
      </c>
      <c r="N983" s="258" t="s">
        <v>1121</v>
      </c>
      <c r="O983" s="456"/>
      <c r="Q983" s="18" t="s">
        <v>2594</v>
      </c>
      <c r="R983" s="18" t="s">
        <v>2594</v>
      </c>
      <c r="W983" s="354">
        <f t="shared" si="685"/>
        <v>0.45</v>
      </c>
      <c r="X983" s="355">
        <v>2250</v>
      </c>
      <c r="Y983" s="355">
        <v>1</v>
      </c>
      <c r="Z983" s="355">
        <v>2250</v>
      </c>
      <c r="AA983" s="355">
        <f t="shared" si="686"/>
        <v>2750</v>
      </c>
    </row>
    <row r="984" spans="1:27" ht="21.75" customHeight="1" x14ac:dyDescent="0.4">
      <c r="A984" s="258">
        <v>46107</v>
      </c>
      <c r="B984" s="325" t="s">
        <v>5879</v>
      </c>
      <c r="C984" s="32" t="s">
        <v>2557</v>
      </c>
      <c r="D984" s="258" t="s">
        <v>6412</v>
      </c>
      <c r="E984" s="258" t="s">
        <v>332</v>
      </c>
      <c r="F984" s="258" t="s">
        <v>3553</v>
      </c>
      <c r="G984" s="125" t="s">
        <v>6415</v>
      </c>
      <c r="H984" s="399">
        <v>1800</v>
      </c>
      <c r="I984" s="399">
        <v>-180</v>
      </c>
      <c r="J984" s="350">
        <f t="shared" si="633"/>
        <v>1620</v>
      </c>
      <c r="K984" s="18">
        <v>1</v>
      </c>
      <c r="L984" s="350">
        <f t="shared" si="634"/>
        <v>1620</v>
      </c>
      <c r="M984" s="356">
        <f t="shared" si="635"/>
        <v>1782</v>
      </c>
      <c r="N984" s="258" t="s">
        <v>1121</v>
      </c>
      <c r="O984" s="456"/>
      <c r="Q984" s="18" t="s">
        <v>2594</v>
      </c>
      <c r="R984" s="18" t="s">
        <v>2594</v>
      </c>
      <c r="S984" s="457"/>
      <c r="W984" s="354">
        <f t="shared" ref="W984" si="687">X984/H984</f>
        <v>0.5</v>
      </c>
      <c r="X984" s="355">
        <v>900</v>
      </c>
      <c r="Y984" s="355">
        <f t="shared" ref="Y984" si="688">K984</f>
        <v>1</v>
      </c>
      <c r="Z984" s="355">
        <f t="shared" ref="Z984" si="689">X984*Y984</f>
        <v>900</v>
      </c>
      <c r="AA984" s="355">
        <f t="shared" si="686"/>
        <v>720</v>
      </c>
    </row>
    <row r="985" spans="1:27" ht="21.75" customHeight="1" x14ac:dyDescent="0.4">
      <c r="A985" s="258">
        <v>46107</v>
      </c>
      <c r="B985" s="325" t="s">
        <v>6420</v>
      </c>
      <c r="C985" s="32" t="s">
        <v>2557</v>
      </c>
      <c r="D985" s="18" t="s">
        <v>27</v>
      </c>
      <c r="E985" s="242" t="s">
        <v>5237</v>
      </c>
      <c r="F985" s="18"/>
      <c r="G985" s="63" t="s">
        <v>364</v>
      </c>
      <c r="H985" s="399">
        <v>25000</v>
      </c>
      <c r="I985" s="353"/>
      <c r="J985" s="399">
        <f t="shared" si="633"/>
        <v>25000</v>
      </c>
      <c r="K985" s="18">
        <v>1</v>
      </c>
      <c r="L985" s="350">
        <f t="shared" si="634"/>
        <v>25000</v>
      </c>
      <c r="M985" s="356">
        <f t="shared" si="635"/>
        <v>27500</v>
      </c>
      <c r="N985" s="18" t="s">
        <v>4233</v>
      </c>
      <c r="O985" s="456"/>
      <c r="R985" s="18" t="s">
        <v>4803</v>
      </c>
      <c r="S985" s="458"/>
    </row>
    <row r="986" spans="1:27" ht="21.75" customHeight="1" x14ac:dyDescent="0.4">
      <c r="A986" s="258">
        <v>46108</v>
      </c>
      <c r="B986" s="325" t="s">
        <v>6428</v>
      </c>
      <c r="C986" s="32" t="s">
        <v>2557</v>
      </c>
      <c r="D986" s="18" t="s">
        <v>27</v>
      </c>
      <c r="E986" s="18" t="s">
        <v>4409</v>
      </c>
      <c r="F986" s="18"/>
      <c r="G986" s="63" t="s">
        <v>6290</v>
      </c>
      <c r="H986" s="399">
        <v>22500</v>
      </c>
      <c r="I986" s="353"/>
      <c r="J986" s="350">
        <f t="shared" ref="J986:J988" si="690">SUM(H986:I986)</f>
        <v>22500</v>
      </c>
      <c r="K986" s="18">
        <v>4</v>
      </c>
      <c r="L986" s="350">
        <f t="shared" ref="L986:L988" si="691">SUM(J986*K986)</f>
        <v>90000</v>
      </c>
      <c r="M986" s="356">
        <f t="shared" ref="M986:M988" si="692">ROUNDDOWN(L986*1.1,0)</f>
        <v>99000</v>
      </c>
      <c r="N986" s="258" t="s">
        <v>1516</v>
      </c>
      <c r="O986" s="454" t="s">
        <v>6427</v>
      </c>
      <c r="Q986" s="18" t="s">
        <v>6429</v>
      </c>
      <c r="R986" s="18" t="s">
        <v>6430</v>
      </c>
      <c r="S986" s="458"/>
    </row>
    <row r="987" spans="1:27" ht="21.75" customHeight="1" x14ac:dyDescent="0.4">
      <c r="A987" s="258">
        <v>46108</v>
      </c>
      <c r="B987" s="325" t="s">
        <v>4836</v>
      </c>
      <c r="C987" s="32" t="s">
        <v>2557</v>
      </c>
      <c r="D987" s="258" t="s">
        <v>17</v>
      </c>
      <c r="E987" s="258" t="s">
        <v>332</v>
      </c>
      <c r="F987" s="258" t="s">
        <v>3555</v>
      </c>
      <c r="G987" s="433" t="s">
        <v>6383</v>
      </c>
      <c r="H987" s="399">
        <v>1500</v>
      </c>
      <c r="I987" s="399">
        <v>-150</v>
      </c>
      <c r="J987" s="350">
        <f t="shared" si="690"/>
        <v>1350</v>
      </c>
      <c r="K987" s="18">
        <v>1</v>
      </c>
      <c r="L987" s="350">
        <f t="shared" si="691"/>
        <v>1350</v>
      </c>
      <c r="M987" s="356">
        <f t="shared" si="692"/>
        <v>1485</v>
      </c>
      <c r="N987" s="258" t="s">
        <v>1516</v>
      </c>
      <c r="O987" s="456"/>
      <c r="R987" s="18" t="s">
        <v>6430</v>
      </c>
      <c r="S987" s="458"/>
      <c r="W987" s="354">
        <f t="shared" ref="W987" si="693">X987/H987</f>
        <v>0.50266666666666671</v>
      </c>
      <c r="X987" s="355">
        <v>754</v>
      </c>
      <c r="Y987" s="355">
        <v>1</v>
      </c>
      <c r="Z987" s="355">
        <f>X987*Y987</f>
        <v>754</v>
      </c>
      <c r="AA987" s="355">
        <f>L987-Z987</f>
        <v>596</v>
      </c>
    </row>
    <row r="988" spans="1:27" ht="21.75" customHeight="1" x14ac:dyDescent="0.4">
      <c r="A988" s="258">
        <v>46109</v>
      </c>
      <c r="B988" s="325" t="s">
        <v>582</v>
      </c>
      <c r="C988" s="32" t="s">
        <v>2557</v>
      </c>
      <c r="D988" s="258" t="s">
        <v>22</v>
      </c>
      <c r="E988" s="258" t="s">
        <v>1496</v>
      </c>
      <c r="F988" s="258"/>
      <c r="G988" s="63" t="s">
        <v>4869</v>
      </c>
      <c r="H988" s="399">
        <v>2000</v>
      </c>
      <c r="I988" s="399"/>
      <c r="J988" s="350">
        <f t="shared" si="690"/>
        <v>2000</v>
      </c>
      <c r="K988" s="18">
        <v>1</v>
      </c>
      <c r="L988" s="350">
        <f t="shared" si="691"/>
        <v>2000</v>
      </c>
      <c r="M988" s="356">
        <f t="shared" si="692"/>
        <v>2200</v>
      </c>
      <c r="N988" s="258" t="s">
        <v>20</v>
      </c>
      <c r="O988" s="456"/>
      <c r="P988" s="18" t="s">
        <v>6429</v>
      </c>
      <c r="R988" s="18" t="s">
        <v>6430</v>
      </c>
      <c r="S988" s="458"/>
    </row>
    <row r="989" spans="1:27" ht="21.75" customHeight="1" x14ac:dyDescent="0.4">
      <c r="A989" s="258">
        <v>46109</v>
      </c>
      <c r="B989" s="325" t="s">
        <v>6204</v>
      </c>
      <c r="C989" s="32" t="s">
        <v>4313</v>
      </c>
      <c r="D989" s="258" t="s">
        <v>22</v>
      </c>
      <c r="E989" s="258" t="s">
        <v>1496</v>
      </c>
      <c r="F989" s="258"/>
      <c r="G989" s="433" t="s">
        <v>6186</v>
      </c>
      <c r="H989" s="399">
        <v>3000</v>
      </c>
      <c r="I989" s="399"/>
      <c r="J989" s="350">
        <v>3000</v>
      </c>
      <c r="K989" s="18">
        <v>1</v>
      </c>
      <c r="L989" s="350">
        <v>3000</v>
      </c>
      <c r="M989" s="356">
        <v>3300</v>
      </c>
      <c r="N989" s="258" t="s">
        <v>20</v>
      </c>
      <c r="O989" s="456"/>
      <c r="R989" s="18" t="s">
        <v>6430</v>
      </c>
      <c r="S989" s="458"/>
    </row>
    <row r="990" spans="1:27" ht="21.75" customHeight="1" x14ac:dyDescent="0.4">
      <c r="A990" s="258">
        <v>46109</v>
      </c>
      <c r="B990" s="325" t="s">
        <v>6432</v>
      </c>
      <c r="C990" s="32" t="s">
        <v>405</v>
      </c>
      <c r="D990" s="18" t="s">
        <v>22</v>
      </c>
      <c r="E990" s="18" t="s">
        <v>260</v>
      </c>
      <c r="F990" s="18"/>
      <c r="G990" s="63" t="s">
        <v>264</v>
      </c>
      <c r="H990" s="350">
        <v>15000</v>
      </c>
      <c r="I990" s="353"/>
      <c r="J990" s="350">
        <f t="shared" ref="J990" si="694">SUM(H990:I990)</f>
        <v>15000</v>
      </c>
      <c r="K990" s="18">
        <v>1</v>
      </c>
      <c r="L990" s="350">
        <f t="shared" ref="L990" si="695">SUM(J990*K990)</f>
        <v>15000</v>
      </c>
      <c r="M990" s="356">
        <f t="shared" ref="M990" si="696">ROUNDDOWN(L990*1.1,0)</f>
        <v>16500</v>
      </c>
      <c r="N990" s="18" t="s">
        <v>25</v>
      </c>
      <c r="O990" s="454" t="s">
        <v>6433</v>
      </c>
      <c r="R990" s="18" t="s">
        <v>6430</v>
      </c>
      <c r="S990" s="458"/>
    </row>
    <row r="991" spans="1:27" ht="21.75" customHeight="1" x14ac:dyDescent="0.4">
      <c r="A991" s="258">
        <v>46110</v>
      </c>
      <c r="B991" s="325" t="s">
        <v>698</v>
      </c>
      <c r="C991" s="32" t="s">
        <v>4292</v>
      </c>
      <c r="D991" s="258" t="s">
        <v>6421</v>
      </c>
      <c r="E991" s="258" t="s">
        <v>328</v>
      </c>
      <c r="F991" s="258" t="s">
        <v>3595</v>
      </c>
      <c r="G991" s="433" t="s">
        <v>6422</v>
      </c>
      <c r="H991" s="399">
        <v>22500</v>
      </c>
      <c r="I991" s="399"/>
      <c r="J991" s="350">
        <f t="shared" si="633"/>
        <v>22500</v>
      </c>
      <c r="K991" s="18">
        <v>1</v>
      </c>
      <c r="L991" s="350">
        <f t="shared" si="634"/>
        <v>22500</v>
      </c>
      <c r="M991" s="356">
        <f t="shared" si="635"/>
        <v>24750</v>
      </c>
      <c r="N991" s="258" t="s">
        <v>1516</v>
      </c>
      <c r="O991" s="456"/>
      <c r="Q991" s="18" t="s">
        <v>2594</v>
      </c>
      <c r="R991" s="18" t="s">
        <v>6431</v>
      </c>
      <c r="W991" s="354">
        <f t="shared" ref="W991" si="697">X991/H991</f>
        <v>0.1</v>
      </c>
      <c r="X991" s="355">
        <v>2250</v>
      </c>
      <c r="Y991" s="355">
        <v>1</v>
      </c>
      <c r="AA991" s="355">
        <f t="shared" ref="AA991:AA995" si="698">L991-Z991</f>
        <v>22500</v>
      </c>
    </row>
    <row r="992" spans="1:27" ht="21.75" customHeight="1" x14ac:dyDescent="0.4">
      <c r="A992" s="258">
        <v>46110</v>
      </c>
      <c r="B992" s="325" t="s">
        <v>4061</v>
      </c>
      <c r="C992" s="32" t="s">
        <v>2557</v>
      </c>
      <c r="D992" s="258" t="s">
        <v>17</v>
      </c>
      <c r="E992" s="18" t="s">
        <v>426</v>
      </c>
      <c r="F992" s="18" t="s">
        <v>994</v>
      </c>
      <c r="G992" s="433" t="s">
        <v>6434</v>
      </c>
      <c r="H992" s="399">
        <v>1800</v>
      </c>
      <c r="I992" s="399">
        <v>-180</v>
      </c>
      <c r="J992" s="350">
        <f t="shared" si="633"/>
        <v>1620</v>
      </c>
      <c r="K992" s="18">
        <v>2</v>
      </c>
      <c r="L992" s="350">
        <f t="shared" si="634"/>
        <v>3240</v>
      </c>
      <c r="M992" s="356">
        <f t="shared" si="635"/>
        <v>3564</v>
      </c>
      <c r="N992" s="258" t="s">
        <v>1516</v>
      </c>
      <c r="O992" s="456"/>
      <c r="Q992" s="18" t="s">
        <v>5459</v>
      </c>
      <c r="R992" s="18" t="s">
        <v>5459</v>
      </c>
      <c r="W992" s="354">
        <f t="shared" ref="W992:W997" si="699">X992/H992</f>
        <v>0.6</v>
      </c>
      <c r="X992" s="355">
        <v>1080</v>
      </c>
      <c r="Y992" s="355">
        <v>2</v>
      </c>
      <c r="Z992" s="355">
        <v>1080</v>
      </c>
      <c r="AA992" s="355">
        <f t="shared" si="698"/>
        <v>2160</v>
      </c>
    </row>
    <row r="993" spans="1:27" ht="21.75" customHeight="1" x14ac:dyDescent="0.4">
      <c r="A993" s="258">
        <v>46110</v>
      </c>
      <c r="B993" s="325" t="s">
        <v>6162</v>
      </c>
      <c r="C993" s="32" t="s">
        <v>2557</v>
      </c>
      <c r="D993" s="258" t="s">
        <v>17</v>
      </c>
      <c r="E993" s="258" t="s">
        <v>328</v>
      </c>
      <c r="F993" s="258" t="s">
        <v>6437</v>
      </c>
      <c r="G993" s="433" t="s">
        <v>6438</v>
      </c>
      <c r="H993" s="399">
        <v>18700</v>
      </c>
      <c r="I993" s="399">
        <v>-5610</v>
      </c>
      <c r="J993" s="350">
        <f t="shared" si="633"/>
        <v>13090</v>
      </c>
      <c r="K993" s="18">
        <v>1</v>
      </c>
      <c r="L993" s="350">
        <f t="shared" si="634"/>
        <v>13090</v>
      </c>
      <c r="M993" s="356">
        <f t="shared" si="635"/>
        <v>14399</v>
      </c>
      <c r="N993" s="258" t="s">
        <v>1121</v>
      </c>
      <c r="O993" s="456"/>
      <c r="R993" s="18" t="s">
        <v>6430</v>
      </c>
      <c r="W993" s="354">
        <f t="shared" si="699"/>
        <v>0.40909090909090912</v>
      </c>
      <c r="X993" s="355">
        <v>7650</v>
      </c>
      <c r="Y993" s="355">
        <v>1</v>
      </c>
      <c r="Z993" s="355">
        <v>7650</v>
      </c>
      <c r="AA993" s="355">
        <f t="shared" si="698"/>
        <v>5440</v>
      </c>
    </row>
    <row r="994" spans="1:27" ht="21.75" customHeight="1" x14ac:dyDescent="0.4">
      <c r="A994" s="258">
        <v>46110</v>
      </c>
      <c r="B994" s="325" t="s">
        <v>6162</v>
      </c>
      <c r="C994" s="32" t="s">
        <v>2557</v>
      </c>
      <c r="D994" s="258" t="s">
        <v>17</v>
      </c>
      <c r="E994" s="258" t="s">
        <v>1442</v>
      </c>
      <c r="F994" s="258" t="s">
        <v>6439</v>
      </c>
      <c r="G994" s="433" t="s">
        <v>6440</v>
      </c>
      <c r="H994" s="399">
        <v>49000</v>
      </c>
      <c r="I994" s="399">
        <v>-7350</v>
      </c>
      <c r="J994" s="350">
        <f t="shared" si="633"/>
        <v>41650</v>
      </c>
      <c r="K994" s="18">
        <v>1</v>
      </c>
      <c r="L994" s="350">
        <f t="shared" si="634"/>
        <v>41650</v>
      </c>
      <c r="M994" s="356">
        <f t="shared" si="635"/>
        <v>45815</v>
      </c>
      <c r="N994" s="258" t="s">
        <v>1121</v>
      </c>
      <c r="O994" s="456"/>
      <c r="R994" s="18" t="s">
        <v>6430</v>
      </c>
      <c r="S994" s="458"/>
      <c r="W994" s="354">
        <f t="shared" si="699"/>
        <v>0</v>
      </c>
      <c r="X994" s="405"/>
      <c r="Y994" s="355">
        <v>1</v>
      </c>
      <c r="AA994" s="355">
        <f t="shared" si="698"/>
        <v>41650</v>
      </c>
    </row>
    <row r="995" spans="1:27" ht="21.75" customHeight="1" x14ac:dyDescent="0.4">
      <c r="A995" s="258">
        <v>46110</v>
      </c>
      <c r="B995" s="325" t="s">
        <v>6162</v>
      </c>
      <c r="C995" s="32" t="s">
        <v>2557</v>
      </c>
      <c r="D995" s="258" t="s">
        <v>17</v>
      </c>
      <c r="E995" s="258" t="s">
        <v>332</v>
      </c>
      <c r="F995" s="18" t="s">
        <v>3550</v>
      </c>
      <c r="G995" s="63" t="s">
        <v>6254</v>
      </c>
      <c r="H995" s="399">
        <v>1800</v>
      </c>
      <c r="I995" s="399">
        <v>-180</v>
      </c>
      <c r="J995" s="350">
        <f t="shared" si="633"/>
        <v>1620</v>
      </c>
      <c r="K995" s="18">
        <v>1</v>
      </c>
      <c r="L995" s="350">
        <f t="shared" si="634"/>
        <v>1620</v>
      </c>
      <c r="M995" s="356">
        <f t="shared" si="635"/>
        <v>1782</v>
      </c>
      <c r="N995" s="258" t="s">
        <v>1121</v>
      </c>
      <c r="O995" s="456"/>
      <c r="R995" s="18" t="s">
        <v>6430</v>
      </c>
      <c r="S995" s="457"/>
      <c r="W995" s="354">
        <f t="shared" si="699"/>
        <v>0.6</v>
      </c>
      <c r="X995" s="355">
        <v>1080</v>
      </c>
      <c r="Y995" s="355">
        <v>1</v>
      </c>
      <c r="Z995" s="355">
        <v>1080</v>
      </c>
      <c r="AA995" s="355">
        <f t="shared" si="698"/>
        <v>540</v>
      </c>
    </row>
    <row r="996" spans="1:27" ht="21.75" customHeight="1" x14ac:dyDescent="0.4">
      <c r="A996" s="258">
        <v>46111</v>
      </c>
      <c r="B996" s="325" t="s">
        <v>2088</v>
      </c>
      <c r="C996" s="32" t="s">
        <v>2557</v>
      </c>
      <c r="D996" s="258" t="s">
        <v>22</v>
      </c>
      <c r="E996" s="258" t="s">
        <v>1496</v>
      </c>
      <c r="F996" s="258"/>
      <c r="G996" s="63" t="s">
        <v>4869</v>
      </c>
      <c r="H996" s="399">
        <v>2000</v>
      </c>
      <c r="I996" s="399"/>
      <c r="J996" s="350">
        <f t="shared" si="633"/>
        <v>2000</v>
      </c>
      <c r="K996" s="18">
        <v>1</v>
      </c>
      <c r="L996" s="350">
        <f t="shared" si="634"/>
        <v>2000</v>
      </c>
      <c r="M996" s="356">
        <f t="shared" si="635"/>
        <v>2200</v>
      </c>
      <c r="N996" s="258" t="s">
        <v>1516</v>
      </c>
      <c r="O996" s="456"/>
      <c r="P996" s="18" t="s">
        <v>6441</v>
      </c>
      <c r="Q996" s="18" t="s">
        <v>6441</v>
      </c>
      <c r="R996" s="18" t="s">
        <v>6430</v>
      </c>
    </row>
    <row r="997" spans="1:27" ht="21.75" customHeight="1" x14ac:dyDescent="0.4">
      <c r="A997" s="258">
        <v>46111</v>
      </c>
      <c r="B997" s="325" t="s">
        <v>6442</v>
      </c>
      <c r="C997" s="32" t="s">
        <v>6443</v>
      </c>
      <c r="D997" s="258" t="s">
        <v>6444</v>
      </c>
      <c r="E997" s="258" t="s">
        <v>332</v>
      </c>
      <c r="F997" s="18" t="s">
        <v>3550</v>
      </c>
      <c r="G997" s="63" t="s">
        <v>6445</v>
      </c>
      <c r="H997" s="399">
        <v>2000</v>
      </c>
      <c r="I997" s="399">
        <v>-200</v>
      </c>
      <c r="J997" s="350">
        <f t="shared" si="633"/>
        <v>1800</v>
      </c>
      <c r="K997" s="18">
        <v>1</v>
      </c>
      <c r="L997" s="350">
        <f t="shared" si="634"/>
        <v>1800</v>
      </c>
      <c r="M997" s="356">
        <f t="shared" si="635"/>
        <v>1980</v>
      </c>
      <c r="N997" s="258" t="s">
        <v>20</v>
      </c>
      <c r="O997" s="456"/>
      <c r="Q997" s="18" t="s">
        <v>2594</v>
      </c>
      <c r="R997" s="18" t="s">
        <v>2594</v>
      </c>
      <c r="W997" s="354">
        <f t="shared" si="699"/>
        <v>0.6</v>
      </c>
      <c r="X997" s="355">
        <v>1200</v>
      </c>
      <c r="Y997" s="355">
        <v>1</v>
      </c>
      <c r="Z997" s="355">
        <f>X997*Y997</f>
        <v>1200</v>
      </c>
      <c r="AA997" s="355">
        <f>L997-Z997</f>
        <v>600</v>
      </c>
    </row>
    <row r="998" spans="1:27" s="403" customFormat="1" ht="21.75" customHeight="1" x14ac:dyDescent="0.4">
      <c r="A998" s="370">
        <v>46111</v>
      </c>
      <c r="B998" s="326" t="s">
        <v>162</v>
      </c>
      <c r="C998" s="191" t="s">
        <v>2557</v>
      </c>
      <c r="D998" s="192" t="s">
        <v>27</v>
      </c>
      <c r="E998" s="192" t="s">
        <v>4409</v>
      </c>
      <c r="F998" s="370"/>
      <c r="G998" s="193" t="s">
        <v>6269</v>
      </c>
      <c r="H998" s="400">
        <v>17500</v>
      </c>
      <c r="I998" s="400"/>
      <c r="J998" s="371">
        <f t="shared" si="633"/>
        <v>17500</v>
      </c>
      <c r="K998" s="192">
        <v>1</v>
      </c>
      <c r="L998" s="371">
        <f t="shared" si="634"/>
        <v>17500</v>
      </c>
      <c r="M998" s="373">
        <f t="shared" si="635"/>
        <v>19250</v>
      </c>
      <c r="N998" s="370" t="s">
        <v>1516</v>
      </c>
      <c r="O998" s="468" t="s">
        <v>6356</v>
      </c>
      <c r="P998" s="192"/>
      <c r="Q998" s="192" t="s">
        <v>5449</v>
      </c>
      <c r="R998" s="192" t="s">
        <v>5449</v>
      </c>
      <c r="S998" s="469" t="s">
        <v>6515</v>
      </c>
      <c r="T998" s="402"/>
      <c r="U998" s="402"/>
      <c r="W998" s="404"/>
      <c r="X998" s="405"/>
      <c r="Y998" s="405"/>
      <c r="Z998" s="405"/>
      <c r="AA998" s="405"/>
    </row>
    <row r="999" spans="1:27" ht="21.75" customHeight="1" x14ac:dyDescent="0.4">
      <c r="A999" s="258">
        <v>46111</v>
      </c>
      <c r="B999" s="325" t="s">
        <v>148</v>
      </c>
      <c r="C999" s="32" t="s">
        <v>2557</v>
      </c>
      <c r="D999" s="18" t="s">
        <v>27</v>
      </c>
      <c r="E999" s="18" t="s">
        <v>4409</v>
      </c>
      <c r="F999" s="258"/>
      <c r="G999" s="63" t="s">
        <v>6269</v>
      </c>
      <c r="H999" s="399">
        <v>17500</v>
      </c>
      <c r="I999" s="399"/>
      <c r="J999" s="350">
        <f t="shared" ref="J999:J1006" si="700">SUM(H999:I999)</f>
        <v>17500</v>
      </c>
      <c r="K999" s="18">
        <v>1</v>
      </c>
      <c r="L999" s="350">
        <f t="shared" ref="L999:L1005" si="701">SUM(J999*K999)</f>
        <v>17500</v>
      </c>
      <c r="M999" s="356">
        <f t="shared" ref="M999:M1005" si="702">ROUNDDOWN(L999*1.1,0)</f>
        <v>19250</v>
      </c>
      <c r="N999" s="258" t="s">
        <v>20</v>
      </c>
      <c r="O999" s="465" t="s">
        <v>6356</v>
      </c>
      <c r="Q999" s="18" t="s">
        <v>2594</v>
      </c>
      <c r="R999" s="18" t="s">
        <v>2594</v>
      </c>
    </row>
    <row r="1000" spans="1:27" ht="21.75" customHeight="1" x14ac:dyDescent="0.4">
      <c r="A1000" s="466">
        <v>46113</v>
      </c>
      <c r="B1000" s="325" t="s">
        <v>6322</v>
      </c>
      <c r="C1000" s="32" t="s">
        <v>4292</v>
      </c>
      <c r="D1000" s="258" t="s">
        <v>17</v>
      </c>
      <c r="E1000" s="18" t="s">
        <v>292</v>
      </c>
      <c r="F1000" s="18" t="s">
        <v>3642</v>
      </c>
      <c r="G1000" s="63" t="s">
        <v>6467</v>
      </c>
      <c r="H1000" s="399">
        <v>6300</v>
      </c>
      <c r="I1000" s="399">
        <v>-1575</v>
      </c>
      <c r="J1000" s="350">
        <f t="shared" si="700"/>
        <v>4725</v>
      </c>
      <c r="K1000" s="18">
        <v>1</v>
      </c>
      <c r="L1000" s="350">
        <f t="shared" si="701"/>
        <v>4725</v>
      </c>
      <c r="M1000" s="356">
        <f t="shared" si="702"/>
        <v>5197</v>
      </c>
      <c r="N1000" s="258" t="s">
        <v>1516</v>
      </c>
      <c r="O1000" s="470"/>
      <c r="Q1000" s="18" t="s">
        <v>6524</v>
      </c>
      <c r="R1000" s="18" t="s">
        <v>6475</v>
      </c>
      <c r="W1000" s="354">
        <f t="shared" ref="W1000" si="703">X1000/H1000</f>
        <v>0.75</v>
      </c>
      <c r="X1000" s="355">
        <v>4725</v>
      </c>
      <c r="Y1000" s="355">
        <f>K1000</f>
        <v>1</v>
      </c>
      <c r="Z1000" s="355">
        <f>X1000*Y1000</f>
        <v>4725</v>
      </c>
      <c r="AA1000" s="355">
        <f>L1000-Z1000</f>
        <v>0</v>
      </c>
    </row>
    <row r="1001" spans="1:27" ht="21.75" customHeight="1" x14ac:dyDescent="0.4">
      <c r="A1001" s="466">
        <v>46113</v>
      </c>
      <c r="B1001" s="466" t="s">
        <v>1720</v>
      </c>
      <c r="C1001" s="466" t="s">
        <v>2557</v>
      </c>
      <c r="D1001" s="18" t="s">
        <v>22</v>
      </c>
      <c r="E1001" s="18" t="s">
        <v>260</v>
      </c>
      <c r="F1001" s="18"/>
      <c r="G1001" s="63" t="s">
        <v>6451</v>
      </c>
      <c r="H1001" s="399">
        <v>15000</v>
      </c>
      <c r="I1001" s="399"/>
      <c r="J1001" s="350">
        <f t="shared" ref="J1001" si="704">SUM(H1001:I1001)</f>
        <v>15000</v>
      </c>
      <c r="K1001" s="18">
        <v>1</v>
      </c>
      <c r="L1001" s="350">
        <f t="shared" ref="L1001" si="705">SUM(J1001*K1001)</f>
        <v>15000</v>
      </c>
      <c r="M1001" s="356">
        <f t="shared" ref="M1001" si="706">ROUNDDOWN(L1001*1.1,0)</f>
        <v>16500</v>
      </c>
      <c r="N1001" s="258" t="s">
        <v>1516</v>
      </c>
      <c r="O1001" s="470"/>
      <c r="R1001" s="18" t="s">
        <v>6475</v>
      </c>
    </row>
    <row r="1002" spans="1:27" ht="21.75" customHeight="1" x14ac:dyDescent="0.4">
      <c r="A1002" s="466">
        <v>46113</v>
      </c>
      <c r="B1002" s="474" t="s">
        <v>6447</v>
      </c>
      <c r="C1002" s="474" t="s">
        <v>2557</v>
      </c>
      <c r="D1002" s="96" t="s">
        <v>198</v>
      </c>
      <c r="E1002" s="18" t="s">
        <v>260</v>
      </c>
      <c r="F1002" s="18"/>
      <c r="G1002" s="63" t="s">
        <v>2491</v>
      </c>
      <c r="H1002" s="399">
        <v>-15000</v>
      </c>
      <c r="I1002" s="399"/>
      <c r="J1002" s="350">
        <f t="shared" si="700"/>
        <v>-15000</v>
      </c>
      <c r="K1002" s="18">
        <v>1</v>
      </c>
      <c r="L1002" s="350">
        <f t="shared" si="701"/>
        <v>-15000</v>
      </c>
      <c r="M1002" s="358">
        <f t="shared" si="702"/>
        <v>-16500</v>
      </c>
      <c r="N1002" s="258" t="s">
        <v>1121</v>
      </c>
      <c r="O1002" s="467"/>
      <c r="P1002" s="18" t="s">
        <v>6448</v>
      </c>
      <c r="Q1002" s="18" t="s">
        <v>5449</v>
      </c>
      <c r="R1002" s="18" t="s">
        <v>5449</v>
      </c>
    </row>
    <row r="1003" spans="1:27" ht="21.75" customHeight="1" x14ac:dyDescent="0.4">
      <c r="A1003" s="258">
        <v>46113</v>
      </c>
      <c r="B1003" s="325" t="s">
        <v>6447</v>
      </c>
      <c r="C1003" s="32" t="s">
        <v>2557</v>
      </c>
      <c r="D1003" s="258" t="s">
        <v>17</v>
      </c>
      <c r="E1003" s="258" t="s">
        <v>328</v>
      </c>
      <c r="F1003" s="258" t="s">
        <v>788</v>
      </c>
      <c r="G1003" s="433" t="s">
        <v>6468</v>
      </c>
      <c r="H1003" s="399">
        <v>60000</v>
      </c>
      <c r="I1003" s="399">
        <v>-12000</v>
      </c>
      <c r="J1003" s="350">
        <f t="shared" si="700"/>
        <v>48000</v>
      </c>
      <c r="K1003" s="18">
        <v>1</v>
      </c>
      <c r="L1003" s="350">
        <f t="shared" si="701"/>
        <v>48000</v>
      </c>
      <c r="M1003" s="356">
        <f t="shared" si="702"/>
        <v>52800</v>
      </c>
      <c r="N1003" s="258" t="s">
        <v>1121</v>
      </c>
      <c r="O1003" s="456"/>
      <c r="P1003" s="18" t="s">
        <v>6448</v>
      </c>
      <c r="Q1003" s="18" t="s">
        <v>6448</v>
      </c>
      <c r="R1003" s="18" t="s">
        <v>6448</v>
      </c>
      <c r="W1003" s="354">
        <f t="shared" ref="W1003:W1005" si="707">X1003/H1003</f>
        <v>0.1275</v>
      </c>
      <c r="X1003" s="355">
        <v>7650</v>
      </c>
      <c r="Y1003" s="355">
        <f t="shared" ref="Y1003:Y1005" si="708">K1003</f>
        <v>1</v>
      </c>
      <c r="Z1003" s="355">
        <f t="shared" ref="Z1003:Z1005" si="709">X1003*Y1003</f>
        <v>7650</v>
      </c>
      <c r="AA1003" s="355">
        <f t="shared" ref="AA1003:AA1005" si="710">L1003-Z1003</f>
        <v>40350</v>
      </c>
    </row>
    <row r="1004" spans="1:27" ht="21.75" customHeight="1" x14ac:dyDescent="0.4">
      <c r="A1004" s="258">
        <v>46113</v>
      </c>
      <c r="B1004" s="325" t="s">
        <v>6447</v>
      </c>
      <c r="C1004" s="32" t="s">
        <v>2557</v>
      </c>
      <c r="D1004" s="258" t="s">
        <v>17</v>
      </c>
      <c r="E1004" s="258" t="s">
        <v>328</v>
      </c>
      <c r="F1004" s="258" t="s">
        <v>788</v>
      </c>
      <c r="G1004" s="433" t="s">
        <v>6469</v>
      </c>
      <c r="H1004" s="399">
        <v>35000</v>
      </c>
      <c r="I1004" s="399">
        <v>-7000</v>
      </c>
      <c r="J1004" s="350">
        <f t="shared" si="700"/>
        <v>28000</v>
      </c>
      <c r="K1004" s="18">
        <v>2</v>
      </c>
      <c r="L1004" s="350">
        <f t="shared" si="701"/>
        <v>56000</v>
      </c>
      <c r="M1004" s="356">
        <f t="shared" si="702"/>
        <v>61600</v>
      </c>
      <c r="N1004" s="258" t="s">
        <v>1121</v>
      </c>
      <c r="O1004" s="456"/>
      <c r="P1004" s="18" t="s">
        <v>6448</v>
      </c>
      <c r="Q1004" s="18" t="s">
        <v>6448</v>
      </c>
      <c r="R1004" s="18" t="s">
        <v>6448</v>
      </c>
      <c r="W1004" s="354">
        <f t="shared" si="707"/>
        <v>0.21857142857142858</v>
      </c>
      <c r="X1004" s="355">
        <v>7650</v>
      </c>
      <c r="Y1004" s="355">
        <f t="shared" si="708"/>
        <v>2</v>
      </c>
      <c r="Z1004" s="355">
        <f t="shared" si="709"/>
        <v>15300</v>
      </c>
      <c r="AA1004" s="355">
        <f t="shared" si="710"/>
        <v>40700</v>
      </c>
    </row>
    <row r="1005" spans="1:27" ht="21.75" customHeight="1" x14ac:dyDescent="0.4">
      <c r="A1005" s="258">
        <v>46113</v>
      </c>
      <c r="B1005" s="325" t="s">
        <v>6447</v>
      </c>
      <c r="C1005" s="32" t="s">
        <v>2557</v>
      </c>
      <c r="D1005" s="258" t="s">
        <v>17</v>
      </c>
      <c r="E1005" s="258" t="s">
        <v>332</v>
      </c>
      <c r="F1005" s="18" t="s">
        <v>3554</v>
      </c>
      <c r="G1005" s="433" t="s">
        <v>6223</v>
      </c>
      <c r="H1005" s="399">
        <v>1500</v>
      </c>
      <c r="I1005" s="399">
        <v>-150</v>
      </c>
      <c r="J1005" s="350">
        <f t="shared" si="700"/>
        <v>1350</v>
      </c>
      <c r="K1005" s="18">
        <v>3</v>
      </c>
      <c r="L1005" s="350">
        <f t="shared" si="701"/>
        <v>4050</v>
      </c>
      <c r="M1005" s="356">
        <f t="shared" si="702"/>
        <v>4455</v>
      </c>
      <c r="N1005" s="258" t="s">
        <v>1121</v>
      </c>
      <c r="O1005" s="456"/>
      <c r="P1005" s="18" t="s">
        <v>6448</v>
      </c>
      <c r="Q1005" s="18" t="s">
        <v>6448</v>
      </c>
      <c r="R1005" s="18" t="s">
        <v>6448</v>
      </c>
      <c r="W1005" s="354">
        <f t="shared" si="707"/>
        <v>0.6253333333333333</v>
      </c>
      <c r="X1005" s="355">
        <v>938</v>
      </c>
      <c r="Y1005" s="355">
        <f t="shared" si="708"/>
        <v>3</v>
      </c>
      <c r="Z1005" s="355">
        <f t="shared" si="709"/>
        <v>2814</v>
      </c>
      <c r="AA1005" s="355">
        <f t="shared" si="710"/>
        <v>1236</v>
      </c>
    </row>
    <row r="1006" spans="1:27" ht="21.75" customHeight="1" x14ac:dyDescent="0.4">
      <c r="A1006" s="258">
        <v>46113</v>
      </c>
      <c r="B1006" s="325" t="s">
        <v>6472</v>
      </c>
      <c r="C1006" s="32" t="s">
        <v>2557</v>
      </c>
      <c r="D1006" s="18" t="s">
        <v>27</v>
      </c>
      <c r="E1006" s="18" t="s">
        <v>4409</v>
      </c>
      <c r="F1006" s="258"/>
      <c r="G1006" s="63" t="s">
        <v>6470</v>
      </c>
      <c r="H1006" s="399">
        <v>55000</v>
      </c>
      <c r="I1006" s="399"/>
      <c r="J1006" s="350">
        <f t="shared" si="700"/>
        <v>55000</v>
      </c>
      <c r="K1006" s="18">
        <v>2</v>
      </c>
      <c r="L1006" s="350">
        <f t="shared" ref="L1006" si="711">SUM(J1006*K1006)</f>
        <v>110000</v>
      </c>
      <c r="M1006" s="356">
        <f t="shared" ref="M1006" si="712">ROUNDDOWN(L1006*1.1,0)</f>
        <v>121000</v>
      </c>
      <c r="N1006" s="258" t="s">
        <v>1516</v>
      </c>
      <c r="O1006" s="465" t="s">
        <v>6471</v>
      </c>
      <c r="Q1006" s="18" t="s">
        <v>6476</v>
      </c>
      <c r="R1006" s="18" t="s">
        <v>6475</v>
      </c>
    </row>
    <row r="1007" spans="1:27" ht="21.75" customHeight="1" x14ac:dyDescent="0.4">
      <c r="A1007" s="258">
        <v>46113</v>
      </c>
      <c r="B1007" s="325" t="s">
        <v>6449</v>
      </c>
      <c r="C1007" s="32" t="s">
        <v>2557</v>
      </c>
      <c r="D1007" s="258" t="s">
        <v>17</v>
      </c>
      <c r="E1007" s="18" t="s">
        <v>426</v>
      </c>
      <c r="F1007" s="18" t="s">
        <v>994</v>
      </c>
      <c r="G1007" s="433" t="s">
        <v>5936</v>
      </c>
      <c r="H1007" s="399">
        <v>1800</v>
      </c>
      <c r="I1007" s="353">
        <v>-180</v>
      </c>
      <c r="J1007" s="350">
        <f t="shared" ref="J1007:J1066" si="713">SUM(H1007:I1007)</f>
        <v>1620</v>
      </c>
      <c r="K1007" s="18">
        <v>1</v>
      </c>
      <c r="L1007" s="350">
        <f t="shared" ref="L1007:L1066" si="714">SUM(J1007*K1007)</f>
        <v>1620</v>
      </c>
      <c r="M1007" s="356">
        <f t="shared" ref="M1007:M1066" si="715">ROUNDDOWN(L1007*1.1,0)</f>
        <v>1782</v>
      </c>
      <c r="N1007" s="258" t="s">
        <v>20</v>
      </c>
      <c r="O1007" s="456"/>
      <c r="P1007" s="18" t="s">
        <v>2595</v>
      </c>
      <c r="Q1007" s="18" t="s">
        <v>2595</v>
      </c>
      <c r="R1007" s="18" t="s">
        <v>2595</v>
      </c>
      <c r="W1007" s="354">
        <f t="shared" ref="W1007:W1008" si="716">X1007/H1007</f>
        <v>0.6</v>
      </c>
      <c r="X1007" s="355">
        <v>1080</v>
      </c>
      <c r="Y1007" s="355">
        <f t="shared" ref="Y1007:Y1009" si="717">K1007</f>
        <v>1</v>
      </c>
      <c r="Z1007" s="355">
        <f t="shared" ref="Z1007:Z1009" si="718">X1007*Y1007</f>
        <v>1080</v>
      </c>
      <c r="AA1007" s="355">
        <f t="shared" ref="AA1007:AA1009" si="719">L1007-Z1007</f>
        <v>540</v>
      </c>
    </row>
    <row r="1008" spans="1:27" ht="21.75" customHeight="1" x14ac:dyDescent="0.4">
      <c r="A1008" s="258">
        <v>46113</v>
      </c>
      <c r="B1008" s="325" t="s">
        <v>3117</v>
      </c>
      <c r="C1008" s="32" t="s">
        <v>2557</v>
      </c>
      <c r="D1008" s="258" t="s">
        <v>17</v>
      </c>
      <c r="E1008" s="258" t="s">
        <v>332</v>
      </c>
      <c r="F1008" s="18" t="s">
        <v>3555</v>
      </c>
      <c r="G1008" s="433" t="s">
        <v>6474</v>
      </c>
      <c r="H1008" s="399">
        <v>2000</v>
      </c>
      <c r="I1008" s="353">
        <v>-200</v>
      </c>
      <c r="J1008" s="350">
        <f t="shared" si="713"/>
        <v>1800</v>
      </c>
      <c r="K1008" s="18">
        <v>6</v>
      </c>
      <c r="L1008" s="350">
        <f t="shared" si="714"/>
        <v>10800</v>
      </c>
      <c r="M1008" s="356">
        <f t="shared" si="715"/>
        <v>11880</v>
      </c>
      <c r="N1008" s="258" t="s">
        <v>20</v>
      </c>
      <c r="O1008" s="456"/>
      <c r="Q1008" s="18" t="s">
        <v>2595</v>
      </c>
      <c r="R1008" s="18" t="s">
        <v>6475</v>
      </c>
      <c r="W1008" s="354">
        <f t="shared" si="716"/>
        <v>0.57999999999999996</v>
      </c>
      <c r="X1008" s="355">
        <v>1160</v>
      </c>
      <c r="Y1008" s="355">
        <f t="shared" si="717"/>
        <v>6</v>
      </c>
      <c r="Z1008" s="355">
        <f t="shared" si="718"/>
        <v>6960</v>
      </c>
      <c r="AA1008" s="355">
        <f t="shared" si="719"/>
        <v>3840</v>
      </c>
    </row>
    <row r="1009" spans="1:27" ht="21.75" customHeight="1" x14ac:dyDescent="0.4">
      <c r="A1009" s="258">
        <v>46113</v>
      </c>
      <c r="B1009" s="325" t="s">
        <v>3117</v>
      </c>
      <c r="C1009" s="32" t="s">
        <v>2557</v>
      </c>
      <c r="D1009" s="258" t="s">
        <v>6473</v>
      </c>
      <c r="E1009" s="18" t="s">
        <v>6473</v>
      </c>
      <c r="F1009" s="18"/>
      <c r="G1009" s="433" t="s">
        <v>2416</v>
      </c>
      <c r="H1009" s="399">
        <v>300</v>
      </c>
      <c r="I1009" s="353"/>
      <c r="J1009" s="350">
        <v>300</v>
      </c>
      <c r="K1009" s="18">
        <v>6</v>
      </c>
      <c r="L1009" s="350">
        <f t="shared" si="714"/>
        <v>1800</v>
      </c>
      <c r="M1009" s="356">
        <f t="shared" si="715"/>
        <v>1980</v>
      </c>
      <c r="N1009" s="258" t="s">
        <v>20</v>
      </c>
      <c r="O1009" s="456"/>
      <c r="Q1009" s="18" t="s">
        <v>2595</v>
      </c>
      <c r="R1009" s="18" t="s">
        <v>6475</v>
      </c>
      <c r="Y1009" s="355">
        <f t="shared" si="717"/>
        <v>6</v>
      </c>
      <c r="Z1009" s="355">
        <f t="shared" si="718"/>
        <v>0</v>
      </c>
      <c r="AA1009" s="355">
        <f t="shared" si="719"/>
        <v>1800</v>
      </c>
    </row>
    <row r="1010" spans="1:27" ht="21.75" customHeight="1" x14ac:dyDescent="0.4">
      <c r="A1010" s="258">
        <v>46113</v>
      </c>
      <c r="B1010" s="325" t="s">
        <v>6450</v>
      </c>
      <c r="C1010" s="32" t="s">
        <v>2557</v>
      </c>
      <c r="D1010" s="258" t="s">
        <v>22</v>
      </c>
      <c r="E1010" s="258" t="s">
        <v>1496</v>
      </c>
      <c r="F1010" s="258"/>
      <c r="G1010" s="63" t="s">
        <v>4869</v>
      </c>
      <c r="H1010" s="399">
        <v>2000</v>
      </c>
      <c r="I1010" s="353"/>
      <c r="J1010" s="350">
        <f t="shared" si="713"/>
        <v>2000</v>
      </c>
      <c r="K1010" s="18">
        <v>1</v>
      </c>
      <c r="L1010" s="350">
        <f t="shared" si="714"/>
        <v>2000</v>
      </c>
      <c r="M1010" s="356">
        <f t="shared" si="715"/>
        <v>2200</v>
      </c>
      <c r="N1010" s="258" t="s">
        <v>1516</v>
      </c>
      <c r="O1010" s="456"/>
      <c r="P1010" s="18" t="s">
        <v>2594</v>
      </c>
      <c r="Q1010" s="18" t="s">
        <v>2594</v>
      </c>
      <c r="R1010" s="18" t="s">
        <v>2594</v>
      </c>
    </row>
    <row r="1011" spans="1:27" ht="21.75" customHeight="1" x14ac:dyDescent="0.4">
      <c r="A1011" s="258">
        <v>46114</v>
      </c>
      <c r="B1011" s="325" t="s">
        <v>1059</v>
      </c>
      <c r="C1011" s="32" t="s">
        <v>2557</v>
      </c>
      <c r="D1011" s="18" t="s">
        <v>27</v>
      </c>
      <c r="E1011" s="242" t="s">
        <v>5237</v>
      </c>
      <c r="F1011" s="258"/>
      <c r="G1011" s="433" t="s">
        <v>6148</v>
      </c>
      <c r="H1011" s="399">
        <v>1800</v>
      </c>
      <c r="I1011" s="399"/>
      <c r="J1011" s="350">
        <f t="shared" si="713"/>
        <v>1800</v>
      </c>
      <c r="K1011" s="18">
        <v>1</v>
      </c>
      <c r="L1011" s="350">
        <f t="shared" si="714"/>
        <v>1800</v>
      </c>
      <c r="M1011" s="356">
        <f t="shared" si="715"/>
        <v>1980</v>
      </c>
      <c r="N1011" s="18" t="s">
        <v>4233</v>
      </c>
      <c r="O1011" s="456"/>
      <c r="R1011" s="18" t="s">
        <v>6518</v>
      </c>
    </row>
    <row r="1012" spans="1:27" ht="21.75" customHeight="1" x14ac:dyDescent="0.4">
      <c r="A1012" s="258">
        <v>46115</v>
      </c>
      <c r="B1012" s="325" t="s">
        <v>5879</v>
      </c>
      <c r="C1012" s="32" t="s">
        <v>2557</v>
      </c>
      <c r="D1012" s="258" t="s">
        <v>17</v>
      </c>
      <c r="E1012" s="258" t="s">
        <v>332</v>
      </c>
      <c r="F1012" s="258" t="s">
        <v>3553</v>
      </c>
      <c r="G1012" s="475" t="s">
        <v>6415</v>
      </c>
      <c r="H1012" s="399">
        <v>1800</v>
      </c>
      <c r="I1012" s="353">
        <v>-180</v>
      </c>
      <c r="J1012" s="350">
        <f t="shared" si="713"/>
        <v>1620</v>
      </c>
      <c r="K1012" s="18">
        <v>5</v>
      </c>
      <c r="L1012" s="350">
        <f t="shared" si="714"/>
        <v>8100</v>
      </c>
      <c r="M1012" s="356">
        <f t="shared" si="715"/>
        <v>8910</v>
      </c>
      <c r="N1012" s="258" t="s">
        <v>1516</v>
      </c>
      <c r="O1012" s="456"/>
      <c r="R1012" s="242" t="s">
        <v>6537</v>
      </c>
      <c r="W1012" s="354">
        <f t="shared" ref="W1012:W1014" si="720">X1012/H1012</f>
        <v>0.5</v>
      </c>
      <c r="X1012" s="355">
        <v>900</v>
      </c>
      <c r="Y1012" s="355">
        <f t="shared" ref="Y1012:Y1015" si="721">K1012</f>
        <v>5</v>
      </c>
      <c r="Z1012" s="355">
        <f t="shared" ref="Z1012:Z1015" si="722">X1012*Y1012</f>
        <v>4500</v>
      </c>
      <c r="AA1012" s="355">
        <f t="shared" ref="AA1012:AA1015" si="723">L1012-Z1012</f>
        <v>3600</v>
      </c>
    </row>
    <row r="1013" spans="1:27" ht="21.75" customHeight="1" x14ac:dyDescent="0.4">
      <c r="A1013" s="258">
        <v>46115</v>
      </c>
      <c r="B1013" s="325" t="s">
        <v>5879</v>
      </c>
      <c r="C1013" s="32" t="s">
        <v>2557</v>
      </c>
      <c r="D1013" s="258" t="s">
        <v>59</v>
      </c>
      <c r="E1013" s="258" t="s">
        <v>6461</v>
      </c>
      <c r="F1013" s="258"/>
      <c r="G1013" s="433" t="s">
        <v>6454</v>
      </c>
      <c r="H1013" s="399">
        <v>300</v>
      </c>
      <c r="I1013" s="353"/>
      <c r="J1013" s="350">
        <f t="shared" si="713"/>
        <v>300</v>
      </c>
      <c r="K1013" s="18">
        <v>5</v>
      </c>
      <c r="L1013" s="350">
        <f t="shared" si="714"/>
        <v>1500</v>
      </c>
      <c r="M1013" s="356">
        <f t="shared" si="715"/>
        <v>1650</v>
      </c>
      <c r="N1013" s="258" t="s">
        <v>1516</v>
      </c>
      <c r="O1013" s="456"/>
      <c r="R1013" s="242" t="s">
        <v>6537</v>
      </c>
      <c r="Y1013" s="355">
        <f t="shared" si="721"/>
        <v>5</v>
      </c>
      <c r="Z1013" s="355">
        <f t="shared" si="722"/>
        <v>0</v>
      </c>
      <c r="AA1013" s="355">
        <f t="shared" si="723"/>
        <v>1500</v>
      </c>
    </row>
    <row r="1014" spans="1:27" ht="21.75" customHeight="1" x14ac:dyDescent="0.4">
      <c r="A1014" s="258">
        <v>46115</v>
      </c>
      <c r="B1014" s="325" t="s">
        <v>6453</v>
      </c>
      <c r="C1014" s="32" t="s">
        <v>2557</v>
      </c>
      <c r="D1014" s="258" t="s">
        <v>17</v>
      </c>
      <c r="E1014" s="258" t="s">
        <v>332</v>
      </c>
      <c r="F1014" s="258" t="s">
        <v>3553</v>
      </c>
      <c r="G1014" s="63" t="s">
        <v>5613</v>
      </c>
      <c r="H1014" s="399">
        <v>1800</v>
      </c>
      <c r="I1014" s="353">
        <v>-180</v>
      </c>
      <c r="J1014" s="350">
        <f t="shared" si="713"/>
        <v>1620</v>
      </c>
      <c r="K1014" s="18">
        <v>2</v>
      </c>
      <c r="L1014" s="350">
        <f t="shared" si="714"/>
        <v>3240</v>
      </c>
      <c r="M1014" s="356">
        <f t="shared" si="715"/>
        <v>3564</v>
      </c>
      <c r="N1014" s="258" t="s">
        <v>1121</v>
      </c>
      <c r="O1014" s="456"/>
      <c r="R1014" s="242" t="s">
        <v>6537</v>
      </c>
      <c r="W1014" s="354">
        <f t="shared" si="720"/>
        <v>0.5</v>
      </c>
      <c r="X1014" s="355">
        <v>900</v>
      </c>
      <c r="Y1014" s="355">
        <f t="shared" si="721"/>
        <v>2</v>
      </c>
      <c r="Z1014" s="355">
        <f t="shared" si="722"/>
        <v>1800</v>
      </c>
      <c r="AA1014" s="355">
        <f t="shared" si="723"/>
        <v>1440</v>
      </c>
    </row>
    <row r="1015" spans="1:27" ht="21.75" customHeight="1" x14ac:dyDescent="0.4">
      <c r="A1015" s="258">
        <v>46115</v>
      </c>
      <c r="B1015" s="325" t="s">
        <v>6453</v>
      </c>
      <c r="C1015" s="32" t="s">
        <v>2557</v>
      </c>
      <c r="D1015" s="258" t="s">
        <v>59</v>
      </c>
      <c r="E1015" s="258" t="s">
        <v>6452</v>
      </c>
      <c r="F1015" s="258"/>
      <c r="G1015" s="433" t="s">
        <v>6454</v>
      </c>
      <c r="H1015" s="399">
        <v>300</v>
      </c>
      <c r="I1015" s="353"/>
      <c r="J1015" s="350">
        <f t="shared" si="713"/>
        <v>300</v>
      </c>
      <c r="K1015" s="18">
        <v>2</v>
      </c>
      <c r="L1015" s="350">
        <f t="shared" si="714"/>
        <v>600</v>
      </c>
      <c r="M1015" s="356">
        <f t="shared" si="715"/>
        <v>660</v>
      </c>
      <c r="N1015" s="258" t="s">
        <v>1121</v>
      </c>
      <c r="O1015" s="456"/>
      <c r="R1015" s="242" t="s">
        <v>6537</v>
      </c>
      <c r="Y1015" s="355">
        <f t="shared" si="721"/>
        <v>2</v>
      </c>
      <c r="Z1015" s="355">
        <f t="shared" si="722"/>
        <v>0</v>
      </c>
      <c r="AA1015" s="355">
        <f t="shared" si="723"/>
        <v>600</v>
      </c>
    </row>
    <row r="1016" spans="1:27" ht="21.75" customHeight="1" x14ac:dyDescent="0.4">
      <c r="A1016" s="258">
        <v>46115</v>
      </c>
      <c r="B1016" s="325" t="s">
        <v>582</v>
      </c>
      <c r="C1016" s="32" t="s">
        <v>2557</v>
      </c>
      <c r="D1016" s="258" t="s">
        <v>22</v>
      </c>
      <c r="E1016" s="258" t="s">
        <v>1496</v>
      </c>
      <c r="F1016" s="258"/>
      <c r="G1016" s="63" t="s">
        <v>4869</v>
      </c>
      <c r="H1016" s="399">
        <v>2000</v>
      </c>
      <c r="I1016" s="353"/>
      <c r="J1016" s="350">
        <f t="shared" si="713"/>
        <v>2000</v>
      </c>
      <c r="K1016" s="18">
        <v>1</v>
      </c>
      <c r="L1016" s="350">
        <f t="shared" si="714"/>
        <v>2000</v>
      </c>
      <c r="M1016" s="356">
        <f t="shared" si="715"/>
        <v>2200</v>
      </c>
      <c r="N1016" s="258" t="s">
        <v>20</v>
      </c>
      <c r="O1016" s="456"/>
      <c r="P1016" s="18" t="s">
        <v>6455</v>
      </c>
      <c r="Q1016" s="18" t="s">
        <v>6455</v>
      </c>
      <c r="R1016" s="18" t="s">
        <v>6455</v>
      </c>
    </row>
    <row r="1017" spans="1:27" ht="21.75" customHeight="1" x14ac:dyDescent="0.4">
      <c r="A1017" s="258">
        <v>46115</v>
      </c>
      <c r="B1017" s="32" t="s">
        <v>6787</v>
      </c>
      <c r="C1017" s="32" t="s">
        <v>2557</v>
      </c>
      <c r="D1017" s="18" t="s">
        <v>27</v>
      </c>
      <c r="E1017" s="18" t="s">
        <v>28</v>
      </c>
      <c r="F1017" s="18"/>
      <c r="G1017" s="63" t="s">
        <v>4582</v>
      </c>
      <c r="H1017" s="350">
        <v>5000</v>
      </c>
      <c r="I1017" s="353"/>
      <c r="J1017" s="350">
        <f t="shared" si="713"/>
        <v>5000</v>
      </c>
      <c r="K1017" s="18">
        <v>1</v>
      </c>
      <c r="L1017" s="350">
        <f t="shared" si="714"/>
        <v>5000</v>
      </c>
      <c r="M1017" s="357">
        <f t="shared" si="715"/>
        <v>5500</v>
      </c>
      <c r="N1017" s="18" t="s">
        <v>20</v>
      </c>
      <c r="O1017" s="454" t="s">
        <v>6477</v>
      </c>
      <c r="R1017" s="18" t="s">
        <v>6475</v>
      </c>
      <c r="S1017" s="457"/>
    </row>
    <row r="1018" spans="1:27" ht="21.75" customHeight="1" x14ac:dyDescent="0.4">
      <c r="A1018" s="258">
        <v>46116</v>
      </c>
      <c r="B1018" s="325" t="s">
        <v>6432</v>
      </c>
      <c r="C1018" s="32" t="s">
        <v>405</v>
      </c>
      <c r="D1018" s="258" t="s">
        <v>6456</v>
      </c>
      <c r="E1018" s="258" t="s">
        <v>328</v>
      </c>
      <c r="F1018" s="258" t="s">
        <v>6457</v>
      </c>
      <c r="G1018" s="433" t="s">
        <v>6458</v>
      </c>
      <c r="H1018" s="399">
        <v>72000</v>
      </c>
      <c r="I1018" s="353">
        <v>-14400</v>
      </c>
      <c r="J1018" s="350">
        <f t="shared" si="713"/>
        <v>57600</v>
      </c>
      <c r="K1018" s="18">
        <v>1</v>
      </c>
      <c r="L1018" s="350">
        <f t="shared" si="714"/>
        <v>57600</v>
      </c>
      <c r="M1018" s="356">
        <f t="shared" si="715"/>
        <v>63360</v>
      </c>
      <c r="N1018" s="258" t="s">
        <v>1121</v>
      </c>
      <c r="O1018" s="456"/>
      <c r="P1018" s="18" t="s">
        <v>6459</v>
      </c>
      <c r="Q1018" s="18" t="s">
        <v>6459</v>
      </c>
      <c r="R1018" s="18" t="s">
        <v>6459</v>
      </c>
      <c r="W1018" s="354">
        <f t="shared" ref="W1018:W1022" si="724">X1018/H1018</f>
        <v>0.45</v>
      </c>
      <c r="X1018" s="355">
        <v>32400</v>
      </c>
      <c r="Y1018" s="355">
        <f t="shared" ref="Y1018:Y1023" si="725">K1018</f>
        <v>1</v>
      </c>
      <c r="Z1018" s="355">
        <f t="shared" ref="Z1018:Z1023" si="726">X1018*Y1018</f>
        <v>32400</v>
      </c>
      <c r="AA1018" s="355">
        <f t="shared" ref="AA1018:AA1023" si="727">L1018-Z1018</f>
        <v>25200</v>
      </c>
    </row>
    <row r="1019" spans="1:27" ht="21.75" customHeight="1" x14ac:dyDescent="0.4">
      <c r="A1019" s="258">
        <v>46116</v>
      </c>
      <c r="B1019" s="325" t="s">
        <v>6432</v>
      </c>
      <c r="C1019" s="32" t="s">
        <v>405</v>
      </c>
      <c r="D1019" s="258" t="s">
        <v>6456</v>
      </c>
      <c r="E1019" s="258" t="s">
        <v>292</v>
      </c>
      <c r="F1019" s="258" t="s">
        <v>1051</v>
      </c>
      <c r="G1019" s="433" t="s">
        <v>6000</v>
      </c>
      <c r="H1019" s="399">
        <v>5700</v>
      </c>
      <c r="I1019" s="353"/>
      <c r="J1019" s="350">
        <f t="shared" si="713"/>
        <v>5700</v>
      </c>
      <c r="K1019" s="18">
        <v>2</v>
      </c>
      <c r="L1019" s="350">
        <f t="shared" si="714"/>
        <v>11400</v>
      </c>
      <c r="M1019" s="356">
        <f t="shared" si="715"/>
        <v>12540</v>
      </c>
      <c r="N1019" s="258" t="s">
        <v>1121</v>
      </c>
      <c r="O1019" s="456"/>
      <c r="P1019" s="18" t="s">
        <v>6459</v>
      </c>
      <c r="Q1019" s="18" t="s">
        <v>6459</v>
      </c>
      <c r="R1019" s="18" t="s">
        <v>6459</v>
      </c>
      <c r="W1019" s="354">
        <f t="shared" si="724"/>
        <v>0.88140350877192986</v>
      </c>
      <c r="X1019" s="355">
        <v>5024</v>
      </c>
      <c r="Y1019" s="355">
        <f t="shared" si="725"/>
        <v>2</v>
      </c>
      <c r="Z1019" s="355">
        <f t="shared" si="726"/>
        <v>10048</v>
      </c>
      <c r="AA1019" s="355">
        <f t="shared" si="727"/>
        <v>1352</v>
      </c>
    </row>
    <row r="1020" spans="1:27" ht="21.75" customHeight="1" x14ac:dyDescent="0.4">
      <c r="A1020" s="258">
        <v>46116</v>
      </c>
      <c r="B1020" s="325" t="s">
        <v>6322</v>
      </c>
      <c r="C1020" s="32" t="s">
        <v>4292</v>
      </c>
      <c r="D1020" s="258" t="s">
        <v>17</v>
      </c>
      <c r="E1020" s="258" t="s">
        <v>328</v>
      </c>
      <c r="F1020" s="258" t="s">
        <v>3597</v>
      </c>
      <c r="G1020" s="433" t="s">
        <v>6478</v>
      </c>
      <c r="H1020" s="399">
        <v>2850</v>
      </c>
      <c r="I1020" s="353"/>
      <c r="J1020" s="350">
        <f t="shared" si="713"/>
        <v>2850</v>
      </c>
      <c r="K1020" s="18">
        <v>8</v>
      </c>
      <c r="L1020" s="350">
        <f t="shared" si="714"/>
        <v>22800</v>
      </c>
      <c r="M1020" s="356">
        <f t="shared" si="715"/>
        <v>25080</v>
      </c>
      <c r="N1020" s="258" t="s">
        <v>1121</v>
      </c>
      <c r="O1020" s="456"/>
      <c r="Q1020" s="18" t="s">
        <v>6455</v>
      </c>
      <c r="R1020" s="18" t="s">
        <v>6475</v>
      </c>
      <c r="W1020" s="354">
        <f t="shared" si="724"/>
        <v>1</v>
      </c>
      <c r="X1020" s="355">
        <v>2850</v>
      </c>
      <c r="Y1020" s="355">
        <f t="shared" si="725"/>
        <v>8</v>
      </c>
      <c r="Z1020" s="355">
        <f t="shared" si="726"/>
        <v>22800</v>
      </c>
      <c r="AA1020" s="355">
        <f t="shared" si="727"/>
        <v>0</v>
      </c>
    </row>
    <row r="1021" spans="1:27" ht="21.75" customHeight="1" x14ac:dyDescent="0.4">
      <c r="A1021" s="258">
        <v>46116</v>
      </c>
      <c r="B1021" s="325" t="s">
        <v>6322</v>
      </c>
      <c r="C1021" s="32" t="s">
        <v>4292</v>
      </c>
      <c r="D1021" s="258" t="s">
        <v>17</v>
      </c>
      <c r="E1021" s="258" t="s">
        <v>332</v>
      </c>
      <c r="F1021" s="18" t="s">
        <v>3554</v>
      </c>
      <c r="G1021" s="433" t="s">
        <v>6479</v>
      </c>
      <c r="H1021" s="399">
        <v>1563</v>
      </c>
      <c r="I1021" s="353"/>
      <c r="J1021" s="350">
        <f t="shared" si="713"/>
        <v>1563</v>
      </c>
      <c r="K1021" s="18">
        <v>13</v>
      </c>
      <c r="L1021" s="350">
        <f t="shared" si="714"/>
        <v>20319</v>
      </c>
      <c r="M1021" s="356">
        <f t="shared" si="715"/>
        <v>22350</v>
      </c>
      <c r="N1021" s="258" t="s">
        <v>1121</v>
      </c>
      <c r="O1021" s="456"/>
      <c r="Q1021" s="18" t="s">
        <v>6455</v>
      </c>
      <c r="R1021" s="18" t="s">
        <v>6475</v>
      </c>
      <c r="W1021" s="354">
        <f t="shared" si="724"/>
        <v>1</v>
      </c>
      <c r="X1021" s="355">
        <v>1563</v>
      </c>
      <c r="Y1021" s="355">
        <f t="shared" si="725"/>
        <v>13</v>
      </c>
      <c r="Z1021" s="355">
        <f t="shared" si="726"/>
        <v>20319</v>
      </c>
      <c r="AA1021" s="355">
        <f t="shared" si="727"/>
        <v>0</v>
      </c>
    </row>
    <row r="1022" spans="1:27" ht="21.75" customHeight="1" x14ac:dyDescent="0.4">
      <c r="A1022" s="258">
        <v>46117</v>
      </c>
      <c r="B1022" s="325" t="s">
        <v>678</v>
      </c>
      <c r="C1022" s="32" t="s">
        <v>2557</v>
      </c>
      <c r="D1022" s="258" t="s">
        <v>17</v>
      </c>
      <c r="E1022" s="258" t="s">
        <v>332</v>
      </c>
      <c r="F1022" s="18" t="s">
        <v>3550</v>
      </c>
      <c r="G1022" s="63" t="s">
        <v>6460</v>
      </c>
      <c r="H1022" s="399">
        <v>1700</v>
      </c>
      <c r="I1022" s="353">
        <v>-170</v>
      </c>
      <c r="J1022" s="350">
        <f t="shared" si="713"/>
        <v>1530</v>
      </c>
      <c r="K1022" s="18">
        <v>1</v>
      </c>
      <c r="L1022" s="350">
        <f t="shared" si="714"/>
        <v>1530</v>
      </c>
      <c r="M1022" s="356">
        <f t="shared" si="715"/>
        <v>1683</v>
      </c>
      <c r="N1022" s="18" t="s">
        <v>20</v>
      </c>
      <c r="O1022" s="456"/>
      <c r="Q1022" s="18" t="s">
        <v>6462</v>
      </c>
      <c r="R1022" s="18" t="s">
        <v>6462</v>
      </c>
      <c r="W1022" s="354">
        <f t="shared" si="724"/>
        <v>0.6</v>
      </c>
      <c r="X1022" s="355">
        <v>1020</v>
      </c>
      <c r="Y1022" s="355">
        <f t="shared" si="725"/>
        <v>1</v>
      </c>
      <c r="Z1022" s="355">
        <f t="shared" si="726"/>
        <v>1020</v>
      </c>
      <c r="AA1022" s="355">
        <f t="shared" si="727"/>
        <v>510</v>
      </c>
    </row>
    <row r="1023" spans="1:27" ht="21.75" customHeight="1" x14ac:dyDescent="0.4">
      <c r="A1023" s="258">
        <v>46117</v>
      </c>
      <c r="B1023" s="325" t="s">
        <v>678</v>
      </c>
      <c r="C1023" s="32" t="s">
        <v>2557</v>
      </c>
      <c r="D1023" s="258" t="s">
        <v>59</v>
      </c>
      <c r="E1023" s="258" t="s">
        <v>59</v>
      </c>
      <c r="F1023" s="258"/>
      <c r="G1023" s="433" t="s">
        <v>2416</v>
      </c>
      <c r="H1023" s="399">
        <v>300</v>
      </c>
      <c r="I1023" s="353"/>
      <c r="J1023" s="350">
        <f t="shared" ref="J1023" si="728">SUM(H1023:I1023)</f>
        <v>300</v>
      </c>
      <c r="K1023" s="18">
        <v>1</v>
      </c>
      <c r="L1023" s="350">
        <f t="shared" ref="L1023" si="729">SUM(J1023*K1023)</f>
        <v>300</v>
      </c>
      <c r="M1023" s="356">
        <f t="shared" ref="M1023" si="730">ROUNDDOWN(L1023*1.1,0)</f>
        <v>330</v>
      </c>
      <c r="N1023" s="18" t="s">
        <v>20</v>
      </c>
      <c r="O1023" s="456"/>
      <c r="Q1023" s="18" t="s">
        <v>6462</v>
      </c>
      <c r="R1023" s="18" t="s">
        <v>6462</v>
      </c>
      <c r="Y1023" s="355">
        <f t="shared" si="725"/>
        <v>1</v>
      </c>
      <c r="Z1023" s="355">
        <f t="shared" si="726"/>
        <v>0</v>
      </c>
      <c r="AA1023" s="355">
        <f t="shared" si="727"/>
        <v>300</v>
      </c>
    </row>
    <row r="1024" spans="1:27" ht="21.75" customHeight="1" x14ac:dyDescent="0.4">
      <c r="A1024" s="258">
        <v>46117</v>
      </c>
      <c r="B1024" s="325" t="s">
        <v>5069</v>
      </c>
      <c r="C1024" s="32" t="s">
        <v>2557</v>
      </c>
      <c r="D1024" s="258" t="s">
        <v>22</v>
      </c>
      <c r="E1024" s="258" t="s">
        <v>1496</v>
      </c>
      <c r="F1024" s="258"/>
      <c r="G1024" s="63" t="s">
        <v>4869</v>
      </c>
      <c r="H1024" s="399">
        <v>2000</v>
      </c>
      <c r="I1024" s="399"/>
      <c r="J1024" s="350">
        <f t="shared" si="713"/>
        <v>2000</v>
      </c>
      <c r="K1024" s="18">
        <v>2</v>
      </c>
      <c r="L1024" s="350">
        <f t="shared" si="714"/>
        <v>4000</v>
      </c>
      <c r="M1024" s="356">
        <f t="shared" si="715"/>
        <v>4400</v>
      </c>
      <c r="N1024" s="258" t="s">
        <v>1516</v>
      </c>
      <c r="O1024" s="456"/>
      <c r="P1024" s="18" t="s">
        <v>5449</v>
      </c>
      <c r="Q1024" s="18" t="s">
        <v>5449</v>
      </c>
      <c r="R1024" s="18" t="s">
        <v>4803</v>
      </c>
    </row>
    <row r="1025" spans="1:27" ht="21.75" customHeight="1" x14ac:dyDescent="0.4">
      <c r="A1025" s="258">
        <v>46117</v>
      </c>
      <c r="B1025" s="325" t="s">
        <v>6463</v>
      </c>
      <c r="C1025" s="32" t="s">
        <v>405</v>
      </c>
      <c r="D1025" s="258" t="s">
        <v>17</v>
      </c>
      <c r="E1025" s="258" t="s">
        <v>328</v>
      </c>
      <c r="F1025" s="258" t="s">
        <v>3883</v>
      </c>
      <c r="G1025" s="433" t="s">
        <v>6464</v>
      </c>
      <c r="H1025" s="399">
        <v>44000</v>
      </c>
      <c r="I1025" s="353">
        <v>-8800</v>
      </c>
      <c r="J1025" s="350">
        <f t="shared" si="713"/>
        <v>35200</v>
      </c>
      <c r="K1025" s="18">
        <v>1</v>
      </c>
      <c r="L1025" s="350">
        <f t="shared" si="714"/>
        <v>35200</v>
      </c>
      <c r="M1025" s="356">
        <f t="shared" si="715"/>
        <v>38720</v>
      </c>
      <c r="N1025" s="258" t="s">
        <v>1121</v>
      </c>
      <c r="O1025" s="456"/>
      <c r="P1025" s="18" t="s">
        <v>5449</v>
      </c>
      <c r="Q1025" s="18" t="s">
        <v>4803</v>
      </c>
      <c r="R1025" s="18" t="s">
        <v>4803</v>
      </c>
      <c r="W1025" s="354">
        <f t="shared" ref="W1025:W1027" si="731">X1025/H1025</f>
        <v>0.40909090909090912</v>
      </c>
      <c r="X1025" s="355">
        <v>18000</v>
      </c>
      <c r="Y1025" s="355">
        <f t="shared" ref="Y1025:Y1027" si="732">K1025</f>
        <v>1</v>
      </c>
      <c r="Z1025" s="355">
        <f t="shared" ref="Z1025:Z1027" si="733">X1025*Y1025</f>
        <v>18000</v>
      </c>
      <c r="AA1025" s="355">
        <f t="shared" ref="AA1025:AA1027" si="734">L1025-Z1025</f>
        <v>17200</v>
      </c>
    </row>
    <row r="1026" spans="1:27" ht="21.75" customHeight="1" x14ac:dyDescent="0.4">
      <c r="A1026" s="258">
        <v>46117</v>
      </c>
      <c r="B1026" s="325" t="s">
        <v>6463</v>
      </c>
      <c r="C1026" s="32" t="s">
        <v>405</v>
      </c>
      <c r="D1026" s="258" t="s">
        <v>17</v>
      </c>
      <c r="E1026" s="258" t="s">
        <v>332</v>
      </c>
      <c r="F1026" s="18" t="s">
        <v>3554</v>
      </c>
      <c r="G1026" s="433" t="s">
        <v>6223</v>
      </c>
      <c r="H1026" s="399">
        <v>1500</v>
      </c>
      <c r="I1026" s="353"/>
      <c r="J1026" s="350">
        <f t="shared" si="713"/>
        <v>1500</v>
      </c>
      <c r="K1026" s="18">
        <v>1</v>
      </c>
      <c r="L1026" s="350">
        <f t="shared" si="714"/>
        <v>1500</v>
      </c>
      <c r="M1026" s="356">
        <f t="shared" si="715"/>
        <v>1650</v>
      </c>
      <c r="N1026" s="258" t="s">
        <v>1121</v>
      </c>
      <c r="O1026" s="456"/>
      <c r="P1026" s="18" t="s">
        <v>5449</v>
      </c>
      <c r="Q1026" s="18" t="s">
        <v>4803</v>
      </c>
      <c r="R1026" s="18" t="s">
        <v>4803</v>
      </c>
      <c r="W1026" s="354">
        <f t="shared" si="731"/>
        <v>0.6253333333333333</v>
      </c>
      <c r="X1026" s="355">
        <v>938</v>
      </c>
      <c r="Y1026" s="355">
        <f t="shared" si="732"/>
        <v>1</v>
      </c>
      <c r="Z1026" s="355">
        <f t="shared" si="733"/>
        <v>938</v>
      </c>
      <c r="AA1026" s="355">
        <f t="shared" si="734"/>
        <v>562</v>
      </c>
    </row>
    <row r="1027" spans="1:27" ht="21.75" customHeight="1" x14ac:dyDescent="0.4">
      <c r="A1027" s="258">
        <v>46117</v>
      </c>
      <c r="B1027" s="325" t="s">
        <v>6463</v>
      </c>
      <c r="C1027" s="32" t="s">
        <v>405</v>
      </c>
      <c r="D1027" s="258" t="s">
        <v>17</v>
      </c>
      <c r="E1027" s="258" t="s">
        <v>330</v>
      </c>
      <c r="F1027" s="258" t="s">
        <v>661</v>
      </c>
      <c r="G1027" s="433" t="s">
        <v>6142</v>
      </c>
      <c r="H1027" s="399">
        <v>5000</v>
      </c>
      <c r="I1027" s="353"/>
      <c r="J1027" s="350">
        <f t="shared" si="713"/>
        <v>5000</v>
      </c>
      <c r="K1027" s="18">
        <v>1</v>
      </c>
      <c r="L1027" s="350">
        <f t="shared" si="714"/>
        <v>5000</v>
      </c>
      <c r="M1027" s="356">
        <f t="shared" si="715"/>
        <v>5500</v>
      </c>
      <c r="N1027" s="258" t="s">
        <v>1121</v>
      </c>
      <c r="O1027" s="456"/>
      <c r="P1027" s="18" t="s">
        <v>5449</v>
      </c>
      <c r="Q1027" s="18" t="s">
        <v>4803</v>
      </c>
      <c r="R1027" s="18" t="s">
        <v>4803</v>
      </c>
      <c r="W1027" s="354">
        <f t="shared" si="731"/>
        <v>0.45</v>
      </c>
      <c r="X1027" s="355">
        <v>2250</v>
      </c>
      <c r="Y1027" s="355">
        <f t="shared" si="732"/>
        <v>1</v>
      </c>
      <c r="Z1027" s="355">
        <f t="shared" si="733"/>
        <v>2250</v>
      </c>
      <c r="AA1027" s="355">
        <f t="shared" si="734"/>
        <v>2750</v>
      </c>
    </row>
    <row r="1028" spans="1:27" ht="21.75" customHeight="1" x14ac:dyDescent="0.4">
      <c r="A1028" s="258">
        <v>46118</v>
      </c>
      <c r="B1028" s="325" t="s">
        <v>5978</v>
      </c>
      <c r="C1028" s="32" t="s">
        <v>2557</v>
      </c>
      <c r="D1028" s="18" t="s">
        <v>27</v>
      </c>
      <c r="E1028" s="18" t="s">
        <v>4409</v>
      </c>
      <c r="F1028" s="258"/>
      <c r="G1028" s="63" t="s">
        <v>6269</v>
      </c>
      <c r="H1028" s="399">
        <v>17500</v>
      </c>
      <c r="I1028" s="353"/>
      <c r="J1028" s="350">
        <f t="shared" si="713"/>
        <v>17500</v>
      </c>
      <c r="K1028" s="18">
        <v>1</v>
      </c>
      <c r="L1028" s="350">
        <f t="shared" si="714"/>
        <v>17500</v>
      </c>
      <c r="M1028" s="356">
        <f t="shared" si="715"/>
        <v>19250</v>
      </c>
      <c r="N1028" s="258" t="s">
        <v>1516</v>
      </c>
      <c r="O1028" s="465" t="s">
        <v>6356</v>
      </c>
      <c r="P1028" s="18" t="s">
        <v>6465</v>
      </c>
      <c r="Q1028" s="18" t="s">
        <v>6465</v>
      </c>
      <c r="R1028" s="18" t="s">
        <v>6466</v>
      </c>
    </row>
    <row r="1029" spans="1:27" ht="21.75" customHeight="1" x14ac:dyDescent="0.4">
      <c r="A1029" s="258">
        <v>46118</v>
      </c>
      <c r="B1029" s="325" t="s">
        <v>139</v>
      </c>
      <c r="C1029" s="32" t="s">
        <v>2557</v>
      </c>
      <c r="D1029" s="258" t="s">
        <v>22</v>
      </c>
      <c r="E1029" s="258" t="s">
        <v>1496</v>
      </c>
      <c r="F1029" s="258"/>
      <c r="G1029" s="63" t="s">
        <v>4869</v>
      </c>
      <c r="H1029" s="399">
        <v>2000</v>
      </c>
      <c r="I1029" s="353"/>
      <c r="J1029" s="350">
        <f t="shared" si="713"/>
        <v>2000</v>
      </c>
      <c r="K1029" s="18">
        <v>1</v>
      </c>
      <c r="L1029" s="350">
        <f t="shared" si="714"/>
        <v>2000</v>
      </c>
      <c r="M1029" s="356">
        <f t="shared" si="715"/>
        <v>2200</v>
      </c>
      <c r="N1029" s="258" t="s">
        <v>1516</v>
      </c>
      <c r="O1029" s="456"/>
      <c r="P1029" s="18" t="s">
        <v>6466</v>
      </c>
      <c r="Q1029" s="18" t="s">
        <v>6466</v>
      </c>
      <c r="R1029" s="18" t="s">
        <v>6466</v>
      </c>
    </row>
    <row r="1030" spans="1:27" ht="21.75" customHeight="1" x14ac:dyDescent="0.4">
      <c r="A1030" s="258">
        <v>46118</v>
      </c>
      <c r="B1030" s="321" t="s">
        <v>6322</v>
      </c>
      <c r="C1030" s="32" t="s">
        <v>4292</v>
      </c>
      <c r="D1030" s="258" t="s">
        <v>17</v>
      </c>
      <c r="E1030" s="18" t="s">
        <v>292</v>
      </c>
      <c r="F1030" s="18" t="s">
        <v>3642</v>
      </c>
      <c r="G1030" s="63" t="s">
        <v>6467</v>
      </c>
      <c r="H1030" s="399">
        <v>6300</v>
      </c>
      <c r="I1030" s="399">
        <v>-1575</v>
      </c>
      <c r="J1030" s="350">
        <f t="shared" si="713"/>
        <v>4725</v>
      </c>
      <c r="K1030" s="18">
        <v>1</v>
      </c>
      <c r="L1030" s="350">
        <f t="shared" si="714"/>
        <v>4725</v>
      </c>
      <c r="M1030" s="356">
        <f t="shared" si="715"/>
        <v>5197</v>
      </c>
      <c r="N1030" s="258" t="s">
        <v>1516</v>
      </c>
      <c r="O1030" s="456"/>
      <c r="P1030" s="18" t="s">
        <v>6485</v>
      </c>
      <c r="Q1030" s="18" t="s">
        <v>6485</v>
      </c>
      <c r="R1030" s="18" t="s">
        <v>6475</v>
      </c>
      <c r="S1030" s="457"/>
      <c r="W1030" s="354">
        <f t="shared" ref="W1030" si="735">X1030/H1030</f>
        <v>0.75</v>
      </c>
      <c r="X1030" s="355">
        <v>4725</v>
      </c>
      <c r="Y1030" s="355">
        <f>K1030</f>
        <v>1</v>
      </c>
      <c r="Z1030" s="355">
        <f>X1030*Y1030</f>
        <v>4725</v>
      </c>
      <c r="AA1030" s="355">
        <f>L1030-Z1030</f>
        <v>0</v>
      </c>
    </row>
    <row r="1031" spans="1:27" ht="21.75" customHeight="1" x14ac:dyDescent="0.4">
      <c r="A1031" s="258">
        <v>46120</v>
      </c>
      <c r="B1031" s="321" t="s">
        <v>6490</v>
      </c>
      <c r="C1031" s="32" t="s">
        <v>405</v>
      </c>
      <c r="D1031" s="18" t="s">
        <v>22</v>
      </c>
      <c r="E1031" s="18" t="s">
        <v>1496</v>
      </c>
      <c r="F1031" s="18"/>
      <c r="G1031" s="63" t="s">
        <v>2422</v>
      </c>
      <c r="H1031" s="399">
        <v>2000</v>
      </c>
      <c r="I1031" s="399"/>
      <c r="J1031" s="350">
        <f t="shared" ref="J1031" si="736">SUM(H1031:I1031)</f>
        <v>2000</v>
      </c>
      <c r="K1031" s="18">
        <v>1</v>
      </c>
      <c r="L1031" s="350">
        <f t="shared" ref="L1031" si="737">SUM(J1031*K1031)</f>
        <v>2000</v>
      </c>
      <c r="M1031" s="356">
        <f t="shared" ref="M1031" si="738">ROUNDDOWN(L1031*1.1,0)</f>
        <v>2200</v>
      </c>
      <c r="N1031" s="258" t="s">
        <v>20</v>
      </c>
      <c r="O1031" s="456"/>
      <c r="R1031" s="18" t="s">
        <v>4803</v>
      </c>
      <c r="S1031" s="457"/>
    </row>
    <row r="1032" spans="1:27" ht="21.75" customHeight="1" x14ac:dyDescent="0.4">
      <c r="A1032" s="258">
        <v>46120</v>
      </c>
      <c r="B1032" s="325" t="s">
        <v>927</v>
      </c>
      <c r="C1032" s="32" t="s">
        <v>6480</v>
      </c>
      <c r="D1032" s="258" t="s">
        <v>6481</v>
      </c>
      <c r="E1032" s="258" t="s">
        <v>6481</v>
      </c>
      <c r="F1032" s="258"/>
      <c r="G1032" s="433" t="s">
        <v>6482</v>
      </c>
      <c r="H1032" s="399">
        <v>300</v>
      </c>
      <c r="I1032" s="353"/>
      <c r="J1032" s="350">
        <f t="shared" si="713"/>
        <v>300</v>
      </c>
      <c r="K1032" s="18">
        <v>1</v>
      </c>
      <c r="L1032" s="350">
        <f t="shared" si="714"/>
        <v>300</v>
      </c>
      <c r="M1032" s="356">
        <f t="shared" si="715"/>
        <v>330</v>
      </c>
      <c r="N1032" s="258" t="s">
        <v>6483</v>
      </c>
      <c r="O1032" s="456"/>
      <c r="P1032" s="18" t="s">
        <v>6484</v>
      </c>
      <c r="Q1032" s="18" t="s">
        <v>6484</v>
      </c>
      <c r="R1032" s="18" t="s">
        <v>6484</v>
      </c>
      <c r="Y1032" s="355">
        <f t="shared" ref="Y1032:Y1033" si="739">K1032</f>
        <v>1</v>
      </c>
      <c r="Z1032" s="355">
        <f t="shared" ref="Z1032:Z1033" si="740">X1032*Y1032</f>
        <v>0</v>
      </c>
      <c r="AA1032" s="355">
        <f t="shared" ref="AA1032:AA1033" si="741">L1032-Z1032</f>
        <v>300</v>
      </c>
    </row>
    <row r="1033" spans="1:27" ht="21.75" customHeight="1" x14ac:dyDescent="0.4">
      <c r="A1033" s="258">
        <v>46120</v>
      </c>
      <c r="B1033" s="325" t="s">
        <v>6486</v>
      </c>
      <c r="C1033" s="32"/>
      <c r="D1033" s="258" t="s">
        <v>6487</v>
      </c>
      <c r="E1033" s="258" t="s">
        <v>332</v>
      </c>
      <c r="F1033" s="18" t="s">
        <v>3550</v>
      </c>
      <c r="G1033" t="s">
        <v>6488</v>
      </c>
      <c r="H1033" s="399">
        <v>2000</v>
      </c>
      <c r="I1033" s="353">
        <v>-800</v>
      </c>
      <c r="J1033" s="350">
        <f t="shared" si="713"/>
        <v>1200</v>
      </c>
      <c r="K1033" s="18">
        <v>1</v>
      </c>
      <c r="L1033" s="350">
        <f t="shared" si="714"/>
        <v>1200</v>
      </c>
      <c r="M1033" s="356">
        <f t="shared" si="715"/>
        <v>1320</v>
      </c>
      <c r="N1033" s="258" t="s">
        <v>1516</v>
      </c>
      <c r="O1033" s="456"/>
      <c r="P1033" s="18" t="s">
        <v>5449</v>
      </c>
      <c r="Q1033" s="18" t="s">
        <v>5449</v>
      </c>
      <c r="R1033" s="18" t="s">
        <v>5449</v>
      </c>
      <c r="W1033" s="354">
        <f t="shared" ref="W1033" si="742">X1033/H1033</f>
        <v>0.6</v>
      </c>
      <c r="X1033" s="355">
        <v>1200</v>
      </c>
      <c r="Y1033" s="355">
        <f t="shared" si="739"/>
        <v>1</v>
      </c>
      <c r="Z1033" s="355">
        <f t="shared" si="740"/>
        <v>1200</v>
      </c>
      <c r="AA1033" s="355">
        <f t="shared" si="741"/>
        <v>0</v>
      </c>
    </row>
    <row r="1034" spans="1:27" ht="21.75" customHeight="1" x14ac:dyDescent="0.4">
      <c r="A1034" s="258">
        <v>46120</v>
      </c>
      <c r="B1034" s="325" t="s">
        <v>6489</v>
      </c>
      <c r="C1034" s="32" t="s">
        <v>2557</v>
      </c>
      <c r="D1034" s="18" t="s">
        <v>27</v>
      </c>
      <c r="E1034" s="18" t="s">
        <v>4409</v>
      </c>
      <c r="F1034" s="258"/>
      <c r="G1034" s="63" t="s">
        <v>6269</v>
      </c>
      <c r="H1034" s="399">
        <v>17500</v>
      </c>
      <c r="I1034" s="353"/>
      <c r="J1034" s="350">
        <f t="shared" ref="J1034" si="743">SUM(H1034:I1034)</f>
        <v>17500</v>
      </c>
      <c r="K1034" s="18">
        <v>1</v>
      </c>
      <c r="L1034" s="350">
        <f t="shared" ref="L1034" si="744">SUM(J1034*K1034)</f>
        <v>17500</v>
      </c>
      <c r="M1034" s="356">
        <f t="shared" ref="M1034" si="745">ROUNDDOWN(L1034*1.1,0)</f>
        <v>19250</v>
      </c>
      <c r="N1034" s="258" t="s">
        <v>1516</v>
      </c>
      <c r="O1034" s="465" t="s">
        <v>6356</v>
      </c>
      <c r="P1034" s="18" t="s">
        <v>5449</v>
      </c>
      <c r="Q1034" s="18" t="s">
        <v>5449</v>
      </c>
      <c r="R1034" s="18" t="s">
        <v>5449</v>
      </c>
    </row>
    <row r="1035" spans="1:27" ht="21.75" customHeight="1" x14ac:dyDescent="0.4">
      <c r="A1035" s="258">
        <v>46120</v>
      </c>
      <c r="B1035" s="325" t="s">
        <v>3424</v>
      </c>
      <c r="C1035" s="32" t="s">
        <v>2557</v>
      </c>
      <c r="D1035" s="18" t="s">
        <v>27</v>
      </c>
      <c r="E1035" s="18" t="s">
        <v>4409</v>
      </c>
      <c r="F1035" s="258"/>
      <c r="G1035" s="63" t="s">
        <v>5298</v>
      </c>
      <c r="H1035" s="399">
        <v>12250</v>
      </c>
      <c r="I1035" s="353"/>
      <c r="J1035" s="350">
        <f t="shared" si="713"/>
        <v>12250</v>
      </c>
      <c r="K1035" s="18">
        <v>1</v>
      </c>
      <c r="L1035" s="350">
        <f t="shared" si="714"/>
        <v>12250</v>
      </c>
      <c r="M1035" s="356">
        <f t="shared" si="715"/>
        <v>13475</v>
      </c>
      <c r="N1035" s="258" t="s">
        <v>1516</v>
      </c>
      <c r="O1035" s="465" t="s">
        <v>6356</v>
      </c>
      <c r="P1035" s="18" t="s">
        <v>5449</v>
      </c>
      <c r="Q1035" s="18" t="s">
        <v>5449</v>
      </c>
      <c r="R1035" s="18" t="s">
        <v>5449</v>
      </c>
      <c r="S1035" s="457"/>
    </row>
    <row r="1036" spans="1:27" ht="21.75" customHeight="1" x14ac:dyDescent="0.4">
      <c r="A1036" s="258">
        <v>46121</v>
      </c>
      <c r="B1036" s="325" t="s">
        <v>162</v>
      </c>
      <c r="C1036" s="32" t="s">
        <v>2557</v>
      </c>
      <c r="D1036" s="18" t="s">
        <v>27</v>
      </c>
      <c r="E1036" s="18" t="s">
        <v>28</v>
      </c>
      <c r="F1036" s="18"/>
      <c r="G1036" s="63" t="s">
        <v>73</v>
      </c>
      <c r="H1036" s="399">
        <v>2000</v>
      </c>
      <c r="I1036" s="353"/>
      <c r="J1036" s="399">
        <f t="shared" si="713"/>
        <v>2000</v>
      </c>
      <c r="K1036" s="18">
        <v>1</v>
      </c>
      <c r="L1036" s="399">
        <f t="shared" si="714"/>
        <v>2000</v>
      </c>
      <c r="M1036" s="399">
        <f t="shared" si="715"/>
        <v>2200</v>
      </c>
      <c r="N1036" s="347" t="s">
        <v>20</v>
      </c>
      <c r="O1036" s="454" t="s">
        <v>1543</v>
      </c>
      <c r="Q1036" s="18" t="s">
        <v>6492</v>
      </c>
      <c r="R1036" s="18" t="s">
        <v>4803</v>
      </c>
    </row>
    <row r="1037" spans="1:27" ht="21.75" customHeight="1" x14ac:dyDescent="0.4">
      <c r="A1037" s="258">
        <v>46121</v>
      </c>
      <c r="B1037" s="325" t="s">
        <v>6493</v>
      </c>
      <c r="C1037" s="32" t="s">
        <v>405</v>
      </c>
      <c r="D1037" s="18" t="s">
        <v>22</v>
      </c>
      <c r="E1037" s="18" t="s">
        <v>260</v>
      </c>
      <c r="F1037" s="347"/>
      <c r="G1037" s="63" t="s">
        <v>264</v>
      </c>
      <c r="H1037" s="399">
        <v>15000</v>
      </c>
      <c r="I1037" s="353">
        <v>-5000</v>
      </c>
      <c r="J1037" s="350">
        <f t="shared" si="713"/>
        <v>10000</v>
      </c>
      <c r="K1037" s="18">
        <v>1</v>
      </c>
      <c r="L1037" s="350">
        <f t="shared" si="714"/>
        <v>10000</v>
      </c>
      <c r="M1037" s="356">
        <f t="shared" si="715"/>
        <v>11000</v>
      </c>
      <c r="N1037" s="258" t="s">
        <v>1121</v>
      </c>
      <c r="O1037" s="456"/>
      <c r="Q1037" s="18" t="s">
        <v>6494</v>
      </c>
      <c r="R1037" s="18" t="s">
        <v>4803</v>
      </c>
    </row>
    <row r="1038" spans="1:27" ht="21.75" customHeight="1" x14ac:dyDescent="0.4">
      <c r="A1038" s="258">
        <v>46121</v>
      </c>
      <c r="B1038" s="325" t="s">
        <v>6493</v>
      </c>
      <c r="C1038" s="32" t="s">
        <v>405</v>
      </c>
      <c r="D1038" s="258" t="s">
        <v>17</v>
      </c>
      <c r="E1038" s="258" t="s">
        <v>1442</v>
      </c>
      <c r="F1038" s="347" t="s">
        <v>6350</v>
      </c>
      <c r="G1038" s="462" t="s">
        <v>6351</v>
      </c>
      <c r="H1038" s="399">
        <v>84000</v>
      </c>
      <c r="I1038" s="353"/>
      <c r="J1038" s="350">
        <f t="shared" si="713"/>
        <v>84000</v>
      </c>
      <c r="K1038" s="18">
        <v>1</v>
      </c>
      <c r="L1038" s="350">
        <f t="shared" si="714"/>
        <v>84000</v>
      </c>
      <c r="M1038" s="356">
        <f t="shared" si="715"/>
        <v>92400</v>
      </c>
      <c r="N1038" s="258" t="s">
        <v>1121</v>
      </c>
      <c r="O1038" s="456"/>
      <c r="Q1038" s="18" t="s">
        <v>6494</v>
      </c>
      <c r="R1038" s="18" t="s">
        <v>4803</v>
      </c>
      <c r="W1038" s="354">
        <f t="shared" ref="W1038" si="746">X1038/H1038</f>
        <v>0</v>
      </c>
      <c r="X1038" s="405"/>
      <c r="Y1038" s="355">
        <f>K1038</f>
        <v>1</v>
      </c>
      <c r="Z1038" s="355">
        <f>X1038*Y1038</f>
        <v>0</v>
      </c>
      <c r="AA1038" s="355">
        <f>L1038-Z1038</f>
        <v>84000</v>
      </c>
    </row>
    <row r="1039" spans="1:27" ht="21.75" customHeight="1" x14ac:dyDescent="0.4">
      <c r="A1039" s="258">
        <v>46121</v>
      </c>
      <c r="B1039" s="325" t="s">
        <v>4872</v>
      </c>
      <c r="C1039" s="32" t="s">
        <v>2557</v>
      </c>
      <c r="D1039" s="18" t="s">
        <v>27</v>
      </c>
      <c r="E1039" s="18" t="s">
        <v>28</v>
      </c>
      <c r="F1039" s="18"/>
      <c r="G1039" s="63" t="s">
        <v>73</v>
      </c>
      <c r="H1039" s="399">
        <v>2000</v>
      </c>
      <c r="I1039" s="353"/>
      <c r="J1039" s="399">
        <f t="shared" ref="J1039" si="747">SUM(H1039:I1039)</f>
        <v>2000</v>
      </c>
      <c r="K1039" s="18">
        <v>1</v>
      </c>
      <c r="L1039" s="399">
        <f t="shared" ref="L1039" si="748">SUM(J1039*K1039)</f>
        <v>2000</v>
      </c>
      <c r="M1039" s="399">
        <f t="shared" ref="M1039" si="749">ROUNDDOWN(L1039*1.1,0)</f>
        <v>2200</v>
      </c>
      <c r="N1039" s="258" t="s">
        <v>1516</v>
      </c>
      <c r="O1039" s="454" t="s">
        <v>1543</v>
      </c>
      <c r="Q1039" s="18" t="s">
        <v>4803</v>
      </c>
      <c r="R1039" s="18" t="s">
        <v>4803</v>
      </c>
    </row>
    <row r="1040" spans="1:27" ht="21.75" customHeight="1" x14ac:dyDescent="0.4">
      <c r="A1040" s="258">
        <v>46121</v>
      </c>
      <c r="B1040" s="325" t="s">
        <v>6495</v>
      </c>
      <c r="C1040" s="32" t="s">
        <v>6496</v>
      </c>
      <c r="D1040" s="258" t="s">
        <v>6497</v>
      </c>
      <c r="E1040" s="258" t="s">
        <v>292</v>
      </c>
      <c r="F1040" s="258" t="s">
        <v>1051</v>
      </c>
      <c r="G1040" s="63" t="s">
        <v>5404</v>
      </c>
      <c r="H1040" s="399">
        <v>5700</v>
      </c>
      <c r="I1040" s="353"/>
      <c r="J1040" s="350">
        <f t="shared" si="713"/>
        <v>5700</v>
      </c>
      <c r="K1040" s="18">
        <v>1</v>
      </c>
      <c r="L1040" s="350">
        <f t="shared" si="714"/>
        <v>5700</v>
      </c>
      <c r="M1040" s="356">
        <f t="shared" si="715"/>
        <v>6270</v>
      </c>
      <c r="N1040" s="258" t="s">
        <v>1121</v>
      </c>
      <c r="O1040" s="456"/>
      <c r="Q1040" s="18" t="s">
        <v>6501</v>
      </c>
      <c r="R1040" s="18" t="s">
        <v>6502</v>
      </c>
      <c r="W1040" s="354">
        <f t="shared" ref="W1040:W1041" si="750">X1040/H1040</f>
        <v>0.88140350877192986</v>
      </c>
      <c r="X1040" s="355">
        <v>5024</v>
      </c>
      <c r="Y1040" s="355">
        <f t="shared" ref="Y1040:Y1042" si="751">K1040</f>
        <v>1</v>
      </c>
      <c r="Z1040" s="355">
        <f t="shared" ref="Z1040:Z1042" si="752">X1040*Y1040</f>
        <v>5024</v>
      </c>
      <c r="AA1040" s="355">
        <f t="shared" ref="AA1040:AA1042" si="753">L1040-Z1040</f>
        <v>676</v>
      </c>
    </row>
    <row r="1041" spans="1:27" ht="21.75" customHeight="1" x14ac:dyDescent="0.4">
      <c r="A1041" s="258">
        <v>46121</v>
      </c>
      <c r="B1041" s="325" t="s">
        <v>6495</v>
      </c>
      <c r="C1041" s="32" t="s">
        <v>6496</v>
      </c>
      <c r="D1041" s="258" t="s">
        <v>6497</v>
      </c>
      <c r="E1041" s="258" t="s">
        <v>332</v>
      </c>
      <c r="F1041" s="258" t="s">
        <v>3553</v>
      </c>
      <c r="G1041" s="433" t="s">
        <v>6498</v>
      </c>
      <c r="H1041" s="399">
        <v>1600</v>
      </c>
      <c r="I1041" s="353">
        <v>-160</v>
      </c>
      <c r="J1041" s="350">
        <f t="shared" si="713"/>
        <v>1440</v>
      </c>
      <c r="K1041" s="18">
        <v>3</v>
      </c>
      <c r="L1041" s="350">
        <f t="shared" si="714"/>
        <v>4320</v>
      </c>
      <c r="M1041" s="356">
        <f t="shared" si="715"/>
        <v>4752</v>
      </c>
      <c r="N1041" s="258" t="s">
        <v>1121</v>
      </c>
      <c r="O1041" s="456"/>
      <c r="Q1041" s="18" t="s">
        <v>6501</v>
      </c>
      <c r="R1041" s="18" t="s">
        <v>6502</v>
      </c>
      <c r="W1041" s="354">
        <f t="shared" si="750"/>
        <v>0.6</v>
      </c>
      <c r="X1041" s="355">
        <v>960</v>
      </c>
      <c r="Y1041" s="355">
        <f t="shared" si="751"/>
        <v>3</v>
      </c>
      <c r="Z1041" s="355">
        <f t="shared" si="752"/>
        <v>2880</v>
      </c>
      <c r="AA1041" s="355">
        <f t="shared" si="753"/>
        <v>1440</v>
      </c>
    </row>
    <row r="1042" spans="1:27" ht="21.75" customHeight="1" x14ac:dyDescent="0.4">
      <c r="A1042" s="258">
        <v>46121</v>
      </c>
      <c r="B1042" s="325" t="s">
        <v>5401</v>
      </c>
      <c r="C1042" s="32" t="s">
        <v>2557</v>
      </c>
      <c r="D1042" s="258" t="s">
        <v>59</v>
      </c>
      <c r="E1042" s="258" t="s">
        <v>59</v>
      </c>
      <c r="F1042" s="258"/>
      <c r="G1042" s="433" t="s">
        <v>2416</v>
      </c>
      <c r="H1042" s="399">
        <v>300</v>
      </c>
      <c r="I1042" s="353"/>
      <c r="J1042" s="350">
        <f t="shared" ref="J1042:J1043" si="754">SUM(H1042:I1042)</f>
        <v>300</v>
      </c>
      <c r="K1042" s="18">
        <v>3</v>
      </c>
      <c r="L1042" s="350">
        <f t="shared" ref="L1042:L1043" si="755">SUM(J1042*K1042)</f>
        <v>900</v>
      </c>
      <c r="M1042" s="356">
        <f t="shared" ref="M1042:M1043" si="756">ROUNDDOWN(L1042*1.1,0)</f>
        <v>990</v>
      </c>
      <c r="N1042" s="258" t="s">
        <v>1121</v>
      </c>
      <c r="O1042" s="456"/>
      <c r="P1042" s="18" t="s">
        <v>5459</v>
      </c>
      <c r="Q1042" s="18" t="s">
        <v>5459</v>
      </c>
      <c r="R1042" s="18" t="s">
        <v>5459</v>
      </c>
      <c r="S1042" s="457"/>
      <c r="Y1042" s="355">
        <f t="shared" si="751"/>
        <v>3</v>
      </c>
      <c r="Z1042" s="355">
        <f t="shared" si="752"/>
        <v>0</v>
      </c>
      <c r="AA1042" s="355">
        <f t="shared" si="753"/>
        <v>900</v>
      </c>
    </row>
    <row r="1043" spans="1:27" ht="21.75" customHeight="1" x14ac:dyDescent="0.4">
      <c r="A1043" s="258">
        <v>46121</v>
      </c>
      <c r="B1043" s="325" t="s">
        <v>6519</v>
      </c>
      <c r="C1043" s="32" t="s">
        <v>2557</v>
      </c>
      <c r="D1043" s="18" t="s">
        <v>27</v>
      </c>
      <c r="E1043" s="242" t="s">
        <v>5237</v>
      </c>
      <c r="F1043" s="242"/>
      <c r="G1043" s="63" t="s">
        <v>6032</v>
      </c>
      <c r="H1043" s="399">
        <v>2500</v>
      </c>
      <c r="I1043" s="399"/>
      <c r="J1043" s="350">
        <f t="shared" si="754"/>
        <v>2500</v>
      </c>
      <c r="K1043" s="18">
        <v>1</v>
      </c>
      <c r="L1043" s="350">
        <f t="shared" si="755"/>
        <v>2500</v>
      </c>
      <c r="M1043" s="356">
        <f t="shared" si="756"/>
        <v>2750</v>
      </c>
      <c r="N1043" s="18" t="s">
        <v>4233</v>
      </c>
      <c r="O1043" s="456"/>
      <c r="R1043" s="18" t="s">
        <v>6518</v>
      </c>
      <c r="S1043" s="457"/>
    </row>
    <row r="1044" spans="1:27" ht="21.75" customHeight="1" x14ac:dyDescent="0.4">
      <c r="A1044" s="258">
        <v>46121</v>
      </c>
      <c r="B1044" s="325" t="s">
        <v>6519</v>
      </c>
      <c r="C1044" s="32" t="s">
        <v>2557</v>
      </c>
      <c r="D1044" s="18" t="s">
        <v>27</v>
      </c>
      <c r="E1044" s="242" t="s">
        <v>5237</v>
      </c>
      <c r="F1044" s="242"/>
      <c r="G1044" s="433" t="s">
        <v>6148</v>
      </c>
      <c r="H1044" s="399">
        <v>1800</v>
      </c>
      <c r="I1044" s="399"/>
      <c r="J1044" s="350">
        <f t="shared" ref="J1044" si="757">SUM(H1044:I1044)</f>
        <v>1800</v>
      </c>
      <c r="K1044" s="18">
        <v>1</v>
      </c>
      <c r="L1044" s="350">
        <f t="shared" ref="L1044" si="758">SUM(J1044*K1044)</f>
        <v>1800</v>
      </c>
      <c r="M1044" s="356">
        <f t="shared" ref="M1044" si="759">ROUNDDOWN(L1044*1.1,0)</f>
        <v>1980</v>
      </c>
      <c r="N1044" s="18" t="s">
        <v>4233</v>
      </c>
      <c r="O1044" s="456"/>
      <c r="R1044" s="18" t="s">
        <v>6518</v>
      </c>
      <c r="S1044" s="457"/>
    </row>
    <row r="1045" spans="1:27" ht="21.75" customHeight="1" x14ac:dyDescent="0.4">
      <c r="A1045" s="258">
        <v>46122</v>
      </c>
      <c r="B1045" s="325" t="s">
        <v>6499</v>
      </c>
      <c r="C1045" s="32" t="s">
        <v>405</v>
      </c>
      <c r="D1045" s="258" t="s">
        <v>6497</v>
      </c>
      <c r="E1045" s="258" t="s">
        <v>328</v>
      </c>
      <c r="F1045" s="258" t="s">
        <v>5197</v>
      </c>
      <c r="G1045" s="433" t="s">
        <v>6500</v>
      </c>
      <c r="H1045" s="399">
        <v>72000</v>
      </c>
      <c r="I1045" s="353">
        <v>-14400</v>
      </c>
      <c r="J1045" s="350">
        <f t="shared" si="713"/>
        <v>57600</v>
      </c>
      <c r="K1045" s="18">
        <v>1</v>
      </c>
      <c r="L1045" s="350">
        <f t="shared" si="714"/>
        <v>57600</v>
      </c>
      <c r="M1045" s="356">
        <f t="shared" si="715"/>
        <v>63360</v>
      </c>
      <c r="N1045" s="258" t="s">
        <v>1121</v>
      </c>
      <c r="O1045" s="456"/>
      <c r="Q1045" s="18" t="s">
        <v>6501</v>
      </c>
      <c r="R1045" s="18" t="s">
        <v>6502</v>
      </c>
      <c r="W1045" s="354">
        <f t="shared" ref="W1045:W1047" si="760">X1045/H1045</f>
        <v>0.45</v>
      </c>
      <c r="X1045" s="355">
        <v>32400</v>
      </c>
      <c r="Y1045" s="355">
        <f t="shared" ref="Y1045:Y1047" si="761">K1045</f>
        <v>1</v>
      </c>
      <c r="Z1045" s="355">
        <f t="shared" ref="Z1045:Z1047" si="762">X1045*Y1045</f>
        <v>32400</v>
      </c>
      <c r="AA1045" s="355">
        <f t="shared" ref="AA1045:AA1047" si="763">L1045-Z1045</f>
        <v>25200</v>
      </c>
    </row>
    <row r="1046" spans="1:27" ht="21.75" customHeight="1" x14ac:dyDescent="0.4">
      <c r="A1046" s="258">
        <v>46122</v>
      </c>
      <c r="B1046" s="325" t="s">
        <v>6499</v>
      </c>
      <c r="C1046" s="32" t="s">
        <v>405</v>
      </c>
      <c r="D1046" s="258" t="s">
        <v>6497</v>
      </c>
      <c r="E1046" s="258" t="s">
        <v>330</v>
      </c>
      <c r="F1046" s="258" t="s">
        <v>3543</v>
      </c>
      <c r="G1046" s="433" t="s">
        <v>6505</v>
      </c>
      <c r="H1046" s="399">
        <v>5500</v>
      </c>
      <c r="I1046" s="353"/>
      <c r="J1046" s="350">
        <f t="shared" si="713"/>
        <v>5500</v>
      </c>
      <c r="K1046" s="18">
        <v>1</v>
      </c>
      <c r="L1046" s="350">
        <f t="shared" si="714"/>
        <v>5500</v>
      </c>
      <c r="M1046" s="356">
        <f t="shared" si="715"/>
        <v>6050</v>
      </c>
      <c r="N1046" s="258" t="s">
        <v>1121</v>
      </c>
      <c r="O1046" s="456"/>
      <c r="Q1046" s="18" t="s">
        <v>6501</v>
      </c>
      <c r="R1046" s="18" t="s">
        <v>6502</v>
      </c>
      <c r="W1046" s="354">
        <f t="shared" si="760"/>
        <v>0.47272727272727272</v>
      </c>
      <c r="X1046" s="355">
        <v>2600</v>
      </c>
      <c r="Y1046" s="355">
        <f t="shared" si="761"/>
        <v>1</v>
      </c>
      <c r="Z1046" s="355">
        <f t="shared" si="762"/>
        <v>2600</v>
      </c>
      <c r="AA1046" s="355">
        <f t="shared" si="763"/>
        <v>2900</v>
      </c>
    </row>
    <row r="1047" spans="1:27" ht="21.75" customHeight="1" x14ac:dyDescent="0.4">
      <c r="A1047" s="258">
        <v>46122</v>
      </c>
      <c r="B1047" s="325" t="s">
        <v>6499</v>
      </c>
      <c r="C1047" s="32" t="s">
        <v>405</v>
      </c>
      <c r="D1047" s="258" t="s">
        <v>6497</v>
      </c>
      <c r="E1047" s="258" t="s">
        <v>332</v>
      </c>
      <c r="F1047" s="258" t="s">
        <v>3550</v>
      </c>
      <c r="G1047" s="63" t="s">
        <v>6254</v>
      </c>
      <c r="H1047" s="399">
        <v>1800</v>
      </c>
      <c r="I1047" s="353"/>
      <c r="J1047" s="350">
        <f t="shared" si="713"/>
        <v>1800</v>
      </c>
      <c r="K1047" s="18">
        <v>1</v>
      </c>
      <c r="L1047" s="350">
        <f t="shared" si="714"/>
        <v>1800</v>
      </c>
      <c r="M1047" s="356">
        <f t="shared" si="715"/>
        <v>1980</v>
      </c>
      <c r="N1047" s="258" t="s">
        <v>1121</v>
      </c>
      <c r="O1047" s="456"/>
      <c r="Q1047" s="18" t="s">
        <v>6501</v>
      </c>
      <c r="R1047" s="18" t="s">
        <v>6502</v>
      </c>
      <c r="W1047" s="354">
        <f t="shared" si="760"/>
        <v>0.9</v>
      </c>
      <c r="X1047" s="355">
        <v>1620</v>
      </c>
      <c r="Y1047" s="355">
        <f t="shared" si="761"/>
        <v>1</v>
      </c>
      <c r="Z1047" s="355">
        <f t="shared" si="762"/>
        <v>1620</v>
      </c>
      <c r="AA1047" s="355">
        <f t="shared" si="763"/>
        <v>180</v>
      </c>
    </row>
    <row r="1048" spans="1:27" ht="21.75" customHeight="1" x14ac:dyDescent="0.4">
      <c r="A1048" s="258">
        <v>46122</v>
      </c>
      <c r="B1048" s="325" t="s">
        <v>6503</v>
      </c>
      <c r="C1048" s="32" t="s">
        <v>6496</v>
      </c>
      <c r="D1048" s="18" t="s">
        <v>27</v>
      </c>
      <c r="E1048" s="18" t="s">
        <v>28</v>
      </c>
      <c r="F1048" s="18"/>
      <c r="G1048" s="63" t="s">
        <v>73</v>
      </c>
      <c r="H1048" s="399">
        <v>2000</v>
      </c>
      <c r="I1048" s="353"/>
      <c r="J1048" s="350">
        <f t="shared" si="713"/>
        <v>2000</v>
      </c>
      <c r="K1048" s="18">
        <v>3</v>
      </c>
      <c r="L1048" s="350">
        <f t="shared" si="714"/>
        <v>6000</v>
      </c>
      <c r="M1048" s="356">
        <f t="shared" si="715"/>
        <v>6600</v>
      </c>
      <c r="N1048" s="258" t="s">
        <v>1516</v>
      </c>
      <c r="O1048" s="454" t="s">
        <v>6504</v>
      </c>
      <c r="Q1048" s="18" t="s">
        <v>6501</v>
      </c>
      <c r="R1048" s="18" t="s">
        <v>6502</v>
      </c>
    </row>
    <row r="1049" spans="1:27" ht="21.75" customHeight="1" x14ac:dyDescent="0.4">
      <c r="A1049" s="258">
        <v>46122</v>
      </c>
      <c r="B1049" s="325" t="s">
        <v>2088</v>
      </c>
      <c r="C1049" s="32" t="s">
        <v>2557</v>
      </c>
      <c r="D1049" s="258" t="s">
        <v>22</v>
      </c>
      <c r="E1049" s="258" t="s">
        <v>1496</v>
      </c>
      <c r="F1049" s="258"/>
      <c r="G1049" s="63" t="s">
        <v>4869</v>
      </c>
      <c r="H1049" s="399">
        <v>2000</v>
      </c>
      <c r="I1049" s="353"/>
      <c r="J1049" s="350">
        <f t="shared" si="713"/>
        <v>2000</v>
      </c>
      <c r="K1049" s="18">
        <v>1</v>
      </c>
      <c r="L1049" s="350">
        <f t="shared" si="714"/>
        <v>2000</v>
      </c>
      <c r="M1049" s="356">
        <f t="shared" si="715"/>
        <v>2200</v>
      </c>
      <c r="N1049" s="258" t="s">
        <v>1516</v>
      </c>
      <c r="O1049" s="456"/>
      <c r="P1049" s="18" t="s">
        <v>5449</v>
      </c>
      <c r="Q1049" s="18" t="s">
        <v>6506</v>
      </c>
      <c r="R1049" s="18" t="s">
        <v>6506</v>
      </c>
    </row>
    <row r="1050" spans="1:27" ht="21.75" customHeight="1" x14ac:dyDescent="0.4">
      <c r="A1050" s="258">
        <v>46122</v>
      </c>
      <c r="B1050" s="325" t="s">
        <v>6507</v>
      </c>
      <c r="C1050" s="32" t="s">
        <v>6508</v>
      </c>
      <c r="D1050" s="258" t="s">
        <v>6509</v>
      </c>
      <c r="E1050" s="258" t="s">
        <v>328</v>
      </c>
      <c r="F1050" s="258" t="s">
        <v>6510</v>
      </c>
      <c r="G1050" s="433" t="s">
        <v>6517</v>
      </c>
      <c r="H1050" s="399">
        <v>5100</v>
      </c>
      <c r="I1050" s="353">
        <v>-510</v>
      </c>
      <c r="J1050" s="350">
        <f t="shared" si="713"/>
        <v>4590</v>
      </c>
      <c r="K1050" s="18">
        <v>3</v>
      </c>
      <c r="L1050" s="350">
        <f t="shared" si="714"/>
        <v>13770</v>
      </c>
      <c r="M1050" s="356">
        <f t="shared" si="715"/>
        <v>15147</v>
      </c>
      <c r="N1050" s="258" t="s">
        <v>6511</v>
      </c>
      <c r="O1050" s="456"/>
      <c r="Q1050" s="18" t="s">
        <v>6512</v>
      </c>
      <c r="R1050" s="18" t="s">
        <v>6513</v>
      </c>
      <c r="W1050" s="354">
        <f t="shared" ref="W1050:W1051" si="764">X1050/H1050</f>
        <v>0.5</v>
      </c>
      <c r="X1050" s="355">
        <v>2550</v>
      </c>
      <c r="Y1050" s="355">
        <f t="shared" ref="Y1050:Y1054" si="765">K1050</f>
        <v>3</v>
      </c>
      <c r="Z1050" s="355">
        <f t="shared" ref="Z1050:Z1054" si="766">X1050*Y1050</f>
        <v>7650</v>
      </c>
      <c r="AA1050" s="355">
        <f t="shared" ref="AA1050:AA1054" si="767">L1050-Z1050</f>
        <v>6120</v>
      </c>
    </row>
    <row r="1051" spans="1:27" ht="21.75" customHeight="1" x14ac:dyDescent="0.4">
      <c r="A1051" s="258">
        <v>46122</v>
      </c>
      <c r="B1051" s="325" t="s">
        <v>6507</v>
      </c>
      <c r="C1051" s="32" t="s">
        <v>6508</v>
      </c>
      <c r="D1051" s="258" t="s">
        <v>6509</v>
      </c>
      <c r="E1051" s="258" t="s">
        <v>332</v>
      </c>
      <c r="F1051" s="18" t="s">
        <v>3555</v>
      </c>
      <c r="G1051" s="433" t="s">
        <v>6243</v>
      </c>
      <c r="H1051" s="399">
        <v>2000</v>
      </c>
      <c r="I1051" s="353">
        <v>-200</v>
      </c>
      <c r="J1051" s="350">
        <f t="shared" si="713"/>
        <v>1800</v>
      </c>
      <c r="K1051" s="18">
        <v>3</v>
      </c>
      <c r="L1051" s="350">
        <f t="shared" si="714"/>
        <v>5400</v>
      </c>
      <c r="M1051" s="356">
        <f t="shared" si="715"/>
        <v>5940</v>
      </c>
      <c r="N1051" s="258" t="s">
        <v>6511</v>
      </c>
      <c r="O1051" s="456"/>
      <c r="Q1051" s="18" t="s">
        <v>6512</v>
      </c>
      <c r="R1051" s="18" t="s">
        <v>6513</v>
      </c>
      <c r="S1051" s="458"/>
      <c r="W1051" s="354">
        <f t="shared" si="764"/>
        <v>0.57999999999999996</v>
      </c>
      <c r="X1051" s="355">
        <v>1160</v>
      </c>
      <c r="Y1051" s="355">
        <f t="shared" si="765"/>
        <v>3</v>
      </c>
      <c r="Z1051" s="355">
        <f t="shared" si="766"/>
        <v>3480</v>
      </c>
      <c r="AA1051" s="355">
        <f t="shared" si="767"/>
        <v>1920</v>
      </c>
    </row>
    <row r="1052" spans="1:27" ht="21.75" customHeight="1" x14ac:dyDescent="0.4">
      <c r="A1052" s="258">
        <v>46122</v>
      </c>
      <c r="B1052" s="325" t="s">
        <v>6507</v>
      </c>
      <c r="C1052" s="32" t="s">
        <v>6508</v>
      </c>
      <c r="D1052" s="258" t="s">
        <v>6514</v>
      </c>
      <c r="E1052" s="258" t="s">
        <v>6514</v>
      </c>
      <c r="F1052" s="258"/>
      <c r="G1052" s="433" t="s">
        <v>6516</v>
      </c>
      <c r="H1052" s="399">
        <v>500</v>
      </c>
      <c r="I1052" s="353"/>
      <c r="J1052" s="350">
        <f t="shared" si="713"/>
        <v>500</v>
      </c>
      <c r="K1052" s="18">
        <v>3</v>
      </c>
      <c r="L1052" s="350">
        <f t="shared" si="714"/>
        <v>1500</v>
      </c>
      <c r="M1052" s="356">
        <f t="shared" si="715"/>
        <v>1650</v>
      </c>
      <c r="N1052" s="258" t="s">
        <v>6511</v>
      </c>
      <c r="O1052" s="456"/>
      <c r="Q1052" s="18" t="s">
        <v>6512</v>
      </c>
      <c r="R1052" s="18" t="s">
        <v>6513</v>
      </c>
      <c r="S1052" s="457"/>
      <c r="Y1052" s="355">
        <f t="shared" si="765"/>
        <v>3</v>
      </c>
      <c r="Z1052" s="355">
        <f t="shared" si="766"/>
        <v>0</v>
      </c>
      <c r="AA1052" s="355">
        <f t="shared" si="767"/>
        <v>1500</v>
      </c>
    </row>
    <row r="1053" spans="1:27" ht="21.75" customHeight="1" x14ac:dyDescent="0.4">
      <c r="A1053" s="258">
        <v>46123</v>
      </c>
      <c r="B1053" s="325" t="s">
        <v>4836</v>
      </c>
      <c r="C1053" s="32" t="s">
        <v>2557</v>
      </c>
      <c r="D1053" s="258" t="s">
        <v>59</v>
      </c>
      <c r="E1053" s="258" t="s">
        <v>59</v>
      </c>
      <c r="F1053" s="258"/>
      <c r="G1053" s="433" t="s">
        <v>6520</v>
      </c>
      <c r="H1053" s="399">
        <v>1000</v>
      </c>
      <c r="I1053" s="353"/>
      <c r="J1053" s="350">
        <f t="shared" si="713"/>
        <v>1000</v>
      </c>
      <c r="K1053" s="18">
        <v>1</v>
      </c>
      <c r="L1053" s="350">
        <f t="shared" si="714"/>
        <v>1000</v>
      </c>
      <c r="M1053" s="356">
        <f t="shared" si="715"/>
        <v>1100</v>
      </c>
      <c r="N1053" s="258" t="s">
        <v>20</v>
      </c>
      <c r="O1053" s="456"/>
      <c r="Q1053" s="18" t="s">
        <v>4803</v>
      </c>
      <c r="R1053" s="18" t="s">
        <v>4803</v>
      </c>
      <c r="Y1053" s="355">
        <f t="shared" si="765"/>
        <v>1</v>
      </c>
      <c r="Z1053" s="355">
        <f t="shared" si="766"/>
        <v>0</v>
      </c>
      <c r="AA1053" s="355">
        <f t="shared" si="767"/>
        <v>1000</v>
      </c>
    </row>
    <row r="1054" spans="1:27" ht="21.75" customHeight="1" x14ac:dyDescent="0.4">
      <c r="A1054" s="258">
        <v>46123</v>
      </c>
      <c r="B1054" s="325" t="s">
        <v>4836</v>
      </c>
      <c r="C1054" s="32" t="s">
        <v>2557</v>
      </c>
      <c r="D1054" s="258" t="s">
        <v>17</v>
      </c>
      <c r="E1054" s="258" t="s">
        <v>332</v>
      </c>
      <c r="F1054" s="18" t="s">
        <v>3555</v>
      </c>
      <c r="G1054" s="433" t="s">
        <v>6383</v>
      </c>
      <c r="H1054" s="399">
        <v>1500</v>
      </c>
      <c r="I1054" s="399">
        <v>-150</v>
      </c>
      <c r="J1054" s="350">
        <f t="shared" si="713"/>
        <v>1350</v>
      </c>
      <c r="K1054" s="18">
        <v>1</v>
      </c>
      <c r="L1054" s="350">
        <f t="shared" si="714"/>
        <v>1350</v>
      </c>
      <c r="M1054" s="356">
        <f t="shared" si="715"/>
        <v>1485</v>
      </c>
      <c r="N1054" s="258" t="s">
        <v>1516</v>
      </c>
      <c r="O1054" s="456"/>
      <c r="Q1054" s="18" t="s">
        <v>5459</v>
      </c>
      <c r="R1054" s="18" t="s">
        <v>4803</v>
      </c>
      <c r="S1054" s="457"/>
      <c r="W1054" s="354">
        <f t="shared" ref="W1054" si="768">X1054/H1054</f>
        <v>0.57999999999999996</v>
      </c>
      <c r="X1054" s="355">
        <v>870</v>
      </c>
      <c r="Y1054" s="355">
        <f t="shared" si="765"/>
        <v>1</v>
      </c>
      <c r="Z1054" s="355">
        <f t="shared" si="766"/>
        <v>870</v>
      </c>
      <c r="AA1054" s="355">
        <f t="shared" si="767"/>
        <v>480</v>
      </c>
    </row>
    <row r="1055" spans="1:27" ht="21.75" customHeight="1" x14ac:dyDescent="0.4">
      <c r="A1055" s="258">
        <v>46123</v>
      </c>
      <c r="B1055" s="325" t="s">
        <v>5023</v>
      </c>
      <c r="C1055" s="32" t="s">
        <v>2557</v>
      </c>
      <c r="D1055" s="258" t="s">
        <v>22</v>
      </c>
      <c r="E1055" s="258" t="s">
        <v>1496</v>
      </c>
      <c r="F1055" s="258"/>
      <c r="G1055" s="63" t="s">
        <v>4869</v>
      </c>
      <c r="H1055" s="399">
        <v>2000</v>
      </c>
      <c r="I1055" s="353"/>
      <c r="J1055" s="350">
        <f t="shared" si="713"/>
        <v>2000</v>
      </c>
      <c r="K1055" s="18">
        <v>1</v>
      </c>
      <c r="L1055" s="350">
        <f t="shared" si="714"/>
        <v>2000</v>
      </c>
      <c r="M1055" s="356">
        <f t="shared" si="715"/>
        <v>2200</v>
      </c>
      <c r="N1055" s="258" t="s">
        <v>6521</v>
      </c>
      <c r="O1055" s="456"/>
      <c r="P1055" s="18" t="s">
        <v>5449</v>
      </c>
      <c r="Q1055" s="18" t="s">
        <v>6522</v>
      </c>
      <c r="R1055" s="18" t="s">
        <v>6522</v>
      </c>
    </row>
    <row r="1056" spans="1:27" ht="21.75" customHeight="1" x14ac:dyDescent="0.4">
      <c r="A1056" s="258">
        <v>46123</v>
      </c>
      <c r="B1056" s="325" t="s">
        <v>6038</v>
      </c>
      <c r="C1056" s="32" t="s">
        <v>405</v>
      </c>
      <c r="D1056" s="258" t="s">
        <v>6523</v>
      </c>
      <c r="E1056" s="258" t="s">
        <v>330</v>
      </c>
      <c r="F1056" s="258" t="s">
        <v>661</v>
      </c>
      <c r="G1056" s="433" t="s">
        <v>330</v>
      </c>
      <c r="H1056" s="399">
        <v>5000</v>
      </c>
      <c r="I1056" s="353"/>
      <c r="J1056" s="350">
        <f t="shared" si="713"/>
        <v>5000</v>
      </c>
      <c r="K1056" s="18">
        <v>1</v>
      </c>
      <c r="L1056" s="350">
        <f t="shared" si="714"/>
        <v>5000</v>
      </c>
      <c r="M1056" s="356">
        <f t="shared" si="715"/>
        <v>5500</v>
      </c>
      <c r="N1056" s="258" t="s">
        <v>1516</v>
      </c>
      <c r="O1056" s="456"/>
      <c r="Q1056" s="18" t="s">
        <v>5449</v>
      </c>
      <c r="R1056" s="18" t="s">
        <v>5449</v>
      </c>
      <c r="W1056" s="354">
        <f t="shared" ref="W1056:W1058" si="769">X1056/H1056</f>
        <v>0.45</v>
      </c>
      <c r="X1056" s="355">
        <v>2250</v>
      </c>
      <c r="Y1056" s="355">
        <f t="shared" ref="Y1056:Y1058" si="770">K1056</f>
        <v>1</v>
      </c>
      <c r="Z1056" s="355">
        <f t="shared" ref="Z1056:Z1058" si="771">X1056*Y1056</f>
        <v>2250</v>
      </c>
      <c r="AA1056" s="355">
        <f t="shared" ref="AA1056:AA1058" si="772">L1056-Z1056</f>
        <v>2750</v>
      </c>
    </row>
    <row r="1057" spans="1:27" ht="21.75" customHeight="1" x14ac:dyDescent="0.4">
      <c r="A1057" s="258">
        <v>46123</v>
      </c>
      <c r="B1057" s="325" t="s">
        <v>6038</v>
      </c>
      <c r="C1057" s="32" t="s">
        <v>405</v>
      </c>
      <c r="D1057" s="258" t="s">
        <v>6523</v>
      </c>
      <c r="E1057" s="258" t="s">
        <v>332</v>
      </c>
      <c r="F1057" s="258" t="s">
        <v>3554</v>
      </c>
      <c r="G1057" s="433" t="s">
        <v>6223</v>
      </c>
      <c r="H1057" s="399">
        <v>1500</v>
      </c>
      <c r="I1057" s="353"/>
      <c r="J1057" s="350">
        <f t="shared" si="713"/>
        <v>1500</v>
      </c>
      <c r="K1057" s="18">
        <v>1</v>
      </c>
      <c r="L1057" s="350">
        <f t="shared" si="714"/>
        <v>1500</v>
      </c>
      <c r="M1057" s="356">
        <f t="shared" si="715"/>
        <v>1650</v>
      </c>
      <c r="N1057" s="258" t="s">
        <v>1516</v>
      </c>
      <c r="O1057" s="456"/>
      <c r="Q1057" s="18" t="s">
        <v>5449</v>
      </c>
      <c r="R1057" s="18" t="s">
        <v>5449</v>
      </c>
      <c r="W1057" s="354">
        <f t="shared" si="769"/>
        <v>0.6253333333333333</v>
      </c>
      <c r="X1057" s="355">
        <v>938</v>
      </c>
      <c r="Y1057" s="355">
        <f t="shared" si="770"/>
        <v>1</v>
      </c>
      <c r="Z1057" s="355">
        <f t="shared" si="771"/>
        <v>938</v>
      </c>
      <c r="AA1057" s="355">
        <f t="shared" si="772"/>
        <v>562</v>
      </c>
    </row>
    <row r="1058" spans="1:27" ht="21.75" customHeight="1" x14ac:dyDescent="0.4">
      <c r="A1058" s="258">
        <v>46123</v>
      </c>
      <c r="B1058" s="325" t="s">
        <v>6038</v>
      </c>
      <c r="C1058" s="32" t="s">
        <v>405</v>
      </c>
      <c r="D1058" s="258" t="s">
        <v>6523</v>
      </c>
      <c r="E1058" s="258" t="s">
        <v>426</v>
      </c>
      <c r="F1058" s="18" t="s">
        <v>994</v>
      </c>
      <c r="G1058" s="462" t="s">
        <v>5904</v>
      </c>
      <c r="H1058" s="399">
        <v>1800</v>
      </c>
      <c r="I1058" s="353"/>
      <c r="J1058" s="350">
        <f t="shared" si="713"/>
        <v>1800</v>
      </c>
      <c r="K1058" s="18">
        <v>1</v>
      </c>
      <c r="L1058" s="350">
        <f t="shared" si="714"/>
        <v>1800</v>
      </c>
      <c r="M1058" s="356">
        <f t="shared" si="715"/>
        <v>1980</v>
      </c>
      <c r="N1058" s="258" t="s">
        <v>1516</v>
      </c>
      <c r="O1058" s="456"/>
      <c r="Q1058" s="18" t="s">
        <v>5449</v>
      </c>
      <c r="R1058" s="18" t="s">
        <v>5449</v>
      </c>
      <c r="W1058" s="354">
        <f t="shared" si="769"/>
        <v>0.6</v>
      </c>
      <c r="X1058" s="355">
        <v>1080</v>
      </c>
      <c r="Y1058" s="355">
        <f t="shared" si="770"/>
        <v>1</v>
      </c>
      <c r="Z1058" s="355">
        <f t="shared" si="771"/>
        <v>1080</v>
      </c>
      <c r="AA1058" s="355">
        <f t="shared" si="772"/>
        <v>720</v>
      </c>
    </row>
    <row r="1059" spans="1:27" ht="21.75" customHeight="1" x14ac:dyDescent="0.4">
      <c r="A1059" s="258">
        <v>46124</v>
      </c>
      <c r="B1059" s="325" t="s">
        <v>6525</v>
      </c>
      <c r="C1059" s="32" t="s">
        <v>405</v>
      </c>
      <c r="D1059" s="258" t="s">
        <v>22</v>
      </c>
      <c r="E1059" s="18" t="s">
        <v>260</v>
      </c>
      <c r="F1059" s="347"/>
      <c r="G1059" s="63" t="s">
        <v>264</v>
      </c>
      <c r="H1059" s="399">
        <v>15000</v>
      </c>
      <c r="I1059" s="353">
        <v>-5000</v>
      </c>
      <c r="J1059" s="350">
        <v>10000</v>
      </c>
      <c r="K1059" s="18">
        <v>1</v>
      </c>
      <c r="L1059" s="350">
        <v>10000</v>
      </c>
      <c r="M1059" s="356">
        <v>11000</v>
      </c>
      <c r="N1059" s="258" t="s">
        <v>1121</v>
      </c>
      <c r="O1059" s="456"/>
      <c r="Q1059" s="18" t="s">
        <v>6530</v>
      </c>
      <c r="R1059" s="18" t="s">
        <v>5449</v>
      </c>
    </row>
    <row r="1060" spans="1:27" ht="21.75" customHeight="1" x14ac:dyDescent="0.4">
      <c r="A1060" s="258">
        <v>46124</v>
      </c>
      <c r="B1060" s="325" t="s">
        <v>6525</v>
      </c>
      <c r="C1060" s="32" t="s">
        <v>405</v>
      </c>
      <c r="D1060" s="258" t="s">
        <v>17</v>
      </c>
      <c r="E1060" s="258" t="s">
        <v>328</v>
      </c>
      <c r="F1060" s="258" t="s">
        <v>788</v>
      </c>
      <c r="G1060" s="433" t="s">
        <v>6526</v>
      </c>
      <c r="H1060" s="399">
        <v>60000</v>
      </c>
      <c r="I1060" s="353">
        <v>-12000</v>
      </c>
      <c r="J1060" s="350">
        <f t="shared" si="713"/>
        <v>48000</v>
      </c>
      <c r="K1060" s="18">
        <v>1</v>
      </c>
      <c r="L1060" s="350">
        <f t="shared" si="714"/>
        <v>48000</v>
      </c>
      <c r="M1060" s="356">
        <f t="shared" si="715"/>
        <v>52800</v>
      </c>
      <c r="N1060" s="258" t="s">
        <v>1121</v>
      </c>
      <c r="O1060" s="456"/>
      <c r="Q1060" s="18" t="s">
        <v>6530</v>
      </c>
      <c r="R1060" s="18" t="s">
        <v>5449</v>
      </c>
      <c r="W1060" s="354">
        <f t="shared" ref="W1060:W1062" si="773">X1060/H1060</f>
        <v>0.45</v>
      </c>
      <c r="X1060" s="355">
        <v>27000</v>
      </c>
      <c r="Y1060" s="355">
        <f t="shared" ref="Y1060:Y1063" si="774">K1060</f>
        <v>1</v>
      </c>
      <c r="Z1060" s="355">
        <f t="shared" ref="Z1060:Z1063" si="775">X1060*Y1060</f>
        <v>27000</v>
      </c>
      <c r="AA1060" s="355">
        <f t="shared" ref="AA1060:AA1063" si="776">L1060-Z1060</f>
        <v>21000</v>
      </c>
    </row>
    <row r="1061" spans="1:27" ht="21.75" customHeight="1" x14ac:dyDescent="0.4">
      <c r="A1061" s="258">
        <v>46124</v>
      </c>
      <c r="B1061" s="325" t="s">
        <v>4836</v>
      </c>
      <c r="C1061" s="32" t="s">
        <v>2557</v>
      </c>
      <c r="D1061" s="258" t="s">
        <v>6527</v>
      </c>
      <c r="E1061" s="258" t="s">
        <v>328</v>
      </c>
      <c r="F1061" s="258" t="s">
        <v>6529</v>
      </c>
      <c r="G1061" s="433" t="s">
        <v>6536</v>
      </c>
      <c r="H1061" s="399">
        <v>8000</v>
      </c>
      <c r="I1061" s="353">
        <v>-800</v>
      </c>
      <c r="J1061" s="350">
        <f t="shared" si="713"/>
        <v>7200</v>
      </c>
      <c r="K1061" s="18">
        <v>8</v>
      </c>
      <c r="L1061" s="350">
        <f t="shared" si="714"/>
        <v>57600</v>
      </c>
      <c r="M1061" s="356">
        <f t="shared" si="715"/>
        <v>63360</v>
      </c>
      <c r="N1061" s="258" t="s">
        <v>1121</v>
      </c>
      <c r="O1061" s="456"/>
      <c r="Q1061" s="18" t="s">
        <v>6530</v>
      </c>
      <c r="R1061" s="18" t="s">
        <v>5449</v>
      </c>
      <c r="W1061" s="354">
        <f t="shared" si="773"/>
        <v>0.45874999999999999</v>
      </c>
      <c r="X1061" s="355">
        <v>3670</v>
      </c>
      <c r="Y1061" s="355">
        <f t="shared" si="774"/>
        <v>8</v>
      </c>
      <c r="Z1061" s="355">
        <f t="shared" si="775"/>
        <v>29360</v>
      </c>
      <c r="AA1061" s="355">
        <f t="shared" si="776"/>
        <v>28240</v>
      </c>
    </row>
    <row r="1062" spans="1:27" ht="21.75" customHeight="1" x14ac:dyDescent="0.4">
      <c r="A1062" s="258">
        <v>46124</v>
      </c>
      <c r="B1062" s="325" t="s">
        <v>4836</v>
      </c>
      <c r="C1062" s="32" t="s">
        <v>2557</v>
      </c>
      <c r="D1062" s="258" t="s">
        <v>6527</v>
      </c>
      <c r="E1062" s="258" t="s">
        <v>332</v>
      </c>
      <c r="F1062" s="18" t="s">
        <v>3555</v>
      </c>
      <c r="G1062" s="433" t="s">
        <v>6383</v>
      </c>
      <c r="H1062" s="399">
        <v>1500</v>
      </c>
      <c r="I1062" s="353">
        <v>-150</v>
      </c>
      <c r="J1062" s="350">
        <f t="shared" si="713"/>
        <v>1350</v>
      </c>
      <c r="K1062" s="18">
        <v>8</v>
      </c>
      <c r="L1062" s="350">
        <f t="shared" si="714"/>
        <v>10800</v>
      </c>
      <c r="M1062" s="356">
        <f t="shared" si="715"/>
        <v>11880</v>
      </c>
      <c r="N1062" s="258" t="s">
        <v>1121</v>
      </c>
      <c r="O1062" s="456"/>
      <c r="Q1062" s="18" t="s">
        <v>6530</v>
      </c>
      <c r="R1062" s="18" t="s">
        <v>5449</v>
      </c>
      <c r="W1062" s="354">
        <f t="shared" si="773"/>
        <v>0.57999999999999996</v>
      </c>
      <c r="X1062" s="355">
        <v>870</v>
      </c>
      <c r="Y1062" s="355">
        <f t="shared" si="774"/>
        <v>8</v>
      </c>
      <c r="Z1062" s="355">
        <f t="shared" si="775"/>
        <v>6960</v>
      </c>
      <c r="AA1062" s="355">
        <f t="shared" si="776"/>
        <v>3840</v>
      </c>
    </row>
    <row r="1063" spans="1:27" ht="21.75" customHeight="1" x14ac:dyDescent="0.4">
      <c r="A1063" s="258">
        <v>46124</v>
      </c>
      <c r="B1063" s="325" t="s">
        <v>4836</v>
      </c>
      <c r="C1063" s="32" t="s">
        <v>2557</v>
      </c>
      <c r="D1063" s="258" t="s">
        <v>6528</v>
      </c>
      <c r="E1063" s="258" t="s">
        <v>59</v>
      </c>
      <c r="F1063" s="258"/>
      <c r="G1063" s="433" t="s">
        <v>6533</v>
      </c>
      <c r="H1063" s="399">
        <v>1000</v>
      </c>
      <c r="I1063" s="353"/>
      <c r="J1063" s="350">
        <f t="shared" si="713"/>
        <v>1000</v>
      </c>
      <c r="K1063" s="18">
        <v>8</v>
      </c>
      <c r="L1063" s="350">
        <f t="shared" si="714"/>
        <v>8000</v>
      </c>
      <c r="M1063" s="356">
        <f t="shared" si="715"/>
        <v>8800</v>
      </c>
      <c r="N1063" s="258" t="s">
        <v>1121</v>
      </c>
      <c r="O1063" s="456"/>
      <c r="Q1063" s="18" t="s">
        <v>6530</v>
      </c>
      <c r="R1063" s="18" t="s">
        <v>5449</v>
      </c>
      <c r="Y1063" s="355">
        <f t="shared" si="774"/>
        <v>8</v>
      </c>
      <c r="Z1063" s="355">
        <f t="shared" si="775"/>
        <v>0</v>
      </c>
      <c r="AA1063" s="355">
        <f t="shared" si="776"/>
        <v>8000</v>
      </c>
    </row>
    <row r="1064" spans="1:27" ht="21.75" customHeight="1" x14ac:dyDescent="0.4">
      <c r="A1064" s="258">
        <v>46124</v>
      </c>
      <c r="B1064" s="325" t="s">
        <v>1059</v>
      </c>
      <c r="C1064" s="32" t="s">
        <v>2557</v>
      </c>
      <c r="D1064" s="18" t="s">
        <v>27</v>
      </c>
      <c r="E1064" s="242" t="s">
        <v>5237</v>
      </c>
      <c r="F1064" s="258"/>
      <c r="G1064" s="433" t="s">
        <v>6148</v>
      </c>
      <c r="H1064" s="399">
        <v>1800</v>
      </c>
      <c r="I1064" s="399"/>
      <c r="J1064" s="350">
        <f t="shared" ref="J1064" si="777">SUM(H1064:I1064)</f>
        <v>1800</v>
      </c>
      <c r="K1064" s="18">
        <v>1</v>
      </c>
      <c r="L1064" s="350">
        <f t="shared" ref="L1064" si="778">SUM(J1064*K1064)</f>
        <v>1800</v>
      </c>
      <c r="M1064" s="356">
        <f t="shared" ref="M1064" si="779">ROUNDDOWN(L1064*1.1,0)</f>
        <v>1980</v>
      </c>
      <c r="N1064" s="18" t="s">
        <v>4233</v>
      </c>
      <c r="O1064" s="456"/>
      <c r="R1064" s="18" t="s">
        <v>4803</v>
      </c>
    </row>
    <row r="1065" spans="1:27" ht="21.75" customHeight="1" x14ac:dyDescent="0.4">
      <c r="A1065" s="258">
        <v>46125</v>
      </c>
      <c r="B1065" s="325" t="s">
        <v>5991</v>
      </c>
      <c r="C1065" s="32" t="s">
        <v>2557</v>
      </c>
      <c r="D1065" s="258" t="s">
        <v>17</v>
      </c>
      <c r="E1065" s="258" t="s">
        <v>426</v>
      </c>
      <c r="F1065" s="18" t="s">
        <v>994</v>
      </c>
      <c r="G1065" s="433" t="s">
        <v>6435</v>
      </c>
      <c r="H1065" s="399">
        <v>1800</v>
      </c>
      <c r="I1065" s="353">
        <v>-180</v>
      </c>
      <c r="J1065" s="350">
        <f t="shared" ref="J1065" si="780">SUM(H1065:I1065)</f>
        <v>1620</v>
      </c>
      <c r="K1065" s="18">
        <v>1</v>
      </c>
      <c r="L1065" s="350">
        <f t="shared" ref="L1065" si="781">SUM(J1065*K1065)</f>
        <v>1620</v>
      </c>
      <c r="M1065" s="356">
        <f t="shared" ref="M1065" si="782">ROUNDDOWN(L1065*1.1,0)</f>
        <v>1782</v>
      </c>
      <c r="N1065" s="258" t="s">
        <v>1516</v>
      </c>
      <c r="O1065" s="456"/>
      <c r="P1065" s="18" t="s">
        <v>2596</v>
      </c>
      <c r="Q1065" s="18" t="s">
        <v>2596</v>
      </c>
      <c r="R1065" s="18" t="s">
        <v>2596</v>
      </c>
      <c r="W1065" s="354">
        <f t="shared" ref="W1065" si="783">X1065/H1065</f>
        <v>0.6</v>
      </c>
      <c r="X1065" s="355">
        <v>1080</v>
      </c>
      <c r="Y1065" s="355">
        <f>K1065</f>
        <v>1</v>
      </c>
      <c r="Z1065" s="355">
        <f>X1065*Y1065</f>
        <v>1080</v>
      </c>
      <c r="AA1065" s="355">
        <f>L1065-Z1065</f>
        <v>540</v>
      </c>
    </row>
    <row r="1066" spans="1:27" ht="21.75" customHeight="1" x14ac:dyDescent="0.4">
      <c r="A1066" s="258">
        <v>46125</v>
      </c>
      <c r="B1066" s="32" t="s">
        <v>6787</v>
      </c>
      <c r="C1066" s="32" t="s">
        <v>2557</v>
      </c>
      <c r="D1066" s="258" t="s">
        <v>22</v>
      </c>
      <c r="E1066" s="258" t="s">
        <v>1496</v>
      </c>
      <c r="F1066" s="258"/>
      <c r="G1066" s="63" t="s">
        <v>4869</v>
      </c>
      <c r="H1066" s="399">
        <v>2000</v>
      </c>
      <c r="I1066" s="353"/>
      <c r="J1066" s="350">
        <f t="shared" si="713"/>
        <v>2000</v>
      </c>
      <c r="K1066" s="18">
        <v>1</v>
      </c>
      <c r="L1066" s="350">
        <f t="shared" si="714"/>
        <v>2000</v>
      </c>
      <c r="M1066" s="356">
        <f t="shared" si="715"/>
        <v>2200</v>
      </c>
      <c r="N1066" s="258" t="s">
        <v>1516</v>
      </c>
      <c r="O1066" s="456"/>
      <c r="P1066" s="18" t="s">
        <v>5449</v>
      </c>
      <c r="Q1066" s="18" t="s">
        <v>5449</v>
      </c>
      <c r="R1066" s="18" t="s">
        <v>5449</v>
      </c>
    </row>
    <row r="1067" spans="1:27" ht="21.75" customHeight="1" x14ac:dyDescent="0.4">
      <c r="A1067" s="258">
        <v>46127</v>
      </c>
      <c r="B1067" s="325" t="s">
        <v>6531</v>
      </c>
      <c r="C1067" s="32" t="s">
        <v>5438</v>
      </c>
      <c r="D1067" s="18" t="s">
        <v>17</v>
      </c>
      <c r="E1067" s="258" t="s">
        <v>332</v>
      </c>
      <c r="F1067" s="258" t="s">
        <v>3554</v>
      </c>
      <c r="G1067" s="433" t="s">
        <v>6223</v>
      </c>
      <c r="H1067" s="399">
        <v>938</v>
      </c>
      <c r="I1067" s="353"/>
      <c r="J1067" s="350">
        <f t="shared" ref="J1067:J1125" si="784">SUM(H1067:I1067)</f>
        <v>938</v>
      </c>
      <c r="K1067" s="18">
        <v>3</v>
      </c>
      <c r="L1067" s="350">
        <f t="shared" ref="L1067:L1125" si="785">SUM(J1067*K1067)</f>
        <v>2814</v>
      </c>
      <c r="M1067" s="356">
        <f t="shared" ref="M1067:M1125" si="786">ROUNDDOWN(L1067*1.1,0)</f>
        <v>3095</v>
      </c>
      <c r="N1067" s="18" t="s">
        <v>25</v>
      </c>
      <c r="O1067" s="456"/>
      <c r="Q1067" s="18" t="s">
        <v>6534</v>
      </c>
      <c r="R1067" s="18" t="s">
        <v>6535</v>
      </c>
      <c r="S1067" s="457"/>
      <c r="W1067" s="354">
        <f t="shared" ref="W1067" si="787">X1067/H1067</f>
        <v>1</v>
      </c>
      <c r="X1067" s="355">
        <v>938</v>
      </c>
      <c r="Y1067" s="355">
        <f>K1067</f>
        <v>3</v>
      </c>
      <c r="Z1067" s="355">
        <f>X1067*Y1067</f>
        <v>2814</v>
      </c>
      <c r="AA1067" s="355">
        <f>L1067-Z1067</f>
        <v>0</v>
      </c>
    </row>
    <row r="1068" spans="1:27" ht="21.75" customHeight="1" x14ac:dyDescent="0.4">
      <c r="A1068" s="258">
        <v>46127</v>
      </c>
      <c r="B1068" s="325" t="s">
        <v>1059</v>
      </c>
      <c r="C1068" s="32" t="s">
        <v>2557</v>
      </c>
      <c r="D1068" s="18" t="s">
        <v>27</v>
      </c>
      <c r="E1068" s="242" t="s">
        <v>5237</v>
      </c>
      <c r="F1068" s="258"/>
      <c r="G1068" s="433" t="s">
        <v>6148</v>
      </c>
      <c r="H1068" s="399">
        <v>1800</v>
      </c>
      <c r="I1068" s="399"/>
      <c r="J1068" s="350">
        <f t="shared" si="784"/>
        <v>1800</v>
      </c>
      <c r="K1068" s="18">
        <v>1</v>
      </c>
      <c r="L1068" s="350">
        <f t="shared" si="785"/>
        <v>1800</v>
      </c>
      <c r="M1068" s="356">
        <f t="shared" si="786"/>
        <v>1980</v>
      </c>
      <c r="N1068" s="18" t="s">
        <v>4233</v>
      </c>
      <c r="O1068" s="456"/>
      <c r="R1068" s="18" t="s">
        <v>4803</v>
      </c>
      <c r="S1068" s="471"/>
    </row>
    <row r="1069" spans="1:27" ht="21.75" customHeight="1" x14ac:dyDescent="0.4">
      <c r="A1069" s="258">
        <v>46127</v>
      </c>
      <c r="B1069" s="325" t="s">
        <v>6158</v>
      </c>
      <c r="C1069" s="32" t="s">
        <v>2557</v>
      </c>
      <c r="D1069" s="258" t="s">
        <v>17</v>
      </c>
      <c r="E1069" s="258" t="s">
        <v>426</v>
      </c>
      <c r="F1069" s="18" t="s">
        <v>994</v>
      </c>
      <c r="G1069" s="462" t="s">
        <v>5904</v>
      </c>
      <c r="H1069" s="399">
        <v>1800</v>
      </c>
      <c r="I1069" s="353">
        <v>-180</v>
      </c>
      <c r="J1069" s="350">
        <f t="shared" si="784"/>
        <v>1620</v>
      </c>
      <c r="K1069" s="18">
        <v>1</v>
      </c>
      <c r="L1069" s="350">
        <f t="shared" si="785"/>
        <v>1620</v>
      </c>
      <c r="M1069" s="356">
        <f t="shared" si="786"/>
        <v>1782</v>
      </c>
      <c r="N1069" s="258" t="s">
        <v>20</v>
      </c>
      <c r="O1069" s="456"/>
      <c r="Q1069" s="18" t="s">
        <v>4803</v>
      </c>
      <c r="R1069" s="18" t="s">
        <v>4803</v>
      </c>
      <c r="S1069" s="457"/>
      <c r="W1069" s="354">
        <f t="shared" ref="W1069" si="788">X1069/H1069</f>
        <v>0.6</v>
      </c>
      <c r="X1069" s="355">
        <v>1080</v>
      </c>
      <c r="Y1069" s="355">
        <f>K1069</f>
        <v>1</v>
      </c>
      <c r="Z1069" s="355">
        <f>X1069*Y1069</f>
        <v>1080</v>
      </c>
      <c r="AA1069" s="355">
        <f>L1069-Z1069</f>
        <v>540</v>
      </c>
    </row>
    <row r="1070" spans="1:27" ht="21.75" customHeight="1" x14ac:dyDescent="0.4">
      <c r="A1070" s="258">
        <v>46128</v>
      </c>
      <c r="B1070" s="325" t="s">
        <v>6538</v>
      </c>
      <c r="C1070" s="32" t="s">
        <v>6539</v>
      </c>
      <c r="D1070" s="18" t="s">
        <v>22</v>
      </c>
      <c r="E1070" s="18" t="s">
        <v>260</v>
      </c>
      <c r="F1070" s="18"/>
      <c r="G1070" s="63" t="s">
        <v>6451</v>
      </c>
      <c r="H1070" s="399">
        <v>15000</v>
      </c>
      <c r="I1070" s="353"/>
      <c r="J1070" s="350">
        <f t="shared" si="784"/>
        <v>15000</v>
      </c>
      <c r="K1070" s="18">
        <v>1</v>
      </c>
      <c r="L1070" s="350">
        <f t="shared" si="785"/>
        <v>15000</v>
      </c>
      <c r="M1070" s="356">
        <f t="shared" si="786"/>
        <v>16500</v>
      </c>
      <c r="N1070" s="18" t="s">
        <v>25</v>
      </c>
      <c r="O1070" s="456"/>
      <c r="Q1070" s="18" t="s">
        <v>4803</v>
      </c>
      <c r="R1070" s="18" t="s">
        <v>4803</v>
      </c>
    </row>
    <row r="1071" spans="1:27" ht="21.75" customHeight="1" x14ac:dyDescent="0.4">
      <c r="A1071" s="258">
        <v>46128</v>
      </c>
      <c r="B1071" s="325" t="s">
        <v>6540</v>
      </c>
      <c r="C1071" s="32" t="s">
        <v>6539</v>
      </c>
      <c r="D1071" s="18" t="s">
        <v>27</v>
      </c>
      <c r="E1071" s="18" t="s">
        <v>4409</v>
      </c>
      <c r="F1071" s="18"/>
      <c r="G1071" s="63" t="s">
        <v>6290</v>
      </c>
      <c r="H1071" s="399">
        <v>22500</v>
      </c>
      <c r="I1071" s="353"/>
      <c r="J1071" s="350">
        <f t="shared" si="784"/>
        <v>22500</v>
      </c>
      <c r="K1071" s="18">
        <v>1</v>
      </c>
      <c r="L1071" s="350">
        <f t="shared" si="785"/>
        <v>22500</v>
      </c>
      <c r="M1071" s="356">
        <f t="shared" si="786"/>
        <v>24750</v>
      </c>
      <c r="N1071" s="18" t="s">
        <v>25</v>
      </c>
      <c r="O1071" s="454" t="s">
        <v>6542</v>
      </c>
      <c r="Q1071" s="18" t="s">
        <v>4803</v>
      </c>
      <c r="R1071" s="18" t="s">
        <v>4803</v>
      </c>
      <c r="S1071" s="472"/>
    </row>
    <row r="1072" spans="1:27" ht="21.75" customHeight="1" x14ac:dyDescent="0.4">
      <c r="A1072" s="258">
        <v>46129</v>
      </c>
      <c r="B1072" s="325" t="s">
        <v>6541</v>
      </c>
      <c r="C1072" s="32" t="s">
        <v>405</v>
      </c>
      <c r="D1072" s="18" t="s">
        <v>317</v>
      </c>
      <c r="E1072" s="18" t="s">
        <v>28</v>
      </c>
      <c r="F1072" s="18"/>
      <c r="G1072" s="63" t="s">
        <v>5038</v>
      </c>
      <c r="H1072" s="399">
        <v>5000</v>
      </c>
      <c r="I1072" s="353"/>
      <c r="J1072" s="350">
        <f t="shared" si="784"/>
        <v>5000</v>
      </c>
      <c r="K1072" s="18">
        <v>1</v>
      </c>
      <c r="L1072" s="350">
        <f t="shared" si="785"/>
        <v>5000</v>
      </c>
      <c r="M1072" s="356">
        <f t="shared" si="786"/>
        <v>5500</v>
      </c>
      <c r="N1072" s="18" t="s">
        <v>25</v>
      </c>
      <c r="O1072" s="456"/>
      <c r="Q1072" s="18" t="s">
        <v>4803</v>
      </c>
      <c r="R1072" s="18" t="s">
        <v>4803</v>
      </c>
    </row>
    <row r="1073" spans="1:27" ht="21.75" customHeight="1" x14ac:dyDescent="0.4">
      <c r="A1073" s="258">
        <v>46129</v>
      </c>
      <c r="B1073" s="325" t="s">
        <v>4061</v>
      </c>
      <c r="C1073" s="32" t="s">
        <v>2557</v>
      </c>
      <c r="D1073" s="258" t="s">
        <v>17</v>
      </c>
      <c r="E1073" s="258" t="s">
        <v>332</v>
      </c>
      <c r="F1073" s="18" t="s">
        <v>3554</v>
      </c>
      <c r="G1073" s="433" t="s">
        <v>6223</v>
      </c>
      <c r="H1073" s="399">
        <v>1500</v>
      </c>
      <c r="I1073" s="353">
        <v>-150</v>
      </c>
      <c r="J1073" s="350">
        <f t="shared" si="784"/>
        <v>1350</v>
      </c>
      <c r="K1073" s="18">
        <v>7</v>
      </c>
      <c r="L1073" s="350">
        <f t="shared" si="785"/>
        <v>9450</v>
      </c>
      <c r="M1073" s="356">
        <f t="shared" si="786"/>
        <v>10395</v>
      </c>
      <c r="N1073" s="258" t="s">
        <v>1121</v>
      </c>
      <c r="O1073" s="456"/>
      <c r="P1073" s="18" t="s">
        <v>6548</v>
      </c>
      <c r="Q1073" s="18" t="s">
        <v>6549</v>
      </c>
      <c r="R1073" s="18" t="s">
        <v>6549</v>
      </c>
      <c r="W1073" s="354">
        <f t="shared" ref="W1073" si="789">X1073/H1073</f>
        <v>0.6253333333333333</v>
      </c>
      <c r="X1073" s="355">
        <v>938</v>
      </c>
      <c r="Y1073" s="355">
        <f t="shared" ref="Y1073:Y1076" si="790">K1073</f>
        <v>7</v>
      </c>
      <c r="Z1073" s="355">
        <f t="shared" ref="Z1073:Z1076" si="791">X1073*Y1073</f>
        <v>6566</v>
      </c>
      <c r="AA1073" s="355">
        <f t="shared" ref="AA1073:AA1076" si="792">L1073-Z1073</f>
        <v>2884</v>
      </c>
    </row>
    <row r="1074" spans="1:27" ht="21.75" customHeight="1" x14ac:dyDescent="0.4">
      <c r="A1074" s="258">
        <v>46129</v>
      </c>
      <c r="B1074" s="325" t="s">
        <v>4061</v>
      </c>
      <c r="C1074" s="32" t="s">
        <v>2557</v>
      </c>
      <c r="D1074" s="258" t="s">
        <v>59</v>
      </c>
      <c r="E1074" s="258" t="s">
        <v>59</v>
      </c>
      <c r="F1074" s="258"/>
      <c r="G1074" s="433" t="s">
        <v>2416</v>
      </c>
      <c r="H1074" s="399">
        <v>300</v>
      </c>
      <c r="I1074" s="353"/>
      <c r="J1074" s="350">
        <f t="shared" si="784"/>
        <v>300</v>
      </c>
      <c r="K1074" s="18">
        <v>7</v>
      </c>
      <c r="L1074" s="350">
        <f t="shared" si="785"/>
        <v>2100</v>
      </c>
      <c r="M1074" s="356">
        <f t="shared" si="786"/>
        <v>2310</v>
      </c>
      <c r="N1074" s="258" t="s">
        <v>1121</v>
      </c>
      <c r="O1074" s="456"/>
      <c r="P1074" s="18" t="s">
        <v>6548</v>
      </c>
      <c r="Q1074" s="18" t="s">
        <v>6549</v>
      </c>
      <c r="R1074" s="18" t="s">
        <v>6549</v>
      </c>
      <c r="Y1074" s="355">
        <f t="shared" si="790"/>
        <v>7</v>
      </c>
      <c r="Z1074" s="355">
        <f t="shared" si="791"/>
        <v>0</v>
      </c>
      <c r="AA1074" s="355">
        <f t="shared" si="792"/>
        <v>2100</v>
      </c>
    </row>
    <row r="1075" spans="1:27" ht="21.75" customHeight="1" x14ac:dyDescent="0.4">
      <c r="A1075" s="258">
        <v>46129</v>
      </c>
      <c r="B1075" s="325" t="s">
        <v>6543</v>
      </c>
      <c r="C1075" s="32" t="s">
        <v>6544</v>
      </c>
      <c r="D1075" s="258" t="s">
        <v>6545</v>
      </c>
      <c r="E1075" s="258" t="s">
        <v>332</v>
      </c>
      <c r="F1075" s="258" t="s">
        <v>3553</v>
      </c>
      <c r="G1075" s="125" t="s">
        <v>6564</v>
      </c>
      <c r="H1075" s="399">
        <v>1800</v>
      </c>
      <c r="I1075" s="353">
        <v>-180</v>
      </c>
      <c r="J1075" s="350">
        <f t="shared" si="784"/>
        <v>1620</v>
      </c>
      <c r="K1075" s="18">
        <v>1</v>
      </c>
      <c r="L1075" s="350">
        <f t="shared" si="785"/>
        <v>1620</v>
      </c>
      <c r="M1075" s="356">
        <f t="shared" si="786"/>
        <v>1782</v>
      </c>
      <c r="N1075" s="18" t="s">
        <v>25</v>
      </c>
      <c r="O1075" s="456"/>
      <c r="P1075" s="18" t="s">
        <v>6548</v>
      </c>
      <c r="Q1075" s="18" t="s">
        <v>6548</v>
      </c>
      <c r="R1075" s="18" t="s">
        <v>6548</v>
      </c>
      <c r="W1075" s="354">
        <f t="shared" ref="W1075" si="793">X1075/H1075</f>
        <v>0.5</v>
      </c>
      <c r="X1075" s="355">
        <v>900</v>
      </c>
      <c r="Y1075" s="355">
        <f t="shared" si="790"/>
        <v>1</v>
      </c>
      <c r="Z1075" s="355">
        <f t="shared" si="791"/>
        <v>900</v>
      </c>
      <c r="AA1075" s="355">
        <f t="shared" si="792"/>
        <v>720</v>
      </c>
    </row>
    <row r="1076" spans="1:27" ht="21.75" customHeight="1" x14ac:dyDescent="0.4">
      <c r="A1076" s="258">
        <v>46129</v>
      </c>
      <c r="B1076" s="325" t="s">
        <v>6543</v>
      </c>
      <c r="C1076" s="32" t="s">
        <v>6544</v>
      </c>
      <c r="D1076" s="258" t="s">
        <v>6546</v>
      </c>
      <c r="E1076" s="258" t="s">
        <v>6546</v>
      </c>
      <c r="F1076" s="258"/>
      <c r="G1076" s="433" t="s">
        <v>6547</v>
      </c>
      <c r="H1076" s="399">
        <v>300</v>
      </c>
      <c r="I1076" s="353"/>
      <c r="J1076" s="350">
        <v>300</v>
      </c>
      <c r="K1076" s="18">
        <v>1</v>
      </c>
      <c r="L1076" s="350">
        <v>300</v>
      </c>
      <c r="M1076" s="356">
        <f t="shared" si="786"/>
        <v>330</v>
      </c>
      <c r="N1076" s="18" t="s">
        <v>25</v>
      </c>
      <c r="O1076" s="456"/>
      <c r="P1076" s="18" t="s">
        <v>6548</v>
      </c>
      <c r="Q1076" s="18" t="s">
        <v>6548</v>
      </c>
      <c r="R1076" s="18" t="s">
        <v>6548</v>
      </c>
      <c r="Y1076" s="355">
        <f t="shared" si="790"/>
        <v>1</v>
      </c>
      <c r="Z1076" s="355">
        <f t="shared" si="791"/>
        <v>0</v>
      </c>
      <c r="AA1076" s="355">
        <f t="shared" si="792"/>
        <v>300</v>
      </c>
    </row>
    <row r="1077" spans="1:27" ht="21.75" customHeight="1" x14ac:dyDescent="0.4">
      <c r="A1077" s="258">
        <v>46130</v>
      </c>
      <c r="B1077" s="325" t="s">
        <v>5023</v>
      </c>
      <c r="C1077" s="32" t="s">
        <v>6550</v>
      </c>
      <c r="D1077" s="258" t="s">
        <v>6551</v>
      </c>
      <c r="E1077" s="258" t="s">
        <v>6552</v>
      </c>
      <c r="F1077" s="258"/>
      <c r="G1077" s="433" t="s">
        <v>4869</v>
      </c>
      <c r="H1077" s="399">
        <v>2000</v>
      </c>
      <c r="I1077" s="353"/>
      <c r="J1077" s="350">
        <f t="shared" si="784"/>
        <v>2000</v>
      </c>
      <c r="K1077" s="18">
        <v>1</v>
      </c>
      <c r="L1077" s="350">
        <f t="shared" si="785"/>
        <v>2000</v>
      </c>
      <c r="M1077" s="356">
        <f t="shared" si="786"/>
        <v>2200</v>
      </c>
      <c r="N1077" s="258" t="s">
        <v>6553</v>
      </c>
      <c r="O1077" s="456"/>
      <c r="P1077" s="18" t="s">
        <v>6554</v>
      </c>
      <c r="Q1077" s="18" t="s">
        <v>6554</v>
      </c>
      <c r="R1077" s="18" t="s">
        <v>6554</v>
      </c>
    </row>
    <row r="1078" spans="1:27" ht="21.75" customHeight="1" x14ac:dyDescent="0.4">
      <c r="A1078" s="258">
        <v>46131</v>
      </c>
      <c r="B1078" s="325" t="s">
        <v>6204</v>
      </c>
      <c r="C1078" s="32" t="s">
        <v>405</v>
      </c>
      <c r="D1078" s="258" t="s">
        <v>22</v>
      </c>
      <c r="E1078" s="258" t="s">
        <v>5040</v>
      </c>
      <c r="F1078" s="258"/>
      <c r="G1078" s="433" t="s">
        <v>6186</v>
      </c>
      <c r="H1078" s="399">
        <v>3000</v>
      </c>
      <c r="I1078" s="353"/>
      <c r="J1078" s="350">
        <f t="shared" si="784"/>
        <v>3000</v>
      </c>
      <c r="K1078" s="18">
        <v>1</v>
      </c>
      <c r="L1078" s="350">
        <f t="shared" si="785"/>
        <v>3000</v>
      </c>
      <c r="M1078" s="356">
        <f t="shared" si="786"/>
        <v>3300</v>
      </c>
      <c r="N1078" s="258" t="s">
        <v>20</v>
      </c>
      <c r="O1078" s="456"/>
      <c r="P1078" s="18" t="s">
        <v>2594</v>
      </c>
      <c r="Q1078" s="18" t="s">
        <v>2594</v>
      </c>
      <c r="R1078" s="18" t="s">
        <v>2594</v>
      </c>
    </row>
    <row r="1079" spans="1:27" ht="21.75" customHeight="1" x14ac:dyDescent="0.4">
      <c r="A1079" s="258">
        <v>46131</v>
      </c>
      <c r="B1079" s="325" t="s">
        <v>405</v>
      </c>
      <c r="C1079" s="32" t="s">
        <v>405</v>
      </c>
      <c r="D1079" s="258" t="s">
        <v>6555</v>
      </c>
      <c r="E1079" s="258" t="s">
        <v>6556</v>
      </c>
      <c r="F1079" s="18" t="s">
        <v>3555</v>
      </c>
      <c r="G1079" t="s">
        <v>6557</v>
      </c>
      <c r="H1079" s="399">
        <v>3100</v>
      </c>
      <c r="I1079" s="353"/>
      <c r="J1079" s="350">
        <f t="shared" si="784"/>
        <v>3100</v>
      </c>
      <c r="K1079" s="18">
        <v>1</v>
      </c>
      <c r="L1079" s="350">
        <f t="shared" si="785"/>
        <v>3100</v>
      </c>
      <c r="M1079" s="356">
        <f t="shared" si="786"/>
        <v>3410</v>
      </c>
      <c r="N1079" s="18" t="s">
        <v>25</v>
      </c>
      <c r="O1079" s="456"/>
      <c r="P1079" s="18" t="s">
        <v>2594</v>
      </c>
      <c r="Q1079" s="18" t="s">
        <v>2594</v>
      </c>
      <c r="R1079" s="18" t="s">
        <v>2594</v>
      </c>
      <c r="W1079" s="354">
        <f t="shared" ref="W1079" si="794">X1079/H1079</f>
        <v>0.57999999999999996</v>
      </c>
      <c r="X1079" s="355">
        <v>1798</v>
      </c>
      <c r="Y1079" s="355">
        <f t="shared" ref="Y1079:Y1081" si="795">K1079</f>
        <v>1</v>
      </c>
      <c r="Z1079" s="355">
        <f t="shared" ref="Z1079:Z1081" si="796">X1079*Y1079</f>
        <v>1798</v>
      </c>
      <c r="AA1079" s="355">
        <f t="shared" ref="AA1079:AA1081" si="797">L1079-Z1079</f>
        <v>1302</v>
      </c>
    </row>
    <row r="1080" spans="1:27" ht="21.75" customHeight="1" x14ac:dyDescent="0.4">
      <c r="A1080" s="258">
        <v>46131</v>
      </c>
      <c r="B1080" s="325" t="s">
        <v>405</v>
      </c>
      <c r="C1080" s="32" t="s">
        <v>405</v>
      </c>
      <c r="D1080" s="258" t="s">
        <v>59</v>
      </c>
      <c r="E1080" s="258" t="s">
        <v>59</v>
      </c>
      <c r="F1080" s="258"/>
      <c r="G1080" s="433" t="s">
        <v>2416</v>
      </c>
      <c r="H1080" s="399">
        <v>300</v>
      </c>
      <c r="I1080" s="353"/>
      <c r="J1080" s="350">
        <f t="shared" si="784"/>
        <v>300</v>
      </c>
      <c r="K1080" s="18">
        <v>1</v>
      </c>
      <c r="L1080" s="350">
        <f t="shared" si="785"/>
        <v>300</v>
      </c>
      <c r="M1080" s="356">
        <f t="shared" si="786"/>
        <v>330</v>
      </c>
      <c r="N1080" s="18" t="s">
        <v>25</v>
      </c>
      <c r="O1080" s="456"/>
      <c r="P1080" s="18" t="s">
        <v>2594</v>
      </c>
      <c r="Q1080" s="18" t="s">
        <v>2594</v>
      </c>
      <c r="R1080" s="18" t="s">
        <v>2594</v>
      </c>
      <c r="Y1080" s="355">
        <f t="shared" si="795"/>
        <v>1</v>
      </c>
      <c r="Z1080" s="355">
        <f t="shared" si="796"/>
        <v>0</v>
      </c>
      <c r="AA1080" s="355">
        <f t="shared" si="797"/>
        <v>300</v>
      </c>
    </row>
    <row r="1081" spans="1:27" ht="21.75" customHeight="1" x14ac:dyDescent="0.4">
      <c r="A1081" s="258">
        <v>46131</v>
      </c>
      <c r="B1081" s="325" t="s">
        <v>6558</v>
      </c>
      <c r="C1081" s="32" t="s">
        <v>6559</v>
      </c>
      <c r="D1081" s="258" t="s">
        <v>6560</v>
      </c>
      <c r="E1081" s="258" t="s">
        <v>426</v>
      </c>
      <c r="F1081" s="18" t="s">
        <v>994</v>
      </c>
      <c r="G1081" s="433" t="s">
        <v>6561</v>
      </c>
      <c r="H1081" s="399">
        <v>1800</v>
      </c>
      <c r="I1081" s="353">
        <v>-180</v>
      </c>
      <c r="J1081" s="350">
        <f t="shared" si="784"/>
        <v>1620</v>
      </c>
      <c r="K1081" s="18">
        <v>1</v>
      </c>
      <c r="L1081" s="350">
        <f t="shared" si="785"/>
        <v>1620</v>
      </c>
      <c r="M1081" s="356">
        <f t="shared" si="786"/>
        <v>1782</v>
      </c>
      <c r="N1081" s="258" t="s">
        <v>20</v>
      </c>
      <c r="O1081" s="456"/>
      <c r="P1081" s="18" t="s">
        <v>2594</v>
      </c>
      <c r="Q1081" s="18" t="s">
        <v>2594</v>
      </c>
      <c r="R1081" s="18" t="s">
        <v>2594</v>
      </c>
      <c r="W1081" s="354">
        <f t="shared" ref="W1081" si="798">X1081/H1081</f>
        <v>0.6</v>
      </c>
      <c r="X1081" s="355">
        <v>1080</v>
      </c>
      <c r="Y1081" s="355">
        <f t="shared" si="795"/>
        <v>1</v>
      </c>
      <c r="Z1081" s="355">
        <f t="shared" si="796"/>
        <v>1080</v>
      </c>
      <c r="AA1081" s="355">
        <f t="shared" si="797"/>
        <v>540</v>
      </c>
    </row>
    <row r="1082" spans="1:27" ht="21.75" customHeight="1" x14ac:dyDescent="0.4">
      <c r="A1082" s="258">
        <v>46132</v>
      </c>
      <c r="B1082" s="325" t="s">
        <v>3424</v>
      </c>
      <c r="C1082" s="32" t="s">
        <v>6562</v>
      </c>
      <c r="D1082" s="258" t="s">
        <v>22</v>
      </c>
      <c r="E1082" s="258" t="s">
        <v>5040</v>
      </c>
      <c r="F1082" s="258"/>
      <c r="G1082" s="433" t="s">
        <v>4869</v>
      </c>
      <c r="H1082" s="399">
        <v>2000</v>
      </c>
      <c r="I1082" s="353"/>
      <c r="J1082" s="350">
        <f t="shared" si="784"/>
        <v>2000</v>
      </c>
      <c r="K1082" s="18">
        <v>1</v>
      </c>
      <c r="L1082" s="350">
        <f t="shared" si="785"/>
        <v>2000</v>
      </c>
      <c r="M1082" s="356">
        <f t="shared" si="786"/>
        <v>2200</v>
      </c>
      <c r="N1082" s="18" t="s">
        <v>25</v>
      </c>
      <c r="O1082" s="456"/>
      <c r="P1082" s="18" t="s">
        <v>6563</v>
      </c>
      <c r="Q1082" s="18" t="s">
        <v>6563</v>
      </c>
      <c r="R1082" s="18" t="s">
        <v>6563</v>
      </c>
      <c r="S1082" s="471"/>
    </row>
    <row r="1083" spans="1:27" ht="21.75" customHeight="1" x14ac:dyDescent="0.4">
      <c r="A1083" s="258">
        <v>46132</v>
      </c>
      <c r="B1083" s="32" t="s">
        <v>6787</v>
      </c>
      <c r="C1083" s="32" t="s">
        <v>2557</v>
      </c>
      <c r="D1083" s="258" t="s">
        <v>22</v>
      </c>
      <c r="E1083" s="258" t="s">
        <v>5040</v>
      </c>
      <c r="F1083" s="258"/>
      <c r="G1083" s="433" t="s">
        <v>4869</v>
      </c>
      <c r="H1083" s="399">
        <v>2000</v>
      </c>
      <c r="I1083" s="353"/>
      <c r="J1083" s="350">
        <f t="shared" si="784"/>
        <v>2000</v>
      </c>
      <c r="K1083" s="18">
        <v>1</v>
      </c>
      <c r="L1083" s="350">
        <f t="shared" si="785"/>
        <v>2000</v>
      </c>
      <c r="M1083" s="356">
        <f t="shared" si="786"/>
        <v>2200</v>
      </c>
      <c r="N1083" s="18" t="s">
        <v>25</v>
      </c>
      <c r="O1083" s="456"/>
      <c r="P1083" s="18" t="s">
        <v>5449</v>
      </c>
      <c r="Q1083" s="18" t="s">
        <v>6455</v>
      </c>
      <c r="R1083" s="18" t="s">
        <v>6455</v>
      </c>
      <c r="S1083" s="472"/>
    </row>
    <row r="1084" spans="1:27" ht="21.75" customHeight="1" x14ac:dyDescent="0.4">
      <c r="A1084" s="258">
        <v>46133</v>
      </c>
      <c r="B1084" s="325" t="s">
        <v>6519</v>
      </c>
      <c r="C1084" s="32" t="s">
        <v>2557</v>
      </c>
      <c r="D1084" s="18" t="s">
        <v>27</v>
      </c>
      <c r="E1084" s="242" t="s">
        <v>5237</v>
      </c>
      <c r="F1084" s="242"/>
      <c r="G1084" s="433" t="s">
        <v>6148</v>
      </c>
      <c r="H1084" s="399">
        <v>1800</v>
      </c>
      <c r="I1084" s="399"/>
      <c r="J1084" s="350">
        <f t="shared" si="784"/>
        <v>1800</v>
      </c>
      <c r="K1084" s="18">
        <v>1</v>
      </c>
      <c r="L1084" s="350">
        <f t="shared" si="785"/>
        <v>1800</v>
      </c>
      <c r="M1084" s="356">
        <f t="shared" si="786"/>
        <v>1980</v>
      </c>
      <c r="N1084" s="18" t="s">
        <v>4233</v>
      </c>
      <c r="O1084" s="456"/>
      <c r="R1084" s="18" t="s">
        <v>4803</v>
      </c>
      <c r="S1084" s="472"/>
    </row>
    <row r="1085" spans="1:27" ht="21.75" customHeight="1" x14ac:dyDescent="0.4">
      <c r="A1085" s="258">
        <v>46134</v>
      </c>
      <c r="B1085" s="325" t="s">
        <v>2088</v>
      </c>
      <c r="C1085" s="32" t="s">
        <v>2557</v>
      </c>
      <c r="D1085" s="258" t="s">
        <v>22</v>
      </c>
      <c r="E1085" s="258" t="s">
        <v>5040</v>
      </c>
      <c r="F1085" s="258"/>
      <c r="G1085" s="433" t="s">
        <v>4869</v>
      </c>
      <c r="H1085" s="399">
        <v>2000</v>
      </c>
      <c r="I1085" s="353"/>
      <c r="J1085" s="350">
        <f t="shared" ref="J1085" si="799">SUM(H1085:I1085)</f>
        <v>2000</v>
      </c>
      <c r="K1085" s="18">
        <v>1</v>
      </c>
      <c r="L1085" s="350">
        <f t="shared" ref="L1085" si="800">SUM(J1085*K1085)</f>
        <v>2000</v>
      </c>
      <c r="M1085" s="356">
        <f t="shared" ref="M1085" si="801">ROUNDDOWN(L1085*1.1,0)</f>
        <v>2200</v>
      </c>
      <c r="N1085" s="18" t="s">
        <v>25</v>
      </c>
      <c r="O1085" s="456"/>
      <c r="P1085" s="18" t="s">
        <v>5449</v>
      </c>
      <c r="Q1085" s="18" t="s">
        <v>5449</v>
      </c>
      <c r="R1085" s="18" t="s">
        <v>5449</v>
      </c>
    </row>
    <row r="1086" spans="1:27" ht="21.75" customHeight="1" x14ac:dyDescent="0.4">
      <c r="A1086" s="258">
        <v>46134</v>
      </c>
      <c r="B1086" s="325" t="s">
        <v>6565</v>
      </c>
      <c r="C1086" s="32" t="s">
        <v>405</v>
      </c>
      <c r="D1086" s="258" t="s">
        <v>6566</v>
      </c>
      <c r="E1086" s="258" t="s">
        <v>330</v>
      </c>
      <c r="F1086" s="258" t="s">
        <v>661</v>
      </c>
      <c r="G1086" s="433" t="s">
        <v>330</v>
      </c>
      <c r="H1086" s="399">
        <v>5000</v>
      </c>
      <c r="I1086" s="353"/>
      <c r="J1086" s="350">
        <f t="shared" si="784"/>
        <v>5000</v>
      </c>
      <c r="K1086" s="18">
        <v>1</v>
      </c>
      <c r="L1086" s="350">
        <f t="shared" si="785"/>
        <v>5000</v>
      </c>
      <c r="M1086" s="356">
        <f t="shared" si="786"/>
        <v>5500</v>
      </c>
      <c r="N1086" s="18" t="s">
        <v>25</v>
      </c>
      <c r="O1086" s="456"/>
      <c r="W1086" s="354">
        <f t="shared" ref="W1086:W1089" si="802">X1086/H1086</f>
        <v>0.45</v>
      </c>
      <c r="X1086" s="355">
        <v>2250</v>
      </c>
      <c r="Y1086" s="355">
        <f t="shared" ref="Y1086:Y1091" si="803">K1086</f>
        <v>1</v>
      </c>
      <c r="Z1086" s="355">
        <f t="shared" ref="Z1086:Z1091" si="804">X1086*Y1086</f>
        <v>2250</v>
      </c>
      <c r="AA1086" s="355">
        <f t="shared" ref="AA1086:AA1091" si="805">L1086-Z1086</f>
        <v>2750</v>
      </c>
    </row>
    <row r="1087" spans="1:27" ht="21.75" customHeight="1" x14ac:dyDescent="0.4">
      <c r="A1087" s="258">
        <v>46134</v>
      </c>
      <c r="B1087" s="325" t="s">
        <v>6565</v>
      </c>
      <c r="C1087" s="32" t="s">
        <v>405</v>
      </c>
      <c r="D1087" s="258" t="s">
        <v>59</v>
      </c>
      <c r="E1087" s="258" t="s">
        <v>6567</v>
      </c>
      <c r="F1087" s="258"/>
      <c r="G1087" s="433"/>
      <c r="H1087" s="399">
        <v>1000</v>
      </c>
      <c r="I1087" s="353"/>
      <c r="J1087" s="350">
        <f t="shared" si="784"/>
        <v>1000</v>
      </c>
      <c r="K1087" s="18">
        <v>1</v>
      </c>
      <c r="L1087" s="350">
        <f t="shared" si="785"/>
        <v>1000</v>
      </c>
      <c r="M1087" s="356">
        <f t="shared" si="786"/>
        <v>1100</v>
      </c>
      <c r="N1087" s="18" t="s">
        <v>25</v>
      </c>
      <c r="O1087" s="456"/>
      <c r="Y1087" s="355">
        <f t="shared" si="803"/>
        <v>1</v>
      </c>
      <c r="Z1087" s="355">
        <f t="shared" si="804"/>
        <v>0</v>
      </c>
      <c r="AA1087" s="355">
        <f t="shared" si="805"/>
        <v>1000</v>
      </c>
    </row>
    <row r="1088" spans="1:27" ht="21.75" customHeight="1" x14ac:dyDescent="0.4">
      <c r="A1088" s="258">
        <v>46134</v>
      </c>
      <c r="B1088" s="325" t="s">
        <v>5069</v>
      </c>
      <c r="C1088" s="32" t="s">
        <v>2557</v>
      </c>
      <c r="D1088" s="258" t="s">
        <v>17</v>
      </c>
      <c r="E1088" s="258" t="s">
        <v>426</v>
      </c>
      <c r="F1088" s="18" t="s">
        <v>994</v>
      </c>
      <c r="G1088" s="462" t="s">
        <v>6049</v>
      </c>
      <c r="H1088" s="399">
        <v>1800</v>
      </c>
      <c r="I1088" s="353">
        <v>-180</v>
      </c>
      <c r="J1088" s="350">
        <f t="shared" si="784"/>
        <v>1620</v>
      </c>
      <c r="K1088" s="18">
        <v>2</v>
      </c>
      <c r="L1088" s="350">
        <f t="shared" si="785"/>
        <v>3240</v>
      </c>
      <c r="M1088" s="356">
        <f t="shared" si="786"/>
        <v>3564</v>
      </c>
      <c r="N1088" s="18" t="s">
        <v>25</v>
      </c>
      <c r="O1088" s="456"/>
      <c r="P1088" s="18" t="s">
        <v>6455</v>
      </c>
      <c r="Q1088" s="18" t="s">
        <v>6455</v>
      </c>
      <c r="R1088" s="18" t="s">
        <v>6455</v>
      </c>
      <c r="W1088" s="354">
        <f t="shared" si="802"/>
        <v>0.6</v>
      </c>
      <c r="X1088" s="355">
        <v>1080</v>
      </c>
      <c r="Y1088" s="355">
        <f t="shared" si="803"/>
        <v>2</v>
      </c>
      <c r="Z1088" s="355">
        <f t="shared" si="804"/>
        <v>2160</v>
      </c>
      <c r="AA1088" s="355">
        <f t="shared" si="805"/>
        <v>1080</v>
      </c>
    </row>
    <row r="1089" spans="1:27" ht="21.75" customHeight="1" x14ac:dyDescent="0.4">
      <c r="A1089" s="258">
        <v>46134</v>
      </c>
      <c r="B1089" s="325" t="s">
        <v>6568</v>
      </c>
      <c r="C1089" s="32" t="s">
        <v>6569</v>
      </c>
      <c r="D1089" s="258" t="s">
        <v>6570</v>
      </c>
      <c r="E1089" s="258" t="s">
        <v>328</v>
      </c>
      <c r="F1089" s="374" t="s">
        <v>3960</v>
      </c>
      <c r="G1089" s="433" t="s">
        <v>6571</v>
      </c>
      <c r="H1089" s="399">
        <v>19000</v>
      </c>
      <c r="I1089" s="353">
        <v>-1900</v>
      </c>
      <c r="J1089" s="350">
        <f t="shared" si="784"/>
        <v>17100</v>
      </c>
      <c r="K1089" s="18">
        <v>2</v>
      </c>
      <c r="L1089" s="350">
        <f t="shared" si="785"/>
        <v>34200</v>
      </c>
      <c r="M1089" s="356">
        <f t="shared" si="786"/>
        <v>37620</v>
      </c>
      <c r="N1089" s="258" t="s">
        <v>20</v>
      </c>
      <c r="O1089" s="456"/>
      <c r="P1089" s="18" t="s">
        <v>2594</v>
      </c>
      <c r="Q1089" s="18" t="s">
        <v>2594</v>
      </c>
      <c r="R1089" s="18" t="s">
        <v>2594</v>
      </c>
      <c r="W1089" s="354">
        <f t="shared" si="802"/>
        <v>0.43</v>
      </c>
      <c r="X1089" s="355">
        <v>8170</v>
      </c>
      <c r="Y1089" s="355">
        <f t="shared" si="803"/>
        <v>2</v>
      </c>
      <c r="Z1089" s="355">
        <f t="shared" si="804"/>
        <v>16340</v>
      </c>
      <c r="AA1089" s="355">
        <f t="shared" si="805"/>
        <v>17860</v>
      </c>
    </row>
    <row r="1090" spans="1:27" ht="21.75" customHeight="1" x14ac:dyDescent="0.4">
      <c r="A1090" s="258">
        <v>46134</v>
      </c>
      <c r="B1090" s="325" t="s">
        <v>6568</v>
      </c>
      <c r="C1090" s="32" t="s">
        <v>6569</v>
      </c>
      <c r="D1090" s="258" t="s">
        <v>6570</v>
      </c>
      <c r="E1090" s="258" t="s">
        <v>332</v>
      </c>
      <c r="F1090" s="18" t="s">
        <v>3555</v>
      </c>
      <c r="G1090" s="433" t="s">
        <v>6243</v>
      </c>
      <c r="H1090" s="399">
        <v>2000</v>
      </c>
      <c r="I1090" s="353">
        <v>-200</v>
      </c>
      <c r="J1090" s="350">
        <f t="shared" si="784"/>
        <v>1800</v>
      </c>
      <c r="K1090" s="18">
        <v>2</v>
      </c>
      <c r="L1090" s="350">
        <f t="shared" si="785"/>
        <v>3600</v>
      </c>
      <c r="M1090" s="356">
        <f t="shared" si="786"/>
        <v>3960</v>
      </c>
      <c r="N1090" s="258" t="s">
        <v>20</v>
      </c>
      <c r="O1090" s="456"/>
      <c r="P1090" s="18" t="s">
        <v>2594</v>
      </c>
      <c r="Q1090" s="18" t="s">
        <v>2594</v>
      </c>
      <c r="R1090" s="18" t="s">
        <v>2594</v>
      </c>
      <c r="W1090" s="354">
        <f t="shared" ref="W1090:W1095" si="806">X1090/H1090</f>
        <v>0.57999999999999996</v>
      </c>
      <c r="X1090" s="355">
        <v>1160</v>
      </c>
      <c r="Y1090" s="355">
        <f t="shared" si="803"/>
        <v>2</v>
      </c>
      <c r="Z1090" s="355">
        <f t="shared" si="804"/>
        <v>2320</v>
      </c>
      <c r="AA1090" s="355">
        <f t="shared" si="805"/>
        <v>1280</v>
      </c>
    </row>
    <row r="1091" spans="1:27" ht="21.75" customHeight="1" x14ac:dyDescent="0.4">
      <c r="A1091" s="258">
        <v>46134</v>
      </c>
      <c r="B1091" s="325" t="s">
        <v>6568</v>
      </c>
      <c r="C1091" s="32" t="s">
        <v>6569</v>
      </c>
      <c r="D1091" s="258" t="s">
        <v>59</v>
      </c>
      <c r="E1091" s="258" t="s">
        <v>6572</v>
      </c>
      <c r="F1091" s="258"/>
      <c r="G1091" s="433"/>
      <c r="H1091" s="399">
        <v>1800</v>
      </c>
      <c r="I1091" s="353"/>
      <c r="J1091" s="350">
        <f t="shared" si="784"/>
        <v>1800</v>
      </c>
      <c r="K1091" s="18">
        <v>2</v>
      </c>
      <c r="L1091" s="350">
        <f t="shared" si="785"/>
        <v>3600</v>
      </c>
      <c r="M1091" s="356">
        <f t="shared" si="786"/>
        <v>3960</v>
      </c>
      <c r="N1091" s="258" t="s">
        <v>20</v>
      </c>
      <c r="O1091" s="456"/>
      <c r="P1091" s="18" t="s">
        <v>2594</v>
      </c>
      <c r="Q1091" s="18" t="s">
        <v>2594</v>
      </c>
      <c r="R1091" s="18" t="s">
        <v>2594</v>
      </c>
      <c r="Y1091" s="355">
        <f t="shared" si="803"/>
        <v>2</v>
      </c>
      <c r="Z1091" s="355">
        <f t="shared" si="804"/>
        <v>0</v>
      </c>
      <c r="AA1091" s="355">
        <f t="shared" si="805"/>
        <v>3600</v>
      </c>
    </row>
    <row r="1092" spans="1:27" ht="21.75" customHeight="1" x14ac:dyDescent="0.4">
      <c r="A1092" s="258">
        <v>46134</v>
      </c>
      <c r="B1092" s="325" t="s">
        <v>6573</v>
      </c>
      <c r="C1092" s="32" t="s">
        <v>405</v>
      </c>
      <c r="D1092" s="258" t="s">
        <v>22</v>
      </c>
      <c r="E1092" s="18" t="s">
        <v>260</v>
      </c>
      <c r="F1092" s="347"/>
      <c r="G1092" s="63" t="s">
        <v>264</v>
      </c>
      <c r="H1092" s="399">
        <v>15000</v>
      </c>
      <c r="I1092" s="353">
        <v>-5000</v>
      </c>
      <c r="J1092" s="350">
        <f t="shared" si="784"/>
        <v>10000</v>
      </c>
      <c r="K1092" s="18">
        <v>1</v>
      </c>
      <c r="L1092" s="350">
        <f t="shared" si="785"/>
        <v>10000</v>
      </c>
      <c r="M1092" s="356">
        <f t="shared" si="786"/>
        <v>11000</v>
      </c>
      <c r="N1092" s="18" t="s">
        <v>25</v>
      </c>
      <c r="O1092" s="456"/>
      <c r="P1092" s="18" t="s">
        <v>6587</v>
      </c>
      <c r="Q1092" s="18" t="s">
        <v>6587</v>
      </c>
      <c r="R1092" s="18" t="s">
        <v>4803</v>
      </c>
    </row>
    <row r="1093" spans="1:27" ht="21.75" customHeight="1" x14ac:dyDescent="0.4">
      <c r="A1093" s="258">
        <v>46134</v>
      </c>
      <c r="B1093" s="325" t="s">
        <v>6573</v>
      </c>
      <c r="C1093" s="32" t="s">
        <v>405</v>
      </c>
      <c r="D1093" s="258" t="s">
        <v>17</v>
      </c>
      <c r="E1093" s="258" t="s">
        <v>6575</v>
      </c>
      <c r="F1093" s="258" t="s">
        <v>6574</v>
      </c>
      <c r="G1093" s="63" t="s">
        <v>6576</v>
      </c>
      <c r="H1093" s="406">
        <v>50000</v>
      </c>
      <c r="I1093" s="353">
        <v>-10000</v>
      </c>
      <c r="J1093" s="350">
        <f t="shared" si="784"/>
        <v>40000</v>
      </c>
      <c r="K1093" s="18">
        <v>1</v>
      </c>
      <c r="L1093" s="350">
        <f t="shared" si="785"/>
        <v>40000</v>
      </c>
      <c r="M1093" s="357">
        <f t="shared" si="786"/>
        <v>44000</v>
      </c>
      <c r="N1093" s="258" t="s">
        <v>1121</v>
      </c>
      <c r="O1093" s="456"/>
      <c r="P1093" s="18" t="s">
        <v>6587</v>
      </c>
      <c r="Q1093" s="18" t="s">
        <v>6587</v>
      </c>
      <c r="R1093" s="18" t="s">
        <v>4803</v>
      </c>
      <c r="W1093" s="354">
        <f t="shared" si="806"/>
        <v>0.45</v>
      </c>
      <c r="X1093" s="355">
        <v>22500</v>
      </c>
      <c r="Y1093" s="355">
        <f t="shared" ref="Y1093:Y1099" si="807">K1093</f>
        <v>1</v>
      </c>
      <c r="Z1093" s="355">
        <f t="shared" ref="Z1093:Z1099" si="808">X1093*Y1093</f>
        <v>22500</v>
      </c>
      <c r="AA1093" s="355">
        <f t="shared" ref="AA1093:AA1099" si="809">L1093-Z1093</f>
        <v>17500</v>
      </c>
    </row>
    <row r="1094" spans="1:27" ht="21.75" customHeight="1" x14ac:dyDescent="0.4">
      <c r="A1094" s="258">
        <v>46134</v>
      </c>
      <c r="B1094" s="325" t="s">
        <v>6573</v>
      </c>
      <c r="C1094" s="32" t="s">
        <v>405</v>
      </c>
      <c r="D1094" s="258" t="s">
        <v>17</v>
      </c>
      <c r="E1094" s="258" t="s">
        <v>6575</v>
      </c>
      <c r="F1094" s="258" t="s">
        <v>6574</v>
      </c>
      <c r="G1094" s="63" t="s">
        <v>6577</v>
      </c>
      <c r="H1094" s="406">
        <v>25000</v>
      </c>
      <c r="I1094" s="353">
        <v>-5000</v>
      </c>
      <c r="J1094" s="350">
        <f t="shared" si="784"/>
        <v>20000</v>
      </c>
      <c r="K1094" s="18">
        <v>2</v>
      </c>
      <c r="L1094" s="350">
        <f t="shared" si="785"/>
        <v>40000</v>
      </c>
      <c r="M1094" s="357">
        <f t="shared" si="786"/>
        <v>44000</v>
      </c>
      <c r="N1094" s="258" t="s">
        <v>1121</v>
      </c>
      <c r="O1094" s="456"/>
      <c r="P1094" s="18" t="s">
        <v>6587</v>
      </c>
      <c r="Q1094" s="18" t="s">
        <v>6587</v>
      </c>
      <c r="R1094" s="18" t="s">
        <v>4803</v>
      </c>
      <c r="W1094" s="354">
        <f t="shared" si="806"/>
        <v>0.5</v>
      </c>
      <c r="X1094" s="355">
        <v>12500</v>
      </c>
      <c r="Y1094" s="355">
        <f t="shared" si="807"/>
        <v>2</v>
      </c>
      <c r="Z1094" s="355">
        <f t="shared" si="808"/>
        <v>25000</v>
      </c>
      <c r="AA1094" s="355">
        <f t="shared" si="809"/>
        <v>15000</v>
      </c>
    </row>
    <row r="1095" spans="1:27" ht="21.75" customHeight="1" x14ac:dyDescent="0.4">
      <c r="A1095" s="258">
        <v>46134</v>
      </c>
      <c r="B1095" s="325" t="s">
        <v>6573</v>
      </c>
      <c r="C1095" s="32" t="s">
        <v>405</v>
      </c>
      <c r="D1095" s="258" t="s">
        <v>17</v>
      </c>
      <c r="E1095" s="258" t="s">
        <v>6580</v>
      </c>
      <c r="F1095" s="258" t="s">
        <v>6578</v>
      </c>
      <c r="G1095" s="433" t="s">
        <v>6579</v>
      </c>
      <c r="H1095" s="406">
        <v>49000</v>
      </c>
      <c r="I1095" s="353">
        <v>-4900</v>
      </c>
      <c r="J1095" s="350">
        <f t="shared" si="784"/>
        <v>44100</v>
      </c>
      <c r="K1095" s="18">
        <v>2</v>
      </c>
      <c r="L1095" s="350">
        <f t="shared" ref="L1095:L1097" si="810">SUM(J1095*K1095)</f>
        <v>88200</v>
      </c>
      <c r="M1095" s="357">
        <f t="shared" ref="M1095:M1097" si="811">ROUNDDOWN(L1095*1.1,0)</f>
        <v>97020</v>
      </c>
      <c r="N1095" s="258" t="s">
        <v>1121</v>
      </c>
      <c r="O1095" s="456"/>
      <c r="P1095" s="18" t="s">
        <v>6587</v>
      </c>
      <c r="Q1095" s="18" t="s">
        <v>6587</v>
      </c>
      <c r="R1095" s="18" t="s">
        <v>4803</v>
      </c>
      <c r="W1095" s="354">
        <f t="shared" si="806"/>
        <v>0</v>
      </c>
      <c r="X1095" s="405"/>
      <c r="Y1095" s="355">
        <f t="shared" si="807"/>
        <v>2</v>
      </c>
      <c r="Z1095" s="355">
        <f t="shared" si="808"/>
        <v>0</v>
      </c>
      <c r="AA1095" s="355">
        <f t="shared" si="809"/>
        <v>88200</v>
      </c>
    </row>
    <row r="1096" spans="1:27" ht="21.75" customHeight="1" x14ac:dyDescent="0.4">
      <c r="A1096" s="258">
        <v>46134</v>
      </c>
      <c r="B1096" s="325" t="s">
        <v>6573</v>
      </c>
      <c r="C1096" s="32" t="s">
        <v>405</v>
      </c>
      <c r="D1096" s="258" t="s">
        <v>17</v>
      </c>
      <c r="E1096" s="258" t="s">
        <v>332</v>
      </c>
      <c r="F1096" s="18" t="s">
        <v>3555</v>
      </c>
      <c r="G1096" s="433" t="s">
        <v>6581</v>
      </c>
      <c r="H1096" s="406">
        <v>2000</v>
      </c>
      <c r="I1096" s="353"/>
      <c r="J1096" s="350">
        <f t="shared" si="784"/>
        <v>2000</v>
      </c>
      <c r="K1096" s="18">
        <v>2</v>
      </c>
      <c r="L1096" s="350">
        <f t="shared" si="810"/>
        <v>4000</v>
      </c>
      <c r="M1096" s="357">
        <f t="shared" si="811"/>
        <v>4400</v>
      </c>
      <c r="N1096" s="258" t="s">
        <v>1121</v>
      </c>
      <c r="O1096" s="456"/>
      <c r="P1096" s="18" t="s">
        <v>6587</v>
      </c>
      <c r="Q1096" s="18" t="s">
        <v>6587</v>
      </c>
      <c r="R1096" s="18" t="s">
        <v>4803</v>
      </c>
      <c r="W1096" s="354">
        <f t="shared" ref="W1096:W1097" si="812">X1096/H1096</f>
        <v>0.57999999999999996</v>
      </c>
      <c r="X1096" s="355">
        <v>1160</v>
      </c>
      <c r="Y1096" s="355">
        <f t="shared" si="807"/>
        <v>2</v>
      </c>
      <c r="Z1096" s="355">
        <f t="shared" si="808"/>
        <v>2320</v>
      </c>
      <c r="AA1096" s="355">
        <f t="shared" si="809"/>
        <v>1680</v>
      </c>
    </row>
    <row r="1097" spans="1:27" ht="21.75" customHeight="1" x14ac:dyDescent="0.4">
      <c r="A1097" s="258">
        <v>46134</v>
      </c>
      <c r="B1097" s="325" t="s">
        <v>6573</v>
      </c>
      <c r="C1097" s="32" t="s">
        <v>405</v>
      </c>
      <c r="D1097" s="258" t="s">
        <v>17</v>
      </c>
      <c r="E1097" s="258" t="s">
        <v>332</v>
      </c>
      <c r="F1097" s="18" t="s">
        <v>3555</v>
      </c>
      <c r="G1097" s="433" t="s">
        <v>6582</v>
      </c>
      <c r="H1097" s="406">
        <v>2000</v>
      </c>
      <c r="I1097" s="353"/>
      <c r="J1097" s="350">
        <f t="shared" si="784"/>
        <v>2000</v>
      </c>
      <c r="K1097" s="18">
        <v>1</v>
      </c>
      <c r="L1097" s="350">
        <f t="shared" si="810"/>
        <v>2000</v>
      </c>
      <c r="M1097" s="357">
        <f t="shared" si="811"/>
        <v>2200</v>
      </c>
      <c r="N1097" s="258" t="s">
        <v>1121</v>
      </c>
      <c r="O1097" s="456"/>
      <c r="P1097" s="18" t="s">
        <v>6587</v>
      </c>
      <c r="Q1097" s="18" t="s">
        <v>6587</v>
      </c>
      <c r="R1097" s="18" t="s">
        <v>4803</v>
      </c>
      <c r="W1097" s="354">
        <f t="shared" si="812"/>
        <v>0.57999999999999996</v>
      </c>
      <c r="X1097" s="355">
        <v>1160</v>
      </c>
      <c r="Y1097" s="355">
        <f t="shared" si="807"/>
        <v>1</v>
      </c>
      <c r="Z1097" s="355">
        <f t="shared" si="808"/>
        <v>1160</v>
      </c>
      <c r="AA1097" s="355">
        <f t="shared" si="809"/>
        <v>840</v>
      </c>
    </row>
    <row r="1098" spans="1:27" ht="21.75" customHeight="1" x14ac:dyDescent="0.4">
      <c r="A1098" s="258">
        <v>46135</v>
      </c>
      <c r="B1098" s="321" t="s">
        <v>6322</v>
      </c>
      <c r="C1098" s="32" t="s">
        <v>4292</v>
      </c>
      <c r="D1098" s="258" t="s">
        <v>17</v>
      </c>
      <c r="E1098" s="18" t="s">
        <v>292</v>
      </c>
      <c r="F1098" s="18" t="s">
        <v>3642</v>
      </c>
      <c r="G1098" s="63" t="s">
        <v>6467</v>
      </c>
      <c r="H1098" s="399">
        <v>6300</v>
      </c>
      <c r="I1098" s="399">
        <v>-1575</v>
      </c>
      <c r="J1098" s="350">
        <f t="shared" si="784"/>
        <v>4725</v>
      </c>
      <c r="K1098" s="18">
        <v>1</v>
      </c>
      <c r="L1098" s="350">
        <f t="shared" si="785"/>
        <v>4725</v>
      </c>
      <c r="M1098" s="356">
        <f t="shared" si="786"/>
        <v>5197</v>
      </c>
      <c r="N1098" s="258" t="s">
        <v>1516</v>
      </c>
      <c r="O1098" s="456"/>
      <c r="P1098" s="18" t="s">
        <v>6455</v>
      </c>
      <c r="Q1098" s="18" t="s">
        <v>6455</v>
      </c>
      <c r="R1098" s="18" t="s">
        <v>4803</v>
      </c>
      <c r="S1098" s="471"/>
      <c r="W1098" s="354">
        <f t="shared" ref="W1098:W1099" si="813">X1098/H1098</f>
        <v>0.75</v>
      </c>
      <c r="X1098" s="355">
        <v>4725</v>
      </c>
      <c r="Y1098" s="355">
        <f t="shared" si="807"/>
        <v>1</v>
      </c>
      <c r="Z1098" s="355">
        <f t="shared" si="808"/>
        <v>4725</v>
      </c>
      <c r="AA1098" s="355">
        <f t="shared" si="809"/>
        <v>0</v>
      </c>
    </row>
    <row r="1099" spans="1:27" ht="21.75" customHeight="1" x14ac:dyDescent="0.4">
      <c r="A1099" s="258">
        <v>46135</v>
      </c>
      <c r="B1099" s="325" t="s">
        <v>6583</v>
      </c>
      <c r="C1099" s="32" t="s">
        <v>405</v>
      </c>
      <c r="D1099" s="258" t="s">
        <v>6584</v>
      </c>
      <c r="E1099" s="258" t="s">
        <v>328</v>
      </c>
      <c r="F1099" s="258" t="s">
        <v>788</v>
      </c>
      <c r="G1099" s="433" t="s">
        <v>6585</v>
      </c>
      <c r="H1099" s="406">
        <v>50000</v>
      </c>
      <c r="I1099" s="353">
        <v>-20000</v>
      </c>
      <c r="J1099" s="350">
        <f t="shared" si="784"/>
        <v>30000</v>
      </c>
      <c r="K1099" s="18">
        <v>1</v>
      </c>
      <c r="L1099" s="350">
        <f t="shared" si="785"/>
        <v>30000</v>
      </c>
      <c r="M1099" s="357">
        <f t="shared" si="786"/>
        <v>33000</v>
      </c>
      <c r="N1099" s="258" t="s">
        <v>1921</v>
      </c>
      <c r="O1099" s="456" t="s">
        <v>6586</v>
      </c>
      <c r="Q1099" s="18" t="s">
        <v>6587</v>
      </c>
      <c r="R1099" s="18" t="s">
        <v>4803</v>
      </c>
      <c r="S1099" s="472"/>
      <c r="W1099" s="354">
        <f t="shared" si="813"/>
        <v>0</v>
      </c>
      <c r="X1099" s="405"/>
      <c r="Y1099" s="355">
        <f t="shared" si="807"/>
        <v>1</v>
      </c>
      <c r="Z1099" s="355">
        <f t="shared" si="808"/>
        <v>0</v>
      </c>
      <c r="AA1099" s="355">
        <f t="shared" si="809"/>
        <v>30000</v>
      </c>
    </row>
    <row r="1100" spans="1:27" ht="21.75" customHeight="1" x14ac:dyDescent="0.4">
      <c r="A1100" s="258">
        <v>46135</v>
      </c>
      <c r="B1100" s="325" t="s">
        <v>1065</v>
      </c>
      <c r="C1100" s="32" t="s">
        <v>405</v>
      </c>
      <c r="D1100" s="258" t="s">
        <v>22</v>
      </c>
      <c r="E1100" s="18" t="s">
        <v>260</v>
      </c>
      <c r="F1100" s="347"/>
      <c r="G1100" s="63" t="s">
        <v>264</v>
      </c>
      <c r="H1100" s="399">
        <v>15000</v>
      </c>
      <c r="I1100" s="353"/>
      <c r="J1100" s="350">
        <f t="shared" ref="J1100:J1104" si="814">SUM(H1100:I1100)</f>
        <v>15000</v>
      </c>
      <c r="K1100" s="18">
        <v>1</v>
      </c>
      <c r="L1100" s="350">
        <f t="shared" ref="L1100:L1104" si="815">SUM(J1100*K1100)</f>
        <v>15000</v>
      </c>
      <c r="M1100" s="356">
        <f t="shared" ref="M1100:M1104" si="816">ROUNDDOWN(L1100*1.1,0)</f>
        <v>16500</v>
      </c>
      <c r="N1100" s="18" t="s">
        <v>25</v>
      </c>
      <c r="O1100" s="456"/>
      <c r="P1100" s="18" t="s">
        <v>2595</v>
      </c>
      <c r="Q1100" s="18" t="s">
        <v>4803</v>
      </c>
      <c r="R1100" s="18" t="s">
        <v>4803</v>
      </c>
      <c r="S1100" s="472"/>
    </row>
    <row r="1101" spans="1:27" ht="21.75" customHeight="1" x14ac:dyDescent="0.4">
      <c r="A1101" s="258">
        <v>46136</v>
      </c>
      <c r="B1101" s="325" t="s">
        <v>4061</v>
      </c>
      <c r="C1101" s="32" t="s">
        <v>2557</v>
      </c>
      <c r="D1101" s="258" t="s">
        <v>17</v>
      </c>
      <c r="E1101" s="258" t="s">
        <v>332</v>
      </c>
      <c r="F1101" s="18" t="s">
        <v>3554</v>
      </c>
      <c r="G1101" s="433" t="s">
        <v>6223</v>
      </c>
      <c r="H1101" s="399">
        <v>1500</v>
      </c>
      <c r="I1101" s="353">
        <v>-150</v>
      </c>
      <c r="J1101" s="350">
        <f t="shared" si="814"/>
        <v>1350</v>
      </c>
      <c r="K1101" s="18">
        <v>1</v>
      </c>
      <c r="L1101" s="350">
        <f t="shared" si="815"/>
        <v>1350</v>
      </c>
      <c r="M1101" s="356">
        <f t="shared" si="816"/>
        <v>1485</v>
      </c>
      <c r="N1101" s="18" t="s">
        <v>25</v>
      </c>
      <c r="O1101" s="456"/>
      <c r="Q1101" s="18" t="s">
        <v>4803</v>
      </c>
      <c r="R1101" s="18" t="s">
        <v>4803</v>
      </c>
      <c r="S1101" s="472"/>
      <c r="W1101" s="354">
        <f t="shared" ref="W1101" si="817">X1101/H1101</f>
        <v>0.6253333333333333</v>
      </c>
      <c r="X1101" s="355">
        <v>938</v>
      </c>
      <c r="Y1101" s="355">
        <f t="shared" ref="Y1101:Y1102" si="818">K1101</f>
        <v>1</v>
      </c>
      <c r="Z1101" s="355">
        <f t="shared" ref="Z1101:Z1102" si="819">X1101*Y1101</f>
        <v>938</v>
      </c>
      <c r="AA1101" s="355">
        <f t="shared" ref="AA1101:AA1102" si="820">L1101-Z1101</f>
        <v>412</v>
      </c>
    </row>
    <row r="1102" spans="1:27" ht="21.75" customHeight="1" x14ac:dyDescent="0.4">
      <c r="A1102" s="258">
        <v>46136</v>
      </c>
      <c r="B1102" s="325" t="s">
        <v>4061</v>
      </c>
      <c r="C1102" s="32" t="s">
        <v>2557</v>
      </c>
      <c r="D1102" s="258" t="s">
        <v>59</v>
      </c>
      <c r="E1102" s="258" t="s">
        <v>59</v>
      </c>
      <c r="F1102" s="258"/>
      <c r="G1102" s="433" t="s">
        <v>2416</v>
      </c>
      <c r="H1102" s="399">
        <v>300</v>
      </c>
      <c r="I1102" s="353"/>
      <c r="J1102" s="350">
        <f t="shared" si="814"/>
        <v>300</v>
      </c>
      <c r="K1102" s="18">
        <v>1</v>
      </c>
      <c r="L1102" s="350">
        <f t="shared" si="815"/>
        <v>300</v>
      </c>
      <c r="M1102" s="356">
        <f t="shared" si="816"/>
        <v>330</v>
      </c>
      <c r="N1102" s="18" t="s">
        <v>25</v>
      </c>
      <c r="O1102" s="456"/>
      <c r="Q1102" s="18" t="s">
        <v>4803</v>
      </c>
      <c r="R1102" s="18" t="s">
        <v>4803</v>
      </c>
      <c r="S1102" s="472"/>
      <c r="Y1102" s="355">
        <f t="shared" si="818"/>
        <v>1</v>
      </c>
      <c r="Z1102" s="355">
        <f t="shared" si="819"/>
        <v>0</v>
      </c>
      <c r="AA1102" s="355">
        <f t="shared" si="820"/>
        <v>300</v>
      </c>
    </row>
    <row r="1103" spans="1:27" ht="21.75" customHeight="1" x14ac:dyDescent="0.4">
      <c r="A1103" s="258">
        <v>46136</v>
      </c>
      <c r="B1103" s="325" t="s">
        <v>148</v>
      </c>
      <c r="C1103" s="32" t="s">
        <v>6588</v>
      </c>
      <c r="D1103" s="18" t="s">
        <v>27</v>
      </c>
      <c r="E1103" s="18" t="s">
        <v>4409</v>
      </c>
      <c r="F1103" s="258"/>
      <c r="G1103" s="63" t="s">
        <v>6269</v>
      </c>
      <c r="H1103" s="399">
        <v>17500</v>
      </c>
      <c r="I1103" s="353"/>
      <c r="J1103" s="350">
        <f t="shared" si="814"/>
        <v>17500</v>
      </c>
      <c r="K1103" s="18">
        <v>1</v>
      </c>
      <c r="L1103" s="350">
        <f t="shared" si="815"/>
        <v>17500</v>
      </c>
      <c r="M1103" s="356">
        <f t="shared" si="816"/>
        <v>19250</v>
      </c>
      <c r="N1103" s="258" t="s">
        <v>20</v>
      </c>
      <c r="O1103" s="465" t="s">
        <v>6542</v>
      </c>
      <c r="Q1103" s="18" t="s">
        <v>6589</v>
      </c>
      <c r="R1103" s="18" t="s">
        <v>6589</v>
      </c>
    </row>
    <row r="1104" spans="1:27" ht="21.75" customHeight="1" x14ac:dyDescent="0.4">
      <c r="A1104" s="258">
        <v>46136</v>
      </c>
      <c r="B1104" s="325" t="s">
        <v>2088</v>
      </c>
      <c r="C1104" s="32" t="s">
        <v>6588</v>
      </c>
      <c r="D1104" s="258" t="s">
        <v>22</v>
      </c>
      <c r="E1104" s="258" t="s">
        <v>5040</v>
      </c>
      <c r="F1104" s="258"/>
      <c r="G1104" s="433" t="s">
        <v>4869</v>
      </c>
      <c r="H1104" s="399">
        <v>2000</v>
      </c>
      <c r="I1104" s="353"/>
      <c r="J1104" s="350">
        <f t="shared" si="814"/>
        <v>2000</v>
      </c>
      <c r="K1104" s="18">
        <v>1</v>
      </c>
      <c r="L1104" s="350">
        <f t="shared" si="815"/>
        <v>2000</v>
      </c>
      <c r="M1104" s="356">
        <f t="shared" si="816"/>
        <v>2200</v>
      </c>
      <c r="N1104" s="18" t="s">
        <v>25</v>
      </c>
      <c r="O1104" s="456"/>
      <c r="P1104" s="18" t="s">
        <v>5449</v>
      </c>
      <c r="Q1104" s="18" t="s">
        <v>6589</v>
      </c>
      <c r="R1104" s="18" t="s">
        <v>6589</v>
      </c>
    </row>
    <row r="1105" spans="1:27" ht="21.75" customHeight="1" x14ac:dyDescent="0.4">
      <c r="A1105" s="258">
        <v>46137</v>
      </c>
      <c r="B1105" s="325" t="s">
        <v>4836</v>
      </c>
      <c r="C1105" s="32" t="s">
        <v>2557</v>
      </c>
      <c r="D1105" s="258" t="s">
        <v>6590</v>
      </c>
      <c r="E1105" s="258" t="s">
        <v>332</v>
      </c>
      <c r="F1105" s="18" t="s">
        <v>3555</v>
      </c>
      <c r="G1105" s="433" t="s">
        <v>6383</v>
      </c>
      <c r="H1105" s="399">
        <v>1500</v>
      </c>
      <c r="I1105" s="353">
        <v>-150</v>
      </c>
      <c r="J1105" s="350">
        <f t="shared" si="784"/>
        <v>1350</v>
      </c>
      <c r="K1105" s="18">
        <v>1</v>
      </c>
      <c r="L1105" s="350">
        <f t="shared" si="785"/>
        <v>1350</v>
      </c>
      <c r="M1105" s="356">
        <f t="shared" si="786"/>
        <v>1485</v>
      </c>
      <c r="N1105" s="18" t="s">
        <v>25</v>
      </c>
      <c r="O1105" s="456"/>
      <c r="P1105" s="18" t="s">
        <v>2594</v>
      </c>
      <c r="Q1105" s="18" t="s">
        <v>2594</v>
      </c>
      <c r="R1105" s="18" t="s">
        <v>2594</v>
      </c>
      <c r="W1105" s="354">
        <f t="shared" ref="W1105" si="821">X1105/H1105</f>
        <v>0.57999999999999996</v>
      </c>
      <c r="X1105" s="355">
        <v>870</v>
      </c>
      <c r="Y1105" s="355">
        <f t="shared" ref="Y1105:Y1108" si="822">K1105</f>
        <v>1</v>
      </c>
      <c r="Z1105" s="355">
        <f t="shared" ref="Z1105:Z1108" si="823">X1105*Y1105</f>
        <v>870</v>
      </c>
      <c r="AA1105" s="355">
        <f t="shared" ref="AA1105:AA1108" si="824">L1105-Z1105</f>
        <v>480</v>
      </c>
    </row>
    <row r="1106" spans="1:27" ht="21.75" customHeight="1" x14ac:dyDescent="0.4">
      <c r="A1106" s="258">
        <v>46137</v>
      </c>
      <c r="B1106" s="325" t="s">
        <v>4836</v>
      </c>
      <c r="C1106" s="32" t="s">
        <v>2557</v>
      </c>
      <c r="D1106" s="258" t="s">
        <v>59</v>
      </c>
      <c r="E1106" s="258" t="s">
        <v>59</v>
      </c>
      <c r="F1106" s="258"/>
      <c r="G1106" s="433" t="s">
        <v>2416</v>
      </c>
      <c r="H1106" s="399">
        <v>300</v>
      </c>
      <c r="I1106" s="353"/>
      <c r="J1106" s="350">
        <f t="shared" si="784"/>
        <v>300</v>
      </c>
      <c r="K1106" s="18">
        <v>1</v>
      </c>
      <c r="L1106" s="350">
        <f t="shared" si="785"/>
        <v>300</v>
      </c>
      <c r="M1106" s="356">
        <f t="shared" si="786"/>
        <v>330</v>
      </c>
      <c r="N1106" s="18" t="s">
        <v>25</v>
      </c>
      <c r="O1106" s="456"/>
      <c r="P1106" s="18" t="s">
        <v>2594</v>
      </c>
      <c r="Q1106" s="18" t="s">
        <v>2594</v>
      </c>
      <c r="R1106" s="18" t="s">
        <v>2594</v>
      </c>
      <c r="Y1106" s="355">
        <f t="shared" si="822"/>
        <v>1</v>
      </c>
      <c r="Z1106" s="355">
        <f t="shared" si="823"/>
        <v>0</v>
      </c>
      <c r="AA1106" s="355">
        <f t="shared" si="824"/>
        <v>300</v>
      </c>
    </row>
    <row r="1107" spans="1:27" ht="21.75" customHeight="1" x14ac:dyDescent="0.4">
      <c r="A1107" s="258">
        <v>46137</v>
      </c>
      <c r="B1107" s="325" t="s">
        <v>6591</v>
      </c>
      <c r="C1107" s="32" t="s">
        <v>6592</v>
      </c>
      <c r="D1107" s="258" t="s">
        <v>6593</v>
      </c>
      <c r="E1107" s="258" t="s">
        <v>332</v>
      </c>
      <c r="F1107" s="258" t="s">
        <v>3553</v>
      </c>
      <c r="G1107" s="63" t="s">
        <v>6595</v>
      </c>
      <c r="H1107" s="399">
        <v>1800</v>
      </c>
      <c r="I1107" s="353">
        <v>-900</v>
      </c>
      <c r="J1107" s="350">
        <v>900</v>
      </c>
      <c r="K1107" s="18">
        <v>24</v>
      </c>
      <c r="L1107" s="350">
        <f t="shared" si="785"/>
        <v>21600</v>
      </c>
      <c r="M1107" s="356">
        <f t="shared" si="786"/>
        <v>23760</v>
      </c>
      <c r="N1107" s="18" t="s">
        <v>25</v>
      </c>
      <c r="O1107" s="456"/>
      <c r="P1107" s="18" t="s">
        <v>5459</v>
      </c>
      <c r="Q1107" s="18" t="s">
        <v>5459</v>
      </c>
      <c r="R1107" s="18" t="s">
        <v>5459</v>
      </c>
      <c r="W1107" s="354">
        <f t="shared" ref="W1107:W1108" si="825">X1107/H1107</f>
        <v>0.5</v>
      </c>
      <c r="X1107" s="355">
        <v>900</v>
      </c>
      <c r="Y1107" s="355">
        <f t="shared" si="822"/>
        <v>24</v>
      </c>
      <c r="Z1107" s="355">
        <f t="shared" si="823"/>
        <v>21600</v>
      </c>
      <c r="AA1107" s="355">
        <f t="shared" si="824"/>
        <v>0</v>
      </c>
    </row>
    <row r="1108" spans="1:27" ht="21.75" customHeight="1" x14ac:dyDescent="0.4">
      <c r="A1108" s="258">
        <v>46137</v>
      </c>
      <c r="B1108" s="325" t="s">
        <v>6591</v>
      </c>
      <c r="C1108" s="32" t="s">
        <v>6592</v>
      </c>
      <c r="D1108" s="258" t="s">
        <v>6593</v>
      </c>
      <c r="E1108" s="258" t="s">
        <v>332</v>
      </c>
      <c r="F1108" s="258" t="s">
        <v>3553</v>
      </c>
      <c r="G1108" s="63" t="s">
        <v>6596</v>
      </c>
      <c r="H1108" s="399">
        <v>1800</v>
      </c>
      <c r="I1108" s="353">
        <v>-900</v>
      </c>
      <c r="J1108" s="350">
        <v>900</v>
      </c>
      <c r="K1108" s="18">
        <v>2</v>
      </c>
      <c r="L1108" s="350">
        <f t="shared" si="785"/>
        <v>1800</v>
      </c>
      <c r="M1108" s="356">
        <f t="shared" si="786"/>
        <v>1980</v>
      </c>
      <c r="N1108" s="18" t="s">
        <v>25</v>
      </c>
      <c r="O1108" s="456"/>
      <c r="P1108" s="18" t="s">
        <v>5459</v>
      </c>
      <c r="Q1108" s="18" t="s">
        <v>5459</v>
      </c>
      <c r="R1108" s="18" t="s">
        <v>5459</v>
      </c>
      <c r="S1108" s="472"/>
      <c r="W1108" s="354">
        <f t="shared" si="825"/>
        <v>0.5</v>
      </c>
      <c r="X1108" s="355">
        <v>900</v>
      </c>
      <c r="Y1108" s="355">
        <f t="shared" si="822"/>
        <v>2</v>
      </c>
      <c r="Z1108" s="355">
        <f t="shared" si="823"/>
        <v>1800</v>
      </c>
      <c r="AA1108" s="355">
        <f t="shared" si="824"/>
        <v>0</v>
      </c>
    </row>
    <row r="1109" spans="1:27" ht="21.75" customHeight="1" x14ac:dyDescent="0.4">
      <c r="A1109" s="258">
        <v>46138</v>
      </c>
      <c r="B1109" s="325" t="s">
        <v>6120</v>
      </c>
      <c r="C1109" s="32" t="s">
        <v>2557</v>
      </c>
      <c r="D1109" s="18" t="s">
        <v>27</v>
      </c>
      <c r="E1109" s="18" t="s">
        <v>28</v>
      </c>
      <c r="F1109" s="18"/>
      <c r="G1109" s="63" t="s">
        <v>73</v>
      </c>
      <c r="H1109" s="399">
        <v>2000</v>
      </c>
      <c r="I1109" s="399"/>
      <c r="J1109" s="350">
        <f t="shared" ref="J1109" si="826">SUM(H1109:I1109)</f>
        <v>2000</v>
      </c>
      <c r="K1109" s="18">
        <v>3</v>
      </c>
      <c r="L1109" s="350">
        <f t="shared" si="785"/>
        <v>6000</v>
      </c>
      <c r="M1109" s="356">
        <f t="shared" si="786"/>
        <v>6600</v>
      </c>
      <c r="N1109" s="258" t="s">
        <v>1516</v>
      </c>
      <c r="O1109" s="454" t="s">
        <v>6594</v>
      </c>
      <c r="Q1109" s="18" t="s">
        <v>4803</v>
      </c>
      <c r="R1109" s="18" t="s">
        <v>4803</v>
      </c>
    </row>
    <row r="1110" spans="1:27" ht="21.75" customHeight="1" x14ac:dyDescent="0.4">
      <c r="A1110" s="258">
        <v>46138</v>
      </c>
      <c r="B1110" s="325" t="s">
        <v>580</v>
      </c>
      <c r="C1110" s="32" t="s">
        <v>2557</v>
      </c>
      <c r="D1110" s="258" t="s">
        <v>17</v>
      </c>
      <c r="E1110" s="18" t="s">
        <v>332</v>
      </c>
      <c r="F1110" s="258" t="s">
        <v>3553</v>
      </c>
      <c r="G1110" s="125" t="s">
        <v>6564</v>
      </c>
      <c r="H1110" s="399">
        <v>1800</v>
      </c>
      <c r="I1110" s="399">
        <v>-180</v>
      </c>
      <c r="J1110" s="350">
        <v>1620</v>
      </c>
      <c r="K1110" s="18">
        <v>1</v>
      </c>
      <c r="L1110" s="350">
        <f t="shared" si="785"/>
        <v>1620</v>
      </c>
      <c r="M1110" s="356">
        <f t="shared" si="786"/>
        <v>1782</v>
      </c>
      <c r="N1110" s="18" t="s">
        <v>25</v>
      </c>
      <c r="O1110" s="455"/>
      <c r="Q1110" s="18" t="s">
        <v>4803</v>
      </c>
      <c r="R1110" s="18" t="s">
        <v>4803</v>
      </c>
      <c r="W1110" s="354">
        <f t="shared" ref="W1110" si="827">X1110/H1110</f>
        <v>0.5</v>
      </c>
      <c r="X1110" s="355">
        <v>900</v>
      </c>
      <c r="Y1110" s="355">
        <f t="shared" ref="Y1110:Y1112" si="828">K1110</f>
        <v>1</v>
      </c>
      <c r="Z1110" s="355">
        <f>X1110*Y1110</f>
        <v>900</v>
      </c>
      <c r="AA1110" s="355">
        <f t="shared" ref="AA1110:AA1112" si="829">L1110-Z1110</f>
        <v>720</v>
      </c>
    </row>
    <row r="1111" spans="1:27" ht="21.75" customHeight="1" x14ac:dyDescent="0.4">
      <c r="A1111" s="258">
        <v>46138</v>
      </c>
      <c r="B1111" s="325" t="s">
        <v>580</v>
      </c>
      <c r="C1111" s="32" t="s">
        <v>2557</v>
      </c>
      <c r="D1111" s="258" t="s">
        <v>59</v>
      </c>
      <c r="E1111" s="258" t="s">
        <v>59</v>
      </c>
      <c r="F1111" s="258"/>
      <c r="G1111" s="433" t="s">
        <v>2416</v>
      </c>
      <c r="H1111" s="399">
        <v>300</v>
      </c>
      <c r="I1111" s="353"/>
      <c r="J1111" s="350">
        <f t="shared" ref="J1111" si="830">SUM(H1111:I1111)</f>
        <v>300</v>
      </c>
      <c r="K1111" s="18">
        <v>1</v>
      </c>
      <c r="L1111" s="350">
        <f t="shared" si="785"/>
        <v>300</v>
      </c>
      <c r="M1111" s="356">
        <f t="shared" si="786"/>
        <v>330</v>
      </c>
      <c r="N1111" s="18" t="s">
        <v>25</v>
      </c>
      <c r="O1111" s="456"/>
      <c r="Q1111" s="18" t="s">
        <v>4803</v>
      </c>
      <c r="R1111" s="18" t="s">
        <v>4803</v>
      </c>
      <c r="S1111" s="472"/>
      <c r="Y1111" s="355">
        <f t="shared" si="828"/>
        <v>1</v>
      </c>
      <c r="AA1111" s="355">
        <f t="shared" si="829"/>
        <v>300</v>
      </c>
    </row>
    <row r="1112" spans="1:27" ht="21.75" customHeight="1" x14ac:dyDescent="0.4">
      <c r="A1112" s="258">
        <v>46138</v>
      </c>
      <c r="B1112" s="325" t="s">
        <v>4836</v>
      </c>
      <c r="C1112" s="32" t="s">
        <v>2557</v>
      </c>
      <c r="D1112" s="258" t="s">
        <v>59</v>
      </c>
      <c r="E1112" s="258" t="s">
        <v>59</v>
      </c>
      <c r="F1112" s="258"/>
      <c r="G1112" s="433" t="s">
        <v>6597</v>
      </c>
      <c r="H1112" s="399">
        <v>1000</v>
      </c>
      <c r="I1112" s="353"/>
      <c r="J1112" s="350">
        <f t="shared" si="784"/>
        <v>1000</v>
      </c>
      <c r="K1112" s="18">
        <v>1</v>
      </c>
      <c r="L1112" s="350">
        <f t="shared" si="785"/>
        <v>1000</v>
      </c>
      <c r="M1112" s="356">
        <f t="shared" si="786"/>
        <v>1100</v>
      </c>
      <c r="N1112" s="18" t="s">
        <v>25</v>
      </c>
      <c r="O1112" s="456"/>
      <c r="Q1112" s="18" t="s">
        <v>4803</v>
      </c>
      <c r="R1112" s="18" t="s">
        <v>4803</v>
      </c>
      <c r="S1112" s="472"/>
      <c r="Y1112" s="355">
        <f t="shared" si="828"/>
        <v>1</v>
      </c>
      <c r="AA1112" s="355">
        <f t="shared" si="829"/>
        <v>1000</v>
      </c>
    </row>
    <row r="1113" spans="1:27" ht="21.75" customHeight="1" x14ac:dyDescent="0.4">
      <c r="A1113" s="258">
        <v>46138</v>
      </c>
      <c r="B1113" s="325" t="s">
        <v>582</v>
      </c>
      <c r="C1113" s="32" t="s">
        <v>6598</v>
      </c>
      <c r="D1113" s="258" t="s">
        <v>22</v>
      </c>
      <c r="E1113" s="258" t="s">
        <v>5040</v>
      </c>
      <c r="F1113" s="258"/>
      <c r="G1113" s="433" t="s">
        <v>4869</v>
      </c>
      <c r="H1113" s="399">
        <v>2000</v>
      </c>
      <c r="I1113" s="353"/>
      <c r="J1113" s="350">
        <f t="shared" si="784"/>
        <v>2000</v>
      </c>
      <c r="K1113" s="18">
        <v>1</v>
      </c>
      <c r="L1113" s="350">
        <f t="shared" si="785"/>
        <v>2000</v>
      </c>
      <c r="M1113" s="356">
        <f t="shared" si="786"/>
        <v>2200</v>
      </c>
      <c r="N1113" s="258" t="s">
        <v>6599</v>
      </c>
      <c r="O1113" s="456"/>
      <c r="P1113" s="18" t="s">
        <v>5449</v>
      </c>
      <c r="Q1113" s="18" t="s">
        <v>5449</v>
      </c>
      <c r="R1113" s="18" t="s">
        <v>5449</v>
      </c>
    </row>
    <row r="1114" spans="1:27" ht="21.75" customHeight="1" x14ac:dyDescent="0.4">
      <c r="A1114" s="258">
        <v>46138</v>
      </c>
      <c r="B1114" s="325" t="s">
        <v>6600</v>
      </c>
      <c r="C1114" s="32" t="s">
        <v>2557</v>
      </c>
      <c r="D1114" s="258" t="s">
        <v>6601</v>
      </c>
      <c r="E1114" s="258" t="s">
        <v>59</v>
      </c>
      <c r="F1114" s="258"/>
      <c r="G1114" s="433" t="s">
        <v>6602</v>
      </c>
      <c r="H1114" s="399">
        <v>1000</v>
      </c>
      <c r="I1114" s="353"/>
      <c r="J1114" s="350">
        <f t="shared" si="784"/>
        <v>1000</v>
      </c>
      <c r="K1114" s="18">
        <v>1</v>
      </c>
      <c r="L1114" s="350">
        <f t="shared" si="785"/>
        <v>1000</v>
      </c>
      <c r="M1114" s="356">
        <f t="shared" si="786"/>
        <v>1100</v>
      </c>
      <c r="N1114" s="258" t="s">
        <v>6599</v>
      </c>
      <c r="O1114" s="456"/>
      <c r="P1114" s="18" t="s">
        <v>2594</v>
      </c>
      <c r="Q1114" s="18" t="s">
        <v>2594</v>
      </c>
      <c r="R1114" s="18" t="s">
        <v>2594</v>
      </c>
      <c r="Y1114" s="355">
        <f t="shared" ref="Y1114:Y1115" si="831">K1114</f>
        <v>1</v>
      </c>
      <c r="AA1114" s="355">
        <f t="shared" ref="AA1114:AA1115" si="832">L1114-Z1114</f>
        <v>1000</v>
      </c>
    </row>
    <row r="1115" spans="1:27" ht="21.75" customHeight="1" x14ac:dyDescent="0.4">
      <c r="A1115" s="258">
        <v>46138</v>
      </c>
      <c r="B1115" s="325" t="s">
        <v>6600</v>
      </c>
      <c r="C1115" s="32" t="s">
        <v>2557</v>
      </c>
      <c r="D1115" s="258" t="s">
        <v>6601</v>
      </c>
      <c r="E1115" s="258" t="s">
        <v>59</v>
      </c>
      <c r="F1115" s="258"/>
      <c r="G1115" s="433" t="s">
        <v>6603</v>
      </c>
      <c r="H1115" s="399">
        <v>500</v>
      </c>
      <c r="I1115" s="353"/>
      <c r="J1115" s="350">
        <f t="shared" si="784"/>
        <v>500</v>
      </c>
      <c r="K1115" s="18">
        <v>1</v>
      </c>
      <c r="L1115" s="350">
        <f t="shared" si="785"/>
        <v>500</v>
      </c>
      <c r="M1115" s="356">
        <f t="shared" si="786"/>
        <v>550</v>
      </c>
      <c r="N1115" s="258" t="s">
        <v>6599</v>
      </c>
      <c r="O1115" s="456"/>
      <c r="P1115" s="18" t="s">
        <v>2594</v>
      </c>
      <c r="Q1115" s="18" t="s">
        <v>2594</v>
      </c>
      <c r="R1115" s="18" t="s">
        <v>2594</v>
      </c>
      <c r="Y1115" s="355">
        <f t="shared" si="831"/>
        <v>1</v>
      </c>
      <c r="AA1115" s="355">
        <f t="shared" si="832"/>
        <v>500</v>
      </c>
    </row>
    <row r="1116" spans="1:27" ht="21.75" customHeight="1" x14ac:dyDescent="0.4">
      <c r="A1116" s="258">
        <v>46139</v>
      </c>
      <c r="B1116" s="32" t="s">
        <v>6787</v>
      </c>
      <c r="C1116" s="32" t="s">
        <v>2557</v>
      </c>
      <c r="D1116" s="258" t="s">
        <v>22</v>
      </c>
      <c r="E1116" s="258" t="s">
        <v>5040</v>
      </c>
      <c r="F1116" s="258"/>
      <c r="G1116" s="433" t="s">
        <v>4869</v>
      </c>
      <c r="H1116" s="399">
        <v>2000</v>
      </c>
      <c r="I1116" s="353"/>
      <c r="J1116" s="350">
        <f t="shared" ref="J1116:J1117" si="833">SUM(H1116:I1116)</f>
        <v>2000</v>
      </c>
      <c r="K1116" s="18">
        <v>1</v>
      </c>
      <c r="L1116" s="350">
        <f t="shared" ref="L1116:L1117" si="834">SUM(J1116*K1116)</f>
        <v>2000</v>
      </c>
      <c r="M1116" s="356">
        <f t="shared" ref="M1116:M1117" si="835">ROUNDDOWN(L1116*1.1,0)</f>
        <v>2200</v>
      </c>
      <c r="N1116" s="18" t="s">
        <v>25</v>
      </c>
      <c r="O1116" s="456"/>
      <c r="P1116" s="18" t="s">
        <v>5449</v>
      </c>
      <c r="Q1116" s="18" t="s">
        <v>5449</v>
      </c>
      <c r="R1116" s="18" t="s">
        <v>5449</v>
      </c>
    </row>
    <row r="1117" spans="1:27" ht="21.75" customHeight="1" x14ac:dyDescent="0.4">
      <c r="A1117" s="258">
        <v>46139</v>
      </c>
      <c r="B1117" s="325" t="s">
        <v>6144</v>
      </c>
      <c r="C1117" s="32" t="s">
        <v>2557</v>
      </c>
      <c r="D1117" s="18" t="s">
        <v>27</v>
      </c>
      <c r="E1117" s="242" t="s">
        <v>5237</v>
      </c>
      <c r="F1117" s="258"/>
      <c r="G1117" s="63" t="s">
        <v>6032</v>
      </c>
      <c r="H1117" s="399">
        <v>2500</v>
      </c>
      <c r="I1117" s="399"/>
      <c r="J1117" s="350">
        <f t="shared" si="833"/>
        <v>2500</v>
      </c>
      <c r="K1117" s="18">
        <v>2</v>
      </c>
      <c r="L1117" s="350">
        <f t="shared" si="834"/>
        <v>5000</v>
      </c>
      <c r="M1117" s="356">
        <f t="shared" si="835"/>
        <v>5500</v>
      </c>
      <c r="N1117" s="18" t="s">
        <v>4233</v>
      </c>
      <c r="O1117" s="456"/>
      <c r="R1117" s="18" t="s">
        <v>4803</v>
      </c>
    </row>
    <row r="1118" spans="1:27" ht="21.75" customHeight="1" x14ac:dyDescent="0.4">
      <c r="A1118" s="258">
        <v>46141</v>
      </c>
      <c r="B1118" s="325" t="s">
        <v>6605</v>
      </c>
      <c r="C1118" s="32" t="s">
        <v>2557</v>
      </c>
      <c r="D1118" s="18" t="s">
        <v>2457</v>
      </c>
      <c r="E1118" s="18" t="s">
        <v>1615</v>
      </c>
      <c r="F1118" s="63"/>
      <c r="G1118" s="50" t="s">
        <v>6606</v>
      </c>
      <c r="H1118" s="399">
        <v>15000</v>
      </c>
      <c r="I1118" s="353"/>
      <c r="J1118" s="350">
        <f t="shared" si="784"/>
        <v>15000</v>
      </c>
      <c r="K1118" s="18">
        <v>1</v>
      </c>
      <c r="L1118" s="350">
        <f t="shared" si="785"/>
        <v>15000</v>
      </c>
      <c r="M1118" s="356">
        <f t="shared" si="786"/>
        <v>16500</v>
      </c>
      <c r="N1118" s="18" t="s">
        <v>25</v>
      </c>
      <c r="O1118" s="456"/>
      <c r="P1118" s="18" t="s">
        <v>2594</v>
      </c>
      <c r="Q1118" s="18" t="s">
        <v>6455</v>
      </c>
      <c r="R1118" s="18" t="s">
        <v>6455</v>
      </c>
    </row>
    <row r="1119" spans="1:27" ht="21.75" customHeight="1" x14ac:dyDescent="0.4">
      <c r="A1119" s="258">
        <v>46141</v>
      </c>
      <c r="B1119" s="325" t="s">
        <v>6312</v>
      </c>
      <c r="C1119" s="32" t="s">
        <v>2557</v>
      </c>
      <c r="D1119" s="18" t="s">
        <v>27</v>
      </c>
      <c r="E1119" s="18" t="s">
        <v>4409</v>
      </c>
      <c r="F1119" s="258"/>
      <c r="G1119" s="63" t="s">
        <v>6269</v>
      </c>
      <c r="H1119" s="399">
        <v>17500</v>
      </c>
      <c r="I1119" s="353"/>
      <c r="J1119" s="350">
        <f t="shared" si="784"/>
        <v>17500</v>
      </c>
      <c r="K1119" s="18">
        <v>1</v>
      </c>
      <c r="L1119" s="350">
        <f t="shared" si="785"/>
        <v>17500</v>
      </c>
      <c r="M1119" s="356">
        <f t="shared" si="786"/>
        <v>19250</v>
      </c>
      <c r="N1119" s="258" t="s">
        <v>20</v>
      </c>
      <c r="O1119" s="465" t="s">
        <v>6542</v>
      </c>
      <c r="P1119" s="18" t="s">
        <v>6455</v>
      </c>
      <c r="Q1119" s="18" t="s">
        <v>6455</v>
      </c>
      <c r="R1119" s="18" t="s">
        <v>6455</v>
      </c>
    </row>
    <row r="1120" spans="1:27" ht="21.75" customHeight="1" x14ac:dyDescent="0.4">
      <c r="A1120" s="258">
        <v>46141</v>
      </c>
      <c r="B1120" s="325" t="s">
        <v>6204</v>
      </c>
      <c r="C1120" s="32" t="s">
        <v>405</v>
      </c>
      <c r="D1120" s="258" t="s">
        <v>22</v>
      </c>
      <c r="E1120" s="258" t="s">
        <v>5040</v>
      </c>
      <c r="F1120" s="258"/>
      <c r="G1120" s="433" t="s">
        <v>6186</v>
      </c>
      <c r="H1120" s="399">
        <v>3000</v>
      </c>
      <c r="I1120" s="353"/>
      <c r="J1120" s="350">
        <f t="shared" si="784"/>
        <v>3000</v>
      </c>
      <c r="K1120" s="18">
        <v>1</v>
      </c>
      <c r="L1120" s="350">
        <f t="shared" si="785"/>
        <v>3000</v>
      </c>
      <c r="M1120" s="356">
        <f t="shared" si="786"/>
        <v>3300</v>
      </c>
      <c r="N1120" s="258" t="s">
        <v>20</v>
      </c>
      <c r="O1120" s="456"/>
      <c r="P1120" s="18" t="s">
        <v>6455</v>
      </c>
      <c r="Q1120" s="18" t="s">
        <v>6455</v>
      </c>
      <c r="R1120" s="18" t="s">
        <v>6455</v>
      </c>
    </row>
    <row r="1121" spans="1:27" ht="21.75" customHeight="1" x14ac:dyDescent="0.4">
      <c r="A1121" s="258">
        <v>46141</v>
      </c>
      <c r="B1121" s="325" t="s">
        <v>6604</v>
      </c>
      <c r="C1121" s="32" t="s">
        <v>2557</v>
      </c>
      <c r="D1121" s="18" t="s">
        <v>27</v>
      </c>
      <c r="E1121" s="18" t="s">
        <v>28</v>
      </c>
      <c r="F1121" s="18"/>
      <c r="G1121" s="63" t="s">
        <v>73</v>
      </c>
      <c r="H1121" s="399">
        <v>2000</v>
      </c>
      <c r="I1121" s="353"/>
      <c r="J1121" s="350">
        <f t="shared" si="784"/>
        <v>2000</v>
      </c>
      <c r="K1121" s="18">
        <v>1</v>
      </c>
      <c r="L1121" s="350">
        <f t="shared" si="785"/>
        <v>2000</v>
      </c>
      <c r="M1121" s="356">
        <f t="shared" si="786"/>
        <v>2200</v>
      </c>
      <c r="N1121" s="18" t="s">
        <v>25</v>
      </c>
      <c r="O1121" s="454" t="s">
        <v>6659</v>
      </c>
      <c r="P1121" s="18" t="s">
        <v>6455</v>
      </c>
      <c r="Q1121" s="18" t="s">
        <v>6455</v>
      </c>
      <c r="R1121" s="18" t="s">
        <v>6455</v>
      </c>
      <c r="S1121" s="471"/>
    </row>
    <row r="1122" spans="1:27" ht="21.75" customHeight="1" x14ac:dyDescent="0.4">
      <c r="A1122" s="258">
        <v>46141</v>
      </c>
      <c r="B1122" s="325" t="s">
        <v>6322</v>
      </c>
      <c r="C1122" s="32" t="s">
        <v>4292</v>
      </c>
      <c r="D1122" s="258" t="s">
        <v>17</v>
      </c>
      <c r="E1122" s="258" t="s">
        <v>426</v>
      </c>
      <c r="F1122" s="18" t="s">
        <v>994</v>
      </c>
      <c r="G1122" s="462" t="s">
        <v>5972</v>
      </c>
      <c r="H1122" s="399">
        <v>1800</v>
      </c>
      <c r="I1122" s="353">
        <v>-720</v>
      </c>
      <c r="J1122" s="350">
        <f t="shared" si="784"/>
        <v>1080</v>
      </c>
      <c r="K1122" s="18">
        <v>2</v>
      </c>
      <c r="L1122" s="350">
        <f t="shared" si="785"/>
        <v>2160</v>
      </c>
      <c r="M1122" s="356">
        <f t="shared" si="786"/>
        <v>2376</v>
      </c>
      <c r="N1122" s="18" t="s">
        <v>25</v>
      </c>
      <c r="O1122" s="456"/>
      <c r="P1122" s="18" t="s">
        <v>6455</v>
      </c>
      <c r="Q1122" s="18" t="s">
        <v>6455</v>
      </c>
      <c r="R1122" s="18" t="s">
        <v>6455</v>
      </c>
      <c r="S1122" s="471"/>
      <c r="W1122" s="354">
        <f t="shared" ref="W1122" si="836">X1122/H1122</f>
        <v>0.6</v>
      </c>
      <c r="X1122" s="355">
        <v>1080</v>
      </c>
      <c r="Y1122" s="355">
        <f>K1122</f>
        <v>2</v>
      </c>
      <c r="Z1122" s="355">
        <f>X1122*Y1122</f>
        <v>2160</v>
      </c>
      <c r="AA1122" s="355">
        <f>L1122-Z1122</f>
        <v>0</v>
      </c>
    </row>
    <row r="1123" spans="1:27" ht="21.75" customHeight="1" x14ac:dyDescent="0.4">
      <c r="A1123" s="258">
        <v>46142</v>
      </c>
      <c r="B1123" s="325" t="s">
        <v>844</v>
      </c>
      <c r="C1123" s="32" t="s">
        <v>2557</v>
      </c>
      <c r="D1123" s="18" t="s">
        <v>2457</v>
      </c>
      <c r="E1123" s="18" t="s">
        <v>1615</v>
      </c>
      <c r="F1123" s="63"/>
      <c r="G1123" s="50" t="s">
        <v>6606</v>
      </c>
      <c r="H1123" s="399">
        <v>15000</v>
      </c>
      <c r="I1123" s="353"/>
      <c r="J1123" s="350">
        <f t="shared" ref="J1123" si="837">SUM(H1123:I1123)</f>
        <v>15000</v>
      </c>
      <c r="K1123" s="18">
        <v>1</v>
      </c>
      <c r="L1123" s="350">
        <f t="shared" ref="L1123" si="838">SUM(J1123*K1123)</f>
        <v>15000</v>
      </c>
      <c r="M1123" s="356">
        <f t="shared" ref="M1123" si="839">ROUNDDOWN(L1123*1.1,0)</f>
        <v>16500</v>
      </c>
      <c r="N1123" s="18" t="s">
        <v>25</v>
      </c>
      <c r="O1123" s="456"/>
      <c r="P1123" s="18" t="s">
        <v>2594</v>
      </c>
      <c r="Q1123" s="18" t="s">
        <v>4803</v>
      </c>
      <c r="R1123" s="18" t="s">
        <v>4803</v>
      </c>
      <c r="S1123" s="471"/>
    </row>
    <row r="1124" spans="1:27" ht="21.75" customHeight="1" x14ac:dyDescent="0.4">
      <c r="A1124" s="258">
        <v>46142</v>
      </c>
      <c r="B1124" s="325" t="s">
        <v>1861</v>
      </c>
      <c r="C1124" s="32" t="s">
        <v>6607</v>
      </c>
      <c r="D1124" s="258" t="s">
        <v>22</v>
      </c>
      <c r="E1124" s="258" t="s">
        <v>5040</v>
      </c>
      <c r="F1124" s="258"/>
      <c r="G1124" s="433" t="s">
        <v>4869</v>
      </c>
      <c r="H1124" s="399">
        <v>2000</v>
      </c>
      <c r="I1124" s="353"/>
      <c r="J1124" s="350">
        <f t="shared" si="784"/>
        <v>2000</v>
      </c>
      <c r="K1124" s="18">
        <v>2</v>
      </c>
      <c r="L1124" s="350">
        <f t="shared" si="785"/>
        <v>4000</v>
      </c>
      <c r="M1124" s="356">
        <f t="shared" si="786"/>
        <v>4400</v>
      </c>
      <c r="N1124" s="18" t="s">
        <v>25</v>
      </c>
      <c r="O1124" s="456"/>
      <c r="P1124" s="18" t="s">
        <v>5449</v>
      </c>
      <c r="Q1124" s="18" t="s">
        <v>5449</v>
      </c>
      <c r="R1124" s="18" t="s">
        <v>5449</v>
      </c>
      <c r="S1124" s="472"/>
    </row>
    <row r="1125" spans="1:27" ht="21.75" customHeight="1" x14ac:dyDescent="0.4">
      <c r="A1125" s="258">
        <v>46143</v>
      </c>
      <c r="B1125" s="325" t="s">
        <v>6317</v>
      </c>
      <c r="C1125" s="32" t="s">
        <v>6608</v>
      </c>
      <c r="D1125" s="258" t="s">
        <v>6609</v>
      </c>
      <c r="E1125" s="258" t="s">
        <v>328</v>
      </c>
      <c r="F1125" s="258" t="s">
        <v>6610</v>
      </c>
      <c r="G1125" s="433" t="s">
        <v>6611</v>
      </c>
      <c r="H1125" s="399">
        <v>58000</v>
      </c>
      <c r="I1125" s="353">
        <v>-11600</v>
      </c>
      <c r="J1125" s="350">
        <f t="shared" si="784"/>
        <v>46400</v>
      </c>
      <c r="K1125" s="18">
        <v>1</v>
      </c>
      <c r="L1125" s="350">
        <f t="shared" si="785"/>
        <v>46400</v>
      </c>
      <c r="M1125" s="356">
        <f t="shared" si="786"/>
        <v>51040</v>
      </c>
      <c r="N1125" s="258" t="s">
        <v>1121</v>
      </c>
      <c r="O1125" s="456"/>
      <c r="Q1125" s="18" t="s">
        <v>5449</v>
      </c>
      <c r="R1125" s="18" t="s">
        <v>5449</v>
      </c>
      <c r="W1125" s="354">
        <f t="shared" ref="W1125:W1129" si="840">X1125/H1125</f>
        <v>0.6</v>
      </c>
      <c r="X1125" s="355">
        <v>34800</v>
      </c>
      <c r="Y1125" s="355">
        <v>1</v>
      </c>
      <c r="Z1125" s="355">
        <f t="shared" ref="Z1125:Z1128" si="841">X1125*Y1125</f>
        <v>34800</v>
      </c>
      <c r="AA1125" s="355">
        <f t="shared" ref="AA1125:AA1129" si="842">L1125-Z1125</f>
        <v>11600</v>
      </c>
    </row>
    <row r="1126" spans="1:27" ht="21.75" customHeight="1" x14ac:dyDescent="0.4">
      <c r="A1126" s="258">
        <v>46143</v>
      </c>
      <c r="B1126" s="325" t="s">
        <v>6317</v>
      </c>
      <c r="C1126" s="32" t="s">
        <v>6608</v>
      </c>
      <c r="D1126" s="18" t="s">
        <v>6609</v>
      </c>
      <c r="E1126" s="18" t="s">
        <v>328</v>
      </c>
      <c r="F1126" s="18" t="s">
        <v>6612</v>
      </c>
      <c r="G1126" s="433" t="s">
        <v>6613</v>
      </c>
      <c r="H1126" s="406">
        <v>18000</v>
      </c>
      <c r="I1126" s="353">
        <v>-3600</v>
      </c>
      <c r="J1126" s="350">
        <f t="shared" ref="J1126:J1136" si="843">SUM(H1126:I1126)</f>
        <v>14400</v>
      </c>
      <c r="K1126" s="18">
        <v>1</v>
      </c>
      <c r="L1126" s="350">
        <f t="shared" ref="L1126:L1136" si="844">SUM(J1126*K1126)</f>
        <v>14400</v>
      </c>
      <c r="M1126" s="357">
        <f t="shared" ref="M1126:M1136" si="845">ROUNDDOWN(L1126*1.1,0)</f>
        <v>15840</v>
      </c>
      <c r="N1126" s="258" t="s">
        <v>1121</v>
      </c>
      <c r="O1126" s="456"/>
      <c r="Q1126" s="18" t="s">
        <v>5449</v>
      </c>
      <c r="R1126" s="18" t="s">
        <v>5449</v>
      </c>
      <c r="W1126" s="354">
        <f t="shared" si="840"/>
        <v>0.5</v>
      </c>
      <c r="X1126" s="355">
        <v>9000</v>
      </c>
      <c r="Y1126" s="355">
        <v>1</v>
      </c>
      <c r="Z1126" s="355">
        <f t="shared" si="841"/>
        <v>9000</v>
      </c>
      <c r="AA1126" s="355">
        <f t="shared" si="842"/>
        <v>5400</v>
      </c>
    </row>
    <row r="1127" spans="1:27" ht="21.75" customHeight="1" x14ac:dyDescent="0.4">
      <c r="A1127" s="258">
        <v>46143</v>
      </c>
      <c r="B1127" s="325" t="s">
        <v>6614</v>
      </c>
      <c r="C1127" s="32" t="s">
        <v>6608</v>
      </c>
      <c r="D1127" s="18" t="s">
        <v>6609</v>
      </c>
      <c r="E1127" s="18" t="s">
        <v>6615</v>
      </c>
      <c r="F1127" s="18" t="s">
        <v>6350</v>
      </c>
      <c r="G1127" s="462" t="s">
        <v>6351</v>
      </c>
      <c r="H1127" s="399">
        <v>84000</v>
      </c>
      <c r="I1127" s="353"/>
      <c r="J1127" s="350">
        <f t="shared" si="843"/>
        <v>84000</v>
      </c>
      <c r="K1127" s="18">
        <v>1</v>
      </c>
      <c r="L1127" s="350">
        <f t="shared" si="844"/>
        <v>84000</v>
      </c>
      <c r="M1127" s="356">
        <f t="shared" si="845"/>
        <v>92400</v>
      </c>
      <c r="N1127" s="258" t="s">
        <v>1121</v>
      </c>
      <c r="O1127" s="456"/>
      <c r="P1127" s="18" t="s">
        <v>2595</v>
      </c>
      <c r="Q1127" s="18" t="s">
        <v>2595</v>
      </c>
      <c r="R1127" s="18" t="s">
        <v>2595</v>
      </c>
      <c r="W1127" s="354">
        <f t="shared" si="840"/>
        <v>0</v>
      </c>
      <c r="X1127" s="405"/>
      <c r="Y1127" s="355">
        <v>1</v>
      </c>
      <c r="Z1127" s="355">
        <f t="shared" si="841"/>
        <v>0</v>
      </c>
      <c r="AA1127" s="355">
        <f t="shared" si="842"/>
        <v>84000</v>
      </c>
    </row>
    <row r="1128" spans="1:27" ht="21.75" customHeight="1" x14ac:dyDescent="0.4">
      <c r="A1128" s="258">
        <v>46143</v>
      </c>
      <c r="B1128" s="325" t="s">
        <v>148</v>
      </c>
      <c r="C1128" s="32" t="s">
        <v>2557</v>
      </c>
      <c r="D1128" s="18" t="s">
        <v>17</v>
      </c>
      <c r="E1128" s="18" t="s">
        <v>292</v>
      </c>
      <c r="F1128" s="258" t="s">
        <v>1051</v>
      </c>
      <c r="G1128" s="63" t="s">
        <v>3655</v>
      </c>
      <c r="H1128" s="399">
        <v>4000</v>
      </c>
      <c r="I1128" s="353">
        <v>-1000</v>
      </c>
      <c r="J1128" s="350">
        <f t="shared" si="843"/>
        <v>3000</v>
      </c>
      <c r="K1128" s="18">
        <v>1</v>
      </c>
      <c r="L1128" s="350">
        <f t="shared" si="844"/>
        <v>3000</v>
      </c>
      <c r="M1128" s="356">
        <f t="shared" si="845"/>
        <v>3300</v>
      </c>
      <c r="N1128" s="258" t="s">
        <v>20</v>
      </c>
      <c r="O1128" s="456"/>
      <c r="Q1128" s="18" t="s">
        <v>2595</v>
      </c>
      <c r="R1128" s="18" t="s">
        <v>6638</v>
      </c>
      <c r="W1128" s="354">
        <f t="shared" si="840"/>
        <v>0.75</v>
      </c>
      <c r="X1128" s="405">
        <v>3000</v>
      </c>
      <c r="Y1128" s="355">
        <v>1</v>
      </c>
      <c r="Z1128" s="355">
        <f t="shared" si="841"/>
        <v>3000</v>
      </c>
      <c r="AA1128" s="355">
        <f t="shared" si="842"/>
        <v>0</v>
      </c>
    </row>
    <row r="1129" spans="1:27" ht="21.75" customHeight="1" x14ac:dyDescent="0.4">
      <c r="A1129" s="258">
        <v>46144</v>
      </c>
      <c r="B1129" s="325" t="s">
        <v>6312</v>
      </c>
      <c r="C1129" s="258" t="s">
        <v>6616</v>
      </c>
      <c r="D1129" s="18" t="s">
        <v>6617</v>
      </c>
      <c r="E1129" s="18" t="s">
        <v>332</v>
      </c>
      <c r="F1129" s="18" t="s">
        <v>3553</v>
      </c>
      <c r="G1129" s="475" t="s">
        <v>6418</v>
      </c>
      <c r="H1129" s="399">
        <v>2000</v>
      </c>
      <c r="I1129" s="353">
        <v>-200</v>
      </c>
      <c r="J1129" s="350">
        <f t="shared" si="843"/>
        <v>1800</v>
      </c>
      <c r="K1129" s="18">
        <v>1</v>
      </c>
      <c r="L1129" s="350">
        <f t="shared" si="844"/>
        <v>1800</v>
      </c>
      <c r="M1129" s="356">
        <f t="shared" si="845"/>
        <v>1980</v>
      </c>
      <c r="N1129" s="258" t="s">
        <v>6618</v>
      </c>
      <c r="O1129" s="456"/>
      <c r="P1129" s="18" t="s">
        <v>5459</v>
      </c>
      <c r="Q1129" s="18" t="s">
        <v>5459</v>
      </c>
      <c r="R1129" s="18" t="s">
        <v>5459</v>
      </c>
      <c r="W1129" s="354">
        <f t="shared" si="840"/>
        <v>0.5</v>
      </c>
      <c r="X1129" s="355">
        <v>1000</v>
      </c>
      <c r="Y1129" s="355">
        <v>1</v>
      </c>
      <c r="Z1129" s="355">
        <f>X1129*Y1129</f>
        <v>1000</v>
      </c>
      <c r="AA1129" s="355">
        <f t="shared" si="842"/>
        <v>800</v>
      </c>
    </row>
    <row r="1130" spans="1:27" ht="21.75" customHeight="1" x14ac:dyDescent="0.4">
      <c r="A1130" s="258">
        <v>46144</v>
      </c>
      <c r="B1130" s="325" t="s">
        <v>6312</v>
      </c>
      <c r="C1130" s="258" t="s">
        <v>6616</v>
      </c>
      <c r="D1130" s="18" t="s">
        <v>6619</v>
      </c>
      <c r="E1130" s="18" t="s">
        <v>6620</v>
      </c>
      <c r="F1130" s="18"/>
      <c r="G1130" s="428"/>
      <c r="H1130" s="399">
        <v>300</v>
      </c>
      <c r="I1130" s="353"/>
      <c r="J1130" s="350">
        <f t="shared" si="843"/>
        <v>300</v>
      </c>
      <c r="K1130" s="18">
        <v>1</v>
      </c>
      <c r="L1130" s="350">
        <f t="shared" si="844"/>
        <v>300</v>
      </c>
      <c r="M1130" s="356">
        <f t="shared" si="845"/>
        <v>330</v>
      </c>
      <c r="N1130" s="258" t="s">
        <v>6618</v>
      </c>
      <c r="O1130" s="456"/>
      <c r="P1130" s="18" t="s">
        <v>5459</v>
      </c>
      <c r="Q1130" s="18" t="s">
        <v>5459</v>
      </c>
      <c r="R1130" s="18" t="s">
        <v>5459</v>
      </c>
    </row>
    <row r="1131" spans="1:27" ht="21.75" customHeight="1" x14ac:dyDescent="0.4">
      <c r="A1131" s="258">
        <v>46144</v>
      </c>
      <c r="B1131" s="325" t="s">
        <v>6621</v>
      </c>
      <c r="C1131" s="32" t="s">
        <v>6616</v>
      </c>
      <c r="D1131" s="18" t="s">
        <v>6617</v>
      </c>
      <c r="E1131" s="18" t="s">
        <v>6622</v>
      </c>
      <c r="F1131" s="18" t="s">
        <v>3555</v>
      </c>
      <c r="G1131" s="433" t="s">
        <v>6624</v>
      </c>
      <c r="H1131" s="399">
        <v>2000</v>
      </c>
      <c r="I1131" s="353">
        <v>-200</v>
      </c>
      <c r="J1131" s="350">
        <f t="shared" si="843"/>
        <v>1800</v>
      </c>
      <c r="K1131" s="18">
        <v>1</v>
      </c>
      <c r="L1131" s="350">
        <f t="shared" si="844"/>
        <v>1800</v>
      </c>
      <c r="M1131" s="356">
        <f t="shared" si="845"/>
        <v>1980</v>
      </c>
      <c r="N1131" s="258" t="s">
        <v>6618</v>
      </c>
      <c r="O1131" s="456"/>
      <c r="P1131" s="18" t="s">
        <v>5459</v>
      </c>
      <c r="Q1131" s="18" t="s">
        <v>5459</v>
      </c>
      <c r="R1131" s="18" t="s">
        <v>5459</v>
      </c>
      <c r="W1131" s="354">
        <f t="shared" ref="W1131" si="846">X1131/H1131</f>
        <v>0.57999999999999996</v>
      </c>
      <c r="X1131" s="355">
        <v>1160</v>
      </c>
      <c r="Y1131" s="355">
        <v>1</v>
      </c>
      <c r="Z1131" s="355">
        <f>X1131*Y1131</f>
        <v>1160</v>
      </c>
      <c r="AA1131" s="355">
        <f>L1131-Z1131</f>
        <v>640</v>
      </c>
    </row>
    <row r="1132" spans="1:27" ht="21.75" customHeight="1" x14ac:dyDescent="0.4">
      <c r="A1132" s="258">
        <v>46144</v>
      </c>
      <c r="B1132" s="325" t="s">
        <v>6621</v>
      </c>
      <c r="C1132" s="32" t="s">
        <v>6616</v>
      </c>
      <c r="D1132" s="18" t="s">
        <v>6619</v>
      </c>
      <c r="E1132" s="18" t="s">
        <v>6623</v>
      </c>
      <c r="F1132" s="18"/>
      <c r="G1132" s="63"/>
      <c r="H1132" s="399">
        <v>300</v>
      </c>
      <c r="I1132" s="353"/>
      <c r="J1132" s="350">
        <f t="shared" si="843"/>
        <v>300</v>
      </c>
      <c r="K1132" s="18">
        <v>1</v>
      </c>
      <c r="L1132" s="350">
        <f t="shared" si="844"/>
        <v>300</v>
      </c>
      <c r="M1132" s="356">
        <f t="shared" si="845"/>
        <v>330</v>
      </c>
      <c r="N1132" s="258" t="s">
        <v>6618</v>
      </c>
      <c r="O1132" s="456"/>
      <c r="P1132" s="18" t="s">
        <v>5459</v>
      </c>
      <c r="Q1132" s="18" t="s">
        <v>5459</v>
      </c>
      <c r="R1132" s="18" t="s">
        <v>5459</v>
      </c>
    </row>
    <row r="1133" spans="1:27" ht="21.75" customHeight="1" x14ac:dyDescent="0.4">
      <c r="A1133" s="258">
        <v>46144</v>
      </c>
      <c r="B1133" s="325" t="s">
        <v>6639</v>
      </c>
      <c r="C1133" s="32" t="s">
        <v>405</v>
      </c>
      <c r="D1133" s="18" t="s">
        <v>22</v>
      </c>
      <c r="E1133" s="18" t="s">
        <v>1496</v>
      </c>
      <c r="F1133" s="18"/>
      <c r="G1133" s="63" t="s">
        <v>2422</v>
      </c>
      <c r="H1133" s="399">
        <v>2000</v>
      </c>
      <c r="I1133" s="353"/>
      <c r="J1133" s="350">
        <f t="shared" si="843"/>
        <v>2000</v>
      </c>
      <c r="K1133" s="18">
        <v>1</v>
      </c>
      <c r="L1133" s="350">
        <f t="shared" si="844"/>
        <v>2000</v>
      </c>
      <c r="M1133" s="356">
        <f t="shared" si="845"/>
        <v>2200</v>
      </c>
      <c r="N1133" s="258" t="s">
        <v>20</v>
      </c>
      <c r="O1133" s="456"/>
      <c r="R1133" s="18" t="s">
        <v>6638</v>
      </c>
    </row>
    <row r="1134" spans="1:27" ht="21.75" customHeight="1" x14ac:dyDescent="0.4">
      <c r="A1134" s="258">
        <v>46144</v>
      </c>
      <c r="B1134" s="325" t="s">
        <v>6650</v>
      </c>
      <c r="C1134" s="32" t="s">
        <v>2557</v>
      </c>
      <c r="D1134" s="18" t="s">
        <v>27</v>
      </c>
      <c r="E1134" s="242" t="s">
        <v>5237</v>
      </c>
      <c r="F1134" s="258"/>
      <c r="G1134" s="433" t="s">
        <v>3343</v>
      </c>
      <c r="H1134" s="399">
        <v>18000</v>
      </c>
      <c r="I1134" s="353"/>
      <c r="J1134" s="350">
        <f t="shared" si="843"/>
        <v>18000</v>
      </c>
      <c r="K1134" s="18">
        <v>1</v>
      </c>
      <c r="L1134" s="350">
        <f t="shared" si="844"/>
        <v>18000</v>
      </c>
      <c r="M1134" s="356">
        <f t="shared" si="845"/>
        <v>19800</v>
      </c>
      <c r="N1134" s="18" t="s">
        <v>4233</v>
      </c>
      <c r="O1134" s="456"/>
      <c r="R1134" s="18" t="s">
        <v>4803</v>
      </c>
    </row>
    <row r="1135" spans="1:27" ht="21.75" customHeight="1" x14ac:dyDescent="0.4">
      <c r="A1135" s="258">
        <v>46145</v>
      </c>
      <c r="B1135" s="325" t="s">
        <v>6649</v>
      </c>
      <c r="C1135" s="32" t="s">
        <v>2557</v>
      </c>
      <c r="D1135" s="18" t="s">
        <v>6625</v>
      </c>
      <c r="E1135" s="18" t="s">
        <v>6627</v>
      </c>
      <c r="F1135" s="18" t="s">
        <v>3555</v>
      </c>
      <c r="G1135" s="63" t="s">
        <v>6629</v>
      </c>
      <c r="H1135" s="399">
        <v>2000</v>
      </c>
      <c r="I1135" s="353">
        <v>-200</v>
      </c>
      <c r="J1135" s="350">
        <f t="shared" si="843"/>
        <v>1800</v>
      </c>
      <c r="K1135" s="18">
        <v>10</v>
      </c>
      <c r="L1135" s="350">
        <f t="shared" si="844"/>
        <v>18000</v>
      </c>
      <c r="M1135" s="356">
        <f t="shared" si="845"/>
        <v>19800</v>
      </c>
      <c r="N1135" s="18" t="s">
        <v>25</v>
      </c>
      <c r="O1135" s="456"/>
      <c r="P1135" s="18" t="s">
        <v>2594</v>
      </c>
      <c r="Q1135" s="18" t="s">
        <v>2594</v>
      </c>
      <c r="R1135" s="18" t="s">
        <v>2594</v>
      </c>
      <c r="W1135" s="354">
        <f t="shared" ref="W1135" si="847">X1135/H1135</f>
        <v>0.57999999999999996</v>
      </c>
      <c r="X1135" s="355">
        <v>1160</v>
      </c>
      <c r="Y1135" s="355">
        <v>10</v>
      </c>
      <c r="Z1135" s="355">
        <f>X1135*Y1135</f>
        <v>11600</v>
      </c>
      <c r="AA1135" s="355">
        <f>L1135-Z1135</f>
        <v>6400</v>
      </c>
    </row>
    <row r="1136" spans="1:27" ht="21.75" customHeight="1" x14ac:dyDescent="0.4">
      <c r="A1136" s="258">
        <v>46145</v>
      </c>
      <c r="B1136" s="325" t="s">
        <v>678</v>
      </c>
      <c r="C1136" s="32" t="s">
        <v>2557</v>
      </c>
      <c r="D1136" s="18" t="s">
        <v>6626</v>
      </c>
      <c r="E1136" s="18" t="s">
        <v>6620</v>
      </c>
      <c r="F1136" s="18"/>
      <c r="G1136" s="63"/>
      <c r="H1136" s="399">
        <v>300</v>
      </c>
      <c r="I1136" s="353"/>
      <c r="J1136" s="350">
        <f t="shared" si="843"/>
        <v>300</v>
      </c>
      <c r="K1136" s="18">
        <v>2</v>
      </c>
      <c r="L1136" s="350">
        <f t="shared" si="844"/>
        <v>600</v>
      </c>
      <c r="M1136" s="356">
        <f t="shared" si="845"/>
        <v>660</v>
      </c>
      <c r="N1136" s="18" t="s">
        <v>25</v>
      </c>
      <c r="O1136" s="456"/>
      <c r="P1136" s="18" t="s">
        <v>2594</v>
      </c>
      <c r="Q1136" s="18" t="s">
        <v>2594</v>
      </c>
      <c r="R1136" s="18" t="s">
        <v>2594</v>
      </c>
    </row>
    <row r="1137" spans="1:27" ht="21.75" customHeight="1" x14ac:dyDescent="0.4">
      <c r="A1137" s="258">
        <v>46145</v>
      </c>
      <c r="B1137" s="325" t="s">
        <v>678</v>
      </c>
      <c r="C1137" s="32" t="s">
        <v>2557</v>
      </c>
      <c r="D1137" s="18" t="s">
        <v>6626</v>
      </c>
      <c r="E1137" s="18" t="s">
        <v>6628</v>
      </c>
      <c r="F1137" s="18"/>
      <c r="G1137" s="63"/>
      <c r="H1137" s="399">
        <v>2500</v>
      </c>
      <c r="I1137" s="353"/>
      <c r="J1137" s="350">
        <f t="shared" ref="J1137:J1213" si="848">SUM(H1137:I1137)</f>
        <v>2500</v>
      </c>
      <c r="K1137" s="18">
        <v>1</v>
      </c>
      <c r="L1137" s="350">
        <f t="shared" ref="L1137:L1213" si="849">SUM(J1137*K1137)</f>
        <v>2500</v>
      </c>
      <c r="M1137" s="356">
        <f t="shared" ref="M1137:M1213" si="850">ROUNDDOWN(L1137*1.1,0)</f>
        <v>2750</v>
      </c>
      <c r="N1137" s="18" t="s">
        <v>25</v>
      </c>
      <c r="O1137" s="456"/>
      <c r="P1137" s="18" t="s">
        <v>2594</v>
      </c>
      <c r="Q1137" s="18" t="s">
        <v>2594</v>
      </c>
      <c r="R1137" s="18" t="s">
        <v>2594</v>
      </c>
    </row>
    <row r="1138" spans="1:27" ht="21.75" customHeight="1" x14ac:dyDescent="0.4">
      <c r="A1138" s="258">
        <v>46145</v>
      </c>
      <c r="B1138" s="325" t="s">
        <v>582</v>
      </c>
      <c r="C1138" s="325" t="s">
        <v>6630</v>
      </c>
      <c r="D1138" s="18" t="s">
        <v>6631</v>
      </c>
      <c r="E1138" s="18"/>
      <c r="F1138" s="18"/>
      <c r="G1138" s="63" t="s">
        <v>6642</v>
      </c>
      <c r="H1138" s="399">
        <v>1500</v>
      </c>
      <c r="I1138" s="353"/>
      <c r="J1138" s="350">
        <f t="shared" si="848"/>
        <v>1500</v>
      </c>
      <c r="K1138" s="18">
        <v>1</v>
      </c>
      <c r="L1138" s="350">
        <f t="shared" si="849"/>
        <v>1500</v>
      </c>
      <c r="M1138" s="356">
        <f t="shared" si="850"/>
        <v>1650</v>
      </c>
      <c r="N1138" s="258" t="s">
        <v>20</v>
      </c>
      <c r="O1138" s="456"/>
      <c r="P1138" s="18" t="s">
        <v>5459</v>
      </c>
      <c r="Q1138" s="18" t="s">
        <v>5459</v>
      </c>
      <c r="R1138" s="18" t="s">
        <v>5459</v>
      </c>
    </row>
    <row r="1139" spans="1:27" ht="21.75" customHeight="1" x14ac:dyDescent="0.4">
      <c r="A1139" s="258">
        <v>46145</v>
      </c>
      <c r="B1139" s="325" t="s">
        <v>582</v>
      </c>
      <c r="C1139" s="325" t="s">
        <v>2557</v>
      </c>
      <c r="D1139" s="18" t="s">
        <v>27</v>
      </c>
      <c r="E1139" s="18" t="s">
        <v>28</v>
      </c>
      <c r="F1139" s="258"/>
      <c r="G1139" s="63" t="s">
        <v>4582</v>
      </c>
      <c r="H1139" s="399">
        <v>5000</v>
      </c>
      <c r="I1139" s="353"/>
      <c r="J1139" s="350">
        <f t="shared" ref="J1139:J1143" si="851">SUM(H1139:I1139)</f>
        <v>5000</v>
      </c>
      <c r="K1139" s="18">
        <v>1</v>
      </c>
      <c r="L1139" s="350">
        <f t="shared" ref="L1139:L1143" si="852">SUM(J1139*K1139)</f>
        <v>5000</v>
      </c>
      <c r="M1139" s="356">
        <f t="shared" ref="M1139:M1143" si="853">ROUNDDOWN(L1139*1.1,0)</f>
        <v>5500</v>
      </c>
      <c r="N1139" s="258" t="s">
        <v>20</v>
      </c>
      <c r="O1139" s="454" t="s">
        <v>6477</v>
      </c>
      <c r="R1139" s="18" t="s">
        <v>4803</v>
      </c>
    </row>
    <row r="1140" spans="1:27" ht="21.75" customHeight="1" x14ac:dyDescent="0.4">
      <c r="A1140" s="258">
        <v>46145</v>
      </c>
      <c r="B1140" s="325" t="s">
        <v>6647</v>
      </c>
      <c r="C1140" s="32" t="s">
        <v>405</v>
      </c>
      <c r="D1140" s="18" t="s">
        <v>27</v>
      </c>
      <c r="E1140" s="18" t="s">
        <v>28</v>
      </c>
      <c r="F1140" s="18"/>
      <c r="G1140" s="63" t="s">
        <v>5038</v>
      </c>
      <c r="H1140" s="399">
        <v>5000</v>
      </c>
      <c r="I1140" s="353"/>
      <c r="J1140" s="350">
        <f t="shared" si="851"/>
        <v>5000</v>
      </c>
      <c r="K1140" s="18">
        <v>1</v>
      </c>
      <c r="L1140" s="350">
        <f t="shared" si="852"/>
        <v>5000</v>
      </c>
      <c r="M1140" s="356">
        <f t="shared" si="853"/>
        <v>5500</v>
      </c>
      <c r="N1140" s="18" t="s">
        <v>25</v>
      </c>
      <c r="O1140" s="454"/>
      <c r="R1140" s="18" t="s">
        <v>4803</v>
      </c>
    </row>
    <row r="1141" spans="1:27" ht="21.75" customHeight="1" x14ac:dyDescent="0.4">
      <c r="A1141" s="258">
        <v>46145</v>
      </c>
      <c r="B1141" s="325" t="s">
        <v>6640</v>
      </c>
      <c r="C1141" s="32" t="s">
        <v>2557</v>
      </c>
      <c r="D1141" s="18" t="s">
        <v>17</v>
      </c>
      <c r="E1141" s="18" t="s">
        <v>332</v>
      </c>
      <c r="F1141" s="18" t="s">
        <v>3555</v>
      </c>
      <c r="G1141" s="7" t="s">
        <v>6641</v>
      </c>
      <c r="H1141" s="399">
        <v>2200</v>
      </c>
      <c r="I1141" s="353">
        <v>-220</v>
      </c>
      <c r="J1141" s="350">
        <f t="shared" si="851"/>
        <v>1980</v>
      </c>
      <c r="K1141" s="18">
        <v>1</v>
      </c>
      <c r="L1141" s="350">
        <f t="shared" si="852"/>
        <v>1980</v>
      </c>
      <c r="M1141" s="356">
        <f t="shared" si="853"/>
        <v>2178</v>
      </c>
      <c r="N1141" s="258" t="s">
        <v>1121</v>
      </c>
      <c r="O1141" s="454"/>
      <c r="R1141" s="18" t="s">
        <v>4803</v>
      </c>
      <c r="W1141" s="354">
        <f t="shared" ref="W1141" si="854">X1141/H1141</f>
        <v>0.57999999999999996</v>
      </c>
      <c r="X1141" s="355">
        <v>1276</v>
      </c>
      <c r="Y1141" s="355">
        <v>1</v>
      </c>
      <c r="Z1141" s="355">
        <f>X1141*Y1141</f>
        <v>1276</v>
      </c>
      <c r="AA1141" s="355">
        <f>L1141-Z1141</f>
        <v>704</v>
      </c>
    </row>
    <row r="1142" spans="1:27" ht="21.75" customHeight="1" x14ac:dyDescent="0.4">
      <c r="A1142" s="258">
        <v>46145</v>
      </c>
      <c r="B1142" s="325" t="s">
        <v>6640</v>
      </c>
      <c r="C1142" s="32" t="s">
        <v>2557</v>
      </c>
      <c r="D1142" s="18" t="s">
        <v>59</v>
      </c>
      <c r="E1142" s="18" t="s">
        <v>6620</v>
      </c>
      <c r="F1142" s="18"/>
      <c r="G1142" s="63"/>
      <c r="H1142" s="399">
        <v>300</v>
      </c>
      <c r="I1142" s="353"/>
      <c r="J1142" s="350">
        <f t="shared" si="851"/>
        <v>300</v>
      </c>
      <c r="K1142" s="18">
        <v>1</v>
      </c>
      <c r="L1142" s="350">
        <f t="shared" si="852"/>
        <v>300</v>
      </c>
      <c r="M1142" s="356">
        <f t="shared" si="853"/>
        <v>330</v>
      </c>
      <c r="N1142" s="258" t="s">
        <v>1121</v>
      </c>
      <c r="O1142" s="454"/>
      <c r="R1142" s="18" t="s">
        <v>4803</v>
      </c>
    </row>
    <row r="1143" spans="1:27" ht="21.75" customHeight="1" x14ac:dyDescent="0.4">
      <c r="A1143" s="258">
        <v>46146</v>
      </c>
      <c r="B1143" s="325" t="s">
        <v>5069</v>
      </c>
      <c r="C1143" s="32" t="s">
        <v>2557</v>
      </c>
      <c r="D1143" s="18" t="s">
        <v>22</v>
      </c>
      <c r="E1143" s="258" t="s">
        <v>5040</v>
      </c>
      <c r="F1143" s="258"/>
      <c r="G1143" s="433" t="s">
        <v>4869</v>
      </c>
      <c r="H1143" s="399">
        <v>2000</v>
      </c>
      <c r="I1143" s="353"/>
      <c r="J1143" s="350">
        <f t="shared" si="851"/>
        <v>2000</v>
      </c>
      <c r="K1143" s="18">
        <v>1</v>
      </c>
      <c r="L1143" s="350">
        <f t="shared" si="852"/>
        <v>2000</v>
      </c>
      <c r="M1143" s="356">
        <f t="shared" si="853"/>
        <v>2200</v>
      </c>
      <c r="N1143" s="18" t="s">
        <v>25</v>
      </c>
      <c r="O1143" s="454"/>
      <c r="P1143" s="18" t="s">
        <v>5459</v>
      </c>
      <c r="Q1143" s="18" t="s">
        <v>5459</v>
      </c>
      <c r="R1143" s="18" t="s">
        <v>5459</v>
      </c>
    </row>
    <row r="1144" spans="1:27" ht="21.75" customHeight="1" x14ac:dyDescent="0.4">
      <c r="A1144" s="258">
        <v>46147</v>
      </c>
      <c r="B1144" s="325" t="s">
        <v>6646</v>
      </c>
      <c r="C1144" s="32" t="s">
        <v>405</v>
      </c>
      <c r="D1144" s="18" t="s">
        <v>6770</v>
      </c>
      <c r="E1144" s="18" t="s">
        <v>28</v>
      </c>
      <c r="F1144" s="18"/>
      <c r="G1144" s="63" t="s">
        <v>5038</v>
      </c>
      <c r="H1144" s="399">
        <v>5000</v>
      </c>
      <c r="I1144" s="353"/>
      <c r="J1144" s="350">
        <f t="shared" ref="J1144:J1147" si="855">SUM(H1144:I1144)</f>
        <v>5000</v>
      </c>
      <c r="K1144" s="18">
        <v>1</v>
      </c>
      <c r="L1144" s="350">
        <f t="shared" ref="L1144:L1147" si="856">SUM(J1144*K1144)</f>
        <v>5000</v>
      </c>
      <c r="M1144" s="356">
        <f t="shared" ref="M1144:M1147" si="857">ROUNDDOWN(L1144*1.1,0)</f>
        <v>5500</v>
      </c>
      <c r="N1144" s="18" t="s">
        <v>25</v>
      </c>
      <c r="O1144" s="454"/>
      <c r="R1144" s="18" t="s">
        <v>4803</v>
      </c>
    </row>
    <row r="1145" spans="1:27" ht="21.75" customHeight="1" x14ac:dyDescent="0.4">
      <c r="A1145" s="258">
        <v>46147</v>
      </c>
      <c r="B1145" s="325" t="s">
        <v>6643</v>
      </c>
      <c r="C1145" s="32" t="s">
        <v>4292</v>
      </c>
      <c r="D1145" s="258" t="s">
        <v>17</v>
      </c>
      <c r="E1145" s="258" t="s">
        <v>328</v>
      </c>
      <c r="F1145" s="18" t="s">
        <v>5282</v>
      </c>
      <c r="G1145" s="433" t="s">
        <v>6644</v>
      </c>
      <c r="H1145" s="406">
        <v>3750</v>
      </c>
      <c r="I1145" s="353"/>
      <c r="J1145" s="350">
        <f t="shared" si="855"/>
        <v>3750</v>
      </c>
      <c r="K1145" s="18">
        <v>2</v>
      </c>
      <c r="L1145" s="350">
        <f t="shared" si="856"/>
        <v>7500</v>
      </c>
      <c r="M1145" s="357">
        <f t="shared" si="857"/>
        <v>8250</v>
      </c>
      <c r="N1145" s="258" t="s">
        <v>1121</v>
      </c>
      <c r="O1145" s="454"/>
      <c r="R1145" s="18" t="s">
        <v>4803</v>
      </c>
      <c r="W1145" s="354">
        <f t="shared" ref="W1145:W1147" si="858">X1145/H1145</f>
        <v>1</v>
      </c>
      <c r="X1145" s="355">
        <v>3750</v>
      </c>
      <c r="Y1145" s="355">
        <v>2</v>
      </c>
      <c r="Z1145" s="355">
        <f t="shared" ref="Z1145:Z1146" si="859">X1145*Y1145</f>
        <v>7500</v>
      </c>
      <c r="AA1145" s="355">
        <f t="shared" ref="AA1145:AA1147" si="860">L1145-Z1145</f>
        <v>0</v>
      </c>
    </row>
    <row r="1146" spans="1:27" ht="21.75" customHeight="1" x14ac:dyDescent="0.4">
      <c r="A1146" s="258">
        <v>46147</v>
      </c>
      <c r="B1146" s="325" t="s">
        <v>6643</v>
      </c>
      <c r="C1146" s="32" t="s">
        <v>4292</v>
      </c>
      <c r="D1146" s="258" t="s">
        <v>17</v>
      </c>
      <c r="E1146" s="258" t="s">
        <v>328</v>
      </c>
      <c r="F1146" s="258" t="s">
        <v>3597</v>
      </c>
      <c r="G1146" s="433" t="s">
        <v>6645</v>
      </c>
      <c r="H1146" s="406">
        <v>2850</v>
      </c>
      <c r="I1146" s="353"/>
      <c r="J1146" s="350">
        <f t="shared" si="855"/>
        <v>2850</v>
      </c>
      <c r="K1146" s="18">
        <v>3</v>
      </c>
      <c r="L1146" s="350">
        <f t="shared" si="856"/>
        <v>8550</v>
      </c>
      <c r="M1146" s="357">
        <f t="shared" si="857"/>
        <v>9405</v>
      </c>
      <c r="N1146" s="258" t="s">
        <v>1121</v>
      </c>
      <c r="O1146" s="454"/>
      <c r="R1146" s="18" t="s">
        <v>4803</v>
      </c>
      <c r="W1146" s="354">
        <f t="shared" si="858"/>
        <v>1</v>
      </c>
      <c r="X1146" s="355">
        <v>2850</v>
      </c>
      <c r="Y1146" s="355">
        <v>3</v>
      </c>
      <c r="Z1146" s="355">
        <f t="shared" si="859"/>
        <v>8550</v>
      </c>
      <c r="AA1146" s="355">
        <f t="shared" si="860"/>
        <v>0</v>
      </c>
    </row>
    <row r="1147" spans="1:27" ht="21.75" customHeight="1" x14ac:dyDescent="0.4">
      <c r="A1147" s="258">
        <v>46147</v>
      </c>
      <c r="B1147" s="325" t="s">
        <v>6643</v>
      </c>
      <c r="C1147" s="32" t="s">
        <v>4292</v>
      </c>
      <c r="D1147" s="258" t="s">
        <v>17</v>
      </c>
      <c r="E1147" s="18" t="s">
        <v>332</v>
      </c>
      <c r="F1147" s="18" t="s">
        <v>3555</v>
      </c>
      <c r="G1147" s="433" t="s">
        <v>6383</v>
      </c>
      <c r="H1147" s="406">
        <v>870</v>
      </c>
      <c r="I1147" s="353"/>
      <c r="J1147" s="350">
        <f t="shared" si="855"/>
        <v>870</v>
      </c>
      <c r="K1147" s="18">
        <v>3</v>
      </c>
      <c r="L1147" s="350">
        <f t="shared" si="856"/>
        <v>2610</v>
      </c>
      <c r="M1147" s="357">
        <f t="shared" si="857"/>
        <v>2871</v>
      </c>
      <c r="N1147" s="258" t="s">
        <v>1121</v>
      </c>
      <c r="O1147" s="454"/>
      <c r="R1147" s="18" t="s">
        <v>4803</v>
      </c>
      <c r="W1147" s="354">
        <f t="shared" si="858"/>
        <v>1</v>
      </c>
      <c r="X1147" s="355">
        <v>870</v>
      </c>
      <c r="Y1147" s="355">
        <v>3</v>
      </c>
      <c r="Z1147" s="355">
        <f>X1147*Y1147</f>
        <v>2610</v>
      </c>
      <c r="AA1147" s="355">
        <f t="shared" si="860"/>
        <v>0</v>
      </c>
    </row>
    <row r="1148" spans="1:27" ht="19.5" customHeight="1" x14ac:dyDescent="0.4">
      <c r="A1148" s="258">
        <v>46148</v>
      </c>
      <c r="B1148" s="325" t="s">
        <v>3424</v>
      </c>
      <c r="C1148" s="32" t="s">
        <v>2557</v>
      </c>
      <c r="D1148" s="18" t="s">
        <v>22</v>
      </c>
      <c r="E1148" s="258" t="s">
        <v>5040</v>
      </c>
      <c r="F1148" s="258"/>
      <c r="G1148" s="433" t="s">
        <v>4869</v>
      </c>
      <c r="H1148" s="399">
        <v>2000</v>
      </c>
      <c r="I1148" s="353"/>
      <c r="J1148" s="350">
        <f t="shared" si="848"/>
        <v>2000</v>
      </c>
      <c r="K1148" s="18">
        <v>1</v>
      </c>
      <c r="L1148" s="350">
        <f t="shared" si="849"/>
        <v>2000</v>
      </c>
      <c r="M1148" s="356">
        <f t="shared" si="850"/>
        <v>2200</v>
      </c>
      <c r="N1148" s="18" t="s">
        <v>25</v>
      </c>
      <c r="O1148" s="456"/>
      <c r="P1148" s="18" t="s">
        <v>5449</v>
      </c>
      <c r="Q1148" s="18" t="s">
        <v>5449</v>
      </c>
      <c r="R1148" s="18" t="s">
        <v>5449</v>
      </c>
    </row>
    <row r="1149" spans="1:27" ht="21.75" customHeight="1" x14ac:dyDescent="0.4">
      <c r="A1149" s="258">
        <v>46148</v>
      </c>
      <c r="B1149" s="325" t="s">
        <v>6632</v>
      </c>
      <c r="C1149" s="32" t="s">
        <v>2557</v>
      </c>
      <c r="D1149" s="18" t="s">
        <v>6633</v>
      </c>
      <c r="E1149" s="18" t="s">
        <v>6634</v>
      </c>
      <c r="F1149" s="18" t="s">
        <v>3554</v>
      </c>
      <c r="G1149" s="433" t="s">
        <v>6720</v>
      </c>
      <c r="H1149" s="399">
        <v>1500</v>
      </c>
      <c r="I1149" s="353">
        <v>-150</v>
      </c>
      <c r="J1149" s="350">
        <f t="shared" si="848"/>
        <v>1350</v>
      </c>
      <c r="K1149" s="18">
        <v>1</v>
      </c>
      <c r="L1149" s="350">
        <f t="shared" si="849"/>
        <v>1350</v>
      </c>
      <c r="M1149" s="356">
        <f t="shared" si="850"/>
        <v>1485</v>
      </c>
      <c r="N1149" s="258" t="s">
        <v>6635</v>
      </c>
      <c r="O1149" s="456"/>
      <c r="P1149" s="18" t="s">
        <v>5459</v>
      </c>
      <c r="Q1149" s="18" t="s">
        <v>5459</v>
      </c>
      <c r="R1149" s="18" t="s">
        <v>5459</v>
      </c>
      <c r="W1149" s="354">
        <f t="shared" ref="W1149" si="861">X1149/H1149</f>
        <v>0.6253333333333333</v>
      </c>
      <c r="X1149" s="355">
        <v>938</v>
      </c>
      <c r="Y1149" s="355">
        <v>1</v>
      </c>
      <c r="Z1149" s="355">
        <v>938</v>
      </c>
      <c r="AA1149" s="355">
        <f>L1149-Z1149</f>
        <v>412</v>
      </c>
    </row>
    <row r="1150" spans="1:27" ht="21.75" customHeight="1" x14ac:dyDescent="0.4">
      <c r="A1150" s="258">
        <v>46148</v>
      </c>
      <c r="B1150" s="325" t="s">
        <v>6632</v>
      </c>
      <c r="C1150" s="32" t="s">
        <v>2557</v>
      </c>
      <c r="D1150" s="18" t="s">
        <v>6636</v>
      </c>
      <c r="E1150" s="18" t="s">
        <v>6637</v>
      </c>
      <c r="F1150" s="18"/>
      <c r="G1150" s="63"/>
      <c r="H1150" s="399">
        <v>300</v>
      </c>
      <c r="I1150" s="353"/>
      <c r="J1150" s="350">
        <f t="shared" si="848"/>
        <v>300</v>
      </c>
      <c r="K1150" s="18">
        <v>1</v>
      </c>
      <c r="L1150" s="350">
        <f t="shared" si="849"/>
        <v>300</v>
      </c>
      <c r="M1150" s="356">
        <f t="shared" si="850"/>
        <v>330</v>
      </c>
      <c r="N1150" s="258" t="s">
        <v>6635</v>
      </c>
      <c r="O1150" s="456"/>
      <c r="P1150" s="18" t="s">
        <v>5459</v>
      </c>
      <c r="Q1150" s="18" t="s">
        <v>5459</v>
      </c>
      <c r="R1150" s="18" t="s">
        <v>5459</v>
      </c>
      <c r="S1150" s="472"/>
    </row>
    <row r="1151" spans="1:27" ht="21.75" customHeight="1" x14ac:dyDescent="0.4">
      <c r="A1151" s="258">
        <v>46149</v>
      </c>
      <c r="B1151" s="325" t="s">
        <v>6651</v>
      </c>
      <c r="C1151" s="32" t="s">
        <v>2557</v>
      </c>
      <c r="D1151" s="18" t="s">
        <v>27</v>
      </c>
      <c r="E1151" s="242" t="s">
        <v>5237</v>
      </c>
      <c r="F1151" s="242"/>
      <c r="G1151" s="63" t="s">
        <v>6032</v>
      </c>
      <c r="H1151" s="399">
        <v>2500</v>
      </c>
      <c r="I1151" s="399"/>
      <c r="J1151" s="350">
        <f t="shared" si="848"/>
        <v>2500</v>
      </c>
      <c r="K1151" s="18">
        <v>1</v>
      </c>
      <c r="L1151" s="350">
        <f t="shared" si="849"/>
        <v>2500</v>
      </c>
      <c r="M1151" s="356">
        <f t="shared" si="850"/>
        <v>2750</v>
      </c>
      <c r="N1151" s="18" t="s">
        <v>4233</v>
      </c>
      <c r="O1151" s="456"/>
      <c r="R1151" s="18" t="s">
        <v>4803</v>
      </c>
      <c r="S1151" s="472"/>
    </row>
    <row r="1152" spans="1:27" ht="21.75" customHeight="1" x14ac:dyDescent="0.4">
      <c r="A1152" s="258">
        <v>46149</v>
      </c>
      <c r="B1152" s="325" t="s">
        <v>6648</v>
      </c>
      <c r="C1152" s="32" t="s">
        <v>2557</v>
      </c>
      <c r="D1152" s="18" t="s">
        <v>17</v>
      </c>
      <c r="E1152" s="18" t="s">
        <v>332</v>
      </c>
      <c r="F1152" s="18" t="s">
        <v>3554</v>
      </c>
      <c r="G1152" s="433" t="s">
        <v>6720</v>
      </c>
      <c r="H1152" s="399">
        <v>1500</v>
      </c>
      <c r="I1152" s="353">
        <v>-150</v>
      </c>
      <c r="J1152" s="350">
        <f t="shared" ref="J1152:J1153" si="862">SUM(H1152:I1152)</f>
        <v>1350</v>
      </c>
      <c r="K1152" s="18">
        <v>6</v>
      </c>
      <c r="L1152" s="350">
        <f t="shared" ref="L1152:L1153" si="863">SUM(J1152*K1152)</f>
        <v>8100</v>
      </c>
      <c r="M1152" s="356">
        <f t="shared" ref="M1152:M1153" si="864">ROUNDDOWN(L1152*1.1,0)</f>
        <v>8910</v>
      </c>
      <c r="N1152" s="258" t="s">
        <v>1516</v>
      </c>
      <c r="O1152" s="456"/>
      <c r="Q1152" s="18" t="s">
        <v>4803</v>
      </c>
      <c r="R1152" s="18" t="s">
        <v>4803</v>
      </c>
      <c r="S1152" s="471"/>
      <c r="W1152" s="354">
        <f t="shared" ref="W1152" si="865">X1152/H1152</f>
        <v>0.6253333333333333</v>
      </c>
      <c r="X1152" s="355">
        <v>938</v>
      </c>
      <c r="Y1152" s="355">
        <v>6</v>
      </c>
      <c r="Z1152" s="355">
        <f>X1152*Y1152</f>
        <v>5628</v>
      </c>
      <c r="AA1152" s="355">
        <f>L1152-Z1152</f>
        <v>2472</v>
      </c>
    </row>
    <row r="1153" spans="1:27" ht="21.75" customHeight="1" x14ac:dyDescent="0.4">
      <c r="A1153" s="258">
        <v>46149</v>
      </c>
      <c r="B1153" s="325" t="s">
        <v>6648</v>
      </c>
      <c r="C1153" s="32" t="s">
        <v>2557</v>
      </c>
      <c r="D1153" s="18" t="s">
        <v>59</v>
      </c>
      <c r="E1153" s="18" t="s">
        <v>6620</v>
      </c>
      <c r="F1153" s="18"/>
      <c r="G1153" s="63"/>
      <c r="H1153" s="399">
        <v>300</v>
      </c>
      <c r="I1153" s="353"/>
      <c r="J1153" s="350">
        <f t="shared" si="862"/>
        <v>300</v>
      </c>
      <c r="K1153" s="18">
        <v>6</v>
      </c>
      <c r="L1153" s="350">
        <f t="shared" si="863"/>
        <v>1800</v>
      </c>
      <c r="M1153" s="356">
        <f t="shared" si="864"/>
        <v>1980</v>
      </c>
      <c r="N1153" s="258" t="s">
        <v>1516</v>
      </c>
      <c r="O1153" s="456"/>
      <c r="Q1153" s="18" t="s">
        <v>4803</v>
      </c>
      <c r="R1153" s="18" t="s">
        <v>4803</v>
      </c>
      <c r="S1153" s="472"/>
    </row>
    <row r="1154" spans="1:27" ht="21.75" customHeight="1" x14ac:dyDescent="0.4">
      <c r="A1154" s="258">
        <v>46150</v>
      </c>
      <c r="B1154" s="325" t="s">
        <v>6652</v>
      </c>
      <c r="C1154" s="32" t="s">
        <v>2557</v>
      </c>
      <c r="D1154" s="18" t="s">
        <v>17</v>
      </c>
      <c r="E1154" s="18" t="s">
        <v>332</v>
      </c>
      <c r="F1154" s="18" t="s">
        <v>3550</v>
      </c>
      <c r="G1154" s="63" t="s">
        <v>6653</v>
      </c>
      <c r="H1154" s="399">
        <v>1800</v>
      </c>
      <c r="I1154" s="353">
        <v>-180</v>
      </c>
      <c r="J1154" s="350">
        <f t="shared" ref="J1154:J1156" si="866">SUM(H1154:I1154)</f>
        <v>1620</v>
      </c>
      <c r="K1154" s="18">
        <v>1</v>
      </c>
      <c r="L1154" s="350">
        <f t="shared" ref="L1154:L1156" si="867">SUM(J1154*K1154)</f>
        <v>1620</v>
      </c>
      <c r="M1154" s="356">
        <f t="shared" ref="M1154:M1156" si="868">ROUNDDOWN(L1154*1.1,0)</f>
        <v>1782</v>
      </c>
      <c r="N1154" s="258" t="s">
        <v>1516</v>
      </c>
      <c r="O1154" s="456"/>
      <c r="Q1154" s="18" t="s">
        <v>4803</v>
      </c>
      <c r="R1154" s="18" t="s">
        <v>4803</v>
      </c>
      <c r="W1154" s="354">
        <f t="shared" ref="W1154" si="869">X1154/H1154</f>
        <v>0.6</v>
      </c>
      <c r="X1154" s="355">
        <v>1080</v>
      </c>
      <c r="Y1154" s="355">
        <v>1</v>
      </c>
      <c r="Z1154" s="355">
        <v>1080</v>
      </c>
      <c r="AA1154" s="355">
        <f>L1154-Z1154</f>
        <v>540</v>
      </c>
    </row>
    <row r="1155" spans="1:27" ht="21.75" customHeight="1" x14ac:dyDescent="0.4">
      <c r="A1155" s="258">
        <v>46150</v>
      </c>
      <c r="B1155" s="325" t="s">
        <v>6652</v>
      </c>
      <c r="C1155" s="32" t="s">
        <v>2557</v>
      </c>
      <c r="D1155" s="18" t="s">
        <v>59</v>
      </c>
      <c r="E1155" s="18" t="s">
        <v>6620</v>
      </c>
      <c r="F1155" s="18"/>
      <c r="G1155" s="63"/>
      <c r="H1155" s="399">
        <v>300</v>
      </c>
      <c r="I1155" s="353"/>
      <c r="J1155" s="350">
        <f t="shared" si="866"/>
        <v>300</v>
      </c>
      <c r="K1155" s="18">
        <v>1</v>
      </c>
      <c r="L1155" s="350">
        <f t="shared" si="867"/>
        <v>300</v>
      </c>
      <c r="M1155" s="356">
        <f t="shared" si="868"/>
        <v>330</v>
      </c>
      <c r="N1155" s="258" t="s">
        <v>1516</v>
      </c>
      <c r="O1155" s="456"/>
      <c r="Q1155" s="18" t="s">
        <v>4803</v>
      </c>
      <c r="R1155" s="18" t="s">
        <v>4803</v>
      </c>
    </row>
    <row r="1156" spans="1:27" ht="21.75" customHeight="1" x14ac:dyDescent="0.4">
      <c r="A1156" s="258">
        <v>46150</v>
      </c>
      <c r="B1156" s="325" t="s">
        <v>1861</v>
      </c>
      <c r="C1156" s="32" t="s">
        <v>2557</v>
      </c>
      <c r="D1156" s="18" t="s">
        <v>2457</v>
      </c>
      <c r="E1156" s="18" t="s">
        <v>1615</v>
      </c>
      <c r="F1156" s="63"/>
      <c r="G1156" s="50" t="s">
        <v>6654</v>
      </c>
      <c r="H1156" s="399">
        <v>15000</v>
      </c>
      <c r="I1156" s="399"/>
      <c r="J1156" s="350">
        <f t="shared" si="866"/>
        <v>15000</v>
      </c>
      <c r="K1156" s="18">
        <v>1</v>
      </c>
      <c r="L1156" s="350">
        <f t="shared" si="867"/>
        <v>15000</v>
      </c>
      <c r="M1156" s="356">
        <f t="shared" si="868"/>
        <v>16500</v>
      </c>
      <c r="N1156" s="258" t="s">
        <v>1516</v>
      </c>
      <c r="O1156" s="456"/>
      <c r="Q1156" s="18" t="s">
        <v>4803</v>
      </c>
      <c r="R1156" s="18" t="s">
        <v>4803</v>
      </c>
      <c r="S1156" s="472"/>
    </row>
    <row r="1157" spans="1:27" ht="21.75" customHeight="1" x14ac:dyDescent="0.4">
      <c r="A1157" s="258">
        <v>46150</v>
      </c>
      <c r="B1157" s="325" t="s">
        <v>6655</v>
      </c>
      <c r="C1157" s="32" t="s">
        <v>6656</v>
      </c>
      <c r="D1157" s="18" t="s">
        <v>27</v>
      </c>
      <c r="E1157" s="18" t="s">
        <v>28</v>
      </c>
      <c r="F1157" s="18"/>
      <c r="G1157" s="63" t="s">
        <v>73</v>
      </c>
      <c r="H1157" s="399">
        <v>2000</v>
      </c>
      <c r="I1157" s="353"/>
      <c r="J1157" s="350">
        <f t="shared" si="848"/>
        <v>2000</v>
      </c>
      <c r="K1157" s="18">
        <v>1</v>
      </c>
      <c r="L1157" s="350">
        <f t="shared" si="849"/>
        <v>2000</v>
      </c>
      <c r="M1157" s="356">
        <f t="shared" si="850"/>
        <v>2200</v>
      </c>
      <c r="N1157" s="258" t="s">
        <v>1516</v>
      </c>
      <c r="O1157" s="454" t="s">
        <v>6659</v>
      </c>
      <c r="P1157" s="18" t="s">
        <v>6671</v>
      </c>
      <c r="Q1157" s="18" t="s">
        <v>6657</v>
      </c>
      <c r="R1157" s="18" t="s">
        <v>6658</v>
      </c>
    </row>
    <row r="1158" spans="1:27" ht="21.75" customHeight="1" x14ac:dyDescent="0.4">
      <c r="A1158" s="258">
        <v>46150</v>
      </c>
      <c r="B1158" s="325" t="s">
        <v>6660</v>
      </c>
      <c r="C1158" s="32" t="s">
        <v>6661</v>
      </c>
      <c r="D1158" s="18" t="s">
        <v>2457</v>
      </c>
      <c r="E1158" s="18" t="s">
        <v>1615</v>
      </c>
      <c r="F1158" s="63"/>
      <c r="G1158" s="50" t="s">
        <v>6654</v>
      </c>
      <c r="H1158" s="399">
        <v>15000</v>
      </c>
      <c r="I1158" s="353"/>
      <c r="J1158" s="350">
        <f t="shared" si="848"/>
        <v>15000</v>
      </c>
      <c r="K1158" s="18">
        <v>1</v>
      </c>
      <c r="L1158" s="350">
        <f t="shared" si="849"/>
        <v>15000</v>
      </c>
      <c r="M1158" s="356">
        <f t="shared" si="850"/>
        <v>16500</v>
      </c>
      <c r="N1158" s="258" t="s">
        <v>1516</v>
      </c>
      <c r="O1158" s="456"/>
      <c r="P1158" s="18" t="s">
        <v>6672</v>
      </c>
      <c r="Q1158" s="18" t="s">
        <v>6662</v>
      </c>
      <c r="R1158" s="18" t="s">
        <v>5449</v>
      </c>
    </row>
    <row r="1159" spans="1:27" ht="21.75" customHeight="1" x14ac:dyDescent="0.4">
      <c r="A1159" s="258">
        <v>46150</v>
      </c>
      <c r="B1159" s="325" t="s">
        <v>6663</v>
      </c>
      <c r="C1159" s="32" t="s">
        <v>4292</v>
      </c>
      <c r="D1159" s="18" t="s">
        <v>6664</v>
      </c>
      <c r="E1159" s="18" t="s">
        <v>6666</v>
      </c>
      <c r="F1159" s="18" t="s">
        <v>3553</v>
      </c>
      <c r="G1159" s="63" t="s">
        <v>6711</v>
      </c>
      <c r="H1159" s="399">
        <v>1080</v>
      </c>
      <c r="I1159" s="353"/>
      <c r="J1159" s="350">
        <f t="shared" si="848"/>
        <v>1080</v>
      </c>
      <c r="K1159" s="18">
        <v>2</v>
      </c>
      <c r="L1159" s="350">
        <f t="shared" si="849"/>
        <v>2160</v>
      </c>
      <c r="M1159" s="356">
        <f t="shared" si="850"/>
        <v>2376</v>
      </c>
      <c r="N1159" s="258" t="s">
        <v>1516</v>
      </c>
      <c r="O1159" s="456"/>
      <c r="P1159" s="18" t="s">
        <v>6672</v>
      </c>
      <c r="Q1159" s="18" t="s">
        <v>5449</v>
      </c>
      <c r="R1159" s="18" t="s">
        <v>5449</v>
      </c>
      <c r="W1159" s="354">
        <f t="shared" ref="W1159" si="870">X1159/H1159</f>
        <v>1</v>
      </c>
      <c r="X1159" s="355">
        <v>1080</v>
      </c>
      <c r="Y1159" s="355">
        <v>2</v>
      </c>
      <c r="Z1159" s="355">
        <f>X1159*Y1159</f>
        <v>2160</v>
      </c>
      <c r="AA1159" s="355">
        <f>L1159-Z1159</f>
        <v>0</v>
      </c>
    </row>
    <row r="1160" spans="1:27" ht="21.75" customHeight="1" x14ac:dyDescent="0.4">
      <c r="A1160" s="258">
        <v>46150</v>
      </c>
      <c r="B1160" s="325" t="s">
        <v>1563</v>
      </c>
      <c r="C1160" s="32" t="s">
        <v>4292</v>
      </c>
      <c r="D1160" s="18" t="s">
        <v>59</v>
      </c>
      <c r="E1160" s="18" t="s">
        <v>6620</v>
      </c>
      <c r="F1160" s="18"/>
      <c r="G1160" s="63"/>
      <c r="H1160" s="399">
        <v>300</v>
      </c>
      <c r="I1160" s="353"/>
      <c r="J1160" s="350">
        <f t="shared" ref="J1160:J1163" si="871">SUM(H1160:I1160)</f>
        <v>300</v>
      </c>
      <c r="K1160" s="18">
        <v>2</v>
      </c>
      <c r="L1160" s="350">
        <f t="shared" ref="L1160:L1163" si="872">SUM(J1160*K1160)</f>
        <v>600</v>
      </c>
      <c r="M1160" s="356">
        <f t="shared" ref="M1160:M1163" si="873">ROUNDDOWN(L1160*1.1,0)</f>
        <v>660</v>
      </c>
      <c r="N1160" s="258" t="s">
        <v>1516</v>
      </c>
      <c r="O1160" s="456"/>
      <c r="P1160" s="18" t="s">
        <v>5449</v>
      </c>
      <c r="Q1160" s="18" t="s">
        <v>5449</v>
      </c>
      <c r="R1160" s="18" t="s">
        <v>5449</v>
      </c>
    </row>
    <row r="1161" spans="1:27" ht="21.75" customHeight="1" x14ac:dyDescent="0.4">
      <c r="A1161" s="258">
        <v>46150</v>
      </c>
      <c r="B1161" s="325" t="s">
        <v>582</v>
      </c>
      <c r="C1161" s="32" t="s">
        <v>6679</v>
      </c>
      <c r="D1161" s="18" t="s">
        <v>6680</v>
      </c>
      <c r="E1161" s="18" t="s">
        <v>330</v>
      </c>
      <c r="F1161" s="258" t="s">
        <v>661</v>
      </c>
      <c r="G1161" s="433" t="s">
        <v>330</v>
      </c>
      <c r="H1161" s="406">
        <v>5000</v>
      </c>
      <c r="I1161" s="353"/>
      <c r="J1161" s="350">
        <f t="shared" si="871"/>
        <v>5000</v>
      </c>
      <c r="K1161" s="18">
        <v>1</v>
      </c>
      <c r="L1161" s="350">
        <f t="shared" si="872"/>
        <v>5000</v>
      </c>
      <c r="M1161" s="357">
        <f t="shared" si="873"/>
        <v>5500</v>
      </c>
      <c r="N1161" s="258" t="s">
        <v>6684</v>
      </c>
      <c r="O1161" s="456"/>
      <c r="P1161" s="18" t="s">
        <v>6685</v>
      </c>
      <c r="Q1161" s="18" t="s">
        <v>6685</v>
      </c>
      <c r="R1161" s="18" t="s">
        <v>5449</v>
      </c>
      <c r="W1161" s="354">
        <f t="shared" ref="W1161:W1162" si="874">X1161/H1161</f>
        <v>0.45</v>
      </c>
      <c r="X1161" s="355">
        <v>2250</v>
      </c>
      <c r="Y1161" s="355">
        <v>1</v>
      </c>
      <c r="Z1161" s="355">
        <f t="shared" ref="Z1161" si="875">X1161*Y1161</f>
        <v>2250</v>
      </c>
      <c r="AA1161" s="355">
        <f t="shared" ref="AA1161:AA1162" si="876">L1161-Z1161</f>
        <v>2750</v>
      </c>
    </row>
    <row r="1162" spans="1:27" ht="21.75" customHeight="1" x14ac:dyDescent="0.4">
      <c r="A1162" s="258">
        <v>46150</v>
      </c>
      <c r="B1162" s="325" t="s">
        <v>582</v>
      </c>
      <c r="C1162" s="32" t="s">
        <v>6679</v>
      </c>
      <c r="D1162" s="18" t="s">
        <v>6680</v>
      </c>
      <c r="E1162" s="18" t="s">
        <v>6682</v>
      </c>
      <c r="F1162" s="18" t="s">
        <v>3555</v>
      </c>
      <c r="G1162" s="63" t="s">
        <v>5897</v>
      </c>
      <c r="H1162" s="399">
        <v>2000</v>
      </c>
      <c r="I1162" s="353">
        <v>-200</v>
      </c>
      <c r="J1162" s="350">
        <f t="shared" si="871"/>
        <v>1800</v>
      </c>
      <c r="K1162" s="18">
        <v>1</v>
      </c>
      <c r="L1162" s="350">
        <f t="shared" si="872"/>
        <v>1800</v>
      </c>
      <c r="M1162" s="356">
        <f t="shared" si="873"/>
        <v>1980</v>
      </c>
      <c r="N1162" s="258" t="s">
        <v>6684</v>
      </c>
      <c r="O1162" s="456"/>
      <c r="P1162" s="18" t="s">
        <v>6685</v>
      </c>
      <c r="Q1162" s="18" t="s">
        <v>6685</v>
      </c>
      <c r="R1162" s="18" t="s">
        <v>5449</v>
      </c>
      <c r="W1162" s="354">
        <f t="shared" si="874"/>
        <v>0.57999999999999996</v>
      </c>
      <c r="X1162" s="355">
        <v>1160</v>
      </c>
      <c r="Y1162" s="355">
        <v>1</v>
      </c>
      <c r="Z1162" s="355">
        <f>X1162*Y1162</f>
        <v>1160</v>
      </c>
      <c r="AA1162" s="355">
        <f t="shared" si="876"/>
        <v>640</v>
      </c>
    </row>
    <row r="1163" spans="1:27" ht="21.75" customHeight="1" x14ac:dyDescent="0.4">
      <c r="A1163" s="258">
        <v>46150</v>
      </c>
      <c r="B1163" s="325" t="s">
        <v>582</v>
      </c>
      <c r="C1163" s="32" t="s">
        <v>6679</v>
      </c>
      <c r="D1163" s="18" t="s">
        <v>6681</v>
      </c>
      <c r="E1163" s="18" t="s">
        <v>6620</v>
      </c>
      <c r="F1163" s="18"/>
      <c r="G1163" s="63"/>
      <c r="H1163" s="399">
        <v>300</v>
      </c>
      <c r="I1163" s="353"/>
      <c r="J1163" s="350">
        <f t="shared" si="871"/>
        <v>300</v>
      </c>
      <c r="K1163" s="18">
        <v>1</v>
      </c>
      <c r="L1163" s="350">
        <f t="shared" si="872"/>
        <v>300</v>
      </c>
      <c r="M1163" s="356">
        <f t="shared" si="873"/>
        <v>330</v>
      </c>
      <c r="N1163" s="258" t="s">
        <v>6684</v>
      </c>
      <c r="O1163" s="456"/>
      <c r="P1163" s="18" t="s">
        <v>6685</v>
      </c>
      <c r="Q1163" s="18" t="s">
        <v>6685</v>
      </c>
      <c r="R1163" s="18" t="s">
        <v>5449</v>
      </c>
    </row>
    <row r="1164" spans="1:27" ht="21.75" customHeight="1" x14ac:dyDescent="0.4">
      <c r="A1164" s="258">
        <v>46150</v>
      </c>
      <c r="B1164" s="325" t="s">
        <v>582</v>
      </c>
      <c r="C1164" s="32" t="s">
        <v>6679</v>
      </c>
      <c r="D1164" s="18" t="s">
        <v>6665</v>
      </c>
      <c r="E1164" s="18" t="s">
        <v>6683</v>
      </c>
      <c r="F1164" s="18"/>
      <c r="G1164" s="63"/>
      <c r="H1164" s="399">
        <v>500</v>
      </c>
      <c r="I1164" s="353"/>
      <c r="J1164" s="350">
        <f t="shared" si="848"/>
        <v>500</v>
      </c>
      <c r="K1164" s="18">
        <v>1</v>
      </c>
      <c r="L1164" s="350">
        <f t="shared" si="849"/>
        <v>500</v>
      </c>
      <c r="M1164" s="356">
        <f t="shared" si="850"/>
        <v>550</v>
      </c>
      <c r="N1164" s="258" t="s">
        <v>6684</v>
      </c>
      <c r="O1164" s="456"/>
      <c r="P1164" s="18" t="s">
        <v>6672</v>
      </c>
      <c r="Q1164" s="18" t="s">
        <v>5449</v>
      </c>
      <c r="R1164" s="18" t="s">
        <v>5449</v>
      </c>
    </row>
    <row r="1165" spans="1:27" ht="21.75" customHeight="1" x14ac:dyDescent="0.4">
      <c r="A1165" s="258">
        <v>46151</v>
      </c>
      <c r="B1165" s="325" t="s">
        <v>6686</v>
      </c>
      <c r="C1165" s="32" t="s">
        <v>6679</v>
      </c>
      <c r="D1165" s="18" t="s">
        <v>27</v>
      </c>
      <c r="E1165" s="18" t="s">
        <v>28</v>
      </c>
      <c r="F1165" s="18"/>
      <c r="G1165" s="63" t="s">
        <v>73</v>
      </c>
      <c r="H1165" s="399">
        <v>2000</v>
      </c>
      <c r="I1165" s="353"/>
      <c r="J1165" s="350">
        <f t="shared" si="848"/>
        <v>2000</v>
      </c>
      <c r="K1165" s="18">
        <v>3</v>
      </c>
      <c r="L1165" s="350">
        <f t="shared" si="849"/>
        <v>6000</v>
      </c>
      <c r="M1165" s="356">
        <f t="shared" si="850"/>
        <v>6600</v>
      </c>
      <c r="N1165" s="258" t="s">
        <v>1516</v>
      </c>
      <c r="O1165" s="454" t="s">
        <v>6688</v>
      </c>
      <c r="P1165" s="18" t="s">
        <v>6685</v>
      </c>
      <c r="Q1165" s="18" t="s">
        <v>6685</v>
      </c>
      <c r="R1165" s="18" t="s">
        <v>6687</v>
      </c>
    </row>
    <row r="1166" spans="1:27" ht="21.75" customHeight="1" x14ac:dyDescent="0.4">
      <c r="A1166" s="258">
        <v>46151</v>
      </c>
      <c r="B1166" s="325" t="s">
        <v>6669</v>
      </c>
      <c r="C1166" s="32" t="s">
        <v>405</v>
      </c>
      <c r="D1166" s="258" t="s">
        <v>22</v>
      </c>
      <c r="E1166" s="18" t="s">
        <v>260</v>
      </c>
      <c r="F1166" s="347"/>
      <c r="G1166" s="63" t="s">
        <v>264</v>
      </c>
      <c r="H1166" s="399">
        <v>15000</v>
      </c>
      <c r="I1166" s="353"/>
      <c r="J1166" s="350">
        <f t="shared" si="848"/>
        <v>15000</v>
      </c>
      <c r="K1166" s="18">
        <v>1</v>
      </c>
      <c r="L1166" s="350">
        <f t="shared" si="849"/>
        <v>15000</v>
      </c>
      <c r="M1166" s="356">
        <f t="shared" si="850"/>
        <v>16500</v>
      </c>
      <c r="N1166" s="258" t="s">
        <v>6670</v>
      </c>
      <c r="O1166" s="456"/>
      <c r="P1166" s="18" t="s">
        <v>6671</v>
      </c>
      <c r="Q1166" s="18" t="s">
        <v>6671</v>
      </c>
      <c r="R1166" s="18" t="s">
        <v>6672</v>
      </c>
    </row>
    <row r="1167" spans="1:27" ht="21.75" customHeight="1" x14ac:dyDescent="0.4">
      <c r="A1167" s="258">
        <v>46151</v>
      </c>
      <c r="B1167" s="325" t="s">
        <v>6667</v>
      </c>
      <c r="C1167" s="32" t="s">
        <v>6668</v>
      </c>
      <c r="D1167" s="18" t="s">
        <v>2457</v>
      </c>
      <c r="E1167" s="18" t="s">
        <v>1615</v>
      </c>
      <c r="F1167" s="63"/>
      <c r="G1167" s="50" t="s">
        <v>6654</v>
      </c>
      <c r="H1167" s="399">
        <v>15000</v>
      </c>
      <c r="I1167" s="399"/>
      <c r="J1167" s="350">
        <f t="shared" si="848"/>
        <v>15000</v>
      </c>
      <c r="K1167" s="18">
        <v>1</v>
      </c>
      <c r="L1167" s="350">
        <f t="shared" si="849"/>
        <v>15000</v>
      </c>
      <c r="M1167" s="356">
        <f t="shared" si="850"/>
        <v>16500</v>
      </c>
      <c r="N1167" s="258" t="s">
        <v>1516</v>
      </c>
      <c r="O1167" s="456"/>
      <c r="P1167" s="18" t="s">
        <v>6672</v>
      </c>
      <c r="Q1167" s="18" t="s">
        <v>5449</v>
      </c>
      <c r="R1167" s="18" t="s">
        <v>5449</v>
      </c>
    </row>
    <row r="1168" spans="1:27" ht="21.75" customHeight="1" x14ac:dyDescent="0.4">
      <c r="A1168" s="258">
        <v>46151</v>
      </c>
      <c r="B1168" s="325" t="s">
        <v>4836</v>
      </c>
      <c r="C1168" s="32" t="s">
        <v>6668</v>
      </c>
      <c r="D1168" s="18" t="s">
        <v>6673</v>
      </c>
      <c r="E1168" s="18" t="s">
        <v>328</v>
      </c>
      <c r="F1168" s="18" t="s">
        <v>6677</v>
      </c>
      <c r="G1168" s="63" t="s">
        <v>6678</v>
      </c>
      <c r="H1168" s="406">
        <v>8000</v>
      </c>
      <c r="I1168" s="353">
        <v>-800</v>
      </c>
      <c r="J1168" s="350">
        <f t="shared" si="848"/>
        <v>7200</v>
      </c>
      <c r="K1168" s="18">
        <v>1</v>
      </c>
      <c r="L1168" s="350">
        <f t="shared" si="849"/>
        <v>7200</v>
      </c>
      <c r="M1168" s="357">
        <f t="shared" si="850"/>
        <v>7920</v>
      </c>
      <c r="N1168" s="258" t="s">
        <v>1516</v>
      </c>
      <c r="O1168" s="456"/>
      <c r="P1168" s="18" t="s">
        <v>6672</v>
      </c>
      <c r="Q1168" s="18" t="s">
        <v>5449</v>
      </c>
      <c r="R1168" s="18" t="s">
        <v>5449</v>
      </c>
      <c r="W1168" s="354">
        <f t="shared" ref="W1168:W1169" si="877">X1168/H1168</f>
        <v>0.55125000000000002</v>
      </c>
      <c r="X1168" s="355">
        <v>4410</v>
      </c>
      <c r="Y1168" s="355">
        <v>1</v>
      </c>
      <c r="Z1168" s="355">
        <f t="shared" ref="Z1168" si="878">X1168*Y1168</f>
        <v>4410</v>
      </c>
      <c r="AA1168" s="355">
        <f t="shared" ref="AA1168:AA1169" si="879">L1168-Z1168</f>
        <v>2790</v>
      </c>
    </row>
    <row r="1169" spans="1:27" ht="21.75" customHeight="1" x14ac:dyDescent="0.4">
      <c r="A1169" s="258">
        <v>46151</v>
      </c>
      <c r="B1169" s="325" t="s">
        <v>4836</v>
      </c>
      <c r="C1169" s="32" t="s">
        <v>6668</v>
      </c>
      <c r="D1169" s="18" t="s">
        <v>6673</v>
      </c>
      <c r="E1169" s="18" t="s">
        <v>6675</v>
      </c>
      <c r="F1169" s="18" t="s">
        <v>3555</v>
      </c>
      <c r="G1169" s="433" t="s">
        <v>6383</v>
      </c>
      <c r="H1169" s="399">
        <v>1500</v>
      </c>
      <c r="I1169" s="353">
        <v>-150</v>
      </c>
      <c r="J1169" s="350">
        <f t="shared" si="848"/>
        <v>1350</v>
      </c>
      <c r="K1169" s="18">
        <v>1</v>
      </c>
      <c r="L1169" s="350">
        <f t="shared" si="849"/>
        <v>1350</v>
      </c>
      <c r="M1169" s="356">
        <f t="shared" si="850"/>
        <v>1485</v>
      </c>
      <c r="N1169" s="258" t="s">
        <v>1516</v>
      </c>
      <c r="O1169" s="456"/>
      <c r="P1169" s="18" t="s">
        <v>6672</v>
      </c>
      <c r="Q1169" s="18" t="s">
        <v>5449</v>
      </c>
      <c r="R1169" s="18" t="s">
        <v>5449</v>
      </c>
      <c r="W1169" s="354">
        <f t="shared" si="877"/>
        <v>0.57999999999999996</v>
      </c>
      <c r="X1169" s="355">
        <v>870</v>
      </c>
      <c r="Y1169" s="355">
        <v>1</v>
      </c>
      <c r="Z1169" s="355">
        <f>X1169*Y1169</f>
        <v>870</v>
      </c>
      <c r="AA1169" s="355">
        <f t="shared" si="879"/>
        <v>480</v>
      </c>
    </row>
    <row r="1170" spans="1:27" ht="21.75" customHeight="1" x14ac:dyDescent="0.4">
      <c r="A1170" s="258">
        <v>46151</v>
      </c>
      <c r="B1170" s="325" t="s">
        <v>4836</v>
      </c>
      <c r="C1170" s="32" t="s">
        <v>6668</v>
      </c>
      <c r="D1170" s="18" t="s">
        <v>6674</v>
      </c>
      <c r="E1170" s="18" t="s">
        <v>6676</v>
      </c>
      <c r="F1170" s="18"/>
      <c r="G1170" s="63"/>
      <c r="H1170" s="399">
        <v>1000</v>
      </c>
      <c r="I1170" s="353"/>
      <c r="J1170" s="350">
        <f t="shared" si="848"/>
        <v>1000</v>
      </c>
      <c r="K1170" s="18">
        <v>1</v>
      </c>
      <c r="L1170" s="350">
        <f t="shared" si="849"/>
        <v>1000</v>
      </c>
      <c r="M1170" s="356">
        <f t="shared" si="850"/>
        <v>1100</v>
      </c>
      <c r="N1170" s="258" t="s">
        <v>1516</v>
      </c>
      <c r="O1170" s="456"/>
      <c r="P1170" s="18" t="s">
        <v>6672</v>
      </c>
      <c r="Q1170" s="18" t="s">
        <v>5449</v>
      </c>
      <c r="R1170" s="18" t="s">
        <v>5449</v>
      </c>
    </row>
    <row r="1171" spans="1:27" ht="21.75" customHeight="1" x14ac:dyDescent="0.4">
      <c r="A1171" s="258">
        <v>46151</v>
      </c>
      <c r="B1171" s="325" t="s">
        <v>582</v>
      </c>
      <c r="C1171" s="32" t="s">
        <v>2557</v>
      </c>
      <c r="D1171" s="18" t="s">
        <v>2457</v>
      </c>
      <c r="E1171" s="18" t="s">
        <v>1615</v>
      </c>
      <c r="F1171" s="63"/>
      <c r="G1171" s="50" t="s">
        <v>6654</v>
      </c>
      <c r="H1171" s="399">
        <v>15000</v>
      </c>
      <c r="I1171" s="399"/>
      <c r="J1171" s="350">
        <f t="shared" ref="J1171:J1174" si="880">SUM(H1171:I1171)</f>
        <v>15000</v>
      </c>
      <c r="K1171" s="18">
        <v>1</v>
      </c>
      <c r="L1171" s="350">
        <f t="shared" ref="L1171:L1174" si="881">SUM(J1171*K1171)</f>
        <v>15000</v>
      </c>
      <c r="M1171" s="356">
        <f t="shared" ref="M1171:M1174" si="882">ROUNDDOWN(L1171*1.1,0)</f>
        <v>16500</v>
      </c>
      <c r="N1171" s="258" t="s">
        <v>20</v>
      </c>
      <c r="O1171" s="456"/>
      <c r="R1171" s="18" t="s">
        <v>6700</v>
      </c>
    </row>
    <row r="1172" spans="1:27" ht="19.5" customHeight="1" x14ac:dyDescent="0.4">
      <c r="A1172" s="258">
        <v>46151</v>
      </c>
      <c r="B1172" s="325" t="s">
        <v>582</v>
      </c>
      <c r="C1172" s="32" t="s">
        <v>2557</v>
      </c>
      <c r="D1172" s="18" t="s">
        <v>22</v>
      </c>
      <c r="E1172" s="258" t="s">
        <v>5040</v>
      </c>
      <c r="F1172" s="258"/>
      <c r="G1172" s="433" t="s">
        <v>4869</v>
      </c>
      <c r="H1172" s="399">
        <v>2000</v>
      </c>
      <c r="I1172" s="353"/>
      <c r="J1172" s="350">
        <f t="shared" si="880"/>
        <v>2000</v>
      </c>
      <c r="K1172" s="18">
        <v>1</v>
      </c>
      <c r="L1172" s="350">
        <f t="shared" si="881"/>
        <v>2000</v>
      </c>
      <c r="M1172" s="356">
        <f t="shared" si="882"/>
        <v>2200</v>
      </c>
      <c r="N1172" s="258" t="s">
        <v>20</v>
      </c>
      <c r="O1172" s="456"/>
      <c r="P1172" s="18" t="s">
        <v>6701</v>
      </c>
      <c r="R1172" s="18" t="s">
        <v>6700</v>
      </c>
    </row>
    <row r="1173" spans="1:27" ht="19.5" customHeight="1" x14ac:dyDescent="0.4">
      <c r="A1173" s="258">
        <v>46151</v>
      </c>
      <c r="B1173" s="325" t="s">
        <v>6204</v>
      </c>
      <c r="C1173" s="32" t="s">
        <v>405</v>
      </c>
      <c r="D1173" s="258" t="s">
        <v>22</v>
      </c>
      <c r="E1173" s="258" t="s">
        <v>5040</v>
      </c>
      <c r="F1173" s="258"/>
      <c r="G1173" s="433" t="s">
        <v>6186</v>
      </c>
      <c r="H1173" s="399">
        <v>3000</v>
      </c>
      <c r="I1173" s="353"/>
      <c r="J1173" s="350">
        <f t="shared" si="880"/>
        <v>3000</v>
      </c>
      <c r="K1173" s="18">
        <v>1</v>
      </c>
      <c r="L1173" s="350">
        <f t="shared" si="881"/>
        <v>3000</v>
      </c>
      <c r="M1173" s="356">
        <f t="shared" si="882"/>
        <v>3300</v>
      </c>
      <c r="N1173" s="258" t="s">
        <v>20</v>
      </c>
      <c r="O1173" s="456"/>
      <c r="R1173" s="18" t="s">
        <v>4803</v>
      </c>
      <c r="S1173" s="472"/>
    </row>
    <row r="1174" spans="1:27" ht="19.5" customHeight="1" x14ac:dyDescent="0.4">
      <c r="A1174" s="258">
        <v>46151</v>
      </c>
      <c r="B1174" s="325" t="s">
        <v>6144</v>
      </c>
      <c r="C1174" s="32" t="s">
        <v>2557</v>
      </c>
      <c r="D1174" s="18" t="s">
        <v>27</v>
      </c>
      <c r="E1174" s="242" t="s">
        <v>5237</v>
      </c>
      <c r="F1174" s="242"/>
      <c r="G1174" s="63" t="s">
        <v>6032</v>
      </c>
      <c r="H1174" s="399">
        <v>2500</v>
      </c>
      <c r="I1174" s="399"/>
      <c r="J1174" s="350">
        <f t="shared" si="880"/>
        <v>2500</v>
      </c>
      <c r="K1174" s="18">
        <v>1</v>
      </c>
      <c r="L1174" s="350">
        <f t="shared" si="881"/>
        <v>2500</v>
      </c>
      <c r="M1174" s="356">
        <f t="shared" si="882"/>
        <v>2750</v>
      </c>
      <c r="N1174" s="18" t="s">
        <v>4233</v>
      </c>
      <c r="O1174" s="456"/>
      <c r="R1174" s="18" t="s">
        <v>4803</v>
      </c>
      <c r="S1174" s="472"/>
    </row>
    <row r="1175" spans="1:27" ht="21.75" customHeight="1" x14ac:dyDescent="0.4">
      <c r="A1175" s="258">
        <v>46152</v>
      </c>
      <c r="B1175" s="325" t="s">
        <v>6689</v>
      </c>
      <c r="C1175" s="32" t="s">
        <v>405</v>
      </c>
      <c r="D1175" s="18" t="s">
        <v>22</v>
      </c>
      <c r="E1175" s="18" t="s">
        <v>260</v>
      </c>
      <c r="F1175" s="18"/>
      <c r="G1175" s="63" t="s">
        <v>6690</v>
      </c>
      <c r="H1175" s="399">
        <v>10000</v>
      </c>
      <c r="I1175" s="353"/>
      <c r="J1175" s="350">
        <f t="shared" si="848"/>
        <v>10000</v>
      </c>
      <c r="K1175" s="18">
        <v>1</v>
      </c>
      <c r="L1175" s="350">
        <f t="shared" si="849"/>
        <v>10000</v>
      </c>
      <c r="M1175" s="356">
        <f t="shared" si="850"/>
        <v>11000</v>
      </c>
      <c r="N1175" s="258" t="s">
        <v>1516</v>
      </c>
      <c r="O1175" s="456"/>
      <c r="P1175" s="18" t="s">
        <v>2594</v>
      </c>
      <c r="Q1175" s="18" t="s">
        <v>2594</v>
      </c>
      <c r="R1175" s="18" t="s">
        <v>2594</v>
      </c>
    </row>
    <row r="1176" spans="1:27" ht="21.75" customHeight="1" x14ac:dyDescent="0.4">
      <c r="A1176" s="258">
        <v>46152</v>
      </c>
      <c r="B1176" s="325" t="s">
        <v>162</v>
      </c>
      <c r="C1176" s="32" t="s">
        <v>2557</v>
      </c>
      <c r="D1176" s="18" t="s">
        <v>27</v>
      </c>
      <c r="E1176" s="18" t="s">
        <v>28</v>
      </c>
      <c r="F1176" s="18"/>
      <c r="G1176" s="63" t="s">
        <v>73</v>
      </c>
      <c r="H1176" s="399">
        <v>2000</v>
      </c>
      <c r="I1176" s="353"/>
      <c r="J1176" s="350">
        <f t="shared" si="848"/>
        <v>2000</v>
      </c>
      <c r="K1176" s="18">
        <v>1</v>
      </c>
      <c r="L1176" s="350">
        <f t="shared" si="849"/>
        <v>2000</v>
      </c>
      <c r="M1176" s="356">
        <f t="shared" si="850"/>
        <v>2200</v>
      </c>
      <c r="N1176" s="258" t="s">
        <v>1516</v>
      </c>
      <c r="O1176" s="456" t="s">
        <v>6659</v>
      </c>
      <c r="P1176" s="18" t="s">
        <v>5459</v>
      </c>
      <c r="Q1176" s="18" t="s">
        <v>5459</v>
      </c>
      <c r="R1176" s="18" t="s">
        <v>5459</v>
      </c>
    </row>
    <row r="1177" spans="1:27" ht="21.75" customHeight="1" x14ac:dyDescent="0.4">
      <c r="A1177" s="258">
        <v>46152</v>
      </c>
      <c r="B1177" s="325" t="s">
        <v>582</v>
      </c>
      <c r="C1177" s="32" t="s">
        <v>6691</v>
      </c>
      <c r="D1177" s="18" t="s">
        <v>6692</v>
      </c>
      <c r="E1177" s="18" t="s">
        <v>6693</v>
      </c>
      <c r="F1177" s="18" t="s">
        <v>3555</v>
      </c>
      <c r="G1177" s="63" t="s">
        <v>6694</v>
      </c>
      <c r="H1177" s="399">
        <v>2000</v>
      </c>
      <c r="I1177" s="353">
        <v>-200</v>
      </c>
      <c r="J1177" s="350">
        <f t="shared" si="848"/>
        <v>1800</v>
      </c>
      <c r="K1177" s="18">
        <v>1</v>
      </c>
      <c r="L1177" s="350">
        <f t="shared" si="849"/>
        <v>1800</v>
      </c>
      <c r="M1177" s="356">
        <f t="shared" si="850"/>
        <v>1980</v>
      </c>
      <c r="N1177" s="258" t="s">
        <v>20</v>
      </c>
      <c r="O1177" s="456"/>
      <c r="P1177" s="18" t="s">
        <v>5459</v>
      </c>
      <c r="Q1177" s="18" t="s">
        <v>5459</v>
      </c>
      <c r="R1177" s="18" t="s">
        <v>5459</v>
      </c>
      <c r="W1177" s="354">
        <f t="shared" ref="W1177" si="883">X1177/H1177</f>
        <v>0.57999999999999996</v>
      </c>
      <c r="X1177" s="355">
        <v>1160</v>
      </c>
      <c r="Y1177" s="355">
        <v>1</v>
      </c>
      <c r="Z1177" s="355">
        <f>X1177*Y1177</f>
        <v>1160</v>
      </c>
      <c r="AA1177" s="355">
        <f>L1177-Z1177</f>
        <v>640</v>
      </c>
    </row>
    <row r="1178" spans="1:27" ht="21.75" customHeight="1" x14ac:dyDescent="0.4">
      <c r="A1178" s="258">
        <v>46152</v>
      </c>
      <c r="B1178" s="325" t="s">
        <v>582</v>
      </c>
      <c r="C1178" s="32" t="s">
        <v>2557</v>
      </c>
      <c r="D1178" s="18" t="s">
        <v>6695</v>
      </c>
      <c r="E1178" s="18" t="s">
        <v>6620</v>
      </c>
      <c r="F1178" s="18"/>
      <c r="G1178" s="63"/>
      <c r="H1178" s="399">
        <v>300</v>
      </c>
      <c r="I1178" s="353"/>
      <c r="J1178" s="350">
        <f t="shared" si="848"/>
        <v>300</v>
      </c>
      <c r="K1178" s="18">
        <v>1</v>
      </c>
      <c r="L1178" s="350">
        <f t="shared" si="849"/>
        <v>300</v>
      </c>
      <c r="M1178" s="356">
        <f t="shared" si="850"/>
        <v>330</v>
      </c>
      <c r="N1178" s="258" t="s">
        <v>6696</v>
      </c>
      <c r="O1178" s="456"/>
      <c r="P1178" s="18" t="s">
        <v>5459</v>
      </c>
      <c r="Q1178" s="18" t="s">
        <v>5459</v>
      </c>
      <c r="R1178" s="18" t="s">
        <v>5459</v>
      </c>
    </row>
    <row r="1179" spans="1:27" ht="21.75" customHeight="1" x14ac:dyDescent="0.4">
      <c r="A1179" s="258">
        <v>46153</v>
      </c>
      <c r="B1179" s="325" t="s">
        <v>1861</v>
      </c>
      <c r="C1179" s="32" t="s">
        <v>2557</v>
      </c>
      <c r="D1179" s="18" t="s">
        <v>22</v>
      </c>
      <c r="E1179" s="258" t="s">
        <v>5040</v>
      </c>
      <c r="F1179" s="258"/>
      <c r="G1179" s="433" t="s">
        <v>4869</v>
      </c>
      <c r="H1179" s="399">
        <v>2000</v>
      </c>
      <c r="I1179" s="353"/>
      <c r="J1179" s="350">
        <f t="shared" si="848"/>
        <v>2000</v>
      </c>
      <c r="K1179" s="18">
        <v>1</v>
      </c>
      <c r="L1179" s="350">
        <f t="shared" si="849"/>
        <v>2000</v>
      </c>
      <c r="M1179" s="356">
        <f t="shared" si="850"/>
        <v>2200</v>
      </c>
      <c r="N1179" s="258" t="s">
        <v>1516</v>
      </c>
      <c r="O1179" s="456"/>
      <c r="P1179" s="18" t="s">
        <v>5449</v>
      </c>
      <c r="Q1179" s="18" t="s">
        <v>5449</v>
      </c>
      <c r="R1179" s="18" t="s">
        <v>5449</v>
      </c>
    </row>
    <row r="1180" spans="1:27" ht="21.75" customHeight="1" x14ac:dyDescent="0.4">
      <c r="A1180" s="258">
        <v>46153</v>
      </c>
      <c r="B1180" s="32" t="s">
        <v>6787</v>
      </c>
      <c r="C1180" s="32" t="s">
        <v>2557</v>
      </c>
      <c r="D1180" s="258" t="s">
        <v>22</v>
      </c>
      <c r="E1180" s="258" t="s">
        <v>5040</v>
      </c>
      <c r="F1180" s="258"/>
      <c r="G1180" s="433" t="s">
        <v>4869</v>
      </c>
      <c r="H1180" s="399">
        <v>2000</v>
      </c>
      <c r="I1180" s="353"/>
      <c r="J1180" s="350">
        <f t="shared" si="848"/>
        <v>2000</v>
      </c>
      <c r="K1180" s="18">
        <v>1</v>
      </c>
      <c r="L1180" s="350">
        <f t="shared" si="849"/>
        <v>2000</v>
      </c>
      <c r="M1180" s="356">
        <f t="shared" si="850"/>
        <v>2200</v>
      </c>
      <c r="N1180" s="258" t="s">
        <v>1516</v>
      </c>
      <c r="O1180" s="456"/>
      <c r="P1180" s="18" t="s">
        <v>5449</v>
      </c>
      <c r="Q1180" s="18" t="s">
        <v>5449</v>
      </c>
      <c r="R1180" s="18" t="s">
        <v>5449</v>
      </c>
    </row>
    <row r="1181" spans="1:27" ht="21.75" customHeight="1" x14ac:dyDescent="0.4">
      <c r="A1181" s="258">
        <v>46153</v>
      </c>
      <c r="B1181" s="325" t="s">
        <v>6697</v>
      </c>
      <c r="C1181" s="32" t="s">
        <v>6698</v>
      </c>
      <c r="D1181" s="18" t="s">
        <v>2457</v>
      </c>
      <c r="E1181" s="18" t="s">
        <v>1615</v>
      </c>
      <c r="F1181" s="63"/>
      <c r="G1181" s="50" t="s">
        <v>6654</v>
      </c>
      <c r="H1181" s="399">
        <v>15000</v>
      </c>
      <c r="I1181" s="353"/>
      <c r="J1181" s="350">
        <f t="shared" si="848"/>
        <v>15000</v>
      </c>
      <c r="K1181" s="18">
        <v>1</v>
      </c>
      <c r="L1181" s="350">
        <f t="shared" si="849"/>
        <v>15000</v>
      </c>
      <c r="M1181" s="356">
        <f t="shared" si="850"/>
        <v>16500</v>
      </c>
      <c r="N1181" s="258" t="s">
        <v>6699</v>
      </c>
      <c r="O1181" s="456"/>
      <c r="P1181" s="18" t="s">
        <v>5449</v>
      </c>
      <c r="Q1181" s="18" t="s">
        <v>5449</v>
      </c>
      <c r="R1181" s="18" t="s">
        <v>5449</v>
      </c>
    </row>
    <row r="1182" spans="1:27" ht="21.75" customHeight="1" x14ac:dyDescent="0.4">
      <c r="A1182" s="258">
        <v>46155</v>
      </c>
      <c r="B1182" s="325" t="s">
        <v>6702</v>
      </c>
      <c r="C1182" s="32" t="s">
        <v>2557</v>
      </c>
      <c r="D1182" s="18" t="s">
        <v>27</v>
      </c>
      <c r="E1182" s="18" t="s">
        <v>4409</v>
      </c>
      <c r="F1182" s="258"/>
      <c r="G1182" s="63" t="s">
        <v>6290</v>
      </c>
      <c r="H1182" s="399">
        <v>22500</v>
      </c>
      <c r="I1182" s="353"/>
      <c r="J1182" s="350">
        <f t="shared" si="848"/>
        <v>22500</v>
      </c>
      <c r="K1182" s="18">
        <v>1</v>
      </c>
      <c r="L1182" s="350">
        <f t="shared" si="849"/>
        <v>22500</v>
      </c>
      <c r="M1182" s="356">
        <f t="shared" si="850"/>
        <v>24750</v>
      </c>
      <c r="N1182" s="258" t="s">
        <v>1516</v>
      </c>
      <c r="O1182" s="465" t="s">
        <v>4801</v>
      </c>
      <c r="Q1182" s="18" t="s">
        <v>6700</v>
      </c>
      <c r="R1182" s="18" t="s">
        <v>6700</v>
      </c>
    </row>
    <row r="1183" spans="1:27" ht="21.75" customHeight="1" x14ac:dyDescent="0.4">
      <c r="A1183" s="258">
        <v>46155</v>
      </c>
      <c r="B1183" s="325" t="s">
        <v>1861</v>
      </c>
      <c r="C1183" s="32" t="s">
        <v>2557</v>
      </c>
      <c r="D1183" s="18" t="s">
        <v>22</v>
      </c>
      <c r="E1183" s="258" t="s">
        <v>5040</v>
      </c>
      <c r="F1183" s="258"/>
      <c r="G1183" s="433" t="s">
        <v>4869</v>
      </c>
      <c r="H1183" s="399">
        <v>2000</v>
      </c>
      <c r="I1183" s="353"/>
      <c r="J1183" s="350">
        <f t="shared" si="848"/>
        <v>2000</v>
      </c>
      <c r="K1183" s="18">
        <v>1</v>
      </c>
      <c r="L1183" s="350">
        <f t="shared" si="849"/>
        <v>2000</v>
      </c>
      <c r="M1183" s="356">
        <f t="shared" si="850"/>
        <v>2200</v>
      </c>
      <c r="N1183" s="258" t="s">
        <v>1516</v>
      </c>
      <c r="O1183" s="456"/>
      <c r="P1183" s="18" t="s">
        <v>5449</v>
      </c>
      <c r="Q1183" s="18" t="s">
        <v>6700</v>
      </c>
      <c r="R1183" s="18" t="s">
        <v>6700</v>
      </c>
    </row>
    <row r="1184" spans="1:27" ht="21.75" customHeight="1" x14ac:dyDescent="0.4">
      <c r="A1184" s="258">
        <v>46155</v>
      </c>
      <c r="B1184" s="325" t="s">
        <v>6703</v>
      </c>
      <c r="C1184" s="32" t="s">
        <v>2557</v>
      </c>
      <c r="D1184" s="18" t="s">
        <v>27</v>
      </c>
      <c r="E1184" s="18" t="s">
        <v>4409</v>
      </c>
      <c r="F1184" s="258"/>
      <c r="G1184" s="63" t="s">
        <v>6269</v>
      </c>
      <c r="H1184" s="399">
        <v>17500</v>
      </c>
      <c r="I1184" s="353"/>
      <c r="J1184" s="350">
        <f t="shared" si="848"/>
        <v>17500</v>
      </c>
      <c r="K1184" s="18">
        <v>1</v>
      </c>
      <c r="L1184" s="350">
        <f t="shared" si="849"/>
        <v>17500</v>
      </c>
      <c r="M1184" s="356">
        <f t="shared" si="850"/>
        <v>19250</v>
      </c>
      <c r="N1184" s="258" t="s">
        <v>1516</v>
      </c>
      <c r="O1184" s="465" t="s">
        <v>4801</v>
      </c>
      <c r="Q1184" s="18" t="s">
        <v>6700</v>
      </c>
      <c r="R1184" s="18" t="s">
        <v>6700</v>
      </c>
    </row>
    <row r="1185" spans="1:27" ht="21.75" customHeight="1" x14ac:dyDescent="0.4">
      <c r="A1185" s="258">
        <v>46155</v>
      </c>
      <c r="B1185" s="325" t="s">
        <v>6704</v>
      </c>
      <c r="C1185" s="32" t="s">
        <v>2557</v>
      </c>
      <c r="D1185" s="18" t="s">
        <v>27</v>
      </c>
      <c r="E1185" s="18" t="s">
        <v>4409</v>
      </c>
      <c r="F1185" s="258"/>
      <c r="G1185" s="63" t="s">
        <v>6269</v>
      </c>
      <c r="H1185" s="399">
        <v>17500</v>
      </c>
      <c r="I1185" s="353"/>
      <c r="J1185" s="350">
        <f t="shared" si="848"/>
        <v>17500</v>
      </c>
      <c r="K1185" s="18">
        <v>1</v>
      </c>
      <c r="L1185" s="350">
        <f t="shared" si="849"/>
        <v>17500</v>
      </c>
      <c r="M1185" s="356">
        <f t="shared" si="850"/>
        <v>19250</v>
      </c>
      <c r="N1185" s="258" t="s">
        <v>1516</v>
      </c>
      <c r="O1185" s="465" t="s">
        <v>4801</v>
      </c>
      <c r="Q1185" s="18" t="s">
        <v>6700</v>
      </c>
      <c r="R1185" s="18" t="s">
        <v>6700</v>
      </c>
    </row>
    <row r="1186" spans="1:27" ht="21.75" customHeight="1" x14ac:dyDescent="0.4">
      <c r="A1186" s="258">
        <v>46156</v>
      </c>
      <c r="B1186" s="325" t="s">
        <v>6705</v>
      </c>
      <c r="C1186" s="32" t="s">
        <v>2557</v>
      </c>
      <c r="D1186" s="18" t="s">
        <v>59</v>
      </c>
      <c r="E1186" s="18" t="s">
        <v>6676</v>
      </c>
      <c r="F1186" s="18"/>
      <c r="G1186" s="63" t="s">
        <v>6706</v>
      </c>
      <c r="H1186" s="399">
        <v>1500</v>
      </c>
      <c r="I1186" s="353"/>
      <c r="J1186" s="350">
        <f t="shared" si="848"/>
        <v>1500</v>
      </c>
      <c r="K1186" s="18">
        <v>1</v>
      </c>
      <c r="L1186" s="350">
        <f t="shared" si="849"/>
        <v>1500</v>
      </c>
      <c r="M1186" s="356">
        <f t="shared" si="850"/>
        <v>1650</v>
      </c>
      <c r="N1186" s="258" t="s">
        <v>20</v>
      </c>
      <c r="O1186" s="456"/>
      <c r="P1186" s="18" t="s">
        <v>6707</v>
      </c>
      <c r="Q1186" s="18" t="s">
        <v>6707</v>
      </c>
      <c r="R1186" s="18" t="s">
        <v>4803</v>
      </c>
    </row>
    <row r="1187" spans="1:27" ht="21.75" customHeight="1" x14ac:dyDescent="0.4">
      <c r="A1187" s="258">
        <v>46156</v>
      </c>
      <c r="B1187" s="325" t="s">
        <v>6541</v>
      </c>
      <c r="C1187" s="32" t="s">
        <v>2557</v>
      </c>
      <c r="D1187" s="18" t="s">
        <v>27</v>
      </c>
      <c r="E1187" s="18" t="s">
        <v>4409</v>
      </c>
      <c r="F1187" s="258"/>
      <c r="G1187" s="63" t="s">
        <v>6269</v>
      </c>
      <c r="H1187" s="399">
        <v>17500</v>
      </c>
      <c r="I1187" s="353"/>
      <c r="J1187" s="350">
        <f t="shared" ref="J1187:J1188" si="884">SUM(H1187:I1187)</f>
        <v>17500</v>
      </c>
      <c r="K1187" s="18">
        <v>1</v>
      </c>
      <c r="L1187" s="350">
        <f t="shared" ref="L1187:L1188" si="885">SUM(J1187*K1187)</f>
        <v>17500</v>
      </c>
      <c r="M1187" s="356">
        <f t="shared" ref="M1187:M1188" si="886">ROUNDDOWN(L1187*1.1,0)</f>
        <v>19250</v>
      </c>
      <c r="N1187" s="258" t="s">
        <v>1516</v>
      </c>
      <c r="O1187" s="465" t="s">
        <v>4801</v>
      </c>
      <c r="Q1187" s="18" t="s">
        <v>6707</v>
      </c>
      <c r="R1187" s="18" t="s">
        <v>4803</v>
      </c>
    </row>
    <row r="1188" spans="1:27" ht="21.75" customHeight="1" x14ac:dyDescent="0.4">
      <c r="A1188" s="258">
        <v>46156</v>
      </c>
      <c r="B1188" s="325" t="s">
        <v>6708</v>
      </c>
      <c r="C1188" s="32" t="s">
        <v>2557</v>
      </c>
      <c r="D1188" s="18" t="s">
        <v>27</v>
      </c>
      <c r="E1188" s="18" t="s">
        <v>4409</v>
      </c>
      <c r="F1188" s="258"/>
      <c r="G1188" s="63" t="s">
        <v>6269</v>
      </c>
      <c r="H1188" s="399">
        <v>17500</v>
      </c>
      <c r="I1188" s="353"/>
      <c r="J1188" s="350">
        <f t="shared" si="884"/>
        <v>17500</v>
      </c>
      <c r="K1188" s="18">
        <v>1</v>
      </c>
      <c r="L1188" s="350">
        <f t="shared" si="885"/>
        <v>17500</v>
      </c>
      <c r="M1188" s="356">
        <f t="shared" si="886"/>
        <v>19250</v>
      </c>
      <c r="N1188" s="258" t="s">
        <v>1516</v>
      </c>
      <c r="O1188" s="465" t="s">
        <v>4801</v>
      </c>
      <c r="Q1188" s="18" t="s">
        <v>6707</v>
      </c>
      <c r="R1188" s="18" t="s">
        <v>4803</v>
      </c>
      <c r="S1188" s="471"/>
    </row>
    <row r="1189" spans="1:27" ht="21.75" customHeight="1" x14ac:dyDescent="0.4">
      <c r="A1189" s="258">
        <v>46156</v>
      </c>
      <c r="B1189" s="325" t="s">
        <v>6708</v>
      </c>
      <c r="C1189" s="32" t="s">
        <v>2557</v>
      </c>
      <c r="D1189" s="18" t="s">
        <v>27</v>
      </c>
      <c r="E1189" s="18" t="s">
        <v>4409</v>
      </c>
      <c r="F1189" s="258"/>
      <c r="G1189" s="63" t="s">
        <v>6710</v>
      </c>
      <c r="H1189" s="399">
        <v>8750</v>
      </c>
      <c r="I1189" s="353"/>
      <c r="J1189" s="350">
        <f t="shared" si="848"/>
        <v>8750</v>
      </c>
      <c r="K1189" s="18">
        <v>1</v>
      </c>
      <c r="L1189" s="350">
        <f t="shared" si="849"/>
        <v>8750</v>
      </c>
      <c r="M1189" s="356">
        <f t="shared" si="850"/>
        <v>9625</v>
      </c>
      <c r="N1189" s="258" t="s">
        <v>1516</v>
      </c>
      <c r="O1189" s="465" t="s">
        <v>6709</v>
      </c>
      <c r="Q1189" s="18" t="s">
        <v>6707</v>
      </c>
      <c r="R1189" s="18" t="s">
        <v>4803</v>
      </c>
      <c r="S1189" s="472"/>
    </row>
    <row r="1190" spans="1:27" ht="21.75" customHeight="1" x14ac:dyDescent="0.4">
      <c r="A1190" s="258">
        <v>46156</v>
      </c>
      <c r="B1190" s="325" t="s">
        <v>1242</v>
      </c>
      <c r="C1190" s="32" t="s">
        <v>6712</v>
      </c>
      <c r="D1190" s="18" t="s">
        <v>6713</v>
      </c>
      <c r="E1190" s="18" t="s">
        <v>426</v>
      </c>
      <c r="F1190" s="18" t="s">
        <v>994</v>
      </c>
      <c r="G1190" s="63" t="s">
        <v>6714</v>
      </c>
      <c r="H1190" s="406">
        <v>1800</v>
      </c>
      <c r="I1190" s="353"/>
      <c r="J1190" s="350">
        <f t="shared" si="848"/>
        <v>1800</v>
      </c>
      <c r="K1190" s="18">
        <v>1</v>
      </c>
      <c r="L1190" s="350">
        <f t="shared" si="849"/>
        <v>1800</v>
      </c>
      <c r="M1190" s="357">
        <f t="shared" si="850"/>
        <v>1980</v>
      </c>
      <c r="N1190" s="258" t="s">
        <v>6717</v>
      </c>
      <c r="O1190" s="456"/>
      <c r="Q1190" s="18" t="s">
        <v>6718</v>
      </c>
      <c r="R1190" s="18" t="s">
        <v>6718</v>
      </c>
      <c r="W1190" s="354">
        <f t="shared" ref="W1190:W1194" si="887">X1190/H1190</f>
        <v>0.6</v>
      </c>
      <c r="X1190" s="355">
        <v>1080</v>
      </c>
      <c r="Y1190" s="355">
        <v>1</v>
      </c>
      <c r="Z1190" s="355">
        <f t="shared" ref="Z1190:Z1194" si="888">X1190*Y1190</f>
        <v>1080</v>
      </c>
      <c r="AA1190" s="355">
        <f t="shared" ref="AA1190:AA1194" si="889">L1190-Z1190</f>
        <v>720</v>
      </c>
    </row>
    <row r="1191" spans="1:27" ht="21.75" customHeight="1" x14ac:dyDescent="0.4">
      <c r="A1191" s="258">
        <v>46156</v>
      </c>
      <c r="B1191" s="325" t="s">
        <v>1242</v>
      </c>
      <c r="C1191" s="32" t="s">
        <v>6712</v>
      </c>
      <c r="D1191" s="18" t="s">
        <v>6713</v>
      </c>
      <c r="E1191" s="18" t="s">
        <v>426</v>
      </c>
      <c r="F1191" s="18" t="s">
        <v>994</v>
      </c>
      <c r="G1191" s="63" t="s">
        <v>6715</v>
      </c>
      <c r="H1191" s="406">
        <v>1800</v>
      </c>
      <c r="I1191" s="353"/>
      <c r="J1191" s="350">
        <f t="shared" si="848"/>
        <v>1800</v>
      </c>
      <c r="K1191" s="18">
        <v>1</v>
      </c>
      <c r="L1191" s="350">
        <f t="shared" si="849"/>
        <v>1800</v>
      </c>
      <c r="M1191" s="357">
        <f t="shared" si="850"/>
        <v>1980</v>
      </c>
      <c r="N1191" s="258" t="s">
        <v>6717</v>
      </c>
      <c r="O1191" s="456"/>
      <c r="Q1191" s="18" t="s">
        <v>6718</v>
      </c>
      <c r="R1191" s="18" t="s">
        <v>6718</v>
      </c>
      <c r="W1191" s="354">
        <f t="shared" si="887"/>
        <v>0.6</v>
      </c>
      <c r="X1191" s="355">
        <v>1080</v>
      </c>
      <c r="Y1191" s="355">
        <v>1</v>
      </c>
      <c r="Z1191" s="355">
        <f t="shared" si="888"/>
        <v>1080</v>
      </c>
      <c r="AA1191" s="355">
        <f t="shared" si="889"/>
        <v>720</v>
      </c>
    </row>
    <row r="1192" spans="1:27" ht="21.75" customHeight="1" x14ac:dyDescent="0.4">
      <c r="A1192" s="258">
        <v>46156</v>
      </c>
      <c r="B1192" s="325" t="s">
        <v>1242</v>
      </c>
      <c r="C1192" s="32" t="s">
        <v>6712</v>
      </c>
      <c r="D1192" s="18" t="s">
        <v>6713</v>
      </c>
      <c r="E1192" s="18" t="s">
        <v>426</v>
      </c>
      <c r="F1192" s="18" t="s">
        <v>994</v>
      </c>
      <c r="G1192" s="63" t="s">
        <v>6716</v>
      </c>
      <c r="H1192" s="406">
        <v>1800</v>
      </c>
      <c r="I1192" s="353"/>
      <c r="J1192" s="350">
        <f t="shared" si="848"/>
        <v>1800</v>
      </c>
      <c r="K1192" s="18">
        <v>1</v>
      </c>
      <c r="L1192" s="350">
        <f t="shared" si="849"/>
        <v>1800</v>
      </c>
      <c r="M1192" s="357">
        <f t="shared" si="850"/>
        <v>1980</v>
      </c>
      <c r="N1192" s="258" t="s">
        <v>6717</v>
      </c>
      <c r="O1192" s="456"/>
      <c r="Q1192" s="18" t="s">
        <v>6718</v>
      </c>
      <c r="R1192" s="18" t="s">
        <v>6718</v>
      </c>
      <c r="W1192" s="354">
        <f t="shared" si="887"/>
        <v>0.6</v>
      </c>
      <c r="X1192" s="355">
        <v>1080</v>
      </c>
      <c r="Y1192" s="355">
        <v>1</v>
      </c>
      <c r="Z1192" s="355">
        <f t="shared" si="888"/>
        <v>1080</v>
      </c>
      <c r="AA1192" s="355">
        <f t="shared" si="889"/>
        <v>720</v>
      </c>
    </row>
    <row r="1193" spans="1:27" ht="21.75" customHeight="1" x14ac:dyDescent="0.4">
      <c r="A1193" s="258">
        <v>46156</v>
      </c>
      <c r="B1193" s="325" t="s">
        <v>582</v>
      </c>
      <c r="C1193" s="32" t="s">
        <v>6712</v>
      </c>
      <c r="D1193" s="18" t="s">
        <v>6713</v>
      </c>
      <c r="E1193" s="18" t="s">
        <v>426</v>
      </c>
      <c r="F1193" s="18" t="s">
        <v>994</v>
      </c>
      <c r="G1193" s="63" t="s">
        <v>6721</v>
      </c>
      <c r="H1193" s="406">
        <v>1800</v>
      </c>
      <c r="I1193" s="353"/>
      <c r="J1193" s="350">
        <f t="shared" si="848"/>
        <v>1800</v>
      </c>
      <c r="K1193" s="18">
        <v>1</v>
      </c>
      <c r="L1193" s="350">
        <f t="shared" si="849"/>
        <v>1800</v>
      </c>
      <c r="M1193" s="356">
        <f t="shared" si="850"/>
        <v>1980</v>
      </c>
      <c r="N1193" s="258" t="s">
        <v>6717</v>
      </c>
      <c r="O1193" s="456"/>
      <c r="Q1193" s="18" t="s">
        <v>6718</v>
      </c>
      <c r="R1193" s="18" t="s">
        <v>6718</v>
      </c>
      <c r="W1193" s="354">
        <f t="shared" si="887"/>
        <v>0.6</v>
      </c>
      <c r="X1193" s="355">
        <v>1080</v>
      </c>
      <c r="Y1193" s="355">
        <v>1</v>
      </c>
      <c r="Z1193" s="355">
        <f t="shared" si="888"/>
        <v>1080</v>
      </c>
      <c r="AA1193" s="355">
        <f t="shared" si="889"/>
        <v>720</v>
      </c>
    </row>
    <row r="1194" spans="1:27" ht="21.75" customHeight="1" x14ac:dyDescent="0.4">
      <c r="A1194" s="258">
        <v>46156</v>
      </c>
      <c r="B1194" s="473" t="s">
        <v>582</v>
      </c>
      <c r="C1194" s="241" t="s">
        <v>2557</v>
      </c>
      <c r="D1194" s="18" t="s">
        <v>17</v>
      </c>
      <c r="E1194" s="18" t="s">
        <v>332</v>
      </c>
      <c r="F1194" s="18" t="s">
        <v>3555</v>
      </c>
      <c r="G1194" s="63" t="s">
        <v>6694</v>
      </c>
      <c r="H1194" s="406">
        <v>2000</v>
      </c>
      <c r="I1194" s="353">
        <v>-200</v>
      </c>
      <c r="J1194" s="350">
        <f t="shared" ref="J1194:J1195" si="890">SUM(H1194:I1194)</f>
        <v>1800</v>
      </c>
      <c r="K1194" s="18">
        <v>1</v>
      </c>
      <c r="L1194" s="350">
        <f t="shared" ref="L1194:L1195" si="891">SUM(J1194*K1194)</f>
        <v>1800</v>
      </c>
      <c r="M1194" s="356">
        <f t="shared" ref="M1194:M1195" si="892">ROUNDDOWN(L1194*1.1,0)</f>
        <v>1980</v>
      </c>
      <c r="N1194" s="258" t="s">
        <v>20</v>
      </c>
      <c r="O1194" s="456"/>
      <c r="Q1194" s="18" t="s">
        <v>6718</v>
      </c>
      <c r="R1194" s="18" t="s">
        <v>6718</v>
      </c>
      <c r="W1194" s="354">
        <f t="shared" si="887"/>
        <v>0.57999999999999996</v>
      </c>
      <c r="X1194" s="355">
        <v>1160</v>
      </c>
      <c r="Y1194" s="355">
        <v>1</v>
      </c>
      <c r="Z1194" s="355">
        <f t="shared" si="888"/>
        <v>1160</v>
      </c>
      <c r="AA1194" s="355">
        <f t="shared" si="889"/>
        <v>640</v>
      </c>
    </row>
    <row r="1195" spans="1:27" ht="21.75" customHeight="1" x14ac:dyDescent="0.4">
      <c r="A1195" s="258">
        <v>46156</v>
      </c>
      <c r="B1195" s="473" t="s">
        <v>582</v>
      </c>
      <c r="C1195" s="241" t="s">
        <v>2557</v>
      </c>
      <c r="D1195" s="18" t="s">
        <v>59</v>
      </c>
      <c r="E1195" s="18" t="s">
        <v>6620</v>
      </c>
      <c r="F1195" s="18"/>
      <c r="G1195" s="63"/>
      <c r="H1195" s="406">
        <v>300</v>
      </c>
      <c r="I1195" s="353">
        <v>-30</v>
      </c>
      <c r="J1195" s="350">
        <f t="shared" si="890"/>
        <v>270</v>
      </c>
      <c r="K1195" s="18">
        <v>1</v>
      </c>
      <c r="L1195" s="350">
        <f t="shared" si="891"/>
        <v>270</v>
      </c>
      <c r="M1195" s="356">
        <f t="shared" si="892"/>
        <v>297</v>
      </c>
      <c r="N1195" s="258" t="s">
        <v>20</v>
      </c>
      <c r="O1195" s="456"/>
      <c r="Q1195" s="18" t="s">
        <v>6718</v>
      </c>
      <c r="R1195" s="18" t="s">
        <v>6718</v>
      </c>
    </row>
    <row r="1196" spans="1:27" ht="21.75" customHeight="1" x14ac:dyDescent="0.4">
      <c r="A1196" s="258">
        <v>46156</v>
      </c>
      <c r="B1196" s="473" t="s">
        <v>6741</v>
      </c>
      <c r="C1196" s="241" t="s">
        <v>405</v>
      </c>
      <c r="D1196" s="18" t="s">
        <v>59</v>
      </c>
      <c r="E1196" s="18" t="s">
        <v>6620</v>
      </c>
      <c r="F1196" s="18"/>
      <c r="G1196" s="63"/>
      <c r="H1196" s="399">
        <v>300</v>
      </c>
      <c r="I1196" s="353"/>
      <c r="J1196" s="350">
        <f t="shared" si="848"/>
        <v>300</v>
      </c>
      <c r="K1196" s="18">
        <v>3</v>
      </c>
      <c r="L1196" s="350">
        <f t="shared" si="849"/>
        <v>900</v>
      </c>
      <c r="M1196" s="356">
        <f t="shared" si="850"/>
        <v>990</v>
      </c>
      <c r="N1196" s="258" t="s">
        <v>1121</v>
      </c>
      <c r="O1196" s="456"/>
      <c r="Q1196" s="18" t="s">
        <v>6718</v>
      </c>
      <c r="R1196" s="18" t="s">
        <v>6718</v>
      </c>
    </row>
    <row r="1197" spans="1:27" ht="21.75" customHeight="1" x14ac:dyDescent="0.4">
      <c r="A1197" s="258">
        <v>46156</v>
      </c>
      <c r="B1197" s="473" t="s">
        <v>6322</v>
      </c>
      <c r="C1197" s="241" t="s">
        <v>4292</v>
      </c>
      <c r="D1197" s="258" t="s">
        <v>17</v>
      </c>
      <c r="E1197" s="258" t="s">
        <v>426</v>
      </c>
      <c r="F1197" s="18" t="s">
        <v>994</v>
      </c>
      <c r="G1197" s="462" t="s">
        <v>6719</v>
      </c>
      <c r="H1197" s="399">
        <v>1800</v>
      </c>
      <c r="I1197" s="353">
        <v>-720</v>
      </c>
      <c r="J1197" s="350">
        <f t="shared" si="848"/>
        <v>1080</v>
      </c>
      <c r="K1197" s="18">
        <v>3</v>
      </c>
      <c r="L1197" s="350">
        <f t="shared" si="849"/>
        <v>3240</v>
      </c>
      <c r="M1197" s="356">
        <f t="shared" si="850"/>
        <v>3564</v>
      </c>
      <c r="N1197" s="258" t="s">
        <v>20</v>
      </c>
      <c r="O1197" s="456"/>
      <c r="P1197" s="18" t="s">
        <v>6455</v>
      </c>
      <c r="Q1197" s="18" t="s">
        <v>6455</v>
      </c>
      <c r="R1197" s="18" t="s">
        <v>6455</v>
      </c>
      <c r="S1197" s="471"/>
      <c r="W1197" s="354">
        <f t="shared" ref="W1197" si="893">X1197/H1197</f>
        <v>0.6</v>
      </c>
      <c r="X1197" s="355">
        <v>1080</v>
      </c>
      <c r="Y1197" s="355">
        <v>3</v>
      </c>
      <c r="Z1197" s="355">
        <f t="shared" ref="Z1197" si="894">X1197*Y1197</f>
        <v>3240</v>
      </c>
      <c r="AA1197" s="355">
        <f>L1197-Z1197</f>
        <v>0</v>
      </c>
    </row>
    <row r="1198" spans="1:27" ht="21.75" customHeight="1" x14ac:dyDescent="0.4">
      <c r="A1198" s="258">
        <v>46157</v>
      </c>
      <c r="B1198" s="473" t="s">
        <v>1861</v>
      </c>
      <c r="C1198" s="241" t="s">
        <v>2557</v>
      </c>
      <c r="D1198" s="18" t="s">
        <v>22</v>
      </c>
      <c r="E1198" s="258" t="s">
        <v>5040</v>
      </c>
      <c r="F1198" s="258"/>
      <c r="G1198" s="433" t="s">
        <v>4869</v>
      </c>
      <c r="H1198" s="399">
        <v>2000</v>
      </c>
      <c r="I1198" s="353"/>
      <c r="J1198" s="350">
        <f t="shared" ref="J1198" si="895">SUM(H1198:I1198)</f>
        <v>2000</v>
      </c>
      <c r="K1198" s="18">
        <v>1</v>
      </c>
      <c r="L1198" s="350">
        <f t="shared" ref="L1198" si="896">SUM(J1198*K1198)</f>
        <v>2000</v>
      </c>
      <c r="M1198" s="356">
        <f t="shared" ref="M1198" si="897">ROUNDDOWN(L1198*1.1,0)</f>
        <v>2200</v>
      </c>
      <c r="N1198" s="258" t="s">
        <v>1516</v>
      </c>
      <c r="O1198" s="456"/>
      <c r="P1198" s="18" t="s">
        <v>5449</v>
      </c>
      <c r="Q1198" s="18" t="s">
        <v>5449</v>
      </c>
      <c r="R1198" s="18" t="s">
        <v>4803</v>
      </c>
      <c r="S1198" s="471"/>
    </row>
    <row r="1199" spans="1:27" ht="21.75" customHeight="1" x14ac:dyDescent="0.4">
      <c r="A1199" s="258">
        <v>46157</v>
      </c>
      <c r="B1199" s="473" t="s">
        <v>2878</v>
      </c>
      <c r="C1199" s="241" t="s">
        <v>5438</v>
      </c>
      <c r="D1199" s="18" t="s">
        <v>17</v>
      </c>
      <c r="E1199" s="258" t="s">
        <v>332</v>
      </c>
      <c r="F1199" s="258" t="s">
        <v>3554</v>
      </c>
      <c r="G1199" s="433" t="s">
        <v>6223</v>
      </c>
      <c r="H1199" s="399">
        <v>938</v>
      </c>
      <c r="I1199" s="353"/>
      <c r="J1199" s="350">
        <f t="shared" si="848"/>
        <v>938</v>
      </c>
      <c r="K1199" s="18">
        <v>4</v>
      </c>
      <c r="L1199" s="350">
        <f t="shared" si="849"/>
        <v>3752</v>
      </c>
      <c r="M1199" s="356">
        <f t="shared" si="850"/>
        <v>4127</v>
      </c>
      <c r="N1199" s="18" t="s">
        <v>25</v>
      </c>
      <c r="O1199" s="456"/>
      <c r="Q1199" s="18" t="s">
        <v>2596</v>
      </c>
      <c r="R1199" s="18" t="s">
        <v>4803</v>
      </c>
      <c r="S1199" s="472"/>
      <c r="W1199" s="354">
        <f t="shared" ref="W1199" si="898">X1199/H1199</f>
        <v>1</v>
      </c>
      <c r="X1199" s="355">
        <v>938</v>
      </c>
      <c r="Y1199" s="355">
        <f>K1199</f>
        <v>4</v>
      </c>
      <c r="Z1199" s="355">
        <f>X1199*Y1199</f>
        <v>3752</v>
      </c>
      <c r="AA1199" s="355">
        <f>L1199-Z1199</f>
        <v>0</v>
      </c>
    </row>
    <row r="1200" spans="1:27" ht="21.75" customHeight="1" x14ac:dyDescent="0.4">
      <c r="A1200" s="466">
        <v>46158</v>
      </c>
      <c r="B1200" s="325" t="s">
        <v>6605</v>
      </c>
      <c r="C1200" s="32" t="s">
        <v>6722</v>
      </c>
      <c r="D1200" s="258" t="s">
        <v>6723</v>
      </c>
      <c r="E1200" s="18" t="s">
        <v>260</v>
      </c>
      <c r="F1200" s="18"/>
      <c r="G1200" s="63" t="s">
        <v>5177</v>
      </c>
      <c r="H1200" s="399">
        <v>10000</v>
      </c>
      <c r="I1200" s="353"/>
      <c r="J1200" s="350">
        <f t="shared" si="848"/>
        <v>10000</v>
      </c>
      <c r="K1200" s="18">
        <v>1</v>
      </c>
      <c r="L1200" s="350">
        <f t="shared" si="849"/>
        <v>10000</v>
      </c>
      <c r="M1200" s="356">
        <f t="shared" si="850"/>
        <v>11000</v>
      </c>
      <c r="N1200" s="18" t="s">
        <v>25</v>
      </c>
      <c r="O1200" s="466"/>
      <c r="P1200" s="18" t="s">
        <v>6724</v>
      </c>
      <c r="Q1200" s="18" t="s">
        <v>6724</v>
      </c>
      <c r="R1200" s="18" t="s">
        <v>6725</v>
      </c>
    </row>
    <row r="1201" spans="1:27" ht="21.75" customHeight="1" x14ac:dyDescent="0.4">
      <c r="A1201" s="258">
        <v>46158</v>
      </c>
      <c r="B1201" s="325" t="s">
        <v>5023</v>
      </c>
      <c r="C1201" s="32" t="s">
        <v>6726</v>
      </c>
      <c r="D1201" s="18" t="s">
        <v>22</v>
      </c>
      <c r="E1201" s="258" t="s">
        <v>5040</v>
      </c>
      <c r="F1201" s="258"/>
      <c r="G1201" s="433" t="s">
        <v>4869</v>
      </c>
      <c r="H1201" s="399">
        <v>2000</v>
      </c>
      <c r="I1201" s="353"/>
      <c r="J1201" s="350">
        <f t="shared" si="848"/>
        <v>2000</v>
      </c>
      <c r="K1201" s="18">
        <v>1</v>
      </c>
      <c r="L1201" s="350">
        <f t="shared" si="849"/>
        <v>2000</v>
      </c>
      <c r="M1201" s="356">
        <f t="shared" si="850"/>
        <v>2200</v>
      </c>
      <c r="N1201" s="258" t="s">
        <v>6727</v>
      </c>
      <c r="O1201" s="456"/>
      <c r="P1201" s="18" t="s">
        <v>6728</v>
      </c>
      <c r="Q1201" s="18" t="s">
        <v>6728</v>
      </c>
      <c r="R1201" s="18" t="s">
        <v>6728</v>
      </c>
    </row>
    <row r="1202" spans="1:27" ht="21.75" customHeight="1" x14ac:dyDescent="0.4">
      <c r="A1202" s="258">
        <v>46158</v>
      </c>
      <c r="B1202" s="336" t="s">
        <v>582</v>
      </c>
      <c r="C1202" s="32" t="s">
        <v>2557</v>
      </c>
      <c r="D1202" s="18" t="s">
        <v>17</v>
      </c>
      <c r="E1202" s="18" t="s">
        <v>426</v>
      </c>
      <c r="F1202" s="18" t="s">
        <v>994</v>
      </c>
      <c r="G1202" s="63" t="s">
        <v>6789</v>
      </c>
      <c r="H1202" s="399">
        <v>1800</v>
      </c>
      <c r="I1202" s="353">
        <v>-180</v>
      </c>
      <c r="J1202" s="350">
        <f t="shared" ref="J1202:J1203" si="899">SUM(H1202:I1202)</f>
        <v>1620</v>
      </c>
      <c r="K1202" s="18">
        <v>1</v>
      </c>
      <c r="L1202" s="350">
        <f t="shared" ref="L1202:L1203" si="900">SUM(J1202*K1202)</f>
        <v>1620</v>
      </c>
      <c r="M1202" s="356">
        <f t="shared" ref="M1202:M1203" si="901">ROUNDDOWN(L1202*1.1,0)</f>
        <v>1782</v>
      </c>
      <c r="N1202" s="258" t="s">
        <v>20</v>
      </c>
      <c r="O1202" s="456"/>
      <c r="R1202" s="18" t="s">
        <v>4803</v>
      </c>
      <c r="W1202" s="354">
        <f t="shared" ref="W1202" si="902">X1202/H1202</f>
        <v>0.6</v>
      </c>
      <c r="X1202" s="355">
        <v>1080</v>
      </c>
      <c r="Y1202" s="355">
        <v>1</v>
      </c>
      <c r="Z1202" s="355">
        <f>X1202*Y1202</f>
        <v>1080</v>
      </c>
      <c r="AA1202" s="355">
        <f>L1202-Z1202</f>
        <v>540</v>
      </c>
    </row>
    <row r="1203" spans="1:27" s="403" customFormat="1" ht="21.75" customHeight="1" x14ac:dyDescent="0.4">
      <c r="A1203" s="370">
        <v>46158</v>
      </c>
      <c r="B1203" s="322" t="s">
        <v>6703</v>
      </c>
      <c r="C1203" s="191" t="s">
        <v>2557</v>
      </c>
      <c r="D1203" s="192" t="s">
        <v>27</v>
      </c>
      <c r="E1203" s="192" t="s">
        <v>5237</v>
      </c>
      <c r="F1203" s="192"/>
      <c r="G1203" s="193" t="s">
        <v>364</v>
      </c>
      <c r="H1203" s="400">
        <v>25000</v>
      </c>
      <c r="I1203" s="372"/>
      <c r="J1203" s="400">
        <f t="shared" si="899"/>
        <v>25000</v>
      </c>
      <c r="K1203" s="192">
        <v>1</v>
      </c>
      <c r="L1203" s="371">
        <f t="shared" si="900"/>
        <v>25000</v>
      </c>
      <c r="M1203" s="373">
        <f t="shared" si="901"/>
        <v>27500</v>
      </c>
      <c r="N1203" s="192" t="s">
        <v>4233</v>
      </c>
      <c r="O1203" s="453" t="s">
        <v>6790</v>
      </c>
      <c r="P1203" s="192"/>
      <c r="Q1203" s="192"/>
      <c r="R1203" s="192" t="s">
        <v>4803</v>
      </c>
      <c r="S1203" s="402"/>
      <c r="T1203" s="402"/>
      <c r="U1203" s="402"/>
      <c r="W1203" s="404"/>
      <c r="X1203" s="405"/>
      <c r="Y1203" s="405"/>
      <c r="Z1203" s="405"/>
      <c r="AA1203" s="405"/>
    </row>
    <row r="1204" spans="1:27" ht="21.75" customHeight="1" x14ac:dyDescent="0.4">
      <c r="A1204" s="258">
        <v>46159</v>
      </c>
      <c r="B1204" s="325" t="s">
        <v>2088</v>
      </c>
      <c r="C1204" s="32" t="s">
        <v>2557</v>
      </c>
      <c r="D1204" s="18" t="s">
        <v>22</v>
      </c>
      <c r="E1204" s="258" t="s">
        <v>5040</v>
      </c>
      <c r="F1204" s="258"/>
      <c r="G1204" s="433" t="s">
        <v>4869</v>
      </c>
      <c r="H1204" s="399">
        <v>2000</v>
      </c>
      <c r="I1204" s="353"/>
      <c r="J1204" s="350">
        <f t="shared" si="848"/>
        <v>2000</v>
      </c>
      <c r="K1204" s="18">
        <v>1</v>
      </c>
      <c r="L1204" s="350">
        <f t="shared" si="849"/>
        <v>2000</v>
      </c>
      <c r="M1204" s="356">
        <f t="shared" si="850"/>
        <v>2200</v>
      </c>
      <c r="N1204" s="18" t="s">
        <v>25</v>
      </c>
      <c r="O1204" s="456"/>
      <c r="P1204" s="18" t="s">
        <v>5449</v>
      </c>
      <c r="Q1204" s="18" t="s">
        <v>5449</v>
      </c>
      <c r="R1204" s="18" t="s">
        <v>5449</v>
      </c>
    </row>
    <row r="1205" spans="1:27" ht="21.75" customHeight="1" x14ac:dyDescent="0.4">
      <c r="A1205" s="258">
        <v>46159</v>
      </c>
      <c r="B1205" s="325" t="s">
        <v>162</v>
      </c>
      <c r="C1205" s="32" t="s">
        <v>2557</v>
      </c>
      <c r="D1205" s="18" t="s">
        <v>17</v>
      </c>
      <c r="E1205" s="18" t="s">
        <v>6731</v>
      </c>
      <c r="F1205" s="18" t="s">
        <v>6732</v>
      </c>
      <c r="G1205" s="63" t="s">
        <v>6733</v>
      </c>
      <c r="H1205" s="399">
        <v>108000</v>
      </c>
      <c r="I1205" s="353">
        <v>-10800</v>
      </c>
      <c r="J1205" s="350">
        <f t="shared" si="848"/>
        <v>97200</v>
      </c>
      <c r="K1205" s="18">
        <v>1</v>
      </c>
      <c r="L1205" s="350">
        <f t="shared" si="849"/>
        <v>97200</v>
      </c>
      <c r="M1205" s="356">
        <f t="shared" si="850"/>
        <v>106920</v>
      </c>
      <c r="N1205" s="258" t="s">
        <v>6734</v>
      </c>
      <c r="O1205" s="456"/>
      <c r="P1205" s="18" t="s">
        <v>2595</v>
      </c>
      <c r="Q1205" s="18" t="s">
        <v>2595</v>
      </c>
      <c r="R1205" s="18" t="s">
        <v>2595</v>
      </c>
      <c r="W1205" s="354">
        <f t="shared" ref="W1205:W1206" si="903">X1205/H1205</f>
        <v>0</v>
      </c>
      <c r="X1205" s="405"/>
      <c r="Y1205" s="355">
        <v>1</v>
      </c>
      <c r="Z1205" s="355">
        <f t="shared" ref="Z1205:Z1206" si="904">X1205*Y1205</f>
        <v>0</v>
      </c>
      <c r="AA1205" s="355">
        <f t="shared" ref="AA1205:AA1206" si="905">L1205-Z1205</f>
        <v>97200</v>
      </c>
    </row>
    <row r="1206" spans="1:27" ht="21.75" customHeight="1" x14ac:dyDescent="0.4">
      <c r="A1206" s="258">
        <v>46159</v>
      </c>
      <c r="B1206" s="325" t="s">
        <v>5069</v>
      </c>
      <c r="C1206" s="32" t="s">
        <v>2557</v>
      </c>
      <c r="D1206" s="18" t="s">
        <v>17</v>
      </c>
      <c r="E1206" s="18" t="s">
        <v>426</v>
      </c>
      <c r="F1206" s="18" t="s">
        <v>994</v>
      </c>
      <c r="G1206" s="63" t="s">
        <v>6716</v>
      </c>
      <c r="H1206" s="399">
        <v>1800</v>
      </c>
      <c r="I1206" s="353">
        <v>-180</v>
      </c>
      <c r="J1206" s="350">
        <f t="shared" si="848"/>
        <v>1620</v>
      </c>
      <c r="K1206" s="18">
        <v>1</v>
      </c>
      <c r="L1206" s="350">
        <f t="shared" si="849"/>
        <v>1620</v>
      </c>
      <c r="M1206" s="356">
        <f t="shared" si="850"/>
        <v>1782</v>
      </c>
      <c r="N1206" s="258" t="s">
        <v>6734</v>
      </c>
      <c r="O1206" s="456"/>
      <c r="P1206" s="18" t="s">
        <v>2595</v>
      </c>
      <c r="Q1206" s="18" t="s">
        <v>2595</v>
      </c>
      <c r="R1206" s="18" t="s">
        <v>2595</v>
      </c>
      <c r="W1206" s="354">
        <f t="shared" si="903"/>
        <v>0.6</v>
      </c>
      <c r="X1206" s="355">
        <v>1080</v>
      </c>
      <c r="Y1206" s="355">
        <v>1</v>
      </c>
      <c r="Z1206" s="355">
        <f t="shared" si="904"/>
        <v>1080</v>
      </c>
      <c r="AA1206" s="355">
        <f t="shared" si="905"/>
        <v>540</v>
      </c>
    </row>
    <row r="1207" spans="1:27" ht="21.75" customHeight="1" x14ac:dyDescent="0.4">
      <c r="A1207" s="258">
        <v>46159</v>
      </c>
      <c r="B1207" s="325" t="s">
        <v>6729</v>
      </c>
      <c r="C1207" s="32" t="s">
        <v>2557</v>
      </c>
      <c r="D1207" s="18" t="s">
        <v>22</v>
      </c>
      <c r="E1207" s="18" t="s">
        <v>27</v>
      </c>
      <c r="F1207" s="18" t="s">
        <v>4409</v>
      </c>
      <c r="G1207" s="63" t="s">
        <v>6005</v>
      </c>
      <c r="H1207" s="399">
        <v>8500</v>
      </c>
      <c r="I1207" s="353"/>
      <c r="J1207" s="350">
        <f t="shared" si="848"/>
        <v>8500</v>
      </c>
      <c r="K1207" s="18">
        <v>1</v>
      </c>
      <c r="L1207" s="350">
        <f t="shared" si="849"/>
        <v>8500</v>
      </c>
      <c r="M1207" s="356">
        <f t="shared" si="850"/>
        <v>9350</v>
      </c>
      <c r="N1207" s="258" t="s">
        <v>6730</v>
      </c>
      <c r="O1207" s="465" t="s">
        <v>6542</v>
      </c>
      <c r="P1207" s="18" t="s">
        <v>2594</v>
      </c>
      <c r="Q1207" s="18" t="s">
        <v>2594</v>
      </c>
      <c r="R1207" s="18" t="s">
        <v>2594</v>
      </c>
    </row>
    <row r="1208" spans="1:27" ht="21.75" customHeight="1" x14ac:dyDescent="0.4">
      <c r="A1208" s="258">
        <v>46159</v>
      </c>
      <c r="B1208" s="325" t="s">
        <v>6735</v>
      </c>
      <c r="C1208" s="32" t="s">
        <v>6736</v>
      </c>
      <c r="D1208" s="18" t="s">
        <v>22</v>
      </c>
      <c r="E1208" s="18" t="s">
        <v>5507</v>
      </c>
      <c r="F1208" s="18"/>
      <c r="G1208" s="428" t="s">
        <v>5534</v>
      </c>
      <c r="H1208" s="399">
        <v>20000</v>
      </c>
      <c r="I1208" s="353"/>
      <c r="J1208" s="350">
        <f t="shared" si="848"/>
        <v>20000</v>
      </c>
      <c r="K1208" s="18">
        <v>1</v>
      </c>
      <c r="L1208" s="350">
        <f t="shared" si="849"/>
        <v>20000</v>
      </c>
      <c r="M1208" s="356">
        <f t="shared" si="850"/>
        <v>22000</v>
      </c>
      <c r="N1208" s="258" t="s">
        <v>1121</v>
      </c>
      <c r="O1208" s="456"/>
      <c r="P1208" s="18" t="s">
        <v>6737</v>
      </c>
      <c r="Q1208" s="18" t="s">
        <v>6737</v>
      </c>
      <c r="R1208" s="18" t="s">
        <v>6738</v>
      </c>
    </row>
    <row r="1209" spans="1:27" ht="21.75" customHeight="1" x14ac:dyDescent="0.4">
      <c r="A1209" s="258">
        <v>46159</v>
      </c>
      <c r="B1209" s="325" t="s">
        <v>6739</v>
      </c>
      <c r="C1209" s="32" t="s">
        <v>2557</v>
      </c>
      <c r="D1209" s="18" t="s">
        <v>27</v>
      </c>
      <c r="E1209" s="18" t="s">
        <v>28</v>
      </c>
      <c r="F1209" s="18"/>
      <c r="G1209" s="63" t="s">
        <v>73</v>
      </c>
      <c r="H1209" s="399">
        <v>2000</v>
      </c>
      <c r="I1209" s="353"/>
      <c r="J1209" s="350">
        <f t="shared" si="848"/>
        <v>2000</v>
      </c>
      <c r="K1209" s="18">
        <v>1</v>
      </c>
      <c r="L1209" s="350">
        <f t="shared" si="849"/>
        <v>2000</v>
      </c>
      <c r="M1209" s="356">
        <f t="shared" si="850"/>
        <v>2200</v>
      </c>
      <c r="N1209" s="18" t="s">
        <v>25</v>
      </c>
      <c r="O1209" s="456" t="s">
        <v>6740</v>
      </c>
      <c r="P1209" s="18" t="s">
        <v>2594</v>
      </c>
      <c r="Q1209" s="18" t="s">
        <v>2594</v>
      </c>
      <c r="R1209" s="18" t="s">
        <v>2594</v>
      </c>
    </row>
    <row r="1210" spans="1:27" ht="21.75" customHeight="1" x14ac:dyDescent="0.4">
      <c r="A1210" s="258">
        <v>46159</v>
      </c>
      <c r="B1210" s="325" t="s">
        <v>5023</v>
      </c>
      <c r="C1210" s="32" t="s">
        <v>2557</v>
      </c>
      <c r="D1210" s="18" t="s">
        <v>22</v>
      </c>
      <c r="E1210" s="258" t="s">
        <v>5040</v>
      </c>
      <c r="F1210" s="258"/>
      <c r="G1210" s="433" t="s">
        <v>4869</v>
      </c>
      <c r="H1210" s="399">
        <v>2000</v>
      </c>
      <c r="I1210" s="353"/>
      <c r="J1210" s="350">
        <f t="shared" ref="J1210:J1212" si="906">SUM(H1210:I1210)</f>
        <v>2000</v>
      </c>
      <c r="K1210" s="18">
        <v>1</v>
      </c>
      <c r="L1210" s="350">
        <f t="shared" ref="L1210:L1212" si="907">SUM(J1210*K1210)</f>
        <v>2000</v>
      </c>
      <c r="M1210" s="356">
        <f t="shared" ref="M1210:M1212" si="908">ROUNDDOWN(L1210*1.1,0)</f>
        <v>2200</v>
      </c>
      <c r="N1210" s="258" t="s">
        <v>20</v>
      </c>
      <c r="O1210" s="456"/>
      <c r="P1210" s="18" t="s">
        <v>5449</v>
      </c>
      <c r="Q1210" s="18" t="s">
        <v>5449</v>
      </c>
      <c r="R1210" s="18" t="s">
        <v>5449</v>
      </c>
    </row>
    <row r="1211" spans="1:27" ht="21.75" customHeight="1" x14ac:dyDescent="0.4">
      <c r="A1211" s="258">
        <v>46159</v>
      </c>
      <c r="B1211" s="325" t="s">
        <v>6779</v>
      </c>
      <c r="C1211" s="241" t="s">
        <v>5438</v>
      </c>
      <c r="D1211" s="18" t="s">
        <v>17</v>
      </c>
      <c r="E1211" s="258" t="s">
        <v>6782</v>
      </c>
      <c r="F1211" s="258"/>
      <c r="G1211" s="63" t="s">
        <v>6780</v>
      </c>
      <c r="H1211" s="352">
        <v>27000</v>
      </c>
      <c r="I1211" s="353">
        <v>-8100</v>
      </c>
      <c r="J1211" s="350">
        <f t="shared" si="906"/>
        <v>18900</v>
      </c>
      <c r="K1211" s="18">
        <v>1</v>
      </c>
      <c r="L1211" s="350">
        <f t="shared" si="907"/>
        <v>18900</v>
      </c>
      <c r="M1211" s="356">
        <f t="shared" si="908"/>
        <v>20790</v>
      </c>
      <c r="N1211" s="258" t="s">
        <v>1121</v>
      </c>
      <c r="O1211" s="456"/>
      <c r="R1211" s="18" t="s">
        <v>4803</v>
      </c>
      <c r="W1211" s="354">
        <f t="shared" ref="W1211:W1213" si="909">X1211/H1211</f>
        <v>0.7</v>
      </c>
      <c r="X1211" s="355">
        <v>18900</v>
      </c>
      <c r="Y1211" s="355">
        <v>1</v>
      </c>
      <c r="Z1211" s="355">
        <f t="shared" ref="Z1211:Z1213" si="910">X1211*Y1211</f>
        <v>18900</v>
      </c>
      <c r="AA1211" s="355">
        <f t="shared" ref="AA1211:AA1213" si="911">L1211-Z1211</f>
        <v>0</v>
      </c>
    </row>
    <row r="1212" spans="1:27" ht="21.75" customHeight="1" x14ac:dyDescent="0.4">
      <c r="A1212" s="258">
        <v>46159</v>
      </c>
      <c r="B1212" s="325" t="s">
        <v>6779</v>
      </c>
      <c r="C1212" s="241" t="s">
        <v>5438</v>
      </c>
      <c r="D1212" s="18" t="s">
        <v>17</v>
      </c>
      <c r="E1212" s="258" t="s">
        <v>6782</v>
      </c>
      <c r="F1212" s="258"/>
      <c r="G1212" s="63" t="s">
        <v>6781</v>
      </c>
      <c r="H1212" s="352">
        <v>33000</v>
      </c>
      <c r="I1212" s="353">
        <v>-9900</v>
      </c>
      <c r="J1212" s="350">
        <f t="shared" si="906"/>
        <v>23100</v>
      </c>
      <c r="K1212" s="18">
        <v>1</v>
      </c>
      <c r="L1212" s="350">
        <f t="shared" si="907"/>
        <v>23100</v>
      </c>
      <c r="M1212" s="356">
        <f t="shared" si="908"/>
        <v>25410</v>
      </c>
      <c r="N1212" s="258" t="s">
        <v>1121</v>
      </c>
      <c r="O1212" s="456"/>
      <c r="R1212" s="18" t="s">
        <v>4803</v>
      </c>
      <c r="W1212" s="354">
        <f t="shared" si="909"/>
        <v>0.7</v>
      </c>
      <c r="X1212" s="355">
        <v>23100</v>
      </c>
      <c r="Y1212" s="355">
        <v>1</v>
      </c>
      <c r="Z1212" s="355">
        <f t="shared" si="910"/>
        <v>23100</v>
      </c>
      <c r="AA1212" s="355">
        <f t="shared" si="911"/>
        <v>0</v>
      </c>
    </row>
    <row r="1213" spans="1:27" ht="21.75" customHeight="1" x14ac:dyDescent="0.4">
      <c r="A1213" s="258">
        <v>46160</v>
      </c>
      <c r="B1213" s="325" t="s">
        <v>5978</v>
      </c>
      <c r="C1213" s="241" t="s">
        <v>2557</v>
      </c>
      <c r="D1213" s="18" t="s">
        <v>17</v>
      </c>
      <c r="E1213" s="18" t="s">
        <v>332</v>
      </c>
      <c r="F1213" s="18" t="s">
        <v>3553</v>
      </c>
      <c r="G1213" s="125" t="s">
        <v>6788</v>
      </c>
      <c r="H1213" s="399">
        <v>2000</v>
      </c>
      <c r="I1213" s="353">
        <v>-200</v>
      </c>
      <c r="J1213" s="350">
        <f t="shared" si="848"/>
        <v>1800</v>
      </c>
      <c r="K1213" s="18">
        <v>1</v>
      </c>
      <c r="L1213" s="350">
        <f t="shared" si="849"/>
        <v>1800</v>
      </c>
      <c r="M1213" s="356">
        <f t="shared" si="850"/>
        <v>1980</v>
      </c>
      <c r="N1213" s="18" t="s">
        <v>25</v>
      </c>
      <c r="O1213" s="456"/>
      <c r="P1213" s="18" t="s">
        <v>2595</v>
      </c>
      <c r="Q1213" s="18" t="s">
        <v>2595</v>
      </c>
      <c r="R1213" s="18" t="s">
        <v>2595</v>
      </c>
      <c r="W1213" s="354">
        <f t="shared" si="909"/>
        <v>0.5</v>
      </c>
      <c r="X1213" s="355">
        <v>1000</v>
      </c>
      <c r="Y1213" s="355">
        <v>1</v>
      </c>
      <c r="Z1213" s="355">
        <f t="shared" si="910"/>
        <v>1000</v>
      </c>
      <c r="AA1213" s="355">
        <f t="shared" si="911"/>
        <v>800</v>
      </c>
    </row>
    <row r="1214" spans="1:27" ht="21.75" customHeight="1" x14ac:dyDescent="0.4">
      <c r="A1214" s="258">
        <v>46160</v>
      </c>
      <c r="B1214" s="325" t="s">
        <v>5978</v>
      </c>
      <c r="C1214" s="241" t="s">
        <v>2557</v>
      </c>
      <c r="D1214" s="18" t="s">
        <v>59</v>
      </c>
      <c r="E1214" s="18" t="s">
        <v>6620</v>
      </c>
      <c r="F1214" s="18"/>
      <c r="G1214" s="63"/>
      <c r="H1214" s="399">
        <v>300</v>
      </c>
      <c r="I1214" s="353"/>
      <c r="J1214" s="350">
        <f t="shared" ref="J1214:J1226" si="912">SUM(H1214:I1214)</f>
        <v>300</v>
      </c>
      <c r="K1214" s="18">
        <v>1</v>
      </c>
      <c r="L1214" s="350">
        <f t="shared" ref="L1214:L1226" si="913">SUM(J1214*K1214)</f>
        <v>300</v>
      </c>
      <c r="M1214" s="356">
        <f t="shared" ref="M1214:M1226" si="914">ROUNDDOWN(L1214*1.1,0)</f>
        <v>330</v>
      </c>
      <c r="N1214" s="18" t="s">
        <v>25</v>
      </c>
      <c r="O1214" s="456"/>
      <c r="P1214" s="18" t="s">
        <v>2595</v>
      </c>
      <c r="Q1214" s="18" t="s">
        <v>2595</v>
      </c>
      <c r="R1214" s="18" t="s">
        <v>2595</v>
      </c>
    </row>
    <row r="1215" spans="1:27" ht="21.75" customHeight="1" x14ac:dyDescent="0.4">
      <c r="A1215" s="258">
        <v>46162</v>
      </c>
      <c r="B1215" s="32" t="s">
        <v>6787</v>
      </c>
      <c r="C1215" s="32" t="s">
        <v>2557</v>
      </c>
      <c r="D1215" s="258" t="s">
        <v>22</v>
      </c>
      <c r="E1215" s="258" t="s">
        <v>5040</v>
      </c>
      <c r="F1215" s="258"/>
      <c r="G1215" s="433" t="s">
        <v>4869</v>
      </c>
      <c r="H1215" s="399">
        <v>2000</v>
      </c>
      <c r="I1215" s="353"/>
      <c r="J1215" s="350">
        <f t="shared" si="912"/>
        <v>2000</v>
      </c>
      <c r="K1215" s="18">
        <v>1</v>
      </c>
      <c r="L1215" s="350">
        <f t="shared" si="913"/>
        <v>2000</v>
      </c>
      <c r="M1215" s="356">
        <f t="shared" si="914"/>
        <v>2200</v>
      </c>
      <c r="N1215" s="258" t="s">
        <v>1121</v>
      </c>
      <c r="O1215" s="456"/>
      <c r="P1215" s="18" t="s">
        <v>2595</v>
      </c>
      <c r="Q1215" s="18" t="s">
        <v>2595</v>
      </c>
      <c r="R1215" s="18" t="s">
        <v>5449</v>
      </c>
    </row>
    <row r="1216" spans="1:27" ht="21.75" customHeight="1" x14ac:dyDescent="0.4">
      <c r="A1216" s="258">
        <v>46162</v>
      </c>
      <c r="B1216" s="325" t="s">
        <v>582</v>
      </c>
      <c r="C1216" s="241" t="s">
        <v>2557</v>
      </c>
      <c r="D1216" s="18" t="s">
        <v>17</v>
      </c>
      <c r="E1216" s="18" t="s">
        <v>332</v>
      </c>
      <c r="F1216" s="18" t="s">
        <v>3555</v>
      </c>
      <c r="G1216" s="63" t="s">
        <v>6694</v>
      </c>
      <c r="H1216" s="406">
        <v>2000</v>
      </c>
      <c r="I1216" s="353">
        <v>-200</v>
      </c>
      <c r="J1216" s="350">
        <f t="shared" si="912"/>
        <v>1800</v>
      </c>
      <c r="K1216" s="18">
        <v>2</v>
      </c>
      <c r="L1216" s="350">
        <f t="shared" si="913"/>
        <v>3600</v>
      </c>
      <c r="M1216" s="356">
        <f t="shared" si="914"/>
        <v>3960</v>
      </c>
      <c r="N1216" s="258" t="s">
        <v>20</v>
      </c>
      <c r="O1216" s="456"/>
      <c r="Q1216" s="18" t="s">
        <v>2595</v>
      </c>
      <c r="R1216" s="18" t="s">
        <v>4803</v>
      </c>
      <c r="W1216" s="354">
        <f t="shared" ref="W1216" si="915">X1216/H1216</f>
        <v>0.57999999999999996</v>
      </c>
      <c r="X1216" s="355">
        <v>1160</v>
      </c>
      <c r="Y1216" s="355">
        <v>2</v>
      </c>
      <c r="Z1216" s="355">
        <f>X1216*Y1216</f>
        <v>2320</v>
      </c>
      <c r="AA1216" s="355">
        <f>L1216-Z1216</f>
        <v>1280</v>
      </c>
    </row>
    <row r="1217" spans="1:27" ht="21.75" customHeight="1" x14ac:dyDescent="0.4">
      <c r="A1217" s="258">
        <v>46162</v>
      </c>
      <c r="B1217" s="325" t="s">
        <v>582</v>
      </c>
      <c r="C1217" s="241" t="s">
        <v>2557</v>
      </c>
      <c r="D1217" s="18" t="s">
        <v>59</v>
      </c>
      <c r="E1217" s="18" t="s">
        <v>6620</v>
      </c>
      <c r="F1217" s="18"/>
      <c r="G1217" s="63"/>
      <c r="H1217" s="399">
        <v>300</v>
      </c>
      <c r="I1217" s="353"/>
      <c r="J1217" s="350">
        <f t="shared" ref="J1217" si="916">SUM(H1217:I1217)</f>
        <v>300</v>
      </c>
      <c r="K1217" s="18">
        <v>2</v>
      </c>
      <c r="L1217" s="350">
        <f t="shared" ref="L1217" si="917">SUM(J1217*K1217)</f>
        <v>600</v>
      </c>
      <c r="M1217" s="356">
        <f t="shared" ref="M1217" si="918">ROUNDDOWN(L1217*1.1,0)</f>
        <v>660</v>
      </c>
      <c r="N1217" s="258" t="s">
        <v>20</v>
      </c>
      <c r="O1217" s="456"/>
      <c r="Q1217" s="18" t="s">
        <v>2595</v>
      </c>
      <c r="R1217" s="18" t="s">
        <v>4803</v>
      </c>
      <c r="S1217" s="472"/>
    </row>
    <row r="1218" spans="1:27" ht="21.75" customHeight="1" x14ac:dyDescent="0.4">
      <c r="A1218" s="258">
        <v>46163</v>
      </c>
      <c r="B1218" s="325" t="s">
        <v>6640</v>
      </c>
      <c r="C1218" s="241" t="s">
        <v>2557</v>
      </c>
      <c r="D1218" s="18" t="s">
        <v>17</v>
      </c>
      <c r="E1218" s="18" t="s">
        <v>328</v>
      </c>
      <c r="F1218" s="18" t="s">
        <v>3597</v>
      </c>
      <c r="G1218" s="63" t="s">
        <v>6742</v>
      </c>
      <c r="H1218" s="399">
        <v>6200</v>
      </c>
      <c r="I1218" s="353">
        <v>-620</v>
      </c>
      <c r="J1218" s="350">
        <f t="shared" si="912"/>
        <v>5580</v>
      </c>
      <c r="K1218" s="18">
        <v>1</v>
      </c>
      <c r="L1218" s="350">
        <f t="shared" si="913"/>
        <v>5580</v>
      </c>
      <c r="M1218" s="356">
        <f t="shared" si="914"/>
        <v>6138</v>
      </c>
      <c r="N1218" s="18" t="s">
        <v>25</v>
      </c>
      <c r="O1218" s="456"/>
      <c r="Q1218" s="18" t="s">
        <v>4803</v>
      </c>
      <c r="R1218" s="18" t="s">
        <v>4803</v>
      </c>
      <c r="W1218" s="354">
        <f t="shared" ref="W1218:W1219" si="919">X1218/H1218</f>
        <v>0.5</v>
      </c>
      <c r="X1218" s="355">
        <v>3100</v>
      </c>
      <c r="Y1218" s="355">
        <v>1</v>
      </c>
      <c r="Z1218" s="355">
        <f t="shared" ref="Z1218:Z1219" si="920">X1218*Y1218</f>
        <v>3100</v>
      </c>
      <c r="AA1218" s="355">
        <f t="shared" ref="AA1218:AA1219" si="921">L1218-Z1218</f>
        <v>2480</v>
      </c>
    </row>
    <row r="1219" spans="1:27" ht="21.75" customHeight="1" x14ac:dyDescent="0.4">
      <c r="A1219" s="258">
        <v>46163</v>
      </c>
      <c r="B1219" s="325" t="s">
        <v>6640</v>
      </c>
      <c r="C1219" s="241" t="s">
        <v>2557</v>
      </c>
      <c r="D1219" s="18" t="s">
        <v>17</v>
      </c>
      <c r="E1219" s="18" t="s">
        <v>332</v>
      </c>
      <c r="F1219" s="18" t="s">
        <v>3555</v>
      </c>
      <c r="G1219" s="63" t="s">
        <v>5550</v>
      </c>
      <c r="H1219" s="399">
        <v>1500</v>
      </c>
      <c r="I1219" s="353">
        <v>-150</v>
      </c>
      <c r="J1219" s="350">
        <f t="shared" si="912"/>
        <v>1350</v>
      </c>
      <c r="K1219" s="18">
        <v>1</v>
      </c>
      <c r="L1219" s="350">
        <f t="shared" si="913"/>
        <v>1350</v>
      </c>
      <c r="M1219" s="356">
        <f t="shared" si="914"/>
        <v>1485</v>
      </c>
      <c r="N1219" s="18" t="s">
        <v>25</v>
      </c>
      <c r="O1219" s="456"/>
      <c r="Q1219" s="18" t="s">
        <v>4803</v>
      </c>
      <c r="R1219" s="18" t="s">
        <v>4803</v>
      </c>
      <c r="W1219" s="354">
        <f t="shared" si="919"/>
        <v>0.57999999999999996</v>
      </c>
      <c r="X1219" s="355">
        <v>870</v>
      </c>
      <c r="Y1219" s="355">
        <v>1</v>
      </c>
      <c r="Z1219" s="355">
        <f t="shared" si="920"/>
        <v>870</v>
      </c>
      <c r="AA1219" s="355">
        <f t="shared" si="921"/>
        <v>480</v>
      </c>
    </row>
    <row r="1220" spans="1:27" ht="21.75" customHeight="1" x14ac:dyDescent="0.4">
      <c r="A1220" s="258">
        <v>46163</v>
      </c>
      <c r="B1220" s="325" t="s">
        <v>6640</v>
      </c>
      <c r="C1220" s="241" t="s">
        <v>2557</v>
      </c>
      <c r="D1220" s="18" t="s">
        <v>59</v>
      </c>
      <c r="E1220" s="18" t="s">
        <v>6620</v>
      </c>
      <c r="F1220" s="18"/>
      <c r="G1220" s="63"/>
      <c r="H1220" s="399">
        <v>300</v>
      </c>
      <c r="I1220" s="353"/>
      <c r="J1220" s="350">
        <f t="shared" si="912"/>
        <v>300</v>
      </c>
      <c r="K1220" s="18">
        <v>1</v>
      </c>
      <c r="L1220" s="350">
        <f t="shared" si="913"/>
        <v>300</v>
      </c>
      <c r="M1220" s="356">
        <f t="shared" si="914"/>
        <v>330</v>
      </c>
      <c r="N1220" s="18" t="s">
        <v>25</v>
      </c>
      <c r="O1220" s="456"/>
      <c r="Q1220" s="18" t="s">
        <v>4803</v>
      </c>
      <c r="R1220" s="18" t="s">
        <v>4803</v>
      </c>
    </row>
    <row r="1221" spans="1:27" ht="21.75" customHeight="1" x14ac:dyDescent="0.4">
      <c r="A1221" s="258">
        <v>46163</v>
      </c>
      <c r="B1221" s="325" t="s">
        <v>6640</v>
      </c>
      <c r="C1221" s="241" t="s">
        <v>2557</v>
      </c>
      <c r="D1221" s="18" t="s">
        <v>59</v>
      </c>
      <c r="E1221" s="18" t="s">
        <v>6783</v>
      </c>
      <c r="F1221" s="18"/>
      <c r="G1221" s="63"/>
      <c r="H1221" s="399">
        <v>1000</v>
      </c>
      <c r="I1221" s="353"/>
      <c r="J1221" s="350">
        <f t="shared" si="912"/>
        <v>1000</v>
      </c>
      <c r="K1221" s="18">
        <v>1</v>
      </c>
      <c r="L1221" s="350">
        <f t="shared" si="913"/>
        <v>1000</v>
      </c>
      <c r="M1221" s="356">
        <f t="shared" si="914"/>
        <v>1100</v>
      </c>
      <c r="N1221" s="18" t="s">
        <v>25</v>
      </c>
      <c r="O1221" s="456"/>
      <c r="Q1221" s="18" t="s">
        <v>4803</v>
      </c>
      <c r="R1221" s="18" t="s">
        <v>4803</v>
      </c>
    </row>
    <row r="1222" spans="1:27" ht="21.75" customHeight="1" x14ac:dyDescent="0.4">
      <c r="A1222" s="258">
        <v>46163</v>
      </c>
      <c r="B1222" s="325" t="s">
        <v>6743</v>
      </c>
      <c r="C1222" s="241" t="s">
        <v>2557</v>
      </c>
      <c r="D1222" s="18" t="s">
        <v>17</v>
      </c>
      <c r="E1222" s="18" t="s">
        <v>332</v>
      </c>
      <c r="F1222" s="258" t="s">
        <v>3554</v>
      </c>
      <c r="G1222" s="425" t="s">
        <v>5470</v>
      </c>
      <c r="H1222" s="399">
        <v>1600</v>
      </c>
      <c r="I1222" s="353">
        <v>-160</v>
      </c>
      <c r="J1222" s="350">
        <f t="shared" ref="J1222:J1223" si="922">SUM(H1222:I1222)</f>
        <v>1440</v>
      </c>
      <c r="K1222" s="18">
        <v>1</v>
      </c>
      <c r="L1222" s="350">
        <f t="shared" si="913"/>
        <v>1440</v>
      </c>
      <c r="M1222" s="356">
        <f t="shared" si="914"/>
        <v>1584</v>
      </c>
      <c r="N1222" s="18" t="s">
        <v>25</v>
      </c>
      <c r="O1222" s="456"/>
      <c r="Q1222" s="18" t="s">
        <v>4803</v>
      </c>
      <c r="R1222" s="18" t="s">
        <v>4803</v>
      </c>
      <c r="W1222" s="354">
        <f t="shared" ref="W1222" si="923">X1222/H1222</f>
        <v>0.625</v>
      </c>
      <c r="X1222" s="355">
        <v>1000</v>
      </c>
      <c r="Y1222" s="355">
        <v>1</v>
      </c>
      <c r="Z1222" s="355">
        <f>X1222*Y1222</f>
        <v>1000</v>
      </c>
      <c r="AA1222" s="355">
        <f>L1222-Z1222</f>
        <v>440</v>
      </c>
    </row>
    <row r="1223" spans="1:27" ht="21.75" customHeight="1" x14ac:dyDescent="0.4">
      <c r="A1223" s="258">
        <v>46163</v>
      </c>
      <c r="B1223" s="325" t="s">
        <v>6743</v>
      </c>
      <c r="C1223" s="241" t="s">
        <v>2557</v>
      </c>
      <c r="D1223" s="18" t="s">
        <v>59</v>
      </c>
      <c r="E1223" s="18" t="s">
        <v>6620</v>
      </c>
      <c r="F1223" s="18"/>
      <c r="G1223" s="63"/>
      <c r="H1223" s="399">
        <v>300</v>
      </c>
      <c r="I1223" s="353"/>
      <c r="J1223" s="350">
        <f t="shared" si="922"/>
        <v>300</v>
      </c>
      <c r="K1223" s="18">
        <v>1</v>
      </c>
      <c r="L1223" s="350">
        <f t="shared" si="913"/>
        <v>300</v>
      </c>
      <c r="M1223" s="356">
        <f t="shared" si="914"/>
        <v>330</v>
      </c>
      <c r="N1223" s="18" t="s">
        <v>25</v>
      </c>
      <c r="O1223" s="456"/>
      <c r="Q1223" s="18" t="s">
        <v>4803</v>
      </c>
      <c r="R1223" s="18" t="s">
        <v>4803</v>
      </c>
    </row>
    <row r="1224" spans="1:27" ht="21.75" customHeight="1" x14ac:dyDescent="0.4">
      <c r="A1224" s="258">
        <v>46163</v>
      </c>
      <c r="B1224" s="325" t="s">
        <v>162</v>
      </c>
      <c r="C1224" s="32" t="s">
        <v>2557</v>
      </c>
      <c r="D1224" s="18" t="s">
        <v>17</v>
      </c>
      <c r="E1224" s="18" t="s">
        <v>6744</v>
      </c>
      <c r="F1224" s="18" t="s">
        <v>3555</v>
      </c>
      <c r="G1224" s="63" t="s">
        <v>6745</v>
      </c>
      <c r="H1224" s="399">
        <v>2000</v>
      </c>
      <c r="I1224" s="353">
        <v>-200</v>
      </c>
      <c r="J1224" s="350">
        <f t="shared" si="912"/>
        <v>1800</v>
      </c>
      <c r="K1224" s="18">
        <v>1</v>
      </c>
      <c r="L1224" s="350">
        <f t="shared" si="913"/>
        <v>1800</v>
      </c>
      <c r="M1224" s="356">
        <f t="shared" si="914"/>
        <v>1980</v>
      </c>
      <c r="N1224" s="18" t="s">
        <v>25</v>
      </c>
      <c r="O1224" s="456"/>
      <c r="P1224" s="18" t="s">
        <v>2594</v>
      </c>
      <c r="Q1224" s="18" t="s">
        <v>2594</v>
      </c>
      <c r="R1224" s="18" t="s">
        <v>2594</v>
      </c>
      <c r="W1224" s="354">
        <f t="shared" ref="W1224" si="924">X1224/H1224</f>
        <v>0.57999999999999996</v>
      </c>
      <c r="X1224" s="355">
        <v>1160</v>
      </c>
      <c r="Y1224" s="355">
        <v>1</v>
      </c>
      <c r="Z1224" s="355">
        <f>X1224*Y1224</f>
        <v>1160</v>
      </c>
      <c r="AA1224" s="355">
        <f>L1224-Z1224</f>
        <v>640</v>
      </c>
    </row>
    <row r="1225" spans="1:27" ht="21.75" customHeight="1" x14ac:dyDescent="0.4">
      <c r="A1225" s="258">
        <v>46163</v>
      </c>
      <c r="B1225" s="325" t="s">
        <v>162</v>
      </c>
      <c r="C1225" s="241" t="s">
        <v>2557</v>
      </c>
      <c r="D1225" s="18" t="s">
        <v>59</v>
      </c>
      <c r="E1225" s="18" t="s">
        <v>6620</v>
      </c>
      <c r="F1225" s="18"/>
      <c r="G1225" s="63"/>
      <c r="H1225" s="399">
        <v>300</v>
      </c>
      <c r="I1225" s="353"/>
      <c r="J1225" s="350">
        <f t="shared" si="912"/>
        <v>300</v>
      </c>
      <c r="K1225" s="18">
        <v>1</v>
      </c>
      <c r="L1225" s="350">
        <f t="shared" si="913"/>
        <v>300</v>
      </c>
      <c r="M1225" s="356">
        <f t="shared" si="914"/>
        <v>330</v>
      </c>
      <c r="N1225" s="18" t="s">
        <v>25</v>
      </c>
      <c r="O1225" s="456"/>
      <c r="P1225" s="18" t="s">
        <v>2594</v>
      </c>
      <c r="Q1225" s="18" t="s">
        <v>2594</v>
      </c>
      <c r="R1225" s="18" t="s">
        <v>2594</v>
      </c>
    </row>
    <row r="1226" spans="1:27" ht="21.75" customHeight="1" x14ac:dyDescent="0.4">
      <c r="A1226" s="258">
        <v>46163</v>
      </c>
      <c r="B1226" s="325" t="s">
        <v>162</v>
      </c>
      <c r="C1226" s="241" t="s">
        <v>2557</v>
      </c>
      <c r="D1226" s="18" t="s">
        <v>59</v>
      </c>
      <c r="E1226" s="18" t="s">
        <v>6746</v>
      </c>
      <c r="F1226" s="18"/>
      <c r="G1226" s="63"/>
      <c r="H1226" s="399">
        <v>500</v>
      </c>
      <c r="I1226" s="353"/>
      <c r="J1226" s="350">
        <f t="shared" si="912"/>
        <v>500</v>
      </c>
      <c r="K1226" s="18">
        <v>2</v>
      </c>
      <c r="L1226" s="350">
        <f t="shared" si="913"/>
        <v>1000</v>
      </c>
      <c r="M1226" s="356">
        <f t="shared" si="914"/>
        <v>1100</v>
      </c>
      <c r="N1226" s="18" t="s">
        <v>25</v>
      </c>
      <c r="O1226" s="456"/>
      <c r="P1226" s="18" t="s">
        <v>2594</v>
      </c>
      <c r="Q1226" s="18" t="s">
        <v>2594</v>
      </c>
      <c r="R1226" s="18" t="s">
        <v>2594</v>
      </c>
    </row>
    <row r="1227" spans="1:27" ht="21.75" customHeight="1" x14ac:dyDescent="0.4">
      <c r="A1227" s="258">
        <v>46163</v>
      </c>
      <c r="B1227" s="325" t="s">
        <v>162</v>
      </c>
      <c r="C1227" s="32" t="s">
        <v>2557</v>
      </c>
      <c r="D1227" s="18" t="s">
        <v>27</v>
      </c>
      <c r="E1227" s="18" t="s">
        <v>28</v>
      </c>
      <c r="F1227" s="18"/>
      <c r="G1227" s="63" t="s">
        <v>73</v>
      </c>
      <c r="H1227" s="399">
        <v>2000</v>
      </c>
      <c r="I1227" s="353"/>
      <c r="J1227" s="350">
        <f t="shared" ref="J1227:J1229" si="925">SUM(H1227:I1227)</f>
        <v>2000</v>
      </c>
      <c r="K1227" s="18">
        <v>1</v>
      </c>
      <c r="L1227" s="350">
        <f t="shared" ref="L1227:L1229" si="926">SUM(J1227*K1227)</f>
        <v>2000</v>
      </c>
      <c r="M1227" s="356">
        <f t="shared" ref="M1227:M1229" si="927">ROUNDDOWN(L1227*1.1,0)</f>
        <v>2200</v>
      </c>
      <c r="N1227" s="18" t="s">
        <v>25</v>
      </c>
      <c r="O1227" s="456" t="s">
        <v>6740</v>
      </c>
      <c r="P1227" s="18" t="s">
        <v>2594</v>
      </c>
      <c r="Q1227" s="18" t="s">
        <v>2594</v>
      </c>
      <c r="R1227" s="18" t="s">
        <v>2594</v>
      </c>
    </row>
    <row r="1228" spans="1:27" ht="21.75" customHeight="1" x14ac:dyDescent="0.4">
      <c r="A1228" s="258">
        <v>46163</v>
      </c>
      <c r="B1228" s="325" t="s">
        <v>6747</v>
      </c>
      <c r="C1228" s="32" t="s">
        <v>4292</v>
      </c>
      <c r="D1228" s="18" t="s">
        <v>17</v>
      </c>
      <c r="E1228" s="258" t="s">
        <v>6748</v>
      </c>
      <c r="F1228" s="18"/>
      <c r="G1228" s="433" t="s">
        <v>6748</v>
      </c>
      <c r="H1228" s="399">
        <v>1100</v>
      </c>
      <c r="I1228" s="353"/>
      <c r="J1228" s="350">
        <f t="shared" si="925"/>
        <v>1100</v>
      </c>
      <c r="K1228" s="18">
        <v>2</v>
      </c>
      <c r="L1228" s="350">
        <f t="shared" si="926"/>
        <v>2200</v>
      </c>
      <c r="M1228" s="356">
        <f t="shared" si="927"/>
        <v>2420</v>
      </c>
      <c r="N1228" s="18" t="s">
        <v>25</v>
      </c>
      <c r="O1228" s="456"/>
      <c r="P1228" s="18" t="s">
        <v>2594</v>
      </c>
      <c r="Q1228" s="18" t="s">
        <v>2594</v>
      </c>
      <c r="R1228" s="18" t="s">
        <v>2594</v>
      </c>
      <c r="W1228" s="354">
        <f t="shared" ref="W1228:W1230" si="928">X1228/H1228</f>
        <v>1</v>
      </c>
      <c r="X1228" s="355">
        <v>1100</v>
      </c>
      <c r="Y1228" s="355">
        <v>2</v>
      </c>
      <c r="Z1228" s="355">
        <f t="shared" ref="Z1228:Z1230" si="929">X1228*Y1228</f>
        <v>2200</v>
      </c>
      <c r="AA1228" s="355">
        <f t="shared" ref="AA1228:AA1230" si="930">L1228-Z1228</f>
        <v>0</v>
      </c>
    </row>
    <row r="1229" spans="1:27" ht="21.75" customHeight="1" x14ac:dyDescent="0.4">
      <c r="A1229" s="258">
        <v>46163</v>
      </c>
      <c r="B1229" s="325" t="s">
        <v>6605</v>
      </c>
      <c r="C1229" s="32" t="s">
        <v>2557</v>
      </c>
      <c r="D1229" s="18" t="s">
        <v>17</v>
      </c>
      <c r="E1229" s="258" t="s">
        <v>6749</v>
      </c>
      <c r="F1229" s="258" t="s">
        <v>6750</v>
      </c>
      <c r="G1229" s="63" t="s">
        <v>6751</v>
      </c>
      <c r="H1229" s="399">
        <v>45000</v>
      </c>
      <c r="I1229" s="353">
        <v>-13500</v>
      </c>
      <c r="J1229" s="350">
        <f t="shared" si="925"/>
        <v>31500</v>
      </c>
      <c r="K1229" s="18">
        <v>1</v>
      </c>
      <c r="L1229" s="350">
        <f t="shared" si="926"/>
        <v>31500</v>
      </c>
      <c r="M1229" s="357">
        <f t="shared" si="927"/>
        <v>34650</v>
      </c>
      <c r="N1229" s="18" t="s">
        <v>25</v>
      </c>
      <c r="O1229" s="456"/>
      <c r="P1229" s="18" t="s">
        <v>2594</v>
      </c>
      <c r="Q1229" s="18" t="s">
        <v>2594</v>
      </c>
      <c r="R1229" s="18" t="s">
        <v>2594</v>
      </c>
      <c r="W1229" s="354">
        <f t="shared" si="928"/>
        <v>0.45</v>
      </c>
      <c r="X1229" s="355">
        <v>20250</v>
      </c>
      <c r="Y1229" s="355">
        <v>1</v>
      </c>
      <c r="Z1229" s="355">
        <f t="shared" si="929"/>
        <v>20250</v>
      </c>
      <c r="AA1229" s="355">
        <f t="shared" si="930"/>
        <v>11250</v>
      </c>
    </row>
    <row r="1230" spans="1:27" ht="21.75" customHeight="1" x14ac:dyDescent="0.4">
      <c r="A1230" s="258">
        <v>46163</v>
      </c>
      <c r="B1230" s="325" t="s">
        <v>6605</v>
      </c>
      <c r="C1230" s="32" t="s">
        <v>2557</v>
      </c>
      <c r="D1230" s="18" t="s">
        <v>17</v>
      </c>
      <c r="E1230" s="18" t="s">
        <v>6752</v>
      </c>
      <c r="F1230" s="18" t="s">
        <v>3555</v>
      </c>
      <c r="G1230" s="63" t="s">
        <v>6753</v>
      </c>
      <c r="H1230" s="399">
        <v>2000</v>
      </c>
      <c r="I1230" s="353">
        <v>-200</v>
      </c>
      <c r="J1230" s="350">
        <f t="shared" ref="J1230:J1240" si="931">SUM(H1230:I1230)</f>
        <v>1800</v>
      </c>
      <c r="K1230" s="18">
        <v>1</v>
      </c>
      <c r="L1230" s="350">
        <f t="shared" ref="L1230:L1240" si="932">SUM(J1230*K1230)</f>
        <v>1800</v>
      </c>
      <c r="M1230" s="357">
        <f t="shared" ref="M1230:M1240" si="933">ROUNDDOWN(L1230*1.1,0)</f>
        <v>1980</v>
      </c>
      <c r="N1230" s="18" t="s">
        <v>25</v>
      </c>
      <c r="O1230" s="456"/>
      <c r="P1230" s="18" t="s">
        <v>2594</v>
      </c>
      <c r="Q1230" s="18" t="s">
        <v>2594</v>
      </c>
      <c r="R1230" s="18" t="s">
        <v>2594</v>
      </c>
      <c r="W1230" s="354">
        <f t="shared" si="928"/>
        <v>0.57999999999999996</v>
      </c>
      <c r="X1230" s="355">
        <v>1160</v>
      </c>
      <c r="Y1230" s="355">
        <v>1</v>
      </c>
      <c r="Z1230" s="355">
        <f t="shared" si="929"/>
        <v>1160</v>
      </c>
      <c r="AA1230" s="355">
        <f t="shared" si="930"/>
        <v>640</v>
      </c>
    </row>
    <row r="1231" spans="1:27" ht="21.75" customHeight="1" x14ac:dyDescent="0.4">
      <c r="A1231" s="258">
        <v>46163</v>
      </c>
      <c r="B1231" s="325" t="s">
        <v>6754</v>
      </c>
      <c r="C1231" s="32" t="s">
        <v>2557</v>
      </c>
      <c r="D1231" s="18"/>
      <c r="E1231" s="18" t="s">
        <v>330</v>
      </c>
      <c r="F1231" s="18" t="s">
        <v>6784</v>
      </c>
      <c r="G1231" s="63" t="s">
        <v>6785</v>
      </c>
      <c r="H1231" s="399">
        <v>5500</v>
      </c>
      <c r="I1231" s="353"/>
      <c r="J1231" s="350">
        <f t="shared" si="931"/>
        <v>5500</v>
      </c>
      <c r="K1231" s="18">
        <v>1</v>
      </c>
      <c r="L1231" s="350">
        <f t="shared" si="932"/>
        <v>5500</v>
      </c>
      <c r="M1231" s="356">
        <f t="shared" si="933"/>
        <v>6050</v>
      </c>
      <c r="N1231" s="18" t="s">
        <v>25</v>
      </c>
      <c r="O1231" s="456"/>
      <c r="Q1231" s="18" t="s">
        <v>6756</v>
      </c>
      <c r="R1231" s="18" t="s">
        <v>6757</v>
      </c>
    </row>
    <row r="1232" spans="1:27" ht="21.75" customHeight="1" x14ac:dyDescent="0.4">
      <c r="A1232" s="258">
        <v>46163</v>
      </c>
      <c r="B1232" s="325" t="s">
        <v>6754</v>
      </c>
      <c r="C1232" s="32" t="s">
        <v>2557</v>
      </c>
      <c r="D1232" s="18" t="s">
        <v>59</v>
      </c>
      <c r="E1232" s="18" t="s">
        <v>6755</v>
      </c>
      <c r="F1232" s="18"/>
      <c r="G1232" s="63"/>
      <c r="H1232" s="399">
        <v>500</v>
      </c>
      <c r="I1232" s="353"/>
      <c r="J1232" s="350">
        <f t="shared" si="931"/>
        <v>500</v>
      </c>
      <c r="K1232" s="18">
        <v>2</v>
      </c>
      <c r="L1232" s="350">
        <f t="shared" si="932"/>
        <v>1000</v>
      </c>
      <c r="M1232" s="356">
        <f t="shared" si="933"/>
        <v>1100</v>
      </c>
      <c r="N1232" s="18" t="s">
        <v>25</v>
      </c>
      <c r="O1232" s="456"/>
      <c r="Q1232" s="18" t="s">
        <v>6756</v>
      </c>
      <c r="R1232" s="18" t="s">
        <v>6757</v>
      </c>
    </row>
    <row r="1233" spans="1:27" ht="21.75" customHeight="1" x14ac:dyDescent="0.4">
      <c r="A1233" s="258">
        <v>46163</v>
      </c>
      <c r="B1233" s="325" t="s">
        <v>6758</v>
      </c>
      <c r="C1233" s="32" t="s">
        <v>2557</v>
      </c>
      <c r="D1233" s="18"/>
      <c r="E1233" s="18" t="s">
        <v>332</v>
      </c>
      <c r="F1233" s="18" t="s">
        <v>3555</v>
      </c>
      <c r="G1233" s="63" t="s">
        <v>6745</v>
      </c>
      <c r="H1233" s="399">
        <v>2000</v>
      </c>
      <c r="I1233" s="353">
        <v>-200</v>
      </c>
      <c r="J1233" s="350">
        <f t="shared" si="931"/>
        <v>1800</v>
      </c>
      <c r="K1233" s="18">
        <v>1</v>
      </c>
      <c r="L1233" s="350">
        <f t="shared" si="932"/>
        <v>1800</v>
      </c>
      <c r="M1233" s="356">
        <f t="shared" si="933"/>
        <v>1980</v>
      </c>
      <c r="N1233" s="258" t="s">
        <v>6761</v>
      </c>
      <c r="O1233" s="456"/>
      <c r="Q1233" s="18" t="s">
        <v>6756</v>
      </c>
      <c r="R1233" s="18" t="s">
        <v>6757</v>
      </c>
    </row>
    <row r="1234" spans="1:27" ht="21.75" customHeight="1" x14ac:dyDescent="0.4">
      <c r="A1234" s="258">
        <v>46163</v>
      </c>
      <c r="B1234" s="325" t="s">
        <v>6758</v>
      </c>
      <c r="C1234" s="32" t="s">
        <v>2557</v>
      </c>
      <c r="D1234" s="18" t="s">
        <v>59</v>
      </c>
      <c r="E1234" s="18" t="s">
        <v>6620</v>
      </c>
      <c r="F1234" s="18"/>
      <c r="G1234" s="63"/>
      <c r="H1234" s="399">
        <v>300</v>
      </c>
      <c r="I1234" s="353"/>
      <c r="J1234" s="350">
        <f t="shared" si="931"/>
        <v>300</v>
      </c>
      <c r="K1234" s="18">
        <v>1</v>
      </c>
      <c r="L1234" s="350">
        <f t="shared" si="932"/>
        <v>300</v>
      </c>
      <c r="M1234" s="356">
        <f t="shared" si="933"/>
        <v>330</v>
      </c>
      <c r="N1234" s="258" t="s">
        <v>6761</v>
      </c>
      <c r="O1234" s="456"/>
      <c r="Q1234" s="18" t="s">
        <v>6756</v>
      </c>
      <c r="R1234" s="18" t="s">
        <v>6757</v>
      </c>
    </row>
    <row r="1235" spans="1:27" ht="21.75" customHeight="1" x14ac:dyDescent="0.4">
      <c r="A1235" s="258">
        <v>46164</v>
      </c>
      <c r="B1235" s="325" t="s">
        <v>5069</v>
      </c>
      <c r="C1235" s="32" t="s">
        <v>6759</v>
      </c>
      <c r="D1235" s="258" t="s">
        <v>22</v>
      </c>
      <c r="E1235" s="258" t="s">
        <v>5040</v>
      </c>
      <c r="F1235" s="258"/>
      <c r="G1235" s="433" t="s">
        <v>4869</v>
      </c>
      <c r="H1235" s="399">
        <v>2000</v>
      </c>
      <c r="I1235" s="353"/>
      <c r="J1235" s="350">
        <f t="shared" si="931"/>
        <v>2000</v>
      </c>
      <c r="K1235" s="18">
        <v>2</v>
      </c>
      <c r="L1235" s="350">
        <f t="shared" si="932"/>
        <v>4000</v>
      </c>
      <c r="M1235" s="356">
        <f t="shared" si="933"/>
        <v>4400</v>
      </c>
      <c r="N1235" s="18" t="s">
        <v>25</v>
      </c>
      <c r="O1235" s="456"/>
      <c r="P1235" s="18" t="s">
        <v>6760</v>
      </c>
      <c r="Q1235" s="18" t="s">
        <v>6760</v>
      </c>
      <c r="R1235" s="18" t="s">
        <v>6760</v>
      </c>
    </row>
    <row r="1236" spans="1:27" ht="21.75" customHeight="1" x14ac:dyDescent="0.4">
      <c r="A1236" s="258">
        <v>46164</v>
      </c>
      <c r="B1236" s="325" t="s">
        <v>6120</v>
      </c>
      <c r="C1236" s="32" t="s">
        <v>6762</v>
      </c>
      <c r="D1236" s="18" t="s">
        <v>6763</v>
      </c>
      <c r="E1236" s="18" t="s">
        <v>332</v>
      </c>
      <c r="F1236" s="18" t="s">
        <v>3555</v>
      </c>
      <c r="G1236" s="63" t="s">
        <v>6745</v>
      </c>
      <c r="H1236" s="399">
        <v>2000</v>
      </c>
      <c r="I1236" s="353">
        <v>-200</v>
      </c>
      <c r="J1236" s="350">
        <f t="shared" si="931"/>
        <v>1800</v>
      </c>
      <c r="K1236" s="18">
        <v>1</v>
      </c>
      <c r="L1236" s="350">
        <f t="shared" si="932"/>
        <v>1800</v>
      </c>
      <c r="M1236" s="356">
        <f t="shared" si="933"/>
        <v>1980</v>
      </c>
      <c r="N1236" s="258" t="s">
        <v>1121</v>
      </c>
      <c r="O1236" s="456"/>
      <c r="P1236" s="18" t="s">
        <v>6764</v>
      </c>
      <c r="Q1236" s="18" t="s">
        <v>6764</v>
      </c>
      <c r="R1236" s="18" t="s">
        <v>6764</v>
      </c>
      <c r="W1236" s="354">
        <f t="shared" ref="W1236" si="934">X1236/H1236</f>
        <v>0.57999999999999996</v>
      </c>
      <c r="X1236" s="355">
        <v>1160</v>
      </c>
      <c r="Y1236" s="355">
        <v>1</v>
      </c>
      <c r="Z1236" s="355">
        <f>X1236*Y1236</f>
        <v>1160</v>
      </c>
      <c r="AA1236" s="355">
        <f>L1236-Z1236</f>
        <v>640</v>
      </c>
    </row>
    <row r="1237" spans="1:27" ht="21.75" customHeight="1" x14ac:dyDescent="0.4">
      <c r="A1237" s="258">
        <v>46164</v>
      </c>
      <c r="B1237" s="325" t="s">
        <v>6120</v>
      </c>
      <c r="C1237" s="32" t="s">
        <v>2557</v>
      </c>
      <c r="D1237" s="18" t="s">
        <v>59</v>
      </c>
      <c r="E1237" s="18" t="s">
        <v>6620</v>
      </c>
      <c r="F1237" s="18"/>
      <c r="G1237" s="63"/>
      <c r="H1237" s="399">
        <v>300</v>
      </c>
      <c r="I1237" s="353"/>
      <c r="J1237" s="350">
        <f t="shared" si="931"/>
        <v>300</v>
      </c>
      <c r="K1237" s="18">
        <v>1</v>
      </c>
      <c r="L1237" s="350">
        <f t="shared" si="932"/>
        <v>300</v>
      </c>
      <c r="M1237" s="356">
        <f t="shared" si="933"/>
        <v>330</v>
      </c>
      <c r="N1237" s="258" t="s">
        <v>1121</v>
      </c>
      <c r="O1237" s="456"/>
      <c r="P1237" s="18" t="s">
        <v>6764</v>
      </c>
      <c r="Q1237" s="18" t="s">
        <v>6764</v>
      </c>
      <c r="R1237" s="18" t="s">
        <v>6764</v>
      </c>
    </row>
    <row r="1238" spans="1:27" ht="21.75" customHeight="1" x14ac:dyDescent="0.4">
      <c r="A1238" s="258">
        <v>46165</v>
      </c>
      <c r="B1238" s="325" t="s">
        <v>6204</v>
      </c>
      <c r="C1238" s="32" t="s">
        <v>405</v>
      </c>
      <c r="D1238" s="258" t="s">
        <v>22</v>
      </c>
      <c r="E1238" s="258" t="s">
        <v>5040</v>
      </c>
      <c r="F1238" s="258"/>
      <c r="G1238" s="433" t="s">
        <v>6186</v>
      </c>
      <c r="H1238" s="399">
        <v>3000</v>
      </c>
      <c r="I1238" s="353"/>
      <c r="J1238" s="350">
        <f t="shared" si="931"/>
        <v>3000</v>
      </c>
      <c r="K1238" s="18">
        <v>1</v>
      </c>
      <c r="L1238" s="350">
        <f t="shared" si="932"/>
        <v>3000</v>
      </c>
      <c r="M1238" s="356">
        <f t="shared" si="933"/>
        <v>3300</v>
      </c>
      <c r="N1238" s="258" t="s">
        <v>20</v>
      </c>
      <c r="O1238" s="456"/>
      <c r="P1238" s="18" t="s">
        <v>2594</v>
      </c>
      <c r="Q1238" s="18" t="s">
        <v>2594</v>
      </c>
      <c r="R1238" s="18" t="s">
        <v>2594</v>
      </c>
    </row>
    <row r="1239" spans="1:27" ht="21.75" customHeight="1" x14ac:dyDescent="0.4">
      <c r="A1239" s="258">
        <v>46165</v>
      </c>
      <c r="B1239" s="325" t="s">
        <v>4836</v>
      </c>
      <c r="C1239" s="32" t="s">
        <v>2557</v>
      </c>
      <c r="D1239" s="18" t="s">
        <v>17</v>
      </c>
      <c r="E1239" s="18" t="s">
        <v>6765</v>
      </c>
      <c r="F1239" s="18" t="s">
        <v>3555</v>
      </c>
      <c r="G1239" s="63" t="s">
        <v>5550</v>
      </c>
      <c r="H1239" s="399">
        <v>1500</v>
      </c>
      <c r="I1239" s="353">
        <v>-150</v>
      </c>
      <c r="J1239" s="350">
        <f t="shared" si="931"/>
        <v>1350</v>
      </c>
      <c r="K1239" s="18">
        <v>2</v>
      </c>
      <c r="L1239" s="350">
        <f t="shared" si="932"/>
        <v>2700</v>
      </c>
      <c r="M1239" s="356">
        <f t="shared" si="933"/>
        <v>2970</v>
      </c>
      <c r="N1239" s="18" t="s">
        <v>25</v>
      </c>
      <c r="O1239" s="456"/>
      <c r="P1239" s="18" t="s">
        <v>2594</v>
      </c>
      <c r="Q1239" s="18" t="s">
        <v>2594</v>
      </c>
      <c r="R1239" s="18" t="s">
        <v>2594</v>
      </c>
      <c r="W1239" s="354">
        <f t="shared" ref="W1239" si="935">X1239/H1239</f>
        <v>0.57999999999999996</v>
      </c>
      <c r="X1239" s="355">
        <v>870</v>
      </c>
      <c r="Y1239" s="355">
        <v>2</v>
      </c>
      <c r="Z1239" s="355">
        <f>X1239*Y1239</f>
        <v>1740</v>
      </c>
      <c r="AA1239" s="355">
        <f>L1239-Z1239</f>
        <v>960</v>
      </c>
    </row>
    <row r="1240" spans="1:27" ht="21.75" customHeight="1" x14ac:dyDescent="0.4">
      <c r="A1240" s="258">
        <v>46165</v>
      </c>
      <c r="B1240" s="325" t="s">
        <v>4836</v>
      </c>
      <c r="C1240" s="241" t="s">
        <v>2557</v>
      </c>
      <c r="D1240" s="18" t="s">
        <v>59</v>
      </c>
      <c r="E1240" s="18" t="s">
        <v>6620</v>
      </c>
      <c r="F1240" s="18"/>
      <c r="G1240" s="63"/>
      <c r="H1240" s="399">
        <v>300</v>
      </c>
      <c r="I1240" s="353"/>
      <c r="J1240" s="350">
        <f t="shared" si="931"/>
        <v>300</v>
      </c>
      <c r="K1240" s="18">
        <v>2</v>
      </c>
      <c r="L1240" s="350">
        <f t="shared" si="932"/>
        <v>600</v>
      </c>
      <c r="M1240" s="356">
        <f t="shared" si="933"/>
        <v>660</v>
      </c>
      <c r="N1240" s="18" t="s">
        <v>25</v>
      </c>
      <c r="O1240" s="466"/>
      <c r="P1240" s="18" t="s">
        <v>2594</v>
      </c>
      <c r="Q1240" s="18" t="s">
        <v>2594</v>
      </c>
      <c r="R1240" s="18" t="s">
        <v>2594</v>
      </c>
    </row>
    <row r="1241" spans="1:27" ht="21.75" customHeight="1" x14ac:dyDescent="0.4">
      <c r="A1241" s="258">
        <v>46165</v>
      </c>
      <c r="B1241" s="325" t="s">
        <v>4836</v>
      </c>
      <c r="C1241" s="241" t="s">
        <v>2557</v>
      </c>
      <c r="D1241" s="18" t="s">
        <v>59</v>
      </c>
      <c r="E1241" s="18" t="s">
        <v>6766</v>
      </c>
      <c r="F1241" s="18"/>
      <c r="G1241" s="63"/>
      <c r="H1241" s="399">
        <v>500</v>
      </c>
      <c r="I1241" s="353"/>
      <c r="J1241" s="350">
        <f t="shared" ref="J1241:J1305" si="936">SUM(H1241:I1241)</f>
        <v>500</v>
      </c>
      <c r="K1241" s="18">
        <v>1</v>
      </c>
      <c r="L1241" s="350">
        <f t="shared" ref="L1241:L1305" si="937">SUM(J1241*K1241)</f>
        <v>500</v>
      </c>
      <c r="M1241" s="356">
        <f t="shared" ref="M1241:M1305" si="938">ROUNDDOWN(L1241*1.1,0)</f>
        <v>550</v>
      </c>
      <c r="N1241" s="18" t="s">
        <v>25</v>
      </c>
      <c r="O1241" s="466"/>
      <c r="P1241" s="18" t="s">
        <v>2594</v>
      </c>
      <c r="Q1241" s="18" t="s">
        <v>2594</v>
      </c>
      <c r="R1241" s="18" t="s">
        <v>2594</v>
      </c>
    </row>
    <row r="1242" spans="1:27" ht="21.75" customHeight="1" x14ac:dyDescent="0.4">
      <c r="A1242" s="258">
        <v>46165</v>
      </c>
      <c r="B1242" s="474" t="s">
        <v>148</v>
      </c>
      <c r="C1242" s="241" t="s">
        <v>2557</v>
      </c>
      <c r="D1242" s="18" t="s">
        <v>17</v>
      </c>
      <c r="E1242" s="18" t="s">
        <v>292</v>
      </c>
      <c r="F1242" s="18" t="s">
        <v>1051</v>
      </c>
      <c r="G1242" s="63" t="s">
        <v>4973</v>
      </c>
      <c r="H1242" s="399">
        <v>3200</v>
      </c>
      <c r="I1242" s="353">
        <v>-320</v>
      </c>
      <c r="J1242" s="350">
        <f t="shared" si="936"/>
        <v>2880</v>
      </c>
      <c r="K1242" s="18">
        <v>1</v>
      </c>
      <c r="L1242" s="350">
        <f t="shared" si="937"/>
        <v>2880</v>
      </c>
      <c r="M1242" s="356">
        <f t="shared" si="938"/>
        <v>3168</v>
      </c>
      <c r="N1242" s="258" t="s">
        <v>20</v>
      </c>
      <c r="O1242" s="466"/>
      <c r="P1242" s="18" t="s">
        <v>2594</v>
      </c>
      <c r="Q1242" s="18" t="s">
        <v>2594</v>
      </c>
      <c r="R1242" s="18" t="s">
        <v>2594</v>
      </c>
      <c r="W1242" s="354">
        <f t="shared" ref="W1242" si="939">X1242/H1242</f>
        <v>0.75</v>
      </c>
      <c r="X1242" s="355">
        <v>2400</v>
      </c>
      <c r="Y1242" s="355">
        <v>1</v>
      </c>
      <c r="Z1242" s="355">
        <f>X1242*Y1242</f>
        <v>2400</v>
      </c>
      <c r="AA1242" s="355">
        <f>L1242-Z1242</f>
        <v>480</v>
      </c>
    </row>
    <row r="1243" spans="1:27" ht="21.75" customHeight="1" x14ac:dyDescent="0.4">
      <c r="A1243" s="258">
        <v>46165</v>
      </c>
      <c r="B1243" s="474" t="s">
        <v>6767</v>
      </c>
      <c r="C1243" s="32" t="s">
        <v>405</v>
      </c>
      <c r="D1243" s="18" t="s">
        <v>22</v>
      </c>
      <c r="E1243" s="18" t="s">
        <v>1496</v>
      </c>
      <c r="F1243" s="18"/>
      <c r="G1243" s="63" t="s">
        <v>2422</v>
      </c>
      <c r="H1243" s="399">
        <v>2000</v>
      </c>
      <c r="I1243" s="353"/>
      <c r="J1243" s="350">
        <f t="shared" si="936"/>
        <v>2000</v>
      </c>
      <c r="K1243" s="18">
        <v>1</v>
      </c>
      <c r="L1243" s="350">
        <f t="shared" si="937"/>
        <v>2000</v>
      </c>
      <c r="M1243" s="356">
        <f t="shared" si="938"/>
        <v>2200</v>
      </c>
      <c r="N1243" s="258" t="s">
        <v>20</v>
      </c>
      <c r="O1243" s="466"/>
      <c r="P1243" s="18" t="s">
        <v>2594</v>
      </c>
      <c r="Q1243" s="18" t="s">
        <v>2594</v>
      </c>
      <c r="R1243" s="18" t="s">
        <v>2594</v>
      </c>
    </row>
    <row r="1244" spans="1:27" ht="21.75" customHeight="1" x14ac:dyDescent="0.4">
      <c r="A1244" s="258">
        <v>46165</v>
      </c>
      <c r="B1244" s="474" t="s">
        <v>6768</v>
      </c>
      <c r="C1244" s="32" t="s">
        <v>405</v>
      </c>
      <c r="D1244" s="18" t="s">
        <v>22</v>
      </c>
      <c r="E1244" s="18" t="s">
        <v>1496</v>
      </c>
      <c r="F1244" s="18"/>
      <c r="G1244" s="63" t="s">
        <v>2422</v>
      </c>
      <c r="H1244" s="399">
        <v>2000</v>
      </c>
      <c r="I1244" s="353"/>
      <c r="J1244" s="350">
        <f t="shared" si="936"/>
        <v>2000</v>
      </c>
      <c r="K1244" s="18">
        <v>1</v>
      </c>
      <c r="L1244" s="350">
        <f t="shared" si="937"/>
        <v>2000</v>
      </c>
      <c r="M1244" s="356">
        <f t="shared" si="938"/>
        <v>2200</v>
      </c>
      <c r="N1244" s="258" t="s">
        <v>20</v>
      </c>
      <c r="O1244" s="466"/>
      <c r="P1244" s="18" t="s">
        <v>2594</v>
      </c>
      <c r="Q1244" s="18" t="s">
        <v>2594</v>
      </c>
      <c r="R1244" s="18" t="s">
        <v>2594</v>
      </c>
    </row>
    <row r="1245" spans="1:27" ht="21.75" customHeight="1" x14ac:dyDescent="0.4">
      <c r="A1245" s="258">
        <v>46165</v>
      </c>
      <c r="B1245" s="325" t="s">
        <v>6519</v>
      </c>
      <c r="C1245" s="32" t="s">
        <v>2557</v>
      </c>
      <c r="D1245" s="18" t="s">
        <v>27</v>
      </c>
      <c r="E1245" s="242" t="s">
        <v>5237</v>
      </c>
      <c r="F1245" s="258"/>
      <c r="G1245" s="433" t="s">
        <v>6148</v>
      </c>
      <c r="H1245" s="399">
        <v>1800</v>
      </c>
      <c r="I1245" s="399"/>
      <c r="J1245" s="350">
        <f t="shared" si="936"/>
        <v>1800</v>
      </c>
      <c r="K1245" s="18">
        <v>1</v>
      </c>
      <c r="L1245" s="350">
        <f t="shared" si="937"/>
        <v>1800</v>
      </c>
      <c r="M1245" s="356">
        <f t="shared" si="938"/>
        <v>1980</v>
      </c>
      <c r="N1245" s="18" t="s">
        <v>4233</v>
      </c>
      <c r="O1245" s="466"/>
      <c r="R1245" s="18" t="s">
        <v>4803</v>
      </c>
    </row>
    <row r="1246" spans="1:27" ht="21.75" customHeight="1" x14ac:dyDescent="0.4">
      <c r="A1246" s="466">
        <v>46166</v>
      </c>
      <c r="B1246" s="474" t="s">
        <v>6769</v>
      </c>
      <c r="C1246" s="241" t="s">
        <v>2557</v>
      </c>
      <c r="D1246" s="18" t="s">
        <v>6770</v>
      </c>
      <c r="E1246" s="18" t="s">
        <v>28</v>
      </c>
      <c r="F1246" s="18"/>
      <c r="G1246" s="63" t="s">
        <v>5038</v>
      </c>
      <c r="H1246" s="399">
        <v>5000</v>
      </c>
      <c r="I1246" s="353"/>
      <c r="J1246" s="350">
        <f t="shared" si="936"/>
        <v>5000</v>
      </c>
      <c r="K1246" s="18">
        <v>1</v>
      </c>
      <c r="L1246" s="350">
        <f t="shared" si="937"/>
        <v>5000</v>
      </c>
      <c r="M1246" s="356">
        <f t="shared" si="938"/>
        <v>5500</v>
      </c>
      <c r="N1246" s="258" t="s">
        <v>1516</v>
      </c>
      <c r="O1246" s="466"/>
      <c r="P1246" s="18" t="s">
        <v>2594</v>
      </c>
      <c r="Q1246" s="18" t="s">
        <v>2594</v>
      </c>
      <c r="R1246" s="18" t="s">
        <v>2594</v>
      </c>
    </row>
    <row r="1247" spans="1:27" ht="21.75" customHeight="1" x14ac:dyDescent="0.4">
      <c r="A1247" s="466">
        <v>46166</v>
      </c>
      <c r="B1247" s="474" t="s">
        <v>5023</v>
      </c>
      <c r="C1247" s="241" t="s">
        <v>2557</v>
      </c>
      <c r="D1247" s="258" t="s">
        <v>22</v>
      </c>
      <c r="E1247" s="258" t="s">
        <v>5040</v>
      </c>
      <c r="F1247" s="258"/>
      <c r="G1247" s="433" t="s">
        <v>4869</v>
      </c>
      <c r="H1247" s="399">
        <v>2000</v>
      </c>
      <c r="I1247" s="353"/>
      <c r="J1247" s="350">
        <f t="shared" si="936"/>
        <v>2000</v>
      </c>
      <c r="K1247" s="18">
        <v>1</v>
      </c>
      <c r="L1247" s="350">
        <f t="shared" si="937"/>
        <v>2000</v>
      </c>
      <c r="M1247" s="356">
        <f t="shared" si="938"/>
        <v>2200</v>
      </c>
      <c r="N1247" s="258" t="s">
        <v>20</v>
      </c>
      <c r="O1247" s="466"/>
      <c r="P1247" s="18" t="s">
        <v>5449</v>
      </c>
      <c r="Q1247" s="18" t="s">
        <v>5449</v>
      </c>
      <c r="R1247" s="18" t="s">
        <v>5449</v>
      </c>
    </row>
    <row r="1248" spans="1:27" ht="21.75" customHeight="1" x14ac:dyDescent="0.4">
      <c r="A1248" s="466">
        <v>46166</v>
      </c>
      <c r="B1248" s="474" t="s">
        <v>6771</v>
      </c>
      <c r="C1248" s="241" t="s">
        <v>2557</v>
      </c>
      <c r="D1248" s="18" t="s">
        <v>59</v>
      </c>
      <c r="E1248" s="18" t="s">
        <v>6620</v>
      </c>
      <c r="F1248" s="18"/>
      <c r="G1248" s="63"/>
      <c r="H1248" s="399">
        <v>300</v>
      </c>
      <c r="I1248" s="353"/>
      <c r="J1248" s="350">
        <f t="shared" si="936"/>
        <v>300</v>
      </c>
      <c r="K1248" s="18">
        <v>1</v>
      </c>
      <c r="L1248" s="350">
        <f t="shared" si="937"/>
        <v>300</v>
      </c>
      <c r="M1248" s="356">
        <f t="shared" si="938"/>
        <v>330</v>
      </c>
      <c r="N1248" s="258" t="s">
        <v>20</v>
      </c>
      <c r="O1248" s="466"/>
      <c r="P1248" s="18" t="s">
        <v>2594</v>
      </c>
      <c r="Q1248" s="18" t="s">
        <v>2594</v>
      </c>
      <c r="R1248" s="18" t="s">
        <v>2594</v>
      </c>
    </row>
    <row r="1249" spans="1:27" ht="21.75" customHeight="1" x14ac:dyDescent="0.4">
      <c r="A1249" s="466">
        <v>46166</v>
      </c>
      <c r="B1249" s="474" t="s">
        <v>6771</v>
      </c>
      <c r="C1249" s="241" t="s">
        <v>2557</v>
      </c>
      <c r="D1249" s="18" t="s">
        <v>59</v>
      </c>
      <c r="E1249" s="18" t="s">
        <v>585</v>
      </c>
      <c r="F1249" s="18"/>
      <c r="G1249" s="63"/>
      <c r="H1249" s="399">
        <v>500</v>
      </c>
      <c r="I1249" s="353"/>
      <c r="J1249" s="350">
        <f t="shared" si="936"/>
        <v>500</v>
      </c>
      <c r="K1249" s="18">
        <v>1</v>
      </c>
      <c r="L1249" s="350">
        <f t="shared" si="937"/>
        <v>500</v>
      </c>
      <c r="M1249" s="356">
        <f t="shared" si="938"/>
        <v>550</v>
      </c>
      <c r="N1249" s="258" t="s">
        <v>20</v>
      </c>
      <c r="O1249" s="466"/>
      <c r="P1249" s="18" t="s">
        <v>2594</v>
      </c>
      <c r="Q1249" s="18" t="s">
        <v>2594</v>
      </c>
      <c r="R1249" s="18" t="s">
        <v>2594</v>
      </c>
    </row>
    <row r="1250" spans="1:27" ht="21.75" customHeight="1" x14ac:dyDescent="0.4">
      <c r="A1250" s="466">
        <v>46166</v>
      </c>
      <c r="B1250" s="474" t="s">
        <v>6771</v>
      </c>
      <c r="C1250" s="241" t="s">
        <v>2557</v>
      </c>
      <c r="D1250" s="18" t="s">
        <v>59</v>
      </c>
      <c r="E1250" s="18" t="s">
        <v>6772</v>
      </c>
      <c r="F1250" s="18"/>
      <c r="G1250" s="63"/>
      <c r="H1250" s="399">
        <v>500</v>
      </c>
      <c r="I1250" s="353"/>
      <c r="J1250" s="350">
        <f t="shared" si="936"/>
        <v>500</v>
      </c>
      <c r="K1250" s="18">
        <v>1</v>
      </c>
      <c r="L1250" s="350">
        <f t="shared" si="937"/>
        <v>500</v>
      </c>
      <c r="M1250" s="356">
        <f t="shared" si="938"/>
        <v>550</v>
      </c>
      <c r="N1250" s="258" t="s">
        <v>20</v>
      </c>
      <c r="O1250" s="466"/>
      <c r="P1250" s="18" t="s">
        <v>2594</v>
      </c>
      <c r="Q1250" s="18" t="s">
        <v>2594</v>
      </c>
      <c r="R1250" s="18" t="s">
        <v>2594</v>
      </c>
    </row>
    <row r="1251" spans="1:27" ht="21.75" customHeight="1" x14ac:dyDescent="0.4">
      <c r="A1251" s="466">
        <v>46166</v>
      </c>
      <c r="B1251" s="474" t="s">
        <v>6771</v>
      </c>
      <c r="C1251" s="241" t="s">
        <v>2557</v>
      </c>
      <c r="D1251" s="18" t="s">
        <v>59</v>
      </c>
      <c r="E1251" s="18" t="s">
        <v>6773</v>
      </c>
      <c r="F1251" s="18"/>
      <c r="G1251" s="63" t="s">
        <v>6786</v>
      </c>
      <c r="H1251" s="399">
        <v>1500</v>
      </c>
      <c r="I1251" s="353"/>
      <c r="J1251" s="350">
        <f t="shared" si="936"/>
        <v>1500</v>
      </c>
      <c r="K1251" s="18">
        <v>1</v>
      </c>
      <c r="L1251" s="350">
        <f t="shared" si="937"/>
        <v>1500</v>
      </c>
      <c r="M1251" s="356">
        <f t="shared" si="938"/>
        <v>1650</v>
      </c>
      <c r="N1251" s="258" t="s">
        <v>20</v>
      </c>
      <c r="O1251" s="466"/>
      <c r="P1251" s="18" t="s">
        <v>2594</v>
      </c>
      <c r="Q1251" s="18" t="s">
        <v>2594</v>
      </c>
      <c r="R1251" s="18" t="s">
        <v>2594</v>
      </c>
    </row>
    <row r="1252" spans="1:27" ht="21.75" customHeight="1" x14ac:dyDescent="0.4">
      <c r="A1252" s="466">
        <v>46166</v>
      </c>
      <c r="B1252" s="474" t="s">
        <v>6774</v>
      </c>
      <c r="C1252" s="241" t="s">
        <v>2557</v>
      </c>
      <c r="D1252" s="18" t="s">
        <v>17</v>
      </c>
      <c r="E1252" s="18" t="s">
        <v>6775</v>
      </c>
      <c r="F1252" s="258" t="s">
        <v>3554</v>
      </c>
      <c r="G1252" s="63" t="s">
        <v>6094</v>
      </c>
      <c r="H1252" s="399">
        <v>1500</v>
      </c>
      <c r="I1252" s="353">
        <v>-150</v>
      </c>
      <c r="J1252" s="350">
        <f t="shared" si="936"/>
        <v>1350</v>
      </c>
      <c r="K1252" s="18">
        <v>1</v>
      </c>
      <c r="L1252" s="350">
        <f t="shared" si="937"/>
        <v>1350</v>
      </c>
      <c r="M1252" s="356">
        <f t="shared" si="938"/>
        <v>1485</v>
      </c>
      <c r="N1252" s="258" t="s">
        <v>1516</v>
      </c>
      <c r="O1252" s="466"/>
      <c r="P1252" s="18" t="s">
        <v>2594</v>
      </c>
      <c r="Q1252" s="18" t="s">
        <v>2594</v>
      </c>
      <c r="R1252" s="18" t="s">
        <v>2594</v>
      </c>
      <c r="W1252" s="354">
        <f t="shared" ref="W1252" si="940">X1252/H1252</f>
        <v>0.6253333333333333</v>
      </c>
      <c r="X1252" s="355">
        <v>938</v>
      </c>
      <c r="Y1252" s="355">
        <v>1</v>
      </c>
      <c r="Z1252" s="355">
        <f>X1252*Y1252</f>
        <v>938</v>
      </c>
      <c r="AA1252" s="355">
        <f>L1252-Z1252</f>
        <v>412</v>
      </c>
    </row>
    <row r="1253" spans="1:27" ht="21.75" customHeight="1" x14ac:dyDescent="0.4">
      <c r="A1253" s="466">
        <v>46166</v>
      </c>
      <c r="B1253" s="474" t="s">
        <v>6774</v>
      </c>
      <c r="C1253" s="241" t="s">
        <v>2557</v>
      </c>
      <c r="D1253" s="18" t="s">
        <v>59</v>
      </c>
      <c r="E1253" s="18" t="s">
        <v>6620</v>
      </c>
      <c r="F1253" s="18"/>
      <c r="G1253" s="63"/>
      <c r="H1253" s="399">
        <v>300</v>
      </c>
      <c r="I1253" s="353"/>
      <c r="J1253" s="350">
        <f t="shared" si="936"/>
        <v>300</v>
      </c>
      <c r="K1253" s="18">
        <v>1</v>
      </c>
      <c r="L1253" s="350">
        <f t="shared" si="937"/>
        <v>300</v>
      </c>
      <c r="M1253" s="356">
        <f t="shared" si="938"/>
        <v>330</v>
      </c>
      <c r="N1253" s="258" t="s">
        <v>1516</v>
      </c>
      <c r="O1253" s="466"/>
      <c r="P1253" s="18" t="s">
        <v>2594</v>
      </c>
      <c r="Q1253" s="18" t="s">
        <v>2594</v>
      </c>
      <c r="R1253" s="18" t="s">
        <v>2594</v>
      </c>
    </row>
    <row r="1254" spans="1:27" ht="21.75" customHeight="1" x14ac:dyDescent="0.4">
      <c r="A1254" s="466">
        <v>46166</v>
      </c>
      <c r="B1254" s="474" t="s">
        <v>6776</v>
      </c>
      <c r="C1254" s="32" t="s">
        <v>405</v>
      </c>
      <c r="D1254" s="258" t="s">
        <v>22</v>
      </c>
      <c r="E1254" s="18" t="s">
        <v>260</v>
      </c>
      <c r="F1254" s="347"/>
      <c r="G1254" s="63" t="s">
        <v>264</v>
      </c>
      <c r="H1254" s="399">
        <v>15000</v>
      </c>
      <c r="I1254" s="353"/>
      <c r="J1254" s="350">
        <f t="shared" si="936"/>
        <v>15000</v>
      </c>
      <c r="K1254" s="18">
        <v>1</v>
      </c>
      <c r="L1254" s="350">
        <f t="shared" si="937"/>
        <v>15000</v>
      </c>
      <c r="M1254" s="356">
        <f t="shared" si="938"/>
        <v>16500</v>
      </c>
      <c r="N1254" s="258" t="s">
        <v>1516</v>
      </c>
      <c r="O1254" s="466"/>
      <c r="P1254" s="18" t="s">
        <v>6777</v>
      </c>
      <c r="Q1254" s="18" t="s">
        <v>6777</v>
      </c>
      <c r="R1254" s="18" t="s">
        <v>6777</v>
      </c>
    </row>
    <row r="1255" spans="1:27" ht="21.75" customHeight="1" x14ac:dyDescent="0.4">
      <c r="A1255" s="466">
        <v>46167</v>
      </c>
      <c r="B1255" s="474" t="s">
        <v>1861</v>
      </c>
      <c r="C1255" s="241" t="s">
        <v>2557</v>
      </c>
      <c r="D1255" s="258" t="s">
        <v>22</v>
      </c>
      <c r="E1255" s="258" t="s">
        <v>5040</v>
      </c>
      <c r="F1255" s="258"/>
      <c r="G1255" s="433" t="s">
        <v>4869</v>
      </c>
      <c r="H1255" s="399">
        <v>2000</v>
      </c>
      <c r="I1255" s="353"/>
      <c r="J1255" s="350">
        <f t="shared" si="936"/>
        <v>2000</v>
      </c>
      <c r="K1255" s="18">
        <v>1</v>
      </c>
      <c r="L1255" s="350">
        <f t="shared" si="937"/>
        <v>2000</v>
      </c>
      <c r="M1255" s="356">
        <f t="shared" si="938"/>
        <v>2200</v>
      </c>
      <c r="N1255" s="258" t="s">
        <v>1516</v>
      </c>
      <c r="O1255" s="466"/>
      <c r="P1255" s="18" t="s">
        <v>6778</v>
      </c>
      <c r="Q1255" s="18" t="s">
        <v>6778</v>
      </c>
      <c r="R1255" s="18" t="s">
        <v>6778</v>
      </c>
      <c r="S1255" s="471"/>
    </row>
    <row r="1256" spans="1:27" ht="21.75" customHeight="1" x14ac:dyDescent="0.4">
      <c r="A1256" s="466">
        <v>46167</v>
      </c>
      <c r="B1256" s="32" t="s">
        <v>6787</v>
      </c>
      <c r="C1256" s="241" t="s">
        <v>2557</v>
      </c>
      <c r="D1256" s="258" t="s">
        <v>22</v>
      </c>
      <c r="E1256" s="258" t="s">
        <v>5040</v>
      </c>
      <c r="F1256" s="258"/>
      <c r="G1256" s="433" t="s">
        <v>4869</v>
      </c>
      <c r="H1256" s="399">
        <v>2000</v>
      </c>
      <c r="I1256" s="353"/>
      <c r="J1256" s="350">
        <f t="shared" si="936"/>
        <v>2000</v>
      </c>
      <c r="K1256" s="18">
        <v>1</v>
      </c>
      <c r="L1256" s="350">
        <f t="shared" si="937"/>
        <v>2000</v>
      </c>
      <c r="M1256" s="356">
        <f t="shared" si="938"/>
        <v>2200</v>
      </c>
      <c r="N1256" s="258" t="s">
        <v>1121</v>
      </c>
      <c r="O1256" s="466"/>
      <c r="P1256" s="18" t="s">
        <v>2595</v>
      </c>
      <c r="Q1256" s="18" t="s">
        <v>2595</v>
      </c>
      <c r="R1256" s="18" t="s">
        <v>2595</v>
      </c>
      <c r="S1256" s="472"/>
    </row>
    <row r="1257" spans="1:27" ht="21.75" customHeight="1" x14ac:dyDescent="0.4">
      <c r="A1257" s="466">
        <v>46169</v>
      </c>
      <c r="B1257" s="336" t="s">
        <v>6703</v>
      </c>
      <c r="C1257" s="32" t="s">
        <v>2557</v>
      </c>
      <c r="D1257" s="258" t="s">
        <v>22</v>
      </c>
      <c r="E1257" s="258" t="s">
        <v>5040</v>
      </c>
      <c r="F1257" s="258"/>
      <c r="G1257" s="433" t="s">
        <v>4869</v>
      </c>
      <c r="H1257" s="399">
        <v>2000</v>
      </c>
      <c r="I1257" s="353"/>
      <c r="J1257" s="350">
        <f t="shared" ref="J1257" si="941">SUM(H1257:I1257)</f>
        <v>2000</v>
      </c>
      <c r="K1257" s="18">
        <v>1</v>
      </c>
      <c r="L1257" s="350">
        <f t="shared" ref="L1257" si="942">SUM(J1257*K1257)</f>
        <v>2000</v>
      </c>
      <c r="M1257" s="356">
        <f t="shared" ref="M1257" si="943">ROUNDDOWN(L1257*1.1,0)</f>
        <v>2200</v>
      </c>
      <c r="N1257" s="258" t="s">
        <v>20</v>
      </c>
      <c r="O1257" s="466"/>
      <c r="P1257" s="18" t="s">
        <v>6792</v>
      </c>
      <c r="Q1257" s="18" t="s">
        <v>5459</v>
      </c>
      <c r="R1257" s="18" t="s">
        <v>6793</v>
      </c>
    </row>
    <row r="1258" spans="1:27" ht="21.75" customHeight="1" x14ac:dyDescent="0.4">
      <c r="A1258" s="466">
        <v>46169</v>
      </c>
      <c r="B1258" s="336" t="s">
        <v>6703</v>
      </c>
      <c r="C1258" s="32" t="s">
        <v>2557</v>
      </c>
      <c r="D1258" s="96" t="s">
        <v>198</v>
      </c>
      <c r="E1258" s="18" t="s">
        <v>5237</v>
      </c>
      <c r="F1258" s="18"/>
      <c r="G1258" s="63" t="s">
        <v>364</v>
      </c>
      <c r="H1258" s="406">
        <v>-25000</v>
      </c>
      <c r="I1258" s="353"/>
      <c r="J1258" s="406">
        <f t="shared" si="936"/>
        <v>-25000</v>
      </c>
      <c r="K1258" s="18">
        <v>1</v>
      </c>
      <c r="L1258" s="350">
        <f t="shared" si="937"/>
        <v>-25000</v>
      </c>
      <c r="M1258" s="476">
        <f t="shared" si="938"/>
        <v>-27500</v>
      </c>
      <c r="N1258" s="459" t="s">
        <v>20</v>
      </c>
      <c r="O1258" s="456" t="s">
        <v>6791</v>
      </c>
      <c r="Q1258" s="18" t="s">
        <v>6793</v>
      </c>
      <c r="R1258" s="18" t="s">
        <v>4803</v>
      </c>
    </row>
    <row r="1259" spans="1:27" ht="21.75" customHeight="1" x14ac:dyDescent="0.4">
      <c r="A1259" s="466">
        <v>46169</v>
      </c>
      <c r="B1259" s="474" t="s">
        <v>6490</v>
      </c>
      <c r="C1259" s="32" t="s">
        <v>2557</v>
      </c>
      <c r="D1259" s="18" t="s">
        <v>317</v>
      </c>
      <c r="E1259" s="18" t="s">
        <v>5237</v>
      </c>
      <c r="F1259" s="18"/>
      <c r="G1259" s="63" t="s">
        <v>364</v>
      </c>
      <c r="H1259" s="399">
        <v>25000</v>
      </c>
      <c r="I1259" s="353"/>
      <c r="J1259" s="350">
        <f t="shared" si="936"/>
        <v>25000</v>
      </c>
      <c r="K1259" s="18">
        <v>1</v>
      </c>
      <c r="L1259" s="350">
        <f t="shared" si="937"/>
        <v>25000</v>
      </c>
      <c r="M1259" s="356">
        <f t="shared" si="938"/>
        <v>27500</v>
      </c>
      <c r="N1259" s="258" t="s">
        <v>1516</v>
      </c>
      <c r="O1259" s="466"/>
      <c r="Q1259" s="18" t="s">
        <v>6793</v>
      </c>
      <c r="R1259" s="18" t="s">
        <v>4803</v>
      </c>
      <c r="S1259" s="472"/>
    </row>
    <row r="1260" spans="1:27" ht="21.75" customHeight="1" x14ac:dyDescent="0.4">
      <c r="A1260" s="466">
        <v>46169</v>
      </c>
      <c r="B1260" s="474" t="s">
        <v>6640</v>
      </c>
      <c r="C1260" s="32" t="s">
        <v>2557</v>
      </c>
      <c r="D1260" s="18" t="s">
        <v>17</v>
      </c>
      <c r="E1260" s="18" t="s">
        <v>332</v>
      </c>
      <c r="F1260" s="18" t="s">
        <v>3555</v>
      </c>
      <c r="G1260" t="s">
        <v>6287</v>
      </c>
      <c r="H1260" s="399">
        <v>2200</v>
      </c>
      <c r="I1260" s="353">
        <v>-220</v>
      </c>
      <c r="J1260" s="350">
        <f t="shared" si="936"/>
        <v>1980</v>
      </c>
      <c r="K1260" s="18">
        <v>1</v>
      </c>
      <c r="L1260" s="350">
        <f t="shared" si="937"/>
        <v>1980</v>
      </c>
      <c r="M1260" s="356">
        <f t="shared" si="938"/>
        <v>2178</v>
      </c>
      <c r="N1260" s="258" t="s">
        <v>1516</v>
      </c>
      <c r="O1260" s="466"/>
      <c r="Q1260" s="18" t="s">
        <v>4803</v>
      </c>
      <c r="R1260" s="18" t="s">
        <v>4803</v>
      </c>
      <c r="W1260" s="354">
        <f t="shared" ref="W1260" si="944">X1260/H1260</f>
        <v>0.57999999999999996</v>
      </c>
      <c r="X1260" s="355">
        <v>1276</v>
      </c>
      <c r="Y1260" s="355">
        <v>1</v>
      </c>
      <c r="Z1260" s="355">
        <f>X1260*Y1260</f>
        <v>1276</v>
      </c>
      <c r="AA1260" s="355">
        <f>L1260-Z1260</f>
        <v>704</v>
      </c>
    </row>
    <row r="1261" spans="1:27" ht="21.75" customHeight="1" x14ac:dyDescent="0.4">
      <c r="A1261" s="466">
        <v>46169</v>
      </c>
      <c r="B1261" s="474" t="s">
        <v>6640</v>
      </c>
      <c r="C1261" s="241" t="s">
        <v>2557</v>
      </c>
      <c r="D1261" s="18" t="s">
        <v>59</v>
      </c>
      <c r="E1261" s="18" t="s">
        <v>6620</v>
      </c>
      <c r="F1261" s="18"/>
      <c r="G1261" s="63"/>
      <c r="H1261" s="399">
        <v>300</v>
      </c>
      <c r="I1261" s="353"/>
      <c r="J1261" s="350">
        <f t="shared" ref="J1261" si="945">SUM(H1261:I1261)</f>
        <v>300</v>
      </c>
      <c r="K1261" s="18">
        <v>1</v>
      </c>
      <c r="L1261" s="350">
        <f t="shared" ref="L1261" si="946">SUM(J1261*K1261)</f>
        <v>300</v>
      </c>
      <c r="M1261" s="356">
        <f t="shared" ref="M1261" si="947">ROUNDDOWN(L1261*1.1,0)</f>
        <v>330</v>
      </c>
      <c r="N1261" s="258" t="s">
        <v>1516</v>
      </c>
      <c r="O1261" s="466"/>
      <c r="Q1261" s="18" t="s">
        <v>4803</v>
      </c>
      <c r="R1261" s="18" t="s">
        <v>4803</v>
      </c>
    </row>
    <row r="1262" spans="1:27" ht="21.75" customHeight="1" x14ac:dyDescent="0.4">
      <c r="A1262" s="466">
        <v>46169</v>
      </c>
      <c r="B1262" s="474" t="s">
        <v>6640</v>
      </c>
      <c r="C1262" s="241" t="s">
        <v>2557</v>
      </c>
      <c r="D1262" s="18" t="s">
        <v>59</v>
      </c>
      <c r="E1262" s="18" t="s">
        <v>6794</v>
      </c>
      <c r="F1262" s="18"/>
      <c r="G1262" s="63" t="s">
        <v>6795</v>
      </c>
      <c r="H1262" s="399">
        <v>1000</v>
      </c>
      <c r="I1262" s="353"/>
      <c r="J1262" s="350">
        <f t="shared" si="936"/>
        <v>1000</v>
      </c>
      <c r="K1262" s="18">
        <v>1</v>
      </c>
      <c r="L1262" s="350">
        <f t="shared" si="937"/>
        <v>1000</v>
      </c>
      <c r="M1262" s="356">
        <f t="shared" si="938"/>
        <v>1100</v>
      </c>
      <c r="N1262" s="258" t="s">
        <v>1516</v>
      </c>
      <c r="O1262" s="466"/>
      <c r="Q1262" s="18" t="s">
        <v>4803</v>
      </c>
      <c r="R1262" s="18" t="s">
        <v>4803</v>
      </c>
    </row>
    <row r="1263" spans="1:27" ht="21.75" customHeight="1" x14ac:dyDescent="0.4">
      <c r="A1263" s="466">
        <v>46170</v>
      </c>
      <c r="B1263" s="474" t="s">
        <v>6797</v>
      </c>
      <c r="C1263" s="32" t="s">
        <v>2557</v>
      </c>
      <c r="D1263" s="18" t="s">
        <v>6798</v>
      </c>
      <c r="E1263" s="18" t="s">
        <v>6799</v>
      </c>
      <c r="F1263" s="374" t="s">
        <v>3960</v>
      </c>
      <c r="G1263" s="433" t="s">
        <v>6800</v>
      </c>
      <c r="H1263" s="399">
        <v>42000</v>
      </c>
      <c r="I1263" s="353">
        <v>-8400</v>
      </c>
      <c r="J1263" s="350">
        <f t="shared" si="936"/>
        <v>33600</v>
      </c>
      <c r="K1263" s="18">
        <v>1</v>
      </c>
      <c r="L1263" s="350">
        <f t="shared" si="937"/>
        <v>33600</v>
      </c>
      <c r="M1263" s="356">
        <f t="shared" si="938"/>
        <v>36960</v>
      </c>
      <c r="N1263" s="258" t="s">
        <v>1516</v>
      </c>
      <c r="O1263" s="466"/>
      <c r="Q1263" s="18" t="s">
        <v>4803</v>
      </c>
      <c r="R1263" s="18" t="s">
        <v>4803</v>
      </c>
      <c r="W1263" s="354">
        <f t="shared" ref="W1263:W1266" si="948">X1263/H1263</f>
        <v>0.43</v>
      </c>
      <c r="X1263" s="355">
        <v>18060</v>
      </c>
      <c r="Y1263" s="355">
        <v>1</v>
      </c>
      <c r="Z1263" s="355">
        <f t="shared" ref="Z1263:Z1266" si="949">X1263*Y1263</f>
        <v>18060</v>
      </c>
      <c r="AA1263" s="355">
        <f t="shared" ref="AA1263:AA1266" si="950">L1263-Z1263</f>
        <v>15540</v>
      </c>
    </row>
    <row r="1264" spans="1:27" ht="21.75" customHeight="1" x14ac:dyDescent="0.4">
      <c r="A1264" s="466">
        <v>46170</v>
      </c>
      <c r="B1264" s="474" t="s">
        <v>6796</v>
      </c>
      <c r="C1264" s="32" t="s">
        <v>405</v>
      </c>
      <c r="D1264" s="18" t="s">
        <v>6798</v>
      </c>
      <c r="E1264" s="18" t="s">
        <v>6799</v>
      </c>
      <c r="F1264" s="374" t="s">
        <v>6801</v>
      </c>
      <c r="G1264" s="63" t="s">
        <v>6807</v>
      </c>
      <c r="H1264" s="399">
        <v>90000</v>
      </c>
      <c r="I1264" s="353">
        <v>-18000</v>
      </c>
      <c r="J1264" s="350">
        <f t="shared" si="936"/>
        <v>72000</v>
      </c>
      <c r="K1264" s="18">
        <v>1</v>
      </c>
      <c r="L1264" s="350">
        <f t="shared" si="937"/>
        <v>72000</v>
      </c>
      <c r="M1264" s="356">
        <f t="shared" si="938"/>
        <v>79200</v>
      </c>
      <c r="N1264" s="258" t="s">
        <v>1121</v>
      </c>
      <c r="O1264" s="466"/>
      <c r="Q1264" s="18" t="s">
        <v>4803</v>
      </c>
      <c r="R1264" s="18" t="s">
        <v>4803</v>
      </c>
      <c r="W1264" s="354">
        <f t="shared" si="948"/>
        <v>0</v>
      </c>
      <c r="X1264" s="405"/>
      <c r="Y1264" s="355">
        <v>1</v>
      </c>
      <c r="Z1264" s="355">
        <f t="shared" si="949"/>
        <v>0</v>
      </c>
      <c r="AA1264" s="355">
        <f t="shared" si="950"/>
        <v>72000</v>
      </c>
    </row>
    <row r="1265" spans="1:27" ht="21.75" customHeight="1" x14ac:dyDescent="0.4">
      <c r="A1265" s="466">
        <v>46170</v>
      </c>
      <c r="B1265" s="474" t="s">
        <v>6796</v>
      </c>
      <c r="C1265" s="32" t="s">
        <v>405</v>
      </c>
      <c r="D1265" s="18" t="s">
        <v>6798</v>
      </c>
      <c r="E1265" s="18" t="s">
        <v>6803</v>
      </c>
      <c r="F1265" s="18" t="s">
        <v>3555</v>
      </c>
      <c r="G1265" s="63" t="s">
        <v>6802</v>
      </c>
      <c r="H1265" s="399">
        <v>2000</v>
      </c>
      <c r="I1265" s="353"/>
      <c r="J1265" s="350">
        <f t="shared" si="936"/>
        <v>2000</v>
      </c>
      <c r="K1265" s="18">
        <v>1</v>
      </c>
      <c r="L1265" s="350">
        <f t="shared" si="937"/>
        <v>2000</v>
      </c>
      <c r="M1265" s="356">
        <f t="shared" si="938"/>
        <v>2200</v>
      </c>
      <c r="N1265" s="258" t="s">
        <v>1121</v>
      </c>
      <c r="O1265" s="466"/>
      <c r="Q1265" s="18" t="s">
        <v>4803</v>
      </c>
      <c r="R1265" s="18" t="s">
        <v>4803</v>
      </c>
      <c r="W1265" s="354">
        <f t="shared" si="948"/>
        <v>0.57999999999999996</v>
      </c>
      <c r="X1265" s="355">
        <v>1160</v>
      </c>
      <c r="Y1265" s="355">
        <v>1</v>
      </c>
      <c r="Z1265" s="355">
        <f t="shared" si="949"/>
        <v>1160</v>
      </c>
      <c r="AA1265" s="355">
        <f t="shared" si="950"/>
        <v>840</v>
      </c>
    </row>
    <row r="1266" spans="1:27" ht="21.75" customHeight="1" x14ac:dyDescent="0.4">
      <c r="A1266" s="466">
        <v>46170</v>
      </c>
      <c r="B1266" s="474" t="s">
        <v>6796</v>
      </c>
      <c r="C1266" s="32" t="s">
        <v>405</v>
      </c>
      <c r="D1266" s="18" t="s">
        <v>6798</v>
      </c>
      <c r="E1266" s="18" t="s">
        <v>6804</v>
      </c>
      <c r="F1266" s="258" t="s">
        <v>661</v>
      </c>
      <c r="G1266" s="433" t="s">
        <v>330</v>
      </c>
      <c r="H1266" s="399">
        <v>5000</v>
      </c>
      <c r="I1266" s="353"/>
      <c r="J1266" s="350">
        <f t="shared" si="936"/>
        <v>5000</v>
      </c>
      <c r="K1266" s="18">
        <v>1</v>
      </c>
      <c r="L1266" s="350">
        <f t="shared" si="937"/>
        <v>5000</v>
      </c>
      <c r="M1266" s="356">
        <f t="shared" si="938"/>
        <v>5500</v>
      </c>
      <c r="N1266" s="258" t="s">
        <v>1121</v>
      </c>
      <c r="O1266" s="466"/>
      <c r="Q1266" s="18" t="s">
        <v>4803</v>
      </c>
      <c r="R1266" s="18" t="s">
        <v>4803</v>
      </c>
      <c r="S1266" s="471"/>
      <c r="W1266" s="354">
        <f t="shared" si="948"/>
        <v>0.45</v>
      </c>
      <c r="X1266" s="355">
        <v>2250</v>
      </c>
      <c r="Y1266" s="355">
        <v>1</v>
      </c>
      <c r="Z1266" s="355">
        <f t="shared" si="949"/>
        <v>2250</v>
      </c>
      <c r="AA1266" s="355">
        <f t="shared" si="950"/>
        <v>2750</v>
      </c>
    </row>
    <row r="1267" spans="1:27" ht="21.75" customHeight="1" x14ac:dyDescent="0.4">
      <c r="A1267" s="466">
        <v>46170</v>
      </c>
      <c r="B1267" s="474" t="s">
        <v>6861</v>
      </c>
      <c r="C1267" s="466" t="s">
        <v>6862</v>
      </c>
      <c r="D1267" s="18" t="s">
        <v>6805</v>
      </c>
      <c r="E1267" s="18" t="s">
        <v>4967</v>
      </c>
      <c r="F1267" s="18"/>
      <c r="G1267" s="63" t="s">
        <v>6806</v>
      </c>
      <c r="H1267" s="399">
        <v>2727</v>
      </c>
      <c r="I1267" s="353"/>
      <c r="J1267" s="350">
        <f t="shared" si="936"/>
        <v>2727</v>
      </c>
      <c r="K1267" s="18">
        <v>21</v>
      </c>
      <c r="L1267" s="350">
        <v>57273</v>
      </c>
      <c r="M1267" s="356">
        <f t="shared" si="938"/>
        <v>63000</v>
      </c>
      <c r="N1267" s="258" t="s">
        <v>20</v>
      </c>
      <c r="O1267" s="466"/>
      <c r="Q1267" s="18" t="s">
        <v>4803</v>
      </c>
      <c r="R1267" s="18" t="s">
        <v>4803</v>
      </c>
      <c r="S1267" s="472"/>
    </row>
    <row r="1268" spans="1:27" ht="21.75" customHeight="1" x14ac:dyDescent="0.4">
      <c r="A1268" s="466">
        <v>46170</v>
      </c>
      <c r="B1268" s="474" t="s">
        <v>2088</v>
      </c>
      <c r="C1268" s="241" t="s">
        <v>2557</v>
      </c>
      <c r="D1268" s="258" t="s">
        <v>22</v>
      </c>
      <c r="E1268" s="258" t="s">
        <v>5040</v>
      </c>
      <c r="F1268" s="258"/>
      <c r="G1268" s="433" t="s">
        <v>4869</v>
      </c>
      <c r="H1268" s="399">
        <v>2000</v>
      </c>
      <c r="I1268" s="353"/>
      <c r="J1268" s="350">
        <f t="shared" ref="J1268:J1269" si="951">SUM(H1268:I1268)</f>
        <v>2000</v>
      </c>
      <c r="K1268" s="18">
        <v>2</v>
      </c>
      <c r="L1268" s="350">
        <f t="shared" ref="L1268:L1269" si="952">SUM(J1268*K1268)</f>
        <v>4000</v>
      </c>
      <c r="M1268" s="356">
        <f t="shared" ref="M1268:M1269" si="953">ROUNDDOWN(L1268*1.1,0)</f>
        <v>4400</v>
      </c>
      <c r="N1268" s="258" t="s">
        <v>1516</v>
      </c>
      <c r="O1268" s="466"/>
      <c r="P1268" s="18" t="s">
        <v>6809</v>
      </c>
      <c r="Q1268" s="18" t="s">
        <v>5449</v>
      </c>
      <c r="R1268" s="18" t="s">
        <v>5449</v>
      </c>
    </row>
    <row r="1269" spans="1:27" ht="21.75" customHeight="1" x14ac:dyDescent="0.4">
      <c r="A1269" s="466">
        <v>46170</v>
      </c>
      <c r="B1269" s="474" t="s">
        <v>1861</v>
      </c>
      <c r="C1269" s="241" t="s">
        <v>2557</v>
      </c>
      <c r="D1269" s="258" t="s">
        <v>22</v>
      </c>
      <c r="E1269" s="258" t="s">
        <v>5040</v>
      </c>
      <c r="F1269" s="258"/>
      <c r="G1269" s="433" t="s">
        <v>4869</v>
      </c>
      <c r="H1269" s="399">
        <v>2000</v>
      </c>
      <c r="I1269" s="353"/>
      <c r="J1269" s="350">
        <f t="shared" si="951"/>
        <v>2000</v>
      </c>
      <c r="K1269" s="18">
        <v>1</v>
      </c>
      <c r="L1269" s="350">
        <f t="shared" si="952"/>
        <v>2000</v>
      </c>
      <c r="M1269" s="356">
        <f t="shared" si="953"/>
        <v>2200</v>
      </c>
      <c r="N1269" s="258" t="s">
        <v>1516</v>
      </c>
      <c r="O1269" s="466"/>
      <c r="P1269" s="18" t="s">
        <v>6809</v>
      </c>
      <c r="Q1269" s="18" t="s">
        <v>5449</v>
      </c>
      <c r="R1269" s="18" t="s">
        <v>5449</v>
      </c>
    </row>
    <row r="1270" spans="1:27" ht="21.75" customHeight="1" x14ac:dyDescent="0.4">
      <c r="A1270" s="466">
        <v>46170</v>
      </c>
      <c r="B1270" s="474" t="s">
        <v>6810</v>
      </c>
      <c r="C1270" s="466" t="s">
        <v>6811</v>
      </c>
      <c r="D1270" s="18" t="s">
        <v>6812</v>
      </c>
      <c r="E1270" s="18" t="s">
        <v>426</v>
      </c>
      <c r="F1270" s="18" t="s">
        <v>994</v>
      </c>
      <c r="G1270" s="63" t="s">
        <v>6813</v>
      </c>
      <c r="H1270" s="399">
        <v>1800</v>
      </c>
      <c r="I1270" s="353">
        <v>-180</v>
      </c>
      <c r="J1270" s="350">
        <f t="shared" si="936"/>
        <v>1620</v>
      </c>
      <c r="K1270" s="18">
        <v>2</v>
      </c>
      <c r="L1270" s="350">
        <f t="shared" si="937"/>
        <v>3240</v>
      </c>
      <c r="M1270" s="356">
        <f t="shared" si="938"/>
        <v>3564</v>
      </c>
      <c r="N1270" s="258" t="s">
        <v>1121</v>
      </c>
      <c r="O1270" s="466"/>
      <c r="P1270" s="18" t="s">
        <v>2595</v>
      </c>
      <c r="Q1270" s="18" t="s">
        <v>5449</v>
      </c>
      <c r="R1270" s="18" t="s">
        <v>5449</v>
      </c>
      <c r="W1270" s="354">
        <f t="shared" ref="W1270:W1271" si="954">X1270/H1270</f>
        <v>0.6</v>
      </c>
      <c r="X1270" s="355">
        <v>1080</v>
      </c>
      <c r="Y1270" s="355">
        <v>2</v>
      </c>
      <c r="Z1270" s="355">
        <f t="shared" ref="Z1270:Z1271" si="955">X1270*Y1270</f>
        <v>2160</v>
      </c>
      <c r="AA1270" s="355">
        <f t="shared" ref="AA1270:AA1271" si="956">L1270-Z1270</f>
        <v>1080</v>
      </c>
    </row>
    <row r="1271" spans="1:27" ht="21.75" customHeight="1" x14ac:dyDescent="0.4">
      <c r="A1271" s="466">
        <v>46171</v>
      </c>
      <c r="B1271" s="474" t="s">
        <v>6814</v>
      </c>
      <c r="C1271" s="466" t="s">
        <v>6815</v>
      </c>
      <c r="D1271" s="18" t="s">
        <v>6816</v>
      </c>
      <c r="E1271" s="18" t="s">
        <v>6817</v>
      </c>
      <c r="F1271" s="18" t="s">
        <v>3553</v>
      </c>
      <c r="G1271" s="463" t="s">
        <v>6818</v>
      </c>
      <c r="H1271" s="399">
        <v>2000</v>
      </c>
      <c r="I1271" s="353">
        <v>-200</v>
      </c>
      <c r="J1271" s="350">
        <f t="shared" si="936"/>
        <v>1800</v>
      </c>
      <c r="K1271" s="18">
        <v>1</v>
      </c>
      <c r="L1271" s="350">
        <f t="shared" si="937"/>
        <v>1800</v>
      </c>
      <c r="M1271" s="356">
        <f t="shared" si="938"/>
        <v>1980</v>
      </c>
      <c r="N1271" s="258" t="s">
        <v>6820</v>
      </c>
      <c r="O1271" s="466"/>
      <c r="P1271" s="18" t="s">
        <v>6821</v>
      </c>
      <c r="Q1271" s="18" t="s">
        <v>5449</v>
      </c>
      <c r="R1271" s="18" t="s">
        <v>5449</v>
      </c>
      <c r="W1271" s="354">
        <f t="shared" si="954"/>
        <v>0.5</v>
      </c>
      <c r="X1271" s="355">
        <v>1000</v>
      </c>
      <c r="Y1271" s="355">
        <v>1</v>
      </c>
      <c r="Z1271" s="355">
        <f t="shared" si="955"/>
        <v>1000</v>
      </c>
      <c r="AA1271" s="355">
        <f t="shared" si="956"/>
        <v>800</v>
      </c>
    </row>
    <row r="1272" spans="1:27" ht="21.75" customHeight="1" x14ac:dyDescent="0.4">
      <c r="A1272" s="466">
        <v>46171</v>
      </c>
      <c r="B1272" s="474" t="s">
        <v>6814</v>
      </c>
      <c r="C1272" s="241" t="s">
        <v>2557</v>
      </c>
      <c r="D1272" s="18" t="s">
        <v>59</v>
      </c>
      <c r="E1272" s="18" t="s">
        <v>6620</v>
      </c>
      <c r="F1272" s="18"/>
      <c r="G1272" s="63"/>
      <c r="H1272" s="399">
        <v>300</v>
      </c>
      <c r="I1272" s="353"/>
      <c r="J1272" s="350">
        <f t="shared" si="936"/>
        <v>300</v>
      </c>
      <c r="K1272" s="18">
        <v>1</v>
      </c>
      <c r="L1272" s="350">
        <f t="shared" si="937"/>
        <v>300</v>
      </c>
      <c r="M1272" s="356">
        <f t="shared" si="938"/>
        <v>330</v>
      </c>
      <c r="N1272" s="258" t="s">
        <v>6820</v>
      </c>
      <c r="O1272" s="466"/>
      <c r="P1272" s="18" t="s">
        <v>6821</v>
      </c>
      <c r="Q1272" s="18" t="s">
        <v>5449</v>
      </c>
      <c r="R1272" s="18" t="s">
        <v>5449</v>
      </c>
    </row>
    <row r="1273" spans="1:27" ht="21.75" customHeight="1" x14ac:dyDescent="0.4">
      <c r="A1273" s="466">
        <v>46171</v>
      </c>
      <c r="B1273" s="474" t="s">
        <v>6819</v>
      </c>
      <c r="C1273" s="241" t="s">
        <v>2557</v>
      </c>
      <c r="D1273" s="18" t="s">
        <v>6816</v>
      </c>
      <c r="E1273" s="18" t="s">
        <v>6817</v>
      </c>
      <c r="F1273" s="258" t="s">
        <v>3554</v>
      </c>
      <c r="G1273" t="s">
        <v>5470</v>
      </c>
      <c r="H1273" s="399">
        <v>1600</v>
      </c>
      <c r="I1273" s="353">
        <v>-160</v>
      </c>
      <c r="J1273" s="350">
        <f t="shared" si="936"/>
        <v>1440</v>
      </c>
      <c r="K1273" s="18">
        <v>1</v>
      </c>
      <c r="L1273" s="350">
        <f t="shared" si="937"/>
        <v>1440</v>
      </c>
      <c r="M1273" s="356">
        <f t="shared" si="938"/>
        <v>1584</v>
      </c>
      <c r="N1273" s="258" t="s">
        <v>1516</v>
      </c>
      <c r="O1273" s="466"/>
      <c r="P1273" s="18" t="s">
        <v>6821</v>
      </c>
      <c r="Q1273" s="18" t="s">
        <v>6821</v>
      </c>
      <c r="R1273" s="18" t="s">
        <v>6821</v>
      </c>
      <c r="W1273" s="354">
        <f t="shared" ref="W1273" si="957">X1273/H1273</f>
        <v>0.625</v>
      </c>
      <c r="X1273" s="355">
        <v>1000</v>
      </c>
      <c r="Y1273" s="355">
        <v>1</v>
      </c>
      <c r="Z1273" s="355">
        <f>X1273*Y1273</f>
        <v>1000</v>
      </c>
      <c r="AA1273" s="355">
        <f>L1273-Z1273</f>
        <v>440</v>
      </c>
    </row>
    <row r="1274" spans="1:27" ht="21.75" customHeight="1" x14ac:dyDescent="0.4">
      <c r="A1274" s="466">
        <v>46171</v>
      </c>
      <c r="B1274" s="474" t="s">
        <v>6819</v>
      </c>
      <c r="C1274" s="241" t="s">
        <v>2557</v>
      </c>
      <c r="D1274" s="18" t="s">
        <v>59</v>
      </c>
      <c r="E1274" s="18" t="s">
        <v>6620</v>
      </c>
      <c r="F1274" s="18"/>
      <c r="G1274" s="63"/>
      <c r="H1274" s="399">
        <v>300</v>
      </c>
      <c r="I1274" s="353"/>
      <c r="J1274" s="350">
        <f t="shared" si="936"/>
        <v>300</v>
      </c>
      <c r="K1274" s="18">
        <v>1</v>
      </c>
      <c r="L1274" s="350">
        <f t="shared" si="937"/>
        <v>300</v>
      </c>
      <c r="M1274" s="356">
        <f t="shared" si="938"/>
        <v>330</v>
      </c>
      <c r="N1274" s="258" t="s">
        <v>1516</v>
      </c>
      <c r="O1274" s="466"/>
      <c r="P1274" s="18" t="s">
        <v>6821</v>
      </c>
      <c r="Q1274" s="18" t="s">
        <v>6821</v>
      </c>
      <c r="R1274" s="18" t="s">
        <v>6821</v>
      </c>
    </row>
    <row r="1275" spans="1:27" ht="21.75" customHeight="1" x14ac:dyDescent="0.4">
      <c r="A1275" s="466">
        <v>46171</v>
      </c>
      <c r="B1275" s="474" t="s">
        <v>6937</v>
      </c>
      <c r="C1275" s="466" t="s">
        <v>6822</v>
      </c>
      <c r="D1275" s="18" t="s">
        <v>6823</v>
      </c>
      <c r="E1275" s="18" t="s">
        <v>28</v>
      </c>
      <c r="F1275" s="18"/>
      <c r="G1275" s="63" t="s">
        <v>4582</v>
      </c>
      <c r="H1275" s="399">
        <v>5000</v>
      </c>
      <c r="I1275" s="353"/>
      <c r="J1275" s="350">
        <f t="shared" si="936"/>
        <v>5000</v>
      </c>
      <c r="K1275" s="18">
        <v>1</v>
      </c>
      <c r="L1275" s="350">
        <f t="shared" si="937"/>
        <v>5000</v>
      </c>
      <c r="M1275" s="356">
        <f t="shared" si="938"/>
        <v>5500</v>
      </c>
      <c r="N1275" s="258" t="s">
        <v>6824</v>
      </c>
      <c r="O1275" s="454" t="s">
        <v>4800</v>
      </c>
      <c r="P1275" s="18" t="s">
        <v>6825</v>
      </c>
      <c r="Q1275" s="18" t="s">
        <v>6825</v>
      </c>
      <c r="R1275" s="18" t="s">
        <v>6825</v>
      </c>
    </row>
    <row r="1276" spans="1:27" ht="21.75" customHeight="1" x14ac:dyDescent="0.4">
      <c r="A1276" s="477">
        <v>46171</v>
      </c>
      <c r="B1276" s="478" t="s">
        <v>6846</v>
      </c>
      <c r="C1276" s="32" t="s">
        <v>405</v>
      </c>
      <c r="D1276" s="242" t="s">
        <v>6826</v>
      </c>
      <c r="E1276" s="242" t="s">
        <v>6827</v>
      </c>
      <c r="F1276" s="242" t="s">
        <v>788</v>
      </c>
      <c r="G1276" s="251" t="s">
        <v>6426</v>
      </c>
      <c r="H1276" s="399">
        <v>50000</v>
      </c>
      <c r="I1276" s="353">
        <v>-10000</v>
      </c>
      <c r="J1276" s="350">
        <f t="shared" si="936"/>
        <v>40000</v>
      </c>
      <c r="K1276" s="18">
        <v>1</v>
      </c>
      <c r="L1276" s="350">
        <f t="shared" si="937"/>
        <v>40000</v>
      </c>
      <c r="M1276" s="356">
        <f t="shared" si="938"/>
        <v>44000</v>
      </c>
      <c r="N1276" s="258" t="s">
        <v>6824</v>
      </c>
      <c r="O1276" s="466"/>
      <c r="P1276" s="18" t="s">
        <v>5459</v>
      </c>
      <c r="Q1276" s="18" t="s">
        <v>5459</v>
      </c>
      <c r="R1276" s="18" t="s">
        <v>5459</v>
      </c>
      <c r="S1276" s="479"/>
      <c r="W1276" s="354">
        <f t="shared" ref="W1276:W1277" si="958">X1276/H1276</f>
        <v>0.45</v>
      </c>
      <c r="X1276" s="355">
        <v>22500</v>
      </c>
      <c r="Y1276" s="355">
        <v>1</v>
      </c>
      <c r="Z1276" s="355">
        <f t="shared" ref="Z1276:Z1277" si="959">X1276*Y1276</f>
        <v>22500</v>
      </c>
      <c r="AA1276" s="355">
        <f t="shared" ref="AA1276:AA1277" si="960">L1276-Z1276</f>
        <v>17500</v>
      </c>
    </row>
    <row r="1277" spans="1:27" ht="21.75" customHeight="1" x14ac:dyDescent="0.4">
      <c r="A1277" s="466">
        <v>46171</v>
      </c>
      <c r="B1277" s="478" t="s">
        <v>6846</v>
      </c>
      <c r="C1277" s="466" t="s">
        <v>405</v>
      </c>
      <c r="D1277" s="18" t="s">
        <v>17</v>
      </c>
      <c r="E1277" s="18" t="s">
        <v>6828</v>
      </c>
      <c r="F1277" s="258" t="s">
        <v>661</v>
      </c>
      <c r="G1277" s="433" t="s">
        <v>330</v>
      </c>
      <c r="H1277" s="399">
        <v>5000</v>
      </c>
      <c r="I1277" s="353"/>
      <c r="J1277" s="350">
        <f t="shared" si="936"/>
        <v>5000</v>
      </c>
      <c r="K1277" s="18">
        <v>1</v>
      </c>
      <c r="L1277" s="350">
        <f t="shared" si="937"/>
        <v>5000</v>
      </c>
      <c r="M1277" s="356">
        <f t="shared" si="938"/>
        <v>5500</v>
      </c>
      <c r="N1277" s="258" t="s">
        <v>6824</v>
      </c>
      <c r="O1277" s="466"/>
      <c r="P1277" s="18" t="s">
        <v>6825</v>
      </c>
      <c r="Q1277" s="18" t="s">
        <v>6825</v>
      </c>
      <c r="R1277" s="18" t="s">
        <v>6825</v>
      </c>
      <c r="S1277" s="480"/>
      <c r="W1277" s="354">
        <f t="shared" si="958"/>
        <v>0.45</v>
      </c>
      <c r="X1277" s="355">
        <v>2250</v>
      </c>
      <c r="Y1277" s="355">
        <v>1</v>
      </c>
      <c r="Z1277" s="355">
        <f t="shared" si="959"/>
        <v>2250</v>
      </c>
      <c r="AA1277" s="355">
        <f t="shared" si="960"/>
        <v>2750</v>
      </c>
    </row>
    <row r="1278" spans="1:27" ht="21.75" customHeight="1" x14ac:dyDescent="0.4">
      <c r="A1278" s="466">
        <v>46171</v>
      </c>
      <c r="B1278" s="478" t="s">
        <v>6846</v>
      </c>
      <c r="C1278" s="466" t="s">
        <v>405</v>
      </c>
      <c r="D1278" s="18" t="s">
        <v>887</v>
      </c>
      <c r="E1278" s="18"/>
      <c r="F1278" s="18"/>
      <c r="G1278" s="63"/>
      <c r="H1278" s="399">
        <v>1800</v>
      </c>
      <c r="I1278" s="353"/>
      <c r="J1278" s="350">
        <f t="shared" si="936"/>
        <v>1800</v>
      </c>
      <c r="K1278" s="18">
        <v>1</v>
      </c>
      <c r="L1278" s="350">
        <f t="shared" si="937"/>
        <v>1800</v>
      </c>
      <c r="M1278" s="356">
        <f>ROUNDDOWN(L1278*1.1,0)</f>
        <v>1980</v>
      </c>
      <c r="N1278" s="258" t="s">
        <v>6824</v>
      </c>
      <c r="O1278" s="466"/>
      <c r="P1278" s="18" t="s">
        <v>6825</v>
      </c>
      <c r="Q1278" s="18" t="s">
        <v>6825</v>
      </c>
      <c r="R1278" s="18" t="s">
        <v>6825</v>
      </c>
      <c r="S1278" s="480"/>
    </row>
    <row r="1279" spans="1:27" ht="21.75" customHeight="1" x14ac:dyDescent="0.4">
      <c r="A1279" s="466">
        <v>46171</v>
      </c>
      <c r="B1279" s="474" t="s">
        <v>6829</v>
      </c>
      <c r="C1279" s="466" t="s">
        <v>2557</v>
      </c>
      <c r="D1279" s="18" t="s">
        <v>6823</v>
      </c>
      <c r="E1279" s="18" t="s">
        <v>4409</v>
      </c>
      <c r="F1279" s="18"/>
      <c r="G1279" s="63" t="s">
        <v>6830</v>
      </c>
      <c r="H1279" s="399">
        <v>5000</v>
      </c>
      <c r="I1279" s="353"/>
      <c r="J1279" s="350">
        <f t="shared" si="936"/>
        <v>5000</v>
      </c>
      <c r="K1279" s="18">
        <v>1</v>
      </c>
      <c r="L1279" s="350">
        <f t="shared" si="937"/>
        <v>5000</v>
      </c>
      <c r="M1279" s="356">
        <f t="shared" si="938"/>
        <v>5500</v>
      </c>
      <c r="N1279" s="258" t="s">
        <v>6824</v>
      </c>
      <c r="O1279" s="466"/>
      <c r="P1279" s="18" t="s">
        <v>6831</v>
      </c>
      <c r="Q1279" s="18" t="s">
        <v>6825</v>
      </c>
      <c r="R1279" s="18" t="s">
        <v>6825</v>
      </c>
    </row>
    <row r="1280" spans="1:27" ht="21.75" customHeight="1" x14ac:dyDescent="0.4">
      <c r="A1280" s="466">
        <v>46171</v>
      </c>
      <c r="B1280" s="325" t="s">
        <v>148</v>
      </c>
      <c r="C1280" s="32" t="s">
        <v>2557</v>
      </c>
      <c r="D1280" s="18" t="s">
        <v>27</v>
      </c>
      <c r="E1280" s="18" t="s">
        <v>4409</v>
      </c>
      <c r="F1280" s="258"/>
      <c r="G1280" s="63" t="s">
        <v>6269</v>
      </c>
      <c r="H1280" s="399">
        <v>17500</v>
      </c>
      <c r="I1280" s="353"/>
      <c r="J1280" s="350">
        <f t="shared" si="936"/>
        <v>17500</v>
      </c>
      <c r="K1280" s="18">
        <v>1</v>
      </c>
      <c r="L1280" s="350">
        <f t="shared" si="937"/>
        <v>17500</v>
      </c>
      <c r="M1280" s="356">
        <f t="shared" si="938"/>
        <v>19250</v>
      </c>
      <c r="N1280" s="258" t="s">
        <v>20</v>
      </c>
      <c r="O1280" s="465" t="s">
        <v>4801</v>
      </c>
      <c r="P1280" s="18" t="s">
        <v>6831</v>
      </c>
      <c r="Q1280" s="18" t="s">
        <v>6825</v>
      </c>
      <c r="R1280" s="18" t="s">
        <v>6825</v>
      </c>
    </row>
    <row r="1281" spans="1:27" ht="21.75" customHeight="1" x14ac:dyDescent="0.4">
      <c r="A1281" s="466">
        <v>46172</v>
      </c>
      <c r="B1281" s="325" t="s">
        <v>6312</v>
      </c>
      <c r="C1281" s="32" t="s">
        <v>2557</v>
      </c>
      <c r="D1281" s="18" t="s">
        <v>27</v>
      </c>
      <c r="E1281" s="18" t="s">
        <v>4409</v>
      </c>
      <c r="F1281" s="258"/>
      <c r="G1281" s="63" t="s">
        <v>6269</v>
      </c>
      <c r="H1281" s="399">
        <v>17500</v>
      </c>
      <c r="I1281" s="353"/>
      <c r="J1281" s="350">
        <f t="shared" si="936"/>
        <v>17500</v>
      </c>
      <c r="K1281" s="18">
        <v>1</v>
      </c>
      <c r="L1281" s="350">
        <f t="shared" si="937"/>
        <v>17500</v>
      </c>
      <c r="M1281" s="356">
        <f t="shared" si="938"/>
        <v>19250</v>
      </c>
      <c r="N1281" s="258" t="s">
        <v>20</v>
      </c>
      <c r="O1281" s="465" t="s">
        <v>4801</v>
      </c>
      <c r="Q1281" s="18" t="s">
        <v>6455</v>
      </c>
      <c r="R1281" s="18" t="s">
        <v>4803</v>
      </c>
    </row>
    <row r="1282" spans="1:27" ht="21.75" customHeight="1" x14ac:dyDescent="0.4">
      <c r="A1282" s="466">
        <v>46172</v>
      </c>
      <c r="B1282" s="474" t="s">
        <v>6832</v>
      </c>
      <c r="C1282" s="32" t="s">
        <v>405</v>
      </c>
      <c r="D1282" s="242" t="s">
        <v>17</v>
      </c>
      <c r="E1282" s="242" t="s">
        <v>328</v>
      </c>
      <c r="F1282" s="242" t="s">
        <v>788</v>
      </c>
      <c r="G1282" s="63" t="s">
        <v>6833</v>
      </c>
      <c r="H1282" s="399">
        <v>50000</v>
      </c>
      <c r="I1282" s="353">
        <v>-10000</v>
      </c>
      <c r="J1282" s="350">
        <f t="shared" si="936"/>
        <v>40000</v>
      </c>
      <c r="K1282" s="18">
        <v>1</v>
      </c>
      <c r="L1282" s="350">
        <f t="shared" si="937"/>
        <v>40000</v>
      </c>
      <c r="M1282" s="356">
        <f t="shared" si="938"/>
        <v>44000</v>
      </c>
      <c r="N1282" s="258" t="s">
        <v>1121</v>
      </c>
      <c r="O1282" s="466"/>
      <c r="Q1282" s="18" t="s">
        <v>6455</v>
      </c>
      <c r="R1282" s="18" t="s">
        <v>4803</v>
      </c>
      <c r="W1282" s="354">
        <f t="shared" ref="W1282:W1284" si="961">X1282/H1282</f>
        <v>0.45</v>
      </c>
      <c r="X1282" s="355">
        <v>22500</v>
      </c>
      <c r="Y1282" s="355">
        <v>1</v>
      </c>
      <c r="Z1282" s="355">
        <f t="shared" ref="Z1282:Z1284" si="962">X1282*Y1282</f>
        <v>22500</v>
      </c>
      <c r="AA1282" s="355">
        <f t="shared" ref="AA1282:AA1284" si="963">L1282-Z1282</f>
        <v>17500</v>
      </c>
    </row>
    <row r="1283" spans="1:27" ht="21.75" customHeight="1" x14ac:dyDescent="0.4">
      <c r="A1283" s="466">
        <v>46172</v>
      </c>
      <c r="B1283" s="474" t="s">
        <v>6832</v>
      </c>
      <c r="C1283" s="32" t="s">
        <v>405</v>
      </c>
      <c r="D1283" s="242" t="s">
        <v>17</v>
      </c>
      <c r="E1283" s="242" t="s">
        <v>328</v>
      </c>
      <c r="F1283" s="242" t="s">
        <v>788</v>
      </c>
      <c r="G1283" s="63" t="s">
        <v>6886</v>
      </c>
      <c r="H1283" s="399">
        <v>16000</v>
      </c>
      <c r="I1283" s="353">
        <v>-3200</v>
      </c>
      <c r="J1283" s="350">
        <f t="shared" si="936"/>
        <v>12800</v>
      </c>
      <c r="K1283" s="18">
        <v>1</v>
      </c>
      <c r="L1283" s="350">
        <f t="shared" si="937"/>
        <v>12800</v>
      </c>
      <c r="M1283" s="356">
        <f t="shared" si="938"/>
        <v>14080</v>
      </c>
      <c r="N1283" s="258" t="s">
        <v>1121</v>
      </c>
      <c r="O1283" s="466"/>
      <c r="Q1283" s="18" t="s">
        <v>6455</v>
      </c>
      <c r="R1283" s="18" t="s">
        <v>4803</v>
      </c>
      <c r="W1283" s="354">
        <f t="shared" si="961"/>
        <v>0.3125</v>
      </c>
      <c r="X1283" s="355">
        <v>5000</v>
      </c>
      <c r="Y1283" s="355">
        <v>1</v>
      </c>
      <c r="Z1283" s="355">
        <f t="shared" si="962"/>
        <v>5000</v>
      </c>
      <c r="AA1283" s="355">
        <f t="shared" si="963"/>
        <v>7800</v>
      </c>
    </row>
    <row r="1284" spans="1:27" ht="21.75" customHeight="1" x14ac:dyDescent="0.4">
      <c r="A1284" s="466">
        <v>46172</v>
      </c>
      <c r="B1284" s="474" t="s">
        <v>6832</v>
      </c>
      <c r="C1284" s="32" t="s">
        <v>405</v>
      </c>
      <c r="D1284" s="242" t="s">
        <v>17</v>
      </c>
      <c r="E1284" s="18" t="s">
        <v>332</v>
      </c>
      <c r="F1284" s="18" t="s">
        <v>3555</v>
      </c>
      <c r="G1284" s="63" t="s">
        <v>6834</v>
      </c>
      <c r="H1284" s="399">
        <v>1500</v>
      </c>
      <c r="I1284" s="353"/>
      <c r="J1284" s="350">
        <f t="shared" si="936"/>
        <v>1500</v>
      </c>
      <c r="K1284" s="18">
        <v>2</v>
      </c>
      <c r="L1284" s="350">
        <f t="shared" si="937"/>
        <v>3000</v>
      </c>
      <c r="M1284" s="356">
        <f t="shared" si="938"/>
        <v>3300</v>
      </c>
      <c r="N1284" s="258" t="s">
        <v>1121</v>
      </c>
      <c r="O1284" s="466"/>
      <c r="Q1284" s="18" t="s">
        <v>6455</v>
      </c>
      <c r="R1284" s="18" t="s">
        <v>4803</v>
      </c>
      <c r="W1284" s="354">
        <f t="shared" si="961"/>
        <v>0.57999999999999996</v>
      </c>
      <c r="X1284" s="355">
        <v>870</v>
      </c>
      <c r="Y1284" s="355">
        <v>2</v>
      </c>
      <c r="Z1284" s="355">
        <f t="shared" si="962"/>
        <v>1740</v>
      </c>
      <c r="AA1284" s="355">
        <f t="shared" si="963"/>
        <v>1260</v>
      </c>
    </row>
    <row r="1285" spans="1:27" ht="21.75" customHeight="1" x14ac:dyDescent="0.4">
      <c r="A1285" s="466">
        <v>46172</v>
      </c>
      <c r="B1285" s="474" t="s">
        <v>6832</v>
      </c>
      <c r="C1285" s="32" t="s">
        <v>405</v>
      </c>
      <c r="D1285" s="18" t="s">
        <v>6835</v>
      </c>
      <c r="E1285" s="18" t="s">
        <v>6836</v>
      </c>
      <c r="F1285" s="18"/>
      <c r="G1285" s="63"/>
      <c r="H1285" s="399">
        <v>1500</v>
      </c>
      <c r="I1285" s="353"/>
      <c r="J1285" s="350">
        <f t="shared" si="936"/>
        <v>1500</v>
      </c>
      <c r="K1285" s="18">
        <v>2</v>
      </c>
      <c r="L1285" s="350">
        <f t="shared" si="937"/>
        <v>3000</v>
      </c>
      <c r="M1285" s="356">
        <f t="shared" si="938"/>
        <v>3300</v>
      </c>
      <c r="N1285" s="258" t="s">
        <v>1121</v>
      </c>
      <c r="O1285" s="466"/>
      <c r="Q1285" s="18" t="s">
        <v>6455</v>
      </c>
      <c r="R1285" s="18" t="s">
        <v>4803</v>
      </c>
      <c r="S1285" s="471"/>
    </row>
    <row r="1286" spans="1:27" ht="21.75" customHeight="1" x14ac:dyDescent="0.4">
      <c r="A1286" s="466">
        <v>46172</v>
      </c>
      <c r="B1286" s="474" t="s">
        <v>6832</v>
      </c>
      <c r="C1286" s="32" t="s">
        <v>405</v>
      </c>
      <c r="D1286" s="242" t="s">
        <v>17</v>
      </c>
      <c r="E1286" s="18" t="s">
        <v>292</v>
      </c>
      <c r="F1286" s="258" t="s">
        <v>1051</v>
      </c>
      <c r="G1286" s="433" t="s">
        <v>6000</v>
      </c>
      <c r="H1286" s="399">
        <v>5700</v>
      </c>
      <c r="I1286" s="353"/>
      <c r="J1286" s="350">
        <f t="shared" si="936"/>
        <v>5700</v>
      </c>
      <c r="K1286" s="18">
        <v>1</v>
      </c>
      <c r="L1286" s="350">
        <f t="shared" si="937"/>
        <v>5700</v>
      </c>
      <c r="M1286" s="356">
        <f t="shared" si="938"/>
        <v>6270</v>
      </c>
      <c r="N1286" s="258" t="s">
        <v>20</v>
      </c>
      <c r="O1286" s="466"/>
      <c r="Q1286" s="18" t="s">
        <v>6455</v>
      </c>
      <c r="R1286" s="18" t="s">
        <v>4803</v>
      </c>
      <c r="S1286" s="472"/>
      <c r="W1286" s="354">
        <f t="shared" ref="W1286" si="964">X1286/H1286</f>
        <v>0.88140350877192986</v>
      </c>
      <c r="X1286" s="355">
        <v>5024</v>
      </c>
      <c r="Y1286" s="355">
        <v>1</v>
      </c>
      <c r="Z1286" s="355">
        <f>X1286*Y1286</f>
        <v>5024</v>
      </c>
      <c r="AA1286" s="355">
        <f>L1286-Z1286</f>
        <v>676</v>
      </c>
    </row>
    <row r="1287" spans="1:27" ht="21.75" customHeight="1" x14ac:dyDescent="0.4">
      <c r="A1287" s="466">
        <v>46173</v>
      </c>
      <c r="B1287" s="474" t="s">
        <v>6837</v>
      </c>
      <c r="C1287" s="32" t="s">
        <v>405</v>
      </c>
      <c r="D1287" s="18" t="s">
        <v>6838</v>
      </c>
      <c r="E1287" s="18"/>
      <c r="F1287" s="18"/>
      <c r="G1287" s="63" t="s">
        <v>6839</v>
      </c>
      <c r="H1287" s="399">
        <v>1000</v>
      </c>
      <c r="I1287" s="353"/>
      <c r="J1287" s="350">
        <f t="shared" si="936"/>
        <v>1000</v>
      </c>
      <c r="K1287" s="18">
        <v>1</v>
      </c>
      <c r="L1287" s="350">
        <f t="shared" si="937"/>
        <v>1000</v>
      </c>
      <c r="M1287" s="356">
        <f t="shared" si="938"/>
        <v>1100</v>
      </c>
      <c r="N1287" s="258" t="s">
        <v>20</v>
      </c>
      <c r="O1287" s="466"/>
      <c r="P1287" s="18" t="s">
        <v>6840</v>
      </c>
      <c r="Q1287" s="18" t="s">
        <v>6841</v>
      </c>
      <c r="R1287" s="18" t="s">
        <v>6841</v>
      </c>
      <c r="S1287" s="471"/>
    </row>
    <row r="1288" spans="1:27" ht="21.75" customHeight="1" x14ac:dyDescent="0.4">
      <c r="A1288" s="466">
        <v>46173</v>
      </c>
      <c r="B1288" s="474" t="s">
        <v>6842</v>
      </c>
      <c r="C1288" s="32" t="s">
        <v>405</v>
      </c>
      <c r="D1288" s="258" t="s">
        <v>22</v>
      </c>
      <c r="E1288" s="18" t="s">
        <v>260</v>
      </c>
      <c r="F1288" s="347"/>
      <c r="G1288" s="63" t="s">
        <v>264</v>
      </c>
      <c r="H1288" s="399">
        <v>15000</v>
      </c>
      <c r="I1288" s="353"/>
      <c r="J1288" s="350">
        <f t="shared" si="936"/>
        <v>15000</v>
      </c>
      <c r="K1288" s="18">
        <v>1</v>
      </c>
      <c r="L1288" s="350">
        <f t="shared" si="937"/>
        <v>15000</v>
      </c>
      <c r="M1288" s="356">
        <f t="shared" si="938"/>
        <v>16500</v>
      </c>
      <c r="N1288" s="258" t="s">
        <v>1516</v>
      </c>
      <c r="O1288" s="466"/>
      <c r="Q1288" s="18" t="s">
        <v>6841</v>
      </c>
      <c r="R1288" s="18" t="s">
        <v>6841</v>
      </c>
      <c r="S1288" s="472"/>
    </row>
    <row r="1289" spans="1:27" ht="21.75" customHeight="1" x14ac:dyDescent="0.4">
      <c r="A1289" s="466">
        <v>46173</v>
      </c>
      <c r="B1289" s="474" t="s">
        <v>6842</v>
      </c>
      <c r="C1289" s="32" t="s">
        <v>405</v>
      </c>
      <c r="D1289" s="242" t="s">
        <v>17</v>
      </c>
      <c r="E1289" s="242" t="s">
        <v>328</v>
      </c>
      <c r="F1289" s="242" t="s">
        <v>788</v>
      </c>
      <c r="G1289" s="63" t="s">
        <v>6844</v>
      </c>
      <c r="H1289" s="399">
        <v>25000</v>
      </c>
      <c r="I1289" s="353">
        <v>-5000</v>
      </c>
      <c r="J1289" s="350">
        <f t="shared" si="936"/>
        <v>20000</v>
      </c>
      <c r="K1289" s="18">
        <v>2</v>
      </c>
      <c r="L1289" s="350">
        <f t="shared" si="937"/>
        <v>40000</v>
      </c>
      <c r="M1289" s="356">
        <f t="shared" si="938"/>
        <v>44000</v>
      </c>
      <c r="N1289" s="258" t="s">
        <v>1121</v>
      </c>
      <c r="O1289" s="466"/>
      <c r="Q1289" s="18" t="s">
        <v>6841</v>
      </c>
      <c r="R1289" s="18" t="s">
        <v>6841</v>
      </c>
      <c r="W1289" s="354">
        <f t="shared" ref="W1289:W1290" si="965">X1289/H1289</f>
        <v>0.5</v>
      </c>
      <c r="X1289" s="355">
        <v>12500</v>
      </c>
      <c r="Y1289" s="355">
        <v>2</v>
      </c>
      <c r="Z1289" s="355">
        <f t="shared" ref="Z1289:Z1290" si="966">X1289*Y1289</f>
        <v>25000</v>
      </c>
      <c r="AA1289" s="355">
        <f t="shared" ref="AA1289:AA1290" si="967">L1289-Z1289</f>
        <v>15000</v>
      </c>
    </row>
    <row r="1290" spans="1:27" ht="21.75" customHeight="1" x14ac:dyDescent="0.4">
      <c r="A1290" s="466">
        <v>46173</v>
      </c>
      <c r="B1290" s="474" t="s">
        <v>6842</v>
      </c>
      <c r="C1290" s="32" t="s">
        <v>405</v>
      </c>
      <c r="D1290" s="242" t="s">
        <v>17</v>
      </c>
      <c r="E1290" s="18" t="s">
        <v>332</v>
      </c>
      <c r="F1290" s="18" t="s">
        <v>3555</v>
      </c>
      <c r="G1290" s="63" t="s">
        <v>6834</v>
      </c>
      <c r="H1290" s="399">
        <v>1500</v>
      </c>
      <c r="I1290" s="353"/>
      <c r="J1290" s="350">
        <f t="shared" si="936"/>
        <v>1500</v>
      </c>
      <c r="K1290" s="18">
        <v>2</v>
      </c>
      <c r="L1290" s="350">
        <f t="shared" si="937"/>
        <v>3000</v>
      </c>
      <c r="M1290" s="356">
        <f t="shared" si="938"/>
        <v>3300</v>
      </c>
      <c r="N1290" s="258" t="s">
        <v>1121</v>
      </c>
      <c r="O1290" s="466"/>
      <c r="Q1290" s="18" t="s">
        <v>6841</v>
      </c>
      <c r="R1290" s="18" t="s">
        <v>6841</v>
      </c>
      <c r="W1290" s="354">
        <f t="shared" si="965"/>
        <v>0.57999999999999996</v>
      </c>
      <c r="X1290" s="355">
        <v>870</v>
      </c>
      <c r="Y1290" s="355">
        <v>2</v>
      </c>
      <c r="Z1290" s="355">
        <f t="shared" si="966"/>
        <v>1740</v>
      </c>
      <c r="AA1290" s="355">
        <f t="shared" si="967"/>
        <v>1260</v>
      </c>
    </row>
    <row r="1291" spans="1:27" ht="21.75" customHeight="1" x14ac:dyDescent="0.4">
      <c r="A1291" s="466">
        <v>46173</v>
      </c>
      <c r="B1291" s="474" t="s">
        <v>6842</v>
      </c>
      <c r="C1291" s="32" t="s">
        <v>405</v>
      </c>
      <c r="D1291" s="96" t="s">
        <v>6843</v>
      </c>
      <c r="E1291" s="18" t="s">
        <v>260</v>
      </c>
      <c r="F1291" s="18"/>
      <c r="G1291" s="63" t="s">
        <v>2491</v>
      </c>
      <c r="H1291" s="399">
        <v>-15000</v>
      </c>
      <c r="I1291" s="399"/>
      <c r="J1291" s="350">
        <f t="shared" si="936"/>
        <v>-15000</v>
      </c>
      <c r="K1291" s="18">
        <v>1</v>
      </c>
      <c r="L1291" s="350">
        <f t="shared" si="937"/>
        <v>-15000</v>
      </c>
      <c r="M1291" s="358">
        <f t="shared" si="938"/>
        <v>-16500</v>
      </c>
      <c r="N1291" s="258" t="s">
        <v>1121</v>
      </c>
      <c r="O1291" s="467"/>
      <c r="Q1291" s="18" t="s">
        <v>6841</v>
      </c>
      <c r="R1291" s="18" t="s">
        <v>6841</v>
      </c>
    </row>
    <row r="1292" spans="1:27" ht="21.75" customHeight="1" x14ac:dyDescent="0.4">
      <c r="A1292" s="466">
        <v>46173</v>
      </c>
      <c r="B1292" s="474" t="s">
        <v>6845</v>
      </c>
      <c r="C1292" s="32" t="s">
        <v>2557</v>
      </c>
      <c r="D1292" s="18" t="s">
        <v>17</v>
      </c>
      <c r="E1292" s="18" t="s">
        <v>332</v>
      </c>
      <c r="F1292" s="18" t="s">
        <v>3555</v>
      </c>
      <c r="G1292" t="s">
        <v>6287</v>
      </c>
      <c r="H1292" s="399">
        <v>2200</v>
      </c>
      <c r="I1292" s="353">
        <v>-220</v>
      </c>
      <c r="J1292" s="350">
        <f t="shared" ref="J1292:J1293" si="968">SUM(H1292:I1292)</f>
        <v>1980</v>
      </c>
      <c r="K1292" s="18">
        <v>1</v>
      </c>
      <c r="L1292" s="350">
        <f t="shared" ref="L1292:L1293" si="969">SUM(J1292*K1292)</f>
        <v>1980</v>
      </c>
      <c r="M1292" s="356">
        <f t="shared" ref="M1292:M1293" si="970">ROUNDDOWN(L1292*1.1,0)</f>
        <v>2178</v>
      </c>
      <c r="N1292" s="258" t="s">
        <v>1516</v>
      </c>
      <c r="O1292" s="466"/>
      <c r="Q1292" s="18" t="s">
        <v>5459</v>
      </c>
      <c r="R1292" s="18" t="s">
        <v>6841</v>
      </c>
      <c r="S1292" s="471"/>
      <c r="W1292" s="354">
        <f t="shared" ref="W1292:W1294" si="971">X1292/H1292</f>
        <v>0.57999999999999996</v>
      </c>
      <c r="X1292" s="355">
        <v>1276</v>
      </c>
      <c r="Y1292" s="355">
        <v>1</v>
      </c>
      <c r="Z1292" s="355">
        <f>X1292*Y1292</f>
        <v>1276</v>
      </c>
      <c r="AA1292" s="355">
        <f>L1292-Z1292</f>
        <v>704</v>
      </c>
    </row>
    <row r="1293" spans="1:27" ht="21.75" customHeight="1" x14ac:dyDescent="0.4">
      <c r="A1293" s="466">
        <v>46173</v>
      </c>
      <c r="B1293" s="474" t="s">
        <v>6845</v>
      </c>
      <c r="C1293" s="241" t="s">
        <v>2557</v>
      </c>
      <c r="D1293" s="18" t="s">
        <v>59</v>
      </c>
      <c r="E1293" s="18" t="s">
        <v>6620</v>
      </c>
      <c r="F1293" s="18"/>
      <c r="G1293" s="63"/>
      <c r="H1293" s="399">
        <v>300</v>
      </c>
      <c r="I1293" s="353"/>
      <c r="J1293" s="350">
        <f t="shared" si="968"/>
        <v>300</v>
      </c>
      <c r="K1293" s="18">
        <v>1</v>
      </c>
      <c r="L1293" s="350">
        <f t="shared" si="969"/>
        <v>300</v>
      </c>
      <c r="M1293" s="356">
        <f t="shared" si="970"/>
        <v>330</v>
      </c>
      <c r="N1293" s="258" t="s">
        <v>1516</v>
      </c>
      <c r="O1293" s="466"/>
      <c r="Q1293" s="18" t="s">
        <v>5459</v>
      </c>
      <c r="R1293" s="18" t="s">
        <v>6841</v>
      </c>
      <c r="S1293" s="472"/>
    </row>
    <row r="1294" spans="1:27" ht="21.75" customHeight="1" x14ac:dyDescent="0.4">
      <c r="A1294" s="466">
        <v>46174</v>
      </c>
      <c r="B1294" s="474" t="s">
        <v>6847</v>
      </c>
      <c r="C1294" s="241" t="s">
        <v>2557</v>
      </c>
      <c r="D1294" s="18" t="s">
        <v>17</v>
      </c>
      <c r="E1294" s="18" t="s">
        <v>6848</v>
      </c>
      <c r="F1294" s="258" t="s">
        <v>3554</v>
      </c>
      <c r="G1294" t="s">
        <v>6849</v>
      </c>
      <c r="H1294" s="399">
        <v>1500</v>
      </c>
      <c r="I1294" s="353">
        <v>-150</v>
      </c>
      <c r="J1294" s="350">
        <f t="shared" si="936"/>
        <v>1350</v>
      </c>
      <c r="K1294" s="18">
        <v>3</v>
      </c>
      <c r="L1294" s="350">
        <f t="shared" si="937"/>
        <v>4050</v>
      </c>
      <c r="M1294" s="357">
        <f t="shared" si="938"/>
        <v>4455</v>
      </c>
      <c r="N1294" s="258" t="s">
        <v>1121</v>
      </c>
      <c r="O1294" s="466"/>
      <c r="Q1294" s="18" t="s">
        <v>6853</v>
      </c>
      <c r="R1294" s="18" t="s">
        <v>5982</v>
      </c>
      <c r="W1294" s="354">
        <f t="shared" si="971"/>
        <v>0.6253333333333333</v>
      </c>
      <c r="X1294" s="355">
        <v>938</v>
      </c>
      <c r="Y1294" s="355">
        <v>3</v>
      </c>
      <c r="Z1294" s="355">
        <f>X1294*Y1294</f>
        <v>2814</v>
      </c>
      <c r="AA1294" s="355">
        <f>L1294-Z1294</f>
        <v>1236</v>
      </c>
    </row>
    <row r="1295" spans="1:27" ht="21.75" customHeight="1" x14ac:dyDescent="0.4">
      <c r="A1295" s="466">
        <v>46174</v>
      </c>
      <c r="B1295" s="474" t="s">
        <v>6847</v>
      </c>
      <c r="C1295" s="241" t="s">
        <v>2557</v>
      </c>
      <c r="D1295" s="18" t="s">
        <v>59</v>
      </c>
      <c r="E1295" s="18" t="s">
        <v>6620</v>
      </c>
      <c r="F1295" s="18"/>
      <c r="G1295" s="63"/>
      <c r="H1295" s="399">
        <v>300</v>
      </c>
      <c r="I1295" s="353"/>
      <c r="J1295" s="350">
        <f t="shared" si="936"/>
        <v>300</v>
      </c>
      <c r="K1295" s="18">
        <v>3</v>
      </c>
      <c r="L1295" s="350">
        <f t="shared" si="937"/>
        <v>900</v>
      </c>
      <c r="M1295" s="357">
        <f t="shared" si="938"/>
        <v>990</v>
      </c>
      <c r="N1295" s="258" t="s">
        <v>1121</v>
      </c>
      <c r="O1295" s="466"/>
      <c r="Q1295" s="18" t="s">
        <v>6853</v>
      </c>
      <c r="R1295" s="18" t="s">
        <v>5982</v>
      </c>
    </row>
    <row r="1296" spans="1:27" ht="21.75" customHeight="1" x14ac:dyDescent="0.4">
      <c r="A1296" s="466">
        <v>46174</v>
      </c>
      <c r="B1296" s="474" t="s">
        <v>6850</v>
      </c>
      <c r="C1296" s="241" t="s">
        <v>2557</v>
      </c>
      <c r="D1296" s="18" t="s">
        <v>27</v>
      </c>
      <c r="E1296" s="18" t="s">
        <v>28</v>
      </c>
      <c r="F1296" s="18"/>
      <c r="G1296" s="63" t="s">
        <v>73</v>
      </c>
      <c r="H1296" s="399">
        <v>2000</v>
      </c>
      <c r="I1296" s="353"/>
      <c r="J1296" s="350">
        <f t="shared" si="936"/>
        <v>2000</v>
      </c>
      <c r="K1296" s="18">
        <v>2</v>
      </c>
      <c r="L1296" s="350">
        <f t="shared" si="937"/>
        <v>4000</v>
      </c>
      <c r="M1296" s="357">
        <f t="shared" si="938"/>
        <v>4400</v>
      </c>
      <c r="N1296" s="18" t="s">
        <v>25</v>
      </c>
      <c r="O1296" s="456" t="s">
        <v>6856</v>
      </c>
      <c r="Q1296" s="18" t="s">
        <v>6853</v>
      </c>
      <c r="R1296" s="18" t="s">
        <v>5982</v>
      </c>
    </row>
    <row r="1297" spans="1:27" ht="21.75" customHeight="1" x14ac:dyDescent="0.4">
      <c r="A1297" s="466">
        <v>46174</v>
      </c>
      <c r="B1297" s="474" t="s">
        <v>6851</v>
      </c>
      <c r="C1297" s="241" t="s">
        <v>2557</v>
      </c>
      <c r="D1297" s="258" t="s">
        <v>22</v>
      </c>
      <c r="E1297" s="258" t="s">
        <v>5040</v>
      </c>
      <c r="F1297" s="258"/>
      <c r="G1297" s="433" t="s">
        <v>4869</v>
      </c>
      <c r="H1297" s="399">
        <v>2000</v>
      </c>
      <c r="I1297" s="353"/>
      <c r="J1297" s="350">
        <f t="shared" si="936"/>
        <v>2000</v>
      </c>
      <c r="K1297" s="18">
        <v>1</v>
      </c>
      <c r="L1297" s="350">
        <f t="shared" si="937"/>
        <v>2000</v>
      </c>
      <c r="M1297" s="357">
        <f t="shared" si="938"/>
        <v>2200</v>
      </c>
      <c r="N1297" s="258" t="s">
        <v>1516</v>
      </c>
      <c r="O1297" s="466"/>
      <c r="P1297" s="18" t="s">
        <v>6855</v>
      </c>
      <c r="Q1297" s="18" t="s">
        <v>6855</v>
      </c>
      <c r="R1297" s="18" t="s">
        <v>6855</v>
      </c>
    </row>
    <row r="1298" spans="1:27" ht="21.75" customHeight="1" x14ac:dyDescent="0.4">
      <c r="A1298" s="466">
        <v>46174</v>
      </c>
      <c r="B1298" s="474" t="s">
        <v>6854</v>
      </c>
      <c r="C1298" s="241" t="s">
        <v>2557</v>
      </c>
      <c r="D1298" s="258" t="s">
        <v>6852</v>
      </c>
      <c r="E1298" s="18" t="s">
        <v>426</v>
      </c>
      <c r="F1298" s="18" t="s">
        <v>994</v>
      </c>
      <c r="G1298" s="63" t="s">
        <v>6716</v>
      </c>
      <c r="H1298" s="399">
        <v>1800</v>
      </c>
      <c r="I1298" s="353">
        <v>-180</v>
      </c>
      <c r="J1298" s="350">
        <f t="shared" si="936"/>
        <v>1620</v>
      </c>
      <c r="K1298" s="18">
        <v>1</v>
      </c>
      <c r="L1298" s="350">
        <f t="shared" si="937"/>
        <v>1620</v>
      </c>
      <c r="M1298" s="357">
        <f t="shared" si="938"/>
        <v>1782</v>
      </c>
      <c r="N1298" s="258" t="s">
        <v>20</v>
      </c>
      <c r="O1298" s="466"/>
      <c r="R1298" s="18" t="s">
        <v>6858</v>
      </c>
      <c r="W1298" s="354">
        <f t="shared" ref="W1298" si="972">X1298/H1298</f>
        <v>0.6</v>
      </c>
      <c r="X1298" s="355">
        <v>1080</v>
      </c>
      <c r="Y1298" s="355">
        <v>1</v>
      </c>
      <c r="Z1298" s="355">
        <f>X1298*Y1298</f>
        <v>1080</v>
      </c>
      <c r="AA1298" s="355">
        <f>L1298-Z1298</f>
        <v>540</v>
      </c>
    </row>
    <row r="1299" spans="1:27" ht="21.75" customHeight="1" x14ac:dyDescent="0.4">
      <c r="A1299" s="466">
        <v>46174</v>
      </c>
      <c r="B1299" s="474" t="s">
        <v>1861</v>
      </c>
      <c r="C1299" s="241" t="s">
        <v>2557</v>
      </c>
      <c r="D1299" s="258" t="s">
        <v>22</v>
      </c>
      <c r="E1299" s="258" t="s">
        <v>5040</v>
      </c>
      <c r="F1299" s="258"/>
      <c r="G1299" s="433" t="s">
        <v>4869</v>
      </c>
      <c r="H1299" s="399">
        <v>2000</v>
      </c>
      <c r="I1299" s="353"/>
      <c r="J1299" s="350">
        <f t="shared" ref="J1299:J1303" si="973">SUM(H1299:I1299)</f>
        <v>2000</v>
      </c>
      <c r="K1299" s="18">
        <v>2</v>
      </c>
      <c r="L1299" s="350">
        <f t="shared" ref="L1299:L1303" si="974">SUM(J1299*K1299)</f>
        <v>4000</v>
      </c>
      <c r="M1299" s="357">
        <f t="shared" ref="M1299:M1303" si="975">ROUNDDOWN(L1299*1.1,0)</f>
        <v>4400</v>
      </c>
      <c r="N1299" s="258" t="s">
        <v>1516</v>
      </c>
      <c r="O1299" s="466"/>
      <c r="P1299" s="18" t="s">
        <v>6855</v>
      </c>
      <c r="Q1299" s="18" t="s">
        <v>6855</v>
      </c>
      <c r="R1299" s="18" t="s">
        <v>6855</v>
      </c>
    </row>
    <row r="1300" spans="1:27" ht="21.75" customHeight="1" x14ac:dyDescent="0.4">
      <c r="A1300" s="466">
        <v>46174</v>
      </c>
      <c r="B1300" s="474" t="s">
        <v>6857</v>
      </c>
      <c r="C1300" s="241" t="s">
        <v>2557</v>
      </c>
      <c r="D1300" s="18" t="s">
        <v>317</v>
      </c>
      <c r="E1300" s="18" t="s">
        <v>4409</v>
      </c>
      <c r="F1300" s="18"/>
      <c r="G1300" s="63" t="s">
        <v>5717</v>
      </c>
      <c r="H1300" s="399">
        <v>5000</v>
      </c>
      <c r="I1300" s="353"/>
      <c r="J1300" s="350">
        <f t="shared" si="973"/>
        <v>5000</v>
      </c>
      <c r="K1300" s="18">
        <v>1</v>
      </c>
      <c r="L1300" s="350">
        <f t="shared" si="974"/>
        <v>5000</v>
      </c>
      <c r="M1300" s="356">
        <f t="shared" si="975"/>
        <v>5500</v>
      </c>
      <c r="N1300" s="258" t="s">
        <v>1516</v>
      </c>
      <c r="O1300" s="466"/>
      <c r="Q1300" s="18" t="s">
        <v>6858</v>
      </c>
      <c r="R1300" s="18" t="s">
        <v>6859</v>
      </c>
    </row>
    <row r="1301" spans="1:27" ht="21.75" customHeight="1" x14ac:dyDescent="0.4">
      <c r="A1301" s="466">
        <v>46176</v>
      </c>
      <c r="B1301" s="474" t="s">
        <v>6863</v>
      </c>
      <c r="C1301" s="474" t="s">
        <v>6864</v>
      </c>
      <c r="D1301" s="18" t="s">
        <v>27</v>
      </c>
      <c r="E1301" s="18" t="s">
        <v>28</v>
      </c>
      <c r="F1301" s="18"/>
      <c r="G1301" s="63" t="s">
        <v>73</v>
      </c>
      <c r="H1301" s="399">
        <v>2000</v>
      </c>
      <c r="I1301" s="353"/>
      <c r="J1301" s="350">
        <f t="shared" si="973"/>
        <v>2000</v>
      </c>
      <c r="K1301" s="18">
        <v>2</v>
      </c>
      <c r="L1301" s="350">
        <f t="shared" si="974"/>
        <v>4000</v>
      </c>
      <c r="M1301" s="356">
        <f t="shared" si="975"/>
        <v>4400</v>
      </c>
      <c r="N1301" s="258" t="s">
        <v>1516</v>
      </c>
      <c r="O1301" s="456" t="s">
        <v>6856</v>
      </c>
      <c r="P1301" s="18" t="s">
        <v>6865</v>
      </c>
      <c r="Q1301" s="18" t="s">
        <v>6865</v>
      </c>
      <c r="R1301" s="18" t="s">
        <v>6865</v>
      </c>
    </row>
    <row r="1302" spans="1:27" ht="21.75" customHeight="1" x14ac:dyDescent="0.4">
      <c r="A1302" s="466">
        <v>46176</v>
      </c>
      <c r="B1302" s="474" t="s">
        <v>6703</v>
      </c>
      <c r="C1302" s="241" t="s">
        <v>2557</v>
      </c>
      <c r="D1302" s="258" t="s">
        <v>22</v>
      </c>
      <c r="E1302" s="258" t="s">
        <v>5040</v>
      </c>
      <c r="F1302" s="258"/>
      <c r="G1302" s="433" t="s">
        <v>4869</v>
      </c>
      <c r="H1302" s="399">
        <v>2000</v>
      </c>
      <c r="I1302" s="353"/>
      <c r="J1302" s="350">
        <f t="shared" si="973"/>
        <v>2000</v>
      </c>
      <c r="K1302" s="18">
        <v>1</v>
      </c>
      <c r="L1302" s="350">
        <f t="shared" si="974"/>
        <v>2000</v>
      </c>
      <c r="M1302" s="356">
        <f t="shared" si="975"/>
        <v>2200</v>
      </c>
      <c r="N1302" s="258" t="s">
        <v>6866</v>
      </c>
      <c r="O1302" s="466"/>
      <c r="P1302" s="18" t="s">
        <v>6867</v>
      </c>
      <c r="Q1302" s="18" t="s">
        <v>6867</v>
      </c>
      <c r="R1302" s="18" t="s">
        <v>6867</v>
      </c>
    </row>
    <row r="1303" spans="1:27" ht="21.75" customHeight="1" x14ac:dyDescent="0.4">
      <c r="A1303" s="466">
        <v>46176</v>
      </c>
      <c r="B1303" s="474" t="s">
        <v>6868</v>
      </c>
      <c r="C1303" s="241" t="s">
        <v>2557</v>
      </c>
      <c r="D1303" s="18" t="s">
        <v>6870</v>
      </c>
      <c r="E1303" s="18" t="s">
        <v>332</v>
      </c>
      <c r="F1303" s="18" t="s">
        <v>3555</v>
      </c>
      <c r="G1303" s="63" t="s">
        <v>6834</v>
      </c>
      <c r="H1303" s="399">
        <v>1500</v>
      </c>
      <c r="I1303" s="353">
        <v>-150</v>
      </c>
      <c r="J1303" s="350">
        <f t="shared" si="973"/>
        <v>1350</v>
      </c>
      <c r="K1303" s="18">
        <v>2</v>
      </c>
      <c r="L1303" s="350">
        <f t="shared" si="974"/>
        <v>2700</v>
      </c>
      <c r="M1303" s="356">
        <f t="shared" si="975"/>
        <v>2970</v>
      </c>
      <c r="N1303" s="258" t="s">
        <v>1516</v>
      </c>
      <c r="O1303" s="466"/>
      <c r="P1303" s="18" t="s">
        <v>6865</v>
      </c>
      <c r="Q1303" s="18" t="s">
        <v>6865</v>
      </c>
      <c r="R1303" s="18" t="s">
        <v>6865</v>
      </c>
      <c r="W1303" s="354">
        <f t="shared" ref="W1303" si="976">X1303/H1303</f>
        <v>0.57999999999999996</v>
      </c>
      <c r="X1303" s="355">
        <v>870</v>
      </c>
      <c r="Y1303" s="355">
        <v>2</v>
      </c>
      <c r="Z1303" s="355">
        <f>X1303*Y1303</f>
        <v>1740</v>
      </c>
      <c r="AA1303" s="355">
        <f>L1303-Z1303</f>
        <v>960</v>
      </c>
    </row>
    <row r="1304" spans="1:27" ht="21.75" customHeight="1" x14ac:dyDescent="0.4">
      <c r="A1304" s="466">
        <v>46176</v>
      </c>
      <c r="B1304" s="474" t="s">
        <v>6868</v>
      </c>
      <c r="C1304" s="241" t="s">
        <v>2557</v>
      </c>
      <c r="D1304" s="18" t="s">
        <v>6871</v>
      </c>
      <c r="E1304" s="18" t="s">
        <v>6620</v>
      </c>
      <c r="F1304" s="18"/>
      <c r="G1304" s="63"/>
      <c r="H1304" s="399">
        <v>300</v>
      </c>
      <c r="I1304" s="353"/>
      <c r="J1304" s="350">
        <f t="shared" si="936"/>
        <v>300</v>
      </c>
      <c r="K1304" s="18">
        <v>2</v>
      </c>
      <c r="L1304" s="350">
        <f t="shared" si="937"/>
        <v>600</v>
      </c>
      <c r="M1304" s="356">
        <f t="shared" si="938"/>
        <v>660</v>
      </c>
      <c r="N1304" s="258" t="s">
        <v>1516</v>
      </c>
      <c r="O1304" s="466"/>
      <c r="P1304" s="18" t="s">
        <v>6865</v>
      </c>
      <c r="Q1304" s="18" t="s">
        <v>6865</v>
      </c>
      <c r="R1304" s="18" t="s">
        <v>6865</v>
      </c>
    </row>
    <row r="1305" spans="1:27" ht="21.75" customHeight="1" x14ac:dyDescent="0.4">
      <c r="A1305" s="466">
        <v>46176</v>
      </c>
      <c r="B1305" s="474" t="s">
        <v>1861</v>
      </c>
      <c r="C1305" s="241" t="s">
        <v>2557</v>
      </c>
      <c r="D1305" s="258" t="s">
        <v>22</v>
      </c>
      <c r="E1305" s="258" t="s">
        <v>5040</v>
      </c>
      <c r="F1305" s="258"/>
      <c r="G1305" s="433" t="s">
        <v>4869</v>
      </c>
      <c r="H1305" s="399">
        <v>2000</v>
      </c>
      <c r="I1305" s="353"/>
      <c r="J1305" s="350">
        <f t="shared" si="936"/>
        <v>2000</v>
      </c>
      <c r="K1305" s="18">
        <v>2</v>
      </c>
      <c r="L1305" s="350">
        <f t="shared" si="937"/>
        <v>4000</v>
      </c>
      <c r="M1305" s="356">
        <f t="shared" si="938"/>
        <v>4400</v>
      </c>
      <c r="N1305" s="258" t="s">
        <v>1516</v>
      </c>
      <c r="O1305" s="466"/>
      <c r="P1305" s="18" t="s">
        <v>6865</v>
      </c>
      <c r="Q1305" s="18" t="s">
        <v>6865</v>
      </c>
      <c r="R1305" s="18" t="s">
        <v>6865</v>
      </c>
    </row>
    <row r="1306" spans="1:27" ht="21.75" customHeight="1" x14ac:dyDescent="0.4">
      <c r="A1306" s="466">
        <v>46176</v>
      </c>
      <c r="B1306" s="474" t="s">
        <v>6869</v>
      </c>
      <c r="C1306" s="474" t="s">
        <v>405</v>
      </c>
      <c r="D1306" s="258" t="s">
        <v>22</v>
      </c>
      <c r="E1306" s="258" t="s">
        <v>5040</v>
      </c>
      <c r="F1306" s="18"/>
      <c r="G1306" s="63" t="s">
        <v>6872</v>
      </c>
      <c r="H1306" s="399">
        <v>7500</v>
      </c>
      <c r="I1306" s="353"/>
      <c r="J1306" s="350">
        <f t="shared" ref="J1306:J1364" si="977">SUM(H1306:I1306)</f>
        <v>7500</v>
      </c>
      <c r="K1306" s="18">
        <v>1</v>
      </c>
      <c r="L1306" s="350">
        <f t="shared" ref="L1306:L1364" si="978">SUM(J1306*K1306)</f>
        <v>7500</v>
      </c>
      <c r="M1306" s="356">
        <f t="shared" ref="M1306:M1364" si="979">ROUNDDOWN(L1306*1.1,0)</f>
        <v>8250</v>
      </c>
      <c r="N1306" s="258" t="s">
        <v>1516</v>
      </c>
      <c r="O1306" s="466"/>
      <c r="P1306" s="18" t="s">
        <v>6865</v>
      </c>
      <c r="Q1306" s="18" t="s">
        <v>6865</v>
      </c>
      <c r="R1306" s="18" t="s">
        <v>6865</v>
      </c>
    </row>
    <row r="1307" spans="1:27" ht="21.75" customHeight="1" x14ac:dyDescent="0.4">
      <c r="A1307" s="466">
        <v>46176</v>
      </c>
      <c r="B1307" s="474" t="s">
        <v>6869</v>
      </c>
      <c r="C1307" s="474" t="s">
        <v>405</v>
      </c>
      <c r="D1307" s="258" t="s">
        <v>22</v>
      </c>
      <c r="E1307" s="258" t="s">
        <v>5040</v>
      </c>
      <c r="F1307" s="258"/>
      <c r="G1307" s="433" t="s">
        <v>4869</v>
      </c>
      <c r="H1307" s="399">
        <v>2000</v>
      </c>
      <c r="I1307" s="353"/>
      <c r="J1307" s="350">
        <f t="shared" si="977"/>
        <v>2000</v>
      </c>
      <c r="K1307" s="18">
        <v>3</v>
      </c>
      <c r="L1307" s="350">
        <f t="shared" si="978"/>
        <v>6000</v>
      </c>
      <c r="M1307" s="356">
        <f t="shared" si="979"/>
        <v>6600</v>
      </c>
      <c r="N1307" s="258" t="s">
        <v>1516</v>
      </c>
      <c r="O1307" s="466"/>
      <c r="P1307" s="18" t="s">
        <v>6865</v>
      </c>
      <c r="Q1307" s="18" t="s">
        <v>6865</v>
      </c>
      <c r="R1307" s="18" t="s">
        <v>6865</v>
      </c>
    </row>
    <row r="1308" spans="1:27" ht="21.75" customHeight="1" x14ac:dyDescent="0.4">
      <c r="A1308" s="466">
        <v>46176</v>
      </c>
      <c r="B1308" s="474" t="s">
        <v>698</v>
      </c>
      <c r="C1308" s="474" t="s">
        <v>4292</v>
      </c>
      <c r="D1308" s="18" t="s">
        <v>6870</v>
      </c>
      <c r="E1308" s="18" t="s">
        <v>6873</v>
      </c>
      <c r="F1308" s="18" t="s">
        <v>6874</v>
      </c>
      <c r="G1308" s="63" t="s">
        <v>6875</v>
      </c>
      <c r="H1308" s="399">
        <v>18060</v>
      </c>
      <c r="I1308" s="353"/>
      <c r="J1308" s="350">
        <f t="shared" si="977"/>
        <v>18060</v>
      </c>
      <c r="K1308" s="18">
        <v>1</v>
      </c>
      <c r="L1308" s="350">
        <f t="shared" si="978"/>
        <v>18060</v>
      </c>
      <c r="M1308" s="357">
        <f t="shared" si="979"/>
        <v>19866</v>
      </c>
      <c r="N1308" s="258" t="s">
        <v>1516</v>
      </c>
      <c r="O1308" s="466"/>
      <c r="P1308" s="18" t="s">
        <v>6867</v>
      </c>
      <c r="Q1308" s="18" t="s">
        <v>6867</v>
      </c>
      <c r="R1308" s="18" t="s">
        <v>6867</v>
      </c>
      <c r="W1308" s="354">
        <f t="shared" ref="W1308" si="980">X1308/H1308</f>
        <v>1</v>
      </c>
      <c r="X1308" s="355">
        <v>18060</v>
      </c>
      <c r="Y1308" s="355">
        <v>1</v>
      </c>
      <c r="Z1308" s="355">
        <f>X1308*Y1308</f>
        <v>18060</v>
      </c>
      <c r="AA1308" s="355">
        <f>L1308-Z1308</f>
        <v>0</v>
      </c>
    </row>
    <row r="1309" spans="1:27" ht="21.75" customHeight="1" x14ac:dyDescent="0.4">
      <c r="A1309" s="466">
        <v>46176</v>
      </c>
      <c r="B1309" s="474" t="s">
        <v>3198</v>
      </c>
      <c r="C1309" s="474" t="s">
        <v>2557</v>
      </c>
      <c r="D1309" s="18" t="s">
        <v>27</v>
      </c>
      <c r="E1309" s="18" t="s">
        <v>28</v>
      </c>
      <c r="F1309" s="18"/>
      <c r="G1309" s="63" t="s">
        <v>73</v>
      </c>
      <c r="H1309" s="399">
        <v>2000</v>
      </c>
      <c r="I1309" s="353"/>
      <c r="J1309" s="350">
        <f t="shared" si="977"/>
        <v>2000</v>
      </c>
      <c r="K1309" s="18">
        <v>2</v>
      </c>
      <c r="L1309" s="350">
        <f t="shared" si="978"/>
        <v>4000</v>
      </c>
      <c r="M1309" s="356">
        <f t="shared" si="979"/>
        <v>4400</v>
      </c>
      <c r="N1309" s="258" t="s">
        <v>1516</v>
      </c>
      <c r="O1309" s="456" t="s">
        <v>6906</v>
      </c>
      <c r="P1309" s="18" t="s">
        <v>5449</v>
      </c>
      <c r="Q1309" s="18" t="s">
        <v>5449</v>
      </c>
      <c r="R1309" s="18" t="s">
        <v>5449</v>
      </c>
    </row>
    <row r="1310" spans="1:27" ht="21.75" customHeight="1" x14ac:dyDescent="0.4">
      <c r="A1310" s="466">
        <v>46176</v>
      </c>
      <c r="B1310" s="474" t="s">
        <v>6876</v>
      </c>
      <c r="C1310" s="474" t="s">
        <v>4292</v>
      </c>
      <c r="D1310" s="18" t="s">
        <v>17</v>
      </c>
      <c r="E1310" s="18" t="s">
        <v>328</v>
      </c>
      <c r="F1310" s="18" t="s">
        <v>788</v>
      </c>
      <c r="G1310" s="63" t="s">
        <v>6877</v>
      </c>
      <c r="H1310" s="399">
        <v>22500</v>
      </c>
      <c r="I1310" s="353"/>
      <c r="J1310" s="350">
        <f t="shared" si="977"/>
        <v>22500</v>
      </c>
      <c r="K1310" s="18">
        <v>1</v>
      </c>
      <c r="L1310" s="350">
        <f t="shared" si="978"/>
        <v>22500</v>
      </c>
      <c r="M1310" s="356">
        <f t="shared" si="979"/>
        <v>24750</v>
      </c>
      <c r="N1310" s="258" t="s">
        <v>1516</v>
      </c>
      <c r="O1310" s="466"/>
      <c r="P1310" s="18" t="s">
        <v>6880</v>
      </c>
      <c r="Q1310" s="18" t="s">
        <v>6880</v>
      </c>
      <c r="R1310" s="18" t="s">
        <v>6880</v>
      </c>
      <c r="W1310" s="354">
        <f t="shared" ref="W1310:W1311" si="981">X1310/H1310</f>
        <v>1</v>
      </c>
      <c r="X1310" s="355">
        <v>22500</v>
      </c>
      <c r="Y1310" s="355">
        <v>1</v>
      </c>
      <c r="Z1310" s="355">
        <f t="shared" ref="Z1310:Z1311" si="982">X1310*Y1310</f>
        <v>22500</v>
      </c>
      <c r="AA1310" s="355">
        <f t="shared" ref="AA1310:AA1311" si="983">L1310-Z1310</f>
        <v>0</v>
      </c>
    </row>
    <row r="1311" spans="1:27" ht="21.75" customHeight="1" x14ac:dyDescent="0.4">
      <c r="A1311" s="466">
        <v>46176</v>
      </c>
      <c r="B1311" s="474" t="s">
        <v>4061</v>
      </c>
      <c r="C1311" s="32" t="s">
        <v>2557</v>
      </c>
      <c r="D1311" s="18" t="s">
        <v>17</v>
      </c>
      <c r="E1311" s="18" t="s">
        <v>6878</v>
      </c>
      <c r="F1311" s="258" t="s">
        <v>450</v>
      </c>
      <c r="G1311" s="433" t="s">
        <v>330</v>
      </c>
      <c r="H1311" s="399">
        <v>5000</v>
      </c>
      <c r="I1311" s="353"/>
      <c r="J1311" s="350">
        <f t="shared" si="977"/>
        <v>5000</v>
      </c>
      <c r="K1311" s="18">
        <v>1</v>
      </c>
      <c r="L1311" s="350">
        <f t="shared" si="978"/>
        <v>5000</v>
      </c>
      <c r="M1311" s="356">
        <f t="shared" si="979"/>
        <v>5500</v>
      </c>
      <c r="N1311" s="258" t="s">
        <v>1121</v>
      </c>
      <c r="O1311" s="466"/>
      <c r="Q1311" s="18" t="s">
        <v>2595</v>
      </c>
      <c r="R1311" s="18" t="s">
        <v>2595</v>
      </c>
      <c r="W1311" s="354">
        <f t="shared" si="981"/>
        <v>0.45</v>
      </c>
      <c r="X1311" s="355">
        <v>2250</v>
      </c>
      <c r="Y1311" s="355">
        <v>1</v>
      </c>
      <c r="Z1311" s="355">
        <f t="shared" si="982"/>
        <v>2250</v>
      </c>
      <c r="AA1311" s="355">
        <f t="shared" si="983"/>
        <v>2750</v>
      </c>
    </row>
    <row r="1312" spans="1:27" ht="21.75" customHeight="1" x14ac:dyDescent="0.4">
      <c r="A1312" s="466">
        <v>46176</v>
      </c>
      <c r="B1312" s="474" t="s">
        <v>4061</v>
      </c>
      <c r="C1312" s="32" t="s">
        <v>2557</v>
      </c>
      <c r="D1312" s="18" t="s">
        <v>59</v>
      </c>
      <c r="E1312" s="18"/>
      <c r="F1312" s="18"/>
      <c r="G1312" s="63" t="s">
        <v>6879</v>
      </c>
      <c r="H1312" s="399">
        <v>1000</v>
      </c>
      <c r="I1312" s="353"/>
      <c r="J1312" s="350">
        <f t="shared" si="977"/>
        <v>1000</v>
      </c>
      <c r="K1312" s="18">
        <v>1</v>
      </c>
      <c r="L1312" s="350">
        <f t="shared" si="978"/>
        <v>1000</v>
      </c>
      <c r="M1312" s="356">
        <f t="shared" si="979"/>
        <v>1100</v>
      </c>
      <c r="N1312" s="258" t="s">
        <v>1121</v>
      </c>
      <c r="O1312" s="466"/>
      <c r="Q1312" s="18" t="s">
        <v>2595</v>
      </c>
      <c r="R1312" s="18" t="s">
        <v>2595</v>
      </c>
    </row>
    <row r="1313" spans="1:27" ht="21.75" customHeight="1" x14ac:dyDescent="0.4">
      <c r="A1313" s="466">
        <v>46177</v>
      </c>
      <c r="B1313" s="474" t="s">
        <v>6881</v>
      </c>
      <c r="C1313" s="32" t="s">
        <v>2557</v>
      </c>
      <c r="D1313" s="18" t="s">
        <v>317</v>
      </c>
      <c r="E1313" s="18" t="s">
        <v>28</v>
      </c>
      <c r="F1313" s="18"/>
      <c r="G1313" s="63" t="s">
        <v>6290</v>
      </c>
      <c r="H1313" s="399">
        <v>22500</v>
      </c>
      <c r="I1313" s="353"/>
      <c r="J1313" s="350">
        <f t="shared" si="977"/>
        <v>22500</v>
      </c>
      <c r="K1313" s="18">
        <v>2</v>
      </c>
      <c r="L1313" s="350">
        <f t="shared" si="978"/>
        <v>45000</v>
      </c>
      <c r="M1313" s="356">
        <f t="shared" si="979"/>
        <v>49500</v>
      </c>
      <c r="N1313" s="258" t="s">
        <v>1516</v>
      </c>
      <c r="O1313" s="465" t="s">
        <v>6471</v>
      </c>
      <c r="P1313" s="18" t="s">
        <v>2594</v>
      </c>
      <c r="Q1313" s="18" t="s">
        <v>2594</v>
      </c>
      <c r="R1313" s="18" t="s">
        <v>2594</v>
      </c>
    </row>
    <row r="1314" spans="1:27" ht="21.75" customHeight="1" x14ac:dyDescent="0.4">
      <c r="A1314" s="466">
        <v>46177</v>
      </c>
      <c r="B1314" s="474" t="s">
        <v>6808</v>
      </c>
      <c r="C1314" s="32" t="s">
        <v>2557</v>
      </c>
      <c r="D1314" s="258" t="s">
        <v>22</v>
      </c>
      <c r="E1314" s="18"/>
      <c r="F1314" s="18"/>
      <c r="G1314" s="63" t="s">
        <v>6860</v>
      </c>
      <c r="H1314" s="406">
        <v>6000</v>
      </c>
      <c r="I1314" s="353"/>
      <c r="J1314" s="350">
        <f t="shared" si="977"/>
        <v>6000</v>
      </c>
      <c r="K1314" s="18">
        <v>1</v>
      </c>
      <c r="L1314" s="350">
        <f t="shared" si="978"/>
        <v>6000</v>
      </c>
      <c r="M1314" s="357">
        <f t="shared" si="979"/>
        <v>6600</v>
      </c>
      <c r="N1314" s="258" t="s">
        <v>20</v>
      </c>
      <c r="O1314" s="466"/>
      <c r="Q1314" s="18" t="s">
        <v>2595</v>
      </c>
      <c r="R1314" s="18" t="s">
        <v>4803</v>
      </c>
    </row>
    <row r="1315" spans="1:27" ht="21.75" customHeight="1" x14ac:dyDescent="0.4">
      <c r="A1315" s="466">
        <v>46177</v>
      </c>
      <c r="B1315" s="474" t="s">
        <v>6882</v>
      </c>
      <c r="C1315" s="32" t="s">
        <v>405</v>
      </c>
      <c r="D1315" s="258" t="s">
        <v>22</v>
      </c>
      <c r="E1315" s="18" t="s">
        <v>260</v>
      </c>
      <c r="F1315" s="347"/>
      <c r="G1315" s="63" t="s">
        <v>264</v>
      </c>
      <c r="H1315" s="399">
        <v>15000</v>
      </c>
      <c r="I1315" s="353"/>
      <c r="J1315" s="350">
        <f t="shared" si="977"/>
        <v>15000</v>
      </c>
      <c r="K1315" s="18">
        <v>1</v>
      </c>
      <c r="L1315" s="350">
        <f t="shared" si="978"/>
        <v>15000</v>
      </c>
      <c r="M1315" s="356">
        <f t="shared" si="979"/>
        <v>16500</v>
      </c>
      <c r="N1315" s="258" t="s">
        <v>20</v>
      </c>
      <c r="O1315" s="466"/>
      <c r="Q1315" s="18" t="s">
        <v>4803</v>
      </c>
      <c r="R1315" s="18" t="s">
        <v>4803</v>
      </c>
    </row>
    <row r="1316" spans="1:27" ht="21.75" customHeight="1" x14ac:dyDescent="0.4">
      <c r="A1316" s="466">
        <v>46177</v>
      </c>
      <c r="B1316" s="474" t="s">
        <v>6882</v>
      </c>
      <c r="C1316" s="32" t="s">
        <v>405</v>
      </c>
      <c r="D1316" s="18" t="s">
        <v>17</v>
      </c>
      <c r="E1316" s="18" t="s">
        <v>328</v>
      </c>
      <c r="F1316" s="18" t="s">
        <v>788</v>
      </c>
      <c r="G1316" s="63" t="s">
        <v>6884</v>
      </c>
      <c r="H1316" s="399">
        <v>50000</v>
      </c>
      <c r="I1316" s="353">
        <v>-10000</v>
      </c>
      <c r="J1316" s="350">
        <f t="shared" si="977"/>
        <v>40000</v>
      </c>
      <c r="K1316" s="18">
        <v>1</v>
      </c>
      <c r="L1316" s="350">
        <f t="shared" si="978"/>
        <v>40000</v>
      </c>
      <c r="M1316" s="356">
        <f t="shared" si="979"/>
        <v>44000</v>
      </c>
      <c r="N1316" s="258" t="s">
        <v>1121</v>
      </c>
      <c r="O1316" s="466"/>
      <c r="Q1316" s="18" t="s">
        <v>4803</v>
      </c>
      <c r="R1316" s="18" t="s">
        <v>4803</v>
      </c>
      <c r="W1316" s="354">
        <f t="shared" ref="W1316:W1318" si="984">X1316/H1316</f>
        <v>0.45</v>
      </c>
      <c r="X1316" s="355">
        <v>22500</v>
      </c>
      <c r="Y1316" s="355">
        <v>1</v>
      </c>
      <c r="Z1316" s="355">
        <f t="shared" ref="Z1316:Z1318" si="985">X1316*Y1316</f>
        <v>22500</v>
      </c>
      <c r="AA1316" s="355">
        <f t="shared" ref="AA1316:AA1318" si="986">L1316-Z1316</f>
        <v>17500</v>
      </c>
    </row>
    <row r="1317" spans="1:27" ht="21.75" customHeight="1" x14ac:dyDescent="0.4">
      <c r="A1317" s="466">
        <v>46177</v>
      </c>
      <c r="B1317" s="474" t="s">
        <v>6882</v>
      </c>
      <c r="C1317" s="32" t="s">
        <v>405</v>
      </c>
      <c r="D1317" s="18" t="s">
        <v>17</v>
      </c>
      <c r="E1317" s="18" t="s">
        <v>330</v>
      </c>
      <c r="F1317" s="18" t="s">
        <v>6885</v>
      </c>
      <c r="G1317" s="433" t="s">
        <v>330</v>
      </c>
      <c r="H1317" s="399">
        <v>4000</v>
      </c>
      <c r="I1317" s="353"/>
      <c r="J1317" s="350">
        <f t="shared" si="977"/>
        <v>4000</v>
      </c>
      <c r="K1317" s="18">
        <v>1</v>
      </c>
      <c r="L1317" s="350">
        <f t="shared" si="978"/>
        <v>4000</v>
      </c>
      <c r="M1317" s="356">
        <f t="shared" si="979"/>
        <v>4400</v>
      </c>
      <c r="N1317" s="258" t="s">
        <v>1121</v>
      </c>
      <c r="O1317" s="466"/>
      <c r="Q1317" s="18" t="s">
        <v>4803</v>
      </c>
      <c r="R1317" s="18" t="s">
        <v>4803</v>
      </c>
      <c r="W1317" s="354">
        <f t="shared" si="984"/>
        <v>0</v>
      </c>
      <c r="X1317" s="405"/>
      <c r="Y1317" s="355">
        <v>1</v>
      </c>
      <c r="Z1317" s="355">
        <f t="shared" si="985"/>
        <v>0</v>
      </c>
      <c r="AA1317" s="355">
        <f t="shared" si="986"/>
        <v>4000</v>
      </c>
    </row>
    <row r="1318" spans="1:27" ht="21.75" customHeight="1" x14ac:dyDescent="0.4">
      <c r="A1318" s="466">
        <v>46177</v>
      </c>
      <c r="B1318" s="474" t="s">
        <v>6882</v>
      </c>
      <c r="C1318" s="32" t="s">
        <v>405</v>
      </c>
      <c r="D1318" s="18" t="s">
        <v>17</v>
      </c>
      <c r="E1318" s="18" t="s">
        <v>332</v>
      </c>
      <c r="F1318" s="258" t="s">
        <v>3554</v>
      </c>
      <c r="G1318" t="s">
        <v>6849</v>
      </c>
      <c r="H1318" s="399">
        <v>1500</v>
      </c>
      <c r="I1318" s="353"/>
      <c r="J1318" s="350">
        <f t="shared" si="977"/>
        <v>1500</v>
      </c>
      <c r="K1318" s="18">
        <v>1</v>
      </c>
      <c r="L1318" s="350">
        <f t="shared" si="978"/>
        <v>1500</v>
      </c>
      <c r="M1318" s="356">
        <f t="shared" si="979"/>
        <v>1650</v>
      </c>
      <c r="N1318" s="258" t="s">
        <v>1121</v>
      </c>
      <c r="O1318" s="466"/>
      <c r="Q1318" s="18" t="s">
        <v>4803</v>
      </c>
      <c r="R1318" s="18" t="s">
        <v>4803</v>
      </c>
      <c r="S1318" s="471"/>
      <c r="W1318" s="354">
        <f t="shared" si="984"/>
        <v>0.6253333333333333</v>
      </c>
      <c r="X1318" s="355">
        <v>938</v>
      </c>
      <c r="Y1318" s="355">
        <v>1</v>
      </c>
      <c r="Z1318" s="355">
        <f t="shared" si="985"/>
        <v>938</v>
      </c>
      <c r="AA1318" s="355">
        <f t="shared" si="986"/>
        <v>562</v>
      </c>
    </row>
    <row r="1319" spans="1:27" ht="21.75" customHeight="1" x14ac:dyDescent="0.4">
      <c r="A1319" s="466">
        <v>46177</v>
      </c>
      <c r="B1319" s="474" t="s">
        <v>6883</v>
      </c>
      <c r="C1319" s="32" t="s">
        <v>405</v>
      </c>
      <c r="D1319" s="258" t="s">
        <v>22</v>
      </c>
      <c r="E1319" s="18" t="s">
        <v>260</v>
      </c>
      <c r="F1319" s="347"/>
      <c r="G1319" s="63" t="s">
        <v>264</v>
      </c>
      <c r="H1319" s="399">
        <v>15000</v>
      </c>
      <c r="I1319" s="353"/>
      <c r="J1319" s="350">
        <f t="shared" si="977"/>
        <v>15000</v>
      </c>
      <c r="K1319" s="18">
        <v>1</v>
      </c>
      <c r="L1319" s="350">
        <f t="shared" si="978"/>
        <v>15000</v>
      </c>
      <c r="M1319" s="356">
        <f t="shared" si="979"/>
        <v>16500</v>
      </c>
      <c r="N1319" s="258" t="s">
        <v>20</v>
      </c>
      <c r="O1319" s="466"/>
      <c r="P1319" s="18" t="s">
        <v>2595</v>
      </c>
      <c r="Q1319" s="18" t="s">
        <v>4803</v>
      </c>
      <c r="R1319" s="18" t="s">
        <v>4803</v>
      </c>
      <c r="S1319" s="472"/>
    </row>
    <row r="1320" spans="1:27" ht="21.75" customHeight="1" x14ac:dyDescent="0.4">
      <c r="A1320" s="466">
        <v>46177</v>
      </c>
      <c r="B1320" s="474" t="s">
        <v>6887</v>
      </c>
      <c r="C1320" s="32" t="s">
        <v>405</v>
      </c>
      <c r="D1320" s="258" t="s">
        <v>22</v>
      </c>
      <c r="E1320" s="258" t="s">
        <v>5040</v>
      </c>
      <c r="F1320" s="18"/>
      <c r="G1320" s="63" t="s">
        <v>955</v>
      </c>
      <c r="H1320" s="399">
        <v>7500</v>
      </c>
      <c r="I1320" s="353"/>
      <c r="J1320" s="350">
        <f t="shared" si="977"/>
        <v>7500</v>
      </c>
      <c r="K1320" s="18">
        <v>1</v>
      </c>
      <c r="L1320" s="350">
        <f t="shared" si="978"/>
        <v>7500</v>
      </c>
      <c r="M1320" s="356">
        <f t="shared" si="979"/>
        <v>8250</v>
      </c>
      <c r="N1320" s="258" t="s">
        <v>20</v>
      </c>
      <c r="O1320" s="466"/>
      <c r="P1320" s="18" t="s">
        <v>2595</v>
      </c>
      <c r="Q1320" s="18" t="s">
        <v>2595</v>
      </c>
      <c r="R1320" s="18" t="s">
        <v>4803</v>
      </c>
      <c r="S1320" s="472"/>
    </row>
    <row r="1321" spans="1:27" ht="21.75" customHeight="1" x14ac:dyDescent="0.4">
      <c r="A1321" s="466">
        <v>46177</v>
      </c>
      <c r="B1321" s="474" t="s">
        <v>6883</v>
      </c>
      <c r="C1321" s="32" t="s">
        <v>405</v>
      </c>
      <c r="D1321" s="18" t="s">
        <v>17</v>
      </c>
      <c r="E1321" s="18" t="s">
        <v>6889</v>
      </c>
      <c r="F1321" s="258" t="s">
        <v>6890</v>
      </c>
      <c r="G1321" s="63" t="s">
        <v>6896</v>
      </c>
      <c r="H1321" s="399">
        <v>45000</v>
      </c>
      <c r="I1321" s="353">
        <v>-9000</v>
      </c>
      <c r="J1321" s="350">
        <f t="shared" ref="J1321" si="987">SUM(H1321:I1321)</f>
        <v>36000</v>
      </c>
      <c r="K1321" s="18">
        <v>1</v>
      </c>
      <c r="L1321" s="350">
        <f t="shared" ref="L1321:L1324" si="988">SUM(J1321*K1321)</f>
        <v>36000</v>
      </c>
      <c r="M1321" s="356">
        <f t="shared" ref="M1321:M1324" si="989">ROUNDDOWN(L1321*1.1,0)</f>
        <v>39600</v>
      </c>
      <c r="N1321" s="258" t="s">
        <v>1121</v>
      </c>
      <c r="O1321" s="466"/>
      <c r="P1321" s="18" t="s">
        <v>2595</v>
      </c>
      <c r="Q1321" s="18" t="s">
        <v>2595</v>
      </c>
      <c r="R1321" s="18" t="s">
        <v>4803</v>
      </c>
      <c r="S1321" s="472"/>
      <c r="W1321" s="354">
        <f t="shared" ref="W1321:W1328" si="990">X1321/H1321</f>
        <v>0.45</v>
      </c>
      <c r="X1321" s="355">
        <v>20250</v>
      </c>
      <c r="Y1321" s="355">
        <v>1</v>
      </c>
      <c r="Z1321" s="355">
        <f t="shared" ref="Z1321:Z1328" si="991">X1321*Y1321</f>
        <v>20250</v>
      </c>
      <c r="AA1321" s="355">
        <f t="shared" ref="AA1321:AA1328" si="992">L1321-Z1321</f>
        <v>15750</v>
      </c>
    </row>
    <row r="1322" spans="1:27" ht="21.75" customHeight="1" x14ac:dyDescent="0.4">
      <c r="A1322" s="466">
        <v>46177</v>
      </c>
      <c r="B1322" s="474" t="s">
        <v>6883</v>
      </c>
      <c r="C1322" s="32" t="s">
        <v>405</v>
      </c>
      <c r="D1322" s="18" t="s">
        <v>17</v>
      </c>
      <c r="E1322" s="18" t="s">
        <v>6889</v>
      </c>
      <c r="F1322" s="258" t="s">
        <v>6890</v>
      </c>
      <c r="G1322" s="63" t="s">
        <v>6897</v>
      </c>
      <c r="H1322" s="399">
        <v>25000</v>
      </c>
      <c r="I1322" s="353">
        <v>-5000</v>
      </c>
      <c r="J1322" s="350">
        <f t="shared" si="977"/>
        <v>20000</v>
      </c>
      <c r="K1322" s="18">
        <v>1</v>
      </c>
      <c r="L1322" s="350">
        <f t="shared" si="988"/>
        <v>20000</v>
      </c>
      <c r="M1322" s="356">
        <f t="shared" si="989"/>
        <v>22000</v>
      </c>
      <c r="N1322" s="258" t="s">
        <v>1121</v>
      </c>
      <c r="O1322" s="466"/>
      <c r="P1322" s="18" t="s">
        <v>2595</v>
      </c>
      <c r="Q1322" s="18" t="s">
        <v>2595</v>
      </c>
      <c r="R1322" s="18" t="s">
        <v>4803</v>
      </c>
      <c r="S1322" s="472"/>
      <c r="W1322" s="354">
        <f t="shared" si="990"/>
        <v>0.45</v>
      </c>
      <c r="X1322" s="355">
        <v>11250</v>
      </c>
      <c r="Y1322" s="355">
        <v>1</v>
      </c>
      <c r="Z1322" s="355">
        <f t="shared" si="991"/>
        <v>11250</v>
      </c>
      <c r="AA1322" s="355">
        <f t="shared" si="992"/>
        <v>8750</v>
      </c>
    </row>
    <row r="1323" spans="1:27" ht="21.75" customHeight="1" x14ac:dyDescent="0.4">
      <c r="A1323" s="466">
        <v>46177</v>
      </c>
      <c r="B1323" s="474" t="s">
        <v>6883</v>
      </c>
      <c r="C1323" s="32" t="s">
        <v>405</v>
      </c>
      <c r="D1323" s="18" t="s">
        <v>17</v>
      </c>
      <c r="E1323" s="18" t="s">
        <v>6889</v>
      </c>
      <c r="F1323" s="258" t="s">
        <v>6890</v>
      </c>
      <c r="G1323" s="433" t="s">
        <v>6898</v>
      </c>
      <c r="H1323" s="399">
        <v>20000</v>
      </c>
      <c r="I1323" s="353">
        <v>-4000</v>
      </c>
      <c r="J1323" s="350">
        <f t="shared" si="977"/>
        <v>16000</v>
      </c>
      <c r="K1323" s="18">
        <v>1</v>
      </c>
      <c r="L1323" s="350">
        <f t="shared" si="988"/>
        <v>16000</v>
      </c>
      <c r="M1323" s="356">
        <f t="shared" si="989"/>
        <v>17600</v>
      </c>
      <c r="N1323" s="258" t="s">
        <v>1121</v>
      </c>
      <c r="O1323" s="466"/>
      <c r="P1323" s="18" t="s">
        <v>2595</v>
      </c>
      <c r="Q1323" s="18" t="s">
        <v>2595</v>
      </c>
      <c r="R1323" s="18" t="s">
        <v>4803</v>
      </c>
      <c r="W1323" s="354">
        <f t="shared" si="990"/>
        <v>0.45</v>
      </c>
      <c r="X1323" s="355">
        <v>9000</v>
      </c>
      <c r="Y1323" s="355">
        <v>1</v>
      </c>
      <c r="Z1323" s="355">
        <f t="shared" si="991"/>
        <v>9000</v>
      </c>
      <c r="AA1323" s="355">
        <f t="shared" si="992"/>
        <v>7000</v>
      </c>
    </row>
    <row r="1324" spans="1:27" ht="21.75" customHeight="1" x14ac:dyDescent="0.4">
      <c r="A1324" s="466">
        <v>46177</v>
      </c>
      <c r="B1324" s="474" t="s">
        <v>6883</v>
      </c>
      <c r="C1324" s="32" t="s">
        <v>405</v>
      </c>
      <c r="D1324" s="18" t="s">
        <v>17</v>
      </c>
      <c r="E1324" s="18" t="s">
        <v>6891</v>
      </c>
      <c r="F1324" s="18" t="s">
        <v>3543</v>
      </c>
      <c r="G1324" s="63" t="s">
        <v>6895</v>
      </c>
      <c r="H1324" s="399">
        <v>49000</v>
      </c>
      <c r="I1324" s="353"/>
      <c r="J1324" s="350">
        <f t="shared" si="977"/>
        <v>49000</v>
      </c>
      <c r="K1324" s="18">
        <v>1</v>
      </c>
      <c r="L1324" s="350">
        <f t="shared" si="988"/>
        <v>49000</v>
      </c>
      <c r="M1324" s="356">
        <f t="shared" si="989"/>
        <v>53900</v>
      </c>
      <c r="N1324" s="258" t="s">
        <v>1121</v>
      </c>
      <c r="O1324" s="465"/>
      <c r="P1324" s="18" t="s">
        <v>2595</v>
      </c>
      <c r="Q1324" s="18" t="s">
        <v>2595</v>
      </c>
      <c r="R1324" s="18" t="s">
        <v>4803</v>
      </c>
      <c r="W1324" s="354">
        <f t="shared" si="990"/>
        <v>0.63418367346938775</v>
      </c>
      <c r="X1324" s="355">
        <v>31075</v>
      </c>
      <c r="Y1324" s="355">
        <v>1</v>
      </c>
      <c r="Z1324" s="355">
        <f t="shared" si="991"/>
        <v>31075</v>
      </c>
      <c r="AA1324" s="355">
        <f t="shared" si="992"/>
        <v>17925</v>
      </c>
    </row>
    <row r="1325" spans="1:27" ht="21.75" customHeight="1" x14ac:dyDescent="0.4">
      <c r="A1325" s="466">
        <v>46177</v>
      </c>
      <c r="B1325" s="474" t="s">
        <v>6883</v>
      </c>
      <c r="C1325" s="32" t="s">
        <v>405</v>
      </c>
      <c r="D1325" s="18" t="s">
        <v>17</v>
      </c>
      <c r="E1325" s="18" t="s">
        <v>332</v>
      </c>
      <c r="F1325" s="258" t="s">
        <v>3554</v>
      </c>
      <c r="G1325" t="s">
        <v>6849</v>
      </c>
      <c r="H1325" s="399">
        <v>1500</v>
      </c>
      <c r="I1325" s="353"/>
      <c r="J1325" s="350">
        <f t="shared" si="977"/>
        <v>1500</v>
      </c>
      <c r="K1325" s="18">
        <v>3</v>
      </c>
      <c r="L1325" s="350">
        <f t="shared" si="978"/>
        <v>4500</v>
      </c>
      <c r="M1325" s="356">
        <f t="shared" si="979"/>
        <v>4950</v>
      </c>
      <c r="N1325" s="258" t="s">
        <v>1121</v>
      </c>
      <c r="O1325" s="466"/>
      <c r="P1325" s="18" t="s">
        <v>2595</v>
      </c>
      <c r="Q1325" s="18" t="s">
        <v>2595</v>
      </c>
      <c r="R1325" s="18" t="s">
        <v>4803</v>
      </c>
      <c r="W1325" s="354">
        <f t="shared" si="990"/>
        <v>0.6253333333333333</v>
      </c>
      <c r="X1325" s="355">
        <v>938</v>
      </c>
      <c r="Y1325" s="355">
        <v>3</v>
      </c>
      <c r="Z1325" s="355">
        <f t="shared" si="991"/>
        <v>2814</v>
      </c>
      <c r="AA1325" s="355">
        <f t="shared" si="992"/>
        <v>1686</v>
      </c>
    </row>
    <row r="1326" spans="1:27" ht="21.75" customHeight="1" x14ac:dyDescent="0.4">
      <c r="A1326" s="466">
        <v>46177</v>
      </c>
      <c r="B1326" s="474" t="s">
        <v>6883</v>
      </c>
      <c r="C1326" s="32" t="s">
        <v>405</v>
      </c>
      <c r="D1326" s="18" t="s">
        <v>17</v>
      </c>
      <c r="E1326" s="18" t="s">
        <v>426</v>
      </c>
      <c r="F1326" s="18" t="s">
        <v>994</v>
      </c>
      <c r="G1326" s="63" t="s">
        <v>6893</v>
      </c>
      <c r="H1326" s="399">
        <v>1800</v>
      </c>
      <c r="I1326" s="353"/>
      <c r="J1326" s="350">
        <f t="shared" si="977"/>
        <v>1800</v>
      </c>
      <c r="K1326" s="18">
        <v>1</v>
      </c>
      <c r="L1326" s="350">
        <f t="shared" si="978"/>
        <v>1800</v>
      </c>
      <c r="M1326" s="356">
        <f t="shared" si="979"/>
        <v>1980</v>
      </c>
      <c r="N1326" s="258" t="s">
        <v>1121</v>
      </c>
      <c r="O1326" s="466"/>
      <c r="P1326" s="18" t="s">
        <v>2595</v>
      </c>
      <c r="Q1326" s="18" t="s">
        <v>2595</v>
      </c>
      <c r="R1326" s="18" t="s">
        <v>4803</v>
      </c>
      <c r="W1326" s="354">
        <f t="shared" si="990"/>
        <v>0.6</v>
      </c>
      <c r="X1326" s="355">
        <v>1080</v>
      </c>
      <c r="Y1326" s="355">
        <v>1</v>
      </c>
      <c r="Z1326" s="355">
        <f t="shared" si="991"/>
        <v>1080</v>
      </c>
      <c r="AA1326" s="355">
        <f t="shared" si="992"/>
        <v>720</v>
      </c>
    </row>
    <row r="1327" spans="1:27" ht="21.75" customHeight="1" x14ac:dyDescent="0.4">
      <c r="A1327" s="466">
        <v>46177</v>
      </c>
      <c r="B1327" s="474" t="s">
        <v>6883</v>
      </c>
      <c r="C1327" s="32" t="s">
        <v>405</v>
      </c>
      <c r="D1327" s="18" t="s">
        <v>17</v>
      </c>
      <c r="E1327" s="18" t="s">
        <v>426</v>
      </c>
      <c r="F1327" s="18" t="s">
        <v>994</v>
      </c>
      <c r="G1327" s="63" t="s">
        <v>6894</v>
      </c>
      <c r="H1327" s="399">
        <v>1800</v>
      </c>
      <c r="I1327" s="353"/>
      <c r="J1327" s="350">
        <f t="shared" ref="J1327" si="993">SUM(H1327:I1327)</f>
        <v>1800</v>
      </c>
      <c r="K1327" s="18">
        <v>2</v>
      </c>
      <c r="L1327" s="350">
        <f t="shared" ref="L1327" si="994">SUM(J1327*K1327)</f>
        <v>3600</v>
      </c>
      <c r="M1327" s="356">
        <f t="shared" ref="M1327" si="995">ROUNDDOWN(L1327*1.1,0)</f>
        <v>3960</v>
      </c>
      <c r="N1327" s="258" t="s">
        <v>1121</v>
      </c>
      <c r="O1327" s="466"/>
      <c r="P1327" s="18" t="s">
        <v>2595</v>
      </c>
      <c r="Q1327" s="18" t="s">
        <v>2595</v>
      </c>
      <c r="R1327" s="18" t="s">
        <v>4803</v>
      </c>
      <c r="W1327" s="354">
        <f t="shared" si="990"/>
        <v>0.6</v>
      </c>
      <c r="X1327" s="355">
        <v>1080</v>
      </c>
      <c r="Y1327" s="355">
        <v>2</v>
      </c>
      <c r="Z1327" s="355">
        <f t="shared" si="991"/>
        <v>2160</v>
      </c>
      <c r="AA1327" s="355">
        <f t="shared" si="992"/>
        <v>1440</v>
      </c>
    </row>
    <row r="1328" spans="1:27" ht="21.75" customHeight="1" x14ac:dyDescent="0.4">
      <c r="A1328" s="466">
        <v>46177</v>
      </c>
      <c r="B1328" s="474" t="s">
        <v>6883</v>
      </c>
      <c r="C1328" s="32" t="s">
        <v>405</v>
      </c>
      <c r="D1328" s="18" t="s">
        <v>17</v>
      </c>
      <c r="E1328" s="18" t="s">
        <v>330</v>
      </c>
      <c r="F1328" s="258" t="s">
        <v>450</v>
      </c>
      <c r="G1328" s="433" t="s">
        <v>330</v>
      </c>
      <c r="H1328" s="399">
        <v>5000</v>
      </c>
      <c r="I1328" s="353"/>
      <c r="J1328" s="350">
        <f t="shared" si="977"/>
        <v>5000</v>
      </c>
      <c r="K1328" s="18">
        <v>2</v>
      </c>
      <c r="L1328" s="350">
        <f t="shared" si="978"/>
        <v>10000</v>
      </c>
      <c r="M1328" s="356">
        <f t="shared" si="979"/>
        <v>11000</v>
      </c>
      <c r="N1328" s="258" t="s">
        <v>1121</v>
      </c>
      <c r="O1328" s="466"/>
      <c r="P1328" s="18" t="s">
        <v>2595</v>
      </c>
      <c r="Q1328" s="18" t="s">
        <v>2595</v>
      </c>
      <c r="R1328" s="18" t="s">
        <v>4803</v>
      </c>
      <c r="W1328" s="354">
        <f t="shared" si="990"/>
        <v>0.45</v>
      </c>
      <c r="X1328" s="355">
        <v>2250</v>
      </c>
      <c r="Y1328" s="355">
        <v>2</v>
      </c>
      <c r="Z1328" s="355">
        <f t="shared" si="991"/>
        <v>4500</v>
      </c>
      <c r="AA1328" s="355">
        <f t="shared" si="992"/>
        <v>5500</v>
      </c>
    </row>
    <row r="1329" spans="1:27" ht="21.75" customHeight="1" x14ac:dyDescent="0.4">
      <c r="A1329" s="466">
        <v>46178</v>
      </c>
      <c r="B1329" s="474" t="s">
        <v>6021</v>
      </c>
      <c r="C1329" s="474" t="s">
        <v>2557</v>
      </c>
      <c r="D1329" s="258" t="s">
        <v>22</v>
      </c>
      <c r="E1329" s="258" t="s">
        <v>5040</v>
      </c>
      <c r="F1329" s="258"/>
      <c r="G1329" s="433" t="s">
        <v>4869</v>
      </c>
      <c r="H1329" s="399">
        <v>2000</v>
      </c>
      <c r="I1329" s="353"/>
      <c r="J1329" s="350">
        <f t="shared" ref="J1329:J1330" si="996">SUM(H1329:I1329)</f>
        <v>2000</v>
      </c>
      <c r="K1329" s="18">
        <v>2</v>
      </c>
      <c r="L1329" s="350">
        <f t="shared" ref="L1329:L1330" si="997">SUM(J1329*K1329)</f>
        <v>4000</v>
      </c>
      <c r="M1329" s="356">
        <f t="shared" ref="M1329:M1330" si="998">ROUNDDOWN(L1329*1.1,0)</f>
        <v>4400</v>
      </c>
      <c r="N1329" s="258" t="s">
        <v>1516</v>
      </c>
      <c r="O1329" s="466"/>
      <c r="P1329" s="18" t="s">
        <v>5449</v>
      </c>
      <c r="Q1329" s="18" t="s">
        <v>5449</v>
      </c>
      <c r="R1329" s="18" t="s">
        <v>5449</v>
      </c>
    </row>
    <row r="1330" spans="1:27" ht="21.75" customHeight="1" x14ac:dyDescent="0.4">
      <c r="A1330" s="466">
        <v>46178</v>
      </c>
      <c r="B1330" s="474" t="s">
        <v>844</v>
      </c>
      <c r="C1330" s="474" t="s">
        <v>2557</v>
      </c>
      <c r="D1330" s="18" t="s">
        <v>27</v>
      </c>
      <c r="E1330" s="18" t="s">
        <v>4409</v>
      </c>
      <c r="F1330" s="258"/>
      <c r="G1330" s="63" t="s">
        <v>6269</v>
      </c>
      <c r="H1330" s="399">
        <v>17500</v>
      </c>
      <c r="I1330" s="353"/>
      <c r="J1330" s="350">
        <f t="shared" si="996"/>
        <v>17500</v>
      </c>
      <c r="K1330" s="18">
        <v>1</v>
      </c>
      <c r="L1330" s="350">
        <f t="shared" si="997"/>
        <v>17500</v>
      </c>
      <c r="M1330" s="356">
        <f t="shared" si="998"/>
        <v>19250</v>
      </c>
      <c r="N1330" s="258" t="s">
        <v>1516</v>
      </c>
      <c r="O1330" s="465" t="s">
        <v>4801</v>
      </c>
      <c r="P1330" s="18" t="s">
        <v>5449</v>
      </c>
      <c r="Q1330" s="18" t="s">
        <v>5449</v>
      </c>
      <c r="R1330" s="18" t="s">
        <v>5449</v>
      </c>
    </row>
    <row r="1331" spans="1:27" ht="21.75" customHeight="1" x14ac:dyDescent="0.4">
      <c r="A1331" s="466">
        <v>46178</v>
      </c>
      <c r="B1331" s="474" t="s">
        <v>6892</v>
      </c>
      <c r="C1331" s="474" t="s">
        <v>2557</v>
      </c>
      <c r="D1331" s="18" t="s">
        <v>17</v>
      </c>
      <c r="E1331" s="18" t="s">
        <v>332</v>
      </c>
      <c r="F1331" s="258" t="s">
        <v>3554</v>
      </c>
      <c r="G1331" t="s">
        <v>6849</v>
      </c>
      <c r="H1331" s="399">
        <v>1500</v>
      </c>
      <c r="I1331" s="353">
        <v>-150</v>
      </c>
      <c r="J1331" s="350">
        <f t="shared" si="977"/>
        <v>1350</v>
      </c>
      <c r="K1331" s="18">
        <v>1</v>
      </c>
      <c r="L1331" s="350">
        <f t="shared" si="978"/>
        <v>1350</v>
      </c>
      <c r="M1331" s="356">
        <f t="shared" si="979"/>
        <v>1485</v>
      </c>
      <c r="N1331" s="258" t="s">
        <v>20</v>
      </c>
      <c r="O1331" s="466"/>
      <c r="R1331" s="18" t="s">
        <v>4803</v>
      </c>
      <c r="W1331" s="354">
        <f t="shared" ref="W1331" si="999">X1331/H1331</f>
        <v>0.6253333333333333</v>
      </c>
      <c r="X1331" s="355">
        <v>938</v>
      </c>
      <c r="Y1331" s="355">
        <v>1</v>
      </c>
      <c r="Z1331" s="355">
        <f>X1331*Y1331</f>
        <v>938</v>
      </c>
      <c r="AA1331" s="355">
        <f>L1331-Z1331</f>
        <v>412</v>
      </c>
    </row>
    <row r="1332" spans="1:27" ht="21.75" customHeight="1" x14ac:dyDescent="0.4">
      <c r="A1332" s="466">
        <v>46178</v>
      </c>
      <c r="B1332" s="474" t="s">
        <v>6892</v>
      </c>
      <c r="C1332" s="474" t="s">
        <v>2557</v>
      </c>
      <c r="D1332" s="18" t="s">
        <v>59</v>
      </c>
      <c r="E1332" s="18" t="s">
        <v>6620</v>
      </c>
      <c r="F1332" s="18"/>
      <c r="G1332" s="63"/>
      <c r="H1332" s="399">
        <v>300</v>
      </c>
      <c r="I1332" s="353"/>
      <c r="J1332" s="350">
        <f t="shared" si="977"/>
        <v>300</v>
      </c>
      <c r="K1332" s="18">
        <v>1</v>
      </c>
      <c r="L1332" s="350">
        <f t="shared" si="978"/>
        <v>300</v>
      </c>
      <c r="M1332" s="356">
        <f t="shared" si="979"/>
        <v>330</v>
      </c>
      <c r="N1332" s="258" t="s">
        <v>20</v>
      </c>
      <c r="O1332" s="466"/>
      <c r="R1332" s="18" t="s">
        <v>4803</v>
      </c>
    </row>
    <row r="1333" spans="1:27" ht="21.75" customHeight="1" x14ac:dyDescent="0.4">
      <c r="A1333" s="466">
        <v>46179</v>
      </c>
      <c r="B1333" s="325" t="s">
        <v>6204</v>
      </c>
      <c r="C1333" s="32" t="s">
        <v>405</v>
      </c>
      <c r="D1333" s="258" t="s">
        <v>22</v>
      </c>
      <c r="E1333" s="258" t="s">
        <v>5040</v>
      </c>
      <c r="F1333" s="258"/>
      <c r="G1333" s="433" t="s">
        <v>6186</v>
      </c>
      <c r="H1333" s="399">
        <v>3000</v>
      </c>
      <c r="I1333" s="353"/>
      <c r="J1333" s="350">
        <f t="shared" si="977"/>
        <v>3000</v>
      </c>
      <c r="K1333" s="18">
        <v>1</v>
      </c>
      <c r="L1333" s="350">
        <f t="shared" si="978"/>
        <v>3000</v>
      </c>
      <c r="M1333" s="356">
        <f t="shared" si="979"/>
        <v>3300</v>
      </c>
      <c r="N1333" s="258" t="s">
        <v>20</v>
      </c>
      <c r="O1333" s="466"/>
      <c r="Q1333" s="18" t="s">
        <v>6888</v>
      </c>
      <c r="R1333" s="18" t="s">
        <v>6888</v>
      </c>
    </row>
    <row r="1334" spans="1:27" ht="21.75" customHeight="1" x14ac:dyDescent="0.4">
      <c r="A1334" s="466">
        <v>46179</v>
      </c>
      <c r="B1334" s="325" t="s">
        <v>1256</v>
      </c>
      <c r="C1334" s="32" t="s">
        <v>2557</v>
      </c>
      <c r="D1334" s="18" t="s">
        <v>22</v>
      </c>
      <c r="E1334" s="18" t="s">
        <v>27</v>
      </c>
      <c r="F1334" s="18" t="s">
        <v>4409</v>
      </c>
      <c r="G1334" s="63" t="s">
        <v>6005</v>
      </c>
      <c r="H1334" s="399">
        <v>8500</v>
      </c>
      <c r="I1334" s="353"/>
      <c r="J1334" s="350">
        <f t="shared" si="977"/>
        <v>8500</v>
      </c>
      <c r="K1334" s="18">
        <v>1</v>
      </c>
      <c r="L1334" s="350">
        <f t="shared" si="978"/>
        <v>8500</v>
      </c>
      <c r="M1334" s="356">
        <f t="shared" si="979"/>
        <v>9350</v>
      </c>
      <c r="N1334" s="258" t="s">
        <v>20</v>
      </c>
      <c r="O1334" s="465" t="s">
        <v>4801</v>
      </c>
      <c r="P1334" s="18" t="s">
        <v>2594</v>
      </c>
      <c r="Q1334" s="18" t="s">
        <v>2594</v>
      </c>
      <c r="R1334" s="18" t="s">
        <v>2594</v>
      </c>
      <c r="S1334" s="471"/>
    </row>
    <row r="1335" spans="1:27" ht="21.75" customHeight="1" x14ac:dyDescent="0.4">
      <c r="A1335" s="466">
        <v>46179</v>
      </c>
      <c r="B1335" s="325" t="s">
        <v>3082</v>
      </c>
      <c r="C1335" s="32" t="s">
        <v>2557</v>
      </c>
      <c r="D1335" s="18" t="s">
        <v>22</v>
      </c>
      <c r="E1335" s="18" t="s">
        <v>27</v>
      </c>
      <c r="F1335" s="18" t="s">
        <v>4409</v>
      </c>
      <c r="G1335" s="63" t="s">
        <v>6005</v>
      </c>
      <c r="H1335" s="399">
        <v>8500</v>
      </c>
      <c r="I1335" s="353"/>
      <c r="J1335" s="350">
        <f t="shared" ref="J1335" si="1000">SUM(H1335:I1335)</f>
        <v>8500</v>
      </c>
      <c r="K1335" s="18">
        <v>1</v>
      </c>
      <c r="L1335" s="350">
        <f t="shared" ref="L1335" si="1001">SUM(J1335*K1335)</f>
        <v>8500</v>
      </c>
      <c r="M1335" s="356">
        <f t="shared" ref="M1335" si="1002">ROUNDDOWN(L1335*1.1,0)</f>
        <v>9350</v>
      </c>
      <c r="N1335" s="258" t="s">
        <v>1516</v>
      </c>
      <c r="O1335" s="465" t="s">
        <v>4801</v>
      </c>
      <c r="Q1335" s="18" t="s">
        <v>6888</v>
      </c>
      <c r="R1335" s="18" t="s">
        <v>6888</v>
      </c>
      <c r="S1335" s="472"/>
    </row>
    <row r="1336" spans="1:27" ht="21.75" customHeight="1" x14ac:dyDescent="0.4">
      <c r="A1336" s="466">
        <v>46180</v>
      </c>
      <c r="B1336" s="474" t="s">
        <v>6899</v>
      </c>
      <c r="C1336" s="32" t="s">
        <v>6900</v>
      </c>
      <c r="D1336" s="18" t="s">
        <v>27</v>
      </c>
      <c r="E1336" s="18" t="s">
        <v>28</v>
      </c>
      <c r="F1336" s="18"/>
      <c r="G1336" s="63" t="s">
        <v>73</v>
      </c>
      <c r="H1336" s="399">
        <v>2000</v>
      </c>
      <c r="I1336" s="353"/>
      <c r="J1336" s="350">
        <v>2000</v>
      </c>
      <c r="K1336" s="18">
        <v>1</v>
      </c>
      <c r="L1336" s="350">
        <v>2000</v>
      </c>
      <c r="M1336" s="356">
        <v>2200</v>
      </c>
      <c r="N1336" s="258" t="s">
        <v>20</v>
      </c>
      <c r="O1336" s="456" t="s">
        <v>6905</v>
      </c>
      <c r="P1336" s="18" t="s">
        <v>6901</v>
      </c>
      <c r="Q1336" s="18" t="s">
        <v>6901</v>
      </c>
      <c r="R1336" s="18" t="s">
        <v>5449</v>
      </c>
      <c r="S1336" s="472"/>
    </row>
    <row r="1337" spans="1:27" ht="21.75" customHeight="1" x14ac:dyDescent="0.4">
      <c r="A1337" s="466">
        <v>46180</v>
      </c>
      <c r="B1337" s="474" t="s">
        <v>582</v>
      </c>
      <c r="C1337" s="474" t="s">
        <v>2557</v>
      </c>
      <c r="D1337" s="18" t="s">
        <v>17</v>
      </c>
      <c r="E1337" s="18" t="s">
        <v>426</v>
      </c>
      <c r="F1337" s="18" t="s">
        <v>994</v>
      </c>
      <c r="G1337" s="63" t="s">
        <v>6893</v>
      </c>
      <c r="H1337" s="399">
        <v>1800</v>
      </c>
      <c r="I1337" s="353">
        <v>-180</v>
      </c>
      <c r="J1337" s="350">
        <f t="shared" ref="J1337" si="1003">SUM(H1337:I1337)</f>
        <v>1620</v>
      </c>
      <c r="K1337" s="18">
        <v>1</v>
      </c>
      <c r="L1337" s="350">
        <f t="shared" ref="L1337" si="1004">SUM(J1337*K1337)</f>
        <v>1620</v>
      </c>
      <c r="M1337" s="356">
        <f t="shared" ref="M1337" si="1005">ROUNDDOWN(L1337*1.1,0)</f>
        <v>1782</v>
      </c>
      <c r="N1337" s="258" t="s">
        <v>20</v>
      </c>
      <c r="O1337" s="466"/>
      <c r="P1337" s="18" t="s">
        <v>2595</v>
      </c>
      <c r="Q1337" s="18" t="s">
        <v>2595</v>
      </c>
      <c r="R1337" s="18" t="s">
        <v>5449</v>
      </c>
      <c r="W1337" s="354">
        <f t="shared" ref="W1337" si="1006">X1337/H1337</f>
        <v>0.6</v>
      </c>
      <c r="X1337" s="355">
        <v>1080</v>
      </c>
      <c r="Y1337" s="355">
        <v>1</v>
      </c>
      <c r="Z1337" s="355">
        <f>X1337*Y1337</f>
        <v>1080</v>
      </c>
      <c r="AA1337" s="355">
        <f>L1337-Z1337</f>
        <v>540</v>
      </c>
    </row>
    <row r="1338" spans="1:27" ht="21.75" customHeight="1" x14ac:dyDescent="0.4">
      <c r="A1338" s="466">
        <v>46181</v>
      </c>
      <c r="B1338" s="474" t="s">
        <v>6902</v>
      </c>
      <c r="C1338" s="32" t="s">
        <v>2557</v>
      </c>
      <c r="D1338" s="18" t="s">
        <v>27</v>
      </c>
      <c r="E1338" s="18" t="s">
        <v>28</v>
      </c>
      <c r="F1338" s="18"/>
      <c r="G1338" s="63" t="s">
        <v>73</v>
      </c>
      <c r="H1338" s="399">
        <v>2000</v>
      </c>
      <c r="I1338" s="353"/>
      <c r="J1338" s="350">
        <v>2000</v>
      </c>
      <c r="K1338" s="18">
        <v>1</v>
      </c>
      <c r="L1338" s="350">
        <v>2000</v>
      </c>
      <c r="M1338" s="356">
        <v>2200</v>
      </c>
      <c r="N1338" s="258" t="s">
        <v>20</v>
      </c>
      <c r="O1338" s="456" t="s">
        <v>6740</v>
      </c>
      <c r="P1338" s="18" t="s">
        <v>2595</v>
      </c>
      <c r="Q1338" s="18" t="s">
        <v>2595</v>
      </c>
      <c r="R1338" s="18" t="s">
        <v>5449</v>
      </c>
      <c r="S1338" s="472"/>
    </row>
    <row r="1339" spans="1:27" ht="21.75" customHeight="1" x14ac:dyDescent="0.4">
      <c r="A1339" s="466">
        <v>46181</v>
      </c>
      <c r="B1339" s="474" t="s">
        <v>927</v>
      </c>
      <c r="C1339" s="474" t="s">
        <v>2557</v>
      </c>
      <c r="D1339" s="18" t="s">
        <v>17</v>
      </c>
      <c r="E1339" s="18" t="s">
        <v>332</v>
      </c>
      <c r="F1339" s="258" t="s">
        <v>3554</v>
      </c>
      <c r="G1339" t="s">
        <v>6849</v>
      </c>
      <c r="H1339" s="399">
        <v>1500</v>
      </c>
      <c r="I1339" s="353">
        <v>-150</v>
      </c>
      <c r="J1339" s="350">
        <f t="shared" ref="J1339:J1342" si="1007">SUM(H1339:I1339)</f>
        <v>1350</v>
      </c>
      <c r="K1339" s="18">
        <v>1</v>
      </c>
      <c r="L1339" s="350">
        <f t="shared" ref="L1339:L1342" si="1008">SUM(J1339*K1339)</f>
        <v>1350</v>
      </c>
      <c r="M1339" s="356">
        <f t="shared" ref="M1339:M1342" si="1009">ROUNDDOWN(L1339*1.1,0)</f>
        <v>1485</v>
      </c>
      <c r="N1339" s="258" t="s">
        <v>1516</v>
      </c>
      <c r="O1339" s="466"/>
      <c r="P1339" s="18" t="s">
        <v>5459</v>
      </c>
      <c r="Q1339" s="18" t="s">
        <v>5459</v>
      </c>
      <c r="R1339" s="18" t="s">
        <v>5449</v>
      </c>
      <c r="W1339" s="354">
        <f t="shared" ref="W1339" si="1010">X1339/H1339</f>
        <v>0.6253333333333333</v>
      </c>
      <c r="X1339" s="355">
        <v>938</v>
      </c>
      <c r="Y1339" s="355">
        <v>1</v>
      </c>
      <c r="Z1339" s="355">
        <f>X1339*Y1339</f>
        <v>938</v>
      </c>
      <c r="AA1339" s="355">
        <f>L1339-Z1339</f>
        <v>412</v>
      </c>
    </row>
    <row r="1340" spans="1:27" ht="21.75" customHeight="1" x14ac:dyDescent="0.4">
      <c r="A1340" s="466">
        <v>46181</v>
      </c>
      <c r="B1340" s="474" t="s">
        <v>927</v>
      </c>
      <c r="C1340" s="474" t="s">
        <v>2557</v>
      </c>
      <c r="D1340" s="18" t="s">
        <v>59</v>
      </c>
      <c r="E1340" s="18" t="s">
        <v>6620</v>
      </c>
      <c r="F1340" s="18"/>
      <c r="G1340" s="63"/>
      <c r="H1340" s="399">
        <v>300</v>
      </c>
      <c r="I1340" s="353"/>
      <c r="J1340" s="350">
        <f t="shared" si="1007"/>
        <v>300</v>
      </c>
      <c r="K1340" s="18">
        <v>1</v>
      </c>
      <c r="L1340" s="350">
        <f t="shared" si="1008"/>
        <v>300</v>
      </c>
      <c r="M1340" s="356">
        <f t="shared" si="1009"/>
        <v>330</v>
      </c>
      <c r="N1340" s="258" t="s">
        <v>1516</v>
      </c>
      <c r="O1340" s="466"/>
      <c r="P1340" s="18" t="s">
        <v>5459</v>
      </c>
      <c r="Q1340" s="18" t="s">
        <v>5459</v>
      </c>
      <c r="R1340" s="18" t="s">
        <v>5449</v>
      </c>
    </row>
    <row r="1341" spans="1:27" ht="21.75" customHeight="1" x14ac:dyDescent="0.4">
      <c r="A1341" s="466">
        <v>46182</v>
      </c>
      <c r="B1341" s="474" t="s">
        <v>6519</v>
      </c>
      <c r="C1341" s="32" t="s">
        <v>2557</v>
      </c>
      <c r="D1341" s="18" t="s">
        <v>27</v>
      </c>
      <c r="E1341" s="242" t="s">
        <v>5237</v>
      </c>
      <c r="F1341" s="258"/>
      <c r="G1341" s="433" t="s">
        <v>6148</v>
      </c>
      <c r="H1341" s="399">
        <v>1800</v>
      </c>
      <c r="I1341" s="399"/>
      <c r="J1341" s="350">
        <f t="shared" si="1007"/>
        <v>1800</v>
      </c>
      <c r="K1341" s="18">
        <v>1</v>
      </c>
      <c r="L1341" s="350">
        <f t="shared" si="1008"/>
        <v>1800</v>
      </c>
      <c r="M1341" s="356">
        <f t="shared" si="1009"/>
        <v>1980</v>
      </c>
      <c r="N1341" s="18" t="s">
        <v>4233</v>
      </c>
      <c r="O1341" s="466"/>
      <c r="R1341" s="18" t="s">
        <v>4803</v>
      </c>
    </row>
    <row r="1342" spans="1:27" ht="21.75" customHeight="1" x14ac:dyDescent="0.4">
      <c r="A1342" s="466">
        <v>46183</v>
      </c>
      <c r="B1342" s="474" t="s">
        <v>6904</v>
      </c>
      <c r="C1342" s="32" t="s">
        <v>2557</v>
      </c>
      <c r="D1342" s="18" t="s">
        <v>27</v>
      </c>
      <c r="E1342" s="18" t="s">
        <v>28</v>
      </c>
      <c r="F1342" s="18"/>
      <c r="G1342" s="63" t="s">
        <v>73</v>
      </c>
      <c r="H1342" s="399">
        <v>2000</v>
      </c>
      <c r="I1342" s="353"/>
      <c r="J1342" s="350">
        <f t="shared" si="1007"/>
        <v>2000</v>
      </c>
      <c r="K1342" s="18">
        <v>3</v>
      </c>
      <c r="L1342" s="350">
        <f t="shared" si="1008"/>
        <v>6000</v>
      </c>
      <c r="M1342" s="356">
        <f t="shared" si="1009"/>
        <v>6600</v>
      </c>
      <c r="N1342" s="258" t="s">
        <v>1516</v>
      </c>
      <c r="O1342" s="456" t="s">
        <v>6688</v>
      </c>
      <c r="P1342" s="18" t="s">
        <v>5449</v>
      </c>
      <c r="Q1342" s="18" t="s">
        <v>5449</v>
      </c>
      <c r="R1342" s="18" t="s">
        <v>5449</v>
      </c>
    </row>
    <row r="1343" spans="1:27" ht="21.75" customHeight="1" x14ac:dyDescent="0.4">
      <c r="A1343" s="466">
        <v>46183</v>
      </c>
      <c r="B1343" s="474" t="s">
        <v>2057</v>
      </c>
      <c r="C1343" s="32" t="s">
        <v>2557</v>
      </c>
      <c r="D1343" s="18" t="s">
        <v>27</v>
      </c>
      <c r="E1343" s="18" t="s">
        <v>28</v>
      </c>
      <c r="F1343" s="18"/>
      <c r="G1343" s="63" t="s">
        <v>73</v>
      </c>
      <c r="H1343" s="406">
        <v>2000</v>
      </c>
      <c r="I1343" s="353"/>
      <c r="J1343" s="350">
        <f t="shared" ref="J1343:J1346" si="1011">SUM(H1343:I1343)</f>
        <v>2000</v>
      </c>
      <c r="K1343" s="18">
        <v>3</v>
      </c>
      <c r="L1343" s="350">
        <f t="shared" ref="L1343:L1346" si="1012">SUM(J1343*K1343)</f>
        <v>6000</v>
      </c>
      <c r="M1343" s="357">
        <f t="shared" ref="M1343:M1346" si="1013">ROUNDDOWN(L1343*1.1,0)</f>
        <v>6600</v>
      </c>
      <c r="N1343" s="258" t="s">
        <v>1516</v>
      </c>
      <c r="O1343" s="456" t="s">
        <v>6688</v>
      </c>
      <c r="P1343" s="18" t="s">
        <v>5459</v>
      </c>
      <c r="Q1343" s="18" t="s">
        <v>5449</v>
      </c>
      <c r="R1343" s="18" t="s">
        <v>5449</v>
      </c>
    </row>
    <row r="1344" spans="1:27" ht="21.75" customHeight="1" x14ac:dyDescent="0.4">
      <c r="A1344" s="466">
        <v>46183</v>
      </c>
      <c r="B1344" s="474" t="s">
        <v>6021</v>
      </c>
      <c r="C1344" s="32" t="s">
        <v>2557</v>
      </c>
      <c r="D1344" s="258" t="s">
        <v>22</v>
      </c>
      <c r="E1344" s="258" t="s">
        <v>5040</v>
      </c>
      <c r="F1344" s="258"/>
      <c r="G1344" s="433" t="s">
        <v>4869</v>
      </c>
      <c r="H1344" s="399">
        <v>2000</v>
      </c>
      <c r="I1344" s="353"/>
      <c r="J1344" s="350">
        <f t="shared" si="1011"/>
        <v>2000</v>
      </c>
      <c r="K1344" s="18">
        <v>2</v>
      </c>
      <c r="L1344" s="350">
        <f t="shared" si="1012"/>
        <v>4000</v>
      </c>
      <c r="M1344" s="356">
        <f t="shared" si="1013"/>
        <v>4400</v>
      </c>
      <c r="N1344" s="258" t="s">
        <v>1516</v>
      </c>
      <c r="O1344" s="466"/>
      <c r="P1344" s="18" t="s">
        <v>5449</v>
      </c>
      <c r="Q1344" s="18" t="s">
        <v>5449</v>
      </c>
      <c r="R1344" s="18" t="s">
        <v>5449</v>
      </c>
    </row>
    <row r="1345" spans="1:27" ht="21.75" customHeight="1" x14ac:dyDescent="0.4">
      <c r="A1345" s="466">
        <v>46183</v>
      </c>
      <c r="B1345" s="474" t="s">
        <v>3395</v>
      </c>
      <c r="C1345" s="32" t="s">
        <v>2557</v>
      </c>
      <c r="D1345" s="18" t="s">
        <v>17</v>
      </c>
      <c r="E1345" s="18" t="s">
        <v>576</v>
      </c>
      <c r="F1345" s="18" t="s">
        <v>3543</v>
      </c>
      <c r="G1345" s="63" t="s">
        <v>6903</v>
      </c>
      <c r="H1345" s="399">
        <v>27000</v>
      </c>
      <c r="I1345" s="353"/>
      <c r="J1345" s="350">
        <f t="shared" si="1011"/>
        <v>27000</v>
      </c>
      <c r="K1345" s="18">
        <v>1</v>
      </c>
      <c r="L1345" s="350">
        <f t="shared" si="1012"/>
        <v>27000</v>
      </c>
      <c r="M1345" s="356">
        <f t="shared" si="1013"/>
        <v>29700</v>
      </c>
      <c r="N1345" s="258" t="s">
        <v>1516</v>
      </c>
      <c r="O1345" s="466"/>
      <c r="P1345" s="18" t="s">
        <v>2595</v>
      </c>
      <c r="Q1345" s="18" t="s">
        <v>2595</v>
      </c>
      <c r="R1345" s="18" t="s">
        <v>5449</v>
      </c>
      <c r="W1345" s="354">
        <f t="shared" ref="W1345" si="1014">X1345/H1345</f>
        <v>0</v>
      </c>
      <c r="X1345" s="405"/>
      <c r="Y1345" s="355">
        <v>1</v>
      </c>
      <c r="Z1345" s="355">
        <f>X1345*Y1345</f>
        <v>0</v>
      </c>
      <c r="AA1345" s="355">
        <f>L1345-Z1345</f>
        <v>27000</v>
      </c>
    </row>
    <row r="1346" spans="1:27" ht="21.75" customHeight="1" x14ac:dyDescent="0.4">
      <c r="A1346" s="466">
        <v>46183</v>
      </c>
      <c r="B1346" s="336" t="s">
        <v>6908</v>
      </c>
      <c r="C1346" s="32" t="s">
        <v>405</v>
      </c>
      <c r="D1346" s="258" t="s">
        <v>22</v>
      </c>
      <c r="E1346" s="258" t="s">
        <v>5040</v>
      </c>
      <c r="F1346" s="18"/>
      <c r="G1346" s="63" t="s">
        <v>6907</v>
      </c>
      <c r="H1346" s="399">
        <v>5000</v>
      </c>
      <c r="I1346" s="353"/>
      <c r="J1346" s="350">
        <f t="shared" si="1011"/>
        <v>5000</v>
      </c>
      <c r="K1346" s="18">
        <v>1</v>
      </c>
      <c r="L1346" s="350">
        <f t="shared" si="1012"/>
        <v>5000</v>
      </c>
      <c r="M1346" s="356">
        <f t="shared" si="1013"/>
        <v>5500</v>
      </c>
      <c r="N1346" s="258" t="s">
        <v>20</v>
      </c>
      <c r="O1346" s="466"/>
      <c r="R1346" s="18" t="s">
        <v>4803</v>
      </c>
    </row>
    <row r="1347" spans="1:27" ht="21.75" customHeight="1" x14ac:dyDescent="0.4">
      <c r="A1347" s="466">
        <v>46183</v>
      </c>
      <c r="B1347" s="336" t="s">
        <v>162</v>
      </c>
      <c r="C1347" s="241" t="s">
        <v>2557</v>
      </c>
      <c r="D1347" s="18" t="s">
        <v>17</v>
      </c>
      <c r="E1347" s="18"/>
      <c r="F1347" s="18"/>
      <c r="G1347" s="63" t="s">
        <v>3483</v>
      </c>
      <c r="H1347" s="399">
        <v>2600</v>
      </c>
      <c r="I1347" s="353"/>
      <c r="J1347" s="350">
        <f t="shared" si="977"/>
        <v>2600</v>
      </c>
      <c r="K1347" s="18">
        <v>1</v>
      </c>
      <c r="L1347" s="350">
        <f t="shared" si="978"/>
        <v>2600</v>
      </c>
      <c r="M1347" s="373">
        <f t="shared" si="979"/>
        <v>2860</v>
      </c>
      <c r="N1347" s="258" t="s">
        <v>20</v>
      </c>
      <c r="O1347" s="483" t="s">
        <v>7010</v>
      </c>
      <c r="Q1347" s="18" t="s">
        <v>6909</v>
      </c>
      <c r="R1347" s="18" t="s">
        <v>4803</v>
      </c>
      <c r="W1347" s="354">
        <f t="shared" ref="W1347:W1348" si="1015">X1347/H1347</f>
        <v>0</v>
      </c>
      <c r="X1347" s="405"/>
      <c r="Y1347" s="355">
        <v>1</v>
      </c>
      <c r="Z1347" s="355">
        <f t="shared" ref="Z1347:Z1348" si="1016">X1347*Y1347</f>
        <v>0</v>
      </c>
      <c r="AA1347" s="355">
        <f t="shared" ref="AA1347:AA1348" si="1017">L1347-Z1347</f>
        <v>2600</v>
      </c>
    </row>
    <row r="1348" spans="1:27" ht="21.75" customHeight="1" x14ac:dyDescent="0.4">
      <c r="A1348" s="466">
        <v>46184</v>
      </c>
      <c r="B1348" s="474" t="s">
        <v>2878</v>
      </c>
      <c r="C1348" s="474" t="s">
        <v>4292</v>
      </c>
      <c r="D1348" s="18" t="s">
        <v>6910</v>
      </c>
      <c r="E1348" s="258" t="s">
        <v>332</v>
      </c>
      <c r="F1348" s="258" t="s">
        <v>3554</v>
      </c>
      <c r="G1348" s="433" t="s">
        <v>6223</v>
      </c>
      <c r="H1348" s="399">
        <v>938</v>
      </c>
      <c r="I1348" s="353"/>
      <c r="J1348" s="350">
        <f t="shared" si="977"/>
        <v>938</v>
      </c>
      <c r="K1348" s="18">
        <v>1</v>
      </c>
      <c r="L1348" s="350">
        <f t="shared" si="978"/>
        <v>938</v>
      </c>
      <c r="M1348" s="356">
        <f t="shared" si="979"/>
        <v>1031</v>
      </c>
      <c r="N1348" s="18" t="s">
        <v>25</v>
      </c>
      <c r="O1348" s="466"/>
      <c r="Q1348" s="18" t="s">
        <v>2596</v>
      </c>
      <c r="R1348" s="18" t="s">
        <v>4803</v>
      </c>
      <c r="S1348" s="472"/>
      <c r="W1348" s="354">
        <f t="shared" si="1015"/>
        <v>1</v>
      </c>
      <c r="X1348" s="355">
        <v>938</v>
      </c>
      <c r="Y1348" s="355">
        <v>1</v>
      </c>
      <c r="Z1348" s="355">
        <f t="shared" si="1016"/>
        <v>938</v>
      </c>
      <c r="AA1348" s="355">
        <f t="shared" si="1017"/>
        <v>0</v>
      </c>
    </row>
    <row r="1349" spans="1:27" ht="21.75" customHeight="1" x14ac:dyDescent="0.4">
      <c r="A1349" s="466">
        <v>46184</v>
      </c>
      <c r="B1349" s="474" t="s">
        <v>678</v>
      </c>
      <c r="C1349" s="474" t="s">
        <v>2557</v>
      </c>
      <c r="D1349" s="18" t="s">
        <v>59</v>
      </c>
      <c r="E1349" s="18" t="s">
        <v>4643</v>
      </c>
      <c r="F1349" s="18"/>
      <c r="G1349" s="63"/>
      <c r="H1349" s="399">
        <v>1000</v>
      </c>
      <c r="I1349" s="353"/>
      <c r="J1349" s="350">
        <f t="shared" si="977"/>
        <v>1000</v>
      </c>
      <c r="K1349" s="18">
        <v>2</v>
      </c>
      <c r="L1349" s="350">
        <f t="shared" si="978"/>
        <v>2000</v>
      </c>
      <c r="M1349" s="356">
        <f t="shared" si="979"/>
        <v>2200</v>
      </c>
      <c r="N1349" s="258" t="s">
        <v>20</v>
      </c>
      <c r="O1349" s="466"/>
      <c r="Q1349" s="18" t="s">
        <v>4803</v>
      </c>
      <c r="R1349" s="18" t="s">
        <v>4803</v>
      </c>
    </row>
    <row r="1350" spans="1:27" ht="21.75" customHeight="1" x14ac:dyDescent="0.4">
      <c r="A1350" s="466">
        <v>46184</v>
      </c>
      <c r="B1350" s="474" t="s">
        <v>6911</v>
      </c>
      <c r="C1350" s="474" t="s">
        <v>2557</v>
      </c>
      <c r="D1350" s="18" t="s">
        <v>17</v>
      </c>
      <c r="E1350" s="18" t="s">
        <v>332</v>
      </c>
      <c r="F1350" s="18" t="s">
        <v>6912</v>
      </c>
      <c r="G1350" s="63" t="s">
        <v>6913</v>
      </c>
      <c r="H1350" s="399">
        <v>2000</v>
      </c>
      <c r="I1350" s="353">
        <v>-200</v>
      </c>
      <c r="J1350" s="350">
        <f t="shared" si="977"/>
        <v>1800</v>
      </c>
      <c r="K1350" s="18">
        <v>1</v>
      </c>
      <c r="L1350" s="350">
        <f t="shared" si="978"/>
        <v>1800</v>
      </c>
      <c r="M1350" s="356">
        <f t="shared" si="979"/>
        <v>1980</v>
      </c>
      <c r="N1350" s="258" t="s">
        <v>1516</v>
      </c>
      <c r="O1350" s="466"/>
      <c r="Q1350" s="18" t="s">
        <v>4803</v>
      </c>
      <c r="R1350" s="18" t="s">
        <v>4803</v>
      </c>
      <c r="W1350" s="354">
        <f t="shared" ref="W1350" si="1018">X1350/H1350</f>
        <v>0.66</v>
      </c>
      <c r="X1350" s="355">
        <v>1320</v>
      </c>
      <c r="Y1350" s="355">
        <v>1</v>
      </c>
      <c r="Z1350" s="355">
        <f>X1350*Y1350</f>
        <v>1320</v>
      </c>
      <c r="AA1350" s="355">
        <f>L1350-Z1350</f>
        <v>480</v>
      </c>
    </row>
    <row r="1351" spans="1:27" ht="21.75" customHeight="1" x14ac:dyDescent="0.4">
      <c r="A1351" s="466">
        <v>46184</v>
      </c>
      <c r="B1351" s="474" t="s">
        <v>6911</v>
      </c>
      <c r="C1351" s="474" t="s">
        <v>2557</v>
      </c>
      <c r="D1351" s="18" t="s">
        <v>59</v>
      </c>
      <c r="E1351" s="18" t="s">
        <v>6620</v>
      </c>
      <c r="F1351" s="18"/>
      <c r="G1351" s="63"/>
      <c r="H1351" s="399">
        <v>300</v>
      </c>
      <c r="I1351" s="353"/>
      <c r="J1351" s="350">
        <f t="shared" si="977"/>
        <v>300</v>
      </c>
      <c r="K1351" s="18">
        <v>1</v>
      </c>
      <c r="L1351" s="350">
        <f t="shared" si="978"/>
        <v>300</v>
      </c>
      <c r="M1351" s="356">
        <f t="shared" si="979"/>
        <v>330</v>
      </c>
      <c r="N1351" s="258" t="s">
        <v>1516</v>
      </c>
      <c r="O1351" s="466"/>
      <c r="Q1351" s="18" t="s">
        <v>4803</v>
      </c>
      <c r="R1351" s="18" t="s">
        <v>4803</v>
      </c>
    </row>
    <row r="1352" spans="1:27" ht="21.75" customHeight="1" x14ac:dyDescent="0.4">
      <c r="A1352" s="466">
        <v>46184</v>
      </c>
      <c r="B1352" s="474" t="s">
        <v>6911</v>
      </c>
      <c r="C1352" s="474" t="s">
        <v>2557</v>
      </c>
      <c r="D1352" s="18" t="s">
        <v>17</v>
      </c>
      <c r="E1352" s="18" t="s">
        <v>426</v>
      </c>
      <c r="F1352" s="18" t="s">
        <v>994</v>
      </c>
      <c r="G1352" s="63" t="s">
        <v>6721</v>
      </c>
      <c r="H1352" s="399">
        <v>1800</v>
      </c>
      <c r="I1352" s="353">
        <v>-180</v>
      </c>
      <c r="J1352" s="350">
        <f t="shared" si="977"/>
        <v>1620</v>
      </c>
      <c r="K1352" s="18">
        <v>1</v>
      </c>
      <c r="L1352" s="350">
        <f t="shared" si="978"/>
        <v>1620</v>
      </c>
      <c r="M1352" s="356">
        <f t="shared" si="979"/>
        <v>1782</v>
      </c>
      <c r="N1352" s="258" t="s">
        <v>1516</v>
      </c>
      <c r="O1352" s="466"/>
      <c r="Q1352" s="18" t="s">
        <v>4803</v>
      </c>
      <c r="R1352" s="18" t="s">
        <v>4803</v>
      </c>
      <c r="S1352" s="472"/>
      <c r="W1352" s="354">
        <f t="shared" ref="W1352:W1354" si="1019">X1352/H1352</f>
        <v>0.6</v>
      </c>
      <c r="X1352" s="355">
        <v>1080</v>
      </c>
      <c r="Y1352" s="355">
        <v>1</v>
      </c>
      <c r="Z1352" s="355">
        <f t="shared" ref="Z1352:Z1354" si="1020">X1352*Y1352</f>
        <v>1080</v>
      </c>
      <c r="AA1352" s="355">
        <f t="shared" ref="AA1352:AA1354" si="1021">L1352-Z1352</f>
        <v>540</v>
      </c>
    </row>
    <row r="1353" spans="1:27" ht="21.75" customHeight="1" x14ac:dyDescent="0.4">
      <c r="A1353" s="466">
        <v>46184</v>
      </c>
      <c r="B1353" s="474" t="s">
        <v>6914</v>
      </c>
      <c r="C1353" s="474" t="s">
        <v>2557</v>
      </c>
      <c r="D1353" s="18" t="s">
        <v>17</v>
      </c>
      <c r="E1353" s="18" t="s">
        <v>426</v>
      </c>
      <c r="F1353" s="18" t="s">
        <v>994</v>
      </c>
      <c r="G1353" s="63" t="s">
        <v>6915</v>
      </c>
      <c r="H1353" s="399">
        <v>1800</v>
      </c>
      <c r="I1353" s="353">
        <v>-180</v>
      </c>
      <c r="J1353" s="350">
        <f t="shared" si="977"/>
        <v>1620</v>
      </c>
      <c r="K1353" s="18">
        <v>1</v>
      </c>
      <c r="L1353" s="350">
        <f t="shared" si="978"/>
        <v>1620</v>
      </c>
      <c r="M1353" s="356">
        <f t="shared" si="979"/>
        <v>1782</v>
      </c>
      <c r="N1353" s="258" t="s">
        <v>1516</v>
      </c>
      <c r="O1353" s="466"/>
      <c r="Q1353" s="18" t="s">
        <v>2594</v>
      </c>
      <c r="R1353" s="18" t="s">
        <v>2594</v>
      </c>
      <c r="W1353" s="354">
        <f t="shared" si="1019"/>
        <v>0.6</v>
      </c>
      <c r="X1353" s="355">
        <v>1080</v>
      </c>
      <c r="Y1353" s="355">
        <v>1</v>
      </c>
      <c r="Z1353" s="355">
        <f t="shared" si="1020"/>
        <v>1080</v>
      </c>
      <c r="AA1353" s="355">
        <f t="shared" si="1021"/>
        <v>540</v>
      </c>
    </row>
    <row r="1354" spans="1:27" ht="21.75" customHeight="1" x14ac:dyDescent="0.4">
      <c r="A1354" s="466">
        <v>46184</v>
      </c>
      <c r="B1354" s="474" t="s">
        <v>6914</v>
      </c>
      <c r="C1354" s="474" t="s">
        <v>2557</v>
      </c>
      <c r="D1354" s="18" t="s">
        <v>17</v>
      </c>
      <c r="E1354" s="18" t="s">
        <v>426</v>
      </c>
      <c r="F1354" s="18" t="s">
        <v>994</v>
      </c>
      <c r="G1354" s="63" t="s">
        <v>5333</v>
      </c>
      <c r="H1354" s="399">
        <v>1800</v>
      </c>
      <c r="I1354" s="353">
        <v>-180</v>
      </c>
      <c r="J1354" s="350">
        <f t="shared" si="977"/>
        <v>1620</v>
      </c>
      <c r="K1354" s="18">
        <v>1</v>
      </c>
      <c r="L1354" s="350">
        <f t="shared" si="978"/>
        <v>1620</v>
      </c>
      <c r="M1354" s="356">
        <f t="shared" si="979"/>
        <v>1782</v>
      </c>
      <c r="N1354" s="258" t="s">
        <v>1516</v>
      </c>
      <c r="O1354" s="466"/>
      <c r="Q1354" s="18" t="s">
        <v>2594</v>
      </c>
      <c r="R1354" s="18" t="s">
        <v>2594</v>
      </c>
      <c r="W1354" s="354">
        <f t="shared" si="1019"/>
        <v>0.6</v>
      </c>
      <c r="X1354" s="355">
        <v>1080</v>
      </c>
      <c r="Y1354" s="355">
        <v>1</v>
      </c>
      <c r="Z1354" s="355">
        <f t="shared" si="1020"/>
        <v>1080</v>
      </c>
      <c r="AA1354" s="355">
        <f t="shared" si="1021"/>
        <v>540</v>
      </c>
    </row>
    <row r="1355" spans="1:27" ht="21.75" customHeight="1" x14ac:dyDescent="0.4">
      <c r="A1355" s="466">
        <v>46184</v>
      </c>
      <c r="B1355" s="474" t="s">
        <v>6916</v>
      </c>
      <c r="C1355" s="474" t="s">
        <v>405</v>
      </c>
      <c r="D1355" s="18" t="s">
        <v>22</v>
      </c>
      <c r="E1355" s="18" t="s">
        <v>1496</v>
      </c>
      <c r="F1355" s="18"/>
      <c r="G1355" s="63" t="s">
        <v>2422</v>
      </c>
      <c r="H1355" s="399">
        <v>2000</v>
      </c>
      <c r="I1355" s="353"/>
      <c r="J1355" s="350">
        <f t="shared" si="977"/>
        <v>2000</v>
      </c>
      <c r="K1355" s="18">
        <v>1</v>
      </c>
      <c r="L1355" s="350">
        <f t="shared" si="978"/>
        <v>2000</v>
      </c>
      <c r="M1355" s="356">
        <f t="shared" si="979"/>
        <v>2200</v>
      </c>
      <c r="N1355" s="258" t="s">
        <v>20</v>
      </c>
      <c r="O1355" s="466"/>
      <c r="P1355" s="18" t="s">
        <v>6917</v>
      </c>
      <c r="Q1355" s="18" t="s">
        <v>2596</v>
      </c>
      <c r="R1355" s="18" t="s">
        <v>6917</v>
      </c>
      <c r="S1355" s="471"/>
    </row>
    <row r="1356" spans="1:27" ht="21.75" customHeight="1" x14ac:dyDescent="0.4">
      <c r="A1356" s="466">
        <v>46184</v>
      </c>
      <c r="B1356" s="474" t="s">
        <v>6918</v>
      </c>
      <c r="C1356" s="474" t="s">
        <v>405</v>
      </c>
      <c r="D1356" s="18" t="s">
        <v>22</v>
      </c>
      <c r="E1356" s="18" t="s">
        <v>1496</v>
      </c>
      <c r="F1356" s="18"/>
      <c r="G1356" s="63" t="s">
        <v>2422</v>
      </c>
      <c r="H1356" s="399">
        <v>2000</v>
      </c>
      <c r="I1356" s="353"/>
      <c r="J1356" s="350">
        <f t="shared" ref="J1356" si="1022">SUM(H1356:I1356)</f>
        <v>2000</v>
      </c>
      <c r="K1356" s="18">
        <v>1</v>
      </c>
      <c r="L1356" s="350">
        <f t="shared" ref="L1356" si="1023">SUM(J1356*K1356)</f>
        <v>2000</v>
      </c>
      <c r="M1356" s="356">
        <f t="shared" ref="M1356" si="1024">ROUNDDOWN(L1356*1.1,0)</f>
        <v>2200</v>
      </c>
      <c r="N1356" s="258" t="s">
        <v>20</v>
      </c>
      <c r="O1356" s="466"/>
      <c r="P1356" s="18" t="s">
        <v>6917</v>
      </c>
      <c r="Q1356" s="18" t="s">
        <v>2596</v>
      </c>
      <c r="R1356" s="18" t="s">
        <v>6917</v>
      </c>
      <c r="S1356" s="472"/>
    </row>
    <row r="1357" spans="1:27" ht="21.75" customHeight="1" x14ac:dyDescent="0.4">
      <c r="A1357" s="466">
        <v>46185</v>
      </c>
      <c r="B1357" s="474" t="s">
        <v>6919</v>
      </c>
      <c r="C1357" s="474" t="s">
        <v>2557</v>
      </c>
      <c r="D1357" s="18" t="s">
        <v>17</v>
      </c>
      <c r="E1357" s="18" t="s">
        <v>332</v>
      </c>
      <c r="F1357" s="18" t="s">
        <v>3554</v>
      </c>
      <c r="G1357" s="63" t="s">
        <v>6920</v>
      </c>
      <c r="H1357" s="399">
        <v>2700</v>
      </c>
      <c r="I1357" s="353">
        <v>-270</v>
      </c>
      <c r="J1357" s="350">
        <f t="shared" si="977"/>
        <v>2430</v>
      </c>
      <c r="K1357" s="18">
        <v>3</v>
      </c>
      <c r="L1357" s="350">
        <f t="shared" si="978"/>
        <v>7290</v>
      </c>
      <c r="M1357" s="356">
        <f t="shared" si="979"/>
        <v>8019</v>
      </c>
      <c r="N1357" s="258" t="s">
        <v>20</v>
      </c>
      <c r="O1357" s="456" t="s">
        <v>6922</v>
      </c>
      <c r="Q1357" s="18" t="s">
        <v>4803</v>
      </c>
      <c r="R1357" s="18" t="s">
        <v>4803</v>
      </c>
      <c r="W1357" s="354">
        <f t="shared" ref="W1357" si="1025">X1357/H1357</f>
        <v>0.62518518518518518</v>
      </c>
      <c r="X1357" s="355">
        <v>1688</v>
      </c>
      <c r="Y1357" s="355">
        <v>3</v>
      </c>
      <c r="Z1357" s="355">
        <f>X1357*Y1357</f>
        <v>5064</v>
      </c>
      <c r="AA1357" s="355">
        <f>L1357-Z1357</f>
        <v>2226</v>
      </c>
    </row>
    <row r="1358" spans="1:27" ht="21.75" customHeight="1" x14ac:dyDescent="0.4">
      <c r="A1358" s="466">
        <v>46185</v>
      </c>
      <c r="B1358" s="474" t="s">
        <v>6919</v>
      </c>
      <c r="C1358" s="474" t="s">
        <v>2557</v>
      </c>
      <c r="D1358" s="18" t="s">
        <v>59</v>
      </c>
      <c r="E1358" s="18" t="s">
        <v>6620</v>
      </c>
      <c r="F1358" s="18"/>
      <c r="G1358" s="63"/>
      <c r="H1358" s="399">
        <v>300</v>
      </c>
      <c r="I1358" s="353"/>
      <c r="J1358" s="350">
        <f t="shared" si="977"/>
        <v>300</v>
      </c>
      <c r="K1358" s="18">
        <v>3</v>
      </c>
      <c r="L1358" s="350">
        <f t="shared" si="978"/>
        <v>900</v>
      </c>
      <c r="M1358" s="356">
        <f t="shared" si="979"/>
        <v>990</v>
      </c>
      <c r="N1358" s="258" t="s">
        <v>20</v>
      </c>
      <c r="O1358" s="481" t="s">
        <v>6921</v>
      </c>
      <c r="Q1358" s="18" t="s">
        <v>4803</v>
      </c>
      <c r="R1358" s="18" t="s">
        <v>4803</v>
      </c>
      <c r="S1358" s="472"/>
    </row>
    <row r="1359" spans="1:27" ht="21.75" customHeight="1" x14ac:dyDescent="0.4">
      <c r="A1359" s="466">
        <v>46185</v>
      </c>
      <c r="B1359" s="474" t="s">
        <v>6923</v>
      </c>
      <c r="C1359" s="474" t="s">
        <v>405</v>
      </c>
      <c r="D1359" s="18" t="s">
        <v>6924</v>
      </c>
      <c r="E1359" s="18" t="s">
        <v>6925</v>
      </c>
      <c r="F1359" s="18" t="s">
        <v>6927</v>
      </c>
      <c r="G1359" s="63" t="s">
        <v>6928</v>
      </c>
      <c r="H1359" s="399">
        <v>23000</v>
      </c>
      <c r="I1359" s="353">
        <v>-4600</v>
      </c>
      <c r="J1359" s="350">
        <f t="shared" si="977"/>
        <v>18400</v>
      </c>
      <c r="K1359" s="18">
        <v>3</v>
      </c>
      <c r="L1359" s="350">
        <f t="shared" si="978"/>
        <v>55200</v>
      </c>
      <c r="M1359" s="356">
        <f t="shared" si="979"/>
        <v>60720</v>
      </c>
      <c r="N1359" s="258" t="s">
        <v>1121</v>
      </c>
      <c r="O1359" s="466"/>
      <c r="P1359" s="18" t="s">
        <v>6930</v>
      </c>
      <c r="Q1359" s="18" t="s">
        <v>6930</v>
      </c>
      <c r="R1359" s="18" t="s">
        <v>6930</v>
      </c>
      <c r="W1359" s="354">
        <f t="shared" ref="W1359:W1361" si="1026">X1359/H1359</f>
        <v>0.45</v>
      </c>
      <c r="X1359" s="355">
        <v>10350</v>
      </c>
      <c r="Y1359" s="355">
        <v>3</v>
      </c>
      <c r="Z1359" s="355">
        <f>X1359*Y1359</f>
        <v>31050</v>
      </c>
      <c r="AA1359" s="355">
        <f>L1359-Z1359</f>
        <v>24150</v>
      </c>
    </row>
    <row r="1360" spans="1:27" ht="21.75" customHeight="1" x14ac:dyDescent="0.4">
      <c r="A1360" s="466">
        <v>46185</v>
      </c>
      <c r="B1360" s="474" t="s">
        <v>6923</v>
      </c>
      <c r="C1360" s="474" t="s">
        <v>405</v>
      </c>
      <c r="D1360" s="18" t="s">
        <v>6924</v>
      </c>
      <c r="E1360" s="18" t="s">
        <v>6925</v>
      </c>
      <c r="F1360" s="18" t="s">
        <v>6927</v>
      </c>
      <c r="G1360" s="63" t="s">
        <v>6929</v>
      </c>
      <c r="H1360" s="399">
        <v>17000</v>
      </c>
      <c r="I1360" s="353">
        <v>-3400</v>
      </c>
      <c r="J1360" s="350">
        <f t="shared" si="977"/>
        <v>13600</v>
      </c>
      <c r="K1360" s="18">
        <v>1</v>
      </c>
      <c r="L1360" s="350">
        <f t="shared" si="978"/>
        <v>13600</v>
      </c>
      <c r="M1360" s="356">
        <f t="shared" si="979"/>
        <v>14960</v>
      </c>
      <c r="N1360" s="258" t="s">
        <v>1121</v>
      </c>
      <c r="O1360" s="466"/>
      <c r="P1360" s="18" t="s">
        <v>6930</v>
      </c>
      <c r="Q1360" s="18" t="s">
        <v>6930</v>
      </c>
      <c r="R1360" s="18" t="s">
        <v>6930</v>
      </c>
      <c r="W1360" s="354">
        <f t="shared" si="1026"/>
        <v>0.45</v>
      </c>
      <c r="X1360" s="355">
        <v>7650</v>
      </c>
      <c r="Y1360" s="355">
        <v>1</v>
      </c>
      <c r="Z1360" s="355">
        <f t="shared" ref="Z1360:Z1361" si="1027">X1360*Y1360</f>
        <v>7650</v>
      </c>
      <c r="AA1360" s="355">
        <f t="shared" ref="AA1360:AA1361" si="1028">L1360-Z1360</f>
        <v>5950</v>
      </c>
    </row>
    <row r="1361" spans="1:27" ht="21.75" customHeight="1" x14ac:dyDescent="0.4">
      <c r="A1361" s="466">
        <v>46185</v>
      </c>
      <c r="B1361" s="474" t="s">
        <v>6923</v>
      </c>
      <c r="C1361" s="474" t="s">
        <v>405</v>
      </c>
      <c r="D1361" s="18" t="s">
        <v>6924</v>
      </c>
      <c r="E1361" s="18" t="s">
        <v>6926</v>
      </c>
      <c r="F1361" s="18" t="s">
        <v>3554</v>
      </c>
      <c r="G1361" s="63" t="s">
        <v>6938</v>
      </c>
      <c r="H1361" s="399">
        <v>1500</v>
      </c>
      <c r="I1361" s="353"/>
      <c r="J1361" s="350">
        <f t="shared" si="977"/>
        <v>1500</v>
      </c>
      <c r="K1361" s="18">
        <v>4</v>
      </c>
      <c r="L1361" s="350">
        <f t="shared" si="978"/>
        <v>6000</v>
      </c>
      <c r="M1361" s="356">
        <f t="shared" si="979"/>
        <v>6600</v>
      </c>
      <c r="N1361" s="258" t="s">
        <v>1121</v>
      </c>
      <c r="O1361" s="466"/>
      <c r="P1361" s="18" t="s">
        <v>6930</v>
      </c>
      <c r="Q1361" s="18" t="s">
        <v>6930</v>
      </c>
      <c r="R1361" s="18" t="s">
        <v>6930</v>
      </c>
      <c r="W1361" s="354">
        <f t="shared" si="1026"/>
        <v>0.6253333333333333</v>
      </c>
      <c r="X1361" s="355">
        <v>938</v>
      </c>
      <c r="Y1361" s="355">
        <v>4</v>
      </c>
      <c r="Z1361" s="355">
        <f t="shared" si="1027"/>
        <v>3752</v>
      </c>
      <c r="AA1361" s="355">
        <f t="shared" si="1028"/>
        <v>2248</v>
      </c>
    </row>
    <row r="1362" spans="1:27" ht="21.75" customHeight="1" x14ac:dyDescent="0.4">
      <c r="A1362" s="466">
        <v>46185</v>
      </c>
      <c r="B1362" s="474" t="s">
        <v>6939</v>
      </c>
      <c r="C1362" s="474" t="s">
        <v>2557</v>
      </c>
      <c r="D1362" s="18" t="s">
        <v>59</v>
      </c>
      <c r="E1362" s="18" t="s">
        <v>585</v>
      </c>
      <c r="F1362" s="18"/>
      <c r="G1362" s="63"/>
      <c r="H1362" s="399">
        <v>500</v>
      </c>
      <c r="I1362" s="353"/>
      <c r="J1362" s="350">
        <f t="shared" si="977"/>
        <v>500</v>
      </c>
      <c r="K1362" s="18">
        <v>1</v>
      </c>
      <c r="L1362" s="350">
        <f t="shared" si="978"/>
        <v>500</v>
      </c>
      <c r="M1362" s="356">
        <f t="shared" si="979"/>
        <v>550</v>
      </c>
      <c r="N1362" s="258" t="s">
        <v>20</v>
      </c>
      <c r="O1362" s="482"/>
      <c r="R1362" s="18" t="s">
        <v>4803</v>
      </c>
    </row>
    <row r="1363" spans="1:27" ht="21.75" customHeight="1" x14ac:dyDescent="0.4">
      <c r="A1363" s="466">
        <v>46185</v>
      </c>
      <c r="B1363" s="474" t="s">
        <v>6939</v>
      </c>
      <c r="C1363" s="474" t="s">
        <v>2557</v>
      </c>
      <c r="D1363" s="18" t="s">
        <v>59</v>
      </c>
      <c r="E1363" s="18" t="s">
        <v>4643</v>
      </c>
      <c r="F1363" s="18"/>
      <c r="G1363" s="63"/>
      <c r="H1363" s="399">
        <v>500</v>
      </c>
      <c r="I1363" s="353"/>
      <c r="J1363" s="350">
        <f t="shared" si="977"/>
        <v>500</v>
      </c>
      <c r="K1363" s="18">
        <v>2</v>
      </c>
      <c r="L1363" s="350">
        <f t="shared" si="978"/>
        <v>1000</v>
      </c>
      <c r="M1363" s="356">
        <f t="shared" si="979"/>
        <v>1100</v>
      </c>
      <c r="N1363" s="258" t="s">
        <v>20</v>
      </c>
      <c r="O1363" s="482"/>
      <c r="R1363" s="18" t="s">
        <v>4803</v>
      </c>
    </row>
    <row r="1364" spans="1:27" ht="21.75" customHeight="1" x14ac:dyDescent="0.4">
      <c r="A1364" s="466">
        <v>46185</v>
      </c>
      <c r="B1364" s="474" t="s">
        <v>6931</v>
      </c>
      <c r="C1364" s="474" t="s">
        <v>6932</v>
      </c>
      <c r="D1364" s="18" t="s">
        <v>6933</v>
      </c>
      <c r="E1364" s="18" t="s">
        <v>4409</v>
      </c>
      <c r="F1364" s="258"/>
      <c r="G1364" s="63" t="s">
        <v>4582</v>
      </c>
      <c r="H1364" s="399">
        <v>3750</v>
      </c>
      <c r="I1364" s="399"/>
      <c r="J1364" s="350">
        <f t="shared" si="977"/>
        <v>3750</v>
      </c>
      <c r="K1364" s="18">
        <v>1</v>
      </c>
      <c r="L1364" s="350">
        <f t="shared" si="978"/>
        <v>3750</v>
      </c>
      <c r="M1364" s="356">
        <f t="shared" si="979"/>
        <v>4125</v>
      </c>
      <c r="N1364" s="258" t="s">
        <v>1516</v>
      </c>
      <c r="O1364" s="454" t="s">
        <v>4800</v>
      </c>
      <c r="P1364" s="18" t="s">
        <v>6930</v>
      </c>
      <c r="Q1364" s="18" t="s">
        <v>6930</v>
      </c>
      <c r="R1364" s="18" t="s">
        <v>6930</v>
      </c>
    </row>
    <row r="1365" spans="1:27" ht="21.75" customHeight="1" x14ac:dyDescent="0.4">
      <c r="A1365" s="466">
        <v>46186</v>
      </c>
      <c r="B1365" s="474" t="s">
        <v>698</v>
      </c>
      <c r="C1365" s="474" t="s">
        <v>4292</v>
      </c>
      <c r="D1365" s="18" t="s">
        <v>17</v>
      </c>
      <c r="E1365" s="18" t="s">
        <v>328</v>
      </c>
      <c r="F1365" s="18" t="s">
        <v>3960</v>
      </c>
      <c r="G1365" s="63" t="s">
        <v>6934</v>
      </c>
      <c r="H1365" s="399">
        <v>18060</v>
      </c>
      <c r="I1365" s="353"/>
      <c r="J1365" s="350">
        <f t="shared" ref="J1365:J1378" si="1029">SUM(H1365:I1365)</f>
        <v>18060</v>
      </c>
      <c r="K1365" s="18">
        <v>1</v>
      </c>
      <c r="L1365" s="350">
        <f t="shared" ref="L1365:L1378" si="1030">SUM(J1365*K1365)</f>
        <v>18060</v>
      </c>
      <c r="M1365" s="356">
        <f t="shared" ref="M1365:M1378" si="1031">ROUNDDOWN(L1365*1.1,0)</f>
        <v>19866</v>
      </c>
      <c r="N1365" s="258" t="s">
        <v>1516</v>
      </c>
      <c r="O1365" s="466"/>
      <c r="P1365" s="18" t="s">
        <v>2594</v>
      </c>
      <c r="Q1365" s="18" t="s">
        <v>2594</v>
      </c>
      <c r="R1365" s="18" t="s">
        <v>2594</v>
      </c>
      <c r="W1365" s="354">
        <f t="shared" ref="W1365" si="1032">X1365/H1365</f>
        <v>1</v>
      </c>
      <c r="X1365" s="355">
        <v>18060</v>
      </c>
      <c r="Y1365" s="355">
        <v>1</v>
      </c>
      <c r="Z1365" s="355">
        <f>X1365*Y1365</f>
        <v>18060</v>
      </c>
      <c r="AA1365" s="355">
        <f>L1365-Z1365</f>
        <v>0</v>
      </c>
    </row>
    <row r="1366" spans="1:27" ht="21.75" customHeight="1" x14ac:dyDescent="0.4">
      <c r="A1366" s="466">
        <v>46186</v>
      </c>
      <c r="B1366" s="474" t="s">
        <v>5023</v>
      </c>
      <c r="C1366" s="32" t="s">
        <v>2557</v>
      </c>
      <c r="D1366" s="258" t="s">
        <v>22</v>
      </c>
      <c r="E1366" s="258" t="s">
        <v>5040</v>
      </c>
      <c r="F1366" s="258"/>
      <c r="G1366" s="433" t="s">
        <v>4869</v>
      </c>
      <c r="H1366" s="399">
        <v>2000</v>
      </c>
      <c r="I1366" s="353"/>
      <c r="J1366" s="350">
        <f t="shared" si="1029"/>
        <v>2000</v>
      </c>
      <c r="K1366" s="18">
        <v>1</v>
      </c>
      <c r="L1366" s="350">
        <f t="shared" si="1030"/>
        <v>2000</v>
      </c>
      <c r="M1366" s="356">
        <f t="shared" si="1031"/>
        <v>2200</v>
      </c>
      <c r="N1366" s="258" t="s">
        <v>6935</v>
      </c>
      <c r="O1366" s="466"/>
      <c r="P1366" s="18" t="s">
        <v>5449</v>
      </c>
      <c r="Q1366" s="18" t="s">
        <v>5449</v>
      </c>
      <c r="R1366" s="18" t="s">
        <v>5449</v>
      </c>
    </row>
    <row r="1367" spans="1:27" ht="21.75" customHeight="1" x14ac:dyDescent="0.4">
      <c r="A1367" s="466">
        <v>46186</v>
      </c>
      <c r="B1367" s="474" t="s">
        <v>5023</v>
      </c>
      <c r="C1367" s="32" t="s">
        <v>2557</v>
      </c>
      <c r="D1367" s="18" t="s">
        <v>6936</v>
      </c>
      <c r="E1367" s="18" t="s">
        <v>426</v>
      </c>
      <c r="F1367" s="18" t="s">
        <v>994</v>
      </c>
      <c r="G1367" s="63" t="s">
        <v>5334</v>
      </c>
      <c r="H1367" s="399">
        <v>1800</v>
      </c>
      <c r="I1367" s="353">
        <v>-180</v>
      </c>
      <c r="J1367" s="350">
        <f t="shared" si="1029"/>
        <v>1620</v>
      </c>
      <c r="K1367" s="18">
        <v>1</v>
      </c>
      <c r="L1367" s="350">
        <f t="shared" si="1030"/>
        <v>1620</v>
      </c>
      <c r="M1367" s="356">
        <f t="shared" si="1031"/>
        <v>1782</v>
      </c>
      <c r="N1367" s="258" t="s">
        <v>6935</v>
      </c>
      <c r="O1367" s="466"/>
      <c r="P1367" s="18" t="s">
        <v>5449</v>
      </c>
      <c r="Q1367" s="18" t="s">
        <v>5449</v>
      </c>
      <c r="R1367" s="18" t="s">
        <v>5449</v>
      </c>
      <c r="S1367" s="472"/>
      <c r="W1367" s="354">
        <f t="shared" ref="W1367" si="1033">X1367/H1367</f>
        <v>0.6</v>
      </c>
      <c r="X1367" s="355">
        <v>1080</v>
      </c>
      <c r="Y1367" s="355">
        <v>1</v>
      </c>
      <c r="Z1367" s="355">
        <f>X1367*Y1367</f>
        <v>1080</v>
      </c>
      <c r="AA1367" s="355">
        <f>L1367-Z1367</f>
        <v>540</v>
      </c>
    </row>
    <row r="1368" spans="1:27" ht="21.75" customHeight="1" x14ac:dyDescent="0.4">
      <c r="A1368" s="466">
        <v>46187</v>
      </c>
      <c r="B1368" s="325" t="s">
        <v>6519</v>
      </c>
      <c r="C1368" s="32" t="s">
        <v>2557</v>
      </c>
      <c r="D1368" s="18" t="s">
        <v>27</v>
      </c>
      <c r="E1368" s="242" t="s">
        <v>5237</v>
      </c>
      <c r="F1368" s="242"/>
      <c r="G1368" s="63" t="s">
        <v>6032</v>
      </c>
      <c r="H1368" s="399">
        <v>2500</v>
      </c>
      <c r="I1368" s="399"/>
      <c r="J1368" s="350">
        <f t="shared" si="1029"/>
        <v>2500</v>
      </c>
      <c r="K1368" s="18">
        <v>1</v>
      </c>
      <c r="L1368" s="350">
        <f t="shared" si="1030"/>
        <v>2500</v>
      </c>
      <c r="M1368" s="356">
        <f t="shared" si="1031"/>
        <v>2750</v>
      </c>
      <c r="N1368" s="18" t="s">
        <v>4233</v>
      </c>
      <c r="O1368" s="456"/>
      <c r="R1368" s="18" t="s">
        <v>4803</v>
      </c>
      <c r="S1368" s="472"/>
    </row>
    <row r="1369" spans="1:27" ht="21.75" customHeight="1" x14ac:dyDescent="0.4">
      <c r="A1369" s="466">
        <v>46188</v>
      </c>
      <c r="B1369" s="474" t="s">
        <v>6940</v>
      </c>
      <c r="C1369" s="474" t="s">
        <v>6941</v>
      </c>
      <c r="D1369" s="18" t="s">
        <v>6942</v>
      </c>
      <c r="E1369" s="18" t="s">
        <v>6943</v>
      </c>
      <c r="F1369" s="18" t="s">
        <v>3555</v>
      </c>
      <c r="G1369" s="63" t="s">
        <v>6127</v>
      </c>
      <c r="H1369" s="406">
        <v>2000</v>
      </c>
      <c r="I1369" s="353">
        <v>-200</v>
      </c>
      <c r="J1369" s="350">
        <f t="shared" si="1029"/>
        <v>1800</v>
      </c>
      <c r="K1369" s="18">
        <v>5</v>
      </c>
      <c r="L1369" s="350">
        <f t="shared" si="1030"/>
        <v>9000</v>
      </c>
      <c r="M1369" s="356">
        <f t="shared" si="1031"/>
        <v>9900</v>
      </c>
      <c r="N1369" s="258" t="s">
        <v>1121</v>
      </c>
      <c r="O1369" s="456" t="s">
        <v>6949</v>
      </c>
      <c r="P1369" s="18" t="s">
        <v>6950</v>
      </c>
      <c r="Q1369" s="18" t="s">
        <v>6950</v>
      </c>
      <c r="R1369" s="18" t="s">
        <v>5449</v>
      </c>
      <c r="W1369" s="354">
        <f t="shared" ref="W1369:W1374" si="1034">X1369/H1369</f>
        <v>0.63800000000000001</v>
      </c>
      <c r="X1369" s="355">
        <v>1276</v>
      </c>
      <c r="Y1369" s="355">
        <v>5</v>
      </c>
      <c r="Z1369" s="355">
        <f t="shared" ref="Z1369:Z1374" si="1035">X1369*Y1369</f>
        <v>6380</v>
      </c>
      <c r="AA1369" s="355">
        <f t="shared" ref="AA1369:AA1374" si="1036">L1369-Z1369</f>
        <v>2620</v>
      </c>
    </row>
    <row r="1370" spans="1:27" ht="21.75" customHeight="1" x14ac:dyDescent="0.4">
      <c r="A1370" s="466">
        <v>46188</v>
      </c>
      <c r="B1370" s="474" t="s">
        <v>6940</v>
      </c>
      <c r="C1370" s="474" t="s">
        <v>6941</v>
      </c>
      <c r="D1370" s="18" t="s">
        <v>6942</v>
      </c>
      <c r="E1370" s="18" t="s">
        <v>6943</v>
      </c>
      <c r="F1370" s="18" t="s">
        <v>3555</v>
      </c>
      <c r="G1370" s="63" t="s">
        <v>6944</v>
      </c>
      <c r="H1370" s="406">
        <v>2000</v>
      </c>
      <c r="I1370" s="353">
        <v>-200</v>
      </c>
      <c r="J1370" s="350">
        <f t="shared" si="1029"/>
        <v>1800</v>
      </c>
      <c r="K1370" s="18">
        <v>5</v>
      </c>
      <c r="L1370" s="350">
        <f t="shared" si="1030"/>
        <v>9000</v>
      </c>
      <c r="M1370" s="356">
        <f t="shared" si="1031"/>
        <v>9900</v>
      </c>
      <c r="N1370" s="258" t="s">
        <v>1121</v>
      </c>
      <c r="O1370" s="466"/>
      <c r="P1370" s="18" t="s">
        <v>6950</v>
      </c>
      <c r="Q1370" s="18" t="s">
        <v>6950</v>
      </c>
      <c r="R1370" s="18" t="s">
        <v>5449</v>
      </c>
      <c r="W1370" s="354">
        <f t="shared" si="1034"/>
        <v>0.63800000000000001</v>
      </c>
      <c r="X1370" s="355">
        <v>1276</v>
      </c>
      <c r="Y1370" s="355">
        <v>5</v>
      </c>
      <c r="Z1370" s="355">
        <f t="shared" si="1035"/>
        <v>6380</v>
      </c>
      <c r="AA1370" s="355">
        <f t="shared" si="1036"/>
        <v>2620</v>
      </c>
    </row>
    <row r="1371" spans="1:27" ht="21.75" customHeight="1" x14ac:dyDescent="0.4">
      <c r="A1371" s="466">
        <v>46188</v>
      </c>
      <c r="B1371" s="474" t="s">
        <v>6940</v>
      </c>
      <c r="C1371" s="474" t="s">
        <v>6941</v>
      </c>
      <c r="D1371" s="18" t="s">
        <v>6942</v>
      </c>
      <c r="E1371" s="18" t="s">
        <v>6943</v>
      </c>
      <c r="F1371" s="18" t="s">
        <v>3555</v>
      </c>
      <c r="G1371" s="63" t="s">
        <v>6945</v>
      </c>
      <c r="H1371" s="406">
        <v>2000</v>
      </c>
      <c r="I1371" s="353">
        <v>-200</v>
      </c>
      <c r="J1371" s="350">
        <f t="shared" si="1029"/>
        <v>1800</v>
      </c>
      <c r="K1371" s="18">
        <v>1</v>
      </c>
      <c r="L1371" s="350">
        <f t="shared" si="1030"/>
        <v>1800</v>
      </c>
      <c r="M1371" s="356">
        <f t="shared" si="1031"/>
        <v>1980</v>
      </c>
      <c r="N1371" s="258" t="s">
        <v>1121</v>
      </c>
      <c r="O1371" s="466"/>
      <c r="P1371" s="18" t="s">
        <v>6950</v>
      </c>
      <c r="Q1371" s="18" t="s">
        <v>6950</v>
      </c>
      <c r="R1371" s="18" t="s">
        <v>5449</v>
      </c>
      <c r="W1371" s="354">
        <f t="shared" si="1034"/>
        <v>0.63800000000000001</v>
      </c>
      <c r="X1371" s="355">
        <v>1276</v>
      </c>
      <c r="Y1371" s="355">
        <v>1</v>
      </c>
      <c r="Z1371" s="355">
        <f t="shared" si="1035"/>
        <v>1276</v>
      </c>
      <c r="AA1371" s="355">
        <f t="shared" si="1036"/>
        <v>524</v>
      </c>
    </row>
    <row r="1372" spans="1:27" ht="21.75" customHeight="1" x14ac:dyDescent="0.4">
      <c r="A1372" s="466">
        <v>46188</v>
      </c>
      <c r="B1372" s="474" t="s">
        <v>6940</v>
      </c>
      <c r="C1372" s="474" t="s">
        <v>6941</v>
      </c>
      <c r="D1372" s="18" t="s">
        <v>6942</v>
      </c>
      <c r="E1372" s="18" t="s">
        <v>6943</v>
      </c>
      <c r="F1372" s="18" t="s">
        <v>3555</v>
      </c>
      <c r="G1372" s="63" t="s">
        <v>6966</v>
      </c>
      <c r="H1372" s="406">
        <v>2000</v>
      </c>
      <c r="I1372" s="353">
        <v>-200</v>
      </c>
      <c r="J1372" s="350">
        <f t="shared" si="1029"/>
        <v>1800</v>
      </c>
      <c r="K1372" s="18">
        <v>1</v>
      </c>
      <c r="L1372" s="350">
        <f t="shared" si="1030"/>
        <v>1800</v>
      </c>
      <c r="M1372" s="356">
        <f t="shared" si="1031"/>
        <v>1980</v>
      </c>
      <c r="N1372" s="258" t="s">
        <v>1121</v>
      </c>
      <c r="O1372" s="466"/>
      <c r="P1372" s="18" t="s">
        <v>6950</v>
      </c>
      <c r="Q1372" s="18" t="s">
        <v>6950</v>
      </c>
      <c r="R1372" s="18" t="s">
        <v>5449</v>
      </c>
      <c r="W1372" s="354">
        <f t="shared" si="1034"/>
        <v>0.63800000000000001</v>
      </c>
      <c r="X1372" s="355">
        <v>1276</v>
      </c>
      <c r="Y1372" s="355">
        <v>1</v>
      </c>
      <c r="Z1372" s="355">
        <f t="shared" si="1035"/>
        <v>1276</v>
      </c>
      <c r="AA1372" s="355">
        <f t="shared" si="1036"/>
        <v>524</v>
      </c>
    </row>
    <row r="1373" spans="1:27" ht="21.75" customHeight="1" x14ac:dyDescent="0.4">
      <c r="A1373" s="466">
        <v>46188</v>
      </c>
      <c r="B1373" s="474" t="s">
        <v>6940</v>
      </c>
      <c r="C1373" s="474" t="s">
        <v>6941</v>
      </c>
      <c r="D1373" s="18" t="s">
        <v>6942</v>
      </c>
      <c r="E1373" s="18" t="s">
        <v>6947</v>
      </c>
      <c r="F1373" s="18" t="s">
        <v>6946</v>
      </c>
      <c r="G1373" s="63" t="s">
        <v>6948</v>
      </c>
      <c r="H1373" s="406">
        <v>2800</v>
      </c>
      <c r="I1373" s="353"/>
      <c r="J1373" s="350">
        <f t="shared" si="1029"/>
        <v>2800</v>
      </c>
      <c r="K1373" s="18">
        <v>1</v>
      </c>
      <c r="L1373" s="350">
        <f t="shared" si="1030"/>
        <v>2800</v>
      </c>
      <c r="M1373" s="356">
        <f t="shared" si="1031"/>
        <v>3080</v>
      </c>
      <c r="N1373" s="258" t="s">
        <v>1121</v>
      </c>
      <c r="O1373" s="466"/>
      <c r="P1373" s="18" t="s">
        <v>6950</v>
      </c>
      <c r="Q1373" s="18" t="s">
        <v>6950</v>
      </c>
      <c r="R1373" s="18" t="s">
        <v>5449</v>
      </c>
      <c r="W1373" s="354">
        <f t="shared" si="1034"/>
        <v>0.6</v>
      </c>
      <c r="X1373" s="355">
        <v>1680</v>
      </c>
      <c r="Y1373" s="355">
        <v>1</v>
      </c>
      <c r="Z1373" s="355">
        <f t="shared" si="1035"/>
        <v>1680</v>
      </c>
      <c r="AA1373" s="355">
        <f t="shared" si="1036"/>
        <v>1120</v>
      </c>
    </row>
    <row r="1374" spans="1:27" ht="21.75" customHeight="1" x14ac:dyDescent="0.4">
      <c r="A1374" s="466">
        <v>46188</v>
      </c>
      <c r="B1374" s="474" t="s">
        <v>6951</v>
      </c>
      <c r="C1374" s="474" t="s">
        <v>6941</v>
      </c>
      <c r="D1374" s="18" t="s">
        <v>6942</v>
      </c>
      <c r="E1374" s="18" t="s">
        <v>6943</v>
      </c>
      <c r="F1374" s="18" t="s">
        <v>3555</v>
      </c>
      <c r="G1374" t="s">
        <v>6954</v>
      </c>
      <c r="H1374" s="399">
        <v>2200</v>
      </c>
      <c r="I1374" s="353">
        <v>-220</v>
      </c>
      <c r="J1374" s="350">
        <f t="shared" si="1029"/>
        <v>1980</v>
      </c>
      <c r="K1374" s="18">
        <v>1</v>
      </c>
      <c r="L1374" s="350">
        <f t="shared" si="1030"/>
        <v>1980</v>
      </c>
      <c r="M1374" s="356">
        <f t="shared" si="1031"/>
        <v>2178</v>
      </c>
      <c r="N1374" s="258" t="s">
        <v>1121</v>
      </c>
      <c r="O1374" s="466"/>
      <c r="P1374" s="18" t="s">
        <v>6955</v>
      </c>
      <c r="Q1374" s="18" t="s">
        <v>6956</v>
      </c>
      <c r="R1374" s="18" t="s">
        <v>6956</v>
      </c>
      <c r="W1374" s="354">
        <f t="shared" si="1034"/>
        <v>0.57999999999999996</v>
      </c>
      <c r="X1374" s="355">
        <v>1276</v>
      </c>
      <c r="Y1374" s="355">
        <v>1</v>
      </c>
      <c r="Z1374" s="355">
        <f t="shared" si="1035"/>
        <v>1276</v>
      </c>
      <c r="AA1374" s="355">
        <f t="shared" si="1036"/>
        <v>704</v>
      </c>
    </row>
    <row r="1375" spans="1:27" ht="21.75" customHeight="1" x14ac:dyDescent="0.4">
      <c r="A1375" s="466">
        <v>46188</v>
      </c>
      <c r="B1375" s="474" t="s">
        <v>6951</v>
      </c>
      <c r="C1375" s="474" t="s">
        <v>6941</v>
      </c>
      <c r="D1375" s="18" t="s">
        <v>6952</v>
      </c>
      <c r="E1375" s="18" t="s">
        <v>6953</v>
      </c>
      <c r="F1375" s="18"/>
      <c r="G1375" s="63"/>
      <c r="H1375" s="399">
        <v>300</v>
      </c>
      <c r="I1375" s="353"/>
      <c r="J1375" s="350">
        <f t="shared" si="1029"/>
        <v>300</v>
      </c>
      <c r="K1375" s="18">
        <v>1</v>
      </c>
      <c r="L1375" s="350">
        <f t="shared" si="1030"/>
        <v>300</v>
      </c>
      <c r="M1375" s="356">
        <f t="shared" si="1031"/>
        <v>330</v>
      </c>
      <c r="N1375" s="258" t="s">
        <v>1121</v>
      </c>
      <c r="O1375" s="466"/>
      <c r="P1375" s="18" t="s">
        <v>6955</v>
      </c>
      <c r="Q1375" s="18" t="s">
        <v>6956</v>
      </c>
      <c r="R1375" s="18" t="s">
        <v>6956</v>
      </c>
    </row>
    <row r="1376" spans="1:27" ht="21.75" customHeight="1" x14ac:dyDescent="0.4">
      <c r="A1376" s="466">
        <v>46188</v>
      </c>
      <c r="B1376" s="474" t="s">
        <v>6957</v>
      </c>
      <c r="C1376" s="474" t="s">
        <v>405</v>
      </c>
      <c r="D1376" s="18" t="s">
        <v>6958</v>
      </c>
      <c r="E1376" s="18" t="s">
        <v>260</v>
      </c>
      <c r="F1376" s="347"/>
      <c r="G1376" s="63" t="s">
        <v>264</v>
      </c>
      <c r="H1376" s="399">
        <v>15000</v>
      </c>
      <c r="I1376" s="353">
        <v>-5000</v>
      </c>
      <c r="J1376" s="350">
        <f t="shared" si="1029"/>
        <v>10000</v>
      </c>
      <c r="K1376" s="18">
        <v>1</v>
      </c>
      <c r="L1376" s="350">
        <f t="shared" si="1030"/>
        <v>10000</v>
      </c>
      <c r="M1376" s="356">
        <f t="shared" si="1031"/>
        <v>11000</v>
      </c>
      <c r="N1376" s="258" t="s">
        <v>20</v>
      </c>
      <c r="O1376" s="466"/>
      <c r="P1376" s="18" t="s">
        <v>6950</v>
      </c>
      <c r="Q1376" s="18" t="s">
        <v>6950</v>
      </c>
      <c r="R1376" s="18" t="s">
        <v>6956</v>
      </c>
    </row>
    <row r="1377" spans="1:27" ht="21.75" customHeight="1" x14ac:dyDescent="0.4">
      <c r="A1377" s="466">
        <v>46188</v>
      </c>
      <c r="B1377" s="474" t="s">
        <v>6957</v>
      </c>
      <c r="C1377" s="474" t="s">
        <v>405</v>
      </c>
      <c r="D1377" s="18" t="s">
        <v>6942</v>
      </c>
      <c r="E1377" s="18" t="s">
        <v>6959</v>
      </c>
      <c r="F1377" s="18" t="s">
        <v>3883</v>
      </c>
      <c r="G1377" s="63" t="s">
        <v>6960</v>
      </c>
      <c r="H1377" s="399">
        <v>40000</v>
      </c>
      <c r="I1377" s="353">
        <v>-8000</v>
      </c>
      <c r="J1377" s="350">
        <f t="shared" si="1029"/>
        <v>32000</v>
      </c>
      <c r="K1377" s="18">
        <v>1</v>
      </c>
      <c r="L1377" s="350">
        <f t="shared" si="1030"/>
        <v>32000</v>
      </c>
      <c r="M1377" s="356">
        <f t="shared" si="1031"/>
        <v>35200</v>
      </c>
      <c r="N1377" s="258" t="s">
        <v>20</v>
      </c>
      <c r="O1377" s="466"/>
      <c r="P1377" s="18" t="s">
        <v>6950</v>
      </c>
      <c r="Q1377" s="18" t="s">
        <v>6950</v>
      </c>
      <c r="R1377" s="18" t="s">
        <v>6956</v>
      </c>
      <c r="W1377" s="354">
        <f t="shared" ref="W1377:W1379" si="1037">X1377/H1377</f>
        <v>0.45</v>
      </c>
      <c r="X1377" s="355">
        <v>18000</v>
      </c>
      <c r="Y1377" s="355">
        <v>1</v>
      </c>
      <c r="Z1377" s="355">
        <f t="shared" ref="Z1377:Z1379" si="1038">X1377*Y1377</f>
        <v>18000</v>
      </c>
      <c r="AA1377" s="355">
        <f t="shared" ref="AA1377:AA1379" si="1039">L1377-Z1377</f>
        <v>14000</v>
      </c>
    </row>
    <row r="1378" spans="1:27" ht="21.75" customHeight="1" x14ac:dyDescent="0.4">
      <c r="A1378" s="466">
        <v>46188</v>
      </c>
      <c r="B1378" s="474" t="s">
        <v>6957</v>
      </c>
      <c r="C1378" s="474" t="s">
        <v>405</v>
      </c>
      <c r="D1378" s="18" t="s">
        <v>6942</v>
      </c>
      <c r="E1378" s="18" t="s">
        <v>576</v>
      </c>
      <c r="F1378" s="18" t="s">
        <v>3997</v>
      </c>
      <c r="G1378" s="63" t="s">
        <v>4028</v>
      </c>
      <c r="H1378" s="399">
        <v>80000</v>
      </c>
      <c r="I1378" s="353">
        <v>-8000</v>
      </c>
      <c r="J1378" s="350">
        <f t="shared" si="1029"/>
        <v>72000</v>
      </c>
      <c r="K1378" s="18">
        <v>1</v>
      </c>
      <c r="L1378" s="350">
        <f t="shared" si="1030"/>
        <v>72000</v>
      </c>
      <c r="M1378" s="356">
        <f t="shared" si="1031"/>
        <v>79200</v>
      </c>
      <c r="N1378" s="258" t="s">
        <v>20</v>
      </c>
      <c r="O1378" s="466"/>
      <c r="P1378" s="18" t="s">
        <v>6950</v>
      </c>
      <c r="Q1378" s="18" t="s">
        <v>6950</v>
      </c>
      <c r="R1378" s="18" t="s">
        <v>6956</v>
      </c>
      <c r="W1378" s="354">
        <f t="shared" si="1037"/>
        <v>0.6</v>
      </c>
      <c r="X1378" s="355">
        <v>48000</v>
      </c>
      <c r="Y1378" s="355">
        <v>1</v>
      </c>
      <c r="Z1378" s="355">
        <f t="shared" si="1038"/>
        <v>48000</v>
      </c>
      <c r="AA1378" s="355">
        <f t="shared" si="1039"/>
        <v>24000</v>
      </c>
    </row>
    <row r="1379" spans="1:27" ht="21.75" customHeight="1" x14ac:dyDescent="0.4">
      <c r="A1379" s="466">
        <v>46188</v>
      </c>
      <c r="B1379" s="474" t="s">
        <v>6957</v>
      </c>
      <c r="C1379" s="474" t="s">
        <v>405</v>
      </c>
      <c r="D1379" s="18" t="s">
        <v>6942</v>
      </c>
      <c r="E1379" s="18" t="s">
        <v>6943</v>
      </c>
      <c r="F1379" s="18" t="s">
        <v>3555</v>
      </c>
      <c r="G1379" s="63" t="s">
        <v>6965</v>
      </c>
      <c r="H1379" s="399">
        <v>1500</v>
      </c>
      <c r="I1379" s="353"/>
      <c r="J1379" s="350">
        <f t="shared" ref="J1379:J1445" si="1040">SUM(H1379:I1379)</f>
        <v>1500</v>
      </c>
      <c r="K1379" s="18">
        <v>1</v>
      </c>
      <c r="L1379" s="350">
        <f t="shared" ref="L1379:L1445" si="1041">SUM(J1379*K1379)</f>
        <v>1500</v>
      </c>
      <c r="M1379" s="356">
        <f t="shared" ref="M1379:M1445" si="1042">ROUNDDOWN(L1379*1.1,0)</f>
        <v>1650</v>
      </c>
      <c r="N1379" s="258" t="s">
        <v>20</v>
      </c>
      <c r="O1379" s="466"/>
      <c r="P1379" s="18" t="s">
        <v>6950</v>
      </c>
      <c r="Q1379" s="18" t="s">
        <v>6950</v>
      </c>
      <c r="R1379" s="18" t="s">
        <v>6956</v>
      </c>
      <c r="S1379" s="471"/>
      <c r="W1379" s="354">
        <f t="shared" si="1037"/>
        <v>0.57999999999999996</v>
      </c>
      <c r="X1379" s="355">
        <v>870</v>
      </c>
      <c r="Y1379" s="355">
        <v>1</v>
      </c>
      <c r="Z1379" s="355">
        <f t="shared" si="1038"/>
        <v>870</v>
      </c>
      <c r="AA1379" s="355">
        <f t="shared" si="1039"/>
        <v>630</v>
      </c>
    </row>
    <row r="1380" spans="1:27" ht="21.75" customHeight="1" x14ac:dyDescent="0.4">
      <c r="A1380" s="466">
        <v>46188</v>
      </c>
      <c r="B1380" s="474" t="s">
        <v>6605</v>
      </c>
      <c r="C1380" s="474" t="s">
        <v>6961</v>
      </c>
      <c r="D1380" s="18" t="s">
        <v>6962</v>
      </c>
      <c r="E1380" s="18" t="s">
        <v>6963</v>
      </c>
      <c r="F1380" s="18"/>
      <c r="G1380" s="63"/>
      <c r="H1380" s="399">
        <v>1000</v>
      </c>
      <c r="I1380" s="353"/>
      <c r="J1380" s="350">
        <f t="shared" si="1040"/>
        <v>1000</v>
      </c>
      <c r="K1380" s="18">
        <v>3</v>
      </c>
      <c r="L1380" s="350">
        <f t="shared" si="1041"/>
        <v>3000</v>
      </c>
      <c r="M1380" s="356">
        <f t="shared" si="1042"/>
        <v>3300</v>
      </c>
      <c r="N1380" s="258" t="s">
        <v>1121</v>
      </c>
      <c r="O1380" s="466"/>
      <c r="P1380" s="18" t="s">
        <v>6964</v>
      </c>
      <c r="Q1380" s="18" t="s">
        <v>6964</v>
      </c>
      <c r="R1380" s="18" t="s">
        <v>6964</v>
      </c>
      <c r="S1380" s="472"/>
    </row>
    <row r="1381" spans="1:27" ht="21.75" customHeight="1" x14ac:dyDescent="0.4">
      <c r="A1381" s="466">
        <v>46190</v>
      </c>
      <c r="B1381" s="474" t="s">
        <v>678</v>
      </c>
      <c r="C1381" s="474" t="s">
        <v>6967</v>
      </c>
      <c r="D1381" s="18" t="s">
        <v>6968</v>
      </c>
      <c r="E1381" s="18" t="s">
        <v>6969</v>
      </c>
      <c r="F1381" s="18"/>
      <c r="G1381" s="63"/>
      <c r="H1381" s="399">
        <v>300</v>
      </c>
      <c r="I1381" s="353"/>
      <c r="J1381" s="350">
        <f t="shared" si="1040"/>
        <v>300</v>
      </c>
      <c r="K1381" s="18">
        <v>2</v>
      </c>
      <c r="L1381" s="350">
        <f t="shared" si="1041"/>
        <v>600</v>
      </c>
      <c r="M1381" s="356">
        <f t="shared" si="1042"/>
        <v>660</v>
      </c>
      <c r="N1381" s="258" t="s">
        <v>6970</v>
      </c>
      <c r="O1381" s="466"/>
      <c r="P1381" s="18" t="s">
        <v>6971</v>
      </c>
      <c r="Q1381" s="18" t="s">
        <v>6971</v>
      </c>
      <c r="R1381" s="18" t="s">
        <v>6971</v>
      </c>
    </row>
    <row r="1382" spans="1:27" ht="21.75" customHeight="1" x14ac:dyDescent="0.4">
      <c r="A1382" s="466">
        <v>46190</v>
      </c>
      <c r="B1382" s="474" t="s">
        <v>223</v>
      </c>
      <c r="C1382" s="474" t="s">
        <v>2557</v>
      </c>
      <c r="D1382" s="18" t="s">
        <v>17</v>
      </c>
      <c r="E1382" s="18" t="s">
        <v>426</v>
      </c>
      <c r="F1382" s="18" t="s">
        <v>994</v>
      </c>
      <c r="G1382" s="63" t="s">
        <v>6716</v>
      </c>
      <c r="H1382" s="399">
        <v>1800</v>
      </c>
      <c r="I1382" s="353">
        <v>-180</v>
      </c>
      <c r="J1382" s="350">
        <f t="shared" si="1040"/>
        <v>1620</v>
      </c>
      <c r="K1382" s="18">
        <v>1</v>
      </c>
      <c r="L1382" s="350">
        <f t="shared" si="1041"/>
        <v>1620</v>
      </c>
      <c r="M1382" s="356">
        <f t="shared" si="1042"/>
        <v>1782</v>
      </c>
      <c r="N1382" s="258" t="s">
        <v>1516</v>
      </c>
      <c r="O1382" s="466"/>
      <c r="P1382" s="18" t="s">
        <v>5459</v>
      </c>
      <c r="Q1382" s="18" t="s">
        <v>5459</v>
      </c>
      <c r="R1382" s="18" t="s">
        <v>5459</v>
      </c>
      <c r="W1382" s="354">
        <f t="shared" ref="W1382" si="1043">X1382/H1382</f>
        <v>0.6</v>
      </c>
      <c r="X1382" s="355">
        <v>1080</v>
      </c>
      <c r="Y1382" s="355">
        <v>1</v>
      </c>
      <c r="Z1382" s="355">
        <f t="shared" ref="Z1382" si="1044">X1382*Y1382</f>
        <v>1080</v>
      </c>
      <c r="AA1382" s="355">
        <f t="shared" ref="AA1382" si="1045">L1382-Z1382</f>
        <v>540</v>
      </c>
    </row>
    <row r="1383" spans="1:27" ht="21.75" customHeight="1" x14ac:dyDescent="0.4">
      <c r="A1383" s="466">
        <v>46190</v>
      </c>
      <c r="B1383" s="474" t="s">
        <v>6972</v>
      </c>
      <c r="C1383" s="474" t="s">
        <v>405</v>
      </c>
      <c r="D1383" s="18" t="s">
        <v>22</v>
      </c>
      <c r="E1383" s="18" t="s">
        <v>260</v>
      </c>
      <c r="F1383" s="347"/>
      <c r="G1383" s="63" t="s">
        <v>264</v>
      </c>
      <c r="H1383" s="399">
        <v>15000</v>
      </c>
      <c r="I1383" s="353">
        <v>-5000</v>
      </c>
      <c r="J1383" s="350">
        <f t="shared" si="1040"/>
        <v>10000</v>
      </c>
      <c r="K1383" s="18">
        <v>1</v>
      </c>
      <c r="L1383" s="350">
        <f t="shared" si="1041"/>
        <v>10000</v>
      </c>
      <c r="M1383" s="356">
        <f t="shared" si="1042"/>
        <v>11000</v>
      </c>
      <c r="N1383" s="258" t="s">
        <v>1121</v>
      </c>
      <c r="O1383" s="456" t="s">
        <v>6980</v>
      </c>
      <c r="P1383" s="18" t="s">
        <v>2595</v>
      </c>
      <c r="Q1383" s="18" t="s">
        <v>2595</v>
      </c>
      <c r="R1383" s="18" t="s">
        <v>5449</v>
      </c>
    </row>
    <row r="1384" spans="1:27" ht="21.75" customHeight="1" x14ac:dyDescent="0.4">
      <c r="A1384" s="466">
        <v>46190</v>
      </c>
      <c r="B1384" s="474" t="s">
        <v>6972</v>
      </c>
      <c r="C1384" s="474" t="s">
        <v>405</v>
      </c>
      <c r="D1384" s="18" t="s">
        <v>6973</v>
      </c>
      <c r="E1384" s="18" t="s">
        <v>6974</v>
      </c>
      <c r="F1384" s="18" t="s">
        <v>5197</v>
      </c>
      <c r="G1384" s="63" t="s">
        <v>6978</v>
      </c>
      <c r="H1384" s="399">
        <v>63000</v>
      </c>
      <c r="I1384" s="353">
        <v>-12600</v>
      </c>
      <c r="J1384" s="350">
        <f t="shared" si="1040"/>
        <v>50400</v>
      </c>
      <c r="K1384" s="18">
        <v>1</v>
      </c>
      <c r="L1384" s="350">
        <f t="shared" si="1041"/>
        <v>50400</v>
      </c>
      <c r="M1384" s="356">
        <f t="shared" si="1042"/>
        <v>55440</v>
      </c>
      <c r="N1384" s="258" t="s">
        <v>1121</v>
      </c>
      <c r="O1384" s="466"/>
      <c r="P1384" s="18" t="s">
        <v>2595</v>
      </c>
      <c r="Q1384" s="18" t="s">
        <v>2595</v>
      </c>
      <c r="R1384" s="18" t="s">
        <v>5449</v>
      </c>
      <c r="W1384" s="354">
        <f t="shared" ref="W1384:W1386" si="1046">X1384/H1384</f>
        <v>0</v>
      </c>
      <c r="X1384" s="405"/>
      <c r="Y1384" s="355">
        <v>1</v>
      </c>
      <c r="Z1384" s="355">
        <f t="shared" ref="Z1384:Z1386" si="1047">X1384*Y1384</f>
        <v>0</v>
      </c>
      <c r="AA1384" s="355">
        <f t="shared" ref="AA1384:AA1386" si="1048">L1384-Z1384</f>
        <v>50400</v>
      </c>
    </row>
    <row r="1385" spans="1:27" ht="21.75" customHeight="1" x14ac:dyDescent="0.4">
      <c r="A1385" s="466">
        <v>46190</v>
      </c>
      <c r="B1385" s="474" t="s">
        <v>6972</v>
      </c>
      <c r="C1385" s="474" t="s">
        <v>405</v>
      </c>
      <c r="D1385" s="18" t="s">
        <v>6973</v>
      </c>
      <c r="E1385" s="18" t="s">
        <v>6975</v>
      </c>
      <c r="F1385" s="18" t="s">
        <v>6976</v>
      </c>
      <c r="G1385" s="63"/>
      <c r="H1385" s="399">
        <v>4000</v>
      </c>
      <c r="I1385" s="353"/>
      <c r="J1385" s="350">
        <f t="shared" si="1040"/>
        <v>4000</v>
      </c>
      <c r="K1385" s="18">
        <v>1</v>
      </c>
      <c r="L1385" s="350">
        <f t="shared" si="1041"/>
        <v>4000</v>
      </c>
      <c r="M1385" s="356">
        <f t="shared" si="1042"/>
        <v>4400</v>
      </c>
      <c r="N1385" s="258" t="s">
        <v>1121</v>
      </c>
      <c r="O1385" s="466"/>
      <c r="P1385" s="18" t="s">
        <v>2595</v>
      </c>
      <c r="Q1385" s="18" t="s">
        <v>2595</v>
      </c>
      <c r="R1385" s="18" t="s">
        <v>5449</v>
      </c>
      <c r="W1385" s="354">
        <f t="shared" si="1046"/>
        <v>0</v>
      </c>
      <c r="X1385" s="405"/>
      <c r="Y1385" s="355">
        <v>1</v>
      </c>
      <c r="Z1385" s="355">
        <f t="shared" si="1047"/>
        <v>0</v>
      </c>
      <c r="AA1385" s="355">
        <f t="shared" si="1048"/>
        <v>4000</v>
      </c>
    </row>
    <row r="1386" spans="1:27" ht="21.75" customHeight="1" x14ac:dyDescent="0.4">
      <c r="A1386" s="466">
        <v>46190</v>
      </c>
      <c r="B1386" s="474" t="s">
        <v>6972</v>
      </c>
      <c r="C1386" s="474" t="s">
        <v>405</v>
      </c>
      <c r="D1386" s="18" t="s">
        <v>6973</v>
      </c>
      <c r="E1386" s="18" t="s">
        <v>6977</v>
      </c>
      <c r="F1386" s="18" t="s">
        <v>3554</v>
      </c>
      <c r="G1386" s="63" t="s">
        <v>6979</v>
      </c>
      <c r="H1386" s="399">
        <v>2200</v>
      </c>
      <c r="I1386" s="353"/>
      <c r="J1386" s="350">
        <f t="shared" si="1040"/>
        <v>2200</v>
      </c>
      <c r="K1386" s="18">
        <v>1</v>
      </c>
      <c r="L1386" s="350">
        <f t="shared" si="1041"/>
        <v>2200</v>
      </c>
      <c r="M1386" s="356">
        <f t="shared" si="1042"/>
        <v>2420</v>
      </c>
      <c r="N1386" s="258" t="s">
        <v>1121</v>
      </c>
      <c r="O1386" s="466"/>
      <c r="P1386" s="18" t="s">
        <v>2595</v>
      </c>
      <c r="Q1386" s="18" t="s">
        <v>2595</v>
      </c>
      <c r="R1386" s="18" t="s">
        <v>5449</v>
      </c>
      <c r="W1386" s="354">
        <f t="shared" si="1046"/>
        <v>0.625</v>
      </c>
      <c r="X1386" s="355">
        <v>1375</v>
      </c>
      <c r="Y1386" s="355">
        <v>1</v>
      </c>
      <c r="Z1386" s="355">
        <f t="shared" si="1047"/>
        <v>1375</v>
      </c>
      <c r="AA1386" s="355">
        <f t="shared" si="1048"/>
        <v>825</v>
      </c>
    </row>
    <row r="1387" spans="1:27" ht="21.75" customHeight="1" x14ac:dyDescent="0.4">
      <c r="A1387" s="466">
        <v>46190</v>
      </c>
      <c r="B1387" s="325" t="s">
        <v>6519</v>
      </c>
      <c r="C1387" s="32" t="s">
        <v>2557</v>
      </c>
      <c r="D1387" s="18" t="s">
        <v>27</v>
      </c>
      <c r="E1387" s="242" t="s">
        <v>5237</v>
      </c>
      <c r="F1387" s="242"/>
      <c r="G1387" s="63" t="s">
        <v>6032</v>
      </c>
      <c r="H1387" s="399">
        <v>2500</v>
      </c>
      <c r="I1387" s="399"/>
      <c r="J1387" s="350">
        <v>2500</v>
      </c>
      <c r="K1387" s="18">
        <v>1</v>
      </c>
      <c r="L1387" s="350">
        <v>2500</v>
      </c>
      <c r="M1387" s="356">
        <v>2750</v>
      </c>
      <c r="N1387" s="18" t="s">
        <v>4233</v>
      </c>
      <c r="O1387" s="456"/>
      <c r="R1387" s="18" t="s">
        <v>4803</v>
      </c>
    </row>
    <row r="1388" spans="1:27" ht="21.75" customHeight="1" x14ac:dyDescent="0.4">
      <c r="A1388" s="466">
        <v>46191</v>
      </c>
      <c r="B1388" s="336" t="s">
        <v>582</v>
      </c>
      <c r="C1388" s="241" t="s">
        <v>2557</v>
      </c>
      <c r="D1388" s="18" t="s">
        <v>17</v>
      </c>
      <c r="E1388" s="18" t="s">
        <v>332</v>
      </c>
      <c r="F1388" s="18" t="s">
        <v>3555</v>
      </c>
      <c r="G1388" s="63" t="s">
        <v>6694</v>
      </c>
      <c r="H1388" s="399">
        <v>2000</v>
      </c>
      <c r="I1388" s="353">
        <v>-200</v>
      </c>
      <c r="J1388" s="350">
        <f t="shared" si="1040"/>
        <v>1800</v>
      </c>
      <c r="K1388" s="18">
        <v>1</v>
      </c>
      <c r="L1388" s="350">
        <f t="shared" si="1041"/>
        <v>1800</v>
      </c>
      <c r="M1388" s="356">
        <f t="shared" si="1042"/>
        <v>1980</v>
      </c>
      <c r="N1388" s="258" t="s">
        <v>20</v>
      </c>
      <c r="O1388" s="466"/>
      <c r="Q1388" s="18" t="s">
        <v>2595</v>
      </c>
      <c r="R1388" s="18" t="s">
        <v>6981</v>
      </c>
      <c r="W1388" s="354">
        <f t="shared" ref="W1388" si="1049">X1388/H1388</f>
        <v>0.57999999999999996</v>
      </c>
      <c r="X1388" s="355">
        <v>1160</v>
      </c>
      <c r="Y1388" s="355">
        <v>1</v>
      </c>
      <c r="Z1388" s="355">
        <f t="shared" ref="Z1388" si="1050">X1388*Y1388</f>
        <v>1160</v>
      </c>
      <c r="AA1388" s="355">
        <f t="shared" ref="AA1388" si="1051">L1388-Z1388</f>
        <v>640</v>
      </c>
    </row>
    <row r="1389" spans="1:27" ht="21.75" customHeight="1" x14ac:dyDescent="0.4">
      <c r="A1389" s="466">
        <v>46191</v>
      </c>
      <c r="B1389" s="336" t="s">
        <v>582</v>
      </c>
      <c r="C1389" s="241" t="s">
        <v>2557</v>
      </c>
      <c r="D1389" s="18" t="s">
        <v>59</v>
      </c>
      <c r="E1389" s="18" t="s">
        <v>6620</v>
      </c>
      <c r="F1389" s="18"/>
      <c r="G1389" s="63"/>
      <c r="H1389" s="399">
        <v>300</v>
      </c>
      <c r="I1389" s="353"/>
      <c r="J1389" s="350">
        <f t="shared" si="1040"/>
        <v>300</v>
      </c>
      <c r="K1389" s="18">
        <v>1</v>
      </c>
      <c r="L1389" s="350">
        <f t="shared" si="1041"/>
        <v>300</v>
      </c>
      <c r="M1389" s="356">
        <f t="shared" si="1042"/>
        <v>330</v>
      </c>
      <c r="N1389" s="258" t="s">
        <v>20</v>
      </c>
      <c r="O1389" s="466"/>
      <c r="Q1389" s="18" t="s">
        <v>2595</v>
      </c>
      <c r="R1389" s="18" t="s">
        <v>6981</v>
      </c>
      <c r="S1389" s="472"/>
    </row>
    <row r="1390" spans="1:27" ht="21.75" customHeight="1" x14ac:dyDescent="0.4">
      <c r="A1390" s="466">
        <v>46192</v>
      </c>
      <c r="B1390" s="474" t="s">
        <v>6021</v>
      </c>
      <c r="C1390" s="32" t="s">
        <v>2557</v>
      </c>
      <c r="D1390" s="258" t="s">
        <v>22</v>
      </c>
      <c r="E1390" s="258" t="s">
        <v>5040</v>
      </c>
      <c r="F1390" s="258"/>
      <c r="G1390" s="433" t="s">
        <v>4869</v>
      </c>
      <c r="H1390" s="399">
        <v>2000</v>
      </c>
      <c r="I1390" s="353"/>
      <c r="J1390" s="350">
        <f t="shared" si="1040"/>
        <v>2000</v>
      </c>
      <c r="K1390" s="18">
        <v>2</v>
      </c>
      <c r="L1390" s="350">
        <f t="shared" si="1041"/>
        <v>4000</v>
      </c>
      <c r="M1390" s="356">
        <f t="shared" si="1042"/>
        <v>4400</v>
      </c>
      <c r="N1390" s="258" t="s">
        <v>1516</v>
      </c>
      <c r="O1390" s="466"/>
      <c r="P1390" s="18" t="s">
        <v>5449</v>
      </c>
      <c r="Q1390" s="18" t="s">
        <v>6981</v>
      </c>
      <c r="R1390" s="18" t="s">
        <v>6981</v>
      </c>
    </row>
    <row r="1391" spans="1:27" ht="21.75" customHeight="1" x14ac:dyDescent="0.4">
      <c r="A1391" s="466">
        <v>46192</v>
      </c>
      <c r="B1391" s="474" t="s">
        <v>5023</v>
      </c>
      <c r="C1391" s="32" t="s">
        <v>2557</v>
      </c>
      <c r="D1391" s="258" t="s">
        <v>22</v>
      </c>
      <c r="E1391" s="258" t="s">
        <v>5040</v>
      </c>
      <c r="F1391" s="258"/>
      <c r="G1391" s="433" t="s">
        <v>4869</v>
      </c>
      <c r="H1391" s="399">
        <v>2000</v>
      </c>
      <c r="I1391" s="353"/>
      <c r="J1391" s="350">
        <f t="shared" si="1040"/>
        <v>2000</v>
      </c>
      <c r="K1391" s="18">
        <v>1</v>
      </c>
      <c r="L1391" s="350">
        <f t="shared" si="1041"/>
        <v>2000</v>
      </c>
      <c r="M1391" s="356">
        <f t="shared" si="1042"/>
        <v>2200</v>
      </c>
      <c r="N1391" s="258" t="s">
        <v>20</v>
      </c>
      <c r="O1391" s="466"/>
      <c r="P1391" s="18" t="s">
        <v>5449</v>
      </c>
      <c r="Q1391" s="18" t="s">
        <v>5449</v>
      </c>
      <c r="R1391" s="18" t="s">
        <v>6981</v>
      </c>
    </row>
    <row r="1392" spans="1:27" ht="21.75" customHeight="1" x14ac:dyDescent="0.4">
      <c r="A1392" s="466">
        <v>46192</v>
      </c>
      <c r="B1392" s="325" t="s">
        <v>5069</v>
      </c>
      <c r="C1392" s="32" t="s">
        <v>2557</v>
      </c>
      <c r="D1392" s="18" t="s">
        <v>2457</v>
      </c>
      <c r="E1392" s="18" t="s">
        <v>1615</v>
      </c>
      <c r="F1392" s="63"/>
      <c r="G1392" s="50" t="s">
        <v>6982</v>
      </c>
      <c r="H1392" s="399">
        <v>15000</v>
      </c>
      <c r="I1392" s="353"/>
      <c r="J1392" s="350">
        <f t="shared" si="1040"/>
        <v>15000</v>
      </c>
      <c r="K1392" s="18">
        <v>1</v>
      </c>
      <c r="L1392" s="350">
        <f t="shared" si="1041"/>
        <v>15000</v>
      </c>
      <c r="M1392" s="356">
        <f t="shared" si="1042"/>
        <v>16500</v>
      </c>
      <c r="N1392" s="258" t="s">
        <v>1516</v>
      </c>
      <c r="O1392" s="456"/>
      <c r="P1392" s="18" t="s">
        <v>5449</v>
      </c>
      <c r="Q1392" s="18" t="s">
        <v>6981</v>
      </c>
      <c r="R1392" s="18" t="s">
        <v>6981</v>
      </c>
      <c r="S1392" s="472"/>
    </row>
    <row r="1393" spans="1:27" ht="21.75" customHeight="1" x14ac:dyDescent="0.4">
      <c r="A1393" s="466">
        <v>46192</v>
      </c>
      <c r="B1393" s="325" t="s">
        <v>1861</v>
      </c>
      <c r="C1393" s="32" t="s">
        <v>2557</v>
      </c>
      <c r="D1393" s="18" t="s">
        <v>2457</v>
      </c>
      <c r="E1393" s="18" t="s">
        <v>1615</v>
      </c>
      <c r="F1393" s="63"/>
      <c r="G1393" s="50" t="s">
        <v>6982</v>
      </c>
      <c r="H1393" s="399">
        <v>15000</v>
      </c>
      <c r="I1393" s="353"/>
      <c r="J1393" s="350">
        <f t="shared" ref="J1393:J1398" si="1052">SUM(H1393:I1393)</f>
        <v>15000</v>
      </c>
      <c r="K1393" s="18">
        <v>1</v>
      </c>
      <c r="L1393" s="350">
        <f t="shared" ref="L1393:L1398" si="1053">SUM(J1393*K1393)</f>
        <v>15000</v>
      </c>
      <c r="M1393" s="356">
        <f t="shared" ref="M1393:M1398" si="1054">ROUNDDOWN(L1393*1.1,0)</f>
        <v>16500</v>
      </c>
      <c r="N1393" s="258" t="s">
        <v>1516</v>
      </c>
      <c r="O1393" s="456"/>
      <c r="P1393" s="18" t="s">
        <v>5449</v>
      </c>
      <c r="Q1393" s="18" t="s">
        <v>4803</v>
      </c>
      <c r="R1393" s="18" t="s">
        <v>4803</v>
      </c>
      <c r="S1393" s="472"/>
    </row>
    <row r="1394" spans="1:27" ht="21.75" customHeight="1" x14ac:dyDescent="0.4">
      <c r="A1394" s="466">
        <v>46192</v>
      </c>
      <c r="B1394" s="336" t="s">
        <v>582</v>
      </c>
      <c r="C1394" s="32" t="s">
        <v>2557</v>
      </c>
      <c r="D1394" s="18" t="s">
        <v>17</v>
      </c>
      <c r="E1394" s="258" t="s">
        <v>1442</v>
      </c>
      <c r="F1394" s="258" t="s">
        <v>3543</v>
      </c>
      <c r="G1394" s="63" t="s">
        <v>6995</v>
      </c>
      <c r="H1394" s="399">
        <v>61000</v>
      </c>
      <c r="I1394" s="353">
        <v>-6100</v>
      </c>
      <c r="J1394" s="350">
        <f t="shared" si="1052"/>
        <v>54900</v>
      </c>
      <c r="K1394" s="18">
        <v>1</v>
      </c>
      <c r="L1394" s="350">
        <f t="shared" si="1053"/>
        <v>54900</v>
      </c>
      <c r="M1394" s="356">
        <f t="shared" si="1054"/>
        <v>60390</v>
      </c>
      <c r="N1394" s="258" t="s">
        <v>1121</v>
      </c>
      <c r="O1394" s="481"/>
      <c r="R1394" s="18" t="s">
        <v>4803</v>
      </c>
      <c r="S1394" s="472"/>
      <c r="W1394" s="354">
        <f t="shared" ref="W1394:W1397" si="1055">X1394/H1394</f>
        <v>0.75</v>
      </c>
      <c r="X1394" s="355">
        <v>45750</v>
      </c>
      <c r="Y1394" s="355">
        <v>1</v>
      </c>
      <c r="Z1394" s="355">
        <f t="shared" ref="Z1394:Z1397" si="1056">X1394*Y1394</f>
        <v>45750</v>
      </c>
      <c r="AA1394" s="355">
        <f t="shared" ref="AA1394:AA1397" si="1057">L1394-Z1394</f>
        <v>9150</v>
      </c>
    </row>
    <row r="1395" spans="1:27" ht="21.75" customHeight="1" x14ac:dyDescent="0.4">
      <c r="A1395" s="466">
        <v>46192</v>
      </c>
      <c r="B1395" s="336" t="s">
        <v>582</v>
      </c>
      <c r="C1395" s="32" t="s">
        <v>2557</v>
      </c>
      <c r="D1395" s="18" t="s">
        <v>17</v>
      </c>
      <c r="E1395" s="258" t="s">
        <v>1442</v>
      </c>
      <c r="F1395" s="258" t="s">
        <v>3543</v>
      </c>
      <c r="G1395" s="433" t="s">
        <v>6996</v>
      </c>
      <c r="H1395" s="399">
        <v>49000</v>
      </c>
      <c r="I1395" s="353">
        <v>-4900</v>
      </c>
      <c r="J1395" s="350">
        <f t="shared" si="1052"/>
        <v>44100</v>
      </c>
      <c r="K1395" s="18">
        <v>1</v>
      </c>
      <c r="L1395" s="350">
        <f t="shared" si="1053"/>
        <v>44100</v>
      </c>
      <c r="M1395" s="356">
        <f t="shared" si="1054"/>
        <v>48510</v>
      </c>
      <c r="N1395" s="258" t="s">
        <v>1121</v>
      </c>
      <c r="O1395" s="481"/>
      <c r="R1395" s="18" t="s">
        <v>4803</v>
      </c>
      <c r="S1395" s="472"/>
      <c r="W1395" s="354">
        <f t="shared" si="1055"/>
        <v>0.75</v>
      </c>
      <c r="X1395" s="355">
        <v>36750</v>
      </c>
      <c r="Y1395" s="355">
        <v>1</v>
      </c>
      <c r="Z1395" s="355">
        <f t="shared" si="1056"/>
        <v>36750</v>
      </c>
      <c r="AA1395" s="355">
        <f t="shared" si="1057"/>
        <v>7350</v>
      </c>
    </row>
    <row r="1396" spans="1:27" ht="21.75" customHeight="1" x14ac:dyDescent="0.4">
      <c r="A1396" s="466">
        <v>46192</v>
      </c>
      <c r="B1396" s="336" t="s">
        <v>582</v>
      </c>
      <c r="C1396" s="32" t="s">
        <v>2557</v>
      </c>
      <c r="D1396" s="18" t="s">
        <v>17</v>
      </c>
      <c r="E1396" s="18" t="s">
        <v>328</v>
      </c>
      <c r="F1396" s="18" t="s">
        <v>788</v>
      </c>
      <c r="G1396" s="63" t="s">
        <v>5749</v>
      </c>
      <c r="H1396" s="399">
        <v>28000</v>
      </c>
      <c r="I1396" s="353">
        <v>-2800</v>
      </c>
      <c r="J1396" s="350">
        <f t="shared" si="1052"/>
        <v>25200</v>
      </c>
      <c r="K1396" s="18">
        <v>1</v>
      </c>
      <c r="L1396" s="350">
        <f t="shared" si="1053"/>
        <v>25200</v>
      </c>
      <c r="M1396" s="356">
        <f t="shared" si="1054"/>
        <v>27720</v>
      </c>
      <c r="N1396" s="258" t="s">
        <v>1121</v>
      </c>
      <c r="O1396" s="481"/>
      <c r="R1396" s="18" t="s">
        <v>4803</v>
      </c>
      <c r="S1396" s="472"/>
      <c r="W1396" s="354">
        <f t="shared" si="1055"/>
        <v>0.45</v>
      </c>
      <c r="X1396" s="355">
        <v>12600</v>
      </c>
      <c r="Y1396" s="355">
        <v>1</v>
      </c>
      <c r="Z1396" s="355">
        <f t="shared" si="1056"/>
        <v>12600</v>
      </c>
      <c r="AA1396" s="355">
        <f t="shared" si="1057"/>
        <v>12600</v>
      </c>
    </row>
    <row r="1397" spans="1:27" ht="21.75" customHeight="1" x14ac:dyDescent="0.4">
      <c r="A1397" s="466">
        <v>46192</v>
      </c>
      <c r="B1397" s="336" t="s">
        <v>582</v>
      </c>
      <c r="C1397" s="32" t="s">
        <v>2557</v>
      </c>
      <c r="D1397" s="18" t="s">
        <v>17</v>
      </c>
      <c r="E1397" s="18" t="s">
        <v>332</v>
      </c>
      <c r="F1397" s="18" t="s">
        <v>3555</v>
      </c>
      <c r="G1397" s="63" t="s">
        <v>6694</v>
      </c>
      <c r="H1397" s="399">
        <v>2000</v>
      </c>
      <c r="I1397" s="353">
        <v>-200</v>
      </c>
      <c r="J1397" s="350">
        <f t="shared" si="1052"/>
        <v>1800</v>
      </c>
      <c r="K1397" s="18">
        <v>1</v>
      </c>
      <c r="L1397" s="350">
        <f t="shared" si="1053"/>
        <v>1800</v>
      </c>
      <c r="M1397" s="356">
        <f t="shared" si="1054"/>
        <v>1980</v>
      </c>
      <c r="N1397" s="258" t="s">
        <v>1121</v>
      </c>
      <c r="O1397" s="481"/>
      <c r="R1397" s="18" t="s">
        <v>4803</v>
      </c>
      <c r="S1397" s="472"/>
      <c r="W1397" s="354">
        <f t="shared" si="1055"/>
        <v>0.57999999999999996</v>
      </c>
      <c r="X1397" s="355">
        <v>1160</v>
      </c>
      <c r="Y1397" s="355">
        <v>1</v>
      </c>
      <c r="Z1397" s="355">
        <f t="shared" si="1056"/>
        <v>1160</v>
      </c>
      <c r="AA1397" s="355">
        <f t="shared" si="1057"/>
        <v>640</v>
      </c>
    </row>
    <row r="1398" spans="1:27" ht="21.75" customHeight="1" x14ac:dyDescent="0.4">
      <c r="A1398" s="466">
        <v>46192</v>
      </c>
      <c r="B1398" s="325" t="s">
        <v>6519</v>
      </c>
      <c r="C1398" s="32" t="s">
        <v>2557</v>
      </c>
      <c r="D1398" s="18" t="s">
        <v>27</v>
      </c>
      <c r="E1398" s="242" t="s">
        <v>5237</v>
      </c>
      <c r="F1398" s="258"/>
      <c r="G1398" s="433" t="s">
        <v>6148</v>
      </c>
      <c r="H1398" s="399">
        <v>1800</v>
      </c>
      <c r="I1398" s="399"/>
      <c r="J1398" s="350">
        <f t="shared" si="1052"/>
        <v>1800</v>
      </c>
      <c r="K1398" s="18">
        <v>1</v>
      </c>
      <c r="L1398" s="350">
        <f t="shared" si="1053"/>
        <v>1800</v>
      </c>
      <c r="M1398" s="356">
        <f t="shared" si="1054"/>
        <v>1980</v>
      </c>
      <c r="N1398" s="18" t="s">
        <v>4233</v>
      </c>
      <c r="O1398" s="466"/>
      <c r="R1398" s="18" t="s">
        <v>4803</v>
      </c>
      <c r="S1398" s="472"/>
    </row>
    <row r="1399" spans="1:27" ht="21.75" customHeight="1" x14ac:dyDescent="0.4">
      <c r="A1399" s="466">
        <v>46193</v>
      </c>
      <c r="B1399" s="474" t="s">
        <v>6984</v>
      </c>
      <c r="C1399" s="32" t="s">
        <v>2557</v>
      </c>
      <c r="D1399" s="18" t="s">
        <v>17</v>
      </c>
      <c r="E1399" s="18" t="s">
        <v>332</v>
      </c>
      <c r="F1399" s="18" t="s">
        <v>3555</v>
      </c>
      <c r="G1399" s="63" t="s">
        <v>6983</v>
      </c>
      <c r="H1399" s="399">
        <v>1500</v>
      </c>
      <c r="I1399" s="353">
        <v>-150</v>
      </c>
      <c r="J1399" s="350">
        <f t="shared" si="1040"/>
        <v>1350</v>
      </c>
      <c r="K1399" s="18">
        <v>1</v>
      </c>
      <c r="L1399" s="350">
        <f t="shared" si="1041"/>
        <v>1350</v>
      </c>
      <c r="M1399" s="356">
        <f t="shared" si="1042"/>
        <v>1485</v>
      </c>
      <c r="N1399" s="258" t="s">
        <v>1516</v>
      </c>
      <c r="O1399" s="466"/>
      <c r="P1399" s="18" t="s">
        <v>5459</v>
      </c>
      <c r="Q1399" s="18" t="s">
        <v>5459</v>
      </c>
      <c r="R1399" s="18" t="s">
        <v>5459</v>
      </c>
      <c r="W1399" s="354">
        <f t="shared" ref="W1399" si="1058">X1399/H1399</f>
        <v>0.57999999999999996</v>
      </c>
      <c r="X1399" s="355">
        <v>870</v>
      </c>
      <c r="Y1399" s="355">
        <v>1</v>
      </c>
      <c r="Z1399" s="355">
        <f t="shared" ref="Z1399" si="1059">X1399*Y1399</f>
        <v>870</v>
      </c>
      <c r="AA1399" s="355">
        <f t="shared" ref="AA1399" si="1060">L1399-Z1399</f>
        <v>480</v>
      </c>
    </row>
    <row r="1400" spans="1:27" ht="21.75" customHeight="1" x14ac:dyDescent="0.4">
      <c r="A1400" s="466">
        <v>46193</v>
      </c>
      <c r="B1400" s="474" t="s">
        <v>6984</v>
      </c>
      <c r="C1400" s="241" t="s">
        <v>2557</v>
      </c>
      <c r="D1400" s="18" t="s">
        <v>59</v>
      </c>
      <c r="E1400" s="18" t="s">
        <v>6620</v>
      </c>
      <c r="F1400" s="18"/>
      <c r="G1400" s="63"/>
      <c r="H1400" s="399">
        <v>300</v>
      </c>
      <c r="I1400" s="353"/>
      <c r="J1400" s="350">
        <f t="shared" si="1040"/>
        <v>300</v>
      </c>
      <c r="K1400" s="18">
        <v>1</v>
      </c>
      <c r="L1400" s="350">
        <f t="shared" si="1041"/>
        <v>300</v>
      </c>
      <c r="M1400" s="356">
        <f t="shared" si="1042"/>
        <v>330</v>
      </c>
      <c r="N1400" s="258" t="s">
        <v>1516</v>
      </c>
      <c r="O1400" s="466"/>
      <c r="P1400" s="18" t="s">
        <v>5459</v>
      </c>
      <c r="Q1400" s="18" t="s">
        <v>5459</v>
      </c>
      <c r="R1400" s="18" t="s">
        <v>5459</v>
      </c>
    </row>
    <row r="1401" spans="1:27" ht="21.75" customHeight="1" x14ac:dyDescent="0.4">
      <c r="A1401" s="466">
        <v>46193</v>
      </c>
      <c r="B1401" s="325" t="s">
        <v>6204</v>
      </c>
      <c r="C1401" s="32" t="s">
        <v>405</v>
      </c>
      <c r="D1401" s="258" t="s">
        <v>22</v>
      </c>
      <c r="E1401" s="258" t="s">
        <v>5040</v>
      </c>
      <c r="F1401" s="258"/>
      <c r="G1401" s="433" t="s">
        <v>6186</v>
      </c>
      <c r="H1401" s="399">
        <v>3000</v>
      </c>
      <c r="I1401" s="353"/>
      <c r="J1401" s="350">
        <f t="shared" si="1040"/>
        <v>3000</v>
      </c>
      <c r="K1401" s="18">
        <v>1</v>
      </c>
      <c r="L1401" s="350">
        <f t="shared" si="1041"/>
        <v>3000</v>
      </c>
      <c r="M1401" s="356">
        <f t="shared" si="1042"/>
        <v>3300</v>
      </c>
      <c r="N1401" s="258" t="s">
        <v>20</v>
      </c>
      <c r="O1401" s="466"/>
      <c r="P1401" s="18" t="s">
        <v>6985</v>
      </c>
      <c r="Q1401" s="18" t="s">
        <v>6985</v>
      </c>
      <c r="R1401" s="18" t="s">
        <v>6985</v>
      </c>
    </row>
    <row r="1402" spans="1:27" ht="21.75" customHeight="1" x14ac:dyDescent="0.4">
      <c r="A1402" s="466">
        <v>46193</v>
      </c>
      <c r="B1402" s="474" t="s">
        <v>6986</v>
      </c>
      <c r="C1402" s="474" t="s">
        <v>6987</v>
      </c>
      <c r="D1402" s="18" t="s">
        <v>6988</v>
      </c>
      <c r="E1402" s="18" t="s">
        <v>6989</v>
      </c>
      <c r="F1402" s="18" t="s">
        <v>3555</v>
      </c>
      <c r="G1402" s="63" t="s">
        <v>6802</v>
      </c>
      <c r="H1402" s="399">
        <v>2000</v>
      </c>
      <c r="I1402" s="353">
        <v>-200</v>
      </c>
      <c r="J1402" s="350">
        <f t="shared" si="1040"/>
        <v>1800</v>
      </c>
      <c r="K1402" s="18">
        <v>1</v>
      </c>
      <c r="L1402" s="350">
        <f t="shared" si="1041"/>
        <v>1800</v>
      </c>
      <c r="M1402" s="356">
        <f t="shared" si="1042"/>
        <v>1980</v>
      </c>
      <c r="N1402" s="258" t="s">
        <v>1516</v>
      </c>
      <c r="O1402" s="466"/>
      <c r="P1402" s="18" t="s">
        <v>6455</v>
      </c>
      <c r="Q1402" s="18" t="s">
        <v>6455</v>
      </c>
      <c r="R1402" s="18" t="s">
        <v>6455</v>
      </c>
      <c r="W1402" s="354">
        <f t="shared" ref="W1402:W1406" si="1061">X1402/H1402</f>
        <v>0.57999999999999996</v>
      </c>
      <c r="X1402" s="355">
        <v>1160</v>
      </c>
      <c r="Y1402" s="355">
        <v>1</v>
      </c>
      <c r="Z1402" s="355">
        <f t="shared" ref="Z1402:Z1406" si="1062">X1402*Y1402</f>
        <v>1160</v>
      </c>
      <c r="AA1402" s="355">
        <f t="shared" ref="AA1402:AA1406" si="1063">L1402-Z1402</f>
        <v>640</v>
      </c>
    </row>
    <row r="1403" spans="1:27" ht="21.75" customHeight="1" x14ac:dyDescent="0.4">
      <c r="A1403" s="466">
        <v>46193</v>
      </c>
      <c r="B1403" s="474" t="s">
        <v>6908</v>
      </c>
      <c r="C1403" s="32" t="s">
        <v>405</v>
      </c>
      <c r="D1403" s="18" t="s">
        <v>17</v>
      </c>
      <c r="E1403" s="18" t="s">
        <v>328</v>
      </c>
      <c r="F1403" s="18" t="s">
        <v>6990</v>
      </c>
      <c r="G1403" s="63" t="s">
        <v>6990</v>
      </c>
      <c r="H1403" s="399">
        <v>50000</v>
      </c>
      <c r="I1403" s="353">
        <v>-10000</v>
      </c>
      <c r="J1403" s="350">
        <f t="shared" si="1040"/>
        <v>40000</v>
      </c>
      <c r="K1403" s="18">
        <v>1</v>
      </c>
      <c r="L1403" s="350">
        <f t="shared" si="1041"/>
        <v>40000</v>
      </c>
      <c r="M1403" s="356">
        <f t="shared" si="1042"/>
        <v>44000</v>
      </c>
      <c r="N1403" s="258" t="s">
        <v>1121</v>
      </c>
      <c r="O1403" s="466"/>
      <c r="P1403" s="18" t="s">
        <v>6455</v>
      </c>
      <c r="Q1403" s="18" t="s">
        <v>6455</v>
      </c>
      <c r="R1403" s="18" t="s">
        <v>6455</v>
      </c>
      <c r="W1403" s="354">
        <f t="shared" si="1061"/>
        <v>0</v>
      </c>
      <c r="X1403" s="405"/>
      <c r="Y1403" s="355">
        <v>1</v>
      </c>
      <c r="Z1403" s="355">
        <f t="shared" si="1062"/>
        <v>0</v>
      </c>
      <c r="AA1403" s="355">
        <f t="shared" si="1063"/>
        <v>40000</v>
      </c>
    </row>
    <row r="1404" spans="1:27" ht="21.75" customHeight="1" x14ac:dyDescent="0.4">
      <c r="A1404" s="466">
        <v>46193</v>
      </c>
      <c r="B1404" s="474" t="s">
        <v>6908</v>
      </c>
      <c r="C1404" s="32" t="s">
        <v>405</v>
      </c>
      <c r="D1404" s="18" t="s">
        <v>17</v>
      </c>
      <c r="E1404" s="18" t="s">
        <v>332</v>
      </c>
      <c r="F1404" s="18" t="s">
        <v>3554</v>
      </c>
      <c r="G1404" s="63" t="s">
        <v>6991</v>
      </c>
      <c r="H1404" s="399">
        <v>2200</v>
      </c>
      <c r="I1404" s="353"/>
      <c r="J1404" s="350">
        <f t="shared" si="1040"/>
        <v>2200</v>
      </c>
      <c r="K1404" s="18">
        <v>1</v>
      </c>
      <c r="L1404" s="350">
        <f t="shared" si="1041"/>
        <v>2200</v>
      </c>
      <c r="M1404" s="356">
        <f t="shared" si="1042"/>
        <v>2420</v>
      </c>
      <c r="N1404" s="258" t="s">
        <v>1121</v>
      </c>
      <c r="O1404" s="466"/>
      <c r="P1404" s="18" t="s">
        <v>6455</v>
      </c>
      <c r="Q1404" s="18" t="s">
        <v>6455</v>
      </c>
      <c r="R1404" s="18" t="s">
        <v>6455</v>
      </c>
      <c r="W1404" s="354">
        <f t="shared" si="1061"/>
        <v>0.625</v>
      </c>
      <c r="X1404" s="355">
        <v>1375</v>
      </c>
      <c r="Y1404" s="355">
        <v>1</v>
      </c>
      <c r="Z1404" s="355">
        <f t="shared" si="1062"/>
        <v>1375</v>
      </c>
      <c r="AA1404" s="355">
        <f t="shared" si="1063"/>
        <v>825</v>
      </c>
    </row>
    <row r="1405" spans="1:27" ht="21.75" customHeight="1" x14ac:dyDescent="0.4">
      <c r="A1405" s="466">
        <v>46193</v>
      </c>
      <c r="B1405" s="474" t="s">
        <v>6908</v>
      </c>
      <c r="C1405" s="32" t="s">
        <v>405</v>
      </c>
      <c r="D1405" s="18" t="s">
        <v>17</v>
      </c>
      <c r="E1405" s="258" t="s">
        <v>330</v>
      </c>
      <c r="F1405" s="258" t="s">
        <v>3543</v>
      </c>
      <c r="G1405" s="433" t="s">
        <v>6505</v>
      </c>
      <c r="H1405" s="399">
        <v>5500</v>
      </c>
      <c r="I1405" s="353"/>
      <c r="J1405" s="350">
        <f t="shared" si="1040"/>
        <v>5500</v>
      </c>
      <c r="K1405" s="18">
        <v>1</v>
      </c>
      <c r="L1405" s="350">
        <f t="shared" si="1041"/>
        <v>5500</v>
      </c>
      <c r="M1405" s="356">
        <f t="shared" si="1042"/>
        <v>6050</v>
      </c>
      <c r="N1405" s="258" t="s">
        <v>1121</v>
      </c>
      <c r="O1405" s="466"/>
      <c r="P1405" s="18" t="s">
        <v>6455</v>
      </c>
      <c r="Q1405" s="18" t="s">
        <v>6455</v>
      </c>
      <c r="R1405" s="18" t="s">
        <v>6455</v>
      </c>
      <c r="W1405" s="354">
        <f t="shared" si="1061"/>
        <v>0.47272727272727272</v>
      </c>
      <c r="X1405" s="355">
        <v>2600</v>
      </c>
      <c r="Y1405" s="355">
        <v>1</v>
      </c>
      <c r="Z1405" s="355">
        <f t="shared" si="1062"/>
        <v>2600</v>
      </c>
      <c r="AA1405" s="355">
        <f t="shared" si="1063"/>
        <v>2900</v>
      </c>
    </row>
    <row r="1406" spans="1:27" ht="21.75" customHeight="1" x14ac:dyDescent="0.4">
      <c r="A1406" s="466">
        <v>46193</v>
      </c>
      <c r="B1406" s="474" t="s">
        <v>6312</v>
      </c>
      <c r="C1406" s="474" t="s">
        <v>2557</v>
      </c>
      <c r="D1406" s="18" t="s">
        <v>17</v>
      </c>
      <c r="E1406" s="18" t="s">
        <v>332</v>
      </c>
      <c r="F1406" s="18" t="s">
        <v>3554</v>
      </c>
      <c r="G1406" s="63" t="s">
        <v>6992</v>
      </c>
      <c r="H1406" s="399">
        <v>2600</v>
      </c>
      <c r="I1406" s="353">
        <v>-260</v>
      </c>
      <c r="J1406" s="350">
        <f t="shared" si="1040"/>
        <v>2340</v>
      </c>
      <c r="K1406" s="18">
        <v>1</v>
      </c>
      <c r="L1406" s="350">
        <f t="shared" si="1041"/>
        <v>2340</v>
      </c>
      <c r="M1406" s="356">
        <f t="shared" si="1042"/>
        <v>2574</v>
      </c>
      <c r="N1406" s="258" t="s">
        <v>20</v>
      </c>
      <c r="O1406" s="466"/>
      <c r="P1406" s="18" t="s">
        <v>5459</v>
      </c>
      <c r="Q1406" s="18" t="s">
        <v>5459</v>
      </c>
      <c r="R1406" s="18" t="s">
        <v>6455</v>
      </c>
      <c r="W1406" s="354">
        <f t="shared" si="1061"/>
        <v>0.625</v>
      </c>
      <c r="X1406" s="355">
        <v>1625</v>
      </c>
      <c r="Y1406" s="355">
        <v>1</v>
      </c>
      <c r="Z1406" s="355">
        <f t="shared" si="1062"/>
        <v>1625</v>
      </c>
      <c r="AA1406" s="355">
        <f t="shared" si="1063"/>
        <v>715</v>
      </c>
    </row>
    <row r="1407" spans="1:27" ht="21.75" customHeight="1" x14ac:dyDescent="0.4">
      <c r="A1407" s="466">
        <v>46193</v>
      </c>
      <c r="B1407" s="474" t="s">
        <v>6312</v>
      </c>
      <c r="C1407" s="241" t="s">
        <v>2557</v>
      </c>
      <c r="D1407" s="18" t="s">
        <v>59</v>
      </c>
      <c r="E1407" s="18" t="s">
        <v>6620</v>
      </c>
      <c r="F1407" s="18"/>
      <c r="G1407" s="63"/>
      <c r="H1407" s="399">
        <v>300</v>
      </c>
      <c r="I1407" s="353"/>
      <c r="J1407" s="350">
        <f t="shared" si="1040"/>
        <v>300</v>
      </c>
      <c r="K1407" s="18">
        <v>1</v>
      </c>
      <c r="L1407" s="350">
        <f t="shared" si="1041"/>
        <v>300</v>
      </c>
      <c r="M1407" s="356">
        <f t="shared" si="1042"/>
        <v>330</v>
      </c>
      <c r="N1407" s="258" t="s">
        <v>20</v>
      </c>
      <c r="O1407" s="466"/>
      <c r="P1407" s="18" t="s">
        <v>5459</v>
      </c>
      <c r="Q1407" s="18" t="s">
        <v>5459</v>
      </c>
      <c r="R1407" s="18" t="s">
        <v>6455</v>
      </c>
    </row>
    <row r="1408" spans="1:27" ht="21.75" customHeight="1" x14ac:dyDescent="0.4">
      <c r="A1408" s="466">
        <v>46193</v>
      </c>
      <c r="B1408" s="474" t="s">
        <v>4127</v>
      </c>
      <c r="C1408" s="474" t="s">
        <v>2557</v>
      </c>
      <c r="D1408" s="18" t="s">
        <v>17</v>
      </c>
      <c r="E1408" s="18" t="s">
        <v>332</v>
      </c>
      <c r="F1408" s="18" t="s">
        <v>3555</v>
      </c>
      <c r="G1408" s="63" t="s">
        <v>6997</v>
      </c>
      <c r="H1408" s="399">
        <v>2000</v>
      </c>
      <c r="I1408" s="353">
        <v>-200</v>
      </c>
      <c r="J1408" s="350">
        <f t="shared" si="1040"/>
        <v>1800</v>
      </c>
      <c r="K1408" s="18">
        <v>1</v>
      </c>
      <c r="L1408" s="350">
        <f t="shared" si="1041"/>
        <v>1800</v>
      </c>
      <c r="M1408" s="356">
        <f t="shared" si="1042"/>
        <v>1980</v>
      </c>
      <c r="N1408" s="258" t="s">
        <v>20</v>
      </c>
      <c r="O1408" s="466"/>
      <c r="P1408" s="18" t="s">
        <v>5459</v>
      </c>
      <c r="Q1408" s="18" t="s">
        <v>5459</v>
      </c>
      <c r="R1408" s="18" t="s">
        <v>6455</v>
      </c>
      <c r="W1408" s="354">
        <f t="shared" ref="W1408" si="1064">X1408/H1408</f>
        <v>0.57999999999999996</v>
      </c>
      <c r="X1408" s="355">
        <v>1160</v>
      </c>
      <c r="Y1408" s="355">
        <v>1</v>
      </c>
      <c r="Z1408" s="355">
        <f t="shared" ref="Z1408" si="1065">X1408*Y1408</f>
        <v>1160</v>
      </c>
      <c r="AA1408" s="355">
        <f t="shared" ref="AA1408" si="1066">L1408-Z1408</f>
        <v>640</v>
      </c>
    </row>
    <row r="1409" spans="1:27" ht="21.75" customHeight="1" x14ac:dyDescent="0.4">
      <c r="A1409" s="466">
        <v>46193</v>
      </c>
      <c r="B1409" s="474" t="s">
        <v>4127</v>
      </c>
      <c r="C1409" s="474" t="s">
        <v>2557</v>
      </c>
      <c r="D1409" s="18" t="s">
        <v>59</v>
      </c>
      <c r="E1409" s="18" t="s">
        <v>6620</v>
      </c>
      <c r="F1409" s="18"/>
      <c r="G1409" s="63"/>
      <c r="H1409" s="399">
        <v>300</v>
      </c>
      <c r="I1409" s="353"/>
      <c r="J1409" s="350">
        <f t="shared" si="1040"/>
        <v>300</v>
      </c>
      <c r="K1409" s="18">
        <v>1</v>
      </c>
      <c r="L1409" s="350">
        <f t="shared" si="1041"/>
        <v>300</v>
      </c>
      <c r="M1409" s="356">
        <f t="shared" si="1042"/>
        <v>330</v>
      </c>
      <c r="N1409" s="258" t="s">
        <v>20</v>
      </c>
      <c r="O1409" s="466"/>
      <c r="P1409" s="18" t="s">
        <v>5459</v>
      </c>
      <c r="Q1409" s="18" t="s">
        <v>5459</v>
      </c>
      <c r="R1409" s="18" t="s">
        <v>6455</v>
      </c>
      <c r="S1409" s="471"/>
    </row>
    <row r="1410" spans="1:27" ht="21.75" customHeight="1" x14ac:dyDescent="0.4">
      <c r="A1410" s="466">
        <v>46194</v>
      </c>
      <c r="B1410" s="474" t="s">
        <v>5023</v>
      </c>
      <c r="C1410" s="474" t="s">
        <v>6993</v>
      </c>
      <c r="D1410" s="258" t="s">
        <v>22</v>
      </c>
      <c r="E1410" s="258" t="s">
        <v>5040</v>
      </c>
      <c r="F1410" s="258"/>
      <c r="G1410" s="433" t="s">
        <v>4869</v>
      </c>
      <c r="H1410" s="399">
        <v>2000</v>
      </c>
      <c r="I1410" s="353"/>
      <c r="J1410" s="350">
        <f t="shared" si="1040"/>
        <v>2000</v>
      </c>
      <c r="K1410" s="18">
        <v>1</v>
      </c>
      <c r="L1410" s="350">
        <f t="shared" si="1041"/>
        <v>2000</v>
      </c>
      <c r="M1410" s="356">
        <f t="shared" si="1042"/>
        <v>2200</v>
      </c>
      <c r="N1410" s="258" t="s">
        <v>20</v>
      </c>
      <c r="O1410" s="466"/>
      <c r="P1410" s="18" t="s">
        <v>6994</v>
      </c>
      <c r="Q1410" s="18" t="s">
        <v>6994</v>
      </c>
      <c r="R1410" s="18" t="s">
        <v>6994</v>
      </c>
      <c r="S1410" s="472"/>
    </row>
    <row r="1411" spans="1:27" ht="21.75" customHeight="1" x14ac:dyDescent="0.4">
      <c r="A1411" s="466">
        <v>46194</v>
      </c>
      <c r="B1411" s="474" t="s">
        <v>6998</v>
      </c>
      <c r="C1411" s="474" t="s">
        <v>2557</v>
      </c>
      <c r="D1411" s="18" t="s">
        <v>17</v>
      </c>
      <c r="E1411" s="18" t="s">
        <v>332</v>
      </c>
      <c r="F1411" s="18" t="s">
        <v>3555</v>
      </c>
      <c r="G1411" s="63" t="s">
        <v>6999</v>
      </c>
      <c r="H1411" s="399">
        <v>1500</v>
      </c>
      <c r="I1411" s="353">
        <v>-150</v>
      </c>
      <c r="J1411" s="350">
        <f t="shared" ref="J1411:J1413" si="1067">SUM(H1411:I1411)</f>
        <v>1350</v>
      </c>
      <c r="K1411" s="18">
        <v>2</v>
      </c>
      <c r="L1411" s="350">
        <f t="shared" ref="L1411:L1413" si="1068">SUM(J1411*K1411)</f>
        <v>2700</v>
      </c>
      <c r="M1411" s="356">
        <f t="shared" ref="M1411:M1413" si="1069">ROUNDDOWN(L1411*1.1,0)</f>
        <v>2970</v>
      </c>
      <c r="N1411" s="258" t="s">
        <v>1516</v>
      </c>
      <c r="O1411" s="466"/>
      <c r="P1411" s="18" t="s">
        <v>6455</v>
      </c>
      <c r="Q1411" s="18" t="s">
        <v>4803</v>
      </c>
      <c r="R1411" s="18" t="s">
        <v>4803</v>
      </c>
      <c r="S1411" s="471"/>
      <c r="W1411" s="354">
        <f t="shared" ref="W1411" si="1070">X1411/H1411</f>
        <v>0.57999999999999996</v>
      </c>
      <c r="X1411" s="355">
        <v>870</v>
      </c>
      <c r="Y1411" s="355">
        <v>2</v>
      </c>
      <c r="Z1411" s="355">
        <f t="shared" ref="Z1411" si="1071">X1411*Y1411</f>
        <v>1740</v>
      </c>
      <c r="AA1411" s="355">
        <f t="shared" ref="AA1411" si="1072">L1411-Z1411</f>
        <v>960</v>
      </c>
    </row>
    <row r="1412" spans="1:27" ht="21.75" customHeight="1" x14ac:dyDescent="0.4">
      <c r="A1412" s="466">
        <v>46194</v>
      </c>
      <c r="B1412" s="474" t="s">
        <v>6998</v>
      </c>
      <c r="C1412" s="474" t="s">
        <v>2557</v>
      </c>
      <c r="D1412" s="18" t="s">
        <v>59</v>
      </c>
      <c r="E1412" s="18" t="s">
        <v>6620</v>
      </c>
      <c r="F1412" s="18"/>
      <c r="G1412" s="63"/>
      <c r="H1412" s="399">
        <v>300</v>
      </c>
      <c r="I1412" s="353"/>
      <c r="J1412" s="350">
        <f t="shared" si="1067"/>
        <v>300</v>
      </c>
      <c r="K1412" s="18">
        <v>2</v>
      </c>
      <c r="L1412" s="350">
        <f t="shared" si="1068"/>
        <v>600</v>
      </c>
      <c r="M1412" s="356">
        <f t="shared" si="1069"/>
        <v>660</v>
      </c>
      <c r="N1412" s="258" t="s">
        <v>1516</v>
      </c>
      <c r="O1412" s="466"/>
      <c r="P1412" s="18" t="s">
        <v>6455</v>
      </c>
      <c r="Q1412" s="18" t="s">
        <v>4803</v>
      </c>
      <c r="R1412" s="18" t="s">
        <v>4803</v>
      </c>
      <c r="S1412" s="472"/>
    </row>
    <row r="1413" spans="1:27" ht="21.75" customHeight="1" x14ac:dyDescent="0.4">
      <c r="A1413" s="466">
        <v>46194</v>
      </c>
      <c r="B1413" s="325" t="s">
        <v>6519</v>
      </c>
      <c r="C1413" s="32" t="s">
        <v>2557</v>
      </c>
      <c r="D1413" s="18" t="s">
        <v>27</v>
      </c>
      <c r="E1413" s="242" t="s">
        <v>5237</v>
      </c>
      <c r="F1413" s="258"/>
      <c r="G1413" s="433" t="s">
        <v>6148</v>
      </c>
      <c r="H1413" s="399">
        <v>1800</v>
      </c>
      <c r="I1413" s="399"/>
      <c r="J1413" s="350">
        <f t="shared" si="1067"/>
        <v>1800</v>
      </c>
      <c r="K1413" s="18">
        <v>1</v>
      </c>
      <c r="L1413" s="350">
        <f t="shared" si="1068"/>
        <v>1800</v>
      </c>
      <c r="M1413" s="356">
        <f t="shared" si="1069"/>
        <v>1980</v>
      </c>
      <c r="N1413" s="18" t="s">
        <v>4233</v>
      </c>
      <c r="O1413" s="466"/>
      <c r="R1413" s="18" t="s">
        <v>4803</v>
      </c>
      <c r="S1413" s="472"/>
    </row>
    <row r="1414" spans="1:27" ht="21.75" customHeight="1" x14ac:dyDescent="0.4">
      <c r="A1414" s="466">
        <v>46195</v>
      </c>
      <c r="B1414" s="474" t="s">
        <v>6705</v>
      </c>
      <c r="C1414" s="474" t="s">
        <v>7000</v>
      </c>
      <c r="D1414" s="258" t="s">
        <v>22</v>
      </c>
      <c r="E1414" s="258" t="s">
        <v>5040</v>
      </c>
      <c r="F1414" s="258"/>
      <c r="G1414" s="433" t="s">
        <v>4869</v>
      </c>
      <c r="H1414" s="406">
        <v>2000</v>
      </c>
      <c r="I1414" s="353"/>
      <c r="J1414" s="350">
        <f t="shared" si="1040"/>
        <v>2000</v>
      </c>
      <c r="K1414" s="18">
        <v>1</v>
      </c>
      <c r="L1414" s="350">
        <f t="shared" si="1041"/>
        <v>2000</v>
      </c>
      <c r="M1414" s="357">
        <f t="shared" si="1042"/>
        <v>2200</v>
      </c>
      <c r="N1414" s="258" t="s">
        <v>1516</v>
      </c>
      <c r="O1414" s="466"/>
      <c r="P1414" s="18" t="s">
        <v>2595</v>
      </c>
      <c r="Q1414" s="18" t="s">
        <v>7001</v>
      </c>
      <c r="R1414" s="18" t="s">
        <v>7002</v>
      </c>
    </row>
    <row r="1415" spans="1:27" ht="21.75" customHeight="1" x14ac:dyDescent="0.4">
      <c r="A1415" s="466">
        <v>46195</v>
      </c>
      <c r="B1415" s="474" t="s">
        <v>7007</v>
      </c>
      <c r="C1415" s="474" t="s">
        <v>405</v>
      </c>
      <c r="D1415" s="18" t="s">
        <v>17</v>
      </c>
      <c r="E1415" s="18" t="s">
        <v>332</v>
      </c>
      <c r="F1415" s="18" t="s">
        <v>3555</v>
      </c>
      <c r="G1415" s="52" t="s">
        <v>6287</v>
      </c>
      <c r="H1415" s="406">
        <v>2000</v>
      </c>
      <c r="I1415" s="353"/>
      <c r="J1415" s="350">
        <f t="shared" si="1040"/>
        <v>2000</v>
      </c>
      <c r="K1415" s="18">
        <v>1</v>
      </c>
      <c r="L1415" s="350">
        <f t="shared" si="1041"/>
        <v>2000</v>
      </c>
      <c r="M1415" s="357">
        <f t="shared" si="1042"/>
        <v>2200</v>
      </c>
      <c r="N1415" s="258" t="s">
        <v>1121</v>
      </c>
      <c r="O1415" s="466"/>
      <c r="P1415" s="18" t="s">
        <v>2595</v>
      </c>
      <c r="Q1415" s="18" t="s">
        <v>2595</v>
      </c>
      <c r="R1415" s="18" t="s">
        <v>5449</v>
      </c>
      <c r="W1415" s="354">
        <f t="shared" ref="W1415" si="1073">X1415/H1415</f>
        <v>0.63800000000000001</v>
      </c>
      <c r="X1415" s="355">
        <v>1276</v>
      </c>
      <c r="Y1415" s="355">
        <v>1</v>
      </c>
      <c r="Z1415" s="355">
        <f t="shared" ref="Z1415" si="1074">X1415*Y1415</f>
        <v>1276</v>
      </c>
      <c r="AA1415" s="355">
        <f t="shared" ref="AA1415" si="1075">L1415-Z1415</f>
        <v>724</v>
      </c>
    </row>
    <row r="1416" spans="1:27" ht="21.75" customHeight="1" x14ac:dyDescent="0.4">
      <c r="A1416" s="466">
        <v>46195</v>
      </c>
      <c r="B1416" s="474" t="s">
        <v>7007</v>
      </c>
      <c r="C1416" s="474" t="s">
        <v>405</v>
      </c>
      <c r="D1416" s="18" t="s">
        <v>59</v>
      </c>
      <c r="E1416" s="18" t="s">
        <v>6620</v>
      </c>
      <c r="F1416" s="18"/>
      <c r="G1416" s="63"/>
      <c r="H1416" s="406">
        <v>300</v>
      </c>
      <c r="I1416" s="353"/>
      <c r="J1416" s="350">
        <f t="shared" si="1040"/>
        <v>300</v>
      </c>
      <c r="K1416" s="18">
        <v>1</v>
      </c>
      <c r="L1416" s="350">
        <f t="shared" si="1041"/>
        <v>300</v>
      </c>
      <c r="M1416" s="357">
        <f t="shared" si="1042"/>
        <v>330</v>
      </c>
      <c r="N1416" s="258" t="s">
        <v>1121</v>
      </c>
      <c r="O1416" s="466"/>
      <c r="P1416" s="18" t="s">
        <v>2595</v>
      </c>
      <c r="Q1416" s="18" t="s">
        <v>2595</v>
      </c>
      <c r="R1416" s="18" t="s">
        <v>5449</v>
      </c>
    </row>
    <row r="1417" spans="1:27" ht="21.75" customHeight="1" x14ac:dyDescent="0.4">
      <c r="A1417" s="466">
        <v>46195</v>
      </c>
      <c r="B1417" s="474" t="s">
        <v>7006</v>
      </c>
      <c r="C1417" s="474" t="s">
        <v>7005</v>
      </c>
      <c r="D1417" s="18" t="s">
        <v>7003</v>
      </c>
      <c r="E1417" s="18" t="s">
        <v>292</v>
      </c>
      <c r="F1417" s="18" t="s">
        <v>1051</v>
      </c>
      <c r="G1417" s="63" t="s">
        <v>7004</v>
      </c>
      <c r="H1417" s="406">
        <v>5700</v>
      </c>
      <c r="I1417" s="353"/>
      <c r="J1417" s="350">
        <f t="shared" si="1040"/>
        <v>5700</v>
      </c>
      <c r="K1417" s="18">
        <v>1</v>
      </c>
      <c r="L1417" s="350">
        <f t="shared" si="1041"/>
        <v>5700</v>
      </c>
      <c r="M1417" s="357">
        <f t="shared" si="1042"/>
        <v>6270</v>
      </c>
      <c r="N1417" s="258" t="s">
        <v>1516</v>
      </c>
      <c r="O1417" s="466"/>
      <c r="P1417" s="18" t="s">
        <v>2595</v>
      </c>
      <c r="Q1417" s="18" t="s">
        <v>2595</v>
      </c>
      <c r="R1417" s="18" t="s">
        <v>5449</v>
      </c>
      <c r="W1417" s="354">
        <f t="shared" ref="W1417" si="1076">X1417/H1417</f>
        <v>0.88140350877192986</v>
      </c>
      <c r="X1417" s="355">
        <v>5024</v>
      </c>
      <c r="Y1417" s="355">
        <v>1</v>
      </c>
      <c r="Z1417" s="355">
        <f t="shared" ref="Z1417" si="1077">X1417*Y1417</f>
        <v>5024</v>
      </c>
      <c r="AA1417" s="355">
        <f t="shared" ref="AA1417" si="1078">L1417-Z1417</f>
        <v>676</v>
      </c>
    </row>
    <row r="1418" spans="1:27" ht="21.75" customHeight="1" x14ac:dyDescent="0.4">
      <c r="A1418" s="466">
        <v>46195</v>
      </c>
      <c r="B1418" s="474" t="s">
        <v>2088</v>
      </c>
      <c r="C1418" s="474" t="s">
        <v>7005</v>
      </c>
      <c r="D1418" s="18" t="s">
        <v>2457</v>
      </c>
      <c r="E1418" s="18" t="s">
        <v>1615</v>
      </c>
      <c r="F1418" s="63"/>
      <c r="G1418" s="50" t="s">
        <v>6982</v>
      </c>
      <c r="H1418" s="406">
        <v>15000</v>
      </c>
      <c r="I1418" s="353"/>
      <c r="J1418" s="350">
        <f t="shared" si="1040"/>
        <v>15000</v>
      </c>
      <c r="K1418" s="18">
        <v>1</v>
      </c>
      <c r="L1418" s="350">
        <f t="shared" si="1041"/>
        <v>15000</v>
      </c>
      <c r="M1418" s="357">
        <f t="shared" si="1042"/>
        <v>16500</v>
      </c>
      <c r="N1418" s="258" t="s">
        <v>1516</v>
      </c>
      <c r="O1418" s="466"/>
      <c r="P1418" s="18" t="s">
        <v>7008</v>
      </c>
      <c r="Q1418" s="18" t="s">
        <v>7008</v>
      </c>
      <c r="R1418" s="18" t="s">
        <v>7008</v>
      </c>
    </row>
    <row r="1419" spans="1:27" ht="21.75" customHeight="1" x14ac:dyDescent="0.4">
      <c r="A1419" s="466">
        <v>46195</v>
      </c>
      <c r="B1419" s="325" t="s">
        <v>148</v>
      </c>
      <c r="C1419" s="32" t="s">
        <v>2557</v>
      </c>
      <c r="D1419" s="18" t="s">
        <v>7039</v>
      </c>
      <c r="E1419" s="18" t="s">
        <v>4409</v>
      </c>
      <c r="F1419" s="258"/>
      <c r="G1419" s="63" t="s">
        <v>6269</v>
      </c>
      <c r="H1419" s="399">
        <v>17500</v>
      </c>
      <c r="I1419" s="353"/>
      <c r="J1419" s="350">
        <f t="shared" si="1040"/>
        <v>17500</v>
      </c>
      <c r="K1419" s="18">
        <v>1</v>
      </c>
      <c r="L1419" s="350">
        <f t="shared" si="1041"/>
        <v>17500</v>
      </c>
      <c r="M1419" s="356">
        <f t="shared" si="1042"/>
        <v>19250</v>
      </c>
      <c r="N1419" s="258" t="s">
        <v>20</v>
      </c>
      <c r="O1419" s="465" t="s">
        <v>4802</v>
      </c>
      <c r="R1419" s="18" t="s">
        <v>4803</v>
      </c>
    </row>
    <row r="1420" spans="1:27" ht="21.75" customHeight="1" x14ac:dyDescent="0.4">
      <c r="A1420" s="466">
        <v>46196</v>
      </c>
      <c r="B1420" s="325" t="s">
        <v>6144</v>
      </c>
      <c r="C1420" s="32" t="s">
        <v>2557</v>
      </c>
      <c r="D1420" s="18" t="s">
        <v>27</v>
      </c>
      <c r="E1420" s="242" t="s">
        <v>5237</v>
      </c>
      <c r="F1420" s="242"/>
      <c r="G1420" s="63" t="s">
        <v>6032</v>
      </c>
      <c r="H1420" s="399">
        <v>2500</v>
      </c>
      <c r="I1420" s="399"/>
      <c r="J1420" s="350">
        <f t="shared" si="1040"/>
        <v>2500</v>
      </c>
      <c r="K1420" s="18">
        <v>1</v>
      </c>
      <c r="L1420" s="350">
        <f t="shared" si="1041"/>
        <v>2500</v>
      </c>
      <c r="M1420" s="356">
        <f t="shared" si="1042"/>
        <v>2750</v>
      </c>
      <c r="N1420" s="18" t="s">
        <v>4233</v>
      </c>
      <c r="O1420" s="470"/>
      <c r="R1420" s="18" t="s">
        <v>4803</v>
      </c>
    </row>
    <row r="1421" spans="1:27" ht="21.75" customHeight="1" x14ac:dyDescent="0.4">
      <c r="A1421" s="466">
        <v>46196</v>
      </c>
      <c r="B1421" s="325" t="s">
        <v>6144</v>
      </c>
      <c r="C1421" s="32" t="s">
        <v>2557</v>
      </c>
      <c r="D1421" s="18" t="s">
        <v>27</v>
      </c>
      <c r="E1421" s="242" t="s">
        <v>5237</v>
      </c>
      <c r="F1421" s="242"/>
      <c r="G1421" s="63" t="s">
        <v>6032</v>
      </c>
      <c r="H1421" s="399">
        <v>2500</v>
      </c>
      <c r="I1421" s="399"/>
      <c r="J1421" s="350">
        <f t="shared" si="1040"/>
        <v>2500</v>
      </c>
      <c r="K1421" s="18">
        <v>1</v>
      </c>
      <c r="L1421" s="350">
        <f t="shared" si="1041"/>
        <v>2500</v>
      </c>
      <c r="M1421" s="356">
        <f t="shared" si="1042"/>
        <v>2750</v>
      </c>
      <c r="N1421" s="18" t="s">
        <v>4233</v>
      </c>
      <c r="O1421" s="470"/>
      <c r="R1421" s="18" t="s">
        <v>4803</v>
      </c>
    </row>
    <row r="1422" spans="1:27" ht="21.75" customHeight="1" x14ac:dyDescent="0.4">
      <c r="A1422" s="466">
        <v>46197</v>
      </c>
      <c r="B1422" s="474" t="s">
        <v>6984</v>
      </c>
      <c r="C1422" s="474" t="s">
        <v>2557</v>
      </c>
      <c r="D1422" s="18" t="s">
        <v>17</v>
      </c>
      <c r="E1422" s="18" t="s">
        <v>426</v>
      </c>
      <c r="F1422" s="18" t="s">
        <v>994</v>
      </c>
      <c r="G1422" s="63" t="s">
        <v>7009</v>
      </c>
      <c r="H1422" s="399">
        <v>1800</v>
      </c>
      <c r="I1422" s="353">
        <v>-180</v>
      </c>
      <c r="J1422" s="350">
        <f t="shared" si="1040"/>
        <v>1620</v>
      </c>
      <c r="K1422" s="18">
        <v>1</v>
      </c>
      <c r="L1422" s="350">
        <f t="shared" si="1041"/>
        <v>1620</v>
      </c>
      <c r="M1422" s="356">
        <f t="shared" si="1042"/>
        <v>1782</v>
      </c>
      <c r="N1422" s="258" t="s">
        <v>1516</v>
      </c>
      <c r="O1422" s="466"/>
      <c r="P1422" s="18" t="s">
        <v>2596</v>
      </c>
      <c r="Q1422" s="18" t="s">
        <v>2596</v>
      </c>
      <c r="R1422" s="18" t="s">
        <v>2596</v>
      </c>
      <c r="W1422" s="354">
        <f t="shared" ref="W1422" si="1079">X1422/H1422</f>
        <v>0.6</v>
      </c>
      <c r="X1422" s="355">
        <v>1080</v>
      </c>
      <c r="Y1422" s="355">
        <v>1</v>
      </c>
      <c r="Z1422" s="355">
        <f t="shared" ref="Z1422" si="1080">X1422*Y1422</f>
        <v>1080</v>
      </c>
      <c r="AA1422" s="355">
        <f t="shared" ref="AA1422" si="1081">L1422-Z1422</f>
        <v>540</v>
      </c>
    </row>
    <row r="1423" spans="1:27" ht="21.75" customHeight="1" x14ac:dyDescent="0.4">
      <c r="A1423" s="466">
        <v>46197</v>
      </c>
      <c r="B1423" s="474" t="s">
        <v>6703</v>
      </c>
      <c r="C1423" s="241" t="s">
        <v>2557</v>
      </c>
      <c r="D1423" s="258" t="s">
        <v>22</v>
      </c>
      <c r="E1423" s="258" t="s">
        <v>5040</v>
      </c>
      <c r="F1423" s="258"/>
      <c r="G1423" s="433" t="s">
        <v>4869</v>
      </c>
      <c r="H1423" s="399">
        <v>2000</v>
      </c>
      <c r="I1423" s="353"/>
      <c r="J1423" s="350">
        <f t="shared" si="1040"/>
        <v>2000</v>
      </c>
      <c r="K1423" s="18">
        <v>1</v>
      </c>
      <c r="L1423" s="350">
        <f t="shared" si="1041"/>
        <v>2000</v>
      </c>
      <c r="M1423" s="356">
        <f t="shared" si="1042"/>
        <v>2200</v>
      </c>
      <c r="N1423" s="258" t="s">
        <v>1516</v>
      </c>
      <c r="O1423" s="466"/>
      <c r="P1423" s="18" t="s">
        <v>2596</v>
      </c>
      <c r="Q1423" s="18" t="s">
        <v>2596</v>
      </c>
      <c r="R1423" s="18" t="s">
        <v>2596</v>
      </c>
    </row>
    <row r="1424" spans="1:27" ht="21.75" customHeight="1" x14ac:dyDescent="0.4">
      <c r="A1424" s="466">
        <v>46197</v>
      </c>
      <c r="B1424" s="474" t="s">
        <v>2878</v>
      </c>
      <c r="C1424" s="474" t="s">
        <v>4292</v>
      </c>
      <c r="D1424" s="18" t="s">
        <v>17</v>
      </c>
      <c r="E1424" s="258" t="s">
        <v>332</v>
      </c>
      <c r="F1424" s="258" t="s">
        <v>3554</v>
      </c>
      <c r="G1424" t="s">
        <v>6849</v>
      </c>
      <c r="H1424" s="399">
        <v>938</v>
      </c>
      <c r="I1424" s="353"/>
      <c r="J1424" s="350">
        <f t="shared" si="1040"/>
        <v>938</v>
      </c>
      <c r="K1424" s="18">
        <v>1</v>
      </c>
      <c r="L1424" s="350">
        <f t="shared" si="1041"/>
        <v>938</v>
      </c>
      <c r="M1424" s="356">
        <f t="shared" si="1042"/>
        <v>1031</v>
      </c>
      <c r="N1424" s="18" t="s">
        <v>25</v>
      </c>
      <c r="O1424" s="466"/>
      <c r="P1424" s="18" t="s">
        <v>2596</v>
      </c>
      <c r="Q1424" s="18" t="s">
        <v>2596</v>
      </c>
      <c r="R1424" s="18" t="s">
        <v>2596</v>
      </c>
      <c r="W1424" s="354">
        <f t="shared" ref="W1424" si="1082">X1424/H1424</f>
        <v>1</v>
      </c>
      <c r="X1424" s="355">
        <v>938</v>
      </c>
      <c r="Y1424" s="355">
        <v>1</v>
      </c>
      <c r="Z1424" s="355">
        <f t="shared" ref="Z1424" si="1083">X1424*Y1424</f>
        <v>938</v>
      </c>
      <c r="AA1424" s="355">
        <f t="shared" ref="AA1424" si="1084">L1424-Z1424</f>
        <v>0</v>
      </c>
    </row>
    <row r="1425" spans="1:27" ht="21.75" customHeight="1" x14ac:dyDescent="0.4">
      <c r="A1425" s="466">
        <v>46198</v>
      </c>
      <c r="B1425" s="336" t="s">
        <v>162</v>
      </c>
      <c r="C1425" s="241" t="s">
        <v>2557</v>
      </c>
      <c r="D1425" s="96" t="s">
        <v>198</v>
      </c>
      <c r="E1425" s="18"/>
      <c r="F1425" s="18"/>
      <c r="G1425" s="63" t="s">
        <v>3483</v>
      </c>
      <c r="H1425" s="399">
        <v>-2600</v>
      </c>
      <c r="I1425" s="353"/>
      <c r="J1425" s="350">
        <f t="shared" ref="J1425" si="1085">SUM(H1425:I1425)</f>
        <v>-2600</v>
      </c>
      <c r="K1425" s="18">
        <v>1</v>
      </c>
      <c r="L1425" s="350">
        <f t="shared" ref="L1425" si="1086">SUM(J1425*K1425)</f>
        <v>-2600</v>
      </c>
      <c r="M1425" s="358">
        <f>ROUNDDOWN(L1425*1.1,0)</f>
        <v>-2860</v>
      </c>
      <c r="N1425" s="258" t="s">
        <v>20</v>
      </c>
      <c r="O1425" s="483" t="s">
        <v>7011</v>
      </c>
      <c r="Q1425" s="18" t="s">
        <v>2595</v>
      </c>
      <c r="R1425" s="18" t="s">
        <v>4803</v>
      </c>
      <c r="X1425" s="405"/>
    </row>
    <row r="1426" spans="1:27" ht="21.75" customHeight="1" x14ac:dyDescent="0.4">
      <c r="A1426" s="466">
        <v>46198</v>
      </c>
      <c r="B1426" s="474" t="s">
        <v>7014</v>
      </c>
      <c r="C1426" s="32" t="s">
        <v>405</v>
      </c>
      <c r="D1426" s="18" t="s">
        <v>17</v>
      </c>
      <c r="E1426" s="18" t="s">
        <v>7015</v>
      </c>
      <c r="F1426" s="18" t="s">
        <v>3543</v>
      </c>
      <c r="G1426" s="63" t="s">
        <v>7016</v>
      </c>
      <c r="H1426" s="399">
        <v>49000</v>
      </c>
      <c r="I1426" s="353"/>
      <c r="J1426" s="350">
        <f t="shared" si="1040"/>
        <v>49000</v>
      </c>
      <c r="K1426" s="18">
        <v>1</v>
      </c>
      <c r="L1426" s="350">
        <f t="shared" si="1041"/>
        <v>49000</v>
      </c>
      <c r="M1426" s="356">
        <f t="shared" si="1042"/>
        <v>53900</v>
      </c>
      <c r="N1426" s="258" t="s">
        <v>1121</v>
      </c>
      <c r="O1426" s="466"/>
      <c r="Q1426" s="18" t="s">
        <v>7013</v>
      </c>
      <c r="R1426" s="18" t="s">
        <v>7012</v>
      </c>
      <c r="W1426" s="354">
        <f t="shared" ref="W1426:W1431" si="1087">X1426/H1426</f>
        <v>0</v>
      </c>
      <c r="X1426" s="405"/>
      <c r="Y1426" s="355">
        <v>1</v>
      </c>
      <c r="Z1426" s="355">
        <f t="shared" ref="Z1426:Z1431" si="1088">X1426*Y1426</f>
        <v>0</v>
      </c>
      <c r="AA1426" s="355">
        <f t="shared" ref="AA1426:AA1431" si="1089">L1426-Z1426</f>
        <v>49000</v>
      </c>
    </row>
    <row r="1427" spans="1:27" ht="21.75" customHeight="1" x14ac:dyDescent="0.4">
      <c r="A1427" s="466">
        <v>46198</v>
      </c>
      <c r="B1427" s="474" t="s">
        <v>7014</v>
      </c>
      <c r="C1427" s="32" t="s">
        <v>405</v>
      </c>
      <c r="D1427" s="18" t="s">
        <v>17</v>
      </c>
      <c r="E1427" s="18" t="s">
        <v>7015</v>
      </c>
      <c r="F1427" s="18" t="s">
        <v>3543</v>
      </c>
      <c r="G1427" s="63" t="s">
        <v>7017</v>
      </c>
      <c r="H1427" s="399">
        <v>49000</v>
      </c>
      <c r="I1427" s="353"/>
      <c r="J1427" s="350">
        <f t="shared" ref="J1427:J1428" si="1090">SUM(H1427:I1427)</f>
        <v>49000</v>
      </c>
      <c r="K1427" s="18">
        <v>1</v>
      </c>
      <c r="L1427" s="350">
        <f t="shared" si="1041"/>
        <v>49000</v>
      </c>
      <c r="M1427" s="356">
        <f t="shared" si="1042"/>
        <v>53900</v>
      </c>
      <c r="N1427" s="258" t="s">
        <v>1121</v>
      </c>
      <c r="O1427" s="466"/>
      <c r="Q1427" s="18" t="s">
        <v>7013</v>
      </c>
      <c r="R1427" s="18" t="s">
        <v>7012</v>
      </c>
      <c r="W1427" s="354">
        <f t="shared" si="1087"/>
        <v>0</v>
      </c>
      <c r="X1427" s="405"/>
      <c r="Y1427" s="355">
        <v>1</v>
      </c>
      <c r="Z1427" s="355">
        <f t="shared" si="1088"/>
        <v>0</v>
      </c>
      <c r="AA1427" s="355">
        <f t="shared" si="1089"/>
        <v>49000</v>
      </c>
    </row>
    <row r="1428" spans="1:27" ht="21.75" customHeight="1" x14ac:dyDescent="0.4">
      <c r="A1428" s="466">
        <v>46198</v>
      </c>
      <c r="B1428" s="474" t="s">
        <v>7014</v>
      </c>
      <c r="C1428" s="32" t="s">
        <v>405</v>
      </c>
      <c r="D1428" s="18" t="s">
        <v>17</v>
      </c>
      <c r="E1428" s="18" t="s">
        <v>7015</v>
      </c>
      <c r="F1428" s="18" t="s">
        <v>3543</v>
      </c>
      <c r="G1428" s="63" t="s">
        <v>7018</v>
      </c>
      <c r="H1428" s="399">
        <v>49000</v>
      </c>
      <c r="I1428" s="353"/>
      <c r="J1428" s="350">
        <f t="shared" si="1090"/>
        <v>49000</v>
      </c>
      <c r="K1428" s="18">
        <v>1</v>
      </c>
      <c r="L1428" s="350">
        <f t="shared" si="1041"/>
        <v>49000</v>
      </c>
      <c r="M1428" s="356">
        <f t="shared" si="1042"/>
        <v>53900</v>
      </c>
      <c r="N1428" s="258" t="s">
        <v>1121</v>
      </c>
      <c r="O1428" s="466"/>
      <c r="Q1428" s="18" t="s">
        <v>7013</v>
      </c>
      <c r="R1428" s="18" t="s">
        <v>7012</v>
      </c>
      <c r="W1428" s="354">
        <f t="shared" si="1087"/>
        <v>0</v>
      </c>
      <c r="X1428" s="405"/>
      <c r="Y1428" s="355">
        <v>1</v>
      </c>
      <c r="Z1428" s="355">
        <f t="shared" si="1088"/>
        <v>0</v>
      </c>
      <c r="AA1428" s="355">
        <f t="shared" si="1089"/>
        <v>49000</v>
      </c>
    </row>
    <row r="1429" spans="1:27" ht="21.75" customHeight="1" x14ac:dyDescent="0.4">
      <c r="A1429" s="466">
        <v>46198</v>
      </c>
      <c r="B1429" s="474" t="s">
        <v>7014</v>
      </c>
      <c r="C1429" s="32" t="s">
        <v>405</v>
      </c>
      <c r="D1429" s="18" t="s">
        <v>17</v>
      </c>
      <c r="E1429" s="18" t="s">
        <v>7019</v>
      </c>
      <c r="F1429" s="18" t="s">
        <v>3595</v>
      </c>
      <c r="G1429" s="63" t="s">
        <v>6898</v>
      </c>
      <c r="H1429" s="399">
        <v>20000</v>
      </c>
      <c r="I1429" s="353">
        <v>-4000</v>
      </c>
      <c r="J1429" s="350">
        <f t="shared" si="1040"/>
        <v>16000</v>
      </c>
      <c r="K1429" s="18">
        <v>1</v>
      </c>
      <c r="L1429" s="350">
        <f t="shared" si="1041"/>
        <v>16000</v>
      </c>
      <c r="M1429" s="356">
        <f t="shared" si="1042"/>
        <v>17600</v>
      </c>
      <c r="N1429" s="258" t="s">
        <v>1121</v>
      </c>
      <c r="O1429" s="466"/>
      <c r="Q1429" s="18" t="s">
        <v>7013</v>
      </c>
      <c r="R1429" s="18" t="s">
        <v>7012</v>
      </c>
      <c r="W1429" s="354">
        <f t="shared" si="1087"/>
        <v>0.45</v>
      </c>
      <c r="X1429" s="355">
        <v>9000</v>
      </c>
      <c r="Y1429" s="355">
        <v>1</v>
      </c>
      <c r="Z1429" s="355">
        <f t="shared" si="1088"/>
        <v>9000</v>
      </c>
      <c r="AA1429" s="355">
        <f t="shared" si="1089"/>
        <v>7000</v>
      </c>
    </row>
    <row r="1430" spans="1:27" ht="21.75" customHeight="1" x14ac:dyDescent="0.4">
      <c r="A1430" s="466">
        <v>46198</v>
      </c>
      <c r="B1430" s="474" t="s">
        <v>7014</v>
      </c>
      <c r="C1430" s="32" t="s">
        <v>405</v>
      </c>
      <c r="D1430" s="18" t="s">
        <v>17</v>
      </c>
      <c r="E1430" s="18" t="s">
        <v>7019</v>
      </c>
      <c r="F1430" s="18" t="s">
        <v>3595</v>
      </c>
      <c r="G1430" s="63" t="s">
        <v>7021</v>
      </c>
      <c r="H1430" s="399">
        <v>20000</v>
      </c>
      <c r="I1430" s="353">
        <v>-4000</v>
      </c>
      <c r="J1430" s="350">
        <f t="shared" si="1040"/>
        <v>16000</v>
      </c>
      <c r="K1430" s="18">
        <v>2</v>
      </c>
      <c r="L1430" s="350">
        <f t="shared" si="1041"/>
        <v>32000</v>
      </c>
      <c r="M1430" s="356">
        <f t="shared" si="1042"/>
        <v>35200</v>
      </c>
      <c r="N1430" s="258" t="s">
        <v>1121</v>
      </c>
      <c r="O1430" s="466"/>
      <c r="Q1430" s="18" t="s">
        <v>7013</v>
      </c>
      <c r="R1430" s="18" t="s">
        <v>7012</v>
      </c>
      <c r="W1430" s="354">
        <f t="shared" si="1087"/>
        <v>0.45</v>
      </c>
      <c r="X1430" s="355">
        <v>9000</v>
      </c>
      <c r="Y1430" s="355">
        <v>2</v>
      </c>
      <c r="Z1430" s="355">
        <f t="shared" si="1088"/>
        <v>18000</v>
      </c>
      <c r="AA1430" s="355">
        <f t="shared" si="1089"/>
        <v>14000</v>
      </c>
    </row>
    <row r="1431" spans="1:27" ht="21.75" customHeight="1" x14ac:dyDescent="0.4">
      <c r="A1431" s="466">
        <v>46198</v>
      </c>
      <c r="B1431" s="474" t="s">
        <v>7014</v>
      </c>
      <c r="C1431" s="32" t="s">
        <v>405</v>
      </c>
      <c r="D1431" s="18" t="s">
        <v>17</v>
      </c>
      <c r="E1431" s="18" t="s">
        <v>7020</v>
      </c>
      <c r="F1431" s="18" t="s">
        <v>3554</v>
      </c>
      <c r="G1431" t="s">
        <v>6849</v>
      </c>
      <c r="H1431" s="399">
        <v>1500</v>
      </c>
      <c r="I1431" s="353"/>
      <c r="J1431" s="350">
        <f t="shared" si="1040"/>
        <v>1500</v>
      </c>
      <c r="K1431" s="18">
        <v>3</v>
      </c>
      <c r="L1431" s="350">
        <f t="shared" si="1041"/>
        <v>4500</v>
      </c>
      <c r="M1431" s="356">
        <f t="shared" si="1042"/>
        <v>4950</v>
      </c>
      <c r="N1431" s="258" t="s">
        <v>1121</v>
      </c>
      <c r="O1431" s="466"/>
      <c r="Q1431" s="18" t="s">
        <v>7013</v>
      </c>
      <c r="R1431" s="18" t="s">
        <v>7012</v>
      </c>
      <c r="W1431" s="354">
        <f t="shared" si="1087"/>
        <v>0.6253333333333333</v>
      </c>
      <c r="X1431" s="355">
        <v>938</v>
      </c>
      <c r="Y1431" s="355">
        <v>3</v>
      </c>
      <c r="Z1431" s="355">
        <f t="shared" si="1088"/>
        <v>2814</v>
      </c>
      <c r="AA1431" s="355">
        <f t="shared" si="1089"/>
        <v>1686</v>
      </c>
    </row>
    <row r="1432" spans="1:27" ht="21.75" customHeight="1" x14ac:dyDescent="0.4">
      <c r="A1432" s="466">
        <v>46198</v>
      </c>
      <c r="B1432" s="474" t="s">
        <v>1861</v>
      </c>
      <c r="C1432" s="241" t="s">
        <v>2557</v>
      </c>
      <c r="D1432" s="258" t="s">
        <v>22</v>
      </c>
      <c r="E1432" s="258" t="s">
        <v>5040</v>
      </c>
      <c r="F1432" s="258"/>
      <c r="G1432" s="433" t="s">
        <v>4869</v>
      </c>
      <c r="H1432" s="399">
        <v>2000</v>
      </c>
      <c r="I1432" s="353"/>
      <c r="J1432" s="350">
        <f t="shared" si="1040"/>
        <v>2000</v>
      </c>
      <c r="K1432" s="18">
        <v>1</v>
      </c>
      <c r="L1432" s="350">
        <f t="shared" si="1041"/>
        <v>2000</v>
      </c>
      <c r="M1432" s="356">
        <f t="shared" si="1042"/>
        <v>2200</v>
      </c>
      <c r="N1432" s="258" t="s">
        <v>1516</v>
      </c>
      <c r="O1432" s="466"/>
      <c r="P1432" s="18" t="s">
        <v>5449</v>
      </c>
      <c r="Q1432" s="18" t="s">
        <v>5449</v>
      </c>
      <c r="R1432" s="18" t="s">
        <v>4803</v>
      </c>
    </row>
    <row r="1433" spans="1:27" ht="21.75" customHeight="1" x14ac:dyDescent="0.4">
      <c r="A1433" s="466">
        <v>46199</v>
      </c>
      <c r="B1433" s="474" t="s">
        <v>7022</v>
      </c>
      <c r="C1433" s="32" t="s">
        <v>405</v>
      </c>
      <c r="D1433" s="18" t="s">
        <v>17</v>
      </c>
      <c r="E1433" s="18" t="s">
        <v>328</v>
      </c>
      <c r="F1433" s="18" t="s">
        <v>788</v>
      </c>
      <c r="G1433" s="63" t="s">
        <v>7024</v>
      </c>
      <c r="H1433" s="399">
        <v>18000</v>
      </c>
      <c r="I1433" s="353">
        <v>-3600</v>
      </c>
      <c r="J1433" s="350">
        <f t="shared" si="1040"/>
        <v>14400</v>
      </c>
      <c r="K1433" s="18">
        <v>3</v>
      </c>
      <c r="L1433" s="350">
        <f t="shared" si="1041"/>
        <v>43200</v>
      </c>
      <c r="M1433" s="356">
        <f t="shared" si="1042"/>
        <v>47520</v>
      </c>
      <c r="N1433" s="258" t="s">
        <v>1121</v>
      </c>
      <c r="O1433" s="466"/>
      <c r="Q1433" s="18" t="s">
        <v>4803</v>
      </c>
      <c r="R1433" s="18" t="s">
        <v>4803</v>
      </c>
      <c r="W1433" s="354">
        <f t="shared" ref="W1433:W1439" si="1091">X1433/H1433</f>
        <v>0.5</v>
      </c>
      <c r="X1433" s="355">
        <v>9000</v>
      </c>
      <c r="Y1433" s="355">
        <v>3</v>
      </c>
      <c r="Z1433" s="355">
        <f t="shared" ref="Z1433:Z1439" si="1092">X1433*Y1433</f>
        <v>27000</v>
      </c>
      <c r="AA1433" s="355">
        <f t="shared" ref="AA1433:AA1439" si="1093">L1433-Z1433</f>
        <v>16200</v>
      </c>
    </row>
    <row r="1434" spans="1:27" ht="21.75" customHeight="1" x14ac:dyDescent="0.4">
      <c r="A1434" s="466">
        <v>46199</v>
      </c>
      <c r="B1434" s="474" t="s">
        <v>7022</v>
      </c>
      <c r="C1434" s="32" t="s">
        <v>405</v>
      </c>
      <c r="D1434" s="18" t="s">
        <v>17</v>
      </c>
      <c r="E1434" s="18" t="s">
        <v>332</v>
      </c>
      <c r="F1434" s="18" t="s">
        <v>7023</v>
      </c>
      <c r="G1434" s="63" t="s">
        <v>7025</v>
      </c>
      <c r="H1434" s="399">
        <v>2000</v>
      </c>
      <c r="I1434" s="353"/>
      <c r="J1434" s="350">
        <f t="shared" si="1040"/>
        <v>2000</v>
      </c>
      <c r="K1434" s="18">
        <v>3</v>
      </c>
      <c r="L1434" s="350">
        <f t="shared" si="1041"/>
        <v>6000</v>
      </c>
      <c r="M1434" s="356">
        <f t="shared" si="1042"/>
        <v>6600</v>
      </c>
      <c r="N1434" s="258" t="s">
        <v>1121</v>
      </c>
      <c r="O1434" s="466"/>
      <c r="Q1434" s="18" t="s">
        <v>4803</v>
      </c>
      <c r="R1434" s="18" t="s">
        <v>4803</v>
      </c>
      <c r="S1434" s="471"/>
      <c r="W1434" s="354">
        <f t="shared" si="1091"/>
        <v>0.5</v>
      </c>
      <c r="X1434" s="355">
        <v>1000</v>
      </c>
      <c r="Y1434" s="355">
        <v>3</v>
      </c>
      <c r="Z1434" s="355">
        <f t="shared" si="1092"/>
        <v>3000</v>
      </c>
      <c r="AA1434" s="355">
        <f t="shared" si="1093"/>
        <v>3000</v>
      </c>
    </row>
    <row r="1435" spans="1:27" ht="21.75" customHeight="1" x14ac:dyDescent="0.4">
      <c r="A1435" s="466">
        <v>46199</v>
      </c>
      <c r="B1435" s="474" t="s">
        <v>7026</v>
      </c>
      <c r="C1435" s="241" t="s">
        <v>2557</v>
      </c>
      <c r="D1435" s="18" t="s">
        <v>17</v>
      </c>
      <c r="E1435" s="18" t="s">
        <v>328</v>
      </c>
      <c r="F1435" s="18" t="s">
        <v>7027</v>
      </c>
      <c r="G1435" s="63" t="s">
        <v>7028</v>
      </c>
      <c r="H1435" s="399">
        <v>8000</v>
      </c>
      <c r="I1435" s="353">
        <v>-800</v>
      </c>
      <c r="J1435" s="350">
        <f t="shared" si="1040"/>
        <v>7200</v>
      </c>
      <c r="K1435" s="18">
        <v>1</v>
      </c>
      <c r="L1435" s="350">
        <f t="shared" si="1041"/>
        <v>7200</v>
      </c>
      <c r="M1435" s="356">
        <f t="shared" si="1042"/>
        <v>7920</v>
      </c>
      <c r="N1435" s="258" t="s">
        <v>1121</v>
      </c>
      <c r="O1435" s="466"/>
      <c r="Q1435" s="18" t="s">
        <v>4803</v>
      </c>
      <c r="R1435" s="18" t="s">
        <v>4803</v>
      </c>
      <c r="S1435" s="472"/>
      <c r="W1435" s="354">
        <f t="shared" si="1091"/>
        <v>0.49875000000000003</v>
      </c>
      <c r="X1435" s="355">
        <v>3990</v>
      </c>
      <c r="Y1435" s="355">
        <v>1</v>
      </c>
      <c r="Z1435" s="355">
        <f t="shared" si="1092"/>
        <v>3990</v>
      </c>
      <c r="AA1435" s="355">
        <f t="shared" si="1093"/>
        <v>3210</v>
      </c>
    </row>
    <row r="1436" spans="1:27" ht="21.75" customHeight="1" x14ac:dyDescent="0.4">
      <c r="A1436" s="466">
        <v>46199</v>
      </c>
      <c r="B1436" s="474" t="s">
        <v>1861</v>
      </c>
      <c r="C1436" s="241" t="s">
        <v>2557</v>
      </c>
      <c r="D1436" s="258" t="s">
        <v>22</v>
      </c>
      <c r="E1436" s="258" t="s">
        <v>5040</v>
      </c>
      <c r="F1436" s="258"/>
      <c r="G1436" s="433" t="s">
        <v>4869</v>
      </c>
      <c r="H1436" s="399">
        <v>2000</v>
      </c>
      <c r="I1436" s="353"/>
      <c r="J1436" s="350">
        <f t="shared" si="1040"/>
        <v>2000</v>
      </c>
      <c r="K1436" s="18">
        <v>1</v>
      </c>
      <c r="L1436" s="350">
        <f t="shared" si="1041"/>
        <v>2000</v>
      </c>
      <c r="M1436" s="356">
        <f t="shared" si="1042"/>
        <v>2200</v>
      </c>
      <c r="N1436" s="258" t="s">
        <v>1516</v>
      </c>
      <c r="O1436" s="466"/>
      <c r="P1436" s="18" t="s">
        <v>5449</v>
      </c>
      <c r="Q1436" s="18" t="s">
        <v>5449</v>
      </c>
      <c r="R1436" s="18" t="s">
        <v>7029</v>
      </c>
    </row>
    <row r="1437" spans="1:27" ht="21.75" customHeight="1" x14ac:dyDescent="0.4">
      <c r="A1437" s="466">
        <v>46199</v>
      </c>
      <c r="B1437" s="474" t="s">
        <v>7030</v>
      </c>
      <c r="C1437" s="241" t="s">
        <v>2557</v>
      </c>
      <c r="D1437" s="18" t="s">
        <v>7031</v>
      </c>
      <c r="E1437" s="18" t="s">
        <v>7033</v>
      </c>
      <c r="F1437" s="18" t="s">
        <v>3555</v>
      </c>
      <c r="G1437" s="63" t="s">
        <v>7059</v>
      </c>
      <c r="H1437" s="399">
        <v>2000</v>
      </c>
      <c r="I1437" s="353">
        <v>-200</v>
      </c>
      <c r="J1437" s="350">
        <f t="shared" si="1040"/>
        <v>1800</v>
      </c>
      <c r="K1437" s="18">
        <v>8</v>
      </c>
      <c r="L1437" s="350">
        <f t="shared" si="1041"/>
        <v>14400</v>
      </c>
      <c r="M1437" s="356">
        <f t="shared" si="1042"/>
        <v>15840</v>
      </c>
      <c r="N1437" s="258" t="s">
        <v>1516</v>
      </c>
      <c r="O1437" s="466"/>
      <c r="Q1437" s="18" t="s">
        <v>5449</v>
      </c>
      <c r="R1437" s="18" t="s">
        <v>5449</v>
      </c>
      <c r="W1437" s="354">
        <f t="shared" si="1091"/>
        <v>0.57999999999999996</v>
      </c>
      <c r="X1437" s="355">
        <v>1160</v>
      </c>
      <c r="Y1437" s="355">
        <v>8</v>
      </c>
      <c r="Z1437" s="355">
        <f t="shared" si="1092"/>
        <v>9280</v>
      </c>
      <c r="AA1437" s="355">
        <f t="shared" si="1093"/>
        <v>5120</v>
      </c>
    </row>
    <row r="1438" spans="1:27" ht="21.75" customHeight="1" x14ac:dyDescent="0.4">
      <c r="A1438" s="466">
        <v>46199</v>
      </c>
      <c r="B1438" s="474" t="s">
        <v>7030</v>
      </c>
      <c r="C1438" s="241" t="s">
        <v>2557</v>
      </c>
      <c r="D1438" s="18" t="s">
        <v>7032</v>
      </c>
      <c r="E1438" s="18"/>
      <c r="F1438" s="18"/>
      <c r="G1438" s="63" t="s">
        <v>7034</v>
      </c>
      <c r="H1438" s="399">
        <v>300</v>
      </c>
      <c r="I1438" s="353"/>
      <c r="J1438" s="350">
        <f t="shared" si="1040"/>
        <v>300</v>
      </c>
      <c r="K1438" s="18">
        <v>8</v>
      </c>
      <c r="L1438" s="350">
        <f t="shared" si="1041"/>
        <v>2400</v>
      </c>
      <c r="M1438" s="356">
        <f t="shared" si="1042"/>
        <v>2640</v>
      </c>
      <c r="N1438" s="258" t="s">
        <v>1516</v>
      </c>
      <c r="O1438" s="466"/>
      <c r="Q1438" s="18" t="s">
        <v>5449</v>
      </c>
      <c r="R1438" s="18" t="s">
        <v>5449</v>
      </c>
    </row>
    <row r="1439" spans="1:27" ht="21.75" customHeight="1" x14ac:dyDescent="0.4">
      <c r="A1439" s="466">
        <v>46199</v>
      </c>
      <c r="B1439" s="322" t="s">
        <v>582</v>
      </c>
      <c r="C1439" s="241" t="s">
        <v>2557</v>
      </c>
      <c r="D1439" s="18" t="s">
        <v>7031</v>
      </c>
      <c r="E1439" s="18" t="s">
        <v>7033</v>
      </c>
      <c r="F1439" s="18" t="s">
        <v>7036</v>
      </c>
      <c r="G1439" s="63" t="s">
        <v>7035</v>
      </c>
      <c r="H1439" s="399">
        <v>1400</v>
      </c>
      <c r="I1439" s="353">
        <v>-600</v>
      </c>
      <c r="J1439" s="350">
        <f t="shared" si="1040"/>
        <v>800</v>
      </c>
      <c r="K1439" s="18">
        <v>10</v>
      </c>
      <c r="L1439" s="350">
        <f t="shared" si="1041"/>
        <v>8000</v>
      </c>
      <c r="M1439" s="356">
        <f t="shared" si="1042"/>
        <v>8800</v>
      </c>
      <c r="N1439" s="258" t="s">
        <v>1121</v>
      </c>
      <c r="O1439" s="483" t="s">
        <v>7061</v>
      </c>
      <c r="P1439" s="18" t="s">
        <v>6455</v>
      </c>
      <c r="Q1439" s="18" t="s">
        <v>6455</v>
      </c>
      <c r="R1439" s="18" t="s">
        <v>6455</v>
      </c>
      <c r="W1439" s="354">
        <f t="shared" si="1091"/>
        <v>0.5</v>
      </c>
      <c r="X1439" s="355">
        <v>700</v>
      </c>
      <c r="Y1439" s="355">
        <v>10</v>
      </c>
      <c r="Z1439" s="355">
        <f t="shared" si="1092"/>
        <v>7000</v>
      </c>
      <c r="AA1439" s="355">
        <f t="shared" si="1093"/>
        <v>1000</v>
      </c>
    </row>
    <row r="1440" spans="1:27" ht="21.75" customHeight="1" x14ac:dyDescent="0.4">
      <c r="A1440" s="466">
        <v>46199</v>
      </c>
      <c r="B1440" s="322" t="s">
        <v>582</v>
      </c>
      <c r="C1440" s="241" t="s">
        <v>2557</v>
      </c>
      <c r="D1440" s="18" t="s">
        <v>7032</v>
      </c>
      <c r="E1440" s="18"/>
      <c r="F1440" s="18"/>
      <c r="G1440" s="63" t="s">
        <v>7034</v>
      </c>
      <c r="H1440" s="399">
        <v>300</v>
      </c>
      <c r="I1440" s="353"/>
      <c r="J1440" s="350">
        <f t="shared" si="1040"/>
        <v>300</v>
      </c>
      <c r="K1440" s="18">
        <v>7</v>
      </c>
      <c r="L1440" s="350">
        <f t="shared" si="1041"/>
        <v>2100</v>
      </c>
      <c r="M1440" s="356">
        <f t="shared" si="1042"/>
        <v>2310</v>
      </c>
      <c r="N1440" s="258" t="s">
        <v>1121</v>
      </c>
      <c r="O1440" s="483" t="s">
        <v>7061</v>
      </c>
      <c r="P1440" s="18" t="s">
        <v>6455</v>
      </c>
      <c r="Q1440" s="18" t="s">
        <v>6455</v>
      </c>
      <c r="R1440" s="18" t="s">
        <v>6455</v>
      </c>
    </row>
    <row r="1441" spans="1:27" ht="21.75" customHeight="1" x14ac:dyDescent="0.4">
      <c r="A1441" s="466">
        <v>46200</v>
      </c>
      <c r="B1441" s="322" t="s">
        <v>582</v>
      </c>
      <c r="C1441" s="241" t="s">
        <v>2557</v>
      </c>
      <c r="D1441" s="96" t="s">
        <v>198</v>
      </c>
      <c r="E1441" s="18" t="s">
        <v>332</v>
      </c>
      <c r="F1441" s="18" t="s">
        <v>7036</v>
      </c>
      <c r="G1441" s="63" t="s">
        <v>7035</v>
      </c>
      <c r="H1441" s="399">
        <v>-1400</v>
      </c>
      <c r="I1441" s="353">
        <v>-600</v>
      </c>
      <c r="J1441" s="350">
        <f t="shared" ref="J1441:J1442" si="1094">SUM(H1441:I1441)</f>
        <v>-2000</v>
      </c>
      <c r="K1441" s="18">
        <v>10</v>
      </c>
      <c r="L1441" s="350">
        <f t="shared" ref="L1441:L1442" si="1095">SUM(J1441*K1441)</f>
        <v>-20000</v>
      </c>
      <c r="M1441" s="358">
        <f t="shared" ref="M1441:M1442" si="1096">ROUNDDOWN(L1441*1.1,0)</f>
        <v>-22000</v>
      </c>
      <c r="N1441" s="258" t="s">
        <v>20</v>
      </c>
      <c r="O1441" s="483" t="s">
        <v>7060</v>
      </c>
      <c r="P1441" s="18" t="s">
        <v>6455</v>
      </c>
      <c r="Q1441" s="18" t="s">
        <v>6455</v>
      </c>
      <c r="R1441" s="18" t="s">
        <v>6455</v>
      </c>
    </row>
    <row r="1442" spans="1:27" ht="21.75" customHeight="1" x14ac:dyDescent="0.4">
      <c r="A1442" s="466">
        <v>46200</v>
      </c>
      <c r="B1442" s="322" t="s">
        <v>582</v>
      </c>
      <c r="C1442" s="241" t="s">
        <v>2557</v>
      </c>
      <c r="D1442" s="96" t="s">
        <v>198</v>
      </c>
      <c r="E1442" s="18"/>
      <c r="F1442" s="18"/>
      <c r="G1442" s="63" t="s">
        <v>6620</v>
      </c>
      <c r="H1442" s="399">
        <v>-300</v>
      </c>
      <c r="I1442" s="353"/>
      <c r="J1442" s="350">
        <f t="shared" si="1094"/>
        <v>-300</v>
      </c>
      <c r="K1442" s="18">
        <v>7</v>
      </c>
      <c r="L1442" s="350">
        <f t="shared" si="1095"/>
        <v>-2100</v>
      </c>
      <c r="M1442" s="358">
        <f t="shared" si="1096"/>
        <v>-2310</v>
      </c>
      <c r="N1442" s="258" t="s">
        <v>20</v>
      </c>
      <c r="O1442" s="483" t="s">
        <v>7060</v>
      </c>
      <c r="P1442" s="18" t="s">
        <v>6455</v>
      </c>
      <c r="Q1442" s="18" t="s">
        <v>6455</v>
      </c>
      <c r="R1442" s="18" t="s">
        <v>6455</v>
      </c>
    </row>
    <row r="1443" spans="1:27" ht="21.75" customHeight="1" x14ac:dyDescent="0.4">
      <c r="A1443" s="466">
        <v>46200</v>
      </c>
      <c r="B1443" s="474" t="s">
        <v>7037</v>
      </c>
      <c r="C1443" s="474" t="s">
        <v>7038</v>
      </c>
      <c r="D1443" s="18" t="s">
        <v>7039</v>
      </c>
      <c r="E1443" s="18" t="s">
        <v>4409</v>
      </c>
      <c r="F1443" s="258"/>
      <c r="G1443" s="63" t="s">
        <v>7040</v>
      </c>
      <c r="H1443" s="399">
        <v>22500</v>
      </c>
      <c r="I1443" s="353"/>
      <c r="J1443" s="350">
        <f t="shared" si="1040"/>
        <v>22500</v>
      </c>
      <c r="K1443" s="18">
        <v>3</v>
      </c>
      <c r="L1443" s="350">
        <f t="shared" si="1041"/>
        <v>67500</v>
      </c>
      <c r="M1443" s="356">
        <f t="shared" si="1042"/>
        <v>74250</v>
      </c>
      <c r="N1443" s="258" t="s">
        <v>1516</v>
      </c>
      <c r="O1443" s="466"/>
      <c r="P1443" s="18" t="s">
        <v>6455</v>
      </c>
      <c r="Q1443" s="18" t="s">
        <v>6455</v>
      </c>
      <c r="R1443" s="18" t="s">
        <v>6455</v>
      </c>
    </row>
    <row r="1444" spans="1:27" ht="21.75" customHeight="1" x14ac:dyDescent="0.4">
      <c r="A1444" s="466">
        <v>46200</v>
      </c>
      <c r="B1444" s="474" t="s">
        <v>6911</v>
      </c>
      <c r="C1444" s="474" t="s">
        <v>7038</v>
      </c>
      <c r="D1444" s="18" t="s">
        <v>7041</v>
      </c>
      <c r="E1444" s="18" t="s">
        <v>7042</v>
      </c>
      <c r="F1444" s="18" t="s">
        <v>7043</v>
      </c>
      <c r="G1444" s="63" t="s">
        <v>7044</v>
      </c>
      <c r="H1444" s="399">
        <v>5500</v>
      </c>
      <c r="I1444" s="353">
        <v>-550</v>
      </c>
      <c r="J1444" s="350">
        <f t="shared" si="1040"/>
        <v>4950</v>
      </c>
      <c r="K1444" s="18">
        <v>1</v>
      </c>
      <c r="L1444" s="350">
        <f t="shared" si="1041"/>
        <v>4950</v>
      </c>
      <c r="M1444" s="356">
        <f t="shared" si="1042"/>
        <v>5445</v>
      </c>
      <c r="N1444" s="258" t="s">
        <v>7045</v>
      </c>
      <c r="O1444" s="466"/>
      <c r="Q1444" s="18" t="s">
        <v>7046</v>
      </c>
      <c r="R1444" s="18" t="s">
        <v>7046</v>
      </c>
      <c r="W1444" s="354">
        <f t="shared" ref="W1444" si="1097">X1444/H1444</f>
        <v>0.59090909090909094</v>
      </c>
      <c r="X1444" s="355">
        <v>3250</v>
      </c>
      <c r="Y1444" s="355">
        <v>1</v>
      </c>
      <c r="Z1444" s="355">
        <f t="shared" ref="Z1444" si="1098">X1444*Y1444</f>
        <v>3250</v>
      </c>
      <c r="AA1444" s="355">
        <f t="shared" ref="AA1444" si="1099">L1444-Z1444</f>
        <v>1700</v>
      </c>
    </row>
    <row r="1445" spans="1:27" ht="21.75" customHeight="1" x14ac:dyDescent="0.4">
      <c r="A1445" s="466">
        <v>46200</v>
      </c>
      <c r="B1445" s="474" t="s">
        <v>6911</v>
      </c>
      <c r="C1445" s="474" t="s">
        <v>7038</v>
      </c>
      <c r="D1445" s="18" t="s">
        <v>59</v>
      </c>
      <c r="E1445" s="18" t="s">
        <v>7064</v>
      </c>
      <c r="F1445" s="18"/>
      <c r="G1445" s="63" t="s">
        <v>6620</v>
      </c>
      <c r="H1445" s="399">
        <v>300</v>
      </c>
      <c r="I1445" s="353"/>
      <c r="J1445" s="350">
        <f t="shared" si="1040"/>
        <v>300</v>
      </c>
      <c r="K1445" s="18">
        <v>1</v>
      </c>
      <c r="L1445" s="350">
        <f t="shared" si="1041"/>
        <v>300</v>
      </c>
      <c r="M1445" s="356">
        <f t="shared" si="1042"/>
        <v>330</v>
      </c>
      <c r="N1445" s="258" t="s">
        <v>7045</v>
      </c>
      <c r="O1445" s="466"/>
      <c r="Q1445" s="18" t="s">
        <v>7046</v>
      </c>
      <c r="R1445" s="18" t="s">
        <v>7046</v>
      </c>
    </row>
    <row r="1446" spans="1:27" ht="21.75" customHeight="1" x14ac:dyDescent="0.4">
      <c r="A1446" s="466">
        <v>46200</v>
      </c>
      <c r="B1446" s="474" t="s">
        <v>5023</v>
      </c>
      <c r="C1446" s="474" t="s">
        <v>2557</v>
      </c>
      <c r="D1446" s="258" t="s">
        <v>22</v>
      </c>
      <c r="E1446" s="258" t="s">
        <v>5040</v>
      </c>
      <c r="F1446" s="258"/>
      <c r="G1446" s="433" t="s">
        <v>4869</v>
      </c>
      <c r="H1446" s="399">
        <v>2000</v>
      </c>
      <c r="I1446" s="353"/>
      <c r="J1446" s="350">
        <f t="shared" ref="J1446:J1509" si="1100">SUM(H1446:I1446)</f>
        <v>2000</v>
      </c>
      <c r="K1446" s="18">
        <v>1</v>
      </c>
      <c r="L1446" s="350">
        <f t="shared" ref="L1446:L1509" si="1101">SUM(J1446*K1446)</f>
        <v>2000</v>
      </c>
      <c r="M1446" s="356">
        <f t="shared" ref="M1446:M1509" si="1102">ROUNDDOWN(L1446*1.1,0)</f>
        <v>2200</v>
      </c>
      <c r="N1446" s="258" t="s">
        <v>7047</v>
      </c>
      <c r="O1446" s="466"/>
      <c r="P1446" s="18" t="s">
        <v>5449</v>
      </c>
      <c r="Q1446" s="18" t="s">
        <v>5449</v>
      </c>
      <c r="R1446" s="18" t="s">
        <v>5449</v>
      </c>
    </row>
    <row r="1447" spans="1:27" ht="21.75" customHeight="1" x14ac:dyDescent="0.4">
      <c r="A1447" s="466">
        <v>46200</v>
      </c>
      <c r="B1447" s="474" t="s">
        <v>2088</v>
      </c>
      <c r="C1447" s="474" t="s">
        <v>2557</v>
      </c>
      <c r="D1447" s="258" t="s">
        <v>22</v>
      </c>
      <c r="E1447" s="258" t="s">
        <v>5040</v>
      </c>
      <c r="F1447" s="258"/>
      <c r="G1447" s="433" t="s">
        <v>4869</v>
      </c>
      <c r="H1447" s="399">
        <v>2000</v>
      </c>
      <c r="I1447" s="353"/>
      <c r="J1447" s="350">
        <f t="shared" si="1100"/>
        <v>2000</v>
      </c>
      <c r="K1447" s="18">
        <v>1</v>
      </c>
      <c r="L1447" s="350">
        <f t="shared" si="1101"/>
        <v>2000</v>
      </c>
      <c r="M1447" s="356">
        <f t="shared" si="1102"/>
        <v>2200</v>
      </c>
      <c r="N1447" s="258" t="s">
        <v>1516</v>
      </c>
      <c r="O1447" s="466"/>
      <c r="P1447" s="18" t="s">
        <v>5449</v>
      </c>
      <c r="Q1447" s="18" t="s">
        <v>5449</v>
      </c>
      <c r="R1447" s="18" t="s">
        <v>5449</v>
      </c>
    </row>
    <row r="1448" spans="1:27" ht="21.75" customHeight="1" x14ac:dyDescent="0.4">
      <c r="A1448" s="466">
        <v>46200</v>
      </c>
      <c r="B1448" s="336" t="s">
        <v>582</v>
      </c>
      <c r="C1448" s="474" t="s">
        <v>2557</v>
      </c>
      <c r="D1448" s="18" t="s">
        <v>17</v>
      </c>
      <c r="E1448" s="18" t="s">
        <v>332</v>
      </c>
      <c r="F1448" s="18" t="s">
        <v>7036</v>
      </c>
      <c r="G1448" s="63" t="s">
        <v>7035</v>
      </c>
      <c r="H1448" s="406">
        <v>1400</v>
      </c>
      <c r="I1448" s="353">
        <v>-600</v>
      </c>
      <c r="J1448" s="350">
        <f t="shared" si="1100"/>
        <v>800</v>
      </c>
      <c r="K1448" s="18">
        <v>2</v>
      </c>
      <c r="L1448" s="350">
        <f t="shared" si="1101"/>
        <v>1600</v>
      </c>
      <c r="M1448" s="357">
        <f t="shared" si="1102"/>
        <v>1760</v>
      </c>
      <c r="N1448" s="258" t="s">
        <v>1516</v>
      </c>
      <c r="O1448" s="481" t="s">
        <v>7063</v>
      </c>
      <c r="P1448" s="18" t="s">
        <v>5449</v>
      </c>
      <c r="Q1448" s="18" t="s">
        <v>5449</v>
      </c>
      <c r="R1448" s="18" t="s">
        <v>5449</v>
      </c>
      <c r="W1448" s="354">
        <f t="shared" ref="W1448:W1449" si="1103">X1448/H1448</f>
        <v>0.5</v>
      </c>
      <c r="X1448" s="355">
        <v>700</v>
      </c>
      <c r="Y1448" s="355">
        <v>2</v>
      </c>
      <c r="Z1448" s="355">
        <f t="shared" ref="Z1448:Z1449" si="1104">X1448*Y1448</f>
        <v>1400</v>
      </c>
      <c r="AA1448" s="355">
        <f t="shared" ref="AA1448:AA1449" si="1105">L1448-Z1448</f>
        <v>200</v>
      </c>
    </row>
    <row r="1449" spans="1:27" ht="21.75" customHeight="1" x14ac:dyDescent="0.4">
      <c r="A1449" s="466">
        <v>46200</v>
      </c>
      <c r="B1449" s="336" t="s">
        <v>582</v>
      </c>
      <c r="C1449" s="474" t="s">
        <v>2557</v>
      </c>
      <c r="D1449" s="18" t="s">
        <v>7048</v>
      </c>
      <c r="E1449" s="18" t="s">
        <v>332</v>
      </c>
      <c r="F1449" s="18" t="s">
        <v>3555</v>
      </c>
      <c r="G1449" s="63" t="s">
        <v>7062</v>
      </c>
      <c r="H1449" s="406">
        <v>2000</v>
      </c>
      <c r="I1449" s="353">
        <v>-200</v>
      </c>
      <c r="J1449" s="350">
        <f t="shared" si="1100"/>
        <v>1800</v>
      </c>
      <c r="K1449" s="18">
        <v>5</v>
      </c>
      <c r="L1449" s="350">
        <f t="shared" si="1101"/>
        <v>9000</v>
      </c>
      <c r="M1449" s="357">
        <f t="shared" si="1102"/>
        <v>9900</v>
      </c>
      <c r="N1449" s="258" t="s">
        <v>1516</v>
      </c>
      <c r="O1449" s="466"/>
      <c r="P1449" s="18" t="s">
        <v>5449</v>
      </c>
      <c r="Q1449" s="18" t="s">
        <v>5449</v>
      </c>
      <c r="R1449" s="18" t="s">
        <v>5449</v>
      </c>
      <c r="W1449" s="354">
        <f t="shared" si="1103"/>
        <v>0.57999999999999996</v>
      </c>
      <c r="X1449" s="355">
        <v>1160</v>
      </c>
      <c r="Y1449" s="355">
        <v>5</v>
      </c>
      <c r="Z1449" s="355">
        <f t="shared" si="1104"/>
        <v>5800</v>
      </c>
      <c r="AA1449" s="355">
        <f t="shared" si="1105"/>
        <v>3200</v>
      </c>
    </row>
    <row r="1450" spans="1:27" ht="21.75" customHeight="1" x14ac:dyDescent="0.4">
      <c r="A1450" s="466">
        <v>46200</v>
      </c>
      <c r="B1450" s="336" t="s">
        <v>582</v>
      </c>
      <c r="C1450" s="474" t="s">
        <v>2557</v>
      </c>
      <c r="D1450" s="18" t="s">
        <v>59</v>
      </c>
      <c r="E1450" s="18"/>
      <c r="F1450" s="18"/>
      <c r="G1450" s="63" t="s">
        <v>6620</v>
      </c>
      <c r="H1450" s="406">
        <v>300</v>
      </c>
      <c r="I1450" s="353"/>
      <c r="J1450" s="350">
        <f t="shared" si="1100"/>
        <v>300</v>
      </c>
      <c r="K1450" s="18">
        <v>7</v>
      </c>
      <c r="L1450" s="350">
        <f t="shared" si="1101"/>
        <v>2100</v>
      </c>
      <c r="M1450" s="357">
        <f t="shared" si="1102"/>
        <v>2310</v>
      </c>
      <c r="N1450" s="258" t="s">
        <v>1516</v>
      </c>
      <c r="O1450" s="466"/>
      <c r="P1450" s="18" t="s">
        <v>5449</v>
      </c>
      <c r="Q1450" s="18" t="s">
        <v>5449</v>
      </c>
      <c r="R1450" s="18" t="s">
        <v>5449</v>
      </c>
    </row>
    <row r="1451" spans="1:27" ht="21.75" customHeight="1" x14ac:dyDescent="0.4">
      <c r="A1451" s="466">
        <v>46201</v>
      </c>
      <c r="B1451" s="474" t="s">
        <v>7049</v>
      </c>
      <c r="C1451" s="474" t="s">
        <v>2557</v>
      </c>
      <c r="D1451" s="18" t="s">
        <v>17</v>
      </c>
      <c r="E1451" s="18" t="s">
        <v>7050</v>
      </c>
      <c r="F1451" s="18" t="s">
        <v>3553</v>
      </c>
      <c r="G1451" s="63" t="s">
        <v>7051</v>
      </c>
      <c r="H1451" s="399">
        <v>3000</v>
      </c>
      <c r="I1451" s="353">
        <v>-300</v>
      </c>
      <c r="J1451" s="350">
        <f t="shared" si="1100"/>
        <v>2700</v>
      </c>
      <c r="K1451" s="18">
        <v>1</v>
      </c>
      <c r="L1451" s="350">
        <f t="shared" si="1101"/>
        <v>2700</v>
      </c>
      <c r="M1451" s="356">
        <f t="shared" si="1102"/>
        <v>2970</v>
      </c>
      <c r="N1451" s="258" t="s">
        <v>1516</v>
      </c>
      <c r="O1451" s="466"/>
      <c r="P1451" s="18" t="s">
        <v>7052</v>
      </c>
      <c r="Q1451" s="18" t="s">
        <v>7052</v>
      </c>
      <c r="R1451" s="18" t="s">
        <v>7052</v>
      </c>
      <c r="W1451" s="354">
        <f t="shared" ref="W1451" si="1106">X1451/H1451</f>
        <v>0.6</v>
      </c>
      <c r="X1451" s="355">
        <v>1800</v>
      </c>
      <c r="Y1451" s="355">
        <v>1</v>
      </c>
      <c r="Z1451" s="355">
        <f t="shared" ref="Z1451" si="1107">X1451*Y1451</f>
        <v>1800</v>
      </c>
      <c r="AA1451" s="355">
        <f t="shared" ref="AA1451" si="1108">L1451-Z1451</f>
        <v>900</v>
      </c>
    </row>
    <row r="1452" spans="1:27" ht="21.75" customHeight="1" x14ac:dyDescent="0.4">
      <c r="A1452" s="466">
        <v>46201</v>
      </c>
      <c r="B1452" s="336" t="s">
        <v>582</v>
      </c>
      <c r="C1452" s="474" t="s">
        <v>2557</v>
      </c>
      <c r="D1452" s="258" t="s">
        <v>22</v>
      </c>
      <c r="E1452" s="258" t="s">
        <v>5040</v>
      </c>
      <c r="F1452" s="258"/>
      <c r="G1452" s="433" t="s">
        <v>4869</v>
      </c>
      <c r="H1452" s="399">
        <v>2000</v>
      </c>
      <c r="I1452" s="353"/>
      <c r="J1452" s="350">
        <f t="shared" si="1100"/>
        <v>2000</v>
      </c>
      <c r="K1452" s="18">
        <v>1</v>
      </c>
      <c r="L1452" s="350">
        <f t="shared" si="1101"/>
        <v>2000</v>
      </c>
      <c r="M1452" s="356">
        <f t="shared" si="1102"/>
        <v>2200</v>
      </c>
      <c r="N1452" s="258" t="s">
        <v>20</v>
      </c>
      <c r="O1452" s="466"/>
      <c r="P1452" s="18" t="s">
        <v>7053</v>
      </c>
      <c r="Q1452" s="18" t="s">
        <v>7053</v>
      </c>
      <c r="R1452" s="18" t="s">
        <v>7053</v>
      </c>
    </row>
    <row r="1453" spans="1:27" ht="21.75" customHeight="1" x14ac:dyDescent="0.4">
      <c r="A1453" s="466">
        <v>46201</v>
      </c>
      <c r="B1453" s="474" t="s">
        <v>7054</v>
      </c>
      <c r="C1453" s="474" t="s">
        <v>2557</v>
      </c>
      <c r="D1453" s="18" t="s">
        <v>17</v>
      </c>
      <c r="E1453" s="18" t="s">
        <v>332</v>
      </c>
      <c r="F1453" s="258" t="s">
        <v>3554</v>
      </c>
      <c r="G1453" s="425" t="s">
        <v>5470</v>
      </c>
      <c r="H1453" s="399">
        <v>1600</v>
      </c>
      <c r="I1453" s="353">
        <v>-160</v>
      </c>
      <c r="J1453" s="350">
        <f t="shared" si="1100"/>
        <v>1440</v>
      </c>
      <c r="K1453" s="18">
        <v>1</v>
      </c>
      <c r="L1453" s="350">
        <f t="shared" si="1101"/>
        <v>1440</v>
      </c>
      <c r="M1453" s="356">
        <f t="shared" si="1102"/>
        <v>1584</v>
      </c>
      <c r="N1453" s="258" t="s">
        <v>1516</v>
      </c>
      <c r="O1453" s="466"/>
      <c r="P1453" s="18" t="s">
        <v>2594</v>
      </c>
      <c r="Q1453" s="18" t="s">
        <v>2594</v>
      </c>
      <c r="R1453" s="18" t="s">
        <v>2594</v>
      </c>
      <c r="W1453" s="354">
        <f t="shared" ref="W1453" si="1109">X1453/H1453</f>
        <v>0.625</v>
      </c>
      <c r="X1453" s="355">
        <v>1000</v>
      </c>
      <c r="Y1453" s="355">
        <v>1</v>
      </c>
      <c r="Z1453" s="355">
        <f t="shared" ref="Z1453" si="1110">X1453*Y1453</f>
        <v>1000</v>
      </c>
      <c r="AA1453" s="355">
        <f t="shared" ref="AA1453" si="1111">L1453-Z1453</f>
        <v>440</v>
      </c>
    </row>
    <row r="1454" spans="1:27" ht="21.75" customHeight="1" x14ac:dyDescent="0.4">
      <c r="A1454" s="466">
        <v>46201</v>
      </c>
      <c r="B1454" s="474" t="s">
        <v>7054</v>
      </c>
      <c r="C1454" s="474" t="s">
        <v>2557</v>
      </c>
      <c r="D1454" s="18" t="s">
        <v>59</v>
      </c>
      <c r="E1454" s="18"/>
      <c r="F1454" s="18"/>
      <c r="G1454" s="63" t="s">
        <v>6620</v>
      </c>
      <c r="H1454" s="399">
        <v>300</v>
      </c>
      <c r="I1454" s="353"/>
      <c r="J1454" s="350">
        <f t="shared" si="1100"/>
        <v>300</v>
      </c>
      <c r="K1454" s="18">
        <v>1</v>
      </c>
      <c r="L1454" s="350">
        <f t="shared" si="1101"/>
        <v>300</v>
      </c>
      <c r="M1454" s="356">
        <f t="shared" si="1102"/>
        <v>330</v>
      </c>
      <c r="N1454" s="258" t="s">
        <v>1516</v>
      </c>
      <c r="O1454" s="466"/>
      <c r="P1454" s="18" t="s">
        <v>2594</v>
      </c>
      <c r="Q1454" s="18" t="s">
        <v>2594</v>
      </c>
      <c r="R1454" s="18" t="s">
        <v>2594</v>
      </c>
    </row>
    <row r="1455" spans="1:27" ht="21.75" customHeight="1" x14ac:dyDescent="0.4">
      <c r="A1455" s="466">
        <v>46201</v>
      </c>
      <c r="B1455" s="474" t="s">
        <v>7055</v>
      </c>
      <c r="C1455" s="474" t="s">
        <v>2557</v>
      </c>
      <c r="D1455" s="18" t="s">
        <v>59</v>
      </c>
      <c r="E1455" s="18" t="s">
        <v>7065</v>
      </c>
      <c r="F1455" s="18"/>
      <c r="G1455" s="63" t="s">
        <v>7056</v>
      </c>
      <c r="H1455" s="406">
        <v>500</v>
      </c>
      <c r="I1455" s="353"/>
      <c r="J1455" s="350">
        <f t="shared" si="1100"/>
        <v>500</v>
      </c>
      <c r="K1455" s="18">
        <v>2</v>
      </c>
      <c r="L1455" s="350">
        <f t="shared" si="1101"/>
        <v>1000</v>
      </c>
      <c r="M1455" s="357">
        <f t="shared" si="1102"/>
        <v>1100</v>
      </c>
      <c r="N1455" s="258" t="s">
        <v>20</v>
      </c>
      <c r="O1455" s="466"/>
      <c r="P1455" s="18" t="s">
        <v>2594</v>
      </c>
      <c r="Q1455" s="18" t="s">
        <v>6455</v>
      </c>
      <c r="R1455" s="18" t="s">
        <v>6455</v>
      </c>
    </row>
    <row r="1456" spans="1:27" ht="21.75" customHeight="1" x14ac:dyDescent="0.4">
      <c r="A1456" s="466">
        <v>46202</v>
      </c>
      <c r="B1456" s="474" t="s">
        <v>6021</v>
      </c>
      <c r="C1456" s="474" t="s">
        <v>2557</v>
      </c>
      <c r="D1456" s="258" t="s">
        <v>22</v>
      </c>
      <c r="E1456" s="258" t="s">
        <v>5040</v>
      </c>
      <c r="F1456" s="258"/>
      <c r="G1456" s="433" t="s">
        <v>4869</v>
      </c>
      <c r="H1456" s="399">
        <v>2000</v>
      </c>
      <c r="I1456" s="353"/>
      <c r="J1456" s="350">
        <f t="shared" si="1100"/>
        <v>2000</v>
      </c>
      <c r="K1456" s="18">
        <v>2</v>
      </c>
      <c r="L1456" s="350">
        <f t="shared" si="1101"/>
        <v>4000</v>
      </c>
      <c r="M1456" s="356">
        <f t="shared" si="1102"/>
        <v>4400</v>
      </c>
      <c r="N1456" s="258" t="s">
        <v>1516</v>
      </c>
      <c r="O1456" s="466"/>
      <c r="P1456" s="18" t="s">
        <v>5449</v>
      </c>
      <c r="Q1456" s="18" t="s">
        <v>5449</v>
      </c>
      <c r="R1456" s="18" t="s">
        <v>5449</v>
      </c>
    </row>
    <row r="1457" spans="1:19" ht="21.75" customHeight="1" x14ac:dyDescent="0.4">
      <c r="A1457" s="466">
        <v>46202</v>
      </c>
      <c r="B1457" s="474" t="s">
        <v>7057</v>
      </c>
      <c r="C1457" s="474" t="s">
        <v>2557</v>
      </c>
      <c r="D1457" s="258" t="s">
        <v>22</v>
      </c>
      <c r="E1457" s="258" t="s">
        <v>5040</v>
      </c>
      <c r="F1457" s="258"/>
      <c r="G1457" s="433" t="s">
        <v>4869</v>
      </c>
      <c r="H1457" s="399">
        <v>2000</v>
      </c>
      <c r="I1457" s="353"/>
      <c r="J1457" s="350">
        <f t="shared" si="1100"/>
        <v>2000</v>
      </c>
      <c r="K1457" s="18">
        <v>1</v>
      </c>
      <c r="L1457" s="350">
        <f t="shared" si="1101"/>
        <v>2000</v>
      </c>
      <c r="M1457" s="356">
        <f t="shared" si="1102"/>
        <v>2200</v>
      </c>
      <c r="N1457" s="258" t="s">
        <v>1516</v>
      </c>
      <c r="O1457" s="466"/>
      <c r="P1457" s="18" t="s">
        <v>5449</v>
      </c>
      <c r="Q1457" s="18" t="s">
        <v>5449</v>
      </c>
      <c r="R1457" s="18" t="s">
        <v>5449</v>
      </c>
    </row>
    <row r="1458" spans="1:19" ht="21.75" customHeight="1" x14ac:dyDescent="0.4">
      <c r="A1458" s="466">
        <v>46202</v>
      </c>
      <c r="B1458" s="474" t="s">
        <v>6312</v>
      </c>
      <c r="C1458" s="474" t="s">
        <v>7058</v>
      </c>
      <c r="D1458" s="18" t="s">
        <v>317</v>
      </c>
      <c r="E1458" s="18" t="s">
        <v>4409</v>
      </c>
      <c r="F1458" s="258"/>
      <c r="G1458" s="63" t="s">
        <v>6269</v>
      </c>
      <c r="H1458" s="399">
        <v>17500</v>
      </c>
      <c r="I1458" s="353"/>
      <c r="J1458" s="350">
        <f t="shared" si="1100"/>
        <v>17500</v>
      </c>
      <c r="K1458" s="18">
        <v>1</v>
      </c>
      <c r="L1458" s="350">
        <f t="shared" si="1101"/>
        <v>17500</v>
      </c>
      <c r="M1458" s="356">
        <f t="shared" si="1102"/>
        <v>19250</v>
      </c>
      <c r="N1458" s="258" t="s">
        <v>20</v>
      </c>
      <c r="O1458" s="465" t="s">
        <v>4802</v>
      </c>
      <c r="P1458" s="18" t="s">
        <v>5449</v>
      </c>
      <c r="Q1458" s="18" t="s">
        <v>5449</v>
      </c>
      <c r="R1458" s="18" t="s">
        <v>5449</v>
      </c>
      <c r="S1458" s="471" t="s">
        <v>6217</v>
      </c>
    </row>
    <row r="1459" spans="1:19" ht="21.75" customHeight="1" x14ac:dyDescent="0.4">
      <c r="A1459" s="466">
        <v>46202</v>
      </c>
      <c r="B1459" s="474" t="s">
        <v>1861</v>
      </c>
      <c r="C1459" s="474" t="s">
        <v>7058</v>
      </c>
      <c r="D1459" s="258" t="s">
        <v>22</v>
      </c>
      <c r="E1459" s="258" t="s">
        <v>5040</v>
      </c>
      <c r="F1459" s="258"/>
      <c r="G1459" s="433" t="s">
        <v>4869</v>
      </c>
      <c r="H1459" s="399">
        <v>2000</v>
      </c>
      <c r="I1459" s="353"/>
      <c r="J1459" s="350">
        <f t="shared" si="1100"/>
        <v>2000</v>
      </c>
      <c r="K1459" s="18">
        <v>1</v>
      </c>
      <c r="L1459" s="350">
        <f t="shared" si="1101"/>
        <v>2000</v>
      </c>
      <c r="M1459" s="356">
        <f t="shared" si="1102"/>
        <v>2200</v>
      </c>
      <c r="N1459" s="258" t="s">
        <v>1516</v>
      </c>
      <c r="O1459" s="466"/>
      <c r="P1459" s="18" t="s">
        <v>5449</v>
      </c>
      <c r="Q1459" s="18" t="s">
        <v>5449</v>
      </c>
      <c r="R1459" s="18" t="s">
        <v>5449</v>
      </c>
      <c r="S1459" s="472" t="s">
        <v>6203</v>
      </c>
    </row>
    <row r="1460" spans="1:19" ht="21.75" customHeight="1" x14ac:dyDescent="0.4">
      <c r="A1460" s="466"/>
      <c r="B1460" s="474"/>
      <c r="C1460" s="474"/>
      <c r="D1460" s="18"/>
      <c r="E1460" s="18"/>
      <c r="F1460" s="18"/>
      <c r="G1460" s="63"/>
      <c r="H1460" s="399"/>
      <c r="I1460" s="353"/>
      <c r="J1460" s="350">
        <f t="shared" si="1100"/>
        <v>0</v>
      </c>
      <c r="K1460" s="18">
        <v>0</v>
      </c>
      <c r="L1460" s="350">
        <f t="shared" si="1101"/>
        <v>0</v>
      </c>
      <c r="M1460" s="356">
        <f t="shared" si="1102"/>
        <v>0</v>
      </c>
      <c r="N1460" s="258"/>
      <c r="O1460" s="466"/>
    </row>
    <row r="1461" spans="1:19" ht="21.75" customHeight="1" x14ac:dyDescent="0.4">
      <c r="A1461" s="466"/>
      <c r="B1461" s="474"/>
      <c r="C1461" s="474"/>
      <c r="D1461" s="18"/>
      <c r="E1461" s="18"/>
      <c r="F1461" s="18"/>
      <c r="G1461" s="63"/>
      <c r="H1461" s="399"/>
      <c r="I1461" s="353"/>
      <c r="J1461" s="350">
        <f t="shared" si="1100"/>
        <v>0</v>
      </c>
      <c r="K1461" s="18">
        <v>0</v>
      </c>
      <c r="L1461" s="350">
        <f t="shared" si="1101"/>
        <v>0</v>
      </c>
      <c r="M1461" s="356">
        <f t="shared" si="1102"/>
        <v>0</v>
      </c>
      <c r="N1461" s="258"/>
      <c r="O1461" s="466"/>
    </row>
    <row r="1462" spans="1:19" ht="21.75" customHeight="1" x14ac:dyDescent="0.4">
      <c r="A1462" s="466"/>
      <c r="B1462" s="474"/>
      <c r="C1462" s="474"/>
      <c r="D1462" s="18"/>
      <c r="E1462" s="18"/>
      <c r="F1462" s="18"/>
      <c r="G1462" s="63"/>
      <c r="H1462" s="399"/>
      <c r="I1462" s="353"/>
      <c r="J1462" s="350">
        <f t="shared" si="1100"/>
        <v>0</v>
      </c>
      <c r="K1462" s="18">
        <v>0</v>
      </c>
      <c r="L1462" s="350">
        <f t="shared" si="1101"/>
        <v>0</v>
      </c>
      <c r="M1462" s="356">
        <f t="shared" si="1102"/>
        <v>0</v>
      </c>
      <c r="N1462" s="258"/>
      <c r="O1462" s="466"/>
    </row>
    <row r="1463" spans="1:19" ht="21.75" customHeight="1" x14ac:dyDescent="0.4">
      <c r="A1463" s="466"/>
      <c r="B1463" s="474"/>
      <c r="C1463" s="474"/>
      <c r="D1463" s="18"/>
      <c r="E1463" s="18"/>
      <c r="F1463" s="18"/>
      <c r="G1463" s="63"/>
      <c r="H1463" s="399"/>
      <c r="I1463" s="353"/>
      <c r="J1463" s="350">
        <f t="shared" si="1100"/>
        <v>0</v>
      </c>
      <c r="K1463" s="18">
        <v>0</v>
      </c>
      <c r="L1463" s="350">
        <f t="shared" si="1101"/>
        <v>0</v>
      </c>
      <c r="M1463" s="356">
        <f t="shared" si="1102"/>
        <v>0</v>
      </c>
      <c r="N1463" s="258"/>
      <c r="O1463" s="466"/>
    </row>
    <row r="1464" spans="1:19" ht="21.75" customHeight="1" x14ac:dyDescent="0.4">
      <c r="A1464" s="466"/>
      <c r="B1464" s="474"/>
      <c r="C1464" s="474"/>
      <c r="D1464" s="18"/>
      <c r="E1464" s="18"/>
      <c r="F1464" s="18"/>
      <c r="G1464" s="63"/>
      <c r="H1464" s="399"/>
      <c r="I1464" s="353"/>
      <c r="J1464" s="350">
        <f t="shared" si="1100"/>
        <v>0</v>
      </c>
      <c r="K1464" s="18">
        <v>0</v>
      </c>
      <c r="L1464" s="350">
        <f t="shared" si="1101"/>
        <v>0</v>
      </c>
      <c r="M1464" s="356">
        <f t="shared" si="1102"/>
        <v>0</v>
      </c>
      <c r="N1464" s="258"/>
      <c r="O1464" s="466"/>
    </row>
    <row r="1465" spans="1:19" ht="21.75" customHeight="1" x14ac:dyDescent="0.4">
      <c r="A1465" s="466"/>
      <c r="B1465" s="474"/>
      <c r="C1465" s="474"/>
      <c r="D1465" s="18"/>
      <c r="E1465" s="18"/>
      <c r="F1465" s="18"/>
      <c r="G1465" s="63"/>
      <c r="H1465" s="399"/>
      <c r="I1465" s="353"/>
      <c r="J1465" s="350">
        <f t="shared" si="1100"/>
        <v>0</v>
      </c>
      <c r="K1465" s="18">
        <v>0</v>
      </c>
      <c r="L1465" s="350">
        <f t="shared" si="1101"/>
        <v>0</v>
      </c>
      <c r="M1465" s="356">
        <f t="shared" si="1102"/>
        <v>0</v>
      </c>
      <c r="N1465" s="258"/>
      <c r="O1465" s="466"/>
    </row>
    <row r="1466" spans="1:19" ht="21.75" customHeight="1" x14ac:dyDescent="0.4">
      <c r="A1466" s="466"/>
      <c r="B1466" s="474"/>
      <c r="C1466" s="474"/>
      <c r="D1466" s="18"/>
      <c r="E1466" s="18"/>
      <c r="F1466" s="18"/>
      <c r="G1466" s="63"/>
      <c r="H1466" s="399"/>
      <c r="I1466" s="353"/>
      <c r="J1466" s="350">
        <f t="shared" si="1100"/>
        <v>0</v>
      </c>
      <c r="K1466" s="18">
        <v>0</v>
      </c>
      <c r="L1466" s="350">
        <f t="shared" si="1101"/>
        <v>0</v>
      </c>
      <c r="M1466" s="356">
        <f t="shared" si="1102"/>
        <v>0</v>
      </c>
      <c r="N1466" s="258"/>
      <c r="O1466" s="466"/>
    </row>
    <row r="1467" spans="1:19" ht="21.75" customHeight="1" x14ac:dyDescent="0.4">
      <c r="A1467" s="466"/>
      <c r="B1467" s="474"/>
      <c r="C1467" s="474"/>
      <c r="D1467" s="18"/>
      <c r="E1467" s="18"/>
      <c r="F1467" s="18"/>
      <c r="G1467" s="63"/>
      <c r="H1467" s="399"/>
      <c r="I1467" s="353"/>
      <c r="J1467" s="350">
        <f t="shared" si="1100"/>
        <v>0</v>
      </c>
      <c r="K1467" s="18">
        <v>0</v>
      </c>
      <c r="L1467" s="350">
        <f t="shared" si="1101"/>
        <v>0</v>
      </c>
      <c r="M1467" s="356">
        <f t="shared" si="1102"/>
        <v>0</v>
      </c>
      <c r="N1467" s="258"/>
      <c r="O1467" s="466"/>
    </row>
    <row r="1468" spans="1:19" ht="21.75" customHeight="1" x14ac:dyDescent="0.4">
      <c r="A1468" s="466"/>
      <c r="B1468" s="474"/>
      <c r="C1468" s="474"/>
      <c r="D1468" s="18"/>
      <c r="E1468" s="18"/>
      <c r="F1468" s="18"/>
      <c r="G1468" s="63"/>
      <c r="H1468" s="399"/>
      <c r="I1468" s="353"/>
      <c r="J1468" s="350">
        <f t="shared" si="1100"/>
        <v>0</v>
      </c>
      <c r="K1468" s="18">
        <v>0</v>
      </c>
      <c r="L1468" s="350">
        <f t="shared" si="1101"/>
        <v>0</v>
      </c>
      <c r="M1468" s="356">
        <f t="shared" si="1102"/>
        <v>0</v>
      </c>
      <c r="N1468" s="258"/>
      <c r="O1468" s="466"/>
    </row>
    <row r="1469" spans="1:19" ht="21.75" customHeight="1" x14ac:dyDescent="0.4">
      <c r="A1469" s="466"/>
      <c r="B1469" s="474"/>
      <c r="C1469" s="474"/>
      <c r="D1469" s="18"/>
      <c r="E1469" s="18"/>
      <c r="F1469" s="18"/>
      <c r="G1469" s="63"/>
      <c r="H1469" s="399"/>
      <c r="I1469" s="353"/>
      <c r="J1469" s="350">
        <f t="shared" si="1100"/>
        <v>0</v>
      </c>
      <c r="K1469" s="18">
        <v>0</v>
      </c>
      <c r="L1469" s="350">
        <f t="shared" si="1101"/>
        <v>0</v>
      </c>
      <c r="M1469" s="356">
        <f t="shared" si="1102"/>
        <v>0</v>
      </c>
      <c r="N1469" s="258"/>
      <c r="O1469" s="466"/>
    </row>
    <row r="1470" spans="1:19" ht="21.75" customHeight="1" x14ac:dyDescent="0.4">
      <c r="A1470" s="466"/>
      <c r="B1470" s="474"/>
      <c r="C1470" s="474"/>
      <c r="D1470" s="18"/>
      <c r="E1470" s="18"/>
      <c r="F1470" s="18"/>
      <c r="G1470" s="63"/>
      <c r="H1470" s="399"/>
      <c r="I1470" s="353"/>
      <c r="J1470" s="350">
        <f t="shared" si="1100"/>
        <v>0</v>
      </c>
      <c r="K1470" s="18">
        <v>0</v>
      </c>
      <c r="L1470" s="350">
        <f t="shared" si="1101"/>
        <v>0</v>
      </c>
      <c r="M1470" s="356">
        <f t="shared" si="1102"/>
        <v>0</v>
      </c>
      <c r="N1470" s="258"/>
      <c r="O1470" s="466"/>
    </row>
    <row r="1471" spans="1:19" ht="21.75" customHeight="1" x14ac:dyDescent="0.4">
      <c r="A1471" s="466"/>
      <c r="B1471" s="474"/>
      <c r="C1471" s="474"/>
      <c r="D1471" s="18"/>
      <c r="E1471" s="18"/>
      <c r="F1471" s="18"/>
      <c r="G1471" s="63"/>
      <c r="H1471" s="399"/>
      <c r="I1471" s="353"/>
      <c r="J1471" s="350">
        <f t="shared" si="1100"/>
        <v>0</v>
      </c>
      <c r="K1471" s="18">
        <v>0</v>
      </c>
      <c r="L1471" s="350">
        <f t="shared" si="1101"/>
        <v>0</v>
      </c>
      <c r="M1471" s="356">
        <f t="shared" si="1102"/>
        <v>0</v>
      </c>
      <c r="N1471" s="258"/>
      <c r="O1471" s="466"/>
    </row>
    <row r="1472" spans="1:19" ht="21.75" customHeight="1" x14ac:dyDescent="0.4">
      <c r="A1472" s="466"/>
      <c r="B1472" s="474"/>
      <c r="C1472" s="474"/>
      <c r="D1472" s="18"/>
      <c r="E1472" s="18"/>
      <c r="F1472" s="18"/>
      <c r="G1472" s="63"/>
      <c r="H1472" s="399"/>
      <c r="I1472" s="353"/>
      <c r="J1472" s="350">
        <f t="shared" si="1100"/>
        <v>0</v>
      </c>
      <c r="K1472" s="18">
        <v>0</v>
      </c>
      <c r="L1472" s="350">
        <f t="shared" si="1101"/>
        <v>0</v>
      </c>
      <c r="M1472" s="356">
        <f t="shared" si="1102"/>
        <v>0</v>
      </c>
      <c r="N1472" s="258"/>
      <c r="O1472" s="466"/>
    </row>
    <row r="1473" spans="1:15" ht="21.75" customHeight="1" x14ac:dyDescent="0.4">
      <c r="A1473" s="466"/>
      <c r="B1473" s="474"/>
      <c r="C1473" s="474"/>
      <c r="D1473" s="18"/>
      <c r="E1473" s="18"/>
      <c r="F1473" s="18"/>
      <c r="G1473" s="63"/>
      <c r="H1473" s="399"/>
      <c r="I1473" s="353"/>
      <c r="J1473" s="350">
        <f t="shared" si="1100"/>
        <v>0</v>
      </c>
      <c r="K1473" s="18">
        <v>0</v>
      </c>
      <c r="L1473" s="350">
        <f t="shared" si="1101"/>
        <v>0</v>
      </c>
      <c r="M1473" s="356">
        <f t="shared" si="1102"/>
        <v>0</v>
      </c>
      <c r="N1473" s="258"/>
      <c r="O1473" s="466"/>
    </row>
    <row r="1474" spans="1:15" ht="21.75" customHeight="1" x14ac:dyDescent="0.4">
      <c r="A1474" s="466"/>
      <c r="B1474" s="474"/>
      <c r="C1474" s="474"/>
      <c r="D1474" s="18"/>
      <c r="E1474" s="18"/>
      <c r="F1474" s="18"/>
      <c r="G1474" s="63"/>
      <c r="H1474" s="399"/>
      <c r="I1474" s="353"/>
      <c r="J1474" s="350">
        <f t="shared" si="1100"/>
        <v>0</v>
      </c>
      <c r="K1474" s="18">
        <v>0</v>
      </c>
      <c r="L1474" s="350">
        <f t="shared" si="1101"/>
        <v>0</v>
      </c>
      <c r="M1474" s="356">
        <f t="shared" si="1102"/>
        <v>0</v>
      </c>
      <c r="N1474" s="258"/>
      <c r="O1474" s="466"/>
    </row>
    <row r="1475" spans="1:15" ht="21.75" customHeight="1" x14ac:dyDescent="0.4">
      <c r="A1475" s="466"/>
      <c r="B1475" s="474"/>
      <c r="C1475" s="474"/>
      <c r="D1475" s="18"/>
      <c r="E1475" s="18"/>
      <c r="F1475" s="18"/>
      <c r="G1475" s="63"/>
      <c r="H1475" s="399"/>
      <c r="I1475" s="353"/>
      <c r="J1475" s="350">
        <f t="shared" si="1100"/>
        <v>0</v>
      </c>
      <c r="K1475" s="18">
        <v>0</v>
      </c>
      <c r="L1475" s="350">
        <f t="shared" si="1101"/>
        <v>0</v>
      </c>
      <c r="M1475" s="356">
        <f t="shared" si="1102"/>
        <v>0</v>
      </c>
      <c r="N1475" s="258"/>
      <c r="O1475" s="466"/>
    </row>
    <row r="1476" spans="1:15" ht="21.75" customHeight="1" x14ac:dyDescent="0.4">
      <c r="A1476" s="466"/>
      <c r="B1476" s="474"/>
      <c r="C1476" s="474"/>
      <c r="D1476" s="18"/>
      <c r="E1476" s="18"/>
      <c r="F1476" s="18"/>
      <c r="G1476" s="63"/>
      <c r="H1476" s="399"/>
      <c r="I1476" s="353"/>
      <c r="J1476" s="350">
        <f t="shared" si="1100"/>
        <v>0</v>
      </c>
      <c r="K1476" s="18">
        <v>0</v>
      </c>
      <c r="L1476" s="350">
        <f t="shared" si="1101"/>
        <v>0</v>
      </c>
      <c r="M1476" s="356">
        <f t="shared" si="1102"/>
        <v>0</v>
      </c>
      <c r="N1476" s="258"/>
      <c r="O1476" s="466"/>
    </row>
    <row r="1477" spans="1:15" ht="21.75" customHeight="1" x14ac:dyDescent="0.4">
      <c r="A1477" s="466"/>
      <c r="B1477" s="474"/>
      <c r="C1477" s="474"/>
      <c r="D1477" s="18"/>
      <c r="E1477" s="18"/>
      <c r="F1477" s="18"/>
      <c r="G1477" s="63"/>
      <c r="H1477" s="399"/>
      <c r="I1477" s="353"/>
      <c r="J1477" s="350">
        <f t="shared" si="1100"/>
        <v>0</v>
      </c>
      <c r="K1477" s="18">
        <v>0</v>
      </c>
      <c r="L1477" s="350">
        <f t="shared" si="1101"/>
        <v>0</v>
      </c>
      <c r="M1477" s="356">
        <f t="shared" si="1102"/>
        <v>0</v>
      </c>
      <c r="N1477" s="258"/>
      <c r="O1477" s="466"/>
    </row>
    <row r="1478" spans="1:15" ht="21.75" customHeight="1" x14ac:dyDescent="0.4">
      <c r="A1478" s="466"/>
      <c r="B1478" s="474"/>
      <c r="C1478" s="474"/>
      <c r="D1478" s="18"/>
      <c r="E1478" s="18"/>
      <c r="F1478" s="18"/>
      <c r="G1478" s="63"/>
      <c r="H1478" s="399"/>
      <c r="I1478" s="353"/>
      <c r="J1478" s="350">
        <f t="shared" si="1100"/>
        <v>0</v>
      </c>
      <c r="K1478" s="18">
        <v>0</v>
      </c>
      <c r="L1478" s="350">
        <f t="shared" si="1101"/>
        <v>0</v>
      </c>
      <c r="M1478" s="356">
        <f t="shared" si="1102"/>
        <v>0</v>
      </c>
      <c r="N1478" s="258"/>
      <c r="O1478" s="466"/>
    </row>
    <row r="1479" spans="1:15" ht="21.75" customHeight="1" x14ac:dyDescent="0.4">
      <c r="A1479" s="466"/>
      <c r="B1479" s="474"/>
      <c r="C1479" s="474"/>
      <c r="D1479" s="18"/>
      <c r="E1479" s="18"/>
      <c r="F1479" s="18"/>
      <c r="G1479" s="63"/>
      <c r="H1479" s="399"/>
      <c r="I1479" s="353"/>
      <c r="J1479" s="350">
        <f t="shared" si="1100"/>
        <v>0</v>
      </c>
      <c r="K1479" s="18">
        <v>0</v>
      </c>
      <c r="L1479" s="350">
        <f t="shared" si="1101"/>
        <v>0</v>
      </c>
      <c r="M1479" s="356">
        <f t="shared" si="1102"/>
        <v>0</v>
      </c>
      <c r="N1479" s="258"/>
      <c r="O1479" s="466"/>
    </row>
    <row r="1480" spans="1:15" ht="21.75" customHeight="1" x14ac:dyDescent="0.4">
      <c r="A1480" s="466"/>
      <c r="B1480" s="474"/>
      <c r="C1480" s="474"/>
      <c r="D1480" s="18"/>
      <c r="E1480" s="18"/>
      <c r="F1480" s="18"/>
      <c r="G1480" s="63"/>
      <c r="H1480" s="399"/>
      <c r="I1480" s="353"/>
      <c r="J1480" s="350">
        <f t="shared" si="1100"/>
        <v>0</v>
      </c>
      <c r="K1480" s="18">
        <v>0</v>
      </c>
      <c r="L1480" s="350">
        <f t="shared" si="1101"/>
        <v>0</v>
      </c>
      <c r="M1480" s="356">
        <f t="shared" si="1102"/>
        <v>0</v>
      </c>
      <c r="N1480" s="258"/>
      <c r="O1480" s="466"/>
    </row>
    <row r="1481" spans="1:15" ht="21.75" customHeight="1" x14ac:dyDescent="0.4">
      <c r="A1481" s="466"/>
      <c r="B1481" s="474"/>
      <c r="C1481" s="474"/>
      <c r="D1481" s="18"/>
      <c r="E1481" s="18"/>
      <c r="F1481" s="18"/>
      <c r="G1481" s="63"/>
      <c r="H1481" s="399"/>
      <c r="I1481" s="353"/>
      <c r="J1481" s="350">
        <f t="shared" si="1100"/>
        <v>0</v>
      </c>
      <c r="K1481" s="18">
        <v>0</v>
      </c>
      <c r="L1481" s="350">
        <f t="shared" si="1101"/>
        <v>0</v>
      </c>
      <c r="M1481" s="356">
        <f t="shared" si="1102"/>
        <v>0</v>
      </c>
      <c r="N1481" s="258"/>
      <c r="O1481" s="466"/>
    </row>
    <row r="1482" spans="1:15" ht="21.75" customHeight="1" x14ac:dyDescent="0.4">
      <c r="A1482" s="466"/>
      <c r="B1482" s="474"/>
      <c r="C1482" s="474"/>
      <c r="D1482" s="18"/>
      <c r="E1482" s="18"/>
      <c r="F1482" s="18"/>
      <c r="G1482" s="63"/>
      <c r="H1482" s="399"/>
      <c r="I1482" s="353"/>
      <c r="J1482" s="350">
        <f t="shared" si="1100"/>
        <v>0</v>
      </c>
      <c r="K1482" s="18">
        <v>0</v>
      </c>
      <c r="L1482" s="350">
        <f t="shared" si="1101"/>
        <v>0</v>
      </c>
      <c r="M1482" s="356">
        <f t="shared" si="1102"/>
        <v>0</v>
      </c>
      <c r="N1482" s="258"/>
      <c r="O1482" s="466"/>
    </row>
    <row r="1483" spans="1:15" ht="21.75" customHeight="1" x14ac:dyDescent="0.4">
      <c r="A1483" s="466"/>
      <c r="B1483" s="474"/>
      <c r="C1483" s="474"/>
      <c r="D1483" s="18"/>
      <c r="E1483" s="18"/>
      <c r="F1483" s="18"/>
      <c r="G1483" s="63"/>
      <c r="H1483" s="399"/>
      <c r="I1483" s="353"/>
      <c r="J1483" s="350">
        <f t="shared" si="1100"/>
        <v>0</v>
      </c>
      <c r="K1483" s="18">
        <v>0</v>
      </c>
      <c r="L1483" s="350">
        <f t="shared" si="1101"/>
        <v>0</v>
      </c>
      <c r="M1483" s="356">
        <f t="shared" si="1102"/>
        <v>0</v>
      </c>
      <c r="N1483" s="258"/>
      <c r="O1483" s="466"/>
    </row>
    <row r="1484" spans="1:15" ht="21.75" customHeight="1" x14ac:dyDescent="0.4">
      <c r="A1484" s="466"/>
      <c r="B1484" s="474"/>
      <c r="C1484" s="474"/>
      <c r="D1484" s="18"/>
      <c r="E1484" s="18"/>
      <c r="F1484" s="18"/>
      <c r="G1484" s="63"/>
      <c r="H1484" s="399"/>
      <c r="I1484" s="353"/>
      <c r="J1484" s="350">
        <f t="shared" si="1100"/>
        <v>0</v>
      </c>
      <c r="K1484" s="18">
        <v>0</v>
      </c>
      <c r="L1484" s="350">
        <f t="shared" si="1101"/>
        <v>0</v>
      </c>
      <c r="M1484" s="356">
        <f t="shared" si="1102"/>
        <v>0</v>
      </c>
      <c r="N1484" s="258"/>
      <c r="O1484" s="466"/>
    </row>
    <row r="1485" spans="1:15" ht="21.75" customHeight="1" x14ac:dyDescent="0.4">
      <c r="A1485" s="466"/>
      <c r="B1485" s="474"/>
      <c r="C1485" s="474"/>
      <c r="D1485" s="18"/>
      <c r="E1485" s="18"/>
      <c r="F1485" s="18"/>
      <c r="G1485" s="63"/>
      <c r="H1485" s="399"/>
      <c r="I1485" s="353"/>
      <c r="J1485" s="350">
        <f t="shared" si="1100"/>
        <v>0</v>
      </c>
      <c r="K1485" s="18">
        <v>0</v>
      </c>
      <c r="L1485" s="350">
        <f t="shared" si="1101"/>
        <v>0</v>
      </c>
      <c r="M1485" s="356">
        <f t="shared" si="1102"/>
        <v>0</v>
      </c>
      <c r="N1485" s="258"/>
      <c r="O1485" s="466"/>
    </row>
    <row r="1486" spans="1:15" ht="21.75" customHeight="1" x14ac:dyDescent="0.4">
      <c r="A1486" s="466"/>
      <c r="B1486" s="474"/>
      <c r="C1486" s="474"/>
      <c r="D1486" s="18"/>
      <c r="E1486" s="18"/>
      <c r="F1486" s="18"/>
      <c r="G1486" s="63"/>
      <c r="H1486" s="399"/>
      <c r="I1486" s="353"/>
      <c r="J1486" s="350">
        <f t="shared" si="1100"/>
        <v>0</v>
      </c>
      <c r="K1486" s="18">
        <v>0</v>
      </c>
      <c r="L1486" s="350">
        <f t="shared" si="1101"/>
        <v>0</v>
      </c>
      <c r="M1486" s="356">
        <f t="shared" si="1102"/>
        <v>0</v>
      </c>
      <c r="N1486" s="258"/>
      <c r="O1486" s="466"/>
    </row>
    <row r="1487" spans="1:15" ht="21.75" customHeight="1" x14ac:dyDescent="0.4">
      <c r="A1487" s="466"/>
      <c r="B1487" s="474"/>
      <c r="C1487" s="474"/>
      <c r="D1487" s="18"/>
      <c r="E1487" s="18"/>
      <c r="F1487" s="18"/>
      <c r="G1487" s="63"/>
      <c r="H1487" s="399"/>
      <c r="I1487" s="353"/>
      <c r="J1487" s="350">
        <f t="shared" si="1100"/>
        <v>0</v>
      </c>
      <c r="K1487" s="18">
        <v>0</v>
      </c>
      <c r="L1487" s="350">
        <f t="shared" si="1101"/>
        <v>0</v>
      </c>
      <c r="M1487" s="356">
        <f t="shared" si="1102"/>
        <v>0</v>
      </c>
      <c r="N1487" s="258"/>
      <c r="O1487" s="466"/>
    </row>
    <row r="1488" spans="1:15" ht="21.75" customHeight="1" x14ac:dyDescent="0.4">
      <c r="A1488" s="466"/>
      <c r="B1488" s="474"/>
      <c r="C1488" s="474"/>
      <c r="D1488" s="18"/>
      <c r="E1488" s="18"/>
      <c r="F1488" s="18"/>
      <c r="G1488" s="63"/>
      <c r="H1488" s="399"/>
      <c r="I1488" s="353"/>
      <c r="J1488" s="350">
        <f t="shared" si="1100"/>
        <v>0</v>
      </c>
      <c r="K1488" s="18">
        <v>0</v>
      </c>
      <c r="L1488" s="350">
        <f t="shared" si="1101"/>
        <v>0</v>
      </c>
      <c r="M1488" s="356">
        <f t="shared" si="1102"/>
        <v>0</v>
      </c>
      <c r="N1488" s="258"/>
      <c r="O1488" s="466"/>
    </row>
    <row r="1489" spans="1:15" ht="21.75" customHeight="1" x14ac:dyDescent="0.4">
      <c r="A1489" s="466"/>
      <c r="B1489" s="474"/>
      <c r="C1489" s="474"/>
      <c r="D1489" s="18"/>
      <c r="E1489" s="18"/>
      <c r="F1489" s="18"/>
      <c r="G1489" s="63"/>
      <c r="H1489" s="399"/>
      <c r="I1489" s="353"/>
      <c r="J1489" s="350">
        <f t="shared" si="1100"/>
        <v>0</v>
      </c>
      <c r="K1489" s="18">
        <v>0</v>
      </c>
      <c r="L1489" s="350">
        <f t="shared" si="1101"/>
        <v>0</v>
      </c>
      <c r="M1489" s="356">
        <f t="shared" si="1102"/>
        <v>0</v>
      </c>
      <c r="N1489" s="258"/>
      <c r="O1489" s="466"/>
    </row>
    <row r="1490" spans="1:15" ht="21.75" customHeight="1" x14ac:dyDescent="0.4">
      <c r="A1490" s="466"/>
      <c r="B1490" s="474"/>
      <c r="C1490" s="474"/>
      <c r="D1490" s="18"/>
      <c r="E1490" s="18"/>
      <c r="F1490" s="18"/>
      <c r="G1490" s="63"/>
      <c r="H1490" s="399"/>
      <c r="I1490" s="353"/>
      <c r="J1490" s="350">
        <f t="shared" si="1100"/>
        <v>0</v>
      </c>
      <c r="K1490" s="18">
        <v>0</v>
      </c>
      <c r="L1490" s="350">
        <f t="shared" si="1101"/>
        <v>0</v>
      </c>
      <c r="M1490" s="356">
        <f t="shared" si="1102"/>
        <v>0</v>
      </c>
      <c r="N1490" s="258"/>
      <c r="O1490" s="466"/>
    </row>
    <row r="1491" spans="1:15" ht="21.75" customHeight="1" x14ac:dyDescent="0.4">
      <c r="A1491" s="466"/>
      <c r="B1491" s="474"/>
      <c r="C1491" s="474"/>
      <c r="D1491" s="18"/>
      <c r="E1491" s="18"/>
      <c r="F1491" s="18"/>
      <c r="G1491" s="63"/>
      <c r="H1491" s="399"/>
      <c r="I1491" s="353"/>
      <c r="J1491" s="350">
        <f t="shared" si="1100"/>
        <v>0</v>
      </c>
      <c r="K1491" s="18">
        <v>0</v>
      </c>
      <c r="L1491" s="350">
        <f t="shared" si="1101"/>
        <v>0</v>
      </c>
      <c r="M1491" s="356">
        <f t="shared" si="1102"/>
        <v>0</v>
      </c>
      <c r="N1491" s="258"/>
      <c r="O1491" s="466"/>
    </row>
    <row r="1492" spans="1:15" ht="21.75" customHeight="1" x14ac:dyDescent="0.4">
      <c r="A1492" s="466"/>
      <c r="B1492" s="474"/>
      <c r="C1492" s="474"/>
      <c r="D1492" s="18"/>
      <c r="E1492" s="18"/>
      <c r="F1492" s="18"/>
      <c r="G1492" s="63"/>
      <c r="H1492" s="399"/>
      <c r="I1492" s="353"/>
      <c r="J1492" s="350">
        <f t="shared" si="1100"/>
        <v>0</v>
      </c>
      <c r="K1492" s="18">
        <v>0</v>
      </c>
      <c r="L1492" s="350">
        <f t="shared" si="1101"/>
        <v>0</v>
      </c>
      <c r="M1492" s="356">
        <f t="shared" si="1102"/>
        <v>0</v>
      </c>
      <c r="N1492" s="258"/>
      <c r="O1492" s="466"/>
    </row>
    <row r="1493" spans="1:15" ht="21.75" customHeight="1" x14ac:dyDescent="0.4">
      <c r="A1493" s="466"/>
      <c r="B1493" s="474"/>
      <c r="C1493" s="474"/>
      <c r="D1493" s="18"/>
      <c r="E1493" s="18"/>
      <c r="F1493" s="18"/>
      <c r="G1493" s="63"/>
      <c r="H1493" s="399"/>
      <c r="I1493" s="353"/>
      <c r="J1493" s="350">
        <f t="shared" si="1100"/>
        <v>0</v>
      </c>
      <c r="K1493" s="18">
        <v>0</v>
      </c>
      <c r="L1493" s="350">
        <f t="shared" si="1101"/>
        <v>0</v>
      </c>
      <c r="M1493" s="356">
        <f t="shared" si="1102"/>
        <v>0</v>
      </c>
      <c r="N1493" s="258"/>
      <c r="O1493" s="466"/>
    </row>
    <row r="1494" spans="1:15" ht="21.75" customHeight="1" x14ac:dyDescent="0.4">
      <c r="A1494" s="466"/>
      <c r="B1494" s="474"/>
      <c r="C1494" s="474"/>
      <c r="D1494" s="18"/>
      <c r="E1494" s="18"/>
      <c r="F1494" s="18"/>
      <c r="G1494" s="63"/>
      <c r="H1494" s="399"/>
      <c r="I1494" s="353"/>
      <c r="J1494" s="350">
        <f t="shared" si="1100"/>
        <v>0</v>
      </c>
      <c r="K1494" s="18">
        <v>0</v>
      </c>
      <c r="L1494" s="350">
        <f t="shared" si="1101"/>
        <v>0</v>
      </c>
      <c r="M1494" s="356">
        <f t="shared" si="1102"/>
        <v>0</v>
      </c>
      <c r="N1494" s="258"/>
      <c r="O1494" s="466"/>
    </row>
    <row r="1495" spans="1:15" ht="21.75" customHeight="1" x14ac:dyDescent="0.4">
      <c r="A1495" s="466"/>
      <c r="B1495" s="474"/>
      <c r="C1495" s="474"/>
      <c r="D1495" s="18"/>
      <c r="E1495" s="18"/>
      <c r="F1495" s="18"/>
      <c r="G1495" s="63"/>
      <c r="H1495" s="399"/>
      <c r="I1495" s="353"/>
      <c r="J1495" s="350">
        <f t="shared" si="1100"/>
        <v>0</v>
      </c>
      <c r="K1495" s="18">
        <v>0</v>
      </c>
      <c r="L1495" s="350">
        <f t="shared" si="1101"/>
        <v>0</v>
      </c>
      <c r="M1495" s="356">
        <f t="shared" si="1102"/>
        <v>0</v>
      </c>
      <c r="N1495" s="258"/>
      <c r="O1495" s="466"/>
    </row>
    <row r="1496" spans="1:15" ht="21.75" customHeight="1" x14ac:dyDescent="0.4">
      <c r="A1496" s="466"/>
      <c r="B1496" s="474"/>
      <c r="C1496" s="474"/>
      <c r="D1496" s="18"/>
      <c r="E1496" s="18"/>
      <c r="F1496" s="18"/>
      <c r="G1496" s="63"/>
      <c r="H1496" s="399"/>
      <c r="I1496" s="353"/>
      <c r="J1496" s="350">
        <f t="shared" si="1100"/>
        <v>0</v>
      </c>
      <c r="K1496" s="18">
        <v>0</v>
      </c>
      <c r="L1496" s="350">
        <f t="shared" si="1101"/>
        <v>0</v>
      </c>
      <c r="M1496" s="356">
        <f t="shared" si="1102"/>
        <v>0</v>
      </c>
      <c r="N1496" s="258"/>
      <c r="O1496" s="466"/>
    </row>
    <row r="1497" spans="1:15" ht="21.75" customHeight="1" x14ac:dyDescent="0.4">
      <c r="A1497" s="466"/>
      <c r="B1497" s="474"/>
      <c r="C1497" s="474"/>
      <c r="D1497" s="18"/>
      <c r="E1497" s="18"/>
      <c r="F1497" s="18"/>
      <c r="G1497" s="63"/>
      <c r="H1497" s="399"/>
      <c r="I1497" s="353"/>
      <c r="J1497" s="350">
        <f t="shared" si="1100"/>
        <v>0</v>
      </c>
      <c r="K1497" s="18">
        <v>0</v>
      </c>
      <c r="L1497" s="350">
        <f t="shared" si="1101"/>
        <v>0</v>
      </c>
      <c r="M1497" s="356">
        <f t="shared" si="1102"/>
        <v>0</v>
      </c>
      <c r="N1497" s="258"/>
      <c r="O1497" s="466"/>
    </row>
    <row r="1498" spans="1:15" ht="21.75" customHeight="1" x14ac:dyDescent="0.4">
      <c r="A1498" s="466"/>
      <c r="B1498" s="474"/>
      <c r="C1498" s="474"/>
      <c r="D1498" s="18"/>
      <c r="E1498" s="18"/>
      <c r="F1498" s="18"/>
      <c r="G1498" s="63"/>
      <c r="H1498" s="399"/>
      <c r="I1498" s="353"/>
      <c r="J1498" s="350">
        <f t="shared" si="1100"/>
        <v>0</v>
      </c>
      <c r="K1498" s="18">
        <v>0</v>
      </c>
      <c r="L1498" s="350">
        <f t="shared" si="1101"/>
        <v>0</v>
      </c>
      <c r="M1498" s="356">
        <f t="shared" si="1102"/>
        <v>0</v>
      </c>
      <c r="N1498" s="258"/>
      <c r="O1498" s="466"/>
    </row>
    <row r="1499" spans="1:15" ht="21.75" customHeight="1" x14ac:dyDescent="0.4">
      <c r="A1499" s="466"/>
      <c r="B1499" s="474"/>
      <c r="C1499" s="474"/>
      <c r="D1499" s="18"/>
      <c r="E1499" s="18"/>
      <c r="F1499" s="18"/>
      <c r="G1499" s="63"/>
      <c r="H1499" s="399"/>
      <c r="I1499" s="353"/>
      <c r="J1499" s="350">
        <f t="shared" si="1100"/>
        <v>0</v>
      </c>
      <c r="K1499" s="18">
        <v>0</v>
      </c>
      <c r="L1499" s="350">
        <f t="shared" si="1101"/>
        <v>0</v>
      </c>
      <c r="M1499" s="356">
        <f t="shared" si="1102"/>
        <v>0</v>
      </c>
      <c r="N1499" s="258"/>
      <c r="O1499" s="466"/>
    </row>
    <row r="1500" spans="1:15" ht="21.75" customHeight="1" x14ac:dyDescent="0.4">
      <c r="A1500" s="466"/>
      <c r="B1500" s="474"/>
      <c r="C1500" s="474"/>
      <c r="D1500" s="18"/>
      <c r="E1500" s="18"/>
      <c r="F1500" s="18"/>
      <c r="G1500" s="63"/>
      <c r="H1500" s="399"/>
      <c r="I1500" s="353"/>
      <c r="J1500" s="350">
        <f t="shared" si="1100"/>
        <v>0</v>
      </c>
      <c r="K1500" s="18">
        <v>0</v>
      </c>
      <c r="L1500" s="350">
        <f t="shared" si="1101"/>
        <v>0</v>
      </c>
      <c r="M1500" s="356">
        <f t="shared" si="1102"/>
        <v>0</v>
      </c>
      <c r="N1500" s="258"/>
      <c r="O1500" s="466"/>
    </row>
    <row r="1501" spans="1:15" ht="21.75" customHeight="1" x14ac:dyDescent="0.4">
      <c r="A1501" s="466"/>
      <c r="B1501" s="474"/>
      <c r="C1501" s="474"/>
      <c r="D1501" s="18"/>
      <c r="E1501" s="18"/>
      <c r="F1501" s="18"/>
      <c r="G1501" s="63"/>
      <c r="H1501" s="399"/>
      <c r="I1501" s="353"/>
      <c r="J1501" s="350">
        <f t="shared" si="1100"/>
        <v>0</v>
      </c>
      <c r="K1501" s="18">
        <v>0</v>
      </c>
      <c r="L1501" s="350">
        <f t="shared" si="1101"/>
        <v>0</v>
      </c>
      <c r="M1501" s="356">
        <f t="shared" si="1102"/>
        <v>0</v>
      </c>
      <c r="N1501" s="258"/>
      <c r="O1501" s="466"/>
    </row>
    <row r="1502" spans="1:15" ht="21.75" customHeight="1" x14ac:dyDescent="0.4">
      <c r="A1502" s="466"/>
      <c r="B1502" s="474"/>
      <c r="C1502" s="474"/>
      <c r="D1502" s="18"/>
      <c r="E1502" s="18"/>
      <c r="F1502" s="18"/>
      <c r="G1502" s="63"/>
      <c r="H1502" s="399"/>
      <c r="I1502" s="353"/>
      <c r="J1502" s="350">
        <f t="shared" si="1100"/>
        <v>0</v>
      </c>
      <c r="K1502" s="18">
        <v>0</v>
      </c>
      <c r="L1502" s="350">
        <f t="shared" si="1101"/>
        <v>0</v>
      </c>
      <c r="M1502" s="356">
        <f t="shared" si="1102"/>
        <v>0</v>
      </c>
      <c r="N1502" s="258"/>
      <c r="O1502" s="466"/>
    </row>
    <row r="1503" spans="1:15" ht="21.75" customHeight="1" x14ac:dyDescent="0.4">
      <c r="A1503" s="466"/>
      <c r="B1503" s="474"/>
      <c r="C1503" s="474"/>
      <c r="D1503" s="18"/>
      <c r="E1503" s="18"/>
      <c r="F1503" s="18"/>
      <c r="G1503" s="63"/>
      <c r="H1503" s="399"/>
      <c r="I1503" s="353"/>
      <c r="J1503" s="350">
        <f t="shared" si="1100"/>
        <v>0</v>
      </c>
      <c r="K1503" s="18">
        <v>0</v>
      </c>
      <c r="L1503" s="350">
        <f t="shared" si="1101"/>
        <v>0</v>
      </c>
      <c r="M1503" s="356">
        <f t="shared" si="1102"/>
        <v>0</v>
      </c>
      <c r="N1503" s="258"/>
      <c r="O1503" s="466"/>
    </row>
    <row r="1504" spans="1:15" ht="21.75" customHeight="1" x14ac:dyDescent="0.4">
      <c r="A1504" s="466"/>
      <c r="B1504" s="474"/>
      <c r="C1504" s="474"/>
      <c r="D1504" s="18"/>
      <c r="E1504" s="18"/>
      <c r="F1504" s="18"/>
      <c r="G1504" s="63"/>
      <c r="H1504" s="399"/>
      <c r="I1504" s="353"/>
      <c r="J1504" s="350">
        <f t="shared" si="1100"/>
        <v>0</v>
      </c>
      <c r="K1504" s="18">
        <v>0</v>
      </c>
      <c r="L1504" s="350">
        <f t="shared" si="1101"/>
        <v>0</v>
      </c>
      <c r="M1504" s="356">
        <f t="shared" si="1102"/>
        <v>0</v>
      </c>
      <c r="N1504" s="258"/>
      <c r="O1504" s="466"/>
    </row>
    <row r="1505" spans="1:15" ht="21.75" customHeight="1" x14ac:dyDescent="0.4">
      <c r="A1505" s="466"/>
      <c r="B1505" s="474"/>
      <c r="C1505" s="474"/>
      <c r="D1505" s="18"/>
      <c r="E1505" s="18"/>
      <c r="F1505" s="18"/>
      <c r="G1505" s="63"/>
      <c r="H1505" s="399"/>
      <c r="I1505" s="353"/>
      <c r="J1505" s="350">
        <f t="shared" si="1100"/>
        <v>0</v>
      </c>
      <c r="K1505" s="18">
        <v>0</v>
      </c>
      <c r="L1505" s="350">
        <f t="shared" si="1101"/>
        <v>0</v>
      </c>
      <c r="M1505" s="356">
        <f t="shared" si="1102"/>
        <v>0</v>
      </c>
      <c r="N1505" s="258"/>
      <c r="O1505" s="466"/>
    </row>
    <row r="1506" spans="1:15" ht="21.75" customHeight="1" x14ac:dyDescent="0.4">
      <c r="A1506" s="466"/>
      <c r="B1506" s="474"/>
      <c r="C1506" s="474"/>
      <c r="D1506" s="18"/>
      <c r="E1506" s="18"/>
      <c r="F1506" s="18"/>
      <c r="G1506" s="63"/>
      <c r="H1506" s="399"/>
      <c r="I1506" s="353"/>
      <c r="J1506" s="350">
        <f t="shared" si="1100"/>
        <v>0</v>
      </c>
      <c r="K1506" s="18">
        <v>0</v>
      </c>
      <c r="L1506" s="350">
        <f t="shared" si="1101"/>
        <v>0</v>
      </c>
      <c r="M1506" s="356">
        <f t="shared" si="1102"/>
        <v>0</v>
      </c>
      <c r="N1506" s="258"/>
      <c r="O1506" s="466"/>
    </row>
    <row r="1507" spans="1:15" ht="21.75" customHeight="1" x14ac:dyDescent="0.4">
      <c r="A1507" s="466"/>
      <c r="B1507" s="474"/>
      <c r="C1507" s="474"/>
      <c r="D1507" s="18"/>
      <c r="E1507" s="18"/>
      <c r="F1507" s="18"/>
      <c r="G1507" s="63"/>
      <c r="H1507" s="399"/>
      <c r="I1507" s="353"/>
      <c r="J1507" s="350">
        <f t="shared" si="1100"/>
        <v>0</v>
      </c>
      <c r="K1507" s="18">
        <v>0</v>
      </c>
      <c r="L1507" s="350">
        <f t="shared" si="1101"/>
        <v>0</v>
      </c>
      <c r="M1507" s="356">
        <f t="shared" si="1102"/>
        <v>0</v>
      </c>
      <c r="N1507" s="258"/>
      <c r="O1507" s="466"/>
    </row>
    <row r="1508" spans="1:15" ht="21.75" customHeight="1" x14ac:dyDescent="0.4">
      <c r="A1508" s="466"/>
      <c r="B1508" s="474"/>
      <c r="C1508" s="474"/>
      <c r="D1508" s="18"/>
      <c r="E1508" s="18"/>
      <c r="F1508" s="18"/>
      <c r="G1508" s="63"/>
      <c r="H1508" s="399"/>
      <c r="I1508" s="353"/>
      <c r="J1508" s="350">
        <f t="shared" si="1100"/>
        <v>0</v>
      </c>
      <c r="K1508" s="18">
        <v>0</v>
      </c>
      <c r="L1508" s="350">
        <f t="shared" si="1101"/>
        <v>0</v>
      </c>
      <c r="M1508" s="356">
        <f t="shared" si="1102"/>
        <v>0</v>
      </c>
      <c r="N1508" s="258"/>
      <c r="O1508" s="466"/>
    </row>
    <row r="1509" spans="1:15" ht="21.75" customHeight="1" x14ac:dyDescent="0.4">
      <c r="A1509" s="466"/>
      <c r="B1509" s="474"/>
      <c r="C1509" s="474"/>
      <c r="D1509" s="18"/>
      <c r="E1509" s="18"/>
      <c r="F1509" s="18"/>
      <c r="G1509" s="63"/>
      <c r="H1509" s="399"/>
      <c r="I1509" s="353"/>
      <c r="J1509" s="350">
        <f t="shared" si="1100"/>
        <v>0</v>
      </c>
      <c r="K1509" s="18">
        <v>0</v>
      </c>
      <c r="L1509" s="350">
        <f t="shared" si="1101"/>
        <v>0</v>
      </c>
      <c r="M1509" s="356">
        <f t="shared" si="1102"/>
        <v>0</v>
      </c>
      <c r="N1509" s="258"/>
      <c r="O1509" s="466"/>
    </row>
    <row r="1510" spans="1:15" ht="21.75" customHeight="1" x14ac:dyDescent="0.4">
      <c r="A1510" s="466"/>
      <c r="B1510" s="474"/>
      <c r="C1510" s="474"/>
      <c r="D1510" s="18"/>
      <c r="E1510" s="18"/>
      <c r="F1510" s="18"/>
      <c r="G1510" s="63"/>
      <c r="H1510" s="399"/>
      <c r="I1510" s="353"/>
      <c r="J1510" s="350">
        <f t="shared" ref="J1510:J1573" si="1112">SUM(H1510:I1510)</f>
        <v>0</v>
      </c>
      <c r="K1510" s="18">
        <v>0</v>
      </c>
      <c r="L1510" s="350">
        <f t="shared" ref="L1510:L1573" si="1113">SUM(J1510*K1510)</f>
        <v>0</v>
      </c>
      <c r="M1510" s="356">
        <f t="shared" ref="M1510:M1573" si="1114">ROUNDDOWN(L1510*1.1,0)</f>
        <v>0</v>
      </c>
      <c r="N1510" s="258"/>
      <c r="O1510" s="466"/>
    </row>
    <row r="1511" spans="1:15" ht="21.75" customHeight="1" x14ac:dyDescent="0.4">
      <c r="A1511" s="466"/>
      <c r="B1511" s="474"/>
      <c r="C1511" s="474"/>
      <c r="D1511" s="18"/>
      <c r="E1511" s="18"/>
      <c r="F1511" s="18"/>
      <c r="G1511" s="63"/>
      <c r="H1511" s="399"/>
      <c r="I1511" s="353"/>
      <c r="J1511" s="350">
        <f t="shared" si="1112"/>
        <v>0</v>
      </c>
      <c r="K1511" s="18">
        <v>0</v>
      </c>
      <c r="L1511" s="350">
        <f t="shared" si="1113"/>
        <v>0</v>
      </c>
      <c r="M1511" s="356">
        <f t="shared" si="1114"/>
        <v>0</v>
      </c>
      <c r="N1511" s="258"/>
      <c r="O1511" s="466"/>
    </row>
    <row r="1512" spans="1:15" ht="21.75" customHeight="1" x14ac:dyDescent="0.4">
      <c r="A1512" s="466"/>
      <c r="B1512" s="474"/>
      <c r="C1512" s="474"/>
      <c r="D1512" s="18"/>
      <c r="E1512" s="18"/>
      <c r="F1512" s="18"/>
      <c r="G1512" s="63"/>
      <c r="H1512" s="399"/>
      <c r="I1512" s="353"/>
      <c r="J1512" s="350">
        <f t="shared" si="1112"/>
        <v>0</v>
      </c>
      <c r="K1512" s="18">
        <v>0</v>
      </c>
      <c r="L1512" s="350">
        <f t="shared" si="1113"/>
        <v>0</v>
      </c>
      <c r="M1512" s="356">
        <f t="shared" si="1114"/>
        <v>0</v>
      </c>
      <c r="N1512" s="258"/>
      <c r="O1512" s="466"/>
    </row>
    <row r="1513" spans="1:15" ht="21.75" customHeight="1" x14ac:dyDescent="0.4">
      <c r="A1513" s="466"/>
      <c r="B1513" s="474"/>
      <c r="C1513" s="474"/>
      <c r="D1513" s="18"/>
      <c r="E1513" s="18"/>
      <c r="F1513" s="18"/>
      <c r="G1513" s="63"/>
      <c r="H1513" s="399"/>
      <c r="I1513" s="353"/>
      <c r="J1513" s="350">
        <f t="shared" si="1112"/>
        <v>0</v>
      </c>
      <c r="K1513" s="18">
        <v>0</v>
      </c>
      <c r="L1513" s="350">
        <f t="shared" si="1113"/>
        <v>0</v>
      </c>
      <c r="M1513" s="356">
        <f t="shared" si="1114"/>
        <v>0</v>
      </c>
      <c r="N1513" s="258"/>
      <c r="O1513" s="466"/>
    </row>
    <row r="1514" spans="1:15" ht="21.75" customHeight="1" x14ac:dyDescent="0.4">
      <c r="A1514" s="466"/>
      <c r="B1514" s="474"/>
      <c r="C1514" s="474"/>
      <c r="D1514" s="18"/>
      <c r="E1514" s="18"/>
      <c r="F1514" s="18"/>
      <c r="G1514" s="63"/>
      <c r="H1514" s="399"/>
      <c r="I1514" s="353"/>
      <c r="J1514" s="350">
        <f t="shared" si="1112"/>
        <v>0</v>
      </c>
      <c r="K1514" s="18">
        <v>0</v>
      </c>
      <c r="L1514" s="350">
        <f t="shared" si="1113"/>
        <v>0</v>
      </c>
      <c r="M1514" s="356">
        <f t="shared" si="1114"/>
        <v>0</v>
      </c>
      <c r="N1514" s="258"/>
      <c r="O1514" s="466"/>
    </row>
    <row r="1515" spans="1:15" ht="21.75" customHeight="1" x14ac:dyDescent="0.4">
      <c r="A1515" s="466"/>
      <c r="B1515" s="474"/>
      <c r="C1515" s="474"/>
      <c r="D1515" s="18"/>
      <c r="E1515" s="18"/>
      <c r="F1515" s="18"/>
      <c r="G1515" s="63"/>
      <c r="H1515" s="399"/>
      <c r="I1515" s="353"/>
      <c r="J1515" s="350">
        <f t="shared" si="1112"/>
        <v>0</v>
      </c>
      <c r="K1515" s="18">
        <v>0</v>
      </c>
      <c r="L1515" s="350">
        <f t="shared" si="1113"/>
        <v>0</v>
      </c>
      <c r="M1515" s="356">
        <f t="shared" si="1114"/>
        <v>0</v>
      </c>
      <c r="N1515" s="258"/>
      <c r="O1515" s="466"/>
    </row>
    <row r="1516" spans="1:15" ht="21.75" customHeight="1" x14ac:dyDescent="0.4">
      <c r="A1516" s="466"/>
      <c r="B1516" s="474"/>
      <c r="C1516" s="474"/>
      <c r="D1516" s="18"/>
      <c r="E1516" s="18"/>
      <c r="F1516" s="18"/>
      <c r="G1516" s="63"/>
      <c r="H1516" s="399"/>
      <c r="I1516" s="353"/>
      <c r="J1516" s="350">
        <f t="shared" si="1112"/>
        <v>0</v>
      </c>
      <c r="K1516" s="18">
        <v>0</v>
      </c>
      <c r="L1516" s="350">
        <f t="shared" si="1113"/>
        <v>0</v>
      </c>
      <c r="M1516" s="356">
        <f t="shared" si="1114"/>
        <v>0</v>
      </c>
      <c r="N1516" s="258"/>
      <c r="O1516" s="466"/>
    </row>
    <row r="1517" spans="1:15" ht="21.75" customHeight="1" x14ac:dyDescent="0.4">
      <c r="A1517" s="466"/>
      <c r="B1517" s="474"/>
      <c r="C1517" s="474"/>
      <c r="D1517" s="18"/>
      <c r="E1517" s="18"/>
      <c r="F1517" s="18"/>
      <c r="G1517" s="63"/>
      <c r="H1517" s="399"/>
      <c r="I1517" s="353"/>
      <c r="J1517" s="350">
        <f t="shared" si="1112"/>
        <v>0</v>
      </c>
      <c r="K1517" s="18">
        <v>0</v>
      </c>
      <c r="L1517" s="350">
        <f t="shared" si="1113"/>
        <v>0</v>
      </c>
      <c r="M1517" s="356">
        <f t="shared" si="1114"/>
        <v>0</v>
      </c>
      <c r="N1517" s="258"/>
      <c r="O1517" s="466"/>
    </row>
    <row r="1518" spans="1:15" ht="21.75" customHeight="1" x14ac:dyDescent="0.4">
      <c r="A1518" s="466"/>
      <c r="B1518" s="474"/>
      <c r="C1518" s="474"/>
      <c r="D1518" s="18"/>
      <c r="E1518" s="18"/>
      <c r="F1518" s="18"/>
      <c r="G1518" s="63"/>
      <c r="H1518" s="399"/>
      <c r="I1518" s="353"/>
      <c r="J1518" s="350">
        <f t="shared" si="1112"/>
        <v>0</v>
      </c>
      <c r="K1518" s="18">
        <v>0</v>
      </c>
      <c r="L1518" s="350">
        <f t="shared" si="1113"/>
        <v>0</v>
      </c>
      <c r="M1518" s="356">
        <f t="shared" si="1114"/>
        <v>0</v>
      </c>
      <c r="N1518" s="258"/>
      <c r="O1518" s="466"/>
    </row>
    <row r="1519" spans="1:15" ht="21.75" customHeight="1" x14ac:dyDescent="0.4">
      <c r="A1519" s="466"/>
      <c r="B1519" s="474"/>
      <c r="C1519" s="474"/>
      <c r="D1519" s="18"/>
      <c r="E1519" s="18"/>
      <c r="F1519" s="18"/>
      <c r="G1519" s="63"/>
      <c r="H1519" s="399"/>
      <c r="I1519" s="353"/>
      <c r="J1519" s="350">
        <f t="shared" si="1112"/>
        <v>0</v>
      </c>
      <c r="K1519" s="18">
        <v>0</v>
      </c>
      <c r="L1519" s="350">
        <f t="shared" si="1113"/>
        <v>0</v>
      </c>
      <c r="M1519" s="356">
        <f t="shared" si="1114"/>
        <v>0</v>
      </c>
      <c r="N1519" s="258"/>
      <c r="O1519" s="466"/>
    </row>
    <row r="1520" spans="1:15" ht="21.75" customHeight="1" x14ac:dyDescent="0.4">
      <c r="A1520" s="466"/>
      <c r="B1520" s="474"/>
      <c r="C1520" s="474"/>
      <c r="D1520" s="18"/>
      <c r="E1520" s="18"/>
      <c r="F1520" s="18"/>
      <c r="G1520" s="63"/>
      <c r="H1520" s="399"/>
      <c r="I1520" s="353"/>
      <c r="J1520" s="350">
        <f t="shared" si="1112"/>
        <v>0</v>
      </c>
      <c r="K1520" s="18">
        <v>0</v>
      </c>
      <c r="L1520" s="350">
        <f t="shared" si="1113"/>
        <v>0</v>
      </c>
      <c r="M1520" s="356">
        <f t="shared" si="1114"/>
        <v>0</v>
      </c>
      <c r="N1520" s="258"/>
      <c r="O1520" s="466"/>
    </row>
    <row r="1521" spans="1:15" ht="21.75" customHeight="1" x14ac:dyDescent="0.4">
      <c r="A1521" s="466"/>
      <c r="B1521" s="474"/>
      <c r="C1521" s="474"/>
      <c r="D1521" s="18"/>
      <c r="E1521" s="18"/>
      <c r="F1521" s="18"/>
      <c r="G1521" s="63"/>
      <c r="H1521" s="399"/>
      <c r="I1521" s="353"/>
      <c r="J1521" s="350">
        <f t="shared" si="1112"/>
        <v>0</v>
      </c>
      <c r="K1521" s="18">
        <v>0</v>
      </c>
      <c r="L1521" s="350">
        <f t="shared" si="1113"/>
        <v>0</v>
      </c>
      <c r="M1521" s="356">
        <f t="shared" si="1114"/>
        <v>0</v>
      </c>
      <c r="N1521" s="258"/>
      <c r="O1521" s="466"/>
    </row>
    <row r="1522" spans="1:15" ht="21.75" customHeight="1" x14ac:dyDescent="0.4">
      <c r="A1522" s="466"/>
      <c r="B1522" s="474"/>
      <c r="C1522" s="474"/>
      <c r="D1522" s="18"/>
      <c r="E1522" s="18"/>
      <c r="F1522" s="18"/>
      <c r="G1522" s="63"/>
      <c r="H1522" s="399"/>
      <c r="I1522" s="353"/>
      <c r="J1522" s="350">
        <f t="shared" si="1112"/>
        <v>0</v>
      </c>
      <c r="K1522" s="18">
        <v>0</v>
      </c>
      <c r="L1522" s="350">
        <f t="shared" si="1113"/>
        <v>0</v>
      </c>
      <c r="M1522" s="356">
        <f t="shared" si="1114"/>
        <v>0</v>
      </c>
      <c r="N1522" s="258"/>
      <c r="O1522" s="466"/>
    </row>
    <row r="1523" spans="1:15" ht="21.75" customHeight="1" x14ac:dyDescent="0.4">
      <c r="A1523" s="466"/>
      <c r="B1523" s="474"/>
      <c r="C1523" s="474"/>
      <c r="D1523" s="18"/>
      <c r="E1523" s="18"/>
      <c r="F1523" s="18"/>
      <c r="G1523" s="63"/>
      <c r="H1523" s="399"/>
      <c r="I1523" s="353"/>
      <c r="J1523" s="350">
        <f t="shared" si="1112"/>
        <v>0</v>
      </c>
      <c r="K1523" s="18">
        <v>0</v>
      </c>
      <c r="L1523" s="350">
        <f t="shared" si="1113"/>
        <v>0</v>
      </c>
      <c r="M1523" s="356">
        <f t="shared" si="1114"/>
        <v>0</v>
      </c>
      <c r="N1523" s="258"/>
      <c r="O1523" s="466"/>
    </row>
    <row r="1524" spans="1:15" ht="21.75" customHeight="1" x14ac:dyDescent="0.4">
      <c r="A1524" s="466"/>
      <c r="B1524" s="474"/>
      <c r="C1524" s="474"/>
      <c r="D1524" s="18"/>
      <c r="E1524" s="18"/>
      <c r="F1524" s="18"/>
      <c r="G1524" s="63"/>
      <c r="H1524" s="399"/>
      <c r="I1524" s="353"/>
      <c r="J1524" s="350">
        <f t="shared" si="1112"/>
        <v>0</v>
      </c>
      <c r="K1524" s="18">
        <v>0</v>
      </c>
      <c r="L1524" s="350">
        <f t="shared" si="1113"/>
        <v>0</v>
      </c>
      <c r="M1524" s="356">
        <f t="shared" si="1114"/>
        <v>0</v>
      </c>
      <c r="N1524" s="258"/>
      <c r="O1524" s="466"/>
    </row>
    <row r="1525" spans="1:15" ht="21.75" customHeight="1" x14ac:dyDescent="0.4">
      <c r="A1525" s="466"/>
      <c r="B1525" s="474"/>
      <c r="C1525" s="474"/>
      <c r="D1525" s="18"/>
      <c r="E1525" s="18"/>
      <c r="F1525" s="18"/>
      <c r="G1525" s="63"/>
      <c r="H1525" s="399"/>
      <c r="I1525" s="353"/>
      <c r="J1525" s="350">
        <f t="shared" si="1112"/>
        <v>0</v>
      </c>
      <c r="K1525" s="18">
        <v>0</v>
      </c>
      <c r="L1525" s="350">
        <f t="shared" si="1113"/>
        <v>0</v>
      </c>
      <c r="M1525" s="356">
        <f t="shared" si="1114"/>
        <v>0</v>
      </c>
      <c r="N1525" s="258"/>
      <c r="O1525" s="466"/>
    </row>
    <row r="1526" spans="1:15" ht="21.75" customHeight="1" x14ac:dyDescent="0.4">
      <c r="A1526" s="466"/>
      <c r="B1526" s="474"/>
      <c r="C1526" s="474"/>
      <c r="D1526" s="18"/>
      <c r="E1526" s="18"/>
      <c r="F1526" s="18"/>
      <c r="G1526" s="63"/>
      <c r="H1526" s="399"/>
      <c r="I1526" s="353"/>
      <c r="J1526" s="350">
        <f t="shared" si="1112"/>
        <v>0</v>
      </c>
      <c r="K1526" s="18">
        <v>0</v>
      </c>
      <c r="L1526" s="350">
        <f t="shared" si="1113"/>
        <v>0</v>
      </c>
      <c r="M1526" s="356">
        <f t="shared" si="1114"/>
        <v>0</v>
      </c>
      <c r="N1526" s="258"/>
      <c r="O1526" s="466"/>
    </row>
    <row r="1527" spans="1:15" ht="21.75" customHeight="1" x14ac:dyDescent="0.4">
      <c r="A1527" s="466"/>
      <c r="B1527" s="474"/>
      <c r="C1527" s="474"/>
      <c r="D1527" s="18"/>
      <c r="E1527" s="18"/>
      <c r="F1527" s="18"/>
      <c r="G1527" s="63"/>
      <c r="H1527" s="399"/>
      <c r="I1527" s="353"/>
      <c r="J1527" s="350">
        <f t="shared" si="1112"/>
        <v>0</v>
      </c>
      <c r="K1527" s="18">
        <v>0</v>
      </c>
      <c r="L1527" s="350">
        <f t="shared" si="1113"/>
        <v>0</v>
      </c>
      <c r="M1527" s="356">
        <f t="shared" si="1114"/>
        <v>0</v>
      </c>
      <c r="N1527" s="258"/>
      <c r="O1527" s="466"/>
    </row>
    <row r="1528" spans="1:15" ht="21.75" customHeight="1" x14ac:dyDescent="0.4">
      <c r="A1528" s="466"/>
      <c r="B1528" s="474"/>
      <c r="C1528" s="474"/>
      <c r="D1528" s="18"/>
      <c r="E1528" s="18"/>
      <c r="F1528" s="18"/>
      <c r="G1528" s="63"/>
      <c r="H1528" s="399"/>
      <c r="I1528" s="353"/>
      <c r="J1528" s="350">
        <f t="shared" si="1112"/>
        <v>0</v>
      </c>
      <c r="K1528" s="18">
        <v>0</v>
      </c>
      <c r="L1528" s="350">
        <f t="shared" si="1113"/>
        <v>0</v>
      </c>
      <c r="M1528" s="356">
        <f t="shared" si="1114"/>
        <v>0</v>
      </c>
      <c r="N1528" s="258"/>
      <c r="O1528" s="466"/>
    </row>
    <row r="1529" spans="1:15" ht="21.75" customHeight="1" x14ac:dyDescent="0.4">
      <c r="A1529" s="466"/>
      <c r="B1529" s="474"/>
      <c r="C1529" s="474"/>
      <c r="D1529" s="18"/>
      <c r="E1529" s="18"/>
      <c r="F1529" s="18"/>
      <c r="G1529" s="63"/>
      <c r="H1529" s="399"/>
      <c r="I1529" s="353"/>
      <c r="J1529" s="350">
        <f t="shared" si="1112"/>
        <v>0</v>
      </c>
      <c r="K1529" s="18">
        <v>0</v>
      </c>
      <c r="L1529" s="350">
        <f t="shared" si="1113"/>
        <v>0</v>
      </c>
      <c r="M1529" s="356">
        <f t="shared" si="1114"/>
        <v>0</v>
      </c>
      <c r="N1529" s="258"/>
      <c r="O1529" s="466"/>
    </row>
    <row r="1530" spans="1:15" ht="21.75" customHeight="1" x14ac:dyDescent="0.4">
      <c r="A1530" s="466"/>
      <c r="B1530" s="474"/>
      <c r="C1530" s="474"/>
      <c r="D1530" s="18"/>
      <c r="E1530" s="18"/>
      <c r="F1530" s="18"/>
      <c r="G1530" s="63"/>
      <c r="H1530" s="399"/>
      <c r="I1530" s="353"/>
      <c r="J1530" s="350">
        <f t="shared" si="1112"/>
        <v>0</v>
      </c>
      <c r="K1530" s="18">
        <v>0</v>
      </c>
      <c r="L1530" s="350">
        <f t="shared" si="1113"/>
        <v>0</v>
      </c>
      <c r="M1530" s="356">
        <f t="shared" si="1114"/>
        <v>0</v>
      </c>
      <c r="N1530" s="258"/>
      <c r="O1530" s="466"/>
    </row>
    <row r="1531" spans="1:15" ht="21.75" customHeight="1" x14ac:dyDescent="0.4">
      <c r="A1531" s="466"/>
      <c r="B1531" s="474"/>
      <c r="C1531" s="474"/>
      <c r="D1531" s="18"/>
      <c r="E1531" s="18"/>
      <c r="F1531" s="18"/>
      <c r="G1531" s="63"/>
      <c r="H1531" s="399"/>
      <c r="I1531" s="353"/>
      <c r="J1531" s="350">
        <f t="shared" si="1112"/>
        <v>0</v>
      </c>
      <c r="K1531" s="18">
        <v>0</v>
      </c>
      <c r="L1531" s="350">
        <f t="shared" si="1113"/>
        <v>0</v>
      </c>
      <c r="M1531" s="356">
        <f t="shared" si="1114"/>
        <v>0</v>
      </c>
      <c r="N1531" s="258"/>
      <c r="O1531" s="466"/>
    </row>
    <row r="1532" spans="1:15" ht="21.75" customHeight="1" x14ac:dyDescent="0.4">
      <c r="A1532" s="466"/>
      <c r="B1532" s="474"/>
      <c r="C1532" s="474"/>
      <c r="D1532" s="18"/>
      <c r="E1532" s="18"/>
      <c r="F1532" s="18"/>
      <c r="G1532" s="63"/>
      <c r="H1532" s="399"/>
      <c r="I1532" s="353"/>
      <c r="J1532" s="350">
        <f t="shared" si="1112"/>
        <v>0</v>
      </c>
      <c r="K1532" s="18">
        <v>0</v>
      </c>
      <c r="L1532" s="350">
        <f t="shared" si="1113"/>
        <v>0</v>
      </c>
      <c r="M1532" s="356">
        <f t="shared" si="1114"/>
        <v>0</v>
      </c>
      <c r="N1532" s="258"/>
      <c r="O1532" s="466"/>
    </row>
    <row r="1533" spans="1:15" ht="21.75" customHeight="1" x14ac:dyDescent="0.4">
      <c r="A1533" s="466"/>
      <c r="B1533" s="474"/>
      <c r="C1533" s="474"/>
      <c r="D1533" s="18"/>
      <c r="E1533" s="18"/>
      <c r="F1533" s="18"/>
      <c r="G1533" s="63"/>
      <c r="H1533" s="399"/>
      <c r="I1533" s="353"/>
      <c r="J1533" s="350">
        <f t="shared" si="1112"/>
        <v>0</v>
      </c>
      <c r="K1533" s="18">
        <v>0</v>
      </c>
      <c r="L1533" s="350">
        <f t="shared" si="1113"/>
        <v>0</v>
      </c>
      <c r="M1533" s="356">
        <f t="shared" si="1114"/>
        <v>0</v>
      </c>
      <c r="N1533" s="258"/>
      <c r="O1533" s="466"/>
    </row>
    <row r="1534" spans="1:15" ht="21.75" customHeight="1" x14ac:dyDescent="0.4">
      <c r="A1534" s="466"/>
      <c r="B1534" s="474"/>
      <c r="C1534" s="474"/>
      <c r="D1534" s="18"/>
      <c r="E1534" s="18"/>
      <c r="F1534" s="18"/>
      <c r="G1534" s="63"/>
      <c r="H1534" s="399"/>
      <c r="I1534" s="353"/>
      <c r="J1534" s="350">
        <f t="shared" si="1112"/>
        <v>0</v>
      </c>
      <c r="K1534" s="18">
        <v>0</v>
      </c>
      <c r="L1534" s="350">
        <f t="shared" si="1113"/>
        <v>0</v>
      </c>
      <c r="M1534" s="356">
        <f t="shared" si="1114"/>
        <v>0</v>
      </c>
      <c r="N1534" s="258"/>
      <c r="O1534" s="466"/>
    </row>
    <row r="1535" spans="1:15" ht="21.75" customHeight="1" x14ac:dyDescent="0.4">
      <c r="A1535" s="466"/>
      <c r="B1535" s="474"/>
      <c r="C1535" s="474"/>
      <c r="D1535" s="18"/>
      <c r="E1535" s="18"/>
      <c r="F1535" s="18"/>
      <c r="G1535" s="63"/>
      <c r="H1535" s="399"/>
      <c r="I1535" s="353"/>
      <c r="J1535" s="350">
        <f t="shared" si="1112"/>
        <v>0</v>
      </c>
      <c r="K1535" s="18">
        <v>0</v>
      </c>
      <c r="L1535" s="350">
        <f t="shared" si="1113"/>
        <v>0</v>
      </c>
      <c r="M1535" s="356">
        <f t="shared" si="1114"/>
        <v>0</v>
      </c>
      <c r="N1535" s="258"/>
      <c r="O1535" s="466"/>
    </row>
    <row r="1536" spans="1:15" ht="21.75" customHeight="1" x14ac:dyDescent="0.4">
      <c r="A1536" s="466"/>
      <c r="B1536" s="474"/>
      <c r="C1536" s="474"/>
      <c r="D1536" s="18"/>
      <c r="E1536" s="18"/>
      <c r="F1536" s="18"/>
      <c r="G1536" s="63"/>
      <c r="H1536" s="399"/>
      <c r="I1536" s="353"/>
      <c r="J1536" s="350">
        <f t="shared" si="1112"/>
        <v>0</v>
      </c>
      <c r="K1536" s="18">
        <v>0</v>
      </c>
      <c r="L1536" s="350">
        <f t="shared" si="1113"/>
        <v>0</v>
      </c>
      <c r="M1536" s="356">
        <f t="shared" si="1114"/>
        <v>0</v>
      </c>
      <c r="N1536" s="258"/>
      <c r="O1536" s="466"/>
    </row>
    <row r="1537" spans="1:15" ht="21.75" customHeight="1" x14ac:dyDescent="0.4">
      <c r="A1537" s="466"/>
      <c r="B1537" s="474"/>
      <c r="C1537" s="474"/>
      <c r="D1537" s="18"/>
      <c r="E1537" s="18"/>
      <c r="F1537" s="18"/>
      <c r="G1537" s="63"/>
      <c r="H1537" s="399"/>
      <c r="I1537" s="353"/>
      <c r="J1537" s="350">
        <f t="shared" si="1112"/>
        <v>0</v>
      </c>
      <c r="K1537" s="18">
        <v>0</v>
      </c>
      <c r="L1537" s="350">
        <f t="shared" si="1113"/>
        <v>0</v>
      </c>
      <c r="M1537" s="356">
        <f t="shared" si="1114"/>
        <v>0</v>
      </c>
      <c r="N1537" s="258"/>
      <c r="O1537" s="466"/>
    </row>
    <row r="1538" spans="1:15" ht="21.75" customHeight="1" x14ac:dyDescent="0.4">
      <c r="A1538" s="466"/>
      <c r="B1538" s="474"/>
      <c r="C1538" s="474"/>
      <c r="D1538" s="18"/>
      <c r="E1538" s="18"/>
      <c r="F1538" s="18"/>
      <c r="G1538" s="63"/>
      <c r="H1538" s="399"/>
      <c r="I1538" s="353"/>
      <c r="J1538" s="350">
        <f t="shared" si="1112"/>
        <v>0</v>
      </c>
      <c r="K1538" s="18">
        <v>0</v>
      </c>
      <c r="L1538" s="350">
        <f t="shared" si="1113"/>
        <v>0</v>
      </c>
      <c r="M1538" s="356">
        <f t="shared" si="1114"/>
        <v>0</v>
      </c>
      <c r="N1538" s="258"/>
      <c r="O1538" s="466"/>
    </row>
    <row r="1539" spans="1:15" ht="21.75" customHeight="1" x14ac:dyDescent="0.4">
      <c r="A1539" s="466"/>
      <c r="B1539" s="474"/>
      <c r="C1539" s="474"/>
      <c r="D1539" s="18"/>
      <c r="E1539" s="18"/>
      <c r="F1539" s="18"/>
      <c r="G1539" s="63"/>
      <c r="H1539" s="399"/>
      <c r="I1539" s="353"/>
      <c r="J1539" s="350">
        <f t="shared" si="1112"/>
        <v>0</v>
      </c>
      <c r="K1539" s="18">
        <v>0</v>
      </c>
      <c r="L1539" s="350">
        <f t="shared" si="1113"/>
        <v>0</v>
      </c>
      <c r="M1539" s="356">
        <f t="shared" si="1114"/>
        <v>0</v>
      </c>
      <c r="N1539" s="258"/>
      <c r="O1539" s="466"/>
    </row>
    <row r="1540" spans="1:15" ht="21.75" customHeight="1" x14ac:dyDescent="0.4">
      <c r="A1540" s="466"/>
      <c r="B1540" s="474"/>
      <c r="C1540" s="474"/>
      <c r="D1540" s="18"/>
      <c r="E1540" s="18"/>
      <c r="F1540" s="18"/>
      <c r="G1540" s="63"/>
      <c r="H1540" s="399"/>
      <c r="I1540" s="353"/>
      <c r="J1540" s="350">
        <f t="shared" si="1112"/>
        <v>0</v>
      </c>
      <c r="K1540" s="18">
        <v>0</v>
      </c>
      <c r="L1540" s="350">
        <f t="shared" si="1113"/>
        <v>0</v>
      </c>
      <c r="M1540" s="356">
        <f t="shared" si="1114"/>
        <v>0</v>
      </c>
      <c r="N1540" s="258"/>
      <c r="O1540" s="466"/>
    </row>
    <row r="1541" spans="1:15" ht="21.75" customHeight="1" x14ac:dyDescent="0.4">
      <c r="A1541" s="466"/>
      <c r="B1541" s="474"/>
      <c r="C1541" s="474"/>
      <c r="D1541" s="18"/>
      <c r="E1541" s="18"/>
      <c r="F1541" s="18"/>
      <c r="G1541" s="63"/>
      <c r="H1541" s="399"/>
      <c r="I1541" s="353"/>
      <c r="J1541" s="350">
        <f t="shared" si="1112"/>
        <v>0</v>
      </c>
      <c r="K1541" s="18">
        <v>0</v>
      </c>
      <c r="L1541" s="350">
        <f t="shared" si="1113"/>
        <v>0</v>
      </c>
      <c r="M1541" s="356">
        <f t="shared" si="1114"/>
        <v>0</v>
      </c>
      <c r="N1541" s="258"/>
      <c r="O1541" s="466"/>
    </row>
    <row r="1542" spans="1:15" ht="21.75" customHeight="1" x14ac:dyDescent="0.4">
      <c r="A1542" s="466"/>
      <c r="B1542" s="474"/>
      <c r="C1542" s="474"/>
      <c r="D1542" s="18"/>
      <c r="E1542" s="18"/>
      <c r="F1542" s="18"/>
      <c r="G1542" s="63"/>
      <c r="H1542" s="399"/>
      <c r="I1542" s="353"/>
      <c r="J1542" s="350">
        <f t="shared" si="1112"/>
        <v>0</v>
      </c>
      <c r="K1542" s="18">
        <v>0</v>
      </c>
      <c r="L1542" s="350">
        <f t="shared" si="1113"/>
        <v>0</v>
      </c>
      <c r="M1542" s="356">
        <f t="shared" si="1114"/>
        <v>0</v>
      </c>
      <c r="N1542" s="258"/>
      <c r="O1542" s="466"/>
    </row>
    <row r="1543" spans="1:15" ht="21.75" customHeight="1" x14ac:dyDescent="0.4">
      <c r="A1543" s="466"/>
      <c r="B1543" s="474"/>
      <c r="C1543" s="474"/>
      <c r="D1543" s="18"/>
      <c r="E1543" s="18"/>
      <c r="F1543" s="18"/>
      <c r="G1543" s="63"/>
      <c r="H1543" s="399"/>
      <c r="I1543" s="353"/>
      <c r="J1543" s="350">
        <f t="shared" si="1112"/>
        <v>0</v>
      </c>
      <c r="K1543" s="18">
        <v>0</v>
      </c>
      <c r="L1543" s="350">
        <f t="shared" si="1113"/>
        <v>0</v>
      </c>
      <c r="M1543" s="356">
        <f t="shared" si="1114"/>
        <v>0</v>
      </c>
      <c r="N1543" s="258"/>
      <c r="O1543" s="466"/>
    </row>
    <row r="1544" spans="1:15" ht="21.75" customHeight="1" x14ac:dyDescent="0.4">
      <c r="A1544" s="466"/>
      <c r="B1544" s="474"/>
      <c r="C1544" s="474"/>
      <c r="D1544" s="18"/>
      <c r="E1544" s="18"/>
      <c r="F1544" s="18"/>
      <c r="G1544" s="63"/>
      <c r="H1544" s="399"/>
      <c r="I1544" s="353"/>
      <c r="J1544" s="350">
        <f t="shared" si="1112"/>
        <v>0</v>
      </c>
      <c r="K1544" s="18">
        <v>0</v>
      </c>
      <c r="L1544" s="350">
        <f t="shared" si="1113"/>
        <v>0</v>
      </c>
      <c r="M1544" s="356">
        <f t="shared" si="1114"/>
        <v>0</v>
      </c>
      <c r="N1544" s="258"/>
      <c r="O1544" s="466"/>
    </row>
    <row r="1545" spans="1:15" ht="21.75" customHeight="1" x14ac:dyDescent="0.4">
      <c r="A1545" s="466"/>
      <c r="B1545" s="474"/>
      <c r="C1545" s="474"/>
      <c r="D1545" s="18"/>
      <c r="E1545" s="18"/>
      <c r="F1545" s="18"/>
      <c r="G1545" s="63"/>
      <c r="H1545" s="399"/>
      <c r="I1545" s="353"/>
      <c r="J1545" s="350">
        <f t="shared" si="1112"/>
        <v>0</v>
      </c>
      <c r="K1545" s="18">
        <v>0</v>
      </c>
      <c r="L1545" s="350">
        <f t="shared" si="1113"/>
        <v>0</v>
      </c>
      <c r="M1545" s="356">
        <f t="shared" si="1114"/>
        <v>0</v>
      </c>
      <c r="N1545" s="258"/>
      <c r="O1545" s="466"/>
    </row>
    <row r="1546" spans="1:15" ht="21.75" customHeight="1" x14ac:dyDescent="0.4">
      <c r="A1546" s="466"/>
      <c r="B1546" s="474"/>
      <c r="C1546" s="474"/>
      <c r="D1546" s="18"/>
      <c r="E1546" s="18"/>
      <c r="F1546" s="18"/>
      <c r="G1546" s="63"/>
      <c r="H1546" s="399"/>
      <c r="I1546" s="353"/>
      <c r="J1546" s="350">
        <f t="shared" si="1112"/>
        <v>0</v>
      </c>
      <c r="K1546" s="18">
        <v>0</v>
      </c>
      <c r="L1546" s="350">
        <f t="shared" si="1113"/>
        <v>0</v>
      </c>
      <c r="M1546" s="356">
        <f t="shared" si="1114"/>
        <v>0</v>
      </c>
      <c r="N1546" s="258"/>
      <c r="O1546" s="466"/>
    </row>
    <row r="1547" spans="1:15" ht="21.75" customHeight="1" x14ac:dyDescent="0.4">
      <c r="A1547" s="466"/>
      <c r="B1547" s="474"/>
      <c r="C1547" s="474"/>
      <c r="D1547" s="18"/>
      <c r="E1547" s="18"/>
      <c r="F1547" s="18"/>
      <c r="G1547" s="63"/>
      <c r="H1547" s="399"/>
      <c r="I1547" s="353"/>
      <c r="J1547" s="350">
        <f t="shared" si="1112"/>
        <v>0</v>
      </c>
      <c r="K1547" s="18">
        <v>0</v>
      </c>
      <c r="L1547" s="350">
        <f t="shared" si="1113"/>
        <v>0</v>
      </c>
      <c r="M1547" s="356">
        <f t="shared" si="1114"/>
        <v>0</v>
      </c>
      <c r="N1547" s="258"/>
      <c r="O1547" s="466"/>
    </row>
    <row r="1548" spans="1:15" ht="21.75" customHeight="1" x14ac:dyDescent="0.4">
      <c r="A1548" s="466"/>
      <c r="B1548" s="474"/>
      <c r="C1548" s="474"/>
      <c r="D1548" s="18"/>
      <c r="E1548" s="18"/>
      <c r="F1548" s="18"/>
      <c r="G1548" s="63"/>
      <c r="H1548" s="399"/>
      <c r="I1548" s="353"/>
      <c r="J1548" s="350">
        <f t="shared" si="1112"/>
        <v>0</v>
      </c>
      <c r="K1548" s="18">
        <v>0</v>
      </c>
      <c r="L1548" s="350">
        <f t="shared" si="1113"/>
        <v>0</v>
      </c>
      <c r="M1548" s="356">
        <f t="shared" si="1114"/>
        <v>0</v>
      </c>
      <c r="N1548" s="258"/>
      <c r="O1548" s="466"/>
    </row>
    <row r="1549" spans="1:15" ht="21.75" customHeight="1" x14ac:dyDescent="0.4">
      <c r="A1549" s="466"/>
      <c r="B1549" s="474"/>
      <c r="C1549" s="474"/>
      <c r="D1549" s="18"/>
      <c r="E1549" s="18"/>
      <c r="F1549" s="18"/>
      <c r="G1549" s="63"/>
      <c r="H1549" s="399"/>
      <c r="I1549" s="353"/>
      <c r="J1549" s="350">
        <f t="shared" si="1112"/>
        <v>0</v>
      </c>
      <c r="K1549" s="18">
        <v>0</v>
      </c>
      <c r="L1549" s="350">
        <f t="shared" si="1113"/>
        <v>0</v>
      </c>
      <c r="M1549" s="356">
        <f t="shared" si="1114"/>
        <v>0</v>
      </c>
      <c r="N1549" s="258"/>
      <c r="O1549" s="466"/>
    </row>
    <row r="1550" spans="1:15" ht="21.75" customHeight="1" x14ac:dyDescent="0.4">
      <c r="A1550" s="466"/>
      <c r="B1550" s="474"/>
      <c r="C1550" s="474"/>
      <c r="D1550" s="18"/>
      <c r="E1550" s="18"/>
      <c r="F1550" s="18"/>
      <c r="G1550" s="63"/>
      <c r="H1550" s="399"/>
      <c r="I1550" s="353"/>
      <c r="J1550" s="350">
        <f t="shared" si="1112"/>
        <v>0</v>
      </c>
      <c r="K1550" s="18">
        <v>0</v>
      </c>
      <c r="L1550" s="350">
        <f t="shared" si="1113"/>
        <v>0</v>
      </c>
      <c r="M1550" s="356">
        <f t="shared" si="1114"/>
        <v>0</v>
      </c>
      <c r="N1550" s="258"/>
      <c r="O1550" s="466"/>
    </row>
    <row r="1551" spans="1:15" ht="21.75" customHeight="1" x14ac:dyDescent="0.4">
      <c r="A1551" s="466"/>
      <c r="B1551" s="474"/>
      <c r="C1551" s="474"/>
      <c r="D1551" s="18"/>
      <c r="E1551" s="18"/>
      <c r="F1551" s="18"/>
      <c r="G1551" s="63"/>
      <c r="H1551" s="399"/>
      <c r="I1551" s="353"/>
      <c r="J1551" s="350">
        <f t="shared" si="1112"/>
        <v>0</v>
      </c>
      <c r="K1551" s="18">
        <v>0</v>
      </c>
      <c r="L1551" s="350">
        <f t="shared" si="1113"/>
        <v>0</v>
      </c>
      <c r="M1551" s="356">
        <f t="shared" si="1114"/>
        <v>0</v>
      </c>
      <c r="N1551" s="258"/>
      <c r="O1551" s="466"/>
    </row>
    <row r="1552" spans="1:15" ht="21.75" customHeight="1" x14ac:dyDescent="0.4">
      <c r="A1552" s="466"/>
      <c r="B1552" s="474"/>
      <c r="C1552" s="474"/>
      <c r="D1552" s="18"/>
      <c r="E1552" s="18"/>
      <c r="F1552" s="18"/>
      <c r="G1552" s="63"/>
      <c r="H1552" s="399"/>
      <c r="I1552" s="353"/>
      <c r="J1552" s="350">
        <f t="shared" si="1112"/>
        <v>0</v>
      </c>
      <c r="K1552" s="18">
        <v>0</v>
      </c>
      <c r="L1552" s="350">
        <f t="shared" si="1113"/>
        <v>0</v>
      </c>
      <c r="M1552" s="356">
        <f t="shared" si="1114"/>
        <v>0</v>
      </c>
      <c r="N1552" s="258"/>
      <c r="O1552" s="466"/>
    </row>
    <row r="1553" spans="1:15" ht="21.75" customHeight="1" x14ac:dyDescent="0.4">
      <c r="A1553" s="466"/>
      <c r="B1553" s="474"/>
      <c r="C1553" s="474"/>
      <c r="D1553" s="18"/>
      <c r="E1553" s="18"/>
      <c r="F1553" s="18"/>
      <c r="G1553" s="63"/>
      <c r="H1553" s="399"/>
      <c r="I1553" s="353"/>
      <c r="J1553" s="350">
        <f t="shared" si="1112"/>
        <v>0</v>
      </c>
      <c r="K1553" s="18">
        <v>0</v>
      </c>
      <c r="L1553" s="350">
        <f t="shared" si="1113"/>
        <v>0</v>
      </c>
      <c r="M1553" s="356">
        <f t="shared" si="1114"/>
        <v>0</v>
      </c>
      <c r="N1553" s="258"/>
      <c r="O1553" s="466"/>
    </row>
    <row r="1554" spans="1:15" ht="21.75" customHeight="1" x14ac:dyDescent="0.4">
      <c r="A1554" s="466"/>
      <c r="B1554" s="474"/>
      <c r="C1554" s="474"/>
      <c r="D1554" s="18"/>
      <c r="E1554" s="18"/>
      <c r="F1554" s="18"/>
      <c r="G1554" s="63"/>
      <c r="H1554" s="399"/>
      <c r="I1554" s="353"/>
      <c r="J1554" s="350">
        <f t="shared" si="1112"/>
        <v>0</v>
      </c>
      <c r="K1554" s="18">
        <v>0</v>
      </c>
      <c r="L1554" s="350">
        <f t="shared" si="1113"/>
        <v>0</v>
      </c>
      <c r="M1554" s="356">
        <f t="shared" si="1114"/>
        <v>0</v>
      </c>
      <c r="N1554" s="258"/>
      <c r="O1554" s="466"/>
    </row>
    <row r="1555" spans="1:15" ht="21.75" customHeight="1" x14ac:dyDescent="0.4">
      <c r="A1555" s="466"/>
      <c r="B1555" s="474"/>
      <c r="C1555" s="474"/>
      <c r="D1555" s="18"/>
      <c r="E1555" s="18"/>
      <c r="F1555" s="18"/>
      <c r="G1555" s="63"/>
      <c r="H1555" s="399"/>
      <c r="I1555" s="353"/>
      <c r="J1555" s="350">
        <f t="shared" si="1112"/>
        <v>0</v>
      </c>
      <c r="K1555" s="18">
        <v>0</v>
      </c>
      <c r="L1555" s="350">
        <f t="shared" si="1113"/>
        <v>0</v>
      </c>
      <c r="M1555" s="356">
        <f t="shared" si="1114"/>
        <v>0</v>
      </c>
      <c r="N1555" s="258"/>
      <c r="O1555" s="466"/>
    </row>
    <row r="1556" spans="1:15" ht="21.75" customHeight="1" x14ac:dyDescent="0.4">
      <c r="A1556" s="466"/>
      <c r="B1556" s="474"/>
      <c r="C1556" s="474"/>
      <c r="D1556" s="18"/>
      <c r="E1556" s="18"/>
      <c r="F1556" s="18"/>
      <c r="G1556" s="63"/>
      <c r="H1556" s="399"/>
      <c r="I1556" s="353"/>
      <c r="J1556" s="350">
        <f t="shared" si="1112"/>
        <v>0</v>
      </c>
      <c r="K1556" s="18">
        <v>0</v>
      </c>
      <c r="L1556" s="350">
        <f t="shared" si="1113"/>
        <v>0</v>
      </c>
      <c r="M1556" s="356">
        <f t="shared" si="1114"/>
        <v>0</v>
      </c>
      <c r="N1556" s="258"/>
      <c r="O1556" s="466"/>
    </row>
    <row r="1557" spans="1:15" ht="21.75" customHeight="1" x14ac:dyDescent="0.4">
      <c r="A1557" s="466"/>
      <c r="B1557" s="474"/>
      <c r="C1557" s="474"/>
      <c r="D1557" s="18"/>
      <c r="E1557" s="18"/>
      <c r="F1557" s="18"/>
      <c r="G1557" s="63"/>
      <c r="H1557" s="399"/>
      <c r="I1557" s="353"/>
      <c r="J1557" s="350">
        <f t="shared" si="1112"/>
        <v>0</v>
      </c>
      <c r="K1557" s="18">
        <v>0</v>
      </c>
      <c r="L1557" s="350">
        <f t="shared" si="1113"/>
        <v>0</v>
      </c>
      <c r="M1557" s="356">
        <f t="shared" si="1114"/>
        <v>0</v>
      </c>
      <c r="N1557" s="258"/>
      <c r="O1557" s="466"/>
    </row>
    <row r="1558" spans="1:15" ht="21.75" customHeight="1" x14ac:dyDescent="0.4">
      <c r="A1558" s="466"/>
      <c r="B1558" s="474"/>
      <c r="C1558" s="474"/>
      <c r="D1558" s="18"/>
      <c r="E1558" s="18"/>
      <c r="F1558" s="18"/>
      <c r="G1558" s="63"/>
      <c r="H1558" s="399"/>
      <c r="I1558" s="353"/>
      <c r="J1558" s="350">
        <f t="shared" si="1112"/>
        <v>0</v>
      </c>
      <c r="K1558" s="18">
        <v>0</v>
      </c>
      <c r="L1558" s="350">
        <f t="shared" si="1113"/>
        <v>0</v>
      </c>
      <c r="M1558" s="356">
        <f t="shared" si="1114"/>
        <v>0</v>
      </c>
      <c r="N1558" s="258"/>
      <c r="O1558" s="466"/>
    </row>
    <row r="1559" spans="1:15" ht="21.75" customHeight="1" x14ac:dyDescent="0.4">
      <c r="A1559" s="466"/>
      <c r="B1559" s="474"/>
      <c r="C1559" s="474"/>
      <c r="D1559" s="18"/>
      <c r="E1559" s="18"/>
      <c r="F1559" s="18"/>
      <c r="G1559" s="63"/>
      <c r="H1559" s="399"/>
      <c r="I1559" s="353"/>
      <c r="J1559" s="350">
        <f t="shared" si="1112"/>
        <v>0</v>
      </c>
      <c r="K1559" s="18">
        <v>0</v>
      </c>
      <c r="L1559" s="350">
        <f t="shared" si="1113"/>
        <v>0</v>
      </c>
      <c r="M1559" s="356">
        <f t="shared" si="1114"/>
        <v>0</v>
      </c>
      <c r="N1559" s="258"/>
      <c r="O1559" s="466"/>
    </row>
    <row r="1560" spans="1:15" ht="21.75" customHeight="1" x14ac:dyDescent="0.4">
      <c r="A1560" s="466"/>
      <c r="B1560" s="474"/>
      <c r="C1560" s="474"/>
      <c r="D1560" s="18"/>
      <c r="E1560" s="18"/>
      <c r="F1560" s="18"/>
      <c r="G1560" s="63"/>
      <c r="H1560" s="399"/>
      <c r="I1560" s="353"/>
      <c r="J1560" s="350">
        <f t="shared" si="1112"/>
        <v>0</v>
      </c>
      <c r="K1560" s="18">
        <v>0</v>
      </c>
      <c r="L1560" s="350">
        <f t="shared" si="1113"/>
        <v>0</v>
      </c>
      <c r="M1560" s="356">
        <f t="shared" si="1114"/>
        <v>0</v>
      </c>
      <c r="N1560" s="258"/>
      <c r="O1560" s="466"/>
    </row>
    <row r="1561" spans="1:15" ht="21.75" customHeight="1" x14ac:dyDescent="0.4">
      <c r="A1561" s="466"/>
      <c r="B1561" s="474"/>
      <c r="C1561" s="474"/>
      <c r="D1561" s="18"/>
      <c r="E1561" s="18"/>
      <c r="F1561" s="18"/>
      <c r="G1561" s="63"/>
      <c r="H1561" s="399"/>
      <c r="I1561" s="353"/>
      <c r="J1561" s="350">
        <f t="shared" si="1112"/>
        <v>0</v>
      </c>
      <c r="K1561" s="18">
        <v>0</v>
      </c>
      <c r="L1561" s="350">
        <f t="shared" si="1113"/>
        <v>0</v>
      </c>
      <c r="M1561" s="356">
        <f t="shared" si="1114"/>
        <v>0</v>
      </c>
      <c r="N1561" s="258"/>
      <c r="O1561" s="466"/>
    </row>
    <row r="1562" spans="1:15" ht="21.75" customHeight="1" x14ac:dyDescent="0.4">
      <c r="A1562" s="466"/>
      <c r="B1562" s="474"/>
      <c r="C1562" s="474"/>
      <c r="D1562" s="18"/>
      <c r="E1562" s="18"/>
      <c r="F1562" s="18"/>
      <c r="G1562" s="63"/>
      <c r="H1562" s="399"/>
      <c r="I1562" s="353"/>
      <c r="J1562" s="350">
        <f t="shared" si="1112"/>
        <v>0</v>
      </c>
      <c r="K1562" s="18">
        <v>0</v>
      </c>
      <c r="L1562" s="350">
        <f t="shared" si="1113"/>
        <v>0</v>
      </c>
      <c r="M1562" s="356">
        <f t="shared" si="1114"/>
        <v>0</v>
      </c>
      <c r="N1562" s="258"/>
      <c r="O1562" s="466"/>
    </row>
    <row r="1563" spans="1:15" ht="21.75" customHeight="1" x14ac:dyDescent="0.4">
      <c r="A1563" s="466"/>
      <c r="B1563" s="474"/>
      <c r="C1563" s="474"/>
      <c r="D1563" s="18"/>
      <c r="E1563" s="18"/>
      <c r="F1563" s="18"/>
      <c r="G1563" s="63"/>
      <c r="H1563" s="399"/>
      <c r="I1563" s="353"/>
      <c r="J1563" s="350">
        <f t="shared" si="1112"/>
        <v>0</v>
      </c>
      <c r="K1563" s="18">
        <v>0</v>
      </c>
      <c r="L1563" s="350">
        <f t="shared" si="1113"/>
        <v>0</v>
      </c>
      <c r="M1563" s="356">
        <f t="shared" si="1114"/>
        <v>0</v>
      </c>
      <c r="N1563" s="258"/>
      <c r="O1563" s="466"/>
    </row>
    <row r="1564" spans="1:15" ht="21.75" customHeight="1" x14ac:dyDescent="0.4">
      <c r="A1564" s="466"/>
      <c r="B1564" s="474"/>
      <c r="C1564" s="474"/>
      <c r="D1564" s="18"/>
      <c r="E1564" s="18"/>
      <c r="F1564" s="18"/>
      <c r="G1564" s="63"/>
      <c r="H1564" s="399"/>
      <c r="I1564" s="353"/>
      <c r="J1564" s="350">
        <f t="shared" si="1112"/>
        <v>0</v>
      </c>
      <c r="K1564" s="18">
        <v>0</v>
      </c>
      <c r="L1564" s="350">
        <f t="shared" si="1113"/>
        <v>0</v>
      </c>
      <c r="M1564" s="356">
        <f t="shared" si="1114"/>
        <v>0</v>
      </c>
      <c r="N1564" s="258"/>
      <c r="O1564" s="466"/>
    </row>
    <row r="1565" spans="1:15" ht="21.75" customHeight="1" x14ac:dyDescent="0.4">
      <c r="A1565" s="466"/>
      <c r="B1565" s="474"/>
      <c r="C1565" s="474"/>
      <c r="D1565" s="18"/>
      <c r="E1565" s="18"/>
      <c r="F1565" s="18"/>
      <c r="G1565" s="63"/>
      <c r="H1565" s="399"/>
      <c r="I1565" s="353"/>
      <c r="J1565" s="350">
        <f t="shared" si="1112"/>
        <v>0</v>
      </c>
      <c r="K1565" s="18">
        <v>0</v>
      </c>
      <c r="L1565" s="350">
        <f t="shared" si="1113"/>
        <v>0</v>
      </c>
      <c r="M1565" s="356">
        <f t="shared" si="1114"/>
        <v>0</v>
      </c>
      <c r="N1565" s="258"/>
      <c r="O1565" s="466"/>
    </row>
    <row r="1566" spans="1:15" ht="21.75" customHeight="1" x14ac:dyDescent="0.4">
      <c r="A1566" s="466"/>
      <c r="B1566" s="474"/>
      <c r="C1566" s="474"/>
      <c r="D1566" s="18"/>
      <c r="E1566" s="18"/>
      <c r="F1566" s="18"/>
      <c r="G1566" s="63"/>
      <c r="H1566" s="399"/>
      <c r="I1566" s="353"/>
      <c r="J1566" s="350">
        <f t="shared" si="1112"/>
        <v>0</v>
      </c>
      <c r="K1566" s="18">
        <v>0</v>
      </c>
      <c r="L1566" s="350">
        <f t="shared" si="1113"/>
        <v>0</v>
      </c>
      <c r="M1566" s="356">
        <f t="shared" si="1114"/>
        <v>0</v>
      </c>
      <c r="N1566" s="258"/>
      <c r="O1566" s="466"/>
    </row>
    <row r="1567" spans="1:15" ht="21.75" customHeight="1" x14ac:dyDescent="0.4">
      <c r="A1567" s="466"/>
      <c r="B1567" s="474"/>
      <c r="C1567" s="474"/>
      <c r="D1567" s="18"/>
      <c r="E1567" s="18"/>
      <c r="F1567" s="18"/>
      <c r="G1567" s="63"/>
      <c r="H1567" s="399"/>
      <c r="I1567" s="353"/>
      <c r="J1567" s="350">
        <f t="shared" si="1112"/>
        <v>0</v>
      </c>
      <c r="K1567" s="18">
        <v>0</v>
      </c>
      <c r="L1567" s="350">
        <f t="shared" si="1113"/>
        <v>0</v>
      </c>
      <c r="M1567" s="356">
        <f t="shared" si="1114"/>
        <v>0</v>
      </c>
      <c r="N1567" s="258"/>
      <c r="O1567" s="466"/>
    </row>
    <row r="1568" spans="1:15" ht="21.75" customHeight="1" x14ac:dyDescent="0.4">
      <c r="A1568" s="466"/>
      <c r="B1568" s="474"/>
      <c r="C1568" s="474"/>
      <c r="D1568" s="18"/>
      <c r="E1568" s="18"/>
      <c r="F1568" s="18"/>
      <c r="G1568" s="63"/>
      <c r="H1568" s="399"/>
      <c r="I1568" s="353"/>
      <c r="J1568" s="350">
        <f t="shared" si="1112"/>
        <v>0</v>
      </c>
      <c r="K1568" s="18">
        <v>0</v>
      </c>
      <c r="L1568" s="350">
        <f t="shared" si="1113"/>
        <v>0</v>
      </c>
      <c r="M1568" s="356">
        <f t="shared" si="1114"/>
        <v>0</v>
      </c>
      <c r="N1568" s="258"/>
      <c r="O1568" s="466"/>
    </row>
    <row r="1569" spans="1:15" ht="21.75" customHeight="1" x14ac:dyDescent="0.4">
      <c r="A1569" s="466"/>
      <c r="B1569" s="474"/>
      <c r="C1569" s="474"/>
      <c r="D1569" s="18"/>
      <c r="E1569" s="18"/>
      <c r="F1569" s="18"/>
      <c r="G1569" s="63"/>
      <c r="H1569" s="399"/>
      <c r="I1569" s="353"/>
      <c r="J1569" s="350">
        <f t="shared" si="1112"/>
        <v>0</v>
      </c>
      <c r="K1569" s="18">
        <v>0</v>
      </c>
      <c r="L1569" s="350">
        <f t="shared" si="1113"/>
        <v>0</v>
      </c>
      <c r="M1569" s="356">
        <f t="shared" si="1114"/>
        <v>0</v>
      </c>
      <c r="N1569" s="258"/>
      <c r="O1569" s="466"/>
    </row>
    <row r="1570" spans="1:15" ht="21.75" customHeight="1" x14ac:dyDescent="0.4">
      <c r="A1570" s="466"/>
      <c r="B1570" s="474"/>
      <c r="C1570" s="474"/>
      <c r="D1570" s="18"/>
      <c r="E1570" s="18"/>
      <c r="F1570" s="18"/>
      <c r="G1570" s="63"/>
      <c r="H1570" s="399"/>
      <c r="I1570" s="353"/>
      <c r="J1570" s="350">
        <f t="shared" si="1112"/>
        <v>0</v>
      </c>
      <c r="K1570" s="18">
        <v>0</v>
      </c>
      <c r="L1570" s="350">
        <f t="shared" si="1113"/>
        <v>0</v>
      </c>
      <c r="M1570" s="356">
        <f t="shared" si="1114"/>
        <v>0</v>
      </c>
      <c r="N1570" s="258"/>
      <c r="O1570" s="466"/>
    </row>
    <row r="1571" spans="1:15" ht="21.75" customHeight="1" x14ac:dyDescent="0.4">
      <c r="A1571" s="466"/>
      <c r="B1571" s="474"/>
      <c r="C1571" s="474"/>
      <c r="D1571" s="18"/>
      <c r="E1571" s="18"/>
      <c r="F1571" s="18"/>
      <c r="G1571" s="63"/>
      <c r="H1571" s="399"/>
      <c r="I1571" s="353"/>
      <c r="J1571" s="350">
        <f t="shared" si="1112"/>
        <v>0</v>
      </c>
      <c r="K1571" s="18">
        <v>0</v>
      </c>
      <c r="L1571" s="350">
        <f t="shared" si="1113"/>
        <v>0</v>
      </c>
      <c r="M1571" s="356">
        <f t="shared" si="1114"/>
        <v>0</v>
      </c>
      <c r="N1571" s="258"/>
      <c r="O1571" s="466"/>
    </row>
    <row r="1572" spans="1:15" ht="21.75" customHeight="1" x14ac:dyDescent="0.4">
      <c r="A1572" s="466"/>
      <c r="B1572" s="474"/>
      <c r="C1572" s="474"/>
      <c r="D1572" s="18"/>
      <c r="E1572" s="18"/>
      <c r="F1572" s="18"/>
      <c r="G1572" s="63"/>
      <c r="H1572" s="399"/>
      <c r="I1572" s="353"/>
      <c r="J1572" s="350">
        <f t="shared" si="1112"/>
        <v>0</v>
      </c>
      <c r="K1572" s="18">
        <v>0</v>
      </c>
      <c r="L1572" s="350">
        <f t="shared" si="1113"/>
        <v>0</v>
      </c>
      <c r="M1572" s="356">
        <f t="shared" si="1114"/>
        <v>0</v>
      </c>
      <c r="N1572" s="258"/>
      <c r="O1572" s="466"/>
    </row>
    <row r="1573" spans="1:15" ht="21.75" customHeight="1" x14ac:dyDescent="0.4">
      <c r="A1573" s="466"/>
      <c r="B1573" s="474"/>
      <c r="C1573" s="474"/>
      <c r="D1573" s="18"/>
      <c r="E1573" s="18"/>
      <c r="F1573" s="18"/>
      <c r="G1573" s="63"/>
      <c r="H1573" s="399"/>
      <c r="I1573" s="353"/>
      <c r="J1573" s="350">
        <f t="shared" si="1112"/>
        <v>0</v>
      </c>
      <c r="K1573" s="18">
        <v>0</v>
      </c>
      <c r="L1573" s="350">
        <f t="shared" si="1113"/>
        <v>0</v>
      </c>
      <c r="M1573" s="356">
        <f t="shared" si="1114"/>
        <v>0</v>
      </c>
      <c r="N1573" s="258"/>
      <c r="O1573" s="466"/>
    </row>
    <row r="1574" spans="1:15" ht="21.75" customHeight="1" x14ac:dyDescent="0.4">
      <c r="A1574" s="466"/>
      <c r="B1574" s="474"/>
      <c r="C1574" s="474"/>
      <c r="D1574" s="18"/>
      <c r="E1574" s="18"/>
      <c r="F1574" s="18"/>
      <c r="G1574" s="63"/>
      <c r="H1574" s="399"/>
      <c r="I1574" s="353"/>
      <c r="J1574" s="350">
        <f t="shared" ref="J1574:J1637" si="1115">SUM(H1574:I1574)</f>
        <v>0</v>
      </c>
      <c r="K1574" s="18">
        <v>0</v>
      </c>
      <c r="L1574" s="350">
        <f t="shared" ref="L1574:L1637" si="1116">SUM(J1574*K1574)</f>
        <v>0</v>
      </c>
      <c r="M1574" s="356">
        <f t="shared" ref="M1574:M1637" si="1117">ROUNDDOWN(L1574*1.1,0)</f>
        <v>0</v>
      </c>
      <c r="N1574" s="258"/>
      <c r="O1574" s="466"/>
    </row>
    <row r="1575" spans="1:15" ht="21.75" customHeight="1" x14ac:dyDescent="0.4">
      <c r="A1575" s="466"/>
      <c r="B1575" s="474"/>
      <c r="C1575" s="474"/>
      <c r="D1575" s="18"/>
      <c r="E1575" s="18"/>
      <c r="F1575" s="18"/>
      <c r="G1575" s="63"/>
      <c r="H1575" s="399"/>
      <c r="I1575" s="353"/>
      <c r="J1575" s="350">
        <f t="shared" si="1115"/>
        <v>0</v>
      </c>
      <c r="K1575" s="18">
        <v>0</v>
      </c>
      <c r="L1575" s="350">
        <f t="shared" si="1116"/>
        <v>0</v>
      </c>
      <c r="M1575" s="356">
        <f t="shared" si="1117"/>
        <v>0</v>
      </c>
      <c r="N1575" s="258"/>
      <c r="O1575" s="466"/>
    </row>
    <row r="1576" spans="1:15" ht="21.75" customHeight="1" x14ac:dyDescent="0.4">
      <c r="A1576" s="466"/>
      <c r="B1576" s="474"/>
      <c r="C1576" s="474"/>
      <c r="D1576" s="18"/>
      <c r="E1576" s="18"/>
      <c r="F1576" s="18"/>
      <c r="G1576" s="63"/>
      <c r="H1576" s="399"/>
      <c r="I1576" s="353"/>
      <c r="J1576" s="350">
        <f t="shared" si="1115"/>
        <v>0</v>
      </c>
      <c r="K1576" s="18">
        <v>0</v>
      </c>
      <c r="L1576" s="350">
        <f t="shared" si="1116"/>
        <v>0</v>
      </c>
      <c r="M1576" s="356">
        <f t="shared" si="1117"/>
        <v>0</v>
      </c>
      <c r="N1576" s="258"/>
      <c r="O1576" s="466"/>
    </row>
    <row r="1577" spans="1:15" ht="21.75" customHeight="1" x14ac:dyDescent="0.4">
      <c r="A1577" s="466"/>
      <c r="B1577" s="474"/>
      <c r="C1577" s="474"/>
      <c r="D1577" s="18"/>
      <c r="E1577" s="18"/>
      <c r="F1577" s="18"/>
      <c r="G1577" s="63"/>
      <c r="H1577" s="399"/>
      <c r="I1577" s="353"/>
      <c r="J1577" s="350">
        <f t="shared" si="1115"/>
        <v>0</v>
      </c>
      <c r="K1577" s="18">
        <v>0</v>
      </c>
      <c r="L1577" s="350">
        <f t="shared" si="1116"/>
        <v>0</v>
      </c>
      <c r="M1577" s="356">
        <f t="shared" si="1117"/>
        <v>0</v>
      </c>
      <c r="N1577" s="258"/>
      <c r="O1577" s="466"/>
    </row>
    <row r="1578" spans="1:15" ht="21.75" customHeight="1" x14ac:dyDescent="0.4">
      <c r="A1578" s="466"/>
      <c r="B1578" s="474"/>
      <c r="C1578" s="474"/>
      <c r="D1578" s="18"/>
      <c r="E1578" s="18"/>
      <c r="F1578" s="18"/>
      <c r="G1578" s="63"/>
      <c r="H1578" s="399"/>
      <c r="I1578" s="353"/>
      <c r="J1578" s="350">
        <f t="shared" si="1115"/>
        <v>0</v>
      </c>
      <c r="K1578" s="18">
        <v>0</v>
      </c>
      <c r="L1578" s="350">
        <f t="shared" si="1116"/>
        <v>0</v>
      </c>
      <c r="M1578" s="356">
        <f t="shared" si="1117"/>
        <v>0</v>
      </c>
      <c r="N1578" s="258"/>
      <c r="O1578" s="466"/>
    </row>
    <row r="1579" spans="1:15" ht="21.75" customHeight="1" x14ac:dyDescent="0.4">
      <c r="A1579" s="466"/>
      <c r="B1579" s="474"/>
      <c r="C1579" s="474"/>
      <c r="D1579" s="18"/>
      <c r="E1579" s="18"/>
      <c r="F1579" s="18"/>
      <c r="G1579" s="63"/>
      <c r="H1579" s="399"/>
      <c r="I1579" s="353"/>
      <c r="J1579" s="350">
        <f t="shared" si="1115"/>
        <v>0</v>
      </c>
      <c r="K1579" s="18">
        <v>0</v>
      </c>
      <c r="L1579" s="350">
        <f t="shared" si="1116"/>
        <v>0</v>
      </c>
      <c r="M1579" s="356">
        <f t="shared" si="1117"/>
        <v>0</v>
      </c>
      <c r="N1579" s="258"/>
      <c r="O1579" s="466"/>
    </row>
    <row r="1580" spans="1:15" ht="21.75" customHeight="1" x14ac:dyDescent="0.4">
      <c r="A1580" s="466"/>
      <c r="B1580" s="474"/>
      <c r="C1580" s="474"/>
      <c r="D1580" s="18"/>
      <c r="E1580" s="18"/>
      <c r="F1580" s="18"/>
      <c r="G1580" s="63"/>
      <c r="H1580" s="399"/>
      <c r="I1580" s="353"/>
      <c r="J1580" s="350">
        <f t="shared" si="1115"/>
        <v>0</v>
      </c>
      <c r="K1580" s="18">
        <v>0</v>
      </c>
      <c r="L1580" s="350">
        <f t="shared" si="1116"/>
        <v>0</v>
      </c>
      <c r="M1580" s="356">
        <f t="shared" si="1117"/>
        <v>0</v>
      </c>
      <c r="N1580" s="258"/>
      <c r="O1580" s="466"/>
    </row>
    <row r="1581" spans="1:15" ht="21.75" customHeight="1" x14ac:dyDescent="0.4">
      <c r="A1581" s="466"/>
      <c r="B1581" s="474"/>
      <c r="C1581" s="474"/>
      <c r="D1581" s="18"/>
      <c r="E1581" s="18"/>
      <c r="F1581" s="18"/>
      <c r="G1581" s="63"/>
      <c r="H1581" s="399"/>
      <c r="I1581" s="353"/>
      <c r="J1581" s="350">
        <f t="shared" si="1115"/>
        <v>0</v>
      </c>
      <c r="K1581" s="18">
        <v>0</v>
      </c>
      <c r="L1581" s="350">
        <f t="shared" si="1116"/>
        <v>0</v>
      </c>
      <c r="M1581" s="356">
        <f t="shared" si="1117"/>
        <v>0</v>
      </c>
      <c r="N1581" s="258"/>
      <c r="O1581" s="466"/>
    </row>
    <row r="1582" spans="1:15" ht="21.75" customHeight="1" x14ac:dyDescent="0.4">
      <c r="A1582" s="466"/>
      <c r="B1582" s="474"/>
      <c r="C1582" s="474"/>
      <c r="D1582" s="18"/>
      <c r="E1582" s="18"/>
      <c r="F1582" s="18"/>
      <c r="G1582" s="63"/>
      <c r="H1582" s="399"/>
      <c r="I1582" s="353"/>
      <c r="J1582" s="350">
        <f t="shared" si="1115"/>
        <v>0</v>
      </c>
      <c r="K1582" s="18">
        <v>0</v>
      </c>
      <c r="L1582" s="350">
        <f t="shared" si="1116"/>
        <v>0</v>
      </c>
      <c r="M1582" s="356">
        <f t="shared" si="1117"/>
        <v>0</v>
      </c>
      <c r="N1582" s="258"/>
      <c r="O1582" s="466"/>
    </row>
    <row r="1583" spans="1:15" ht="21.75" customHeight="1" x14ac:dyDescent="0.4">
      <c r="A1583" s="466"/>
      <c r="B1583" s="474"/>
      <c r="C1583" s="474"/>
      <c r="D1583" s="18"/>
      <c r="E1583" s="18"/>
      <c r="F1583" s="18"/>
      <c r="G1583" s="63"/>
      <c r="H1583" s="399"/>
      <c r="I1583" s="353"/>
      <c r="J1583" s="350">
        <f t="shared" si="1115"/>
        <v>0</v>
      </c>
      <c r="K1583" s="18">
        <v>0</v>
      </c>
      <c r="L1583" s="350">
        <f t="shared" si="1116"/>
        <v>0</v>
      </c>
      <c r="M1583" s="356">
        <f t="shared" si="1117"/>
        <v>0</v>
      </c>
      <c r="N1583" s="258"/>
      <c r="O1583" s="466"/>
    </row>
    <row r="1584" spans="1:15" ht="21.75" customHeight="1" x14ac:dyDescent="0.4">
      <c r="A1584" s="466"/>
      <c r="B1584" s="474"/>
      <c r="C1584" s="474"/>
      <c r="D1584" s="18"/>
      <c r="E1584" s="18"/>
      <c r="F1584" s="18"/>
      <c r="G1584" s="63"/>
      <c r="H1584" s="399"/>
      <c r="I1584" s="353"/>
      <c r="J1584" s="350">
        <f t="shared" si="1115"/>
        <v>0</v>
      </c>
      <c r="K1584" s="18">
        <v>0</v>
      </c>
      <c r="L1584" s="350">
        <f t="shared" si="1116"/>
        <v>0</v>
      </c>
      <c r="M1584" s="356">
        <f t="shared" si="1117"/>
        <v>0</v>
      </c>
      <c r="N1584" s="258"/>
      <c r="O1584" s="466"/>
    </row>
    <row r="1585" spans="1:15" ht="21.75" customHeight="1" x14ac:dyDescent="0.4">
      <c r="A1585" s="466"/>
      <c r="B1585" s="474"/>
      <c r="C1585" s="474"/>
      <c r="D1585" s="18"/>
      <c r="E1585" s="18"/>
      <c r="F1585" s="18"/>
      <c r="G1585" s="63"/>
      <c r="H1585" s="399"/>
      <c r="I1585" s="353"/>
      <c r="J1585" s="350">
        <f t="shared" si="1115"/>
        <v>0</v>
      </c>
      <c r="K1585" s="18">
        <v>0</v>
      </c>
      <c r="L1585" s="350">
        <f t="shared" si="1116"/>
        <v>0</v>
      </c>
      <c r="M1585" s="356">
        <f t="shared" si="1117"/>
        <v>0</v>
      </c>
      <c r="N1585" s="258"/>
      <c r="O1585" s="466"/>
    </row>
    <row r="1586" spans="1:15" ht="21.75" customHeight="1" x14ac:dyDescent="0.4">
      <c r="A1586" s="466"/>
      <c r="B1586" s="474"/>
      <c r="C1586" s="474"/>
      <c r="D1586" s="18"/>
      <c r="E1586" s="18"/>
      <c r="F1586" s="18"/>
      <c r="G1586" s="63"/>
      <c r="H1586" s="399"/>
      <c r="I1586" s="353"/>
      <c r="J1586" s="350">
        <f t="shared" si="1115"/>
        <v>0</v>
      </c>
      <c r="K1586" s="18">
        <v>0</v>
      </c>
      <c r="L1586" s="350">
        <f t="shared" si="1116"/>
        <v>0</v>
      </c>
      <c r="M1586" s="356">
        <f t="shared" si="1117"/>
        <v>0</v>
      </c>
      <c r="N1586" s="258"/>
      <c r="O1586" s="466"/>
    </row>
    <row r="1587" spans="1:15" ht="21.75" customHeight="1" x14ac:dyDescent="0.4">
      <c r="A1587" s="466"/>
      <c r="B1587" s="474"/>
      <c r="C1587" s="474"/>
      <c r="D1587" s="18"/>
      <c r="E1587" s="18"/>
      <c r="F1587" s="18"/>
      <c r="G1587" s="63"/>
      <c r="H1587" s="399"/>
      <c r="I1587" s="353"/>
      <c r="J1587" s="350">
        <f t="shared" si="1115"/>
        <v>0</v>
      </c>
      <c r="K1587" s="18">
        <v>0</v>
      </c>
      <c r="L1587" s="350">
        <f t="shared" si="1116"/>
        <v>0</v>
      </c>
      <c r="M1587" s="356">
        <f t="shared" si="1117"/>
        <v>0</v>
      </c>
      <c r="N1587" s="258"/>
      <c r="O1587" s="466"/>
    </row>
    <row r="1588" spans="1:15" ht="21.75" customHeight="1" x14ac:dyDescent="0.4">
      <c r="A1588" s="466"/>
      <c r="B1588" s="474"/>
      <c r="C1588" s="474"/>
      <c r="D1588" s="18"/>
      <c r="E1588" s="18"/>
      <c r="F1588" s="18"/>
      <c r="G1588" s="63"/>
      <c r="H1588" s="399"/>
      <c r="I1588" s="353"/>
      <c r="J1588" s="350">
        <f t="shared" si="1115"/>
        <v>0</v>
      </c>
      <c r="K1588" s="18">
        <v>0</v>
      </c>
      <c r="L1588" s="350">
        <f t="shared" si="1116"/>
        <v>0</v>
      </c>
      <c r="M1588" s="356">
        <f t="shared" si="1117"/>
        <v>0</v>
      </c>
      <c r="N1588" s="258"/>
      <c r="O1588" s="466"/>
    </row>
    <row r="1589" spans="1:15" ht="21.75" customHeight="1" x14ac:dyDescent="0.4">
      <c r="A1589" s="466"/>
      <c r="B1589" s="474"/>
      <c r="C1589" s="474"/>
      <c r="D1589" s="18"/>
      <c r="E1589" s="18"/>
      <c r="F1589" s="18"/>
      <c r="G1589" s="63"/>
      <c r="H1589" s="399"/>
      <c r="I1589" s="353"/>
      <c r="J1589" s="350">
        <f t="shared" si="1115"/>
        <v>0</v>
      </c>
      <c r="K1589" s="18">
        <v>0</v>
      </c>
      <c r="L1589" s="350">
        <f t="shared" si="1116"/>
        <v>0</v>
      </c>
      <c r="M1589" s="356">
        <f t="shared" si="1117"/>
        <v>0</v>
      </c>
      <c r="N1589" s="258"/>
      <c r="O1589" s="466"/>
    </row>
    <row r="1590" spans="1:15" ht="21.75" customHeight="1" x14ac:dyDescent="0.4">
      <c r="A1590" s="466"/>
      <c r="B1590" s="474"/>
      <c r="C1590" s="474"/>
      <c r="D1590" s="18"/>
      <c r="E1590" s="18"/>
      <c r="F1590" s="18"/>
      <c r="G1590" s="63"/>
      <c r="H1590" s="399"/>
      <c r="I1590" s="353"/>
      <c r="J1590" s="350">
        <f t="shared" si="1115"/>
        <v>0</v>
      </c>
      <c r="K1590" s="18">
        <v>0</v>
      </c>
      <c r="L1590" s="350">
        <f t="shared" si="1116"/>
        <v>0</v>
      </c>
      <c r="M1590" s="356">
        <f t="shared" si="1117"/>
        <v>0</v>
      </c>
      <c r="N1590" s="258"/>
      <c r="O1590" s="466"/>
    </row>
    <row r="1591" spans="1:15" ht="21.75" customHeight="1" x14ac:dyDescent="0.4">
      <c r="A1591" s="466"/>
      <c r="B1591" s="474"/>
      <c r="C1591" s="474"/>
      <c r="D1591" s="18"/>
      <c r="E1591" s="18"/>
      <c r="F1591" s="18"/>
      <c r="G1591" s="63"/>
      <c r="H1591" s="399"/>
      <c r="I1591" s="353"/>
      <c r="J1591" s="350">
        <f t="shared" si="1115"/>
        <v>0</v>
      </c>
      <c r="K1591" s="18">
        <v>0</v>
      </c>
      <c r="L1591" s="350">
        <f t="shared" si="1116"/>
        <v>0</v>
      </c>
      <c r="M1591" s="356">
        <f t="shared" si="1117"/>
        <v>0</v>
      </c>
      <c r="N1591" s="258"/>
      <c r="O1591" s="466"/>
    </row>
    <row r="1592" spans="1:15" ht="21.75" customHeight="1" x14ac:dyDescent="0.4">
      <c r="A1592" s="466"/>
      <c r="B1592" s="474"/>
      <c r="C1592" s="474"/>
      <c r="D1592" s="18"/>
      <c r="E1592" s="18"/>
      <c r="F1592" s="18"/>
      <c r="G1592" s="63"/>
      <c r="H1592" s="399"/>
      <c r="I1592" s="353"/>
      <c r="J1592" s="350">
        <f t="shared" si="1115"/>
        <v>0</v>
      </c>
      <c r="K1592" s="18">
        <v>0</v>
      </c>
      <c r="L1592" s="350">
        <f t="shared" si="1116"/>
        <v>0</v>
      </c>
      <c r="M1592" s="356">
        <f t="shared" si="1117"/>
        <v>0</v>
      </c>
      <c r="N1592" s="258"/>
      <c r="O1592" s="466"/>
    </row>
    <row r="1593" spans="1:15" ht="21.75" customHeight="1" x14ac:dyDescent="0.4">
      <c r="A1593" s="466"/>
      <c r="B1593" s="474"/>
      <c r="C1593" s="474"/>
      <c r="D1593" s="18"/>
      <c r="E1593" s="18"/>
      <c r="F1593" s="18"/>
      <c r="G1593" s="63"/>
      <c r="H1593" s="399"/>
      <c r="I1593" s="353"/>
      <c r="J1593" s="350">
        <f t="shared" si="1115"/>
        <v>0</v>
      </c>
      <c r="K1593" s="18">
        <v>0</v>
      </c>
      <c r="L1593" s="350">
        <f t="shared" si="1116"/>
        <v>0</v>
      </c>
      <c r="M1593" s="356">
        <f t="shared" si="1117"/>
        <v>0</v>
      </c>
      <c r="N1593" s="258"/>
      <c r="O1593" s="466"/>
    </row>
    <row r="1594" spans="1:15" ht="21.75" customHeight="1" x14ac:dyDescent="0.4">
      <c r="A1594" s="466"/>
      <c r="B1594" s="474"/>
      <c r="C1594" s="474"/>
      <c r="D1594" s="18"/>
      <c r="E1594" s="18"/>
      <c r="F1594" s="18"/>
      <c r="G1594" s="63"/>
      <c r="H1594" s="399"/>
      <c r="I1594" s="353"/>
      <c r="J1594" s="350">
        <f t="shared" si="1115"/>
        <v>0</v>
      </c>
      <c r="K1594" s="18">
        <v>0</v>
      </c>
      <c r="L1594" s="350">
        <f t="shared" si="1116"/>
        <v>0</v>
      </c>
      <c r="M1594" s="356">
        <f t="shared" si="1117"/>
        <v>0</v>
      </c>
      <c r="N1594" s="258"/>
      <c r="O1594" s="466"/>
    </row>
    <row r="1595" spans="1:15" ht="21.75" customHeight="1" x14ac:dyDescent="0.4">
      <c r="A1595" s="466"/>
      <c r="B1595" s="474"/>
      <c r="C1595" s="474"/>
      <c r="D1595" s="18"/>
      <c r="E1595" s="18"/>
      <c r="F1595" s="18"/>
      <c r="G1595" s="63"/>
      <c r="H1595" s="399"/>
      <c r="I1595" s="353"/>
      <c r="J1595" s="350">
        <f t="shared" si="1115"/>
        <v>0</v>
      </c>
      <c r="K1595" s="18">
        <v>0</v>
      </c>
      <c r="L1595" s="350">
        <f t="shared" si="1116"/>
        <v>0</v>
      </c>
      <c r="M1595" s="356">
        <f t="shared" si="1117"/>
        <v>0</v>
      </c>
      <c r="N1595" s="258"/>
      <c r="O1595" s="466"/>
    </row>
    <row r="1596" spans="1:15" ht="21.75" customHeight="1" x14ac:dyDescent="0.4">
      <c r="A1596" s="466"/>
      <c r="B1596" s="474"/>
      <c r="C1596" s="474"/>
      <c r="D1596" s="18"/>
      <c r="E1596" s="18"/>
      <c r="F1596" s="18"/>
      <c r="G1596" s="63"/>
      <c r="H1596" s="399"/>
      <c r="I1596" s="353"/>
      <c r="J1596" s="350">
        <f t="shared" si="1115"/>
        <v>0</v>
      </c>
      <c r="K1596" s="18">
        <v>0</v>
      </c>
      <c r="L1596" s="350">
        <f t="shared" si="1116"/>
        <v>0</v>
      </c>
      <c r="M1596" s="356">
        <f t="shared" si="1117"/>
        <v>0</v>
      </c>
      <c r="N1596" s="258"/>
      <c r="O1596" s="466"/>
    </row>
    <row r="1597" spans="1:15" ht="21.75" customHeight="1" x14ac:dyDescent="0.4">
      <c r="A1597" s="466"/>
      <c r="B1597" s="474"/>
      <c r="C1597" s="474"/>
      <c r="D1597" s="18"/>
      <c r="E1597" s="18"/>
      <c r="F1597" s="18"/>
      <c r="G1597" s="63"/>
      <c r="H1597" s="399"/>
      <c r="I1597" s="353"/>
      <c r="J1597" s="350">
        <f t="shared" si="1115"/>
        <v>0</v>
      </c>
      <c r="K1597" s="18">
        <v>0</v>
      </c>
      <c r="L1597" s="350">
        <f t="shared" si="1116"/>
        <v>0</v>
      </c>
      <c r="M1597" s="356">
        <f t="shared" si="1117"/>
        <v>0</v>
      </c>
      <c r="N1597" s="258"/>
      <c r="O1597" s="466"/>
    </row>
    <row r="1598" spans="1:15" ht="21.75" customHeight="1" x14ac:dyDescent="0.4">
      <c r="A1598" s="466"/>
      <c r="B1598" s="474"/>
      <c r="C1598" s="474"/>
      <c r="D1598" s="18"/>
      <c r="E1598" s="18"/>
      <c r="F1598" s="18"/>
      <c r="G1598" s="63"/>
      <c r="H1598" s="399"/>
      <c r="I1598" s="353"/>
      <c r="J1598" s="350">
        <f t="shared" si="1115"/>
        <v>0</v>
      </c>
      <c r="K1598" s="18">
        <v>0</v>
      </c>
      <c r="L1598" s="350">
        <f t="shared" si="1116"/>
        <v>0</v>
      </c>
      <c r="M1598" s="356">
        <f t="shared" si="1117"/>
        <v>0</v>
      </c>
      <c r="N1598" s="258"/>
      <c r="O1598" s="466"/>
    </row>
    <row r="1599" spans="1:15" ht="21.75" customHeight="1" x14ac:dyDescent="0.4">
      <c r="A1599" s="466"/>
      <c r="B1599" s="474"/>
      <c r="C1599" s="474"/>
      <c r="D1599" s="18"/>
      <c r="E1599" s="18"/>
      <c r="F1599" s="18"/>
      <c r="G1599" s="63"/>
      <c r="H1599" s="399"/>
      <c r="I1599" s="353"/>
      <c r="J1599" s="350">
        <f t="shared" si="1115"/>
        <v>0</v>
      </c>
      <c r="K1599" s="18">
        <v>0</v>
      </c>
      <c r="L1599" s="350">
        <f t="shared" si="1116"/>
        <v>0</v>
      </c>
      <c r="M1599" s="356">
        <f t="shared" si="1117"/>
        <v>0</v>
      </c>
      <c r="N1599" s="258"/>
      <c r="O1599" s="466"/>
    </row>
    <row r="1600" spans="1:15" ht="21.75" customHeight="1" x14ac:dyDescent="0.4">
      <c r="A1600" s="466"/>
      <c r="B1600" s="474"/>
      <c r="C1600" s="474"/>
      <c r="D1600" s="18"/>
      <c r="E1600" s="18"/>
      <c r="F1600" s="18"/>
      <c r="G1600" s="63"/>
      <c r="H1600" s="399"/>
      <c r="I1600" s="353"/>
      <c r="J1600" s="350">
        <f t="shared" si="1115"/>
        <v>0</v>
      </c>
      <c r="K1600" s="18">
        <v>0</v>
      </c>
      <c r="L1600" s="350">
        <f t="shared" si="1116"/>
        <v>0</v>
      </c>
      <c r="M1600" s="356">
        <f t="shared" si="1117"/>
        <v>0</v>
      </c>
      <c r="N1600" s="258"/>
      <c r="O1600" s="466"/>
    </row>
    <row r="1601" spans="1:15" ht="21.75" customHeight="1" x14ac:dyDescent="0.4">
      <c r="A1601" s="466"/>
      <c r="B1601" s="474"/>
      <c r="C1601" s="474"/>
      <c r="D1601" s="18"/>
      <c r="E1601" s="18"/>
      <c r="F1601" s="18"/>
      <c r="G1601" s="63"/>
      <c r="H1601" s="399"/>
      <c r="I1601" s="353"/>
      <c r="J1601" s="350">
        <f t="shared" si="1115"/>
        <v>0</v>
      </c>
      <c r="K1601" s="18">
        <v>0</v>
      </c>
      <c r="L1601" s="350">
        <f t="shared" si="1116"/>
        <v>0</v>
      </c>
      <c r="M1601" s="356">
        <f t="shared" si="1117"/>
        <v>0</v>
      </c>
      <c r="N1601" s="258"/>
      <c r="O1601" s="466"/>
    </row>
    <row r="1602" spans="1:15" ht="21.75" customHeight="1" x14ac:dyDescent="0.4">
      <c r="A1602" s="466"/>
      <c r="B1602" s="474"/>
      <c r="C1602" s="474"/>
      <c r="D1602" s="18"/>
      <c r="E1602" s="18"/>
      <c r="F1602" s="18"/>
      <c r="G1602" s="63"/>
      <c r="H1602" s="399"/>
      <c r="I1602" s="353"/>
      <c r="J1602" s="350">
        <f t="shared" si="1115"/>
        <v>0</v>
      </c>
      <c r="K1602" s="18">
        <v>0</v>
      </c>
      <c r="L1602" s="350">
        <f t="shared" si="1116"/>
        <v>0</v>
      </c>
      <c r="M1602" s="356">
        <f t="shared" si="1117"/>
        <v>0</v>
      </c>
      <c r="N1602" s="258"/>
      <c r="O1602" s="466"/>
    </row>
    <row r="1603" spans="1:15" ht="21.75" customHeight="1" x14ac:dyDescent="0.4">
      <c r="A1603" s="466"/>
      <c r="B1603" s="474"/>
      <c r="C1603" s="474"/>
      <c r="D1603" s="18"/>
      <c r="E1603" s="18"/>
      <c r="F1603" s="18"/>
      <c r="G1603" s="63"/>
      <c r="H1603" s="399"/>
      <c r="I1603" s="353"/>
      <c r="J1603" s="350">
        <f t="shared" si="1115"/>
        <v>0</v>
      </c>
      <c r="K1603" s="18">
        <v>0</v>
      </c>
      <c r="L1603" s="350">
        <f t="shared" si="1116"/>
        <v>0</v>
      </c>
      <c r="M1603" s="356">
        <f t="shared" si="1117"/>
        <v>0</v>
      </c>
      <c r="N1603" s="258"/>
      <c r="O1603" s="466"/>
    </row>
    <row r="1604" spans="1:15" ht="21.75" customHeight="1" x14ac:dyDescent="0.4">
      <c r="A1604" s="466"/>
      <c r="B1604" s="474"/>
      <c r="C1604" s="474"/>
      <c r="D1604" s="18"/>
      <c r="E1604" s="18"/>
      <c r="F1604" s="18"/>
      <c r="G1604" s="63"/>
      <c r="H1604" s="399"/>
      <c r="I1604" s="353"/>
      <c r="J1604" s="350">
        <f t="shared" si="1115"/>
        <v>0</v>
      </c>
      <c r="K1604" s="18">
        <v>0</v>
      </c>
      <c r="L1604" s="350">
        <f t="shared" si="1116"/>
        <v>0</v>
      </c>
      <c r="M1604" s="356">
        <f t="shared" si="1117"/>
        <v>0</v>
      </c>
      <c r="N1604" s="258"/>
      <c r="O1604" s="466"/>
    </row>
    <row r="1605" spans="1:15" ht="21.75" customHeight="1" x14ac:dyDescent="0.4">
      <c r="A1605" s="466"/>
      <c r="B1605" s="474"/>
      <c r="C1605" s="474"/>
      <c r="D1605" s="18"/>
      <c r="E1605" s="18"/>
      <c r="F1605" s="18"/>
      <c r="G1605" s="63"/>
      <c r="H1605" s="399"/>
      <c r="I1605" s="353"/>
      <c r="J1605" s="350">
        <f t="shared" si="1115"/>
        <v>0</v>
      </c>
      <c r="K1605" s="18">
        <v>0</v>
      </c>
      <c r="L1605" s="350">
        <f t="shared" si="1116"/>
        <v>0</v>
      </c>
      <c r="M1605" s="356">
        <f t="shared" si="1117"/>
        <v>0</v>
      </c>
      <c r="N1605" s="258"/>
      <c r="O1605" s="466"/>
    </row>
    <row r="1606" spans="1:15" ht="21.75" customHeight="1" x14ac:dyDescent="0.4">
      <c r="A1606" s="466"/>
      <c r="B1606" s="474"/>
      <c r="C1606" s="474"/>
      <c r="D1606" s="18"/>
      <c r="E1606" s="18"/>
      <c r="F1606" s="18"/>
      <c r="G1606" s="63"/>
      <c r="H1606" s="399"/>
      <c r="I1606" s="353"/>
      <c r="J1606" s="350">
        <f t="shared" si="1115"/>
        <v>0</v>
      </c>
      <c r="K1606" s="18">
        <v>0</v>
      </c>
      <c r="L1606" s="350">
        <f t="shared" si="1116"/>
        <v>0</v>
      </c>
      <c r="M1606" s="356">
        <f t="shared" si="1117"/>
        <v>0</v>
      </c>
      <c r="N1606" s="258"/>
      <c r="O1606" s="466"/>
    </row>
    <row r="1607" spans="1:15" ht="21.75" customHeight="1" x14ac:dyDescent="0.4">
      <c r="A1607" s="466"/>
      <c r="B1607" s="474"/>
      <c r="C1607" s="474"/>
      <c r="D1607" s="18"/>
      <c r="E1607" s="18"/>
      <c r="F1607" s="18"/>
      <c r="G1607" s="63"/>
      <c r="H1607" s="399"/>
      <c r="I1607" s="353"/>
      <c r="J1607" s="350">
        <f t="shared" si="1115"/>
        <v>0</v>
      </c>
      <c r="K1607" s="18">
        <v>0</v>
      </c>
      <c r="L1607" s="350">
        <f t="shared" si="1116"/>
        <v>0</v>
      </c>
      <c r="M1607" s="356">
        <f t="shared" si="1117"/>
        <v>0</v>
      </c>
      <c r="N1607" s="258"/>
      <c r="O1607" s="466"/>
    </row>
    <row r="1608" spans="1:15" ht="21.75" customHeight="1" x14ac:dyDescent="0.4">
      <c r="A1608" s="466"/>
      <c r="B1608" s="474"/>
      <c r="C1608" s="474"/>
      <c r="D1608" s="18"/>
      <c r="E1608" s="18"/>
      <c r="F1608" s="18"/>
      <c r="G1608" s="63"/>
      <c r="H1608" s="399"/>
      <c r="I1608" s="353"/>
      <c r="J1608" s="350">
        <f t="shared" si="1115"/>
        <v>0</v>
      </c>
      <c r="K1608" s="18">
        <v>0</v>
      </c>
      <c r="L1608" s="350">
        <f t="shared" si="1116"/>
        <v>0</v>
      </c>
      <c r="M1608" s="356">
        <f t="shared" si="1117"/>
        <v>0</v>
      </c>
      <c r="N1608" s="258"/>
      <c r="O1608" s="466"/>
    </row>
    <row r="1609" spans="1:15" ht="21.75" customHeight="1" x14ac:dyDescent="0.4">
      <c r="A1609" s="466"/>
      <c r="B1609" s="474"/>
      <c r="C1609" s="474"/>
      <c r="D1609" s="18"/>
      <c r="E1609" s="18"/>
      <c r="F1609" s="18"/>
      <c r="G1609" s="63"/>
      <c r="H1609" s="399"/>
      <c r="I1609" s="353"/>
      <c r="J1609" s="350">
        <f t="shared" si="1115"/>
        <v>0</v>
      </c>
      <c r="K1609" s="18">
        <v>0</v>
      </c>
      <c r="L1609" s="350">
        <f t="shared" si="1116"/>
        <v>0</v>
      </c>
      <c r="M1609" s="356">
        <f t="shared" si="1117"/>
        <v>0</v>
      </c>
      <c r="N1609" s="258"/>
      <c r="O1609" s="466"/>
    </row>
    <row r="1610" spans="1:15" ht="21.75" customHeight="1" x14ac:dyDescent="0.4">
      <c r="A1610" s="466"/>
      <c r="B1610" s="474"/>
      <c r="C1610" s="474"/>
      <c r="D1610" s="18"/>
      <c r="E1610" s="18"/>
      <c r="F1610" s="18"/>
      <c r="G1610" s="63"/>
      <c r="H1610" s="399"/>
      <c r="I1610" s="353"/>
      <c r="J1610" s="350">
        <f t="shared" si="1115"/>
        <v>0</v>
      </c>
      <c r="K1610" s="18">
        <v>0</v>
      </c>
      <c r="L1610" s="350">
        <f t="shared" si="1116"/>
        <v>0</v>
      </c>
      <c r="M1610" s="356">
        <f t="shared" si="1117"/>
        <v>0</v>
      </c>
      <c r="N1610" s="258"/>
      <c r="O1610" s="466"/>
    </row>
    <row r="1611" spans="1:15" ht="21.75" customHeight="1" x14ac:dyDescent="0.4">
      <c r="A1611" s="466"/>
      <c r="B1611" s="474"/>
      <c r="C1611" s="474"/>
      <c r="D1611" s="18"/>
      <c r="E1611" s="18"/>
      <c r="F1611" s="18"/>
      <c r="G1611" s="63"/>
      <c r="H1611" s="399"/>
      <c r="I1611" s="353"/>
      <c r="J1611" s="350">
        <f t="shared" si="1115"/>
        <v>0</v>
      </c>
      <c r="K1611" s="18">
        <v>0</v>
      </c>
      <c r="L1611" s="350">
        <f t="shared" si="1116"/>
        <v>0</v>
      </c>
      <c r="M1611" s="356">
        <f t="shared" si="1117"/>
        <v>0</v>
      </c>
      <c r="N1611" s="258"/>
      <c r="O1611" s="466"/>
    </row>
    <row r="1612" spans="1:15" ht="21.75" customHeight="1" x14ac:dyDescent="0.4">
      <c r="A1612" s="466"/>
      <c r="B1612" s="474"/>
      <c r="C1612" s="474"/>
      <c r="D1612" s="18"/>
      <c r="E1612" s="18"/>
      <c r="F1612" s="18"/>
      <c r="G1612" s="63"/>
      <c r="H1612" s="399"/>
      <c r="I1612" s="353"/>
      <c r="J1612" s="350">
        <f t="shared" si="1115"/>
        <v>0</v>
      </c>
      <c r="K1612" s="18">
        <v>0</v>
      </c>
      <c r="L1612" s="350">
        <f t="shared" si="1116"/>
        <v>0</v>
      </c>
      <c r="M1612" s="356">
        <f t="shared" si="1117"/>
        <v>0</v>
      </c>
      <c r="N1612" s="258"/>
      <c r="O1612" s="466"/>
    </row>
    <row r="1613" spans="1:15" ht="21.75" customHeight="1" x14ac:dyDescent="0.4">
      <c r="A1613" s="466"/>
      <c r="B1613" s="474"/>
      <c r="C1613" s="474"/>
      <c r="D1613" s="18"/>
      <c r="E1613" s="18"/>
      <c r="F1613" s="18"/>
      <c r="G1613" s="63"/>
      <c r="H1613" s="399"/>
      <c r="I1613" s="353"/>
      <c r="J1613" s="350">
        <f t="shared" si="1115"/>
        <v>0</v>
      </c>
      <c r="K1613" s="18">
        <v>0</v>
      </c>
      <c r="L1613" s="350">
        <f t="shared" si="1116"/>
        <v>0</v>
      </c>
      <c r="M1613" s="356">
        <f t="shared" si="1117"/>
        <v>0</v>
      </c>
      <c r="N1613" s="258"/>
      <c r="O1613" s="466"/>
    </row>
    <row r="1614" spans="1:15" ht="21.75" customHeight="1" x14ac:dyDescent="0.4">
      <c r="A1614" s="466"/>
      <c r="B1614" s="474"/>
      <c r="C1614" s="474"/>
      <c r="D1614" s="18"/>
      <c r="E1614" s="18"/>
      <c r="F1614" s="18"/>
      <c r="G1614" s="63"/>
      <c r="H1614" s="399"/>
      <c r="I1614" s="353"/>
      <c r="J1614" s="350">
        <f t="shared" si="1115"/>
        <v>0</v>
      </c>
      <c r="K1614" s="18">
        <v>0</v>
      </c>
      <c r="L1614" s="350">
        <f t="shared" si="1116"/>
        <v>0</v>
      </c>
      <c r="M1614" s="356">
        <f t="shared" si="1117"/>
        <v>0</v>
      </c>
      <c r="N1614" s="258"/>
      <c r="O1614" s="466"/>
    </row>
    <row r="1615" spans="1:15" ht="21.75" customHeight="1" x14ac:dyDescent="0.4">
      <c r="A1615" s="466"/>
      <c r="B1615" s="474"/>
      <c r="C1615" s="474"/>
      <c r="D1615" s="18"/>
      <c r="E1615" s="18"/>
      <c r="F1615" s="18"/>
      <c r="G1615" s="63"/>
      <c r="H1615" s="399"/>
      <c r="I1615" s="353"/>
      <c r="J1615" s="350">
        <f t="shared" si="1115"/>
        <v>0</v>
      </c>
      <c r="K1615" s="18">
        <v>0</v>
      </c>
      <c r="L1615" s="350">
        <f t="shared" si="1116"/>
        <v>0</v>
      </c>
      <c r="M1615" s="356">
        <f t="shared" si="1117"/>
        <v>0</v>
      </c>
      <c r="N1615" s="258"/>
      <c r="O1615" s="466"/>
    </row>
    <row r="1616" spans="1:15" ht="21.75" customHeight="1" x14ac:dyDescent="0.4">
      <c r="A1616" s="466"/>
      <c r="B1616" s="474"/>
      <c r="C1616" s="474"/>
      <c r="D1616" s="18"/>
      <c r="E1616" s="18"/>
      <c r="F1616" s="18"/>
      <c r="G1616" s="63"/>
      <c r="H1616" s="399"/>
      <c r="I1616" s="353"/>
      <c r="J1616" s="350">
        <f t="shared" si="1115"/>
        <v>0</v>
      </c>
      <c r="K1616" s="18">
        <v>0</v>
      </c>
      <c r="L1616" s="350">
        <f t="shared" si="1116"/>
        <v>0</v>
      </c>
      <c r="M1616" s="356">
        <f t="shared" si="1117"/>
        <v>0</v>
      </c>
      <c r="N1616" s="258"/>
      <c r="O1616" s="466"/>
    </row>
    <row r="1617" spans="1:15" ht="21.75" customHeight="1" x14ac:dyDescent="0.4">
      <c r="A1617" s="466"/>
      <c r="B1617" s="474"/>
      <c r="C1617" s="474"/>
      <c r="D1617" s="18"/>
      <c r="E1617" s="18"/>
      <c r="F1617" s="18"/>
      <c r="G1617" s="63"/>
      <c r="H1617" s="399"/>
      <c r="I1617" s="353"/>
      <c r="J1617" s="350">
        <f t="shared" si="1115"/>
        <v>0</v>
      </c>
      <c r="K1617" s="18">
        <v>0</v>
      </c>
      <c r="L1617" s="350">
        <f t="shared" si="1116"/>
        <v>0</v>
      </c>
      <c r="M1617" s="356">
        <f t="shared" si="1117"/>
        <v>0</v>
      </c>
      <c r="N1617" s="258"/>
      <c r="O1617" s="466"/>
    </row>
    <row r="1618" spans="1:15" ht="21.75" customHeight="1" x14ac:dyDescent="0.4">
      <c r="A1618" s="466"/>
      <c r="B1618" s="474"/>
      <c r="C1618" s="474"/>
      <c r="D1618" s="18"/>
      <c r="E1618" s="18"/>
      <c r="F1618" s="18"/>
      <c r="G1618" s="63"/>
      <c r="H1618" s="399"/>
      <c r="I1618" s="353"/>
      <c r="J1618" s="350">
        <f t="shared" si="1115"/>
        <v>0</v>
      </c>
      <c r="K1618" s="18">
        <v>0</v>
      </c>
      <c r="L1618" s="350">
        <f t="shared" si="1116"/>
        <v>0</v>
      </c>
      <c r="M1618" s="356">
        <f t="shared" si="1117"/>
        <v>0</v>
      </c>
      <c r="N1618" s="258"/>
      <c r="O1618" s="466"/>
    </row>
    <row r="1619" spans="1:15" ht="21.75" customHeight="1" x14ac:dyDescent="0.4">
      <c r="A1619" s="466"/>
      <c r="B1619" s="474"/>
      <c r="C1619" s="474"/>
      <c r="D1619" s="18"/>
      <c r="E1619" s="18"/>
      <c r="F1619" s="18"/>
      <c r="G1619" s="63"/>
      <c r="H1619" s="399"/>
      <c r="I1619" s="353"/>
      <c r="J1619" s="350">
        <f t="shared" si="1115"/>
        <v>0</v>
      </c>
      <c r="K1619" s="18">
        <v>0</v>
      </c>
      <c r="L1619" s="350">
        <f t="shared" si="1116"/>
        <v>0</v>
      </c>
      <c r="M1619" s="356">
        <f t="shared" si="1117"/>
        <v>0</v>
      </c>
      <c r="N1619" s="258"/>
      <c r="O1619" s="466"/>
    </row>
    <row r="1620" spans="1:15" ht="21.75" customHeight="1" x14ac:dyDescent="0.4">
      <c r="A1620" s="466"/>
      <c r="B1620" s="474"/>
      <c r="C1620" s="474"/>
      <c r="D1620" s="18"/>
      <c r="E1620" s="18"/>
      <c r="F1620" s="18"/>
      <c r="G1620" s="63"/>
      <c r="H1620" s="399"/>
      <c r="I1620" s="353"/>
      <c r="J1620" s="350">
        <f t="shared" si="1115"/>
        <v>0</v>
      </c>
      <c r="K1620" s="18">
        <v>0</v>
      </c>
      <c r="L1620" s="350">
        <f t="shared" si="1116"/>
        <v>0</v>
      </c>
      <c r="M1620" s="356">
        <f t="shared" si="1117"/>
        <v>0</v>
      </c>
      <c r="N1620" s="258"/>
      <c r="O1620" s="466"/>
    </row>
    <row r="1621" spans="1:15" ht="21.75" customHeight="1" x14ac:dyDescent="0.4">
      <c r="A1621" s="466"/>
      <c r="B1621" s="474"/>
      <c r="C1621" s="474"/>
      <c r="D1621" s="18"/>
      <c r="E1621" s="18"/>
      <c r="F1621" s="18"/>
      <c r="G1621" s="63"/>
      <c r="H1621" s="399"/>
      <c r="I1621" s="353"/>
      <c r="J1621" s="350">
        <f t="shared" si="1115"/>
        <v>0</v>
      </c>
      <c r="K1621" s="18">
        <v>0</v>
      </c>
      <c r="L1621" s="350">
        <f t="shared" si="1116"/>
        <v>0</v>
      </c>
      <c r="M1621" s="356">
        <f t="shared" si="1117"/>
        <v>0</v>
      </c>
      <c r="N1621" s="258"/>
      <c r="O1621" s="466"/>
    </row>
    <row r="1622" spans="1:15" ht="21.75" customHeight="1" x14ac:dyDescent="0.4">
      <c r="A1622" s="466"/>
      <c r="B1622" s="474"/>
      <c r="C1622" s="474"/>
      <c r="D1622" s="18"/>
      <c r="E1622" s="18"/>
      <c r="F1622" s="18"/>
      <c r="G1622" s="63"/>
      <c r="H1622" s="399"/>
      <c r="I1622" s="353"/>
      <c r="J1622" s="350">
        <f t="shared" si="1115"/>
        <v>0</v>
      </c>
      <c r="K1622" s="18">
        <v>0</v>
      </c>
      <c r="L1622" s="350">
        <f t="shared" si="1116"/>
        <v>0</v>
      </c>
      <c r="M1622" s="356">
        <f t="shared" si="1117"/>
        <v>0</v>
      </c>
      <c r="N1622" s="258"/>
      <c r="O1622" s="466"/>
    </row>
    <row r="1623" spans="1:15" ht="21.75" customHeight="1" x14ac:dyDescent="0.4">
      <c r="A1623" s="466"/>
      <c r="B1623" s="474"/>
      <c r="C1623" s="474"/>
      <c r="D1623" s="18"/>
      <c r="E1623" s="18"/>
      <c r="F1623" s="18"/>
      <c r="G1623" s="63"/>
      <c r="H1623" s="399"/>
      <c r="I1623" s="353"/>
      <c r="J1623" s="350">
        <f t="shared" si="1115"/>
        <v>0</v>
      </c>
      <c r="K1623" s="18">
        <v>0</v>
      </c>
      <c r="L1623" s="350">
        <f t="shared" si="1116"/>
        <v>0</v>
      </c>
      <c r="M1623" s="356">
        <f t="shared" si="1117"/>
        <v>0</v>
      </c>
      <c r="N1623" s="258"/>
      <c r="O1623" s="466"/>
    </row>
    <row r="1624" spans="1:15" ht="21.75" customHeight="1" x14ac:dyDescent="0.4">
      <c r="A1624" s="466"/>
      <c r="B1624" s="474"/>
      <c r="C1624" s="474"/>
      <c r="D1624" s="18"/>
      <c r="E1624" s="18"/>
      <c r="F1624" s="18"/>
      <c r="G1624" s="63"/>
      <c r="H1624" s="399"/>
      <c r="I1624" s="353"/>
      <c r="J1624" s="350">
        <f t="shared" si="1115"/>
        <v>0</v>
      </c>
      <c r="K1624" s="18">
        <v>0</v>
      </c>
      <c r="L1624" s="350">
        <f t="shared" si="1116"/>
        <v>0</v>
      </c>
      <c r="M1624" s="356">
        <f t="shared" si="1117"/>
        <v>0</v>
      </c>
      <c r="N1624" s="258"/>
      <c r="O1624" s="466"/>
    </row>
    <row r="1625" spans="1:15" ht="21.75" customHeight="1" x14ac:dyDescent="0.4">
      <c r="A1625" s="466"/>
      <c r="B1625" s="474"/>
      <c r="C1625" s="474"/>
      <c r="D1625" s="18"/>
      <c r="E1625" s="18"/>
      <c r="F1625" s="18"/>
      <c r="G1625" s="63"/>
      <c r="H1625" s="399"/>
      <c r="I1625" s="353"/>
      <c r="J1625" s="350">
        <f t="shared" si="1115"/>
        <v>0</v>
      </c>
      <c r="K1625" s="18">
        <v>0</v>
      </c>
      <c r="L1625" s="350">
        <f t="shared" si="1116"/>
        <v>0</v>
      </c>
      <c r="M1625" s="356">
        <f t="shared" si="1117"/>
        <v>0</v>
      </c>
      <c r="N1625" s="258"/>
      <c r="O1625" s="466"/>
    </row>
    <row r="1626" spans="1:15" ht="21.75" customHeight="1" x14ac:dyDescent="0.4">
      <c r="A1626" s="466"/>
      <c r="B1626" s="474"/>
      <c r="C1626" s="474"/>
      <c r="D1626" s="18"/>
      <c r="E1626" s="18"/>
      <c r="F1626" s="18"/>
      <c r="G1626" s="63"/>
      <c r="H1626" s="399"/>
      <c r="I1626" s="353"/>
      <c r="J1626" s="350">
        <f t="shared" si="1115"/>
        <v>0</v>
      </c>
      <c r="K1626" s="18">
        <v>0</v>
      </c>
      <c r="L1626" s="350">
        <f t="shared" si="1116"/>
        <v>0</v>
      </c>
      <c r="M1626" s="356">
        <f t="shared" si="1117"/>
        <v>0</v>
      </c>
      <c r="N1626" s="258"/>
      <c r="O1626" s="466"/>
    </row>
    <row r="1627" spans="1:15" ht="21.75" customHeight="1" x14ac:dyDescent="0.4">
      <c r="A1627" s="466"/>
      <c r="B1627" s="474"/>
      <c r="C1627" s="474"/>
      <c r="D1627" s="18"/>
      <c r="E1627" s="18"/>
      <c r="F1627" s="18"/>
      <c r="G1627" s="63"/>
      <c r="H1627" s="399"/>
      <c r="I1627" s="353"/>
      <c r="J1627" s="350">
        <f t="shared" si="1115"/>
        <v>0</v>
      </c>
      <c r="K1627" s="18">
        <v>0</v>
      </c>
      <c r="L1627" s="350">
        <f t="shared" si="1116"/>
        <v>0</v>
      </c>
      <c r="M1627" s="356">
        <f t="shared" si="1117"/>
        <v>0</v>
      </c>
      <c r="N1627" s="258"/>
      <c r="O1627" s="466"/>
    </row>
    <row r="1628" spans="1:15" ht="21.75" customHeight="1" x14ac:dyDescent="0.4">
      <c r="A1628" s="466"/>
      <c r="B1628" s="474"/>
      <c r="C1628" s="474"/>
      <c r="D1628" s="18"/>
      <c r="E1628" s="18"/>
      <c r="F1628" s="18"/>
      <c r="G1628" s="63"/>
      <c r="H1628" s="399"/>
      <c r="I1628" s="353"/>
      <c r="J1628" s="350">
        <f t="shared" si="1115"/>
        <v>0</v>
      </c>
      <c r="K1628" s="18">
        <v>0</v>
      </c>
      <c r="L1628" s="350">
        <f t="shared" si="1116"/>
        <v>0</v>
      </c>
      <c r="M1628" s="356">
        <f t="shared" si="1117"/>
        <v>0</v>
      </c>
      <c r="N1628" s="258"/>
      <c r="O1628" s="466"/>
    </row>
    <row r="1629" spans="1:15" ht="21.75" customHeight="1" x14ac:dyDescent="0.4">
      <c r="A1629" s="466"/>
      <c r="B1629" s="474"/>
      <c r="C1629" s="474"/>
      <c r="D1629" s="18"/>
      <c r="E1629" s="18"/>
      <c r="F1629" s="18"/>
      <c r="G1629" s="63"/>
      <c r="H1629" s="399"/>
      <c r="I1629" s="353"/>
      <c r="J1629" s="350">
        <f t="shared" si="1115"/>
        <v>0</v>
      </c>
      <c r="K1629" s="18">
        <v>0</v>
      </c>
      <c r="L1629" s="350">
        <f t="shared" si="1116"/>
        <v>0</v>
      </c>
      <c r="M1629" s="356">
        <f t="shared" si="1117"/>
        <v>0</v>
      </c>
      <c r="N1629" s="258"/>
      <c r="O1629" s="466"/>
    </row>
    <row r="1630" spans="1:15" ht="21.75" customHeight="1" x14ac:dyDescent="0.4">
      <c r="A1630" s="466"/>
      <c r="B1630" s="474"/>
      <c r="C1630" s="474"/>
      <c r="D1630" s="18"/>
      <c r="E1630" s="18"/>
      <c r="F1630" s="18"/>
      <c r="G1630" s="63"/>
      <c r="H1630" s="399"/>
      <c r="I1630" s="353"/>
      <c r="J1630" s="350">
        <f t="shared" si="1115"/>
        <v>0</v>
      </c>
      <c r="K1630" s="18">
        <v>0</v>
      </c>
      <c r="L1630" s="350">
        <f t="shared" si="1116"/>
        <v>0</v>
      </c>
      <c r="M1630" s="356">
        <f t="shared" si="1117"/>
        <v>0</v>
      </c>
      <c r="N1630" s="258"/>
      <c r="O1630" s="466"/>
    </row>
    <row r="1631" spans="1:15" ht="21.75" customHeight="1" x14ac:dyDescent="0.4">
      <c r="A1631" s="466"/>
      <c r="B1631" s="474"/>
      <c r="C1631" s="474"/>
      <c r="D1631" s="18"/>
      <c r="E1631" s="18"/>
      <c r="F1631" s="18"/>
      <c r="G1631" s="63"/>
      <c r="H1631" s="399"/>
      <c r="I1631" s="353"/>
      <c r="J1631" s="350">
        <f t="shared" si="1115"/>
        <v>0</v>
      </c>
      <c r="K1631" s="18">
        <v>0</v>
      </c>
      <c r="L1631" s="350">
        <f t="shared" si="1116"/>
        <v>0</v>
      </c>
      <c r="M1631" s="356">
        <f t="shared" si="1117"/>
        <v>0</v>
      </c>
      <c r="N1631" s="258"/>
      <c r="O1631" s="466"/>
    </row>
    <row r="1632" spans="1:15" ht="21.75" customHeight="1" x14ac:dyDescent="0.4">
      <c r="A1632" s="466"/>
      <c r="B1632" s="474"/>
      <c r="C1632" s="474"/>
      <c r="D1632" s="18"/>
      <c r="E1632" s="18"/>
      <c r="F1632" s="18"/>
      <c r="G1632" s="63"/>
      <c r="H1632" s="399"/>
      <c r="I1632" s="353"/>
      <c r="J1632" s="350">
        <f t="shared" si="1115"/>
        <v>0</v>
      </c>
      <c r="K1632" s="18">
        <v>0</v>
      </c>
      <c r="L1632" s="350">
        <f t="shared" si="1116"/>
        <v>0</v>
      </c>
      <c r="M1632" s="356">
        <f t="shared" si="1117"/>
        <v>0</v>
      </c>
      <c r="N1632" s="258"/>
      <c r="O1632" s="466"/>
    </row>
    <row r="1633" spans="1:15" ht="21.75" customHeight="1" x14ac:dyDescent="0.4">
      <c r="A1633" s="466"/>
      <c r="B1633" s="474"/>
      <c r="C1633" s="474"/>
      <c r="D1633" s="18"/>
      <c r="E1633" s="18"/>
      <c r="F1633" s="18"/>
      <c r="G1633" s="63"/>
      <c r="H1633" s="399"/>
      <c r="I1633" s="353"/>
      <c r="J1633" s="350">
        <f t="shared" si="1115"/>
        <v>0</v>
      </c>
      <c r="K1633" s="18">
        <v>0</v>
      </c>
      <c r="L1633" s="350">
        <f t="shared" si="1116"/>
        <v>0</v>
      </c>
      <c r="M1633" s="356">
        <f t="shared" si="1117"/>
        <v>0</v>
      </c>
      <c r="N1633" s="258"/>
      <c r="O1633" s="466"/>
    </row>
    <row r="1634" spans="1:15" ht="21.75" customHeight="1" x14ac:dyDescent="0.4">
      <c r="A1634" s="466"/>
      <c r="B1634" s="474"/>
      <c r="C1634" s="474"/>
      <c r="D1634" s="18"/>
      <c r="E1634" s="18"/>
      <c r="F1634" s="18"/>
      <c r="G1634" s="63"/>
      <c r="H1634" s="399"/>
      <c r="I1634" s="353"/>
      <c r="J1634" s="350">
        <f t="shared" si="1115"/>
        <v>0</v>
      </c>
      <c r="K1634" s="18">
        <v>0</v>
      </c>
      <c r="L1634" s="350">
        <f t="shared" si="1116"/>
        <v>0</v>
      </c>
      <c r="M1634" s="356">
        <f t="shared" si="1117"/>
        <v>0</v>
      </c>
      <c r="N1634" s="258"/>
      <c r="O1634" s="466"/>
    </row>
    <row r="1635" spans="1:15" ht="21.75" customHeight="1" x14ac:dyDescent="0.4">
      <c r="A1635" s="466"/>
      <c r="B1635" s="474"/>
      <c r="C1635" s="474"/>
      <c r="D1635" s="18"/>
      <c r="E1635" s="18"/>
      <c r="F1635" s="18"/>
      <c r="G1635" s="63"/>
      <c r="H1635" s="399"/>
      <c r="I1635" s="353"/>
      <c r="J1635" s="350">
        <f t="shared" si="1115"/>
        <v>0</v>
      </c>
      <c r="K1635" s="18">
        <v>0</v>
      </c>
      <c r="L1635" s="350">
        <f t="shared" si="1116"/>
        <v>0</v>
      </c>
      <c r="M1635" s="356">
        <f t="shared" si="1117"/>
        <v>0</v>
      </c>
      <c r="N1635" s="258"/>
      <c r="O1635" s="466"/>
    </row>
    <row r="1636" spans="1:15" ht="21.75" customHeight="1" x14ac:dyDescent="0.4">
      <c r="A1636" s="466"/>
      <c r="B1636" s="474"/>
      <c r="C1636" s="474"/>
      <c r="D1636" s="18"/>
      <c r="E1636" s="18"/>
      <c r="F1636" s="18"/>
      <c r="G1636" s="63"/>
      <c r="H1636" s="399"/>
      <c r="I1636" s="353"/>
      <c r="J1636" s="350">
        <f t="shared" si="1115"/>
        <v>0</v>
      </c>
      <c r="K1636" s="18">
        <v>0</v>
      </c>
      <c r="L1636" s="350">
        <f t="shared" si="1116"/>
        <v>0</v>
      </c>
      <c r="M1636" s="356">
        <f t="shared" si="1117"/>
        <v>0</v>
      </c>
      <c r="N1636" s="258"/>
      <c r="O1636" s="466"/>
    </row>
    <row r="1637" spans="1:15" ht="21.75" customHeight="1" x14ac:dyDescent="0.4">
      <c r="A1637" s="466"/>
      <c r="B1637" s="474"/>
      <c r="C1637" s="474"/>
      <c r="D1637" s="18"/>
      <c r="E1637" s="18"/>
      <c r="F1637" s="18"/>
      <c r="G1637" s="63"/>
      <c r="H1637" s="399"/>
      <c r="I1637" s="353"/>
      <c r="J1637" s="350">
        <f t="shared" si="1115"/>
        <v>0</v>
      </c>
      <c r="K1637" s="18">
        <v>0</v>
      </c>
      <c r="L1637" s="350">
        <f t="shared" si="1116"/>
        <v>0</v>
      </c>
      <c r="M1637" s="356">
        <f t="shared" si="1117"/>
        <v>0</v>
      </c>
      <c r="N1637" s="258"/>
      <c r="O1637" s="466"/>
    </row>
    <row r="1638" spans="1:15" ht="21.75" customHeight="1" x14ac:dyDescent="0.4">
      <c r="A1638" s="466"/>
      <c r="B1638" s="474"/>
      <c r="C1638" s="474"/>
      <c r="D1638" s="18"/>
      <c r="E1638" s="18"/>
      <c r="F1638" s="18"/>
      <c r="G1638" s="63"/>
      <c r="H1638" s="399"/>
      <c r="I1638" s="353"/>
      <c r="J1638" s="350">
        <f t="shared" ref="J1638:J1701" si="1118">SUM(H1638:I1638)</f>
        <v>0</v>
      </c>
      <c r="K1638" s="18">
        <v>0</v>
      </c>
      <c r="L1638" s="350">
        <f t="shared" ref="L1638:L1701" si="1119">SUM(J1638*K1638)</f>
        <v>0</v>
      </c>
      <c r="M1638" s="356">
        <f t="shared" ref="M1638:M1701" si="1120">ROUNDDOWN(L1638*1.1,0)</f>
        <v>0</v>
      </c>
      <c r="N1638" s="258"/>
      <c r="O1638" s="466"/>
    </row>
    <row r="1639" spans="1:15" ht="21.75" customHeight="1" x14ac:dyDescent="0.4">
      <c r="A1639" s="466"/>
      <c r="B1639" s="474"/>
      <c r="C1639" s="474"/>
      <c r="D1639" s="18"/>
      <c r="E1639" s="18"/>
      <c r="F1639" s="18"/>
      <c r="G1639" s="63"/>
      <c r="H1639" s="399"/>
      <c r="I1639" s="353"/>
      <c r="J1639" s="350">
        <f t="shared" si="1118"/>
        <v>0</v>
      </c>
      <c r="K1639" s="18">
        <v>0</v>
      </c>
      <c r="L1639" s="350">
        <f t="shared" si="1119"/>
        <v>0</v>
      </c>
      <c r="M1639" s="356">
        <f t="shared" si="1120"/>
        <v>0</v>
      </c>
      <c r="N1639" s="258"/>
      <c r="O1639" s="466"/>
    </row>
    <row r="1640" spans="1:15" ht="21.75" customHeight="1" x14ac:dyDescent="0.4">
      <c r="A1640" s="466"/>
      <c r="B1640" s="474"/>
      <c r="C1640" s="474"/>
      <c r="D1640" s="18"/>
      <c r="E1640" s="18"/>
      <c r="F1640" s="18"/>
      <c r="G1640" s="63"/>
      <c r="H1640" s="399"/>
      <c r="I1640" s="353"/>
      <c r="J1640" s="350">
        <f t="shared" si="1118"/>
        <v>0</v>
      </c>
      <c r="K1640" s="18">
        <v>0</v>
      </c>
      <c r="L1640" s="350">
        <f t="shared" si="1119"/>
        <v>0</v>
      </c>
      <c r="M1640" s="356">
        <f t="shared" si="1120"/>
        <v>0</v>
      </c>
      <c r="N1640" s="258"/>
      <c r="O1640" s="466"/>
    </row>
    <row r="1641" spans="1:15" ht="21.75" customHeight="1" x14ac:dyDescent="0.4">
      <c r="A1641" s="466"/>
      <c r="B1641" s="474"/>
      <c r="C1641" s="474"/>
      <c r="D1641" s="18"/>
      <c r="E1641" s="18"/>
      <c r="F1641" s="18"/>
      <c r="G1641" s="63"/>
      <c r="H1641" s="399"/>
      <c r="I1641" s="353"/>
      <c r="J1641" s="350">
        <f t="shared" si="1118"/>
        <v>0</v>
      </c>
      <c r="K1641" s="18">
        <v>0</v>
      </c>
      <c r="L1641" s="350">
        <f t="shared" si="1119"/>
        <v>0</v>
      </c>
      <c r="M1641" s="356">
        <f t="shared" si="1120"/>
        <v>0</v>
      </c>
      <c r="N1641" s="258"/>
      <c r="O1641" s="466"/>
    </row>
    <row r="1642" spans="1:15" ht="21.75" customHeight="1" x14ac:dyDescent="0.4">
      <c r="A1642" s="466"/>
      <c r="B1642" s="474"/>
      <c r="C1642" s="474"/>
      <c r="D1642" s="18"/>
      <c r="E1642" s="18"/>
      <c r="F1642" s="18"/>
      <c r="G1642" s="63"/>
      <c r="H1642" s="399"/>
      <c r="I1642" s="353"/>
      <c r="J1642" s="350">
        <f t="shared" si="1118"/>
        <v>0</v>
      </c>
      <c r="K1642" s="18">
        <v>0</v>
      </c>
      <c r="L1642" s="350">
        <f t="shared" si="1119"/>
        <v>0</v>
      </c>
      <c r="M1642" s="356">
        <f t="shared" si="1120"/>
        <v>0</v>
      </c>
      <c r="N1642" s="258"/>
      <c r="O1642" s="466"/>
    </row>
    <row r="1643" spans="1:15" ht="21.75" customHeight="1" x14ac:dyDescent="0.4">
      <c r="A1643" s="466"/>
      <c r="B1643" s="474"/>
      <c r="C1643" s="474"/>
      <c r="D1643" s="18"/>
      <c r="E1643" s="18"/>
      <c r="F1643" s="18"/>
      <c r="G1643" s="63"/>
      <c r="H1643" s="399"/>
      <c r="I1643" s="353"/>
      <c r="J1643" s="350">
        <f t="shared" si="1118"/>
        <v>0</v>
      </c>
      <c r="K1643" s="18">
        <v>0</v>
      </c>
      <c r="L1643" s="350">
        <f t="shared" si="1119"/>
        <v>0</v>
      </c>
      <c r="M1643" s="356">
        <f t="shared" si="1120"/>
        <v>0</v>
      </c>
      <c r="N1643" s="258"/>
      <c r="O1643" s="466"/>
    </row>
    <row r="1644" spans="1:15" ht="21.75" customHeight="1" x14ac:dyDescent="0.4">
      <c r="A1644" s="466"/>
      <c r="B1644" s="474"/>
      <c r="C1644" s="474"/>
      <c r="D1644" s="18"/>
      <c r="E1644" s="18"/>
      <c r="F1644" s="18"/>
      <c r="G1644" s="63"/>
      <c r="H1644" s="399"/>
      <c r="I1644" s="353"/>
      <c r="J1644" s="350">
        <f t="shared" si="1118"/>
        <v>0</v>
      </c>
      <c r="K1644" s="18">
        <v>0</v>
      </c>
      <c r="L1644" s="350">
        <f t="shared" si="1119"/>
        <v>0</v>
      </c>
      <c r="M1644" s="356">
        <f t="shared" si="1120"/>
        <v>0</v>
      </c>
      <c r="N1644" s="258"/>
      <c r="O1644" s="466"/>
    </row>
    <row r="1645" spans="1:15" ht="21.75" customHeight="1" x14ac:dyDescent="0.4">
      <c r="A1645" s="466"/>
      <c r="B1645" s="474"/>
      <c r="C1645" s="474"/>
      <c r="D1645" s="18"/>
      <c r="E1645" s="18"/>
      <c r="F1645" s="18"/>
      <c r="G1645" s="63"/>
      <c r="H1645" s="399"/>
      <c r="I1645" s="353"/>
      <c r="J1645" s="350">
        <f t="shared" si="1118"/>
        <v>0</v>
      </c>
      <c r="K1645" s="18">
        <v>0</v>
      </c>
      <c r="L1645" s="350">
        <f t="shared" si="1119"/>
        <v>0</v>
      </c>
      <c r="M1645" s="356">
        <f t="shared" si="1120"/>
        <v>0</v>
      </c>
      <c r="N1645" s="258"/>
      <c r="O1645" s="466"/>
    </row>
    <row r="1646" spans="1:15" ht="21.75" customHeight="1" x14ac:dyDescent="0.4">
      <c r="A1646" s="466"/>
      <c r="B1646" s="474"/>
      <c r="C1646" s="474"/>
      <c r="D1646" s="18"/>
      <c r="E1646" s="18"/>
      <c r="F1646" s="18"/>
      <c r="G1646" s="63"/>
      <c r="H1646" s="399"/>
      <c r="I1646" s="353"/>
      <c r="J1646" s="350">
        <f t="shared" si="1118"/>
        <v>0</v>
      </c>
      <c r="K1646" s="18">
        <v>0</v>
      </c>
      <c r="L1646" s="350">
        <f t="shared" si="1119"/>
        <v>0</v>
      </c>
      <c r="M1646" s="356">
        <f t="shared" si="1120"/>
        <v>0</v>
      </c>
      <c r="N1646" s="258"/>
      <c r="O1646" s="466"/>
    </row>
    <row r="1647" spans="1:15" ht="21.75" customHeight="1" x14ac:dyDescent="0.4">
      <c r="A1647" s="466"/>
      <c r="B1647" s="474"/>
      <c r="C1647" s="474"/>
      <c r="D1647" s="18"/>
      <c r="E1647" s="18"/>
      <c r="F1647" s="18"/>
      <c r="G1647" s="63"/>
      <c r="H1647" s="399"/>
      <c r="I1647" s="353"/>
      <c r="J1647" s="350">
        <f t="shared" si="1118"/>
        <v>0</v>
      </c>
      <c r="K1647" s="18">
        <v>0</v>
      </c>
      <c r="L1647" s="350">
        <f t="shared" si="1119"/>
        <v>0</v>
      </c>
      <c r="M1647" s="356">
        <f t="shared" si="1120"/>
        <v>0</v>
      </c>
      <c r="N1647" s="258"/>
      <c r="O1647" s="466"/>
    </row>
    <row r="1648" spans="1:15" ht="21.75" customHeight="1" x14ac:dyDescent="0.4">
      <c r="A1648" s="466"/>
      <c r="B1648" s="474"/>
      <c r="C1648" s="474"/>
      <c r="D1648" s="18"/>
      <c r="E1648" s="18"/>
      <c r="F1648" s="18"/>
      <c r="G1648" s="63"/>
      <c r="H1648" s="399"/>
      <c r="I1648" s="353"/>
      <c r="J1648" s="350">
        <f t="shared" si="1118"/>
        <v>0</v>
      </c>
      <c r="K1648" s="18">
        <v>0</v>
      </c>
      <c r="L1648" s="350">
        <f t="shared" si="1119"/>
        <v>0</v>
      </c>
      <c r="M1648" s="356">
        <f t="shared" si="1120"/>
        <v>0</v>
      </c>
      <c r="N1648" s="258"/>
      <c r="O1648" s="466"/>
    </row>
    <row r="1649" spans="1:15" ht="21.75" customHeight="1" x14ac:dyDescent="0.4">
      <c r="A1649" s="466"/>
      <c r="B1649" s="474"/>
      <c r="C1649" s="474"/>
      <c r="D1649" s="18"/>
      <c r="E1649" s="18"/>
      <c r="F1649" s="18"/>
      <c r="G1649" s="63"/>
      <c r="H1649" s="399"/>
      <c r="I1649" s="353"/>
      <c r="J1649" s="350">
        <f t="shared" si="1118"/>
        <v>0</v>
      </c>
      <c r="K1649" s="18">
        <v>0</v>
      </c>
      <c r="L1649" s="350">
        <f t="shared" si="1119"/>
        <v>0</v>
      </c>
      <c r="M1649" s="356">
        <f t="shared" si="1120"/>
        <v>0</v>
      </c>
      <c r="N1649" s="258"/>
      <c r="O1649" s="466"/>
    </row>
    <row r="1650" spans="1:15" ht="21.75" customHeight="1" x14ac:dyDescent="0.4">
      <c r="A1650" s="466"/>
      <c r="B1650" s="474"/>
      <c r="C1650" s="474"/>
      <c r="D1650" s="18"/>
      <c r="E1650" s="18"/>
      <c r="F1650" s="18"/>
      <c r="G1650" s="63"/>
      <c r="H1650" s="399"/>
      <c r="I1650" s="353"/>
      <c r="J1650" s="350">
        <f t="shared" si="1118"/>
        <v>0</v>
      </c>
      <c r="K1650" s="18">
        <v>0</v>
      </c>
      <c r="L1650" s="350">
        <f t="shared" si="1119"/>
        <v>0</v>
      </c>
      <c r="M1650" s="356">
        <f t="shared" si="1120"/>
        <v>0</v>
      </c>
      <c r="N1650" s="258"/>
      <c r="O1650" s="466"/>
    </row>
    <row r="1651" spans="1:15" ht="21.75" customHeight="1" x14ac:dyDescent="0.4">
      <c r="A1651" s="466"/>
      <c r="B1651" s="474"/>
      <c r="C1651" s="474"/>
      <c r="D1651" s="18"/>
      <c r="E1651" s="18"/>
      <c r="F1651" s="18"/>
      <c r="G1651" s="63"/>
      <c r="H1651" s="399"/>
      <c r="I1651" s="353"/>
      <c r="J1651" s="350">
        <f t="shared" si="1118"/>
        <v>0</v>
      </c>
      <c r="K1651" s="18">
        <v>0</v>
      </c>
      <c r="L1651" s="350">
        <f t="shared" si="1119"/>
        <v>0</v>
      </c>
      <c r="M1651" s="356">
        <f t="shared" si="1120"/>
        <v>0</v>
      </c>
      <c r="N1651" s="258"/>
      <c r="O1651" s="466"/>
    </row>
    <row r="1652" spans="1:15" ht="21.75" customHeight="1" x14ac:dyDescent="0.4">
      <c r="A1652" s="466"/>
      <c r="B1652" s="474"/>
      <c r="C1652" s="474"/>
      <c r="D1652" s="18"/>
      <c r="E1652" s="18"/>
      <c r="F1652" s="18"/>
      <c r="G1652" s="63"/>
      <c r="H1652" s="399"/>
      <c r="I1652" s="353"/>
      <c r="J1652" s="350">
        <f t="shared" si="1118"/>
        <v>0</v>
      </c>
      <c r="K1652" s="18">
        <v>0</v>
      </c>
      <c r="L1652" s="350">
        <f t="shared" si="1119"/>
        <v>0</v>
      </c>
      <c r="M1652" s="356">
        <f t="shared" si="1120"/>
        <v>0</v>
      </c>
      <c r="N1652" s="258"/>
      <c r="O1652" s="466"/>
    </row>
    <row r="1653" spans="1:15" ht="21.75" customHeight="1" x14ac:dyDescent="0.4">
      <c r="A1653" s="466"/>
      <c r="B1653" s="474"/>
      <c r="C1653" s="474"/>
      <c r="D1653" s="18"/>
      <c r="E1653" s="18"/>
      <c r="F1653" s="18"/>
      <c r="G1653" s="63"/>
      <c r="H1653" s="399"/>
      <c r="I1653" s="353"/>
      <c r="J1653" s="350">
        <f t="shared" si="1118"/>
        <v>0</v>
      </c>
      <c r="K1653" s="18">
        <v>0</v>
      </c>
      <c r="L1653" s="350">
        <f t="shared" si="1119"/>
        <v>0</v>
      </c>
      <c r="M1653" s="356">
        <f t="shared" si="1120"/>
        <v>0</v>
      </c>
      <c r="N1653" s="258"/>
      <c r="O1653" s="466"/>
    </row>
    <row r="1654" spans="1:15" ht="21.75" customHeight="1" x14ac:dyDescent="0.4">
      <c r="A1654" s="466"/>
      <c r="B1654" s="474"/>
      <c r="C1654" s="474"/>
      <c r="D1654" s="18"/>
      <c r="E1654" s="18"/>
      <c r="F1654" s="18"/>
      <c r="G1654" s="63"/>
      <c r="H1654" s="399"/>
      <c r="I1654" s="353"/>
      <c r="J1654" s="350">
        <f t="shared" si="1118"/>
        <v>0</v>
      </c>
      <c r="K1654" s="18">
        <v>0</v>
      </c>
      <c r="L1654" s="350">
        <f t="shared" si="1119"/>
        <v>0</v>
      </c>
      <c r="M1654" s="356">
        <f t="shared" si="1120"/>
        <v>0</v>
      </c>
      <c r="N1654" s="258"/>
      <c r="O1654" s="466"/>
    </row>
    <row r="1655" spans="1:15" ht="21.75" customHeight="1" x14ac:dyDescent="0.4">
      <c r="A1655" s="466"/>
      <c r="B1655" s="474"/>
      <c r="C1655" s="474"/>
      <c r="D1655" s="18"/>
      <c r="E1655" s="18"/>
      <c r="F1655" s="18"/>
      <c r="G1655" s="63"/>
      <c r="H1655" s="399"/>
      <c r="I1655" s="353"/>
      <c r="J1655" s="350">
        <f t="shared" si="1118"/>
        <v>0</v>
      </c>
      <c r="K1655" s="18">
        <v>0</v>
      </c>
      <c r="L1655" s="350">
        <f t="shared" si="1119"/>
        <v>0</v>
      </c>
      <c r="M1655" s="356">
        <f t="shared" si="1120"/>
        <v>0</v>
      </c>
      <c r="N1655" s="258"/>
      <c r="O1655" s="466"/>
    </row>
    <row r="1656" spans="1:15" ht="21.75" customHeight="1" x14ac:dyDescent="0.4">
      <c r="A1656" s="466"/>
      <c r="B1656" s="474"/>
      <c r="C1656" s="474"/>
      <c r="D1656" s="18"/>
      <c r="E1656" s="18"/>
      <c r="F1656" s="18"/>
      <c r="G1656" s="63"/>
      <c r="H1656" s="399"/>
      <c r="I1656" s="353"/>
      <c r="J1656" s="350">
        <f t="shared" si="1118"/>
        <v>0</v>
      </c>
      <c r="K1656" s="18">
        <v>0</v>
      </c>
      <c r="L1656" s="350">
        <f t="shared" si="1119"/>
        <v>0</v>
      </c>
      <c r="M1656" s="356">
        <f t="shared" si="1120"/>
        <v>0</v>
      </c>
      <c r="N1656" s="258"/>
      <c r="O1656" s="466"/>
    </row>
    <row r="1657" spans="1:15" ht="21.75" customHeight="1" x14ac:dyDescent="0.4">
      <c r="A1657" s="466"/>
      <c r="B1657" s="474"/>
      <c r="C1657" s="474"/>
      <c r="D1657" s="18"/>
      <c r="E1657" s="18"/>
      <c r="F1657" s="18"/>
      <c r="G1657" s="63"/>
      <c r="H1657" s="399"/>
      <c r="I1657" s="353"/>
      <c r="J1657" s="350">
        <f t="shared" si="1118"/>
        <v>0</v>
      </c>
      <c r="K1657" s="18">
        <v>0</v>
      </c>
      <c r="L1657" s="350">
        <f t="shared" si="1119"/>
        <v>0</v>
      </c>
      <c r="M1657" s="356">
        <f t="shared" si="1120"/>
        <v>0</v>
      </c>
      <c r="N1657" s="258"/>
      <c r="O1657" s="466"/>
    </row>
    <row r="1658" spans="1:15" ht="21.75" customHeight="1" x14ac:dyDescent="0.4">
      <c r="A1658" s="466"/>
      <c r="B1658" s="474"/>
      <c r="C1658" s="474"/>
      <c r="D1658" s="18"/>
      <c r="E1658" s="18"/>
      <c r="F1658" s="18"/>
      <c r="G1658" s="63"/>
      <c r="H1658" s="399"/>
      <c r="I1658" s="353"/>
      <c r="J1658" s="350">
        <f t="shared" si="1118"/>
        <v>0</v>
      </c>
      <c r="K1658" s="18">
        <v>0</v>
      </c>
      <c r="L1658" s="350">
        <f t="shared" si="1119"/>
        <v>0</v>
      </c>
      <c r="M1658" s="356">
        <f t="shared" si="1120"/>
        <v>0</v>
      </c>
      <c r="N1658" s="258"/>
      <c r="O1658" s="466"/>
    </row>
    <row r="1659" spans="1:15" ht="21.75" customHeight="1" x14ac:dyDescent="0.4">
      <c r="A1659" s="466"/>
      <c r="B1659" s="474"/>
      <c r="C1659" s="474"/>
      <c r="D1659" s="18"/>
      <c r="E1659" s="18"/>
      <c r="F1659" s="18"/>
      <c r="G1659" s="63"/>
      <c r="H1659" s="399"/>
      <c r="I1659" s="353"/>
      <c r="J1659" s="350">
        <f t="shared" si="1118"/>
        <v>0</v>
      </c>
      <c r="K1659" s="18">
        <v>0</v>
      </c>
      <c r="L1659" s="350">
        <f t="shared" si="1119"/>
        <v>0</v>
      </c>
      <c r="M1659" s="356">
        <f t="shared" si="1120"/>
        <v>0</v>
      </c>
      <c r="N1659" s="258"/>
      <c r="O1659" s="466"/>
    </row>
    <row r="1660" spans="1:15" ht="21.75" customHeight="1" x14ac:dyDescent="0.4">
      <c r="A1660" s="466"/>
      <c r="B1660" s="474"/>
      <c r="C1660" s="474"/>
      <c r="D1660" s="18"/>
      <c r="E1660" s="18"/>
      <c r="F1660" s="18"/>
      <c r="G1660" s="63"/>
      <c r="H1660" s="399"/>
      <c r="I1660" s="353"/>
      <c r="J1660" s="350">
        <f t="shared" si="1118"/>
        <v>0</v>
      </c>
      <c r="K1660" s="18">
        <v>0</v>
      </c>
      <c r="L1660" s="350">
        <f t="shared" si="1119"/>
        <v>0</v>
      </c>
      <c r="M1660" s="356">
        <f t="shared" si="1120"/>
        <v>0</v>
      </c>
      <c r="N1660" s="258"/>
      <c r="O1660" s="466"/>
    </row>
    <row r="1661" spans="1:15" ht="21.75" customHeight="1" x14ac:dyDescent="0.4">
      <c r="A1661" s="466"/>
      <c r="B1661" s="474"/>
      <c r="C1661" s="474"/>
      <c r="D1661" s="18"/>
      <c r="E1661" s="18"/>
      <c r="F1661" s="18"/>
      <c r="G1661" s="63"/>
      <c r="H1661" s="399"/>
      <c r="I1661" s="353"/>
      <c r="J1661" s="350">
        <f t="shared" si="1118"/>
        <v>0</v>
      </c>
      <c r="K1661" s="18">
        <v>0</v>
      </c>
      <c r="L1661" s="350">
        <f t="shared" si="1119"/>
        <v>0</v>
      </c>
      <c r="M1661" s="356">
        <f t="shared" si="1120"/>
        <v>0</v>
      </c>
      <c r="N1661" s="258"/>
      <c r="O1661" s="466"/>
    </row>
    <row r="1662" spans="1:15" ht="21.75" customHeight="1" x14ac:dyDescent="0.4">
      <c r="A1662" s="466"/>
      <c r="B1662" s="474"/>
      <c r="C1662" s="474"/>
      <c r="D1662" s="18"/>
      <c r="E1662" s="18"/>
      <c r="F1662" s="18"/>
      <c r="G1662" s="63"/>
      <c r="H1662" s="399"/>
      <c r="I1662" s="353"/>
      <c r="J1662" s="350">
        <f t="shared" si="1118"/>
        <v>0</v>
      </c>
      <c r="K1662" s="18">
        <v>0</v>
      </c>
      <c r="L1662" s="350">
        <f t="shared" si="1119"/>
        <v>0</v>
      </c>
      <c r="M1662" s="356">
        <f t="shared" si="1120"/>
        <v>0</v>
      </c>
      <c r="N1662" s="258"/>
      <c r="O1662" s="466"/>
    </row>
    <row r="1663" spans="1:15" ht="21.75" customHeight="1" x14ac:dyDescent="0.4">
      <c r="A1663" s="466"/>
      <c r="B1663" s="474"/>
      <c r="C1663" s="474"/>
      <c r="D1663" s="18"/>
      <c r="E1663" s="18"/>
      <c r="F1663" s="18"/>
      <c r="G1663" s="63"/>
      <c r="H1663" s="399"/>
      <c r="I1663" s="353"/>
      <c r="J1663" s="350">
        <f t="shared" si="1118"/>
        <v>0</v>
      </c>
      <c r="K1663" s="18">
        <v>0</v>
      </c>
      <c r="L1663" s="350">
        <f t="shared" si="1119"/>
        <v>0</v>
      </c>
      <c r="M1663" s="356">
        <f t="shared" si="1120"/>
        <v>0</v>
      </c>
      <c r="N1663" s="258"/>
      <c r="O1663" s="466"/>
    </row>
    <row r="1664" spans="1:15" ht="21.75" customHeight="1" x14ac:dyDescent="0.4">
      <c r="A1664" s="466"/>
      <c r="B1664" s="474"/>
      <c r="C1664" s="474"/>
      <c r="D1664" s="18"/>
      <c r="E1664" s="18"/>
      <c r="F1664" s="18"/>
      <c r="G1664" s="63"/>
      <c r="H1664" s="399"/>
      <c r="I1664" s="353"/>
      <c r="J1664" s="350">
        <f t="shared" si="1118"/>
        <v>0</v>
      </c>
      <c r="K1664" s="18">
        <v>0</v>
      </c>
      <c r="L1664" s="350">
        <f t="shared" si="1119"/>
        <v>0</v>
      </c>
      <c r="M1664" s="356">
        <f t="shared" si="1120"/>
        <v>0</v>
      </c>
      <c r="N1664" s="258"/>
      <c r="O1664" s="466"/>
    </row>
    <row r="1665" spans="1:15" ht="21.75" customHeight="1" x14ac:dyDescent="0.4">
      <c r="A1665" s="466"/>
      <c r="B1665" s="474"/>
      <c r="C1665" s="474"/>
      <c r="D1665" s="18"/>
      <c r="E1665" s="18"/>
      <c r="F1665" s="18"/>
      <c r="G1665" s="63"/>
      <c r="H1665" s="399"/>
      <c r="I1665" s="353"/>
      <c r="J1665" s="350">
        <f t="shared" si="1118"/>
        <v>0</v>
      </c>
      <c r="K1665" s="18">
        <v>0</v>
      </c>
      <c r="L1665" s="350">
        <f t="shared" si="1119"/>
        <v>0</v>
      </c>
      <c r="M1665" s="356">
        <f t="shared" si="1120"/>
        <v>0</v>
      </c>
      <c r="N1665" s="258"/>
      <c r="O1665" s="466"/>
    </row>
    <row r="1666" spans="1:15" ht="21.75" customHeight="1" x14ac:dyDescent="0.4">
      <c r="A1666" s="466"/>
      <c r="B1666" s="474"/>
      <c r="C1666" s="474"/>
      <c r="D1666" s="18"/>
      <c r="E1666" s="18"/>
      <c r="F1666" s="18"/>
      <c r="G1666" s="63"/>
      <c r="H1666" s="399"/>
      <c r="I1666" s="353"/>
      <c r="J1666" s="350">
        <f t="shared" si="1118"/>
        <v>0</v>
      </c>
      <c r="K1666" s="18">
        <v>0</v>
      </c>
      <c r="L1666" s="350">
        <f t="shared" si="1119"/>
        <v>0</v>
      </c>
      <c r="M1666" s="356">
        <f t="shared" si="1120"/>
        <v>0</v>
      </c>
      <c r="N1666" s="258"/>
      <c r="O1666" s="466"/>
    </row>
    <row r="1667" spans="1:15" ht="21.75" customHeight="1" x14ac:dyDescent="0.4">
      <c r="A1667" s="466"/>
      <c r="B1667" s="474"/>
      <c r="C1667" s="474"/>
      <c r="D1667" s="18"/>
      <c r="E1667" s="18"/>
      <c r="F1667" s="18"/>
      <c r="G1667" s="63"/>
      <c r="H1667" s="399"/>
      <c r="I1667" s="353"/>
      <c r="J1667" s="350">
        <f t="shared" si="1118"/>
        <v>0</v>
      </c>
      <c r="K1667" s="18">
        <v>0</v>
      </c>
      <c r="L1667" s="350">
        <f t="shared" si="1119"/>
        <v>0</v>
      </c>
      <c r="M1667" s="356">
        <f t="shared" si="1120"/>
        <v>0</v>
      </c>
      <c r="N1667" s="258"/>
      <c r="O1667" s="466"/>
    </row>
    <row r="1668" spans="1:15" ht="21.75" customHeight="1" x14ac:dyDescent="0.4">
      <c r="A1668" s="466"/>
      <c r="B1668" s="474"/>
      <c r="C1668" s="474"/>
      <c r="D1668" s="18"/>
      <c r="E1668" s="18"/>
      <c r="F1668" s="18"/>
      <c r="G1668" s="63"/>
      <c r="H1668" s="399"/>
      <c r="I1668" s="353"/>
      <c r="J1668" s="350">
        <f t="shared" si="1118"/>
        <v>0</v>
      </c>
      <c r="K1668" s="18">
        <v>0</v>
      </c>
      <c r="L1668" s="350">
        <f t="shared" si="1119"/>
        <v>0</v>
      </c>
      <c r="M1668" s="356">
        <f t="shared" si="1120"/>
        <v>0</v>
      </c>
      <c r="N1668" s="258"/>
      <c r="O1668" s="466"/>
    </row>
    <row r="1669" spans="1:15" ht="21.75" customHeight="1" x14ac:dyDescent="0.4">
      <c r="A1669" s="466"/>
      <c r="B1669" s="474"/>
      <c r="C1669" s="474"/>
      <c r="D1669" s="18"/>
      <c r="E1669" s="18"/>
      <c r="F1669" s="18"/>
      <c r="G1669" s="63"/>
      <c r="H1669" s="399"/>
      <c r="I1669" s="353"/>
      <c r="J1669" s="350">
        <f t="shared" si="1118"/>
        <v>0</v>
      </c>
      <c r="K1669" s="18">
        <v>0</v>
      </c>
      <c r="L1669" s="350">
        <f t="shared" si="1119"/>
        <v>0</v>
      </c>
      <c r="M1669" s="356">
        <f t="shared" si="1120"/>
        <v>0</v>
      </c>
      <c r="N1669" s="258"/>
      <c r="O1669" s="466"/>
    </row>
    <row r="1670" spans="1:15" ht="21.75" customHeight="1" x14ac:dyDescent="0.4">
      <c r="A1670" s="466"/>
      <c r="B1670" s="474"/>
      <c r="C1670" s="474"/>
      <c r="D1670" s="18"/>
      <c r="E1670" s="18"/>
      <c r="F1670" s="18"/>
      <c r="G1670" s="63"/>
      <c r="H1670" s="399"/>
      <c r="I1670" s="353"/>
      <c r="J1670" s="350">
        <f t="shared" si="1118"/>
        <v>0</v>
      </c>
      <c r="K1670" s="18">
        <v>0</v>
      </c>
      <c r="L1670" s="350">
        <f t="shared" si="1119"/>
        <v>0</v>
      </c>
      <c r="M1670" s="356">
        <f t="shared" si="1120"/>
        <v>0</v>
      </c>
      <c r="N1670" s="258"/>
      <c r="O1670" s="466"/>
    </row>
    <row r="1671" spans="1:15" ht="21.75" customHeight="1" x14ac:dyDescent="0.4">
      <c r="A1671" s="466"/>
      <c r="B1671" s="474"/>
      <c r="C1671" s="474"/>
      <c r="D1671" s="18"/>
      <c r="E1671" s="18"/>
      <c r="F1671" s="18"/>
      <c r="G1671" s="63"/>
      <c r="H1671" s="399"/>
      <c r="I1671" s="353"/>
      <c r="J1671" s="350">
        <f t="shared" si="1118"/>
        <v>0</v>
      </c>
      <c r="K1671" s="18">
        <v>0</v>
      </c>
      <c r="L1671" s="350">
        <f t="shared" si="1119"/>
        <v>0</v>
      </c>
      <c r="M1671" s="356">
        <f t="shared" si="1120"/>
        <v>0</v>
      </c>
      <c r="N1671" s="258"/>
      <c r="O1671" s="466"/>
    </row>
    <row r="1672" spans="1:15" ht="21.75" customHeight="1" x14ac:dyDescent="0.4">
      <c r="A1672" s="466"/>
      <c r="B1672" s="474"/>
      <c r="C1672" s="474"/>
      <c r="D1672" s="18"/>
      <c r="E1672" s="18"/>
      <c r="F1672" s="18"/>
      <c r="G1672" s="63"/>
      <c r="H1672" s="399"/>
      <c r="I1672" s="353"/>
      <c r="J1672" s="350">
        <f t="shared" si="1118"/>
        <v>0</v>
      </c>
      <c r="K1672" s="18">
        <v>0</v>
      </c>
      <c r="L1672" s="350">
        <f t="shared" si="1119"/>
        <v>0</v>
      </c>
      <c r="M1672" s="356">
        <f t="shared" si="1120"/>
        <v>0</v>
      </c>
      <c r="N1672" s="258"/>
      <c r="O1672" s="466"/>
    </row>
    <row r="1673" spans="1:15" ht="21.75" customHeight="1" x14ac:dyDescent="0.4">
      <c r="A1673" s="466"/>
      <c r="B1673" s="474"/>
      <c r="C1673" s="474"/>
      <c r="D1673" s="18"/>
      <c r="E1673" s="18"/>
      <c r="F1673" s="18"/>
      <c r="G1673" s="63"/>
      <c r="H1673" s="399"/>
      <c r="I1673" s="353"/>
      <c r="J1673" s="350">
        <f t="shared" si="1118"/>
        <v>0</v>
      </c>
      <c r="K1673" s="18">
        <v>0</v>
      </c>
      <c r="L1673" s="350">
        <f t="shared" si="1119"/>
        <v>0</v>
      </c>
      <c r="M1673" s="356">
        <f t="shared" si="1120"/>
        <v>0</v>
      </c>
      <c r="N1673" s="258"/>
      <c r="O1673" s="466"/>
    </row>
    <row r="1674" spans="1:15" ht="21.75" customHeight="1" x14ac:dyDescent="0.4">
      <c r="A1674" s="466"/>
      <c r="B1674" s="474"/>
      <c r="C1674" s="474"/>
      <c r="D1674" s="18"/>
      <c r="E1674" s="18"/>
      <c r="F1674" s="18"/>
      <c r="G1674" s="63"/>
      <c r="H1674" s="399"/>
      <c r="I1674" s="353"/>
      <c r="J1674" s="350">
        <f t="shared" si="1118"/>
        <v>0</v>
      </c>
      <c r="K1674" s="18">
        <v>0</v>
      </c>
      <c r="L1674" s="350">
        <f t="shared" si="1119"/>
        <v>0</v>
      </c>
      <c r="M1674" s="356">
        <f t="shared" si="1120"/>
        <v>0</v>
      </c>
      <c r="N1674" s="258"/>
      <c r="O1674" s="466"/>
    </row>
    <row r="1675" spans="1:15" ht="21.75" customHeight="1" x14ac:dyDescent="0.4">
      <c r="A1675" s="466"/>
      <c r="B1675" s="474"/>
      <c r="C1675" s="474"/>
      <c r="D1675" s="18"/>
      <c r="E1675" s="18"/>
      <c r="F1675" s="18"/>
      <c r="G1675" s="63"/>
      <c r="H1675" s="399"/>
      <c r="I1675" s="353"/>
      <c r="J1675" s="350">
        <f t="shared" si="1118"/>
        <v>0</v>
      </c>
      <c r="K1675" s="18">
        <v>0</v>
      </c>
      <c r="L1675" s="350">
        <f t="shared" si="1119"/>
        <v>0</v>
      </c>
      <c r="M1675" s="356">
        <f t="shared" si="1120"/>
        <v>0</v>
      </c>
      <c r="N1675" s="258"/>
      <c r="O1675" s="466"/>
    </row>
    <row r="1676" spans="1:15" ht="21.75" customHeight="1" x14ac:dyDescent="0.4">
      <c r="A1676" s="466"/>
      <c r="B1676" s="474"/>
      <c r="C1676" s="474"/>
      <c r="D1676" s="18"/>
      <c r="E1676" s="18"/>
      <c r="F1676" s="18"/>
      <c r="G1676" s="63"/>
      <c r="H1676" s="399"/>
      <c r="I1676" s="353"/>
      <c r="J1676" s="350">
        <f t="shared" si="1118"/>
        <v>0</v>
      </c>
      <c r="K1676" s="18">
        <v>0</v>
      </c>
      <c r="L1676" s="350">
        <f t="shared" si="1119"/>
        <v>0</v>
      </c>
      <c r="M1676" s="356">
        <f t="shared" si="1120"/>
        <v>0</v>
      </c>
      <c r="N1676" s="258"/>
      <c r="O1676" s="466"/>
    </row>
    <row r="1677" spans="1:15" ht="21.75" customHeight="1" x14ac:dyDescent="0.4">
      <c r="A1677" s="466"/>
      <c r="B1677" s="474"/>
      <c r="C1677" s="474"/>
      <c r="D1677" s="18"/>
      <c r="E1677" s="18"/>
      <c r="F1677" s="18"/>
      <c r="G1677" s="63"/>
      <c r="H1677" s="399"/>
      <c r="I1677" s="353"/>
      <c r="J1677" s="350">
        <f t="shared" si="1118"/>
        <v>0</v>
      </c>
      <c r="K1677" s="18">
        <v>0</v>
      </c>
      <c r="L1677" s="350">
        <f t="shared" si="1119"/>
        <v>0</v>
      </c>
      <c r="M1677" s="356">
        <f t="shared" si="1120"/>
        <v>0</v>
      </c>
      <c r="N1677" s="258"/>
      <c r="O1677" s="466"/>
    </row>
    <row r="1678" spans="1:15" ht="21.75" customHeight="1" x14ac:dyDescent="0.4">
      <c r="A1678" s="466"/>
      <c r="B1678" s="474"/>
      <c r="C1678" s="474"/>
      <c r="D1678" s="18"/>
      <c r="E1678" s="18"/>
      <c r="F1678" s="18"/>
      <c r="G1678" s="63"/>
      <c r="H1678" s="399"/>
      <c r="I1678" s="353"/>
      <c r="J1678" s="350">
        <f t="shared" si="1118"/>
        <v>0</v>
      </c>
      <c r="K1678" s="18">
        <v>0</v>
      </c>
      <c r="L1678" s="350">
        <f t="shared" si="1119"/>
        <v>0</v>
      </c>
      <c r="M1678" s="356">
        <f t="shared" si="1120"/>
        <v>0</v>
      </c>
      <c r="N1678" s="258"/>
      <c r="O1678" s="466"/>
    </row>
    <row r="1679" spans="1:15" ht="21.75" customHeight="1" x14ac:dyDescent="0.4">
      <c r="A1679" s="466"/>
      <c r="B1679" s="474"/>
      <c r="C1679" s="474"/>
      <c r="D1679" s="18"/>
      <c r="E1679" s="18"/>
      <c r="F1679" s="18"/>
      <c r="G1679" s="63"/>
      <c r="H1679" s="399"/>
      <c r="I1679" s="353"/>
      <c r="J1679" s="350">
        <f t="shared" si="1118"/>
        <v>0</v>
      </c>
      <c r="K1679" s="18">
        <v>0</v>
      </c>
      <c r="L1679" s="350">
        <f t="shared" si="1119"/>
        <v>0</v>
      </c>
      <c r="M1679" s="356">
        <f t="shared" si="1120"/>
        <v>0</v>
      </c>
      <c r="N1679" s="258"/>
      <c r="O1679" s="466"/>
    </row>
    <row r="1680" spans="1:15" ht="21.75" customHeight="1" x14ac:dyDescent="0.4">
      <c r="A1680" s="466"/>
      <c r="B1680" s="474"/>
      <c r="C1680" s="474"/>
      <c r="D1680" s="18"/>
      <c r="E1680" s="18"/>
      <c r="F1680" s="18"/>
      <c r="G1680" s="63"/>
      <c r="H1680" s="399"/>
      <c r="I1680" s="353"/>
      <c r="J1680" s="350">
        <f t="shared" si="1118"/>
        <v>0</v>
      </c>
      <c r="K1680" s="18">
        <v>0</v>
      </c>
      <c r="L1680" s="350">
        <f t="shared" si="1119"/>
        <v>0</v>
      </c>
      <c r="M1680" s="356">
        <f t="shared" si="1120"/>
        <v>0</v>
      </c>
      <c r="N1680" s="258"/>
      <c r="O1680" s="466"/>
    </row>
    <row r="1681" spans="1:15" ht="21.75" customHeight="1" x14ac:dyDescent="0.4">
      <c r="A1681" s="466"/>
      <c r="B1681" s="474"/>
      <c r="C1681" s="474"/>
      <c r="D1681" s="18"/>
      <c r="E1681" s="18"/>
      <c r="F1681" s="18"/>
      <c r="G1681" s="63"/>
      <c r="H1681" s="399"/>
      <c r="I1681" s="353"/>
      <c r="J1681" s="350">
        <f t="shared" si="1118"/>
        <v>0</v>
      </c>
      <c r="K1681" s="18">
        <v>0</v>
      </c>
      <c r="L1681" s="350">
        <f t="shared" si="1119"/>
        <v>0</v>
      </c>
      <c r="M1681" s="356">
        <f t="shared" si="1120"/>
        <v>0</v>
      </c>
      <c r="N1681" s="258"/>
      <c r="O1681" s="466"/>
    </row>
    <row r="1682" spans="1:15" ht="21.75" customHeight="1" x14ac:dyDescent="0.4">
      <c r="A1682" s="466"/>
      <c r="B1682" s="474"/>
      <c r="C1682" s="474"/>
      <c r="D1682" s="18"/>
      <c r="E1682" s="18"/>
      <c r="F1682" s="18"/>
      <c r="G1682" s="63"/>
      <c r="H1682" s="399"/>
      <c r="I1682" s="353"/>
      <c r="J1682" s="350">
        <f t="shared" si="1118"/>
        <v>0</v>
      </c>
      <c r="K1682" s="18">
        <v>0</v>
      </c>
      <c r="L1682" s="350">
        <f t="shared" si="1119"/>
        <v>0</v>
      </c>
      <c r="M1682" s="356">
        <f t="shared" si="1120"/>
        <v>0</v>
      </c>
      <c r="N1682" s="258"/>
      <c r="O1682" s="466"/>
    </row>
    <row r="1683" spans="1:15" ht="21.75" customHeight="1" x14ac:dyDescent="0.4">
      <c r="A1683" s="466"/>
      <c r="B1683" s="474"/>
      <c r="C1683" s="474"/>
      <c r="D1683" s="18"/>
      <c r="E1683" s="18"/>
      <c r="F1683" s="18"/>
      <c r="G1683" s="63"/>
      <c r="H1683" s="399"/>
      <c r="I1683" s="353"/>
      <c r="J1683" s="350">
        <f t="shared" si="1118"/>
        <v>0</v>
      </c>
      <c r="K1683" s="18">
        <v>0</v>
      </c>
      <c r="L1683" s="350">
        <f t="shared" si="1119"/>
        <v>0</v>
      </c>
      <c r="M1683" s="356">
        <f t="shared" si="1120"/>
        <v>0</v>
      </c>
      <c r="N1683" s="258"/>
      <c r="O1683" s="466"/>
    </row>
    <row r="1684" spans="1:15" ht="21.75" customHeight="1" x14ac:dyDescent="0.4">
      <c r="A1684" s="466"/>
      <c r="B1684" s="474"/>
      <c r="C1684" s="474"/>
      <c r="D1684" s="18"/>
      <c r="E1684" s="18"/>
      <c r="F1684" s="18"/>
      <c r="G1684" s="63"/>
      <c r="H1684" s="399"/>
      <c r="I1684" s="353"/>
      <c r="J1684" s="350">
        <f t="shared" si="1118"/>
        <v>0</v>
      </c>
      <c r="K1684" s="18">
        <v>0</v>
      </c>
      <c r="L1684" s="350">
        <f t="shared" si="1119"/>
        <v>0</v>
      </c>
      <c r="M1684" s="356">
        <f t="shared" si="1120"/>
        <v>0</v>
      </c>
      <c r="N1684" s="258"/>
      <c r="O1684" s="466"/>
    </row>
    <row r="1685" spans="1:15" ht="21.75" customHeight="1" x14ac:dyDescent="0.4">
      <c r="A1685" s="466"/>
      <c r="B1685" s="474"/>
      <c r="C1685" s="474"/>
      <c r="D1685" s="18"/>
      <c r="E1685" s="18"/>
      <c r="F1685" s="18"/>
      <c r="G1685" s="63"/>
      <c r="H1685" s="399"/>
      <c r="I1685" s="353"/>
      <c r="J1685" s="350">
        <f t="shared" si="1118"/>
        <v>0</v>
      </c>
      <c r="K1685" s="18">
        <v>0</v>
      </c>
      <c r="L1685" s="350">
        <f t="shared" si="1119"/>
        <v>0</v>
      </c>
      <c r="M1685" s="356">
        <f t="shared" si="1120"/>
        <v>0</v>
      </c>
      <c r="N1685" s="258"/>
      <c r="O1685" s="466"/>
    </row>
    <row r="1686" spans="1:15" ht="21.75" customHeight="1" x14ac:dyDescent="0.4">
      <c r="A1686" s="466"/>
      <c r="B1686" s="474"/>
      <c r="C1686" s="474"/>
      <c r="D1686" s="18"/>
      <c r="E1686" s="18"/>
      <c r="F1686" s="18"/>
      <c r="G1686" s="63"/>
      <c r="H1686" s="399"/>
      <c r="I1686" s="353"/>
      <c r="J1686" s="350">
        <f t="shared" si="1118"/>
        <v>0</v>
      </c>
      <c r="K1686" s="18">
        <v>0</v>
      </c>
      <c r="L1686" s="350">
        <f t="shared" si="1119"/>
        <v>0</v>
      </c>
      <c r="M1686" s="356">
        <f t="shared" si="1120"/>
        <v>0</v>
      </c>
      <c r="N1686" s="258"/>
      <c r="O1686" s="466"/>
    </row>
    <row r="1687" spans="1:15" ht="21.75" customHeight="1" x14ac:dyDescent="0.4">
      <c r="A1687" s="466"/>
      <c r="B1687" s="474"/>
      <c r="C1687" s="474"/>
      <c r="D1687" s="18"/>
      <c r="E1687" s="18"/>
      <c r="F1687" s="18"/>
      <c r="G1687" s="63"/>
      <c r="H1687" s="399"/>
      <c r="I1687" s="353"/>
      <c r="J1687" s="350">
        <f t="shared" si="1118"/>
        <v>0</v>
      </c>
      <c r="K1687" s="18">
        <v>0</v>
      </c>
      <c r="L1687" s="350">
        <f t="shared" si="1119"/>
        <v>0</v>
      </c>
      <c r="M1687" s="356">
        <f t="shared" si="1120"/>
        <v>0</v>
      </c>
      <c r="N1687" s="258"/>
      <c r="O1687" s="466"/>
    </row>
    <row r="1688" spans="1:15" ht="21.75" customHeight="1" x14ac:dyDescent="0.4">
      <c r="A1688" s="466"/>
      <c r="B1688" s="474"/>
      <c r="C1688" s="474"/>
      <c r="D1688" s="18"/>
      <c r="E1688" s="18"/>
      <c r="F1688" s="18"/>
      <c r="G1688" s="63"/>
      <c r="H1688" s="399"/>
      <c r="I1688" s="353"/>
      <c r="J1688" s="350">
        <f t="shared" si="1118"/>
        <v>0</v>
      </c>
      <c r="K1688" s="18">
        <v>0</v>
      </c>
      <c r="L1688" s="350">
        <f t="shared" si="1119"/>
        <v>0</v>
      </c>
      <c r="M1688" s="356">
        <f t="shared" si="1120"/>
        <v>0</v>
      </c>
      <c r="N1688" s="258"/>
      <c r="O1688" s="466"/>
    </row>
    <row r="1689" spans="1:15" ht="21.75" customHeight="1" x14ac:dyDescent="0.4">
      <c r="A1689" s="466"/>
      <c r="B1689" s="474"/>
      <c r="C1689" s="474"/>
      <c r="D1689" s="18"/>
      <c r="E1689" s="18"/>
      <c r="F1689" s="18"/>
      <c r="G1689" s="63"/>
      <c r="H1689" s="399"/>
      <c r="I1689" s="353"/>
      <c r="J1689" s="350">
        <f t="shared" si="1118"/>
        <v>0</v>
      </c>
      <c r="K1689" s="18">
        <v>0</v>
      </c>
      <c r="L1689" s="350">
        <f t="shared" si="1119"/>
        <v>0</v>
      </c>
      <c r="M1689" s="356">
        <f t="shared" si="1120"/>
        <v>0</v>
      </c>
      <c r="N1689" s="258"/>
      <c r="O1689" s="466"/>
    </row>
    <row r="1690" spans="1:15" ht="21.75" customHeight="1" x14ac:dyDescent="0.4">
      <c r="A1690" s="466"/>
      <c r="B1690" s="474"/>
      <c r="C1690" s="474"/>
      <c r="D1690" s="18"/>
      <c r="E1690" s="18"/>
      <c r="F1690" s="18"/>
      <c r="G1690" s="63"/>
      <c r="H1690" s="399"/>
      <c r="I1690" s="353"/>
      <c r="J1690" s="350">
        <f t="shared" si="1118"/>
        <v>0</v>
      </c>
      <c r="K1690" s="18">
        <v>0</v>
      </c>
      <c r="L1690" s="350">
        <f t="shared" si="1119"/>
        <v>0</v>
      </c>
      <c r="M1690" s="356">
        <f t="shared" si="1120"/>
        <v>0</v>
      </c>
      <c r="N1690" s="258"/>
      <c r="O1690" s="466"/>
    </row>
    <row r="1691" spans="1:15" ht="21.75" customHeight="1" x14ac:dyDescent="0.4">
      <c r="A1691" s="466"/>
      <c r="B1691" s="474"/>
      <c r="C1691" s="474"/>
      <c r="D1691" s="18"/>
      <c r="E1691" s="18"/>
      <c r="F1691" s="18"/>
      <c r="G1691" s="63"/>
      <c r="H1691" s="399"/>
      <c r="I1691" s="353"/>
      <c r="J1691" s="350">
        <f t="shared" si="1118"/>
        <v>0</v>
      </c>
      <c r="K1691" s="18">
        <v>0</v>
      </c>
      <c r="L1691" s="350">
        <f t="shared" si="1119"/>
        <v>0</v>
      </c>
      <c r="M1691" s="356">
        <f t="shared" si="1120"/>
        <v>0</v>
      </c>
      <c r="N1691" s="258"/>
      <c r="O1691" s="466"/>
    </row>
    <row r="1692" spans="1:15" ht="21.75" customHeight="1" x14ac:dyDescent="0.4">
      <c r="A1692" s="466"/>
      <c r="B1692" s="474"/>
      <c r="C1692" s="474"/>
      <c r="D1692" s="18"/>
      <c r="E1692" s="18"/>
      <c r="F1692" s="18"/>
      <c r="G1692" s="63"/>
      <c r="H1692" s="399"/>
      <c r="I1692" s="353"/>
      <c r="J1692" s="350">
        <f t="shared" si="1118"/>
        <v>0</v>
      </c>
      <c r="K1692" s="18">
        <v>0</v>
      </c>
      <c r="L1692" s="350">
        <f t="shared" si="1119"/>
        <v>0</v>
      </c>
      <c r="M1692" s="356">
        <f t="shared" si="1120"/>
        <v>0</v>
      </c>
      <c r="N1692" s="258"/>
      <c r="O1692" s="466"/>
    </row>
    <row r="1693" spans="1:15" ht="21.75" customHeight="1" x14ac:dyDescent="0.4">
      <c r="A1693" s="466"/>
      <c r="B1693" s="474"/>
      <c r="C1693" s="474"/>
      <c r="D1693" s="18"/>
      <c r="E1693" s="18"/>
      <c r="F1693" s="18"/>
      <c r="G1693" s="63"/>
      <c r="H1693" s="399"/>
      <c r="I1693" s="353"/>
      <c r="J1693" s="350">
        <f t="shared" si="1118"/>
        <v>0</v>
      </c>
      <c r="K1693" s="18">
        <v>0</v>
      </c>
      <c r="L1693" s="350">
        <f t="shared" si="1119"/>
        <v>0</v>
      </c>
      <c r="M1693" s="356">
        <f t="shared" si="1120"/>
        <v>0</v>
      </c>
      <c r="N1693" s="258"/>
      <c r="O1693" s="466"/>
    </row>
    <row r="1694" spans="1:15" ht="21.75" customHeight="1" x14ac:dyDescent="0.4">
      <c r="A1694" s="466"/>
      <c r="B1694" s="474"/>
      <c r="C1694" s="474"/>
      <c r="D1694" s="18"/>
      <c r="E1694" s="18"/>
      <c r="F1694" s="18"/>
      <c r="G1694" s="63"/>
      <c r="H1694" s="399"/>
      <c r="I1694" s="353"/>
      <c r="J1694" s="350">
        <f t="shared" si="1118"/>
        <v>0</v>
      </c>
      <c r="K1694" s="18">
        <v>0</v>
      </c>
      <c r="L1694" s="350">
        <f t="shared" si="1119"/>
        <v>0</v>
      </c>
      <c r="M1694" s="356">
        <f t="shared" si="1120"/>
        <v>0</v>
      </c>
      <c r="N1694" s="258"/>
      <c r="O1694" s="466"/>
    </row>
    <row r="1695" spans="1:15" ht="21.75" customHeight="1" x14ac:dyDescent="0.4">
      <c r="A1695" s="466"/>
      <c r="B1695" s="474"/>
      <c r="C1695" s="474"/>
      <c r="D1695" s="18"/>
      <c r="E1695" s="18"/>
      <c r="F1695" s="18"/>
      <c r="G1695" s="63"/>
      <c r="H1695" s="399"/>
      <c r="I1695" s="353"/>
      <c r="J1695" s="350">
        <f t="shared" si="1118"/>
        <v>0</v>
      </c>
      <c r="K1695" s="18">
        <v>0</v>
      </c>
      <c r="L1695" s="350">
        <f t="shared" si="1119"/>
        <v>0</v>
      </c>
      <c r="M1695" s="356">
        <f t="shared" si="1120"/>
        <v>0</v>
      </c>
      <c r="N1695" s="258"/>
      <c r="O1695" s="466"/>
    </row>
    <row r="1696" spans="1:15" ht="21.75" customHeight="1" x14ac:dyDescent="0.4">
      <c r="A1696" s="466"/>
      <c r="B1696" s="474"/>
      <c r="C1696" s="474"/>
      <c r="D1696" s="18"/>
      <c r="E1696" s="18"/>
      <c r="F1696" s="18"/>
      <c r="G1696" s="63"/>
      <c r="H1696" s="399"/>
      <c r="I1696" s="353"/>
      <c r="J1696" s="350">
        <f t="shared" si="1118"/>
        <v>0</v>
      </c>
      <c r="K1696" s="18">
        <v>0</v>
      </c>
      <c r="L1696" s="350">
        <f t="shared" si="1119"/>
        <v>0</v>
      </c>
      <c r="M1696" s="356">
        <f t="shared" si="1120"/>
        <v>0</v>
      </c>
      <c r="N1696" s="258"/>
      <c r="O1696" s="466"/>
    </row>
    <row r="1697" spans="1:15" ht="21.75" customHeight="1" x14ac:dyDescent="0.4">
      <c r="A1697" s="466"/>
      <c r="B1697" s="474"/>
      <c r="C1697" s="474"/>
      <c r="D1697" s="18"/>
      <c r="E1697" s="18"/>
      <c r="F1697" s="18"/>
      <c r="G1697" s="63"/>
      <c r="H1697" s="399"/>
      <c r="I1697" s="353"/>
      <c r="J1697" s="350">
        <f t="shared" si="1118"/>
        <v>0</v>
      </c>
      <c r="K1697" s="18">
        <v>0</v>
      </c>
      <c r="L1697" s="350">
        <f t="shared" si="1119"/>
        <v>0</v>
      </c>
      <c r="M1697" s="356">
        <f t="shared" si="1120"/>
        <v>0</v>
      </c>
      <c r="N1697" s="258"/>
      <c r="O1697" s="466"/>
    </row>
    <row r="1698" spans="1:15" ht="21.75" customHeight="1" x14ac:dyDescent="0.4">
      <c r="A1698" s="466"/>
      <c r="B1698" s="474"/>
      <c r="C1698" s="474"/>
      <c r="D1698" s="18"/>
      <c r="E1698" s="18"/>
      <c r="F1698" s="18"/>
      <c r="G1698" s="63"/>
      <c r="H1698" s="399"/>
      <c r="I1698" s="353"/>
      <c r="J1698" s="350">
        <f t="shared" si="1118"/>
        <v>0</v>
      </c>
      <c r="K1698" s="18">
        <v>0</v>
      </c>
      <c r="L1698" s="350">
        <f t="shared" si="1119"/>
        <v>0</v>
      </c>
      <c r="M1698" s="356">
        <f t="shared" si="1120"/>
        <v>0</v>
      </c>
      <c r="N1698" s="258"/>
      <c r="O1698" s="466"/>
    </row>
    <row r="1699" spans="1:15" ht="21.75" customHeight="1" x14ac:dyDescent="0.4">
      <c r="A1699" s="466"/>
      <c r="B1699" s="474"/>
      <c r="C1699" s="474"/>
      <c r="D1699" s="18"/>
      <c r="E1699" s="18"/>
      <c r="F1699" s="18"/>
      <c r="G1699" s="63"/>
      <c r="H1699" s="399"/>
      <c r="I1699" s="353"/>
      <c r="J1699" s="350">
        <f t="shared" si="1118"/>
        <v>0</v>
      </c>
      <c r="K1699" s="18">
        <v>0</v>
      </c>
      <c r="L1699" s="350">
        <f t="shared" si="1119"/>
        <v>0</v>
      </c>
      <c r="M1699" s="356">
        <f t="shared" si="1120"/>
        <v>0</v>
      </c>
      <c r="N1699" s="258"/>
      <c r="O1699" s="466"/>
    </row>
    <row r="1700" spans="1:15" ht="21.75" customHeight="1" x14ac:dyDescent="0.4">
      <c r="A1700" s="466"/>
      <c r="B1700" s="474"/>
      <c r="C1700" s="474"/>
      <c r="D1700" s="18"/>
      <c r="E1700" s="18"/>
      <c r="F1700" s="18"/>
      <c r="G1700" s="63"/>
      <c r="H1700" s="399"/>
      <c r="I1700" s="353"/>
      <c r="J1700" s="350">
        <f t="shared" si="1118"/>
        <v>0</v>
      </c>
      <c r="K1700" s="18">
        <v>0</v>
      </c>
      <c r="L1700" s="350">
        <f t="shared" si="1119"/>
        <v>0</v>
      </c>
      <c r="M1700" s="356">
        <f t="shared" si="1120"/>
        <v>0</v>
      </c>
      <c r="N1700" s="258"/>
      <c r="O1700" s="466"/>
    </row>
    <row r="1701" spans="1:15" ht="21.75" customHeight="1" x14ac:dyDescent="0.4">
      <c r="A1701" s="466"/>
      <c r="B1701" s="474"/>
      <c r="C1701" s="474"/>
      <c r="D1701" s="18"/>
      <c r="E1701" s="18"/>
      <c r="F1701" s="18"/>
      <c r="G1701" s="63"/>
      <c r="H1701" s="399"/>
      <c r="I1701" s="353"/>
      <c r="J1701" s="350">
        <f t="shared" si="1118"/>
        <v>0</v>
      </c>
      <c r="K1701" s="18">
        <v>0</v>
      </c>
      <c r="L1701" s="350">
        <f t="shared" si="1119"/>
        <v>0</v>
      </c>
      <c r="M1701" s="356">
        <f t="shared" si="1120"/>
        <v>0</v>
      </c>
      <c r="N1701" s="258"/>
      <c r="O1701" s="466"/>
    </row>
    <row r="1702" spans="1:15" ht="21.75" customHeight="1" x14ac:dyDescent="0.4">
      <c r="A1702" s="466"/>
      <c r="B1702" s="474"/>
      <c r="C1702" s="474"/>
      <c r="D1702" s="18"/>
      <c r="E1702" s="18"/>
      <c r="F1702" s="18"/>
      <c r="G1702" s="63"/>
      <c r="H1702" s="399"/>
      <c r="I1702" s="353"/>
      <c r="J1702" s="350">
        <f t="shared" ref="J1702:J1765" si="1121">SUM(H1702:I1702)</f>
        <v>0</v>
      </c>
      <c r="K1702" s="18">
        <v>0</v>
      </c>
      <c r="L1702" s="350">
        <f t="shared" ref="L1702:L1765" si="1122">SUM(J1702*K1702)</f>
        <v>0</v>
      </c>
      <c r="M1702" s="356">
        <f t="shared" ref="M1702:M1765" si="1123">ROUNDDOWN(L1702*1.1,0)</f>
        <v>0</v>
      </c>
      <c r="N1702" s="258"/>
      <c r="O1702" s="466"/>
    </row>
    <row r="1703" spans="1:15" ht="21.75" customHeight="1" x14ac:dyDescent="0.4">
      <c r="A1703" s="466"/>
      <c r="B1703" s="474"/>
      <c r="C1703" s="474"/>
      <c r="D1703" s="18"/>
      <c r="E1703" s="18"/>
      <c r="F1703" s="18"/>
      <c r="G1703" s="63"/>
      <c r="H1703" s="399"/>
      <c r="I1703" s="353"/>
      <c r="J1703" s="350">
        <f t="shared" si="1121"/>
        <v>0</v>
      </c>
      <c r="K1703" s="18">
        <v>0</v>
      </c>
      <c r="L1703" s="350">
        <f t="shared" si="1122"/>
        <v>0</v>
      </c>
      <c r="M1703" s="356">
        <f t="shared" si="1123"/>
        <v>0</v>
      </c>
      <c r="N1703" s="258"/>
      <c r="O1703" s="466"/>
    </row>
    <row r="1704" spans="1:15" ht="21.75" customHeight="1" x14ac:dyDescent="0.4">
      <c r="A1704" s="466"/>
      <c r="B1704" s="474"/>
      <c r="C1704" s="474"/>
      <c r="D1704" s="18"/>
      <c r="E1704" s="18"/>
      <c r="F1704" s="18"/>
      <c r="G1704" s="63"/>
      <c r="H1704" s="399"/>
      <c r="I1704" s="353"/>
      <c r="J1704" s="350">
        <f t="shared" si="1121"/>
        <v>0</v>
      </c>
      <c r="K1704" s="18">
        <v>0</v>
      </c>
      <c r="L1704" s="350">
        <f t="shared" si="1122"/>
        <v>0</v>
      </c>
      <c r="M1704" s="356">
        <f t="shared" si="1123"/>
        <v>0</v>
      </c>
      <c r="N1704" s="258"/>
      <c r="O1704" s="466"/>
    </row>
    <row r="1705" spans="1:15" ht="21.75" customHeight="1" x14ac:dyDescent="0.4">
      <c r="A1705" s="466"/>
      <c r="B1705" s="474"/>
      <c r="C1705" s="474"/>
      <c r="D1705" s="18"/>
      <c r="E1705" s="18"/>
      <c r="F1705" s="18"/>
      <c r="G1705" s="63"/>
      <c r="H1705" s="399"/>
      <c r="I1705" s="353"/>
      <c r="J1705" s="350">
        <f t="shared" si="1121"/>
        <v>0</v>
      </c>
      <c r="K1705" s="18">
        <v>0</v>
      </c>
      <c r="L1705" s="350">
        <f t="shared" si="1122"/>
        <v>0</v>
      </c>
      <c r="M1705" s="356">
        <f t="shared" si="1123"/>
        <v>0</v>
      </c>
      <c r="N1705" s="258"/>
      <c r="O1705" s="466"/>
    </row>
    <row r="1706" spans="1:15" ht="21.75" customHeight="1" x14ac:dyDescent="0.4">
      <c r="A1706" s="466"/>
      <c r="B1706" s="474"/>
      <c r="C1706" s="474"/>
      <c r="D1706" s="18"/>
      <c r="E1706" s="18"/>
      <c r="F1706" s="18"/>
      <c r="G1706" s="63"/>
      <c r="H1706" s="399"/>
      <c r="I1706" s="353"/>
      <c r="J1706" s="350">
        <f t="shared" si="1121"/>
        <v>0</v>
      </c>
      <c r="K1706" s="18">
        <v>0</v>
      </c>
      <c r="L1706" s="350">
        <f t="shared" si="1122"/>
        <v>0</v>
      </c>
      <c r="M1706" s="356">
        <f t="shared" si="1123"/>
        <v>0</v>
      </c>
      <c r="N1706" s="258"/>
      <c r="O1706" s="466"/>
    </row>
    <row r="1707" spans="1:15" ht="21.75" customHeight="1" x14ac:dyDescent="0.4">
      <c r="A1707" s="466"/>
      <c r="B1707" s="474"/>
      <c r="C1707" s="474"/>
      <c r="D1707" s="18"/>
      <c r="E1707" s="18"/>
      <c r="F1707" s="18"/>
      <c r="G1707" s="63"/>
      <c r="H1707" s="399"/>
      <c r="I1707" s="353"/>
      <c r="J1707" s="350">
        <f t="shared" si="1121"/>
        <v>0</v>
      </c>
      <c r="K1707" s="18">
        <v>0</v>
      </c>
      <c r="L1707" s="350">
        <f t="shared" si="1122"/>
        <v>0</v>
      </c>
      <c r="M1707" s="356">
        <f t="shared" si="1123"/>
        <v>0</v>
      </c>
      <c r="N1707" s="258"/>
      <c r="O1707" s="466"/>
    </row>
    <row r="1708" spans="1:15" ht="21.75" customHeight="1" x14ac:dyDescent="0.4">
      <c r="A1708" s="466"/>
      <c r="B1708" s="474"/>
      <c r="C1708" s="474"/>
      <c r="D1708" s="18"/>
      <c r="E1708" s="18"/>
      <c r="F1708" s="18"/>
      <c r="G1708" s="63"/>
      <c r="H1708" s="399"/>
      <c r="I1708" s="353"/>
      <c r="J1708" s="350">
        <f t="shared" si="1121"/>
        <v>0</v>
      </c>
      <c r="K1708" s="18">
        <v>0</v>
      </c>
      <c r="L1708" s="350">
        <f t="shared" si="1122"/>
        <v>0</v>
      </c>
      <c r="M1708" s="356">
        <f t="shared" si="1123"/>
        <v>0</v>
      </c>
      <c r="N1708" s="258"/>
      <c r="O1708" s="466"/>
    </row>
    <row r="1709" spans="1:15" ht="21.75" customHeight="1" x14ac:dyDescent="0.4">
      <c r="A1709" s="466"/>
      <c r="B1709" s="474"/>
      <c r="C1709" s="474"/>
      <c r="D1709" s="18"/>
      <c r="E1709" s="18"/>
      <c r="F1709" s="18"/>
      <c r="G1709" s="63"/>
      <c r="H1709" s="399"/>
      <c r="I1709" s="353"/>
      <c r="J1709" s="350">
        <f t="shared" si="1121"/>
        <v>0</v>
      </c>
      <c r="K1709" s="18">
        <v>0</v>
      </c>
      <c r="L1709" s="350">
        <f t="shared" si="1122"/>
        <v>0</v>
      </c>
      <c r="M1709" s="356">
        <f t="shared" si="1123"/>
        <v>0</v>
      </c>
      <c r="N1709" s="258"/>
      <c r="O1709" s="466"/>
    </row>
    <row r="1710" spans="1:15" ht="21.75" customHeight="1" x14ac:dyDescent="0.4">
      <c r="A1710" s="466"/>
      <c r="B1710" s="474"/>
      <c r="C1710" s="474"/>
      <c r="D1710" s="18"/>
      <c r="E1710" s="18"/>
      <c r="F1710" s="18"/>
      <c r="G1710" s="63"/>
      <c r="H1710" s="399"/>
      <c r="I1710" s="353"/>
      <c r="J1710" s="350">
        <f t="shared" si="1121"/>
        <v>0</v>
      </c>
      <c r="K1710" s="18">
        <v>0</v>
      </c>
      <c r="L1710" s="350">
        <f t="shared" si="1122"/>
        <v>0</v>
      </c>
      <c r="M1710" s="356">
        <f t="shared" si="1123"/>
        <v>0</v>
      </c>
      <c r="N1710" s="258"/>
      <c r="O1710" s="466"/>
    </row>
    <row r="1711" spans="1:15" ht="21.75" customHeight="1" x14ac:dyDescent="0.4">
      <c r="A1711" s="466"/>
      <c r="B1711" s="474"/>
      <c r="C1711" s="474"/>
      <c r="D1711" s="18"/>
      <c r="E1711" s="18"/>
      <c r="F1711" s="18"/>
      <c r="G1711" s="63"/>
      <c r="H1711" s="399"/>
      <c r="I1711" s="353"/>
      <c r="J1711" s="350">
        <f t="shared" si="1121"/>
        <v>0</v>
      </c>
      <c r="K1711" s="18">
        <v>0</v>
      </c>
      <c r="L1711" s="350">
        <f t="shared" si="1122"/>
        <v>0</v>
      </c>
      <c r="M1711" s="356">
        <f t="shared" si="1123"/>
        <v>0</v>
      </c>
      <c r="N1711" s="258"/>
      <c r="O1711" s="466"/>
    </row>
    <row r="1712" spans="1:15" ht="21.75" customHeight="1" x14ac:dyDescent="0.4">
      <c r="A1712" s="466"/>
      <c r="B1712" s="474"/>
      <c r="C1712" s="474"/>
      <c r="D1712" s="18"/>
      <c r="E1712" s="18"/>
      <c r="F1712" s="18"/>
      <c r="G1712" s="63"/>
      <c r="H1712" s="399"/>
      <c r="I1712" s="353"/>
      <c r="J1712" s="350">
        <f t="shared" si="1121"/>
        <v>0</v>
      </c>
      <c r="K1712" s="18">
        <v>0</v>
      </c>
      <c r="L1712" s="350">
        <f t="shared" si="1122"/>
        <v>0</v>
      </c>
      <c r="M1712" s="356">
        <f t="shared" si="1123"/>
        <v>0</v>
      </c>
      <c r="N1712" s="258"/>
      <c r="O1712" s="466"/>
    </row>
    <row r="1713" spans="1:15" ht="21.75" customHeight="1" x14ac:dyDescent="0.4">
      <c r="A1713" s="466"/>
      <c r="B1713" s="474"/>
      <c r="C1713" s="474"/>
      <c r="D1713" s="18"/>
      <c r="E1713" s="18"/>
      <c r="F1713" s="18"/>
      <c r="G1713" s="63"/>
      <c r="H1713" s="399"/>
      <c r="I1713" s="353"/>
      <c r="J1713" s="350">
        <f t="shared" si="1121"/>
        <v>0</v>
      </c>
      <c r="K1713" s="18">
        <v>0</v>
      </c>
      <c r="L1713" s="350">
        <f t="shared" si="1122"/>
        <v>0</v>
      </c>
      <c r="M1713" s="356">
        <f t="shared" si="1123"/>
        <v>0</v>
      </c>
      <c r="N1713" s="258"/>
      <c r="O1713" s="466"/>
    </row>
    <row r="1714" spans="1:15" ht="21.75" customHeight="1" x14ac:dyDescent="0.4">
      <c r="A1714" s="466"/>
      <c r="B1714" s="474"/>
      <c r="C1714" s="474"/>
      <c r="D1714" s="18"/>
      <c r="E1714" s="18"/>
      <c r="F1714" s="18"/>
      <c r="G1714" s="63"/>
      <c r="H1714" s="399"/>
      <c r="I1714" s="353"/>
      <c r="J1714" s="350">
        <f t="shared" si="1121"/>
        <v>0</v>
      </c>
      <c r="K1714" s="18">
        <v>0</v>
      </c>
      <c r="L1714" s="350">
        <f t="shared" si="1122"/>
        <v>0</v>
      </c>
      <c r="M1714" s="356">
        <f t="shared" si="1123"/>
        <v>0</v>
      </c>
      <c r="N1714" s="258"/>
      <c r="O1714" s="466"/>
    </row>
    <row r="1715" spans="1:15" ht="21.75" customHeight="1" x14ac:dyDescent="0.4">
      <c r="A1715" s="466"/>
      <c r="B1715" s="474"/>
      <c r="C1715" s="474"/>
      <c r="D1715" s="18"/>
      <c r="E1715" s="18"/>
      <c r="F1715" s="18"/>
      <c r="G1715" s="63"/>
      <c r="H1715" s="399"/>
      <c r="I1715" s="353"/>
      <c r="J1715" s="350">
        <f t="shared" si="1121"/>
        <v>0</v>
      </c>
      <c r="K1715" s="18">
        <v>0</v>
      </c>
      <c r="L1715" s="350">
        <f t="shared" si="1122"/>
        <v>0</v>
      </c>
      <c r="M1715" s="356">
        <f t="shared" si="1123"/>
        <v>0</v>
      </c>
      <c r="N1715" s="258"/>
      <c r="O1715" s="466"/>
    </row>
    <row r="1716" spans="1:15" ht="21.75" customHeight="1" x14ac:dyDescent="0.4">
      <c r="A1716" s="466"/>
      <c r="B1716" s="474"/>
      <c r="C1716" s="474"/>
      <c r="D1716" s="18"/>
      <c r="E1716" s="18"/>
      <c r="F1716" s="18"/>
      <c r="G1716" s="63"/>
      <c r="H1716" s="399"/>
      <c r="I1716" s="353"/>
      <c r="J1716" s="350">
        <f t="shared" si="1121"/>
        <v>0</v>
      </c>
      <c r="K1716" s="18">
        <v>0</v>
      </c>
      <c r="L1716" s="350">
        <f t="shared" si="1122"/>
        <v>0</v>
      </c>
      <c r="M1716" s="356">
        <f t="shared" si="1123"/>
        <v>0</v>
      </c>
      <c r="N1716" s="258"/>
      <c r="O1716" s="466"/>
    </row>
    <row r="1717" spans="1:15" ht="21.75" customHeight="1" x14ac:dyDescent="0.4">
      <c r="A1717" s="466"/>
      <c r="B1717" s="474"/>
      <c r="C1717" s="474"/>
      <c r="D1717" s="18"/>
      <c r="E1717" s="18"/>
      <c r="F1717" s="18"/>
      <c r="G1717" s="63"/>
      <c r="H1717" s="399"/>
      <c r="I1717" s="353"/>
      <c r="J1717" s="350">
        <f t="shared" si="1121"/>
        <v>0</v>
      </c>
      <c r="K1717" s="18">
        <v>0</v>
      </c>
      <c r="L1717" s="350">
        <f t="shared" si="1122"/>
        <v>0</v>
      </c>
      <c r="M1717" s="356">
        <f t="shared" si="1123"/>
        <v>0</v>
      </c>
      <c r="N1717" s="258"/>
      <c r="O1717" s="466"/>
    </row>
    <row r="1718" spans="1:15" ht="21.75" customHeight="1" x14ac:dyDescent="0.4">
      <c r="A1718" s="466"/>
      <c r="B1718" s="474"/>
      <c r="C1718" s="474"/>
      <c r="D1718" s="18"/>
      <c r="E1718" s="18"/>
      <c r="F1718" s="18"/>
      <c r="G1718" s="63"/>
      <c r="H1718" s="399"/>
      <c r="I1718" s="353"/>
      <c r="J1718" s="350">
        <f t="shared" si="1121"/>
        <v>0</v>
      </c>
      <c r="K1718" s="18">
        <v>0</v>
      </c>
      <c r="L1718" s="350">
        <f t="shared" si="1122"/>
        <v>0</v>
      </c>
      <c r="M1718" s="356">
        <f t="shared" si="1123"/>
        <v>0</v>
      </c>
      <c r="N1718" s="258"/>
      <c r="O1718" s="466"/>
    </row>
    <row r="1719" spans="1:15" ht="21.75" customHeight="1" x14ac:dyDescent="0.4">
      <c r="A1719" s="466"/>
      <c r="B1719" s="474"/>
      <c r="C1719" s="474"/>
      <c r="D1719" s="18"/>
      <c r="E1719" s="18"/>
      <c r="F1719" s="18"/>
      <c r="G1719" s="63"/>
      <c r="H1719" s="399"/>
      <c r="I1719" s="353"/>
      <c r="J1719" s="350">
        <f t="shared" si="1121"/>
        <v>0</v>
      </c>
      <c r="K1719" s="18">
        <v>0</v>
      </c>
      <c r="L1719" s="350">
        <f t="shared" si="1122"/>
        <v>0</v>
      </c>
      <c r="M1719" s="356">
        <f t="shared" si="1123"/>
        <v>0</v>
      </c>
      <c r="N1719" s="258"/>
      <c r="O1719" s="466"/>
    </row>
    <row r="1720" spans="1:15" ht="21.75" customHeight="1" x14ac:dyDescent="0.4">
      <c r="A1720" s="466"/>
      <c r="B1720" s="474"/>
      <c r="C1720" s="474"/>
      <c r="D1720" s="18"/>
      <c r="E1720" s="18"/>
      <c r="F1720" s="18"/>
      <c r="G1720" s="63"/>
      <c r="H1720" s="399"/>
      <c r="I1720" s="353"/>
      <c r="J1720" s="350">
        <f t="shared" si="1121"/>
        <v>0</v>
      </c>
      <c r="K1720" s="18">
        <v>0</v>
      </c>
      <c r="L1720" s="350">
        <f t="shared" si="1122"/>
        <v>0</v>
      </c>
      <c r="M1720" s="356">
        <f t="shared" si="1123"/>
        <v>0</v>
      </c>
      <c r="N1720" s="258"/>
      <c r="O1720" s="466"/>
    </row>
    <row r="1721" spans="1:15" ht="21.75" customHeight="1" x14ac:dyDescent="0.4">
      <c r="A1721" s="466"/>
      <c r="B1721" s="474"/>
      <c r="C1721" s="474"/>
      <c r="D1721" s="18"/>
      <c r="E1721" s="18"/>
      <c r="F1721" s="18"/>
      <c r="G1721" s="63"/>
      <c r="H1721" s="399"/>
      <c r="I1721" s="353"/>
      <c r="J1721" s="350">
        <f t="shared" si="1121"/>
        <v>0</v>
      </c>
      <c r="K1721" s="18">
        <v>0</v>
      </c>
      <c r="L1721" s="350">
        <f t="shared" si="1122"/>
        <v>0</v>
      </c>
      <c r="M1721" s="356">
        <f t="shared" si="1123"/>
        <v>0</v>
      </c>
      <c r="N1721" s="258"/>
      <c r="O1721" s="466"/>
    </row>
    <row r="1722" spans="1:15" ht="21.75" customHeight="1" x14ac:dyDescent="0.4">
      <c r="A1722" s="466"/>
      <c r="B1722" s="474"/>
      <c r="C1722" s="474"/>
      <c r="D1722" s="18"/>
      <c r="E1722" s="18"/>
      <c r="F1722" s="18"/>
      <c r="G1722" s="63"/>
      <c r="H1722" s="399"/>
      <c r="I1722" s="353"/>
      <c r="J1722" s="350">
        <f t="shared" si="1121"/>
        <v>0</v>
      </c>
      <c r="K1722" s="18">
        <v>0</v>
      </c>
      <c r="L1722" s="350">
        <f t="shared" si="1122"/>
        <v>0</v>
      </c>
      <c r="M1722" s="356">
        <f t="shared" si="1123"/>
        <v>0</v>
      </c>
      <c r="N1722" s="258"/>
      <c r="O1722" s="466"/>
    </row>
    <row r="1723" spans="1:15" ht="21.75" customHeight="1" x14ac:dyDescent="0.4">
      <c r="A1723" s="466"/>
      <c r="B1723" s="474"/>
      <c r="C1723" s="474"/>
      <c r="D1723" s="18"/>
      <c r="E1723" s="18"/>
      <c r="F1723" s="18"/>
      <c r="G1723" s="63"/>
      <c r="H1723" s="399"/>
      <c r="I1723" s="353"/>
      <c r="J1723" s="350">
        <f t="shared" si="1121"/>
        <v>0</v>
      </c>
      <c r="K1723" s="18">
        <v>0</v>
      </c>
      <c r="L1723" s="350">
        <f t="shared" si="1122"/>
        <v>0</v>
      </c>
      <c r="M1723" s="356">
        <f t="shared" si="1123"/>
        <v>0</v>
      </c>
      <c r="N1723" s="258"/>
      <c r="O1723" s="466"/>
    </row>
    <row r="1724" spans="1:15" ht="21.75" customHeight="1" x14ac:dyDescent="0.4">
      <c r="A1724" s="466"/>
      <c r="B1724" s="474"/>
      <c r="C1724" s="474"/>
      <c r="D1724" s="18"/>
      <c r="E1724" s="18"/>
      <c r="F1724" s="18"/>
      <c r="G1724" s="63"/>
      <c r="H1724" s="399"/>
      <c r="I1724" s="353"/>
      <c r="J1724" s="350">
        <f t="shared" si="1121"/>
        <v>0</v>
      </c>
      <c r="K1724" s="18">
        <v>0</v>
      </c>
      <c r="L1724" s="350">
        <f t="shared" si="1122"/>
        <v>0</v>
      </c>
      <c r="M1724" s="356">
        <f t="shared" si="1123"/>
        <v>0</v>
      </c>
      <c r="N1724" s="258"/>
      <c r="O1724" s="466"/>
    </row>
    <row r="1725" spans="1:15" ht="21.75" customHeight="1" x14ac:dyDescent="0.4">
      <c r="A1725" s="466"/>
      <c r="B1725" s="474"/>
      <c r="C1725" s="474"/>
      <c r="D1725" s="18"/>
      <c r="E1725" s="18"/>
      <c r="F1725" s="18"/>
      <c r="G1725" s="63"/>
      <c r="H1725" s="399"/>
      <c r="I1725" s="353"/>
      <c r="J1725" s="350">
        <f t="shared" si="1121"/>
        <v>0</v>
      </c>
      <c r="K1725" s="18">
        <v>0</v>
      </c>
      <c r="L1725" s="350">
        <f t="shared" si="1122"/>
        <v>0</v>
      </c>
      <c r="M1725" s="356">
        <f t="shared" si="1123"/>
        <v>0</v>
      </c>
      <c r="N1725" s="258"/>
      <c r="O1725" s="466"/>
    </row>
    <row r="1726" spans="1:15" ht="21.75" customHeight="1" x14ac:dyDescent="0.4">
      <c r="A1726" s="466"/>
      <c r="B1726" s="474"/>
      <c r="C1726" s="474"/>
      <c r="D1726" s="18"/>
      <c r="E1726" s="18"/>
      <c r="F1726" s="18"/>
      <c r="G1726" s="63"/>
      <c r="H1726" s="399"/>
      <c r="I1726" s="353"/>
      <c r="J1726" s="350">
        <f t="shared" si="1121"/>
        <v>0</v>
      </c>
      <c r="K1726" s="18">
        <v>0</v>
      </c>
      <c r="L1726" s="350">
        <f t="shared" si="1122"/>
        <v>0</v>
      </c>
      <c r="M1726" s="356">
        <f t="shared" si="1123"/>
        <v>0</v>
      </c>
      <c r="N1726" s="258"/>
      <c r="O1726" s="466"/>
    </row>
    <row r="1727" spans="1:15" ht="21.75" customHeight="1" x14ac:dyDescent="0.4">
      <c r="A1727" s="466"/>
      <c r="B1727" s="474"/>
      <c r="C1727" s="474"/>
      <c r="D1727" s="18"/>
      <c r="E1727" s="18"/>
      <c r="F1727" s="18"/>
      <c r="G1727" s="63"/>
      <c r="H1727" s="399"/>
      <c r="I1727" s="353"/>
      <c r="J1727" s="350">
        <f t="shared" si="1121"/>
        <v>0</v>
      </c>
      <c r="K1727" s="18">
        <v>0</v>
      </c>
      <c r="L1727" s="350">
        <f t="shared" si="1122"/>
        <v>0</v>
      </c>
      <c r="M1727" s="356">
        <f t="shared" si="1123"/>
        <v>0</v>
      </c>
      <c r="N1727" s="258"/>
      <c r="O1727" s="466"/>
    </row>
    <row r="1728" spans="1:15" ht="21.75" customHeight="1" x14ac:dyDescent="0.4">
      <c r="A1728" s="466"/>
      <c r="B1728" s="474"/>
      <c r="C1728" s="474"/>
      <c r="D1728" s="18"/>
      <c r="E1728" s="18"/>
      <c r="F1728" s="18"/>
      <c r="G1728" s="63"/>
      <c r="H1728" s="399"/>
      <c r="I1728" s="353"/>
      <c r="J1728" s="350">
        <f t="shared" si="1121"/>
        <v>0</v>
      </c>
      <c r="K1728" s="18">
        <v>0</v>
      </c>
      <c r="L1728" s="350">
        <f t="shared" si="1122"/>
        <v>0</v>
      </c>
      <c r="M1728" s="356">
        <f t="shared" si="1123"/>
        <v>0</v>
      </c>
      <c r="N1728" s="258"/>
      <c r="O1728" s="466"/>
    </row>
    <row r="1729" spans="1:15" ht="21.75" customHeight="1" x14ac:dyDescent="0.4">
      <c r="A1729" s="466"/>
      <c r="B1729" s="474"/>
      <c r="C1729" s="474"/>
      <c r="D1729" s="18"/>
      <c r="E1729" s="18"/>
      <c r="F1729" s="18"/>
      <c r="G1729" s="63"/>
      <c r="H1729" s="399"/>
      <c r="I1729" s="353"/>
      <c r="J1729" s="350">
        <f t="shared" si="1121"/>
        <v>0</v>
      </c>
      <c r="K1729" s="18">
        <v>0</v>
      </c>
      <c r="L1729" s="350">
        <f t="shared" si="1122"/>
        <v>0</v>
      </c>
      <c r="M1729" s="356">
        <f t="shared" si="1123"/>
        <v>0</v>
      </c>
      <c r="N1729" s="258"/>
      <c r="O1729" s="466"/>
    </row>
    <row r="1730" spans="1:15" ht="21.75" customHeight="1" x14ac:dyDescent="0.4">
      <c r="A1730" s="466"/>
      <c r="B1730" s="474"/>
      <c r="C1730" s="474"/>
      <c r="D1730" s="18"/>
      <c r="E1730" s="18"/>
      <c r="F1730" s="18"/>
      <c r="G1730" s="63"/>
      <c r="H1730" s="399"/>
      <c r="I1730" s="353"/>
      <c r="J1730" s="350">
        <f t="shared" si="1121"/>
        <v>0</v>
      </c>
      <c r="K1730" s="18">
        <v>0</v>
      </c>
      <c r="L1730" s="350">
        <f t="shared" si="1122"/>
        <v>0</v>
      </c>
      <c r="M1730" s="356">
        <f t="shared" si="1123"/>
        <v>0</v>
      </c>
      <c r="N1730" s="258"/>
      <c r="O1730" s="466"/>
    </row>
    <row r="1731" spans="1:15" ht="21.75" customHeight="1" x14ac:dyDescent="0.4">
      <c r="A1731" s="466"/>
      <c r="B1731" s="474"/>
      <c r="C1731" s="474"/>
      <c r="D1731" s="18"/>
      <c r="E1731" s="18"/>
      <c r="F1731" s="18"/>
      <c r="G1731" s="63"/>
      <c r="H1731" s="399"/>
      <c r="I1731" s="353"/>
      <c r="J1731" s="350">
        <f t="shared" si="1121"/>
        <v>0</v>
      </c>
      <c r="K1731" s="18">
        <v>0</v>
      </c>
      <c r="L1731" s="350">
        <f t="shared" si="1122"/>
        <v>0</v>
      </c>
      <c r="M1731" s="356">
        <f t="shared" si="1123"/>
        <v>0</v>
      </c>
      <c r="N1731" s="258"/>
      <c r="O1731" s="466"/>
    </row>
    <row r="1732" spans="1:15" ht="21.75" customHeight="1" x14ac:dyDescent="0.4">
      <c r="A1732" s="466"/>
      <c r="B1732" s="474"/>
      <c r="C1732" s="474"/>
      <c r="D1732" s="18"/>
      <c r="E1732" s="18"/>
      <c r="F1732" s="18"/>
      <c r="G1732" s="63"/>
      <c r="H1732" s="399"/>
      <c r="I1732" s="353"/>
      <c r="J1732" s="350">
        <f t="shared" si="1121"/>
        <v>0</v>
      </c>
      <c r="K1732" s="18">
        <v>0</v>
      </c>
      <c r="L1732" s="350">
        <f t="shared" si="1122"/>
        <v>0</v>
      </c>
      <c r="M1732" s="356">
        <f t="shared" si="1123"/>
        <v>0</v>
      </c>
      <c r="N1732" s="258"/>
      <c r="O1732" s="466"/>
    </row>
    <row r="1733" spans="1:15" ht="21.75" customHeight="1" x14ac:dyDescent="0.4">
      <c r="A1733" s="466"/>
      <c r="B1733" s="474"/>
      <c r="C1733" s="474"/>
      <c r="D1733" s="18"/>
      <c r="E1733" s="18"/>
      <c r="F1733" s="18"/>
      <c r="G1733" s="63"/>
      <c r="H1733" s="399"/>
      <c r="I1733" s="353"/>
      <c r="J1733" s="350">
        <f t="shared" si="1121"/>
        <v>0</v>
      </c>
      <c r="K1733" s="18">
        <v>0</v>
      </c>
      <c r="L1733" s="350">
        <f t="shared" si="1122"/>
        <v>0</v>
      </c>
      <c r="M1733" s="356">
        <f t="shared" si="1123"/>
        <v>0</v>
      </c>
      <c r="N1733" s="258"/>
      <c r="O1733" s="466"/>
    </row>
    <row r="1734" spans="1:15" ht="21.75" customHeight="1" x14ac:dyDescent="0.4">
      <c r="A1734" s="466"/>
      <c r="B1734" s="474"/>
      <c r="C1734" s="474"/>
      <c r="D1734" s="18"/>
      <c r="E1734" s="18"/>
      <c r="F1734" s="18"/>
      <c r="G1734" s="63"/>
      <c r="H1734" s="399"/>
      <c r="I1734" s="353"/>
      <c r="J1734" s="350">
        <f t="shared" si="1121"/>
        <v>0</v>
      </c>
      <c r="K1734" s="18">
        <v>0</v>
      </c>
      <c r="L1734" s="350">
        <f t="shared" si="1122"/>
        <v>0</v>
      </c>
      <c r="M1734" s="356">
        <f t="shared" si="1123"/>
        <v>0</v>
      </c>
      <c r="N1734" s="258"/>
      <c r="O1734" s="466"/>
    </row>
    <row r="1735" spans="1:15" ht="21.75" customHeight="1" x14ac:dyDescent="0.4">
      <c r="A1735" s="466"/>
      <c r="B1735" s="474"/>
      <c r="C1735" s="474"/>
      <c r="D1735" s="18"/>
      <c r="E1735" s="18"/>
      <c r="F1735" s="18"/>
      <c r="G1735" s="63"/>
      <c r="H1735" s="399"/>
      <c r="I1735" s="353"/>
      <c r="J1735" s="350">
        <f t="shared" si="1121"/>
        <v>0</v>
      </c>
      <c r="K1735" s="18">
        <v>0</v>
      </c>
      <c r="L1735" s="350">
        <f t="shared" si="1122"/>
        <v>0</v>
      </c>
      <c r="M1735" s="356">
        <f t="shared" si="1123"/>
        <v>0</v>
      </c>
      <c r="N1735" s="258"/>
      <c r="O1735" s="466"/>
    </row>
    <row r="1736" spans="1:15" ht="21.75" customHeight="1" x14ac:dyDescent="0.4">
      <c r="A1736" s="466"/>
      <c r="B1736" s="474"/>
      <c r="C1736" s="474"/>
      <c r="D1736" s="18"/>
      <c r="E1736" s="18"/>
      <c r="F1736" s="18"/>
      <c r="G1736" s="63"/>
      <c r="H1736" s="399"/>
      <c r="I1736" s="353"/>
      <c r="J1736" s="350">
        <f t="shared" si="1121"/>
        <v>0</v>
      </c>
      <c r="K1736" s="18">
        <v>0</v>
      </c>
      <c r="L1736" s="350">
        <f t="shared" si="1122"/>
        <v>0</v>
      </c>
      <c r="M1736" s="356">
        <f t="shared" si="1123"/>
        <v>0</v>
      </c>
      <c r="N1736" s="258"/>
      <c r="O1736" s="466"/>
    </row>
    <row r="1737" spans="1:15" ht="21.75" customHeight="1" x14ac:dyDescent="0.4">
      <c r="A1737" s="466"/>
      <c r="B1737" s="474"/>
      <c r="C1737" s="474"/>
      <c r="D1737" s="18"/>
      <c r="E1737" s="18"/>
      <c r="F1737" s="18"/>
      <c r="G1737" s="63"/>
      <c r="H1737" s="399"/>
      <c r="I1737" s="353"/>
      <c r="J1737" s="350">
        <f t="shared" si="1121"/>
        <v>0</v>
      </c>
      <c r="K1737" s="18">
        <v>0</v>
      </c>
      <c r="L1737" s="350">
        <f t="shared" si="1122"/>
        <v>0</v>
      </c>
      <c r="M1737" s="356">
        <f t="shared" si="1123"/>
        <v>0</v>
      </c>
      <c r="N1737" s="258"/>
      <c r="O1737" s="466"/>
    </row>
    <row r="1738" spans="1:15" ht="21.75" customHeight="1" x14ac:dyDescent="0.4">
      <c r="A1738" s="466"/>
      <c r="B1738" s="474"/>
      <c r="C1738" s="474"/>
      <c r="D1738" s="18"/>
      <c r="E1738" s="18"/>
      <c r="F1738" s="18"/>
      <c r="G1738" s="63"/>
      <c r="H1738" s="399"/>
      <c r="I1738" s="353"/>
      <c r="J1738" s="350">
        <f t="shared" si="1121"/>
        <v>0</v>
      </c>
      <c r="K1738" s="18">
        <v>0</v>
      </c>
      <c r="L1738" s="350">
        <f t="shared" si="1122"/>
        <v>0</v>
      </c>
      <c r="M1738" s="356">
        <f t="shared" si="1123"/>
        <v>0</v>
      </c>
      <c r="N1738" s="258"/>
      <c r="O1738" s="466"/>
    </row>
    <row r="1739" spans="1:15" ht="21.75" customHeight="1" x14ac:dyDescent="0.4">
      <c r="A1739" s="466"/>
      <c r="B1739" s="474"/>
      <c r="C1739" s="474"/>
      <c r="D1739" s="18"/>
      <c r="E1739" s="18"/>
      <c r="F1739" s="18"/>
      <c r="G1739" s="63"/>
      <c r="H1739" s="399"/>
      <c r="I1739" s="353"/>
      <c r="J1739" s="350">
        <f t="shared" si="1121"/>
        <v>0</v>
      </c>
      <c r="K1739" s="18">
        <v>0</v>
      </c>
      <c r="L1739" s="350">
        <f t="shared" si="1122"/>
        <v>0</v>
      </c>
      <c r="M1739" s="356">
        <f t="shared" si="1123"/>
        <v>0</v>
      </c>
      <c r="N1739" s="258"/>
      <c r="O1739" s="466"/>
    </row>
    <row r="1740" spans="1:15" ht="21.75" customHeight="1" x14ac:dyDescent="0.4">
      <c r="A1740" s="466"/>
      <c r="B1740" s="474"/>
      <c r="C1740" s="474"/>
      <c r="D1740" s="18"/>
      <c r="E1740" s="18"/>
      <c r="F1740" s="18"/>
      <c r="G1740" s="63"/>
      <c r="H1740" s="399"/>
      <c r="I1740" s="353"/>
      <c r="J1740" s="350">
        <f t="shared" si="1121"/>
        <v>0</v>
      </c>
      <c r="K1740" s="18">
        <v>0</v>
      </c>
      <c r="L1740" s="350">
        <f t="shared" si="1122"/>
        <v>0</v>
      </c>
      <c r="M1740" s="356">
        <f t="shared" si="1123"/>
        <v>0</v>
      </c>
      <c r="N1740" s="258"/>
      <c r="O1740" s="466"/>
    </row>
    <row r="1741" spans="1:15" ht="21.75" customHeight="1" x14ac:dyDescent="0.4">
      <c r="A1741" s="466"/>
      <c r="B1741" s="474"/>
      <c r="C1741" s="474"/>
      <c r="D1741" s="18"/>
      <c r="E1741" s="18"/>
      <c r="F1741" s="18"/>
      <c r="G1741" s="63"/>
      <c r="H1741" s="399"/>
      <c r="I1741" s="353"/>
      <c r="J1741" s="350">
        <f t="shared" si="1121"/>
        <v>0</v>
      </c>
      <c r="K1741" s="18">
        <v>0</v>
      </c>
      <c r="L1741" s="350">
        <f t="shared" si="1122"/>
        <v>0</v>
      </c>
      <c r="M1741" s="356">
        <f t="shared" si="1123"/>
        <v>0</v>
      </c>
      <c r="N1741" s="258"/>
      <c r="O1741" s="466"/>
    </row>
    <row r="1742" spans="1:15" ht="21.75" customHeight="1" x14ac:dyDescent="0.4">
      <c r="A1742" s="466"/>
      <c r="B1742" s="474"/>
      <c r="C1742" s="474"/>
      <c r="D1742" s="18"/>
      <c r="E1742" s="18"/>
      <c r="F1742" s="18"/>
      <c r="G1742" s="63"/>
      <c r="H1742" s="399"/>
      <c r="I1742" s="353"/>
      <c r="J1742" s="350">
        <f t="shared" si="1121"/>
        <v>0</v>
      </c>
      <c r="K1742" s="18">
        <v>0</v>
      </c>
      <c r="L1742" s="350">
        <f t="shared" si="1122"/>
        <v>0</v>
      </c>
      <c r="M1742" s="356">
        <f t="shared" si="1123"/>
        <v>0</v>
      </c>
      <c r="N1742" s="258"/>
      <c r="O1742" s="466"/>
    </row>
    <row r="1743" spans="1:15" ht="21.75" customHeight="1" x14ac:dyDescent="0.4">
      <c r="A1743" s="466"/>
      <c r="B1743" s="474"/>
      <c r="C1743" s="474"/>
      <c r="D1743" s="18"/>
      <c r="E1743" s="18"/>
      <c r="F1743" s="18"/>
      <c r="G1743" s="63"/>
      <c r="H1743" s="399"/>
      <c r="I1743" s="353"/>
      <c r="J1743" s="350">
        <f t="shared" si="1121"/>
        <v>0</v>
      </c>
      <c r="K1743" s="18">
        <v>0</v>
      </c>
      <c r="L1743" s="350">
        <f t="shared" si="1122"/>
        <v>0</v>
      </c>
      <c r="M1743" s="356">
        <f t="shared" si="1123"/>
        <v>0</v>
      </c>
      <c r="N1743" s="258"/>
      <c r="O1743" s="466"/>
    </row>
    <row r="1744" spans="1:15" ht="21.75" customHeight="1" x14ac:dyDescent="0.4">
      <c r="A1744" s="466"/>
      <c r="B1744" s="474"/>
      <c r="C1744" s="474"/>
      <c r="D1744" s="18"/>
      <c r="E1744" s="18"/>
      <c r="F1744" s="18"/>
      <c r="G1744" s="63"/>
      <c r="H1744" s="399"/>
      <c r="I1744" s="353"/>
      <c r="J1744" s="350">
        <f t="shared" si="1121"/>
        <v>0</v>
      </c>
      <c r="K1744" s="18">
        <v>0</v>
      </c>
      <c r="L1744" s="350">
        <f t="shared" si="1122"/>
        <v>0</v>
      </c>
      <c r="M1744" s="356">
        <f t="shared" si="1123"/>
        <v>0</v>
      </c>
      <c r="N1744" s="258"/>
      <c r="O1744" s="466"/>
    </row>
    <row r="1745" spans="1:15" ht="21.75" customHeight="1" x14ac:dyDescent="0.4">
      <c r="A1745" s="466"/>
      <c r="B1745" s="474"/>
      <c r="C1745" s="474"/>
      <c r="D1745" s="18"/>
      <c r="E1745" s="18"/>
      <c r="F1745" s="18"/>
      <c r="G1745" s="63"/>
      <c r="H1745" s="399"/>
      <c r="I1745" s="353"/>
      <c r="J1745" s="350">
        <f t="shared" si="1121"/>
        <v>0</v>
      </c>
      <c r="K1745" s="18">
        <v>0</v>
      </c>
      <c r="L1745" s="350">
        <f t="shared" si="1122"/>
        <v>0</v>
      </c>
      <c r="M1745" s="356">
        <f t="shared" si="1123"/>
        <v>0</v>
      </c>
      <c r="N1745" s="258"/>
      <c r="O1745" s="466"/>
    </row>
    <row r="1746" spans="1:15" ht="21.75" customHeight="1" x14ac:dyDescent="0.4">
      <c r="A1746" s="466"/>
      <c r="B1746" s="474"/>
      <c r="C1746" s="474"/>
      <c r="D1746" s="18"/>
      <c r="E1746" s="18"/>
      <c r="F1746" s="18"/>
      <c r="G1746" s="63"/>
      <c r="H1746" s="399"/>
      <c r="I1746" s="353"/>
      <c r="J1746" s="350">
        <f t="shared" si="1121"/>
        <v>0</v>
      </c>
      <c r="K1746" s="18">
        <v>0</v>
      </c>
      <c r="L1746" s="350">
        <f t="shared" si="1122"/>
        <v>0</v>
      </c>
      <c r="M1746" s="356">
        <f t="shared" si="1123"/>
        <v>0</v>
      </c>
      <c r="N1746" s="258"/>
      <c r="O1746" s="466"/>
    </row>
    <row r="1747" spans="1:15" ht="21.75" customHeight="1" x14ac:dyDescent="0.4">
      <c r="A1747" s="466"/>
      <c r="B1747" s="474"/>
      <c r="C1747" s="474"/>
      <c r="D1747" s="18"/>
      <c r="E1747" s="18"/>
      <c r="F1747" s="18"/>
      <c r="G1747" s="63"/>
      <c r="H1747" s="399"/>
      <c r="I1747" s="353"/>
      <c r="J1747" s="350">
        <f t="shared" si="1121"/>
        <v>0</v>
      </c>
      <c r="K1747" s="18">
        <v>0</v>
      </c>
      <c r="L1747" s="350">
        <f t="shared" si="1122"/>
        <v>0</v>
      </c>
      <c r="M1747" s="356">
        <f t="shared" si="1123"/>
        <v>0</v>
      </c>
      <c r="N1747" s="258"/>
      <c r="O1747" s="466"/>
    </row>
    <row r="1748" spans="1:15" ht="21.75" customHeight="1" x14ac:dyDescent="0.4">
      <c r="A1748" s="466"/>
      <c r="B1748" s="474"/>
      <c r="C1748" s="474"/>
      <c r="D1748" s="18"/>
      <c r="E1748" s="18"/>
      <c r="F1748" s="18"/>
      <c r="G1748" s="63"/>
      <c r="H1748" s="399"/>
      <c r="I1748" s="353"/>
      <c r="J1748" s="350">
        <f t="shared" si="1121"/>
        <v>0</v>
      </c>
      <c r="K1748" s="18">
        <v>0</v>
      </c>
      <c r="L1748" s="350">
        <f t="shared" si="1122"/>
        <v>0</v>
      </c>
      <c r="M1748" s="356">
        <f t="shared" si="1123"/>
        <v>0</v>
      </c>
      <c r="N1748" s="258"/>
      <c r="O1748" s="466"/>
    </row>
    <row r="1749" spans="1:15" ht="21.75" customHeight="1" x14ac:dyDescent="0.4">
      <c r="A1749" s="466"/>
      <c r="B1749" s="474"/>
      <c r="C1749" s="474"/>
      <c r="D1749" s="18"/>
      <c r="E1749" s="18"/>
      <c r="F1749" s="18"/>
      <c r="G1749" s="63"/>
      <c r="H1749" s="399"/>
      <c r="I1749" s="353"/>
      <c r="J1749" s="350">
        <f t="shared" si="1121"/>
        <v>0</v>
      </c>
      <c r="K1749" s="18">
        <v>0</v>
      </c>
      <c r="L1749" s="350">
        <f t="shared" si="1122"/>
        <v>0</v>
      </c>
      <c r="M1749" s="356">
        <f t="shared" si="1123"/>
        <v>0</v>
      </c>
      <c r="N1749" s="258"/>
      <c r="O1749" s="466"/>
    </row>
    <row r="1750" spans="1:15" ht="21.75" customHeight="1" x14ac:dyDescent="0.4">
      <c r="A1750" s="466"/>
      <c r="B1750" s="474"/>
      <c r="C1750" s="474"/>
      <c r="D1750" s="18"/>
      <c r="E1750" s="18"/>
      <c r="F1750" s="18"/>
      <c r="G1750" s="63"/>
      <c r="H1750" s="399"/>
      <c r="I1750" s="353"/>
      <c r="J1750" s="350">
        <f t="shared" si="1121"/>
        <v>0</v>
      </c>
      <c r="K1750" s="18">
        <v>0</v>
      </c>
      <c r="L1750" s="350">
        <f t="shared" si="1122"/>
        <v>0</v>
      </c>
      <c r="M1750" s="356">
        <f t="shared" si="1123"/>
        <v>0</v>
      </c>
      <c r="N1750" s="258"/>
      <c r="O1750" s="466"/>
    </row>
    <row r="1751" spans="1:15" ht="21.75" customHeight="1" x14ac:dyDescent="0.4">
      <c r="A1751" s="466"/>
      <c r="B1751" s="474"/>
      <c r="C1751" s="474"/>
      <c r="D1751" s="18"/>
      <c r="E1751" s="18"/>
      <c r="F1751" s="18"/>
      <c r="G1751" s="63"/>
      <c r="H1751" s="399"/>
      <c r="I1751" s="353"/>
      <c r="J1751" s="350">
        <f t="shared" si="1121"/>
        <v>0</v>
      </c>
      <c r="K1751" s="18">
        <v>0</v>
      </c>
      <c r="L1751" s="350">
        <f t="shared" si="1122"/>
        <v>0</v>
      </c>
      <c r="M1751" s="356">
        <f t="shared" si="1123"/>
        <v>0</v>
      </c>
      <c r="N1751" s="258"/>
      <c r="O1751" s="466"/>
    </row>
    <row r="1752" spans="1:15" ht="21.75" customHeight="1" x14ac:dyDescent="0.4">
      <c r="A1752" s="466"/>
      <c r="B1752" s="474"/>
      <c r="C1752" s="474"/>
      <c r="D1752" s="18"/>
      <c r="E1752" s="18"/>
      <c r="F1752" s="18"/>
      <c r="G1752" s="63"/>
      <c r="H1752" s="399"/>
      <c r="I1752" s="353"/>
      <c r="J1752" s="350">
        <f t="shared" si="1121"/>
        <v>0</v>
      </c>
      <c r="K1752" s="18">
        <v>0</v>
      </c>
      <c r="L1752" s="350">
        <f t="shared" si="1122"/>
        <v>0</v>
      </c>
      <c r="M1752" s="356">
        <f t="shared" si="1123"/>
        <v>0</v>
      </c>
      <c r="N1752" s="258"/>
      <c r="O1752" s="466"/>
    </row>
    <row r="1753" spans="1:15" ht="21.75" customHeight="1" x14ac:dyDescent="0.4">
      <c r="A1753" s="466"/>
      <c r="B1753" s="474"/>
      <c r="C1753" s="474"/>
      <c r="D1753" s="18"/>
      <c r="E1753" s="18"/>
      <c r="F1753" s="18"/>
      <c r="G1753" s="63"/>
      <c r="H1753" s="399"/>
      <c r="I1753" s="353"/>
      <c r="J1753" s="350">
        <f t="shared" si="1121"/>
        <v>0</v>
      </c>
      <c r="K1753" s="18">
        <v>0</v>
      </c>
      <c r="L1753" s="350">
        <f t="shared" si="1122"/>
        <v>0</v>
      </c>
      <c r="M1753" s="356">
        <f t="shared" si="1123"/>
        <v>0</v>
      </c>
      <c r="N1753" s="258"/>
      <c r="O1753" s="466"/>
    </row>
    <row r="1754" spans="1:15" ht="21.75" customHeight="1" x14ac:dyDescent="0.4">
      <c r="A1754" s="466"/>
      <c r="B1754" s="474"/>
      <c r="C1754" s="474"/>
      <c r="D1754" s="18"/>
      <c r="E1754" s="18"/>
      <c r="F1754" s="18"/>
      <c r="G1754" s="63"/>
      <c r="H1754" s="399"/>
      <c r="I1754" s="353"/>
      <c r="J1754" s="350">
        <f t="shared" si="1121"/>
        <v>0</v>
      </c>
      <c r="K1754" s="18">
        <v>0</v>
      </c>
      <c r="L1754" s="350">
        <f t="shared" si="1122"/>
        <v>0</v>
      </c>
      <c r="M1754" s="356">
        <f t="shared" si="1123"/>
        <v>0</v>
      </c>
      <c r="N1754" s="258"/>
      <c r="O1754" s="466"/>
    </row>
    <row r="1755" spans="1:15" ht="21.75" customHeight="1" x14ac:dyDescent="0.4">
      <c r="A1755" s="466"/>
      <c r="B1755" s="474"/>
      <c r="C1755" s="474"/>
      <c r="D1755" s="18"/>
      <c r="E1755" s="18"/>
      <c r="F1755" s="18"/>
      <c r="G1755" s="63"/>
      <c r="H1755" s="399"/>
      <c r="I1755" s="353"/>
      <c r="J1755" s="350">
        <f t="shared" si="1121"/>
        <v>0</v>
      </c>
      <c r="K1755" s="18">
        <v>0</v>
      </c>
      <c r="L1755" s="350">
        <f t="shared" si="1122"/>
        <v>0</v>
      </c>
      <c r="M1755" s="356">
        <f t="shared" si="1123"/>
        <v>0</v>
      </c>
      <c r="N1755" s="258"/>
      <c r="O1755" s="466"/>
    </row>
    <row r="1756" spans="1:15" ht="21.75" customHeight="1" x14ac:dyDescent="0.4">
      <c r="A1756" s="466"/>
      <c r="B1756" s="474"/>
      <c r="C1756" s="474"/>
      <c r="D1756" s="18"/>
      <c r="E1756" s="18"/>
      <c r="F1756" s="18"/>
      <c r="G1756" s="63"/>
      <c r="H1756" s="399"/>
      <c r="I1756" s="353"/>
      <c r="J1756" s="350">
        <f t="shared" si="1121"/>
        <v>0</v>
      </c>
      <c r="K1756" s="18">
        <v>0</v>
      </c>
      <c r="L1756" s="350">
        <f t="shared" si="1122"/>
        <v>0</v>
      </c>
      <c r="M1756" s="356">
        <f t="shared" si="1123"/>
        <v>0</v>
      </c>
      <c r="N1756" s="258"/>
      <c r="O1756" s="466"/>
    </row>
    <row r="1757" spans="1:15" ht="21.75" customHeight="1" x14ac:dyDescent="0.4">
      <c r="A1757" s="466"/>
      <c r="B1757" s="474"/>
      <c r="C1757" s="474"/>
      <c r="D1757" s="18"/>
      <c r="E1757" s="18"/>
      <c r="F1757" s="18"/>
      <c r="G1757" s="63"/>
      <c r="H1757" s="399"/>
      <c r="I1757" s="353"/>
      <c r="J1757" s="350">
        <f t="shared" si="1121"/>
        <v>0</v>
      </c>
      <c r="K1757" s="18">
        <v>0</v>
      </c>
      <c r="L1757" s="350">
        <f t="shared" si="1122"/>
        <v>0</v>
      </c>
      <c r="M1757" s="356">
        <f t="shared" si="1123"/>
        <v>0</v>
      </c>
      <c r="N1757" s="258"/>
      <c r="O1757" s="466"/>
    </row>
    <row r="1758" spans="1:15" ht="21.75" customHeight="1" x14ac:dyDescent="0.4">
      <c r="A1758" s="466"/>
      <c r="B1758" s="474"/>
      <c r="C1758" s="474"/>
      <c r="D1758" s="18"/>
      <c r="E1758" s="18"/>
      <c r="F1758" s="18"/>
      <c r="G1758" s="63"/>
      <c r="H1758" s="399"/>
      <c r="I1758" s="353"/>
      <c r="J1758" s="350">
        <f t="shared" si="1121"/>
        <v>0</v>
      </c>
      <c r="K1758" s="18">
        <v>0</v>
      </c>
      <c r="L1758" s="350">
        <f t="shared" si="1122"/>
        <v>0</v>
      </c>
      <c r="M1758" s="356">
        <f t="shared" si="1123"/>
        <v>0</v>
      </c>
      <c r="N1758" s="258"/>
      <c r="O1758" s="466"/>
    </row>
    <row r="1759" spans="1:15" ht="21.75" customHeight="1" x14ac:dyDescent="0.4">
      <c r="A1759" s="466"/>
      <c r="B1759" s="474"/>
      <c r="C1759" s="474"/>
      <c r="D1759" s="18"/>
      <c r="E1759" s="18"/>
      <c r="F1759" s="18"/>
      <c r="G1759" s="63"/>
      <c r="H1759" s="399"/>
      <c r="I1759" s="353"/>
      <c r="J1759" s="350">
        <f t="shared" si="1121"/>
        <v>0</v>
      </c>
      <c r="K1759" s="18">
        <v>0</v>
      </c>
      <c r="L1759" s="350">
        <f t="shared" si="1122"/>
        <v>0</v>
      </c>
      <c r="M1759" s="356">
        <f t="shared" si="1123"/>
        <v>0</v>
      </c>
      <c r="N1759" s="258"/>
      <c r="O1759" s="466"/>
    </row>
    <row r="1760" spans="1:15" ht="21.75" customHeight="1" x14ac:dyDescent="0.4">
      <c r="A1760" s="466"/>
      <c r="B1760" s="474"/>
      <c r="C1760" s="474"/>
      <c r="D1760" s="18"/>
      <c r="E1760" s="18"/>
      <c r="F1760" s="18"/>
      <c r="G1760" s="63"/>
      <c r="H1760" s="399"/>
      <c r="I1760" s="353"/>
      <c r="J1760" s="350">
        <f t="shared" si="1121"/>
        <v>0</v>
      </c>
      <c r="K1760" s="18">
        <v>0</v>
      </c>
      <c r="L1760" s="350">
        <f t="shared" si="1122"/>
        <v>0</v>
      </c>
      <c r="M1760" s="356">
        <f t="shared" si="1123"/>
        <v>0</v>
      </c>
      <c r="N1760" s="258"/>
      <c r="O1760" s="466"/>
    </row>
    <row r="1761" spans="1:15" ht="21.75" customHeight="1" x14ac:dyDescent="0.4">
      <c r="A1761" s="466"/>
      <c r="B1761" s="474"/>
      <c r="C1761" s="474"/>
      <c r="D1761" s="18"/>
      <c r="E1761" s="18"/>
      <c r="F1761" s="18"/>
      <c r="G1761" s="63"/>
      <c r="H1761" s="399"/>
      <c r="I1761" s="353"/>
      <c r="J1761" s="350">
        <f t="shared" si="1121"/>
        <v>0</v>
      </c>
      <c r="K1761" s="18">
        <v>0</v>
      </c>
      <c r="L1761" s="350">
        <f t="shared" si="1122"/>
        <v>0</v>
      </c>
      <c r="M1761" s="356">
        <f t="shared" si="1123"/>
        <v>0</v>
      </c>
      <c r="N1761" s="258"/>
      <c r="O1761" s="466"/>
    </row>
    <row r="1762" spans="1:15" ht="21.75" customHeight="1" x14ac:dyDescent="0.4">
      <c r="A1762" s="466"/>
      <c r="B1762" s="474"/>
      <c r="C1762" s="474"/>
      <c r="D1762" s="18"/>
      <c r="E1762" s="18"/>
      <c r="F1762" s="18"/>
      <c r="G1762" s="63"/>
      <c r="H1762" s="399"/>
      <c r="I1762" s="353"/>
      <c r="J1762" s="350">
        <f t="shared" si="1121"/>
        <v>0</v>
      </c>
      <c r="K1762" s="18">
        <v>0</v>
      </c>
      <c r="L1762" s="350">
        <f t="shared" si="1122"/>
        <v>0</v>
      </c>
      <c r="M1762" s="356">
        <f t="shared" si="1123"/>
        <v>0</v>
      </c>
      <c r="N1762" s="258"/>
      <c r="O1762" s="466"/>
    </row>
    <row r="1763" spans="1:15" ht="21.75" customHeight="1" x14ac:dyDescent="0.4">
      <c r="A1763" s="466"/>
      <c r="B1763" s="474"/>
      <c r="C1763" s="474"/>
      <c r="D1763" s="18"/>
      <c r="E1763" s="18"/>
      <c r="F1763" s="18"/>
      <c r="G1763" s="63"/>
      <c r="H1763" s="399"/>
      <c r="I1763" s="353"/>
      <c r="J1763" s="350">
        <f t="shared" si="1121"/>
        <v>0</v>
      </c>
      <c r="K1763" s="18">
        <v>0</v>
      </c>
      <c r="L1763" s="350">
        <f t="shared" si="1122"/>
        <v>0</v>
      </c>
      <c r="M1763" s="356">
        <f t="shared" si="1123"/>
        <v>0</v>
      </c>
      <c r="N1763" s="258"/>
      <c r="O1763" s="466"/>
    </row>
    <row r="1764" spans="1:15" ht="21.75" customHeight="1" x14ac:dyDescent="0.4">
      <c r="A1764" s="466"/>
      <c r="B1764" s="474"/>
      <c r="C1764" s="474"/>
      <c r="D1764" s="18"/>
      <c r="E1764" s="18"/>
      <c r="F1764" s="18"/>
      <c r="G1764" s="63"/>
      <c r="H1764" s="399"/>
      <c r="I1764" s="353"/>
      <c r="J1764" s="350">
        <f t="shared" si="1121"/>
        <v>0</v>
      </c>
      <c r="K1764" s="18">
        <v>0</v>
      </c>
      <c r="L1764" s="350">
        <f t="shared" si="1122"/>
        <v>0</v>
      </c>
      <c r="M1764" s="356">
        <f t="shared" si="1123"/>
        <v>0</v>
      </c>
      <c r="N1764" s="258"/>
      <c r="O1764" s="466"/>
    </row>
    <row r="1765" spans="1:15" ht="21.75" customHeight="1" x14ac:dyDescent="0.4">
      <c r="A1765" s="466"/>
      <c r="B1765" s="474"/>
      <c r="C1765" s="474"/>
      <c r="D1765" s="18"/>
      <c r="E1765" s="18"/>
      <c r="F1765" s="18"/>
      <c r="G1765" s="63"/>
      <c r="H1765" s="399"/>
      <c r="I1765" s="353"/>
      <c r="J1765" s="350">
        <f t="shared" si="1121"/>
        <v>0</v>
      </c>
      <c r="K1765" s="18">
        <v>0</v>
      </c>
      <c r="L1765" s="350">
        <f t="shared" si="1122"/>
        <v>0</v>
      </c>
      <c r="M1765" s="356">
        <f t="shared" si="1123"/>
        <v>0</v>
      </c>
      <c r="N1765" s="258"/>
      <c r="O1765" s="466"/>
    </row>
    <row r="1766" spans="1:15" ht="21.75" customHeight="1" x14ac:dyDescent="0.4">
      <c r="A1766" s="466"/>
      <c r="B1766" s="474"/>
      <c r="C1766" s="474"/>
      <c r="D1766" s="18"/>
      <c r="E1766" s="18"/>
      <c r="F1766" s="18"/>
      <c r="G1766" s="63"/>
      <c r="H1766" s="399"/>
      <c r="I1766" s="353"/>
      <c r="J1766" s="350">
        <f t="shared" ref="J1766:J1771" si="1124">SUM(H1766:I1766)</f>
        <v>0</v>
      </c>
      <c r="K1766" s="18">
        <v>0</v>
      </c>
      <c r="L1766" s="350">
        <f t="shared" ref="L1766:L1771" si="1125">SUM(J1766*K1766)</f>
        <v>0</v>
      </c>
      <c r="M1766" s="356">
        <f t="shared" ref="M1766:M1771" si="1126">ROUNDDOWN(L1766*1.1,0)</f>
        <v>0</v>
      </c>
      <c r="N1766" s="258"/>
      <c r="O1766" s="466"/>
    </row>
    <row r="1767" spans="1:15" ht="21.75" customHeight="1" x14ac:dyDescent="0.4">
      <c r="A1767" s="466"/>
      <c r="B1767" s="474"/>
      <c r="C1767" s="474"/>
      <c r="D1767" s="18"/>
      <c r="E1767" s="18"/>
      <c r="F1767" s="18"/>
      <c r="G1767" s="63"/>
      <c r="H1767" s="399"/>
      <c r="I1767" s="353"/>
      <c r="J1767" s="350">
        <f t="shared" si="1124"/>
        <v>0</v>
      </c>
      <c r="K1767" s="18">
        <v>0</v>
      </c>
      <c r="L1767" s="350">
        <f t="shared" si="1125"/>
        <v>0</v>
      </c>
      <c r="M1767" s="356">
        <f t="shared" si="1126"/>
        <v>0</v>
      </c>
      <c r="N1767" s="258"/>
      <c r="O1767" s="466"/>
    </row>
    <row r="1768" spans="1:15" ht="21.75" customHeight="1" x14ac:dyDescent="0.4">
      <c r="A1768" s="466"/>
      <c r="B1768" s="474"/>
      <c r="C1768" s="474"/>
      <c r="D1768" s="18"/>
      <c r="E1768" s="18"/>
      <c r="F1768" s="18"/>
      <c r="G1768" s="63"/>
      <c r="H1768" s="399"/>
      <c r="I1768" s="353"/>
      <c r="J1768" s="350">
        <f t="shared" si="1124"/>
        <v>0</v>
      </c>
      <c r="K1768" s="18">
        <v>0</v>
      </c>
      <c r="L1768" s="350">
        <f t="shared" si="1125"/>
        <v>0</v>
      </c>
      <c r="M1768" s="356">
        <f t="shared" si="1126"/>
        <v>0</v>
      </c>
      <c r="N1768" s="258"/>
      <c r="O1768" s="466"/>
    </row>
    <row r="1769" spans="1:15" ht="21.75" customHeight="1" x14ac:dyDescent="0.4">
      <c r="A1769" s="466"/>
      <c r="B1769" s="474"/>
      <c r="C1769" s="474"/>
      <c r="D1769" s="18"/>
      <c r="E1769" s="18"/>
      <c r="F1769" s="18"/>
      <c r="G1769" s="63"/>
      <c r="H1769" s="399"/>
      <c r="I1769" s="353"/>
      <c r="J1769" s="350">
        <f t="shared" si="1124"/>
        <v>0</v>
      </c>
      <c r="K1769" s="18">
        <v>0</v>
      </c>
      <c r="L1769" s="350">
        <f t="shared" si="1125"/>
        <v>0</v>
      </c>
      <c r="M1769" s="356">
        <f t="shared" si="1126"/>
        <v>0</v>
      </c>
      <c r="N1769" s="258"/>
      <c r="O1769" s="466"/>
    </row>
    <row r="1770" spans="1:15" ht="21.75" customHeight="1" x14ac:dyDescent="0.4">
      <c r="A1770" s="466"/>
      <c r="B1770" s="474"/>
      <c r="C1770" s="474"/>
      <c r="D1770" s="18"/>
      <c r="E1770" s="18"/>
      <c r="F1770" s="18"/>
      <c r="G1770" s="63"/>
      <c r="H1770" s="399"/>
      <c r="I1770" s="353"/>
      <c r="J1770" s="350">
        <f t="shared" si="1124"/>
        <v>0</v>
      </c>
      <c r="K1770" s="18">
        <v>0</v>
      </c>
      <c r="L1770" s="350">
        <f t="shared" si="1125"/>
        <v>0</v>
      </c>
      <c r="M1770" s="356">
        <f t="shared" si="1126"/>
        <v>0</v>
      </c>
      <c r="N1770" s="258"/>
      <c r="O1770" s="466"/>
    </row>
    <row r="1771" spans="1:15" ht="21.75" customHeight="1" x14ac:dyDescent="0.4">
      <c r="A1771" s="466"/>
      <c r="B1771" s="474"/>
      <c r="C1771" s="474"/>
      <c r="D1771" s="18"/>
      <c r="E1771" s="18"/>
      <c r="F1771" s="18"/>
      <c r="G1771" s="63"/>
      <c r="H1771" s="399"/>
      <c r="I1771" s="353"/>
      <c r="J1771" s="350">
        <f t="shared" si="1124"/>
        <v>0</v>
      </c>
      <c r="K1771" s="18">
        <v>0</v>
      </c>
      <c r="L1771" s="350">
        <f t="shared" si="1125"/>
        <v>0</v>
      </c>
      <c r="M1771" s="356">
        <f t="shared" si="1126"/>
        <v>0</v>
      </c>
      <c r="N1771" s="258"/>
      <c r="O1771" s="466"/>
    </row>
  </sheetData>
  <autoFilter ref="A1:AC1771" xr:uid="{00000000-0001-0000-0300-000000000000}"/>
  <mergeCells count="2">
    <mergeCell ref="O165:O168"/>
    <mergeCell ref="N165:N168"/>
  </mergeCells>
  <phoneticPr fontId="4"/>
  <conditionalFormatting sqref="G550 G554">
    <cfRule type="expression" priority="3">
      <formula>COUNTIF($B:$B,"*廃盤*")</formula>
    </cfRule>
    <cfRule type="cellIs" dxfId="0" priority="4" operator="equal">
      <formula>"（在庫限り）"</formula>
    </cfRule>
  </conditionalFormatting>
  <pageMargins left="0.7" right="0.7" top="0.75" bottom="0.75" header="0.3" footer="0.3"/>
  <pageSetup paperSize="9" scale="22" orientation="landscape" horizontalDpi="4294967293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V36"/>
  <sheetViews>
    <sheetView topLeftCell="A9" zoomScale="84" zoomScaleNormal="70" workbookViewId="0">
      <selection activeCell="C11" sqref="C11"/>
    </sheetView>
  </sheetViews>
  <sheetFormatPr defaultRowHeight="18.75" x14ac:dyDescent="0.4"/>
  <cols>
    <col min="1" max="1" width="13" bestFit="1" customWidth="1"/>
    <col min="2" max="2" width="21.625" bestFit="1" customWidth="1"/>
    <col min="3" max="3" width="36.875" bestFit="1" customWidth="1"/>
    <col min="4" max="4" width="9.25" bestFit="1" customWidth="1"/>
    <col min="5" max="5" width="21.625" bestFit="1" customWidth="1"/>
    <col min="6" max="6" width="37.125" bestFit="1" customWidth="1"/>
    <col min="7" max="7" width="9.25" bestFit="1" customWidth="1"/>
    <col min="8" max="8" width="15.125" customWidth="1"/>
    <col min="9" max="10" width="17.5" customWidth="1"/>
    <col min="11" max="11" width="9.25" bestFit="1" customWidth="1"/>
    <col min="12" max="12" width="19.5" bestFit="1" customWidth="1"/>
    <col min="13" max="13" width="49.125" bestFit="1" customWidth="1"/>
    <col min="14" max="14" width="9.25" bestFit="1" customWidth="1"/>
    <col min="15" max="15" width="19.5" bestFit="1" customWidth="1"/>
    <col min="16" max="16" width="39.875" bestFit="1" customWidth="1"/>
    <col min="17" max="17" width="9.25" bestFit="1" customWidth="1"/>
    <col min="18" max="19" width="5.625" bestFit="1" customWidth="1"/>
    <col min="20" max="20" width="9.25" bestFit="1" customWidth="1"/>
    <col min="21" max="22" width="5.625" bestFit="1" customWidth="1"/>
  </cols>
  <sheetData>
    <row r="1" spans="1:22" x14ac:dyDescent="0.4">
      <c r="A1" s="511">
        <v>45778</v>
      </c>
      <c r="B1" s="512"/>
      <c r="C1" s="513"/>
      <c r="D1" s="511">
        <v>45809</v>
      </c>
      <c r="E1" s="512"/>
      <c r="F1" s="513"/>
      <c r="G1" s="511">
        <v>45839</v>
      </c>
      <c r="H1" s="512"/>
      <c r="I1" s="513"/>
      <c r="J1" s="303" t="s">
        <v>5188</v>
      </c>
      <c r="K1" s="511">
        <v>45870</v>
      </c>
      <c r="L1" s="512"/>
      <c r="M1" s="513"/>
      <c r="N1" s="511">
        <v>45901</v>
      </c>
      <c r="O1" s="512"/>
      <c r="P1" s="513"/>
      <c r="Q1" s="511">
        <v>45931</v>
      </c>
      <c r="R1" s="512"/>
      <c r="S1" s="513"/>
      <c r="T1" s="511">
        <v>45962</v>
      </c>
      <c r="U1" s="512"/>
      <c r="V1" s="513"/>
    </row>
    <row r="2" spans="1:22" x14ac:dyDescent="0.4">
      <c r="A2" s="271" t="s">
        <v>4822</v>
      </c>
      <c r="B2" s="272" t="s">
        <v>8</v>
      </c>
      <c r="C2" s="273" t="s">
        <v>9</v>
      </c>
      <c r="D2" s="271" t="s">
        <v>4822</v>
      </c>
      <c r="E2" s="272" t="s">
        <v>8</v>
      </c>
      <c r="F2" s="273" t="s">
        <v>9</v>
      </c>
      <c r="G2" s="271" t="s">
        <v>4822</v>
      </c>
      <c r="H2" s="272" t="s">
        <v>8</v>
      </c>
      <c r="I2" s="273" t="s">
        <v>9</v>
      </c>
      <c r="K2" s="271" t="s">
        <v>4822</v>
      </c>
      <c r="L2" s="272" t="s">
        <v>8</v>
      </c>
      <c r="M2" s="273" t="s">
        <v>9</v>
      </c>
      <c r="N2" s="271" t="s">
        <v>4822</v>
      </c>
      <c r="O2" s="272" t="s">
        <v>8</v>
      </c>
      <c r="P2" s="273" t="s">
        <v>9</v>
      </c>
      <c r="Q2" s="271" t="s">
        <v>4822</v>
      </c>
      <c r="R2" s="272" t="s">
        <v>8</v>
      </c>
      <c r="S2" s="273" t="s">
        <v>9</v>
      </c>
      <c r="T2" s="271" t="s">
        <v>4822</v>
      </c>
      <c r="U2" s="272" t="s">
        <v>8</v>
      </c>
      <c r="V2" s="273" t="s">
        <v>9</v>
      </c>
    </row>
    <row r="3" spans="1:22" x14ac:dyDescent="0.4">
      <c r="A3" s="274" t="s">
        <v>328</v>
      </c>
      <c r="B3" s="275">
        <v>33</v>
      </c>
      <c r="C3" s="276">
        <v>585800</v>
      </c>
      <c r="D3" s="274" t="s">
        <v>328</v>
      </c>
      <c r="E3" s="275">
        <v>20</v>
      </c>
      <c r="F3" s="276">
        <v>553920</v>
      </c>
      <c r="G3" s="274" t="s">
        <v>328</v>
      </c>
      <c r="H3" s="275">
        <v>14</v>
      </c>
      <c r="I3" s="276">
        <v>467600</v>
      </c>
      <c r="J3" s="309">
        <f>I3-F3</f>
        <v>-86320</v>
      </c>
      <c r="K3" s="274" t="s">
        <v>328</v>
      </c>
      <c r="L3" s="275">
        <v>15</v>
      </c>
      <c r="M3" s="276">
        <v>405980</v>
      </c>
      <c r="N3" s="274" t="s">
        <v>328</v>
      </c>
      <c r="O3" s="275">
        <v>11</v>
      </c>
      <c r="P3" s="276">
        <v>179630</v>
      </c>
      <c r="Q3" s="274" t="s">
        <v>328</v>
      </c>
      <c r="R3" s="275"/>
      <c r="S3" s="276"/>
      <c r="T3" s="274" t="s">
        <v>328</v>
      </c>
      <c r="U3" s="275"/>
      <c r="V3" s="276"/>
    </row>
    <row r="4" spans="1:22" x14ac:dyDescent="0.4">
      <c r="A4" s="274" t="s">
        <v>1442</v>
      </c>
      <c r="B4" s="275">
        <v>4</v>
      </c>
      <c r="C4" s="276">
        <v>354600</v>
      </c>
      <c r="D4" s="274" t="s">
        <v>1442</v>
      </c>
      <c r="E4" s="275">
        <v>5</v>
      </c>
      <c r="F4" s="276">
        <v>266950</v>
      </c>
      <c r="G4" s="274" t="s">
        <v>1442</v>
      </c>
      <c r="H4" s="275">
        <v>1</v>
      </c>
      <c r="I4" s="276">
        <v>78400</v>
      </c>
      <c r="J4" s="309">
        <f t="shared" ref="J4:J8" si="0">I4-F4</f>
        <v>-188550</v>
      </c>
      <c r="K4" s="274" t="s">
        <v>1442</v>
      </c>
      <c r="L4" s="275">
        <v>7</v>
      </c>
      <c r="M4" s="276">
        <v>411150</v>
      </c>
      <c r="N4" s="274" t="s">
        <v>1442</v>
      </c>
      <c r="O4" s="275">
        <v>1</v>
      </c>
      <c r="P4" s="276">
        <v>54900</v>
      </c>
      <c r="Q4" s="274" t="s">
        <v>1442</v>
      </c>
      <c r="R4" s="275"/>
      <c r="S4" s="276"/>
      <c r="T4" s="274" t="s">
        <v>1442</v>
      </c>
      <c r="U4" s="275"/>
      <c r="V4" s="276"/>
    </row>
    <row r="5" spans="1:22" x14ac:dyDescent="0.4">
      <c r="A5" s="274" t="s">
        <v>332</v>
      </c>
      <c r="B5" s="275">
        <v>58</v>
      </c>
      <c r="C5" s="276">
        <v>84400</v>
      </c>
      <c r="D5" s="274" t="s">
        <v>332</v>
      </c>
      <c r="E5" s="275">
        <v>63</v>
      </c>
      <c r="F5" s="276">
        <v>102290</v>
      </c>
      <c r="G5" s="274" t="s">
        <v>332</v>
      </c>
      <c r="H5" s="275">
        <v>41</v>
      </c>
      <c r="I5" s="276">
        <v>76645</v>
      </c>
      <c r="J5" s="309">
        <f t="shared" si="0"/>
        <v>-25645</v>
      </c>
      <c r="K5" s="274" t="s">
        <v>332</v>
      </c>
      <c r="L5" s="275">
        <v>22</v>
      </c>
      <c r="M5" s="276">
        <v>35355</v>
      </c>
      <c r="N5" s="274" t="s">
        <v>332</v>
      </c>
      <c r="O5" s="275">
        <v>43</v>
      </c>
      <c r="P5" s="276">
        <v>61542</v>
      </c>
      <c r="Q5" s="274" t="s">
        <v>332</v>
      </c>
      <c r="R5" s="275"/>
      <c r="S5" s="276"/>
      <c r="T5" s="274" t="s">
        <v>332</v>
      </c>
      <c r="U5" s="275"/>
      <c r="V5" s="276"/>
    </row>
    <row r="6" spans="1:22" x14ac:dyDescent="0.4">
      <c r="A6" s="274" t="s">
        <v>292</v>
      </c>
      <c r="B6" s="275">
        <v>8</v>
      </c>
      <c r="C6" s="276">
        <v>47505</v>
      </c>
      <c r="D6" s="274" t="s">
        <v>292</v>
      </c>
      <c r="E6" s="275">
        <v>9</v>
      </c>
      <c r="F6" s="276">
        <v>38022</v>
      </c>
      <c r="G6" s="274" t="s">
        <v>292</v>
      </c>
      <c r="H6" s="275">
        <v>1</v>
      </c>
      <c r="I6" s="276">
        <v>2800</v>
      </c>
      <c r="J6" s="309">
        <f t="shared" si="0"/>
        <v>-35222</v>
      </c>
      <c r="K6" s="274" t="s">
        <v>292</v>
      </c>
      <c r="L6" s="275">
        <v>4</v>
      </c>
      <c r="M6" s="276">
        <v>14460</v>
      </c>
      <c r="N6" s="274" t="s">
        <v>292</v>
      </c>
      <c r="O6" s="275">
        <v>4</v>
      </c>
      <c r="P6" s="276">
        <v>17400</v>
      </c>
      <c r="Q6" s="274" t="s">
        <v>292</v>
      </c>
      <c r="R6" s="275"/>
      <c r="S6" s="276"/>
      <c r="T6" s="274" t="s">
        <v>292</v>
      </c>
      <c r="U6" s="275"/>
      <c r="V6" s="276"/>
    </row>
    <row r="7" spans="1:22" x14ac:dyDescent="0.4">
      <c r="A7" s="274" t="s">
        <v>426</v>
      </c>
      <c r="B7" s="275">
        <v>12</v>
      </c>
      <c r="C7" s="277">
        <v>18810</v>
      </c>
      <c r="D7" s="274" t="s">
        <v>426</v>
      </c>
      <c r="E7" s="275">
        <v>12</v>
      </c>
      <c r="F7" s="276">
        <v>17823</v>
      </c>
      <c r="G7" s="274" t="s">
        <v>426</v>
      </c>
      <c r="H7" s="275">
        <v>6</v>
      </c>
      <c r="I7" s="276">
        <v>9963</v>
      </c>
      <c r="J7" s="309">
        <f t="shared" si="0"/>
        <v>-7860</v>
      </c>
      <c r="K7" s="274" t="s">
        <v>426</v>
      </c>
      <c r="L7" s="311">
        <v>8</v>
      </c>
      <c r="M7" s="276">
        <v>12420</v>
      </c>
      <c r="N7" s="274" t="s">
        <v>426</v>
      </c>
      <c r="O7" s="275">
        <v>9</v>
      </c>
      <c r="P7" s="276">
        <v>11260</v>
      </c>
      <c r="Q7" s="274" t="s">
        <v>426</v>
      </c>
      <c r="R7" s="275"/>
      <c r="S7" s="277"/>
      <c r="T7" s="274" t="s">
        <v>426</v>
      </c>
      <c r="U7" s="275"/>
      <c r="V7" s="277"/>
    </row>
    <row r="8" spans="1:22" x14ac:dyDescent="0.4">
      <c r="A8" s="274" t="s">
        <v>4321</v>
      </c>
      <c r="B8" s="275">
        <v>7</v>
      </c>
      <c r="C8" s="276">
        <v>23100</v>
      </c>
      <c r="D8" s="274" t="s">
        <v>4321</v>
      </c>
      <c r="E8" s="275">
        <v>21</v>
      </c>
      <c r="F8" s="276">
        <v>168997</v>
      </c>
      <c r="G8" s="274" t="s">
        <v>4321</v>
      </c>
      <c r="H8" s="275">
        <v>10</v>
      </c>
      <c r="I8" s="276">
        <v>30220</v>
      </c>
      <c r="J8" s="309">
        <f t="shared" si="0"/>
        <v>-138777</v>
      </c>
      <c r="K8" s="274" t="s">
        <v>4321</v>
      </c>
      <c r="L8" s="275">
        <v>4</v>
      </c>
      <c r="M8" s="276">
        <v>13720</v>
      </c>
      <c r="N8" s="274" t="s">
        <v>4321</v>
      </c>
      <c r="O8" s="275"/>
      <c r="P8" s="276"/>
      <c r="Q8" s="274" t="s">
        <v>4321</v>
      </c>
      <c r="R8" s="275"/>
      <c r="S8" s="276"/>
      <c r="T8" s="274" t="s">
        <v>4321</v>
      </c>
      <c r="U8" s="275"/>
      <c r="V8" s="276"/>
    </row>
    <row r="9" spans="1:22" ht="19.5" thickBot="1" x14ac:dyDescent="0.45">
      <c r="A9" s="278"/>
      <c r="C9" s="279"/>
      <c r="D9" s="278" t="s">
        <v>5189</v>
      </c>
      <c r="F9" s="310">
        <f>SUM(F3:F8)</f>
        <v>1148002</v>
      </c>
      <c r="G9" s="278" t="s">
        <v>5189</v>
      </c>
      <c r="I9" s="310">
        <f>SUM(I3:I8)</f>
        <v>665628</v>
      </c>
      <c r="K9" s="278"/>
      <c r="M9" s="279"/>
      <c r="N9" s="278"/>
      <c r="P9" s="279"/>
      <c r="Q9" s="278"/>
      <c r="S9" s="279"/>
      <c r="T9" s="278"/>
      <c r="V9" s="279"/>
    </row>
    <row r="10" spans="1:22" ht="19.5" thickBot="1" x14ac:dyDescent="0.45">
      <c r="A10" s="505" t="s">
        <v>4288</v>
      </c>
      <c r="B10" s="506"/>
      <c r="C10" s="507"/>
      <c r="D10" s="505" t="s">
        <v>4288</v>
      </c>
      <c r="E10" s="514"/>
      <c r="F10" s="507"/>
      <c r="G10" s="505" t="s">
        <v>4288</v>
      </c>
      <c r="H10" s="514"/>
      <c r="I10" s="507"/>
      <c r="J10" s="302"/>
      <c r="K10" s="505" t="s">
        <v>4288</v>
      </c>
      <c r="L10" s="514"/>
      <c r="M10" s="507"/>
      <c r="N10" s="505" t="s">
        <v>4288</v>
      </c>
      <c r="O10" s="514"/>
      <c r="P10" s="507"/>
      <c r="Q10" s="505" t="s">
        <v>4288</v>
      </c>
      <c r="R10" s="514"/>
      <c r="S10" s="507"/>
      <c r="T10" s="505" t="s">
        <v>4288</v>
      </c>
      <c r="U10" s="514"/>
      <c r="V10" s="507"/>
    </row>
    <row r="11" spans="1:22" x14ac:dyDescent="0.4">
      <c r="A11" s="508" t="s">
        <v>328</v>
      </c>
      <c r="B11" s="61" t="s">
        <v>3960</v>
      </c>
      <c r="C11" s="280" t="s">
        <v>4732</v>
      </c>
      <c r="D11" s="508" t="s">
        <v>328</v>
      </c>
      <c r="E11" s="301" t="s">
        <v>788</v>
      </c>
      <c r="F11" s="50" t="s">
        <v>4775</v>
      </c>
      <c r="G11" s="508" t="s">
        <v>328</v>
      </c>
      <c r="H11" s="63" t="s">
        <v>788</v>
      </c>
      <c r="I11" s="50" t="s">
        <v>5063</v>
      </c>
      <c r="J11" s="304"/>
      <c r="K11" s="508" t="s">
        <v>328</v>
      </c>
      <c r="L11" s="63" t="s">
        <v>5197</v>
      </c>
      <c r="M11" s="50" t="s">
        <v>5198</v>
      </c>
      <c r="N11" s="508" t="s">
        <v>328</v>
      </c>
      <c r="O11" s="63" t="s">
        <v>5486</v>
      </c>
      <c r="P11" s="280" t="s">
        <v>5487</v>
      </c>
      <c r="Q11" s="508" t="s">
        <v>328</v>
      </c>
      <c r="R11" s="63"/>
      <c r="S11" s="280"/>
      <c r="T11" s="508" t="s">
        <v>328</v>
      </c>
      <c r="U11" s="63"/>
      <c r="V11" s="280"/>
    </row>
    <row r="12" spans="1:22" x14ac:dyDescent="0.4">
      <c r="A12" s="509"/>
      <c r="B12" s="487" t="s">
        <v>3598</v>
      </c>
      <c r="C12" s="281" t="s">
        <v>4716</v>
      </c>
      <c r="D12" s="509"/>
      <c r="E12" s="301" t="s">
        <v>788</v>
      </c>
      <c r="F12" s="50" t="s">
        <v>4776</v>
      </c>
      <c r="G12" s="509"/>
      <c r="H12" s="63" t="s">
        <v>788</v>
      </c>
      <c r="I12" s="50" t="s">
        <v>5064</v>
      </c>
      <c r="J12" s="304"/>
      <c r="K12" s="509"/>
      <c r="L12" s="63" t="s">
        <v>5197</v>
      </c>
      <c r="M12" s="50" t="s">
        <v>5252</v>
      </c>
      <c r="N12" s="509"/>
      <c r="O12" s="50" t="s">
        <v>5486</v>
      </c>
      <c r="P12" s="281" t="s">
        <v>5488</v>
      </c>
      <c r="Q12" s="509"/>
      <c r="R12" s="50"/>
      <c r="S12" s="281"/>
      <c r="T12" s="509"/>
      <c r="U12" s="50"/>
      <c r="V12" s="281"/>
    </row>
    <row r="13" spans="1:22" x14ac:dyDescent="0.4">
      <c r="A13" s="509"/>
      <c r="B13" s="488"/>
      <c r="C13" s="281" t="s">
        <v>4717</v>
      </c>
      <c r="D13" s="509"/>
      <c r="E13" s="301" t="s">
        <v>788</v>
      </c>
      <c r="F13" s="244" t="s">
        <v>4891</v>
      </c>
      <c r="G13" s="509"/>
      <c r="H13" s="63" t="s">
        <v>788</v>
      </c>
      <c r="I13" s="244" t="s">
        <v>5075</v>
      </c>
      <c r="J13" s="305"/>
      <c r="K13" s="509"/>
      <c r="L13" s="63" t="s">
        <v>5197</v>
      </c>
      <c r="M13" s="50" t="s">
        <v>5253</v>
      </c>
      <c r="N13" s="509"/>
      <c r="O13" s="50" t="s">
        <v>33</v>
      </c>
      <c r="P13" s="281" t="s">
        <v>5489</v>
      </c>
      <c r="Q13" s="509"/>
      <c r="R13" s="50"/>
      <c r="S13" s="281"/>
      <c r="T13" s="509"/>
      <c r="U13" s="50"/>
      <c r="V13" s="281"/>
    </row>
    <row r="14" spans="1:22" x14ac:dyDescent="0.4">
      <c r="A14" s="509"/>
      <c r="B14" s="488"/>
      <c r="C14" s="281" t="s">
        <v>4718</v>
      </c>
      <c r="D14" s="509"/>
      <c r="E14" s="301" t="s">
        <v>788</v>
      </c>
      <c r="F14" s="251" t="s">
        <v>4794</v>
      </c>
      <c r="G14" s="509"/>
      <c r="H14" s="63" t="s">
        <v>788</v>
      </c>
      <c r="I14" s="50" t="s">
        <v>5076</v>
      </c>
      <c r="J14" s="304"/>
      <c r="K14" s="509"/>
      <c r="L14" s="63" t="s">
        <v>5197</v>
      </c>
      <c r="M14" s="50" t="s">
        <v>5259</v>
      </c>
      <c r="N14" s="509"/>
      <c r="O14" s="50" t="s">
        <v>53</v>
      </c>
      <c r="P14" s="281" t="s">
        <v>5490</v>
      </c>
      <c r="Q14" s="509"/>
      <c r="R14" s="50"/>
      <c r="S14" s="281"/>
      <c r="T14" s="509"/>
      <c r="U14" s="50"/>
      <c r="V14" s="281"/>
    </row>
    <row r="15" spans="1:22" x14ac:dyDescent="0.4">
      <c r="A15" s="509"/>
      <c r="B15" s="488"/>
      <c r="C15" s="281" t="s">
        <v>4719</v>
      </c>
      <c r="D15" s="509"/>
      <c r="E15" s="301" t="s">
        <v>788</v>
      </c>
      <c r="F15" s="251" t="s">
        <v>4743</v>
      </c>
      <c r="G15" s="509"/>
      <c r="H15" s="63" t="s">
        <v>788</v>
      </c>
      <c r="I15" s="50" t="s">
        <v>5087</v>
      </c>
      <c r="J15" s="304"/>
      <c r="K15" s="509"/>
      <c r="L15" s="63" t="s">
        <v>3598</v>
      </c>
      <c r="M15" s="50" t="s">
        <v>5182</v>
      </c>
      <c r="N15" s="509"/>
      <c r="O15" s="50" t="s">
        <v>5486</v>
      </c>
      <c r="P15" s="281" t="s">
        <v>5392</v>
      </c>
      <c r="Q15" s="509"/>
      <c r="R15" s="50"/>
      <c r="S15" s="281"/>
      <c r="T15" s="509"/>
      <c r="U15" s="50"/>
      <c r="V15" s="281"/>
    </row>
    <row r="16" spans="1:22" x14ac:dyDescent="0.4">
      <c r="A16" s="509"/>
      <c r="B16" s="489"/>
      <c r="C16" s="281" t="s">
        <v>4726</v>
      </c>
      <c r="D16" s="509"/>
      <c r="E16" s="301" t="s">
        <v>788</v>
      </c>
      <c r="F16" s="50" t="s">
        <v>4879</v>
      </c>
      <c r="G16" s="509"/>
      <c r="H16" s="63" t="s">
        <v>788</v>
      </c>
      <c r="I16" s="50" t="s">
        <v>5094</v>
      </c>
      <c r="J16" s="304"/>
      <c r="K16" s="509"/>
      <c r="L16" s="63" t="s">
        <v>788</v>
      </c>
      <c r="M16" s="50" t="s">
        <v>5245</v>
      </c>
      <c r="N16" s="509"/>
      <c r="O16" s="50" t="s">
        <v>33</v>
      </c>
      <c r="P16" s="281" t="s">
        <v>5415</v>
      </c>
      <c r="Q16" s="509"/>
      <c r="R16" s="50"/>
      <c r="S16" s="281"/>
      <c r="T16" s="509"/>
      <c r="U16" s="50"/>
      <c r="V16" s="281"/>
    </row>
    <row r="17" spans="1:22" x14ac:dyDescent="0.4">
      <c r="A17" s="509"/>
      <c r="B17" s="487" t="s">
        <v>3597</v>
      </c>
      <c r="C17" s="281" t="s">
        <v>4703</v>
      </c>
      <c r="D17" s="509"/>
      <c r="E17" s="301" t="s">
        <v>788</v>
      </c>
      <c r="F17" s="50" t="s">
        <v>4891</v>
      </c>
      <c r="G17" s="509"/>
      <c r="H17" s="50" t="s">
        <v>3941</v>
      </c>
      <c r="I17" s="281" t="s">
        <v>5185</v>
      </c>
      <c r="J17" s="52"/>
      <c r="K17" s="509"/>
      <c r="L17" s="63" t="s">
        <v>788</v>
      </c>
      <c r="M17" s="36" t="s">
        <v>5265</v>
      </c>
      <c r="N17" s="509"/>
      <c r="O17" s="50"/>
      <c r="P17" s="281"/>
      <c r="Q17" s="509"/>
      <c r="R17" s="50"/>
      <c r="S17" s="281"/>
      <c r="T17" s="509"/>
      <c r="U17" s="50"/>
      <c r="V17" s="281"/>
    </row>
    <row r="18" spans="1:22" x14ac:dyDescent="0.4">
      <c r="A18" s="509"/>
      <c r="B18" s="488"/>
      <c r="C18" s="281" t="s">
        <v>4712</v>
      </c>
      <c r="D18" s="509"/>
      <c r="E18" s="301" t="s">
        <v>788</v>
      </c>
      <c r="F18" s="50" t="s">
        <v>4903</v>
      </c>
      <c r="G18" s="509"/>
      <c r="H18" s="50" t="s">
        <v>3941</v>
      </c>
      <c r="I18" s="281" t="s">
        <v>5185</v>
      </c>
      <c r="J18" s="52"/>
      <c r="K18" s="509"/>
      <c r="L18" s="63" t="s">
        <v>788</v>
      </c>
      <c r="M18" s="50" t="s">
        <v>5301</v>
      </c>
      <c r="N18" s="509"/>
      <c r="O18" s="50"/>
      <c r="P18" s="281"/>
      <c r="Q18" s="509"/>
      <c r="R18" s="50"/>
      <c r="S18" s="281"/>
      <c r="T18" s="509"/>
      <c r="U18" s="50"/>
      <c r="V18" s="281"/>
    </row>
    <row r="19" spans="1:22" x14ac:dyDescent="0.4">
      <c r="A19" s="509"/>
      <c r="B19" s="489"/>
      <c r="C19" s="281" t="s">
        <v>4769</v>
      </c>
      <c r="D19" s="509"/>
      <c r="E19" s="56"/>
      <c r="F19" s="50" t="s">
        <v>4830</v>
      </c>
      <c r="G19" s="509"/>
      <c r="H19" s="300" t="s">
        <v>3960</v>
      </c>
      <c r="I19" s="50" t="s">
        <v>4078</v>
      </c>
      <c r="J19" s="304"/>
      <c r="K19" s="509"/>
      <c r="L19" s="63" t="s">
        <v>3595</v>
      </c>
      <c r="M19" s="50" t="s">
        <v>5220</v>
      </c>
      <c r="N19" s="509"/>
      <c r="O19" s="50"/>
      <c r="P19" s="281"/>
      <c r="Q19" s="509"/>
      <c r="R19" s="50"/>
      <c r="S19" s="281"/>
      <c r="T19" s="509"/>
      <c r="U19" s="50"/>
      <c r="V19" s="281"/>
    </row>
    <row r="20" spans="1:22" x14ac:dyDescent="0.4">
      <c r="A20" s="509"/>
      <c r="B20" s="502" t="s">
        <v>788</v>
      </c>
      <c r="C20" s="282" t="s">
        <v>4707</v>
      </c>
      <c r="D20" s="509"/>
      <c r="E20" s="63" t="s">
        <v>3941</v>
      </c>
      <c r="F20" s="50" t="s">
        <v>4830</v>
      </c>
      <c r="G20" s="509"/>
      <c r="H20" s="63" t="s">
        <v>3598</v>
      </c>
      <c r="I20" s="50" t="s">
        <v>5148</v>
      </c>
      <c r="J20" s="304"/>
      <c r="K20" s="509"/>
      <c r="L20" s="63" t="s">
        <v>3597</v>
      </c>
      <c r="M20" s="50" t="s">
        <v>5261</v>
      </c>
      <c r="N20" s="509"/>
      <c r="O20" s="76"/>
      <c r="P20" s="282"/>
      <c r="Q20" s="509"/>
      <c r="R20" s="76"/>
      <c r="S20" s="282"/>
      <c r="T20" s="509"/>
      <c r="U20" s="76"/>
      <c r="V20" s="282"/>
    </row>
    <row r="21" spans="1:22" x14ac:dyDescent="0.4">
      <c r="A21" s="509"/>
      <c r="B21" s="503"/>
      <c r="C21" s="281" t="s">
        <v>4710</v>
      </c>
      <c r="D21" s="509"/>
      <c r="E21" s="63" t="s">
        <v>3941</v>
      </c>
      <c r="F21" s="50" t="s">
        <v>4956</v>
      </c>
      <c r="G21" s="509"/>
      <c r="H21" s="76"/>
      <c r="I21" s="281"/>
      <c r="J21" s="52"/>
      <c r="K21" s="509"/>
      <c r="L21" s="63" t="s">
        <v>5282</v>
      </c>
      <c r="M21" s="50" t="s">
        <v>5283</v>
      </c>
      <c r="N21" s="509"/>
      <c r="O21" s="76"/>
      <c r="P21" s="281"/>
      <c r="Q21" s="509"/>
      <c r="R21" s="76"/>
      <c r="S21" s="281"/>
      <c r="T21" s="509"/>
      <c r="U21" s="76"/>
      <c r="V21" s="281"/>
    </row>
    <row r="22" spans="1:22" x14ac:dyDescent="0.4">
      <c r="A22" s="509"/>
      <c r="B22" s="503"/>
      <c r="C22" s="281" t="s">
        <v>4296</v>
      </c>
      <c r="D22" s="509"/>
      <c r="E22" s="251" t="s">
        <v>3941</v>
      </c>
      <c r="F22" s="244" t="s">
        <v>5002</v>
      </c>
      <c r="G22" s="509"/>
      <c r="H22" s="76"/>
      <c r="I22" s="281"/>
      <c r="J22" s="52"/>
      <c r="K22" s="509"/>
      <c r="L22" s="63" t="s">
        <v>5313</v>
      </c>
      <c r="M22" s="50" t="s">
        <v>5314</v>
      </c>
      <c r="N22" s="509"/>
      <c r="O22" s="76"/>
      <c r="P22" s="281"/>
      <c r="Q22" s="509"/>
      <c r="R22" s="76"/>
      <c r="S22" s="281"/>
      <c r="T22" s="509"/>
      <c r="U22" s="76"/>
      <c r="V22" s="281"/>
    </row>
    <row r="23" spans="1:22" x14ac:dyDescent="0.4">
      <c r="A23" s="509"/>
      <c r="B23" s="503"/>
      <c r="C23" s="281" t="s">
        <v>4743</v>
      </c>
      <c r="D23" s="509"/>
      <c r="E23" s="251" t="s">
        <v>3945</v>
      </c>
      <c r="F23" s="244" t="s">
        <v>4987</v>
      </c>
      <c r="G23" s="509"/>
      <c r="H23" s="76"/>
      <c r="I23" s="281"/>
      <c r="J23" s="52"/>
      <c r="K23" s="509"/>
      <c r="L23" s="76"/>
      <c r="M23" s="281"/>
      <c r="N23" s="509"/>
      <c r="O23" s="76"/>
      <c r="P23" s="281"/>
      <c r="Q23" s="509"/>
      <c r="R23" s="76"/>
      <c r="S23" s="281"/>
      <c r="T23" s="509"/>
      <c r="U23" s="76"/>
      <c r="V23" s="281"/>
    </row>
    <row r="24" spans="1:22" x14ac:dyDescent="0.4">
      <c r="A24" s="509"/>
      <c r="B24" s="503"/>
      <c r="C24" s="281" t="s">
        <v>4744</v>
      </c>
      <c r="D24" s="509"/>
      <c r="E24" s="63" t="s">
        <v>3599</v>
      </c>
      <c r="F24" s="50" t="s">
        <v>4861</v>
      </c>
      <c r="G24" s="509"/>
      <c r="H24" s="76"/>
      <c r="I24" s="281"/>
      <c r="J24" s="52"/>
      <c r="K24" s="509"/>
      <c r="L24" s="76"/>
      <c r="M24" s="281"/>
      <c r="N24" s="509"/>
      <c r="O24" s="76"/>
      <c r="P24" s="281"/>
      <c r="Q24" s="509"/>
      <c r="R24" s="76"/>
      <c r="S24" s="281"/>
      <c r="T24" s="509"/>
      <c r="U24" s="76"/>
      <c r="V24" s="281"/>
    </row>
    <row r="25" spans="1:22" x14ac:dyDescent="0.4">
      <c r="A25" s="509"/>
      <c r="B25" s="503"/>
      <c r="C25" s="281" t="s">
        <v>4754</v>
      </c>
      <c r="D25" s="509"/>
      <c r="E25" s="63" t="s">
        <v>3599</v>
      </c>
      <c r="F25" s="50" t="s">
        <v>4883</v>
      </c>
      <c r="G25" s="509"/>
      <c r="H25" s="76"/>
      <c r="I25" s="281"/>
      <c r="J25" s="52"/>
      <c r="K25" s="509"/>
      <c r="L25" s="76"/>
      <c r="M25" s="281"/>
      <c r="N25" s="509"/>
      <c r="O25" s="76"/>
      <c r="P25" s="281"/>
      <c r="Q25" s="509"/>
      <c r="R25" s="76"/>
      <c r="S25" s="281"/>
      <c r="T25" s="509"/>
      <c r="U25" s="76"/>
      <c r="V25" s="281"/>
    </row>
    <row r="26" spans="1:22" x14ac:dyDescent="0.4">
      <c r="A26" s="509"/>
      <c r="B26" s="504"/>
      <c r="C26" s="281" t="s">
        <v>4768</v>
      </c>
      <c r="D26" s="509"/>
      <c r="E26" s="76"/>
      <c r="F26" s="281"/>
      <c r="G26" s="509"/>
      <c r="H26" s="76"/>
      <c r="I26" s="281"/>
      <c r="J26" s="52"/>
      <c r="K26" s="509"/>
      <c r="L26" s="76"/>
      <c r="M26" s="281"/>
      <c r="N26" s="509"/>
      <c r="O26" s="76"/>
      <c r="P26" s="281"/>
      <c r="Q26" s="509"/>
      <c r="R26" s="76"/>
      <c r="S26" s="281"/>
      <c r="T26" s="509"/>
      <c r="U26" s="76"/>
      <c r="V26" s="281"/>
    </row>
    <row r="27" spans="1:22" x14ac:dyDescent="0.4">
      <c r="A27" s="510"/>
      <c r="B27" s="63" t="s">
        <v>3595</v>
      </c>
      <c r="C27" s="281" t="s">
        <v>4765</v>
      </c>
      <c r="D27" s="510"/>
      <c r="E27" s="63"/>
      <c r="F27" s="281"/>
      <c r="G27" s="510"/>
      <c r="H27" s="63"/>
      <c r="I27" s="281"/>
      <c r="J27" s="306"/>
      <c r="K27" s="510"/>
      <c r="L27" s="63"/>
      <c r="M27" s="281"/>
      <c r="N27" s="510"/>
      <c r="O27" s="63"/>
      <c r="P27" s="281"/>
      <c r="Q27" s="510"/>
      <c r="R27" s="63"/>
      <c r="S27" s="281"/>
      <c r="T27" s="510"/>
      <c r="U27" s="63"/>
      <c r="V27" s="281"/>
    </row>
    <row r="28" spans="1:22" ht="19.5" thickBot="1" x14ac:dyDescent="0.45">
      <c r="A28" s="278"/>
      <c r="C28" s="279"/>
      <c r="D28" s="278"/>
      <c r="F28" s="279"/>
      <c r="G28" s="278"/>
      <c r="I28" s="279"/>
      <c r="K28" s="278"/>
      <c r="M28" s="279"/>
      <c r="N28" s="278"/>
      <c r="P28" s="279"/>
      <c r="Q28" s="278"/>
      <c r="S28" s="279"/>
      <c r="T28" s="278"/>
      <c r="V28" s="279"/>
    </row>
    <row r="29" spans="1:22" ht="19.5" thickBot="1" x14ac:dyDescent="0.45">
      <c r="A29" s="505" t="s">
        <v>4821</v>
      </c>
      <c r="B29" s="506"/>
      <c r="C29" s="507"/>
      <c r="D29" s="505" t="s">
        <v>4821</v>
      </c>
      <c r="E29" s="506"/>
      <c r="F29" s="507"/>
      <c r="G29" s="505" t="s">
        <v>4821</v>
      </c>
      <c r="H29" s="506"/>
      <c r="I29" s="507"/>
      <c r="J29" s="302"/>
      <c r="K29" s="505" t="s">
        <v>4821</v>
      </c>
      <c r="L29" s="506"/>
      <c r="M29" s="507"/>
      <c r="N29" s="505" t="s">
        <v>4821</v>
      </c>
      <c r="O29" s="506"/>
      <c r="P29" s="507"/>
      <c r="Q29" s="505" t="s">
        <v>4821</v>
      </c>
      <c r="R29" s="506"/>
      <c r="S29" s="507"/>
      <c r="T29" s="505" t="s">
        <v>4821</v>
      </c>
      <c r="U29" s="506"/>
      <c r="V29" s="507"/>
    </row>
    <row r="30" spans="1:22" x14ac:dyDescent="0.4">
      <c r="A30" s="283" t="s">
        <v>1442</v>
      </c>
      <c r="B30" s="61" t="s">
        <v>480</v>
      </c>
      <c r="C30" s="280" t="s">
        <v>4715</v>
      </c>
      <c r="D30" s="283" t="s">
        <v>1442</v>
      </c>
      <c r="E30" s="63" t="s">
        <v>3543</v>
      </c>
      <c r="F30" s="50" t="s">
        <v>4777</v>
      </c>
      <c r="G30" s="283" t="s">
        <v>1442</v>
      </c>
      <c r="H30" s="61" t="s">
        <v>5186</v>
      </c>
      <c r="I30" s="280" t="s">
        <v>5187</v>
      </c>
      <c r="J30" s="306"/>
      <c r="K30" s="315" t="s">
        <v>1442</v>
      </c>
      <c r="L30" s="316" t="s">
        <v>3543</v>
      </c>
      <c r="M30" s="317" t="s">
        <v>5159</v>
      </c>
      <c r="N30" s="312" t="s">
        <v>1442</v>
      </c>
      <c r="O30" s="61" t="s">
        <v>5186</v>
      </c>
      <c r="P30" s="280" t="s">
        <v>5491</v>
      </c>
      <c r="Q30" s="283" t="s">
        <v>1442</v>
      </c>
      <c r="R30" s="61"/>
      <c r="S30" s="280"/>
      <c r="T30" s="283" t="s">
        <v>1442</v>
      </c>
      <c r="U30" s="61"/>
      <c r="V30" s="280"/>
    </row>
    <row r="31" spans="1:22" x14ac:dyDescent="0.4">
      <c r="A31" s="284" t="s">
        <v>1442</v>
      </c>
      <c r="B31" s="63" t="s">
        <v>632</v>
      </c>
      <c r="C31" s="281" t="s">
        <v>4727</v>
      </c>
      <c r="D31" s="284" t="s">
        <v>1442</v>
      </c>
      <c r="E31" s="63" t="s">
        <v>3543</v>
      </c>
      <c r="F31" s="50" t="s">
        <v>4561</v>
      </c>
      <c r="G31" s="284" t="s">
        <v>1442</v>
      </c>
      <c r="H31" s="63"/>
      <c r="I31" s="281"/>
      <c r="J31" s="307"/>
      <c r="K31" s="284" t="s">
        <v>1442</v>
      </c>
      <c r="L31" s="63" t="s">
        <v>3543</v>
      </c>
      <c r="M31" s="281" t="s">
        <v>5196</v>
      </c>
      <c r="N31" s="313" t="s">
        <v>1442</v>
      </c>
      <c r="O31" s="63"/>
      <c r="P31" s="281"/>
      <c r="Q31" s="284" t="s">
        <v>1442</v>
      </c>
      <c r="R31" s="63"/>
      <c r="S31" s="281"/>
      <c r="T31" s="284" t="s">
        <v>1442</v>
      </c>
      <c r="U31" s="63"/>
      <c r="V31" s="281"/>
    </row>
    <row r="32" spans="1:22" x14ac:dyDescent="0.4">
      <c r="A32" s="284" t="s">
        <v>1442</v>
      </c>
      <c r="B32" s="63" t="s">
        <v>632</v>
      </c>
      <c r="C32" s="281" t="s">
        <v>4728</v>
      </c>
      <c r="D32" s="284" t="s">
        <v>1442</v>
      </c>
      <c r="E32" s="63" t="s">
        <v>3543</v>
      </c>
      <c r="F32" s="50" t="s">
        <v>4562</v>
      </c>
      <c r="G32" s="284" t="s">
        <v>1442</v>
      </c>
      <c r="H32" s="63"/>
      <c r="I32" s="281"/>
      <c r="J32" s="307"/>
      <c r="K32" s="284" t="s">
        <v>1442</v>
      </c>
      <c r="L32" s="63" t="s">
        <v>3543</v>
      </c>
      <c r="M32" s="281" t="s">
        <v>5254</v>
      </c>
      <c r="N32" s="313" t="s">
        <v>1442</v>
      </c>
      <c r="O32" s="63"/>
      <c r="P32" s="281"/>
      <c r="Q32" s="284" t="s">
        <v>1442</v>
      </c>
      <c r="R32" s="63"/>
      <c r="S32" s="281"/>
      <c r="T32" s="284" t="s">
        <v>1442</v>
      </c>
      <c r="U32" s="63"/>
      <c r="V32" s="281"/>
    </row>
    <row r="33" spans="1:22" x14ac:dyDescent="0.4">
      <c r="A33" s="284" t="s">
        <v>1442</v>
      </c>
      <c r="B33" s="63" t="s">
        <v>1051</v>
      </c>
      <c r="C33" s="281" t="s">
        <v>4766</v>
      </c>
      <c r="D33" s="284" t="s">
        <v>1442</v>
      </c>
      <c r="E33" s="63" t="s">
        <v>3543</v>
      </c>
      <c r="F33" s="50" t="s">
        <v>4777</v>
      </c>
      <c r="G33" s="284" t="s">
        <v>1442</v>
      </c>
      <c r="H33" s="63"/>
      <c r="I33" s="281"/>
      <c r="J33" s="307"/>
      <c r="K33" s="284" t="s">
        <v>1442</v>
      </c>
      <c r="L33" s="63" t="s">
        <v>3543</v>
      </c>
      <c r="M33" s="281" t="s">
        <v>5256</v>
      </c>
      <c r="N33" s="313" t="s">
        <v>1442</v>
      </c>
      <c r="O33" s="63"/>
      <c r="P33" s="281"/>
      <c r="Q33" s="284" t="s">
        <v>1442</v>
      </c>
      <c r="R33" s="63"/>
      <c r="S33" s="281"/>
      <c r="T33" s="284" t="s">
        <v>1442</v>
      </c>
      <c r="U33" s="63"/>
      <c r="V33" s="281"/>
    </row>
    <row r="34" spans="1:22" x14ac:dyDescent="0.4">
      <c r="A34" s="284" t="s">
        <v>2239</v>
      </c>
      <c r="B34" s="63" t="s">
        <v>4737</v>
      </c>
      <c r="C34" s="281" t="s">
        <v>4736</v>
      </c>
      <c r="D34" s="284" t="s">
        <v>1442</v>
      </c>
      <c r="E34" s="63" t="s">
        <v>3997</v>
      </c>
      <c r="F34" s="50" t="s">
        <v>4028</v>
      </c>
      <c r="G34" s="284" t="s">
        <v>2239</v>
      </c>
      <c r="H34" s="63"/>
      <c r="I34" s="281"/>
      <c r="J34" s="307"/>
      <c r="K34" s="284" t="s">
        <v>1442</v>
      </c>
      <c r="L34" s="63" t="s">
        <v>3543</v>
      </c>
      <c r="M34" s="281" t="s">
        <v>5257</v>
      </c>
      <c r="N34" s="313" t="s">
        <v>2239</v>
      </c>
      <c r="O34" s="63"/>
      <c r="P34" s="281"/>
      <c r="Q34" s="284" t="s">
        <v>2239</v>
      </c>
      <c r="R34" s="63"/>
      <c r="S34" s="281"/>
      <c r="T34" s="284" t="s">
        <v>2239</v>
      </c>
      <c r="U34" s="63"/>
      <c r="V34" s="281"/>
    </row>
    <row r="35" spans="1:22" ht="19.5" thickBot="1" x14ac:dyDescent="0.45">
      <c r="A35" s="285" t="s">
        <v>2239</v>
      </c>
      <c r="B35" s="286" t="s">
        <v>790</v>
      </c>
      <c r="C35" s="287" t="s">
        <v>4753</v>
      </c>
      <c r="D35" s="285"/>
      <c r="E35" s="286"/>
      <c r="F35" s="287"/>
      <c r="G35" s="285" t="s">
        <v>2239</v>
      </c>
      <c r="H35" s="286"/>
      <c r="I35" s="287"/>
      <c r="J35" s="308"/>
      <c r="K35" s="284" t="s">
        <v>1442</v>
      </c>
      <c r="L35" s="63" t="s">
        <v>557</v>
      </c>
      <c r="M35" s="281" t="s">
        <v>5247</v>
      </c>
      <c r="N35" s="314" t="s">
        <v>2239</v>
      </c>
      <c r="O35" s="286"/>
      <c r="P35" s="287"/>
      <c r="Q35" s="285" t="s">
        <v>2239</v>
      </c>
      <c r="R35" s="286"/>
      <c r="S35" s="287"/>
      <c r="T35" s="285" t="s">
        <v>2239</v>
      </c>
      <c r="U35" s="286"/>
      <c r="V35" s="287"/>
    </row>
    <row r="36" spans="1:22" ht="19.5" thickBot="1" x14ac:dyDescent="0.45">
      <c r="K36" s="285" t="s">
        <v>1442</v>
      </c>
      <c r="L36" s="286" t="s">
        <v>480</v>
      </c>
      <c r="M36" s="287" t="s">
        <v>5271</v>
      </c>
    </row>
  </sheetData>
  <mergeCells count="31">
    <mergeCell ref="Q11:Q27"/>
    <mergeCell ref="T11:T27"/>
    <mergeCell ref="Q29:S29"/>
    <mergeCell ref="T29:V29"/>
    <mergeCell ref="G10:I10"/>
    <mergeCell ref="K10:M10"/>
    <mergeCell ref="N10:P10"/>
    <mergeCell ref="Q10:S10"/>
    <mergeCell ref="T10:V10"/>
    <mergeCell ref="G29:I29"/>
    <mergeCell ref="K29:M29"/>
    <mergeCell ref="N29:P29"/>
    <mergeCell ref="G11:G27"/>
    <mergeCell ref="K11:K27"/>
    <mergeCell ref="N11:N27"/>
    <mergeCell ref="Q1:S1"/>
    <mergeCell ref="T1:V1"/>
    <mergeCell ref="D1:F1"/>
    <mergeCell ref="D10:F10"/>
    <mergeCell ref="A1:C1"/>
    <mergeCell ref="A10:C10"/>
    <mergeCell ref="G1:I1"/>
    <mergeCell ref="K1:M1"/>
    <mergeCell ref="N1:P1"/>
    <mergeCell ref="B20:B26"/>
    <mergeCell ref="D29:F29"/>
    <mergeCell ref="D11:D27"/>
    <mergeCell ref="A29:C29"/>
    <mergeCell ref="A11:A27"/>
    <mergeCell ref="B12:B16"/>
    <mergeCell ref="B17:B19"/>
  </mergeCells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81CB-865C-49C9-BA02-0E2F42A1E8DE}">
  <sheetPr codeName="Sheet6"/>
  <dimension ref="A1:F103"/>
  <sheetViews>
    <sheetView topLeftCell="A70" workbookViewId="0">
      <selection activeCell="F71" sqref="F71"/>
    </sheetView>
  </sheetViews>
  <sheetFormatPr defaultRowHeight="18.75" x14ac:dyDescent="0.4"/>
  <cols>
    <col min="1" max="2" width="9.25" bestFit="1" customWidth="1"/>
    <col min="3" max="3" width="9.25" customWidth="1"/>
    <col min="5" max="5" width="11.5" bestFit="1" customWidth="1"/>
    <col min="10" max="10" width="11.5" bestFit="1" customWidth="1"/>
  </cols>
  <sheetData>
    <row r="1" spans="1:5" x14ac:dyDescent="0.4">
      <c r="A1">
        <v>2025</v>
      </c>
    </row>
    <row r="2" spans="1:5" x14ac:dyDescent="0.4">
      <c r="A2" s="341">
        <v>45991</v>
      </c>
      <c r="B2" s="337" t="s">
        <v>5881</v>
      </c>
      <c r="C2" s="337" t="s">
        <v>5189</v>
      </c>
      <c r="D2" s="338" t="s">
        <v>5882</v>
      </c>
      <c r="E2" s="338" t="s">
        <v>5189</v>
      </c>
    </row>
    <row r="3" spans="1:5" x14ac:dyDescent="0.4">
      <c r="A3" s="340">
        <v>10000</v>
      </c>
      <c r="B3" s="324">
        <v>0</v>
      </c>
      <c r="C3" s="344">
        <f>A3*B3</f>
        <v>0</v>
      </c>
      <c r="D3" s="339">
        <v>79</v>
      </c>
      <c r="E3" s="345">
        <f>D3*A3</f>
        <v>790000</v>
      </c>
    </row>
    <row r="4" spans="1:5" x14ac:dyDescent="0.4">
      <c r="A4" s="340">
        <v>5000</v>
      </c>
      <c r="B4" s="324">
        <v>4</v>
      </c>
      <c r="C4" s="344">
        <f t="shared" ref="C4:C11" si="0">A4*B4</f>
        <v>20000</v>
      </c>
      <c r="D4" s="339">
        <v>11</v>
      </c>
      <c r="E4" s="345">
        <f t="shared" ref="E4:E11" si="1">D4*A4</f>
        <v>55000</v>
      </c>
    </row>
    <row r="5" spans="1:5" x14ac:dyDescent="0.4">
      <c r="A5" s="340">
        <v>1000</v>
      </c>
      <c r="B5" s="324">
        <v>20</v>
      </c>
      <c r="C5" s="344">
        <f t="shared" si="0"/>
        <v>20000</v>
      </c>
      <c r="D5" s="339">
        <v>300</v>
      </c>
      <c r="E5" s="345">
        <f t="shared" si="1"/>
        <v>300000</v>
      </c>
    </row>
    <row r="6" spans="1:5" x14ac:dyDescent="0.4">
      <c r="A6" s="340">
        <v>500</v>
      </c>
      <c r="B6" s="324">
        <v>17</v>
      </c>
      <c r="C6" s="344">
        <f t="shared" si="0"/>
        <v>8500</v>
      </c>
      <c r="D6" s="339">
        <v>0</v>
      </c>
      <c r="E6" s="345">
        <f t="shared" si="1"/>
        <v>0</v>
      </c>
    </row>
    <row r="7" spans="1:5" x14ac:dyDescent="0.4">
      <c r="A7" s="340">
        <v>100</v>
      </c>
      <c r="B7" s="324">
        <v>43</v>
      </c>
      <c r="C7" s="344">
        <f t="shared" si="0"/>
        <v>4300</v>
      </c>
      <c r="D7" s="339">
        <v>0</v>
      </c>
      <c r="E7" s="345">
        <f t="shared" si="1"/>
        <v>0</v>
      </c>
    </row>
    <row r="8" spans="1:5" x14ac:dyDescent="0.4">
      <c r="A8" s="340">
        <v>50</v>
      </c>
      <c r="B8" s="324">
        <v>15</v>
      </c>
      <c r="C8" s="344">
        <f t="shared" si="0"/>
        <v>750</v>
      </c>
      <c r="D8" s="339">
        <v>20</v>
      </c>
      <c r="E8" s="345">
        <f t="shared" si="1"/>
        <v>1000</v>
      </c>
    </row>
    <row r="9" spans="1:5" x14ac:dyDescent="0.4">
      <c r="A9" s="340">
        <v>10</v>
      </c>
      <c r="B9" s="324">
        <v>7</v>
      </c>
      <c r="C9" s="344">
        <f t="shared" si="0"/>
        <v>70</v>
      </c>
      <c r="D9" s="339">
        <v>0</v>
      </c>
      <c r="E9" s="345">
        <f t="shared" si="1"/>
        <v>0</v>
      </c>
    </row>
    <row r="10" spans="1:5" x14ac:dyDescent="0.4">
      <c r="A10" s="340">
        <v>5</v>
      </c>
      <c r="B10" s="324">
        <v>8</v>
      </c>
      <c r="C10" s="344">
        <f t="shared" si="0"/>
        <v>40</v>
      </c>
      <c r="D10" s="339">
        <v>280</v>
      </c>
      <c r="E10" s="345">
        <f t="shared" si="1"/>
        <v>1400</v>
      </c>
    </row>
    <row r="11" spans="1:5" x14ac:dyDescent="0.4">
      <c r="A11" s="340">
        <v>1</v>
      </c>
      <c r="B11" s="324">
        <v>20</v>
      </c>
      <c r="C11" s="344">
        <f t="shared" si="0"/>
        <v>20</v>
      </c>
      <c r="D11" s="339">
        <v>40</v>
      </c>
      <c r="E11" s="345">
        <f t="shared" si="1"/>
        <v>40</v>
      </c>
    </row>
    <row r="12" spans="1:5" x14ac:dyDescent="0.4">
      <c r="A12" s="342" t="s">
        <v>5189</v>
      </c>
      <c r="B12" s="7"/>
      <c r="C12" s="343">
        <f>SUM(C3:C11)</f>
        <v>53680</v>
      </c>
      <c r="D12" s="7"/>
      <c r="E12" s="343">
        <f>SUM(E3:E11)</f>
        <v>1147440</v>
      </c>
    </row>
    <row r="13" spans="1:5" x14ac:dyDescent="0.4">
      <c r="E13" s="346">
        <v>1201120</v>
      </c>
    </row>
    <row r="15" spans="1:5" x14ac:dyDescent="0.4">
      <c r="A15" s="341">
        <v>46005</v>
      </c>
      <c r="B15" s="337" t="s">
        <v>5881</v>
      </c>
      <c r="C15" s="337" t="s">
        <v>5189</v>
      </c>
      <c r="D15" s="338" t="s">
        <v>5882</v>
      </c>
      <c r="E15" s="338" t="s">
        <v>5189</v>
      </c>
    </row>
    <row r="16" spans="1:5" x14ac:dyDescent="0.4">
      <c r="A16" s="340">
        <v>10000</v>
      </c>
      <c r="B16" s="324">
        <v>0</v>
      </c>
      <c r="C16" s="344">
        <f>A16*B16</f>
        <v>0</v>
      </c>
      <c r="D16" s="339">
        <v>85</v>
      </c>
      <c r="E16" s="345">
        <f>D16*A16</f>
        <v>850000</v>
      </c>
    </row>
    <row r="17" spans="1:6" x14ac:dyDescent="0.4">
      <c r="A17" s="340">
        <v>5000</v>
      </c>
      <c r="B17" s="324">
        <v>10</v>
      </c>
      <c r="C17" s="344">
        <f t="shared" ref="C17:C24" si="2">A17*B17</f>
        <v>50000</v>
      </c>
      <c r="D17" s="339">
        <v>3</v>
      </c>
      <c r="E17" s="345">
        <f t="shared" ref="E17:E24" si="3">D17*A17</f>
        <v>15000</v>
      </c>
    </row>
    <row r="18" spans="1:6" x14ac:dyDescent="0.4">
      <c r="A18" s="340">
        <v>1000</v>
      </c>
      <c r="B18" s="324">
        <v>22</v>
      </c>
      <c r="C18" s="344">
        <f t="shared" si="2"/>
        <v>22000</v>
      </c>
      <c r="D18" s="339">
        <v>300</v>
      </c>
      <c r="E18" s="345">
        <f t="shared" si="3"/>
        <v>300000</v>
      </c>
    </row>
    <row r="19" spans="1:6" x14ac:dyDescent="0.4">
      <c r="A19" s="340">
        <v>500</v>
      </c>
      <c r="B19" s="324">
        <v>7</v>
      </c>
      <c r="C19" s="344">
        <f t="shared" si="2"/>
        <v>3500</v>
      </c>
      <c r="D19" s="339">
        <v>10</v>
      </c>
      <c r="E19" s="345">
        <f t="shared" si="3"/>
        <v>5000</v>
      </c>
    </row>
    <row r="20" spans="1:6" x14ac:dyDescent="0.4">
      <c r="A20" s="340">
        <v>100</v>
      </c>
      <c r="B20" s="324">
        <v>19</v>
      </c>
      <c r="C20" s="344">
        <f t="shared" si="2"/>
        <v>1900</v>
      </c>
      <c r="D20" s="339">
        <v>20</v>
      </c>
      <c r="E20" s="345">
        <f t="shared" si="3"/>
        <v>2000</v>
      </c>
    </row>
    <row r="21" spans="1:6" x14ac:dyDescent="0.4">
      <c r="A21" s="340">
        <v>50</v>
      </c>
      <c r="B21" s="324">
        <v>13</v>
      </c>
      <c r="C21" s="344">
        <f t="shared" si="2"/>
        <v>650</v>
      </c>
      <c r="D21" s="339">
        <v>20</v>
      </c>
      <c r="E21" s="345">
        <f t="shared" si="3"/>
        <v>1000</v>
      </c>
    </row>
    <row r="22" spans="1:6" x14ac:dyDescent="0.4">
      <c r="A22" s="340">
        <v>10</v>
      </c>
      <c r="B22" s="324">
        <v>9</v>
      </c>
      <c r="C22" s="344">
        <f t="shared" si="2"/>
        <v>90</v>
      </c>
      <c r="D22" s="339">
        <v>0</v>
      </c>
      <c r="E22" s="345">
        <f t="shared" si="3"/>
        <v>0</v>
      </c>
    </row>
    <row r="23" spans="1:6" x14ac:dyDescent="0.4">
      <c r="A23" s="340">
        <v>5</v>
      </c>
      <c r="B23" s="324">
        <v>17</v>
      </c>
      <c r="C23" s="344">
        <f t="shared" si="2"/>
        <v>85</v>
      </c>
      <c r="D23" s="339">
        <v>270</v>
      </c>
      <c r="E23" s="345">
        <f t="shared" si="3"/>
        <v>1350</v>
      </c>
    </row>
    <row r="24" spans="1:6" x14ac:dyDescent="0.4">
      <c r="A24" s="340">
        <v>1</v>
      </c>
      <c r="B24" s="324">
        <v>14</v>
      </c>
      <c r="C24" s="344">
        <f t="shared" si="2"/>
        <v>14</v>
      </c>
      <c r="D24" s="339">
        <v>40</v>
      </c>
      <c r="E24" s="345">
        <f t="shared" si="3"/>
        <v>40</v>
      </c>
    </row>
    <row r="25" spans="1:6" x14ac:dyDescent="0.4">
      <c r="A25" s="342" t="s">
        <v>5189</v>
      </c>
      <c r="B25" s="7"/>
      <c r="C25" s="343">
        <f>SUM(C16:C24)</f>
        <v>78239</v>
      </c>
      <c r="D25" s="7"/>
      <c r="E25" s="343">
        <f>SUM(E16:E24)</f>
        <v>1174390</v>
      </c>
    </row>
    <row r="26" spans="1:6" x14ac:dyDescent="0.4">
      <c r="E26" s="346">
        <v>1252629</v>
      </c>
    </row>
    <row r="28" spans="1:6" x14ac:dyDescent="0.4">
      <c r="A28" s="341">
        <v>46019</v>
      </c>
      <c r="B28" s="337" t="s">
        <v>5881</v>
      </c>
      <c r="C28" s="337" t="s">
        <v>5189</v>
      </c>
      <c r="D28" s="338" t="s">
        <v>5882</v>
      </c>
      <c r="E28" s="338" t="s">
        <v>5189</v>
      </c>
      <c r="F28" s="348">
        <v>0.58333333333333337</v>
      </c>
    </row>
    <row r="29" spans="1:6" x14ac:dyDescent="0.4">
      <c r="A29" s="340">
        <v>10000</v>
      </c>
      <c r="B29" s="324">
        <v>0</v>
      </c>
      <c r="C29" s="344">
        <f>A29*B29</f>
        <v>0</v>
      </c>
      <c r="D29" s="339"/>
      <c r="E29" s="345">
        <f>D29*A29</f>
        <v>0</v>
      </c>
    </row>
    <row r="30" spans="1:6" x14ac:dyDescent="0.4">
      <c r="A30" s="340">
        <v>5000</v>
      </c>
      <c r="B30" s="324">
        <v>9</v>
      </c>
      <c r="C30" s="344">
        <f t="shared" ref="C30:C37" si="4">A30*B30</f>
        <v>45000</v>
      </c>
      <c r="D30" s="339"/>
      <c r="E30" s="345">
        <f t="shared" ref="E30:E37" si="5">D30*A30</f>
        <v>0</v>
      </c>
    </row>
    <row r="31" spans="1:6" x14ac:dyDescent="0.4">
      <c r="A31" s="340">
        <v>1000</v>
      </c>
      <c r="B31" s="324">
        <v>8</v>
      </c>
      <c r="C31" s="344">
        <f t="shared" si="4"/>
        <v>8000</v>
      </c>
      <c r="D31" s="339"/>
      <c r="E31" s="345">
        <f t="shared" si="5"/>
        <v>0</v>
      </c>
    </row>
    <row r="32" spans="1:6" x14ac:dyDescent="0.4">
      <c r="A32" s="340">
        <v>500</v>
      </c>
      <c r="B32" s="324">
        <v>6</v>
      </c>
      <c r="C32" s="344">
        <f t="shared" si="4"/>
        <v>3000</v>
      </c>
      <c r="D32" s="339"/>
      <c r="E32" s="345">
        <f t="shared" si="5"/>
        <v>0</v>
      </c>
    </row>
    <row r="33" spans="1:6" x14ac:dyDescent="0.4">
      <c r="A33" s="340">
        <v>100</v>
      </c>
      <c r="B33" s="324">
        <v>7</v>
      </c>
      <c r="C33" s="344">
        <f t="shared" si="4"/>
        <v>700</v>
      </c>
      <c r="D33" s="339"/>
      <c r="E33" s="345">
        <f t="shared" si="5"/>
        <v>0</v>
      </c>
    </row>
    <row r="34" spans="1:6" x14ac:dyDescent="0.4">
      <c r="A34" s="340">
        <v>50</v>
      </c>
      <c r="B34" s="324">
        <v>13</v>
      </c>
      <c r="C34" s="344">
        <f t="shared" si="4"/>
        <v>650</v>
      </c>
      <c r="D34" s="339"/>
      <c r="E34" s="345">
        <f t="shared" si="5"/>
        <v>0</v>
      </c>
    </row>
    <row r="35" spans="1:6" x14ac:dyDescent="0.4">
      <c r="A35" s="340">
        <v>10</v>
      </c>
      <c r="B35" s="324">
        <v>6</v>
      </c>
      <c r="C35" s="344">
        <f t="shared" si="4"/>
        <v>60</v>
      </c>
      <c r="D35" s="339"/>
      <c r="E35" s="345">
        <f t="shared" si="5"/>
        <v>0</v>
      </c>
    </row>
    <row r="36" spans="1:6" x14ac:dyDescent="0.4">
      <c r="A36" s="340">
        <v>5</v>
      </c>
      <c r="B36" s="324">
        <v>4</v>
      </c>
      <c r="C36" s="344">
        <f t="shared" si="4"/>
        <v>20</v>
      </c>
      <c r="D36" s="339"/>
      <c r="E36" s="345">
        <f t="shared" si="5"/>
        <v>0</v>
      </c>
    </row>
    <row r="37" spans="1:6" x14ac:dyDescent="0.4">
      <c r="A37" s="340">
        <v>1</v>
      </c>
      <c r="B37" s="324">
        <v>12</v>
      </c>
      <c r="C37" s="344">
        <f t="shared" si="4"/>
        <v>12</v>
      </c>
      <c r="D37" s="339"/>
      <c r="E37" s="345">
        <f t="shared" si="5"/>
        <v>0</v>
      </c>
    </row>
    <row r="38" spans="1:6" x14ac:dyDescent="0.4">
      <c r="A38" s="342" t="s">
        <v>5189</v>
      </c>
      <c r="B38" s="7"/>
      <c r="C38" s="343">
        <f>SUM(C29:C37)</f>
        <v>57442</v>
      </c>
      <c r="D38" s="7"/>
      <c r="E38" s="343">
        <f>SUM(E29:E37)</f>
        <v>0</v>
      </c>
    </row>
    <row r="39" spans="1:6" x14ac:dyDescent="0.4">
      <c r="E39" s="346"/>
    </row>
    <row r="40" spans="1:6" x14ac:dyDescent="0.4">
      <c r="A40">
        <v>2026</v>
      </c>
    </row>
    <row r="41" spans="1:6" x14ac:dyDescent="0.4">
      <c r="A41" s="341">
        <v>46026</v>
      </c>
      <c r="B41" s="337" t="s">
        <v>5881</v>
      </c>
      <c r="C41" s="337" t="s">
        <v>5189</v>
      </c>
      <c r="D41" s="338" t="s">
        <v>5882</v>
      </c>
      <c r="E41" s="338" t="s">
        <v>5189</v>
      </c>
      <c r="F41" s="348">
        <v>0.58333333333333337</v>
      </c>
    </row>
    <row r="42" spans="1:6" x14ac:dyDescent="0.4">
      <c r="A42" s="340">
        <v>10000</v>
      </c>
      <c r="B42" s="324">
        <v>0</v>
      </c>
      <c r="C42" s="344">
        <f>A42*B42</f>
        <v>0</v>
      </c>
      <c r="D42" s="339">
        <v>80</v>
      </c>
      <c r="E42" s="345">
        <f>D42*A42</f>
        <v>800000</v>
      </c>
    </row>
    <row r="43" spans="1:6" x14ac:dyDescent="0.4">
      <c r="A43" s="340">
        <v>5000</v>
      </c>
      <c r="B43" s="324">
        <v>8</v>
      </c>
      <c r="C43" s="344">
        <f t="shared" ref="C43:C50" si="6">A43*B43</f>
        <v>40000</v>
      </c>
      <c r="D43" s="339">
        <v>3</v>
      </c>
      <c r="E43" s="345">
        <f t="shared" ref="E43:E50" si="7">D43*A43</f>
        <v>15000</v>
      </c>
    </row>
    <row r="44" spans="1:6" x14ac:dyDescent="0.4">
      <c r="A44" s="340">
        <v>1000</v>
      </c>
      <c r="B44" s="324">
        <v>7</v>
      </c>
      <c r="C44" s="344">
        <f t="shared" si="6"/>
        <v>7000</v>
      </c>
      <c r="D44" s="339">
        <v>30</v>
      </c>
      <c r="E44" s="345">
        <f t="shared" si="7"/>
        <v>30000</v>
      </c>
    </row>
    <row r="45" spans="1:6" x14ac:dyDescent="0.4">
      <c r="A45" s="340">
        <v>500</v>
      </c>
      <c r="B45" s="324">
        <v>8</v>
      </c>
      <c r="C45" s="344">
        <f t="shared" si="6"/>
        <v>4000</v>
      </c>
      <c r="D45" s="339">
        <v>10</v>
      </c>
      <c r="E45" s="345">
        <f t="shared" si="7"/>
        <v>5000</v>
      </c>
    </row>
    <row r="46" spans="1:6" x14ac:dyDescent="0.4">
      <c r="A46" s="340">
        <v>100</v>
      </c>
      <c r="B46" s="324">
        <v>13</v>
      </c>
      <c r="C46" s="344">
        <f t="shared" si="6"/>
        <v>1300</v>
      </c>
      <c r="D46" s="339">
        <v>0</v>
      </c>
      <c r="E46" s="345">
        <f t="shared" si="7"/>
        <v>0</v>
      </c>
    </row>
    <row r="47" spans="1:6" x14ac:dyDescent="0.4">
      <c r="A47" s="340">
        <v>50</v>
      </c>
      <c r="B47" s="324">
        <v>18</v>
      </c>
      <c r="C47" s="344">
        <f t="shared" si="6"/>
        <v>900</v>
      </c>
      <c r="D47" s="339">
        <v>20</v>
      </c>
      <c r="E47" s="345">
        <f t="shared" si="7"/>
        <v>1000</v>
      </c>
    </row>
    <row r="48" spans="1:6" x14ac:dyDescent="0.4">
      <c r="A48" s="340">
        <v>10</v>
      </c>
      <c r="B48" s="324">
        <v>14</v>
      </c>
      <c r="C48" s="344">
        <f t="shared" si="6"/>
        <v>140</v>
      </c>
      <c r="D48" s="339">
        <v>0</v>
      </c>
      <c r="E48" s="345">
        <f t="shared" si="7"/>
        <v>0</v>
      </c>
    </row>
    <row r="49" spans="1:6" x14ac:dyDescent="0.4">
      <c r="A49" s="340">
        <v>5</v>
      </c>
      <c r="B49" s="324">
        <v>6</v>
      </c>
      <c r="C49" s="344">
        <f t="shared" si="6"/>
        <v>30</v>
      </c>
      <c r="D49" s="339">
        <v>270</v>
      </c>
      <c r="E49" s="345">
        <f t="shared" si="7"/>
        <v>1350</v>
      </c>
    </row>
    <row r="50" spans="1:6" x14ac:dyDescent="0.4">
      <c r="A50" s="340">
        <v>1</v>
      </c>
      <c r="B50" s="324">
        <v>14</v>
      </c>
      <c r="C50" s="344">
        <f t="shared" si="6"/>
        <v>14</v>
      </c>
      <c r="D50" s="339">
        <v>40</v>
      </c>
      <c r="E50" s="345">
        <f t="shared" si="7"/>
        <v>40</v>
      </c>
    </row>
    <row r="51" spans="1:6" x14ac:dyDescent="0.4">
      <c r="A51" s="342" t="s">
        <v>5189</v>
      </c>
      <c r="B51" s="7"/>
      <c r="C51" s="343">
        <f>SUM(C42:C50)</f>
        <v>53384</v>
      </c>
      <c r="D51" s="7"/>
      <c r="E51" s="343">
        <f>SUM(E42:E50)</f>
        <v>852390</v>
      </c>
    </row>
    <row r="54" spans="1:6" x14ac:dyDescent="0.4">
      <c r="A54" s="341">
        <v>46039</v>
      </c>
      <c r="B54" s="337" t="s">
        <v>5881</v>
      </c>
      <c r="C54" s="337" t="s">
        <v>5189</v>
      </c>
      <c r="D54" s="338" t="s">
        <v>5882</v>
      </c>
      <c r="E54" s="338" t="s">
        <v>5189</v>
      </c>
      <c r="F54" s="348">
        <v>0.78125</v>
      </c>
    </row>
    <row r="55" spans="1:6" x14ac:dyDescent="0.4">
      <c r="A55" s="340">
        <v>10000</v>
      </c>
      <c r="B55" s="324">
        <v>0</v>
      </c>
      <c r="C55" s="344">
        <f>A55*B55</f>
        <v>0</v>
      </c>
      <c r="D55" s="339">
        <v>9</v>
      </c>
      <c r="E55" s="345">
        <f>D55*A55</f>
        <v>90000</v>
      </c>
    </row>
    <row r="56" spans="1:6" x14ac:dyDescent="0.4">
      <c r="A56" s="340">
        <v>5000</v>
      </c>
      <c r="B56" s="324">
        <v>5</v>
      </c>
      <c r="C56" s="344">
        <f t="shared" ref="C56:C63" si="8">A56*B56</f>
        <v>25000</v>
      </c>
      <c r="D56" s="339">
        <v>3</v>
      </c>
      <c r="E56" s="345">
        <f t="shared" ref="E56:E63" si="9">D56*A56</f>
        <v>15000</v>
      </c>
    </row>
    <row r="57" spans="1:6" x14ac:dyDescent="0.4">
      <c r="A57" s="340">
        <v>1000</v>
      </c>
      <c r="B57" s="324">
        <v>19</v>
      </c>
      <c r="C57" s="344">
        <f t="shared" si="8"/>
        <v>19000</v>
      </c>
      <c r="D57" s="339">
        <v>280</v>
      </c>
      <c r="E57" s="345">
        <f t="shared" si="9"/>
        <v>280000</v>
      </c>
    </row>
    <row r="58" spans="1:6" x14ac:dyDescent="0.4">
      <c r="A58" s="340">
        <v>500</v>
      </c>
      <c r="B58" s="324">
        <v>10</v>
      </c>
      <c r="C58" s="344">
        <f t="shared" si="8"/>
        <v>5000</v>
      </c>
      <c r="D58" s="339">
        <v>10</v>
      </c>
      <c r="E58" s="345">
        <f t="shared" si="9"/>
        <v>5000</v>
      </c>
    </row>
    <row r="59" spans="1:6" x14ac:dyDescent="0.4">
      <c r="A59" s="340">
        <v>100</v>
      </c>
      <c r="B59" s="324">
        <v>32</v>
      </c>
      <c r="C59" s="344">
        <f t="shared" si="8"/>
        <v>3200</v>
      </c>
      <c r="D59" s="339">
        <v>0</v>
      </c>
      <c r="E59" s="345">
        <f t="shared" si="9"/>
        <v>0</v>
      </c>
    </row>
    <row r="60" spans="1:6" x14ac:dyDescent="0.4">
      <c r="A60" s="340">
        <v>50</v>
      </c>
      <c r="B60" s="324">
        <v>12</v>
      </c>
      <c r="C60" s="344">
        <f t="shared" si="8"/>
        <v>600</v>
      </c>
      <c r="D60" s="339">
        <v>20</v>
      </c>
      <c r="E60" s="345">
        <f t="shared" si="9"/>
        <v>1000</v>
      </c>
    </row>
    <row r="61" spans="1:6" x14ac:dyDescent="0.4">
      <c r="A61" s="340">
        <v>10</v>
      </c>
      <c r="B61" s="324">
        <v>17</v>
      </c>
      <c r="C61" s="344">
        <f t="shared" si="8"/>
        <v>170</v>
      </c>
      <c r="D61" s="339">
        <v>40</v>
      </c>
      <c r="E61" s="345">
        <f t="shared" si="9"/>
        <v>400</v>
      </c>
    </row>
    <row r="62" spans="1:6" x14ac:dyDescent="0.4">
      <c r="A62" s="340">
        <v>5</v>
      </c>
      <c r="B62" s="324">
        <v>18</v>
      </c>
      <c r="C62" s="344">
        <f t="shared" si="8"/>
        <v>90</v>
      </c>
      <c r="D62" s="339">
        <v>260</v>
      </c>
      <c r="E62" s="345">
        <f t="shared" si="9"/>
        <v>1300</v>
      </c>
    </row>
    <row r="63" spans="1:6" x14ac:dyDescent="0.4">
      <c r="A63" s="340">
        <v>1</v>
      </c>
      <c r="B63" s="324">
        <v>31</v>
      </c>
      <c r="C63" s="344">
        <f t="shared" si="8"/>
        <v>31</v>
      </c>
      <c r="D63" s="339">
        <v>30</v>
      </c>
      <c r="E63" s="345">
        <f t="shared" si="9"/>
        <v>30</v>
      </c>
    </row>
    <row r="64" spans="1:6" x14ac:dyDescent="0.4">
      <c r="A64" s="342" t="s">
        <v>5189</v>
      </c>
      <c r="B64" s="7"/>
      <c r="C64" s="343">
        <f>SUM(C55:C63)</f>
        <v>53091</v>
      </c>
      <c r="D64" s="7"/>
      <c r="E64" s="343">
        <f>SUM(E55:E63)</f>
        <v>392730</v>
      </c>
    </row>
    <row r="67" spans="1:6" x14ac:dyDescent="0.4">
      <c r="A67" s="341">
        <v>46041</v>
      </c>
      <c r="B67" s="337" t="s">
        <v>5881</v>
      </c>
      <c r="C67" s="337" t="s">
        <v>5189</v>
      </c>
      <c r="D67" s="338" t="s">
        <v>5882</v>
      </c>
      <c r="E67" s="338" t="s">
        <v>5189</v>
      </c>
      <c r="F67" s="348">
        <v>0.65277777777777779</v>
      </c>
    </row>
    <row r="68" spans="1:6" x14ac:dyDescent="0.4">
      <c r="A68" s="340">
        <v>10000</v>
      </c>
      <c r="B68" s="324">
        <v>0</v>
      </c>
      <c r="C68" s="344">
        <f>A68*B68</f>
        <v>0</v>
      </c>
      <c r="D68" s="339"/>
      <c r="E68" s="345">
        <f>D68*A68</f>
        <v>0</v>
      </c>
    </row>
    <row r="69" spans="1:6" x14ac:dyDescent="0.4">
      <c r="A69" s="340">
        <v>5000</v>
      </c>
      <c r="B69" s="324">
        <v>3</v>
      </c>
      <c r="C69" s="344">
        <f t="shared" ref="C69:C76" si="10">A69*B69</f>
        <v>15000</v>
      </c>
      <c r="D69" s="339"/>
      <c r="E69" s="345">
        <f t="shared" ref="E69:E76" si="11">D69*A69</f>
        <v>0</v>
      </c>
    </row>
    <row r="70" spans="1:6" x14ac:dyDescent="0.4">
      <c r="A70" s="340">
        <v>1000</v>
      </c>
      <c r="B70" s="324">
        <v>14</v>
      </c>
      <c r="C70" s="344">
        <f t="shared" si="10"/>
        <v>14000</v>
      </c>
      <c r="D70" s="339"/>
      <c r="E70" s="345">
        <f t="shared" si="11"/>
        <v>0</v>
      </c>
    </row>
    <row r="71" spans="1:6" x14ac:dyDescent="0.4">
      <c r="A71" s="340">
        <v>500</v>
      </c>
      <c r="B71" s="324">
        <v>9</v>
      </c>
      <c r="C71" s="344">
        <f t="shared" si="10"/>
        <v>4500</v>
      </c>
      <c r="D71" s="339"/>
      <c r="E71" s="345">
        <f t="shared" si="11"/>
        <v>0</v>
      </c>
    </row>
    <row r="72" spans="1:6" x14ac:dyDescent="0.4">
      <c r="A72" s="340">
        <v>100</v>
      </c>
      <c r="B72" s="324">
        <v>28</v>
      </c>
      <c r="C72" s="344">
        <f t="shared" si="10"/>
        <v>2800</v>
      </c>
      <c r="D72" s="339"/>
      <c r="E72" s="345">
        <f t="shared" si="11"/>
        <v>0</v>
      </c>
    </row>
    <row r="73" spans="1:6" x14ac:dyDescent="0.4">
      <c r="A73" s="340">
        <v>50</v>
      </c>
      <c r="B73" s="324">
        <v>11</v>
      </c>
      <c r="C73" s="344">
        <f t="shared" si="10"/>
        <v>550</v>
      </c>
      <c r="D73" s="339"/>
      <c r="E73" s="345">
        <f t="shared" si="11"/>
        <v>0</v>
      </c>
    </row>
    <row r="74" spans="1:6" x14ac:dyDescent="0.4">
      <c r="A74" s="340">
        <v>10</v>
      </c>
      <c r="B74" s="324">
        <v>15</v>
      </c>
      <c r="C74" s="344">
        <f t="shared" si="10"/>
        <v>150</v>
      </c>
      <c r="D74" s="339"/>
      <c r="E74" s="345">
        <f t="shared" si="11"/>
        <v>0</v>
      </c>
    </row>
    <row r="75" spans="1:6" x14ac:dyDescent="0.4">
      <c r="A75" s="340">
        <v>5</v>
      </c>
      <c r="B75" s="324">
        <v>18</v>
      </c>
      <c r="C75" s="344">
        <f t="shared" si="10"/>
        <v>90</v>
      </c>
      <c r="D75" s="339"/>
      <c r="E75" s="345">
        <f t="shared" si="11"/>
        <v>0</v>
      </c>
    </row>
    <row r="76" spans="1:6" x14ac:dyDescent="0.4">
      <c r="A76" s="340">
        <v>1</v>
      </c>
      <c r="B76" s="324">
        <v>31</v>
      </c>
      <c r="C76" s="344">
        <f t="shared" si="10"/>
        <v>31</v>
      </c>
      <c r="D76" s="339"/>
      <c r="E76" s="345">
        <f t="shared" si="11"/>
        <v>0</v>
      </c>
    </row>
    <row r="77" spans="1:6" x14ac:dyDescent="0.4">
      <c r="A77" s="342" t="s">
        <v>5189</v>
      </c>
      <c r="B77" s="7"/>
      <c r="C77" s="343">
        <f>SUM(C68:C76)</f>
        <v>37121</v>
      </c>
      <c r="D77" s="7"/>
      <c r="E77" s="343">
        <f>SUM(E68:E76)</f>
        <v>0</v>
      </c>
    </row>
    <row r="80" spans="1:6" x14ac:dyDescent="0.4">
      <c r="A80" s="341"/>
      <c r="B80" s="337" t="s">
        <v>5881</v>
      </c>
      <c r="C80" s="337" t="s">
        <v>5189</v>
      </c>
      <c r="D80" s="338" t="s">
        <v>5882</v>
      </c>
      <c r="E80" s="338" t="s">
        <v>5189</v>
      </c>
    </row>
    <row r="81" spans="1:5" x14ac:dyDescent="0.4">
      <c r="A81" s="340">
        <v>10000</v>
      </c>
      <c r="B81" s="324"/>
      <c r="C81" s="344">
        <f>A81*B81</f>
        <v>0</v>
      </c>
      <c r="D81" s="339"/>
      <c r="E81" s="345">
        <f>D81*A81</f>
        <v>0</v>
      </c>
    </row>
    <row r="82" spans="1:5" x14ac:dyDescent="0.4">
      <c r="A82" s="340">
        <v>5000</v>
      </c>
      <c r="B82" s="324"/>
      <c r="C82" s="344">
        <f t="shared" ref="C82:C89" si="12">A82*B82</f>
        <v>0</v>
      </c>
      <c r="D82" s="339"/>
      <c r="E82" s="345">
        <f t="shared" ref="E82:E89" si="13">D82*A82</f>
        <v>0</v>
      </c>
    </row>
    <row r="83" spans="1:5" x14ac:dyDescent="0.4">
      <c r="A83" s="340">
        <v>1000</v>
      </c>
      <c r="B83" s="324"/>
      <c r="C83" s="344">
        <f t="shared" si="12"/>
        <v>0</v>
      </c>
      <c r="D83" s="339"/>
      <c r="E83" s="345">
        <f t="shared" si="13"/>
        <v>0</v>
      </c>
    </row>
    <row r="84" spans="1:5" x14ac:dyDescent="0.4">
      <c r="A84" s="340">
        <v>500</v>
      </c>
      <c r="B84" s="324"/>
      <c r="C84" s="344">
        <f t="shared" si="12"/>
        <v>0</v>
      </c>
      <c r="D84" s="339"/>
      <c r="E84" s="345">
        <f t="shared" si="13"/>
        <v>0</v>
      </c>
    </row>
    <row r="85" spans="1:5" x14ac:dyDescent="0.4">
      <c r="A85" s="340">
        <v>100</v>
      </c>
      <c r="B85" s="324"/>
      <c r="C85" s="344">
        <f t="shared" si="12"/>
        <v>0</v>
      </c>
      <c r="D85" s="339"/>
      <c r="E85" s="345">
        <f t="shared" si="13"/>
        <v>0</v>
      </c>
    </row>
    <row r="86" spans="1:5" x14ac:dyDescent="0.4">
      <c r="A86" s="340">
        <v>50</v>
      </c>
      <c r="B86" s="324"/>
      <c r="C86" s="344">
        <f t="shared" si="12"/>
        <v>0</v>
      </c>
      <c r="D86" s="339"/>
      <c r="E86" s="345">
        <f t="shared" si="13"/>
        <v>0</v>
      </c>
    </row>
    <row r="87" spans="1:5" x14ac:dyDescent="0.4">
      <c r="A87" s="340">
        <v>10</v>
      </c>
      <c r="B87" s="324"/>
      <c r="C87" s="344">
        <f t="shared" si="12"/>
        <v>0</v>
      </c>
      <c r="D87" s="339"/>
      <c r="E87" s="345">
        <f t="shared" si="13"/>
        <v>0</v>
      </c>
    </row>
    <row r="88" spans="1:5" x14ac:dyDescent="0.4">
      <c r="A88" s="340">
        <v>5</v>
      </c>
      <c r="B88" s="324"/>
      <c r="C88" s="344">
        <f t="shared" si="12"/>
        <v>0</v>
      </c>
      <c r="D88" s="339"/>
      <c r="E88" s="345">
        <f t="shared" si="13"/>
        <v>0</v>
      </c>
    </row>
    <row r="89" spans="1:5" x14ac:dyDescent="0.4">
      <c r="A89" s="340">
        <v>1</v>
      </c>
      <c r="B89" s="324"/>
      <c r="C89" s="344">
        <f t="shared" si="12"/>
        <v>0</v>
      </c>
      <c r="D89" s="339"/>
      <c r="E89" s="345">
        <f t="shared" si="13"/>
        <v>0</v>
      </c>
    </row>
    <row r="90" spans="1:5" x14ac:dyDescent="0.4">
      <c r="A90" s="342" t="s">
        <v>5189</v>
      </c>
      <c r="B90" s="7"/>
      <c r="C90" s="343">
        <f>SUM(C81:C89)</f>
        <v>0</v>
      </c>
      <c r="D90" s="7"/>
      <c r="E90" s="343">
        <f>SUM(E81:E89)</f>
        <v>0</v>
      </c>
    </row>
    <row r="93" spans="1:5" x14ac:dyDescent="0.4">
      <c r="A93" s="341"/>
      <c r="B93" s="337" t="s">
        <v>5881</v>
      </c>
      <c r="C93" s="337" t="s">
        <v>5189</v>
      </c>
      <c r="D93" s="338" t="s">
        <v>5882</v>
      </c>
      <c r="E93" s="338" t="s">
        <v>5189</v>
      </c>
    </row>
    <row r="94" spans="1:5" x14ac:dyDescent="0.4">
      <c r="A94" s="340">
        <v>10000</v>
      </c>
      <c r="B94" s="324"/>
      <c r="C94" s="344">
        <f>A94*B94</f>
        <v>0</v>
      </c>
      <c r="D94" s="339"/>
      <c r="E94" s="345">
        <f>D94*A94</f>
        <v>0</v>
      </c>
    </row>
    <row r="95" spans="1:5" x14ac:dyDescent="0.4">
      <c r="A95" s="340">
        <v>5000</v>
      </c>
      <c r="B95" s="324"/>
      <c r="C95" s="344">
        <f t="shared" ref="C95:C102" si="14">A95*B95</f>
        <v>0</v>
      </c>
      <c r="D95" s="339"/>
      <c r="E95" s="345">
        <f t="shared" ref="E95:E102" si="15">D95*A95</f>
        <v>0</v>
      </c>
    </row>
    <row r="96" spans="1:5" x14ac:dyDescent="0.4">
      <c r="A96" s="340">
        <v>1000</v>
      </c>
      <c r="B96" s="324"/>
      <c r="C96" s="344">
        <f t="shared" si="14"/>
        <v>0</v>
      </c>
      <c r="D96" s="339"/>
      <c r="E96" s="345">
        <f t="shared" si="15"/>
        <v>0</v>
      </c>
    </row>
    <row r="97" spans="1:5" x14ac:dyDescent="0.4">
      <c r="A97" s="340">
        <v>500</v>
      </c>
      <c r="B97" s="324"/>
      <c r="C97" s="344">
        <f t="shared" si="14"/>
        <v>0</v>
      </c>
      <c r="D97" s="339"/>
      <c r="E97" s="345">
        <f t="shared" si="15"/>
        <v>0</v>
      </c>
    </row>
    <row r="98" spans="1:5" x14ac:dyDescent="0.4">
      <c r="A98" s="340">
        <v>100</v>
      </c>
      <c r="B98" s="324"/>
      <c r="C98" s="344">
        <f t="shared" si="14"/>
        <v>0</v>
      </c>
      <c r="D98" s="339"/>
      <c r="E98" s="345">
        <f t="shared" si="15"/>
        <v>0</v>
      </c>
    </row>
    <row r="99" spans="1:5" x14ac:dyDescent="0.4">
      <c r="A99" s="340">
        <v>50</v>
      </c>
      <c r="B99" s="324"/>
      <c r="C99" s="344">
        <f t="shared" si="14"/>
        <v>0</v>
      </c>
      <c r="D99" s="339"/>
      <c r="E99" s="345">
        <f t="shared" si="15"/>
        <v>0</v>
      </c>
    </row>
    <row r="100" spans="1:5" x14ac:dyDescent="0.4">
      <c r="A100" s="340">
        <v>10</v>
      </c>
      <c r="B100" s="324"/>
      <c r="C100" s="344">
        <f t="shared" si="14"/>
        <v>0</v>
      </c>
      <c r="D100" s="339"/>
      <c r="E100" s="345">
        <f t="shared" si="15"/>
        <v>0</v>
      </c>
    </row>
    <row r="101" spans="1:5" x14ac:dyDescent="0.4">
      <c r="A101" s="340">
        <v>5</v>
      </c>
      <c r="B101" s="324"/>
      <c r="C101" s="344">
        <f t="shared" si="14"/>
        <v>0</v>
      </c>
      <c r="D101" s="339"/>
      <c r="E101" s="345">
        <f t="shared" si="15"/>
        <v>0</v>
      </c>
    </row>
    <row r="102" spans="1:5" x14ac:dyDescent="0.4">
      <c r="A102" s="340">
        <v>1</v>
      </c>
      <c r="B102" s="324"/>
      <c r="C102" s="344">
        <f t="shared" si="14"/>
        <v>0</v>
      </c>
      <c r="D102" s="339"/>
      <c r="E102" s="345">
        <f t="shared" si="15"/>
        <v>0</v>
      </c>
    </row>
    <row r="103" spans="1:5" x14ac:dyDescent="0.4">
      <c r="A103" s="342" t="s">
        <v>5189</v>
      </c>
      <c r="B103" s="7"/>
      <c r="C103" s="343">
        <f>SUM(C94:C102)</f>
        <v>0</v>
      </c>
      <c r="D103" s="7"/>
      <c r="E103" s="343">
        <f>SUM(E94:E102)</f>
        <v>0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28期売上一覧</vt:lpstr>
      <vt:lpstr>29期売上一覧</vt:lpstr>
      <vt:lpstr>30期売上一覧</vt:lpstr>
      <vt:lpstr>31期売上一覧</vt:lpstr>
      <vt:lpstr>売上内訳 (2)</vt:lpstr>
      <vt:lpstr>現金✓</vt:lpstr>
      <vt:lpstr>'31期売上一覧'!Print_Area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</dc:creator>
  <cp:lastModifiedBy>GOLFWING 宝塚</cp:lastModifiedBy>
  <cp:lastPrinted>2026-02-16T05:28:26Z</cp:lastPrinted>
  <dcterms:created xsi:type="dcterms:W3CDTF">2022-08-18T06:23:31Z</dcterms:created>
  <dcterms:modified xsi:type="dcterms:W3CDTF">2026-06-30T09:16:06Z</dcterms:modified>
</cp:coreProperties>
</file>